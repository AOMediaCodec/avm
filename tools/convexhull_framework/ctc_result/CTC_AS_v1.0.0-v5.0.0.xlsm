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060" tabRatio="600" firstSheet="0" activeTab="12" autoFilterDateGrouping="1"/>
  </bookViews>
  <sheets>
    <sheet name="Summary" sheetId="1" state="visible" r:id="rId1"/>
    <sheet name="Summary (Full)" sheetId="2" state="visible" r:id="rId2"/>
    <sheet name="Plots" sheetId="3" state="visible" r:id="rId3"/>
    <sheet name="BoxingPractice" sheetId="4" state="visible" r:id="rId4"/>
    <sheet name="Tango" sheetId="5" state="visible" r:id="rId5"/>
    <sheet name="CrossWalk" sheetId="6" state="visible" r:id="rId6"/>
    <sheet name="FoodMarket2" sheetId="7" state="visible" r:id="rId7"/>
    <sheet name="Neon1224" sheetId="8" state="visible" r:id="rId8"/>
    <sheet name="NocturneDance" sheetId="9" state="visible" r:id="rId9"/>
    <sheet name="PierSeaside" sheetId="10" state="visible" r:id="rId10"/>
    <sheet name="Timelapse" sheetId="11" state="visible" r:id="rId11"/>
    <sheet name="Anchor" sheetId="12" state="visible" r:id="rId12"/>
    <sheet name="Test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0.000000000000000000000"/>
    <numFmt numFmtId="167" formatCode="0.0000000"/>
    <numFmt numFmtId="168" formatCode="0.0000"/>
    <numFmt numFmtId="169" formatCode="0.00000"/>
  </numFmts>
  <fonts count="21">
    <font>
      <name val="Calibri"/>
      <family val="2"/>
      <color theme="1"/>
      <sz val="12"/>
      <scheme val="minor"/>
    </font>
    <font>
      <name val="Calibri"/>
      <family val="2"/>
      <color theme="1"/>
      <sz val="12"/>
      <scheme val="minor"/>
    </font>
    <font>
      <name val="Calibri"/>
      <family val="2"/>
      <color rgb="FF9C5700"/>
      <sz val="12"/>
      <scheme val="minor"/>
    </font>
    <font>
      <name val="Calibri"/>
      <family val="2"/>
      <color theme="0"/>
      <sz val="12"/>
      <scheme val="minor"/>
    </font>
    <font>
      <name val="Arial"/>
      <family val="2"/>
      <color theme="1"/>
      <sz val="10"/>
    </font>
    <font>
      <name val="Arial"/>
      <family val="2"/>
      <b val="1"/>
      <color indexed="8"/>
      <sz val="10"/>
    </font>
    <font>
      <name val="Arial"/>
      <family val="2"/>
      <color indexed="8"/>
      <sz val="10"/>
    </font>
    <font>
      <name val="Arial"/>
      <family val="2"/>
      <sz val="10"/>
    </font>
    <font>
      <name val="Arial"/>
      <family val="2"/>
      <color indexed="8"/>
      <sz val="9"/>
    </font>
    <font>
      <name val="Arial"/>
      <family val="2"/>
      <color theme="1"/>
      <sz val="9"/>
    </font>
    <font>
      <name val="Calibri"/>
      <family val="2"/>
      <sz val="12"/>
      <scheme val="minor"/>
    </font>
    <font>
      <name val="Calibri"/>
      <family val="2"/>
      <color rgb="FFFFFFFF"/>
      <sz val="12"/>
      <scheme val="minor"/>
    </font>
    <font>
      <name val="Calibri"/>
      <family val="2"/>
      <color rgb="FF000000"/>
      <sz val="12"/>
      <scheme val="minor"/>
    </font>
    <font>
      <name val="Arial"/>
      <family val="2"/>
      <color theme="0"/>
      <sz val="9"/>
    </font>
    <font>
      <name val="Calibri"/>
      <family val="2"/>
      <color indexed="8"/>
      <sz val="10"/>
    </font>
    <font>
      <name val="Calibri"/>
      <family val="2"/>
      <color theme="0"/>
      <sz val="10"/>
      <scheme val="minor"/>
    </font>
    <font>
      <name val="Arial"/>
      <family val="2"/>
      <b val="1"/>
      <color theme="1"/>
      <sz val="10"/>
    </font>
    <font>
      <name val="Calibri"/>
      <family val="2"/>
      <b val="1"/>
      <color theme="1"/>
      <sz val="12"/>
      <scheme val="minor"/>
    </font>
    <font>
      <name val="Arial"/>
      <family val="2"/>
      <b val="1"/>
      <color rgb="FF222222"/>
      <sz val="12"/>
    </font>
    <font>
      <name val="Arial"/>
      <family val="2"/>
      <color rgb="FF643820"/>
      <sz val="10"/>
    </font>
    <font>
      <name val="Helvetica Neue"/>
      <family val="2"/>
      <color rgb="FF1F1F1F"/>
      <sz val="12"/>
    </font>
  </fonts>
  <fills count="15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8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</fills>
  <borders count="1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theme="0"/>
      </bottom>
      <diagonal/>
    </border>
    <border>
      <left/>
      <right/>
      <top style="medium">
        <color indexed="64"/>
      </top>
      <bottom style="thin">
        <color theme="0"/>
      </bottom>
      <diagonal/>
    </border>
    <border>
      <left/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/>
      <diagonal/>
    </border>
    <border>
      <left/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/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1"/>
      </bottom>
      <diagonal/>
    </border>
    <border>
      <left/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theme="0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1" fillId="0" borderId="0"/>
    <xf numFmtId="9" fontId="1" fillId="0" borderId="0"/>
    <xf numFmtId="0" fontId="2" fillId="2" borderId="0"/>
  </cellStyleXfs>
  <cellXfs count="293">
    <xf numFmtId="0" fontId="0" fillId="0" borderId="0" pivotButton="0" quotePrefix="0" xfId="0"/>
    <xf numFmtId="0" fontId="4" fillId="0" borderId="0" applyAlignment="1" pivotButton="0" quotePrefix="0" xfId="0">
      <alignment horizontal="center"/>
    </xf>
    <xf numFmtId="0" fontId="4" fillId="0" borderId="1" applyAlignment="1" pivotButton="0" quotePrefix="0" xfId="0">
      <alignment horizontal="center"/>
    </xf>
    <xf numFmtId="0" fontId="4" fillId="4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10" fontId="6" fillId="0" borderId="0" applyAlignment="1" pivotButton="0" quotePrefix="0" xfId="0">
      <alignment horizontal="center" vertical="center"/>
    </xf>
    <xf numFmtId="2" fontId="4" fillId="4" borderId="1" applyAlignment="1" pivotButton="0" quotePrefix="0" xfId="0">
      <alignment horizontal="center" vertical="center"/>
    </xf>
    <xf numFmtId="2" fontId="4" fillId="0" borderId="0" applyAlignment="1" pivotButton="0" quotePrefix="0" xfId="1">
      <alignment horizontal="center" vertical="center"/>
    </xf>
    <xf numFmtId="2" fontId="4" fillId="0" borderId="0" applyAlignment="1" pivotButton="0" quotePrefix="0" xfId="0">
      <alignment horizontal="center" vertical="center"/>
    </xf>
    <xf numFmtId="164" fontId="4" fillId="0" borderId="0" applyAlignment="1" pivotButton="0" quotePrefix="0" xfId="1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7" fillId="0" borderId="0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5" borderId="10" applyAlignment="1" pivotButton="0" quotePrefix="0" xfId="0">
      <alignment horizontal="center" vertical="center"/>
    </xf>
    <xf numFmtId="0" fontId="5" fillId="5" borderId="11" applyAlignment="1" pivotButton="0" quotePrefix="0" xfId="0">
      <alignment horizontal="center" vertical="center"/>
    </xf>
    <xf numFmtId="0" fontId="4" fillId="4" borderId="2" applyAlignment="1" pivotButton="0" quotePrefix="0" xfId="0">
      <alignment horizontal="center" vertical="center"/>
    </xf>
    <xf numFmtId="0" fontId="4" fillId="4" borderId="4" applyAlignment="1" pivotButton="0" quotePrefix="0" xfId="0">
      <alignment horizontal="center" vertical="center"/>
    </xf>
    <xf numFmtId="10" fontId="6" fillId="0" borderId="8" applyAlignment="1" pivotButton="0" quotePrefix="0" xfId="0">
      <alignment horizontal="center" vertical="center"/>
    </xf>
    <xf numFmtId="0" fontId="4" fillId="0" borderId="4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vertical="center"/>
    </xf>
    <xf numFmtId="0" fontId="6" fillId="0" borderId="0" applyAlignment="1" pivotButton="0" quotePrefix="0" xfId="0">
      <alignment horizontal="center" vertical="center"/>
    </xf>
    <xf numFmtId="0" fontId="10" fillId="0" borderId="0" applyAlignment="1" pivotButton="0" quotePrefix="0" xfId="0">
      <alignment vertical="center"/>
    </xf>
    <xf numFmtId="0" fontId="10" fillId="0" borderId="0" pivotButton="0" quotePrefix="0" xfId="0"/>
    <xf numFmtId="0" fontId="10" fillId="0" borderId="0" applyAlignment="1" pivotButton="0" quotePrefix="0" xfId="0">
      <alignment horizontal="center" vertical="center"/>
    </xf>
    <xf numFmtId="10" fontId="10" fillId="0" borderId="0" pivotButton="0" quotePrefix="0" xfId="0"/>
    <xf numFmtId="0" fontId="10" fillId="0" borderId="0" applyAlignment="1" pivotButton="0" quotePrefix="0" xfId="0">
      <alignment horizontal="center"/>
    </xf>
    <xf numFmtId="0" fontId="3" fillId="6" borderId="21" applyAlignment="1" pivotButton="0" quotePrefix="0" xfId="0">
      <alignment horizontal="center" vertical="center"/>
    </xf>
    <xf numFmtId="10" fontId="3" fillId="6" borderId="22" applyAlignment="1" pivotButton="0" quotePrefix="0" xfId="0">
      <alignment horizontal="center" vertical="center"/>
    </xf>
    <xf numFmtId="0" fontId="11" fillId="8" borderId="19" applyAlignment="1" pivotButton="0" quotePrefix="0" xfId="0">
      <alignment horizontal="center" vertical="center"/>
    </xf>
    <xf numFmtId="2" fontId="12" fillId="0" borderId="25" applyAlignment="1" pivotButton="0" quotePrefix="0" xfId="0">
      <alignment horizontal="center" vertical="center"/>
    </xf>
    <xf numFmtId="0" fontId="12" fillId="0" borderId="0" applyAlignment="1" pivotButton="0" quotePrefix="0" xfId="0">
      <alignment vertical="center"/>
    </xf>
    <xf numFmtId="9" fontId="12" fillId="0" borderId="0" applyAlignment="1" pivotButton="0" quotePrefix="0" xfId="0">
      <alignment horizontal="center" vertical="center"/>
    </xf>
    <xf numFmtId="0" fontId="11" fillId="0" borderId="0" applyAlignment="1" pivotButton="0" quotePrefix="0" xfId="0">
      <alignment horizontal="center" vertical="center"/>
    </xf>
    <xf numFmtId="2" fontId="12" fillId="0" borderId="0" applyAlignment="1" pivotButton="0" quotePrefix="0" xfId="0">
      <alignment horizontal="center" vertical="center"/>
    </xf>
    <xf numFmtId="10" fontId="3" fillId="6" borderId="23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9" fillId="3" borderId="11" applyAlignment="1" pivotButton="0" quotePrefix="0" xfId="0">
      <alignment horizontal="center" vertical="center"/>
    </xf>
    <xf numFmtId="0" fontId="4" fillId="0" borderId="23" applyAlignment="1" pivotButton="0" quotePrefix="0" xfId="0">
      <alignment horizontal="center"/>
    </xf>
    <xf numFmtId="0" fontId="8" fillId="3" borderId="11" applyAlignment="1" pivotButton="0" quotePrefix="0" xfId="0">
      <alignment horizontal="center" vertical="center"/>
    </xf>
    <xf numFmtId="0" fontId="3" fillId="6" borderId="29" applyAlignment="1" pivotButton="0" quotePrefix="0" xfId="0">
      <alignment vertical="center"/>
    </xf>
    <xf numFmtId="0" fontId="3" fillId="6" borderId="22" applyAlignment="1" pivotButton="0" quotePrefix="0" xfId="0">
      <alignment horizontal="center" vertical="center"/>
    </xf>
    <xf numFmtId="10" fontId="6" fillId="0" borderId="1" applyAlignment="1" pivotButton="0" quotePrefix="0" xfId="0">
      <alignment horizontal="center" vertical="center"/>
    </xf>
    <xf numFmtId="10" fontId="10" fillId="7" borderId="32" applyAlignment="1" pivotButton="0" quotePrefix="0" xfId="0">
      <alignment horizontal="center" vertical="center"/>
    </xf>
    <xf numFmtId="10" fontId="6" fillId="0" borderId="5" applyAlignment="1" pivotButton="0" quotePrefix="0" xfId="0">
      <alignment horizontal="center" vertical="center"/>
    </xf>
    <xf numFmtId="10" fontId="6" fillId="0" borderId="7" applyAlignment="1" pivotButton="0" quotePrefix="0" xfId="0">
      <alignment horizontal="center" vertical="center"/>
    </xf>
    <xf numFmtId="10" fontId="6" fillId="0" borderId="9" applyAlignment="1" pivotButton="0" quotePrefix="0" xfId="0">
      <alignment horizontal="center" vertical="center"/>
    </xf>
    <xf numFmtId="10" fontId="6" fillId="0" borderId="13" applyAlignment="1" pivotButton="0" quotePrefix="0" xfId="0">
      <alignment horizontal="center" vertical="center"/>
    </xf>
    <xf numFmtId="10" fontId="6" fillId="0" borderId="33" applyAlignment="1" pivotButton="0" quotePrefix="0" xfId="0">
      <alignment horizontal="center" vertical="center"/>
    </xf>
    <xf numFmtId="10" fontId="6" fillId="0" borderId="10" applyAlignment="1" pivotButton="0" quotePrefix="0" xfId="0">
      <alignment horizontal="center" vertical="center"/>
    </xf>
    <xf numFmtId="10" fontId="3" fillId="6" borderId="34" applyAlignment="1" pivotButton="0" quotePrefix="0" xfId="0">
      <alignment horizontal="center" vertical="center"/>
    </xf>
    <xf numFmtId="10" fontId="3" fillId="6" borderId="35" applyAlignment="1" pivotButton="0" quotePrefix="0" xfId="0">
      <alignment horizontal="center" vertical="center"/>
    </xf>
    <xf numFmtId="10" fontId="3" fillId="6" borderId="36" applyAlignment="1" pivotButton="0" quotePrefix="0" xfId="0">
      <alignment horizontal="center" vertical="center"/>
    </xf>
    <xf numFmtId="10" fontId="6" fillId="0" borderId="19" applyAlignment="1" pivotButton="0" quotePrefix="0" xfId="0">
      <alignment horizontal="center" vertical="center"/>
    </xf>
    <xf numFmtId="10" fontId="10" fillId="7" borderId="38" applyAlignment="1" pivotButton="0" quotePrefix="0" xfId="0">
      <alignment horizontal="center" vertical="center"/>
    </xf>
    <xf numFmtId="10" fontId="10" fillId="7" borderId="41" applyAlignment="1" pivotButton="0" quotePrefix="0" xfId="0">
      <alignment horizontal="center" vertical="center"/>
    </xf>
    <xf numFmtId="10" fontId="6" fillId="0" borderId="6" applyAlignment="1" pivotButton="0" quotePrefix="0" xfId="0">
      <alignment horizontal="center" vertical="center"/>
    </xf>
    <xf numFmtId="10" fontId="6" fillId="0" borderId="14" applyAlignment="1" pivotButton="0" quotePrefix="0" xfId="0">
      <alignment horizontal="center" vertical="center"/>
    </xf>
    <xf numFmtId="0" fontId="3" fillId="10" borderId="12" applyAlignment="1" pivotButton="0" quotePrefix="0" xfId="0">
      <alignment horizontal="center"/>
    </xf>
    <xf numFmtId="0" fontId="3" fillId="6" borderId="22" applyAlignment="1" pivotButton="0" quotePrefix="0" xfId="0">
      <alignment horizontal="center"/>
    </xf>
    <xf numFmtId="0" fontId="3" fillId="6" borderId="44" applyAlignment="1" pivotButton="0" quotePrefix="0" xfId="0">
      <alignment horizontal="center" vertical="center"/>
    </xf>
    <xf numFmtId="0" fontId="3" fillId="6" borderId="45" applyAlignment="1" pivotButton="0" quotePrefix="0" xfId="0">
      <alignment horizontal="center" vertical="center"/>
    </xf>
    <xf numFmtId="0" fontId="3" fillId="6" borderId="46" applyAlignment="1" pivotButton="0" quotePrefix="0" xfId="0">
      <alignment horizontal="center" vertical="center"/>
    </xf>
    <xf numFmtId="10" fontId="3" fillId="6" borderId="46" applyAlignment="1" pivotButton="0" quotePrefix="0" xfId="0">
      <alignment horizontal="center" vertical="center"/>
    </xf>
    <xf numFmtId="10" fontId="3" fillId="6" borderId="56" applyAlignment="1" pivotButton="0" quotePrefix="0" xfId="0">
      <alignment horizontal="center" vertical="center"/>
    </xf>
    <xf numFmtId="10" fontId="10" fillId="0" borderId="59" applyAlignment="1" pivotButton="0" quotePrefix="0" xfId="0">
      <alignment horizontal="center" vertical="center"/>
    </xf>
    <xf numFmtId="10" fontId="10" fillId="0" borderId="6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left"/>
    </xf>
    <xf numFmtId="0" fontId="13" fillId="12" borderId="1" applyAlignment="1" pivotButton="0" quotePrefix="0" xfId="0">
      <alignment horizontal="center"/>
    </xf>
    <xf numFmtId="0" fontId="13" fillId="12" borderId="4" applyAlignment="1" pivotButton="0" quotePrefix="0" xfId="0">
      <alignment horizontal="center"/>
    </xf>
    <xf numFmtId="0" fontId="8" fillId="0" borderId="0" applyAlignment="1" pivotButton="0" quotePrefix="0" xfId="0">
      <alignment horizontal="center"/>
    </xf>
    <xf numFmtId="0" fontId="0" fillId="0" borderId="0" applyAlignment="1" pivotButton="0" quotePrefix="0" xfId="0">
      <alignment vertical="center"/>
    </xf>
    <xf numFmtId="0" fontId="0" fillId="0" borderId="1" applyAlignment="1" pivotButton="0" quotePrefix="0" xfId="0">
      <alignment horizontal="center"/>
    </xf>
    <xf numFmtId="2" fontId="14" fillId="0" borderId="0" applyAlignment="1" pivotButton="0" quotePrefix="0" xfId="0">
      <alignment horizontal="center"/>
    </xf>
    <xf numFmtId="0" fontId="14" fillId="0" borderId="0" applyAlignment="1" pivotButton="0" quotePrefix="0" xfId="0">
      <alignment horizontal="center"/>
    </xf>
    <xf numFmtId="165" fontId="14" fillId="0" borderId="0" applyAlignment="1" pivotButton="0" quotePrefix="0" xfId="0">
      <alignment horizontal="center"/>
    </xf>
    <xf numFmtId="0" fontId="8" fillId="0" borderId="0" pivotButton="0" quotePrefix="0" xfId="0"/>
    <xf numFmtId="10" fontId="0" fillId="0" borderId="0" applyAlignment="1" pivotButton="0" quotePrefix="0" xfId="0">
      <alignment vertical="center"/>
    </xf>
    <xf numFmtId="0" fontId="13" fillId="0" borderId="0" applyAlignment="1" pivotButton="0" quotePrefix="0" xfId="0">
      <alignment horizontal="center"/>
    </xf>
    <xf numFmtId="10" fontId="10" fillId="0" borderId="0" applyAlignment="1" pivotButton="0" quotePrefix="0" xfId="0">
      <alignment horizontal="center" vertical="center"/>
    </xf>
    <xf numFmtId="10" fontId="10" fillId="7" borderId="63" applyAlignment="1" pivotButton="0" quotePrefix="0" xfId="0">
      <alignment horizontal="center" vertical="center"/>
    </xf>
    <xf numFmtId="10" fontId="3" fillId="6" borderId="64" applyAlignment="1" pivotButton="0" quotePrefix="0" xfId="0">
      <alignment horizontal="center" vertical="center"/>
    </xf>
    <xf numFmtId="0" fontId="10" fillId="0" borderId="62" applyAlignment="1" pivotButton="0" quotePrefix="0" xfId="0">
      <alignment horizontal="center" vertical="center"/>
    </xf>
    <xf numFmtId="0" fontId="3" fillId="10" borderId="69" applyAlignment="1" pivotButton="0" quotePrefix="0" xfId="0">
      <alignment horizontal="center" vertical="center"/>
    </xf>
    <xf numFmtId="0" fontId="3" fillId="10" borderId="2" applyAlignment="1" pivotButton="0" quotePrefix="0" xfId="0">
      <alignment horizontal="center" vertical="center"/>
    </xf>
    <xf numFmtId="0" fontId="3" fillId="10" borderId="70" applyAlignment="1" pivotButton="0" quotePrefix="0" xfId="0">
      <alignment horizontal="center" vertical="center"/>
    </xf>
    <xf numFmtId="0" fontId="3" fillId="6" borderId="2" applyAlignment="1" pivotButton="0" quotePrefix="0" xfId="0">
      <alignment horizontal="center" vertical="center"/>
    </xf>
    <xf numFmtId="0" fontId="3" fillId="10" borderId="18" applyAlignment="1" pivotButton="0" quotePrefix="0" xfId="0">
      <alignment vertical="center" textRotation="90" wrapText="1"/>
    </xf>
    <xf numFmtId="10" fontId="3" fillId="10" borderId="62" applyAlignment="1" pivotButton="0" quotePrefix="0" xfId="0">
      <alignment horizontal="center" vertical="center"/>
    </xf>
    <xf numFmtId="0" fontId="15" fillId="6" borderId="22" applyAlignment="1" pivotButton="0" quotePrefix="0" xfId="0">
      <alignment horizontal="center"/>
    </xf>
    <xf numFmtId="0" fontId="15" fillId="6" borderId="22" applyAlignment="1" pivotButton="0" quotePrefix="0" xfId="0">
      <alignment horizontal="center" vertical="center"/>
    </xf>
    <xf numFmtId="0" fontId="15" fillId="6" borderId="46" applyAlignment="1" pivotButton="0" quotePrefix="0" xfId="0">
      <alignment horizontal="center" vertical="center"/>
    </xf>
    <xf numFmtId="0" fontId="5" fillId="13" borderId="1" applyAlignment="1" pivotButton="0" quotePrefix="0" xfId="0">
      <alignment horizontal="center" vertical="center"/>
    </xf>
    <xf numFmtId="0" fontId="5" fillId="13" borderId="6" applyAlignment="1" pivotButton="0" quotePrefix="0" xfId="0">
      <alignment horizontal="center" vertical="center"/>
    </xf>
    <xf numFmtId="0" fontId="5" fillId="13" borderId="8" applyAlignment="1" pivotButton="0" quotePrefix="0" xfId="0">
      <alignment horizontal="center" vertical="center"/>
    </xf>
    <xf numFmtId="0" fontId="16" fillId="13" borderId="6" applyAlignment="1" pivotButton="0" quotePrefix="0" xfId="0">
      <alignment horizontal="center"/>
    </xf>
    <xf numFmtId="0" fontId="16" fillId="13" borderId="7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16" fillId="13" borderId="9" applyAlignment="1" pivotButton="0" quotePrefix="0" xfId="0">
      <alignment horizontal="center"/>
    </xf>
    <xf numFmtId="10" fontId="6" fillId="0" borderId="62" applyAlignment="1" pivotButton="0" quotePrefix="0" xfId="0">
      <alignment horizontal="center" vertical="center"/>
    </xf>
    <xf numFmtId="10" fontId="6" fillId="0" borderId="11" applyAlignment="1" pivotButton="0" quotePrefix="0" xfId="0">
      <alignment horizontal="center" vertical="center"/>
    </xf>
    <xf numFmtId="10" fontId="6" fillId="0" borderId="18" applyAlignment="1" pivotButton="0" quotePrefix="0" xfId="0">
      <alignment horizontal="center" vertical="center"/>
    </xf>
    <xf numFmtId="10" fontId="3" fillId="6" borderId="32" applyAlignment="1" pivotButton="0" quotePrefix="0" xfId="0">
      <alignment horizontal="center" vertical="center"/>
    </xf>
    <xf numFmtId="10" fontId="3" fillId="6" borderId="41" applyAlignment="1" pivotButton="0" quotePrefix="0" xfId="0">
      <alignment horizontal="center" vertical="center"/>
    </xf>
    <xf numFmtId="0" fontId="3" fillId="10" borderId="20" applyAlignment="1" pivotButton="0" quotePrefix="0" xfId="0">
      <alignment horizontal="center" vertical="center"/>
    </xf>
    <xf numFmtId="0" fontId="3" fillId="6" borderId="76" applyAlignment="1" pivotButton="0" quotePrefix="0" xfId="0">
      <alignment horizontal="center" vertical="center"/>
    </xf>
    <xf numFmtId="10" fontId="6" fillId="0" borderId="75" applyAlignment="1" pivotButton="0" quotePrefix="0" xfId="0">
      <alignment horizontal="center" vertical="center"/>
    </xf>
    <xf numFmtId="10" fontId="6" fillId="0" borderId="77" applyAlignment="1" pivotButton="0" quotePrefix="0" xfId="0">
      <alignment horizontal="center" vertical="center"/>
    </xf>
    <xf numFmtId="0" fontId="3" fillId="6" borderId="79" applyAlignment="1" pivotButton="0" quotePrefix="0" xfId="0">
      <alignment horizontal="center" vertical="center"/>
    </xf>
    <xf numFmtId="10" fontId="6" fillId="0" borderId="78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10" borderId="68" applyAlignment="1" pivotButton="0" quotePrefix="0" xfId="0">
      <alignment horizontal="center" vertical="center"/>
    </xf>
    <xf numFmtId="0" fontId="10" fillId="0" borderId="66" applyAlignment="1" pivotButton="0" quotePrefix="0" xfId="0">
      <alignment horizontal="center" vertical="center"/>
    </xf>
    <xf numFmtId="0" fontId="18" fillId="0" borderId="0" applyAlignment="1" pivotButton="0" quotePrefix="0" xfId="0">
      <alignment horizontal="right"/>
    </xf>
    <xf numFmtId="0" fontId="17" fillId="0" borderId="0" applyAlignment="1" pivotButton="0" quotePrefix="0" xfId="0">
      <alignment horizontal="right"/>
    </xf>
    <xf numFmtId="0" fontId="6" fillId="5" borderId="11" applyAlignment="1" pivotButton="0" quotePrefix="0" xfId="0">
      <alignment horizontal="center" vertical="center"/>
    </xf>
    <xf numFmtId="0" fontId="5" fillId="13" borderId="11" applyAlignment="1" pivotButton="0" quotePrefix="0" xfId="0">
      <alignment horizontal="center" vertical="center"/>
    </xf>
    <xf numFmtId="0" fontId="4" fillId="6" borderId="0" applyAlignment="1" pivotButton="0" quotePrefix="0" xfId="0">
      <alignment horizontal="center" vertical="center"/>
    </xf>
    <xf numFmtId="166" fontId="4" fillId="0" borderId="0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14" applyAlignment="1" pivotButton="0" quotePrefix="0" xfId="0">
      <alignment horizontal="center" vertical="center"/>
    </xf>
    <xf numFmtId="167" fontId="4" fillId="0" borderId="0" applyAlignment="1" pivotButton="0" quotePrefix="0" xfId="0">
      <alignment horizontal="center" vertical="center"/>
    </xf>
    <xf numFmtId="0" fontId="6" fillId="0" borderId="6" applyAlignment="1" pivotButton="0" quotePrefix="0" xfId="1">
      <alignment horizontal="center" vertical="center"/>
    </xf>
    <xf numFmtId="0" fontId="6" fillId="0" borderId="1" applyAlignment="1" pivotButton="0" quotePrefix="0" xfId="1">
      <alignment horizontal="center" vertical="center"/>
    </xf>
    <xf numFmtId="0" fontId="6" fillId="0" borderId="11" applyAlignment="1" pivotButton="0" quotePrefix="0" xfId="0">
      <alignment horizontal="center" vertical="center"/>
    </xf>
    <xf numFmtId="0" fontId="6" fillId="0" borderId="80" applyAlignment="1" pivotButton="0" quotePrefix="0" xfId="0">
      <alignment horizontal="center" vertical="center"/>
    </xf>
    <xf numFmtId="0" fontId="6" fillId="0" borderId="77" applyAlignment="1" pivotButton="0" quotePrefix="0" xfId="0">
      <alignment horizontal="center" vertical="center"/>
    </xf>
    <xf numFmtId="168" fontId="4" fillId="0" borderId="23" applyAlignment="1" pivotButton="0" quotePrefix="0" xfId="0">
      <alignment horizontal="center"/>
    </xf>
    <xf numFmtId="168" fontId="4" fillId="5" borderId="23" applyAlignment="1" pivotButton="0" quotePrefix="0" xfId="0">
      <alignment horizontal="center"/>
    </xf>
    <xf numFmtId="168" fontId="4" fillId="14" borderId="23" applyAlignment="1" pivotButton="0" quotePrefix="0" xfId="0">
      <alignment horizontal="center"/>
    </xf>
    <xf numFmtId="168" fontId="4" fillId="0" borderId="0" applyAlignment="1" pivotButton="0" quotePrefix="0" xfId="0">
      <alignment horizontal="center"/>
    </xf>
    <xf numFmtId="0" fontId="19" fillId="0" borderId="0" pivotButton="0" quotePrefix="0" xfId="0"/>
    <xf numFmtId="168" fontId="4" fillId="3" borderId="1" applyAlignment="1" pivotButton="0" quotePrefix="0" xfId="0">
      <alignment horizontal="center" vertical="center"/>
    </xf>
    <xf numFmtId="168" fontId="4" fillId="3" borderId="11" applyAlignment="1" pivotButton="0" quotePrefix="0" xfId="0">
      <alignment horizontal="center" vertical="center"/>
    </xf>
    <xf numFmtId="168" fontId="5" fillId="13" borderId="1" applyAlignment="1" pivotButton="0" quotePrefix="0" xfId="0">
      <alignment horizontal="center" vertical="center"/>
    </xf>
    <xf numFmtId="168" fontId="5" fillId="13" borderId="1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4" fillId="3" borderId="11" applyAlignment="1" pivotButton="0" quotePrefix="0" xfId="0">
      <alignment horizontal="center" vertical="center"/>
    </xf>
    <xf numFmtId="169" fontId="4" fillId="0" borderId="23" applyAlignment="1" pivotButton="0" quotePrefix="0" xfId="0">
      <alignment horizontal="center"/>
    </xf>
    <xf numFmtId="169" fontId="4" fillId="5" borderId="23" applyAlignment="1" pivotButton="0" quotePrefix="0" xfId="0">
      <alignment horizontal="center"/>
    </xf>
    <xf numFmtId="169" fontId="4" fillId="14" borderId="23" applyAlignment="1" pivotButton="0" quotePrefix="0" xfId="0">
      <alignment horizontal="center"/>
    </xf>
    <xf numFmtId="169" fontId="4" fillId="0" borderId="0" applyAlignment="1" pivotButton="0" quotePrefix="0" xfId="0">
      <alignment horizontal="center"/>
    </xf>
    <xf numFmtId="169" fontId="5" fillId="13" borderId="1" applyAlignment="1" pivotButton="0" quotePrefix="0" xfId="0">
      <alignment horizontal="center" vertical="center"/>
    </xf>
    <xf numFmtId="169" fontId="5" fillId="13" borderId="11" applyAlignment="1" pivotButton="0" quotePrefix="0" xfId="0">
      <alignment horizontal="center" vertical="center"/>
    </xf>
    <xf numFmtId="168" fontId="6" fillId="3" borderId="11" applyAlignment="1" pivotButton="0" quotePrefix="0" xfId="0">
      <alignment horizontal="center" vertical="center"/>
    </xf>
    <xf numFmtId="168" fontId="5" fillId="13" borderId="6" applyAlignment="1" pivotButton="0" quotePrefix="0" xfId="0">
      <alignment horizontal="center" vertical="center"/>
    </xf>
    <xf numFmtId="168" fontId="16" fillId="13" borderId="6" applyAlignment="1" pivotButton="0" quotePrefix="0" xfId="0">
      <alignment horizontal="center"/>
    </xf>
    <xf numFmtId="168" fontId="16" fillId="13" borderId="7" applyAlignment="1" pivotButton="0" quotePrefix="0" xfId="0">
      <alignment horizont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/>
    </xf>
    <xf numFmtId="168" fontId="4" fillId="0" borderId="1" applyAlignment="1" pivotButton="0" quotePrefix="0" xfId="0">
      <alignment horizontal="center"/>
    </xf>
    <xf numFmtId="168" fontId="9" fillId="3" borderId="11" applyAlignment="1" pivotButton="0" quotePrefix="0" xfId="0">
      <alignment horizontal="center" vertical="center"/>
    </xf>
    <xf numFmtId="168" fontId="8" fillId="3" borderId="11" applyAlignment="1" pivotButton="0" quotePrefix="0" xfId="0">
      <alignment horizontal="center" vertical="center"/>
    </xf>
    <xf numFmtId="168" fontId="4" fillId="0" borderId="32" applyAlignment="1" pivotButton="0" quotePrefix="0" xfId="0">
      <alignment horizontal="center"/>
    </xf>
    <xf numFmtId="0" fontId="4" fillId="0" borderId="11" applyAlignment="1" pivotButton="0" quotePrefix="0" xfId="0">
      <alignment horizontal="center"/>
    </xf>
    <xf numFmtId="1" fontId="4" fillId="0" borderId="0" applyAlignment="1" pivotButton="0" quotePrefix="0" xfId="0">
      <alignment horizontal="center"/>
    </xf>
    <xf numFmtId="1" fontId="4" fillId="0" borderId="0" applyAlignment="1" pivotButton="0" quotePrefix="0" xfId="0">
      <alignment horizontal="center" vertical="center"/>
    </xf>
    <xf numFmtId="1" fontId="4" fillId="6" borderId="0" applyAlignment="1" pivotButton="0" quotePrefix="0" xfId="1">
      <alignment horizontal="center" vertical="center"/>
    </xf>
    <xf numFmtId="3" fontId="0" fillId="0" borderId="0" pivotButton="0" quotePrefix="0" xfId="0"/>
    <xf numFmtId="3" fontId="20" fillId="0" borderId="0" pivotButton="0" quotePrefix="0" xfId="0"/>
    <xf numFmtId="0" fontId="17" fillId="0" borderId="0" pivotButton="0" quotePrefix="0" xfId="0"/>
    <xf numFmtId="0" fontId="17" fillId="0" borderId="0" applyAlignment="1" pivotButton="0" quotePrefix="0" xfId="0">
      <alignment horizontal="left"/>
    </xf>
    <xf numFmtId="9" fontId="0" fillId="0" borderId="0" applyAlignment="1" pivotButton="0" quotePrefix="0" xfId="1">
      <alignment horizontal="left" vertical="center"/>
    </xf>
    <xf numFmtId="0" fontId="3" fillId="6" borderId="45" applyAlignment="1" pivotButton="0" quotePrefix="0" xfId="0">
      <alignment horizontal="center" vertical="center"/>
    </xf>
    <xf numFmtId="0" fontId="0" fillId="0" borderId="30" pivotButton="0" quotePrefix="0" xfId="0"/>
    <xf numFmtId="0" fontId="0" fillId="0" borderId="52" pivotButton="0" quotePrefix="0" xfId="0"/>
    <xf numFmtId="0" fontId="3" fillId="6" borderId="21" applyAlignment="1" pivotButton="0" quotePrefix="0" xfId="0">
      <alignment horizontal="center" vertical="center"/>
    </xf>
    <xf numFmtId="0" fontId="0" fillId="0" borderId="31" pivotButton="0" quotePrefix="0" xfId="0"/>
    <xf numFmtId="10" fontId="3" fillId="6" borderId="21" applyAlignment="1" pivotButton="0" quotePrefix="0" xfId="0">
      <alignment horizontal="center" vertical="center"/>
    </xf>
    <xf numFmtId="0" fontId="3" fillId="9" borderId="40" applyAlignment="1" pivotButton="0" quotePrefix="0" xfId="0">
      <alignment horizontal="center" vertical="center"/>
    </xf>
    <xf numFmtId="0" fontId="0" fillId="0" borderId="54" pivotButton="0" quotePrefix="0" xfId="0"/>
    <xf numFmtId="0" fontId="0" fillId="0" borderId="55" pivotButton="0" quotePrefix="0" xfId="0"/>
    <xf numFmtId="10" fontId="3" fillId="6" borderId="87" applyAlignment="1" pivotButton="0" quotePrefix="0" xfId="0">
      <alignment horizontal="center" vertical="center"/>
    </xf>
    <xf numFmtId="0" fontId="0" fillId="0" borderId="51" pivotButton="0" quotePrefix="0" xfId="0"/>
    <xf numFmtId="0" fontId="0" fillId="0" borderId="53" pivotButton="0" quotePrefix="0" xfId="0"/>
    <xf numFmtId="10" fontId="6" fillId="0" borderId="1" applyAlignment="1" pivotButton="0" quotePrefix="0" xfId="0">
      <alignment horizontal="center" vertical="center"/>
    </xf>
    <xf numFmtId="0" fontId="0" fillId="0" borderId="62" pivotButton="0" quotePrefix="0" xfId="0"/>
    <xf numFmtId="0" fontId="0" fillId="0" borderId="19" pivotButton="0" quotePrefix="0" xfId="0"/>
    <xf numFmtId="10" fontId="6" fillId="0" borderId="6" applyAlignment="1" pivotButton="0" quotePrefix="0" xfId="0">
      <alignment horizontal="center" vertical="center"/>
    </xf>
    <xf numFmtId="0" fontId="3" fillId="6" borderId="44" applyAlignment="1" pivotButton="0" quotePrefix="0" xfId="0">
      <alignment horizontal="center" vertical="center"/>
    </xf>
    <xf numFmtId="0" fontId="0" fillId="0" borderId="49" pivotButton="0" quotePrefix="0" xfId="0"/>
    <xf numFmtId="0" fontId="0" fillId="0" borderId="50" pivotButton="0" quotePrefix="0" xfId="0"/>
    <xf numFmtId="10" fontId="6" fillId="0" borderId="7" applyAlignment="1" pivotButton="0" quotePrefix="0" xfId="0">
      <alignment horizontal="center" vertical="center"/>
    </xf>
    <xf numFmtId="0" fontId="0" fillId="0" borderId="66" pivotButton="0" quotePrefix="0" xfId="0"/>
    <xf numFmtId="0" fontId="0" fillId="0" borderId="84" pivotButton="0" quotePrefix="0" xfId="0"/>
    <xf numFmtId="10" fontId="6" fillId="0" borderId="9" applyAlignment="1" pivotButton="0" quotePrefix="0" xfId="0">
      <alignment horizontal="center" vertical="center"/>
    </xf>
    <xf numFmtId="0" fontId="6" fillId="0" borderId="9" applyAlignment="1" pivotButton="0" quotePrefix="0" xfId="0">
      <alignment horizontal="center" vertical="center"/>
    </xf>
    <xf numFmtId="10" fontId="6" fillId="0" borderId="80" applyAlignment="1" pivotButton="0" quotePrefix="0" xfId="0">
      <alignment horizontal="center" vertical="center"/>
    </xf>
    <xf numFmtId="0" fontId="3" fillId="6" borderId="72" applyAlignment="1" pivotButton="0" quotePrefix="0" xfId="0">
      <alignment horizontal="center" vertical="center"/>
    </xf>
    <xf numFmtId="0" fontId="0" fillId="0" borderId="73" pivotButton="0" quotePrefix="0" xfId="0"/>
    <xf numFmtId="10" fontId="3" fillId="6" borderId="22" applyAlignment="1" pivotButton="0" quotePrefix="0" xfId="0">
      <alignment horizontal="center" vertical="center"/>
    </xf>
    <xf numFmtId="0" fontId="0" fillId="0" borderId="65" pivotButton="0" quotePrefix="0" xfId="0"/>
    <xf numFmtId="10" fontId="3" fillId="6" borderId="78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85" pivotButton="0" quotePrefix="0" xfId="0"/>
    <xf numFmtId="10" fontId="3" fillId="6" borderId="47" applyAlignment="1" pivotButton="0" quotePrefix="0" xfId="0">
      <alignment horizontal="center" vertical="center"/>
    </xf>
    <xf numFmtId="0" fontId="6" fillId="0" borderId="7" applyAlignment="1" pivotButton="0" quotePrefix="0" xfId="0">
      <alignment horizontal="center" vertical="center"/>
    </xf>
    <xf numFmtId="10" fontId="3" fillId="10" borderId="42" applyAlignment="1" pivotButton="0" quotePrefix="0" xfId="0">
      <alignment horizontal="center" vertical="center"/>
    </xf>
    <xf numFmtId="0" fontId="0" fillId="0" borderId="86" pivotButton="0" quotePrefix="0" xfId="0"/>
    <xf numFmtId="0" fontId="3" fillId="6" borderId="43" applyAlignment="1" pivotButton="0" quotePrefix="0" xfId="0">
      <alignment horizontal="center"/>
    </xf>
    <xf numFmtId="0" fontId="0" fillId="0" borderId="88" pivotButton="0" quotePrefix="0" xfId="0"/>
    <xf numFmtId="10" fontId="3" fillId="10" borderId="8" applyAlignment="1" pivotButton="0" quotePrefix="0" xfId="0">
      <alignment horizontal="center" vertical="center"/>
    </xf>
    <xf numFmtId="10" fontId="3" fillId="10" borderId="5" applyAlignment="1" pivotButton="0" quotePrefix="0" xfId="0">
      <alignment horizontal="center" vertical="center"/>
    </xf>
    <xf numFmtId="0" fontId="3" fillId="6" borderId="21" applyAlignment="1" pivotButton="0" quotePrefix="0" xfId="0">
      <alignment horizontal="center"/>
    </xf>
    <xf numFmtId="0" fontId="6" fillId="0" borderId="81" applyAlignment="1" pivotButton="0" quotePrefix="0" xfId="0">
      <alignment horizontal="center" vertical="center"/>
    </xf>
    <xf numFmtId="10" fontId="6" fillId="0" borderId="81" applyAlignment="1" pivotButton="0" quotePrefix="0" xfId="0">
      <alignment horizontal="center" vertical="center"/>
    </xf>
    <xf numFmtId="10" fontId="10" fillId="0" borderId="39" applyAlignment="1" pivotButton="0" quotePrefix="0" xfId="0">
      <alignment horizontal="center" vertical="center"/>
    </xf>
    <xf numFmtId="0" fontId="0" fillId="0" borderId="94" pivotButton="0" quotePrefix="0" xfId="0"/>
    <xf numFmtId="10" fontId="3" fillId="10" borderId="92" applyAlignment="1" pivotButton="0" quotePrefix="0" xfId="0">
      <alignment horizontal="center" vertical="center"/>
    </xf>
    <xf numFmtId="0" fontId="0" fillId="0" borderId="67" pivotButton="0" quotePrefix="0" xfId="0"/>
    <xf numFmtId="0" fontId="11" fillId="8" borderId="95" applyAlignment="1" pivotButton="0" quotePrefix="0" xfId="0">
      <alignment horizontal="center" vertical="center"/>
    </xf>
    <xf numFmtId="0" fontId="0" fillId="0" borderId="26" pivotButton="0" quotePrefix="0" xfId="0"/>
    <xf numFmtId="0" fontId="0" fillId="0" borderId="27" pivotButton="0" quotePrefix="0" xfId="0"/>
    <xf numFmtId="0" fontId="0" fillId="0" borderId="28" pivotButton="0" quotePrefix="0" xfId="0"/>
    <xf numFmtId="10" fontId="3" fillId="10" borderId="17" applyAlignment="1" pivotButton="0" quotePrefix="0" xfId="0">
      <alignment horizontal="center" vertical="center"/>
    </xf>
    <xf numFmtId="0" fontId="6" fillId="0" borderId="7" applyAlignment="1" pivotButton="0" quotePrefix="0" xfId="1">
      <alignment horizontal="center" vertical="center"/>
    </xf>
    <xf numFmtId="10" fontId="3" fillId="6" borderId="42" applyAlignment="1" pivotButton="0" quotePrefix="0" xfId="0">
      <alignment horizontal="center" vertical="center"/>
    </xf>
    <xf numFmtId="0" fontId="11" fillId="8" borderId="89" applyAlignment="1" pivotButton="0" quotePrefix="0" xfId="0">
      <alignment horizontal="center" vertical="center"/>
    </xf>
    <xf numFmtId="0" fontId="0" fillId="0" borderId="24" pivotButton="0" quotePrefix="0" xfId="0"/>
    <xf numFmtId="0" fontId="3" fillId="10" borderId="93" applyAlignment="1" pivotButton="0" quotePrefix="0" xfId="0">
      <alignment horizontal="center" vertical="center" textRotation="90" wrapText="1"/>
    </xf>
    <xf numFmtId="0" fontId="0" fillId="0" borderId="15" pivotButton="0" quotePrefix="0" xfId="0"/>
    <xf numFmtId="0" fontId="0" fillId="0" borderId="16" pivotButton="0" quotePrefix="0" xfId="0"/>
    <xf numFmtId="0" fontId="3" fillId="6" borderId="91" applyAlignment="1" pivotButton="0" quotePrefix="0" xfId="0">
      <alignment horizontal="center" vertical="center"/>
    </xf>
    <xf numFmtId="0" fontId="0" fillId="0" borderId="83" pivotButton="0" quotePrefix="0" xfId="0"/>
    <xf numFmtId="0" fontId="3" fillId="9" borderId="35" applyAlignment="1" pivotButton="0" quotePrefix="0" xfId="0">
      <alignment horizontal="center" vertical="center"/>
    </xf>
    <xf numFmtId="0" fontId="0" fillId="0" borderId="57" pivotButton="0" quotePrefix="0" xfId="0"/>
    <xf numFmtId="0" fontId="0" fillId="0" borderId="58" pivotButton="0" quotePrefix="0" xfId="0"/>
    <xf numFmtId="0" fontId="3" fillId="6" borderId="48" applyAlignment="1" pivotButton="0" quotePrefix="0" xfId="0">
      <alignment horizontal="center" vertical="center"/>
    </xf>
    <xf numFmtId="10" fontId="10" fillId="0" borderId="37" applyAlignment="1" pivotButton="0" quotePrefix="0" xfId="0">
      <alignment horizontal="center" vertical="center"/>
    </xf>
    <xf numFmtId="0" fontId="3" fillId="9" borderId="58" applyAlignment="1" pivotButton="0" quotePrefix="0" xfId="0">
      <alignment horizontal="center" vertical="center"/>
    </xf>
    <xf numFmtId="0" fontId="13" fillId="12" borderId="1" applyAlignment="1" pivotButton="0" quotePrefix="0" xfId="0">
      <alignment horizontal="center"/>
    </xf>
    <xf numFmtId="0" fontId="0" fillId="0" borderId="3" pivotButton="0" quotePrefix="0" xfId="0"/>
    <xf numFmtId="0" fontId="0" fillId="0" borderId="4" pivotButton="0" quotePrefix="0" xfId="0"/>
    <xf numFmtId="0" fontId="4" fillId="0" borderId="61" applyAlignment="1" pivotButton="0" quotePrefix="0" xfId="0">
      <alignment horizontal="center" vertical="center"/>
    </xf>
    <xf numFmtId="0" fontId="0" fillId="0" borderId="61" pivotButton="0" quotePrefix="0" xfId="0"/>
    <xf numFmtId="0" fontId="4" fillId="0" borderId="23" applyAlignment="1" pivotButton="0" quotePrefix="0" xfId="0">
      <alignment horizontal="center" vertical="center"/>
    </xf>
    <xf numFmtId="0" fontId="0" fillId="0" borderId="97" pivotButton="0" quotePrefix="0" xfId="0"/>
    <xf numFmtId="0" fontId="0" fillId="0" borderId="98" pivotButton="0" quotePrefix="0" xfId="0"/>
    <xf numFmtId="0" fontId="0" fillId="11" borderId="0" applyAlignment="1" pivotButton="0" quotePrefix="0" xfId="0">
      <alignment horizontal="center"/>
    </xf>
    <xf numFmtId="0" fontId="0" fillId="0" borderId="0" pivotButton="0" quotePrefix="0" xfId="0"/>
    <xf numFmtId="0" fontId="4" fillId="0" borderId="23" applyAlignment="1" pivotButton="0" quotePrefix="0" xfId="2">
      <alignment horizontal="center" vertical="center"/>
    </xf>
    <xf numFmtId="0" fontId="4" fillId="4" borderId="1" applyAlignment="1" pivotButton="0" quotePrefix="0" xfId="0">
      <alignment horizontal="center" vertical="center"/>
    </xf>
    <xf numFmtId="2" fontId="6" fillId="5" borderId="5" applyAlignment="1" pivotButton="0" quotePrefix="0" xfId="0">
      <alignment horizontal="center" vertical="center" textRotation="90"/>
    </xf>
    <xf numFmtId="0" fontId="5" fillId="1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6" fillId="0" borderId="6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5" fillId="13" borderId="5" applyAlignment="1" pivotButton="0" quotePrefix="0" xfId="0">
      <alignment horizontal="center" vertical="center"/>
    </xf>
    <xf numFmtId="0" fontId="0" fillId="0" borderId="101" pivotButton="0" quotePrefix="0" xfId="0"/>
    <xf numFmtId="0" fontId="0" fillId="0" borderId="102" pivotButton="0" quotePrefix="0" xfId="0"/>
    <xf numFmtId="0" fontId="5" fillId="13" borderId="8" applyAlignment="1" pivotButton="0" quotePrefix="0" xfId="0">
      <alignment horizontal="center" vertical="center"/>
    </xf>
    <xf numFmtId="0" fontId="16" fillId="13" borderId="11" applyAlignment="1" pivotButton="0" quotePrefix="0" xfId="0">
      <alignment horizontal="center"/>
    </xf>
    <xf numFmtId="0" fontId="0" fillId="0" borderId="96" pivotButton="0" quotePrefix="0" xfId="0"/>
    <xf numFmtId="0" fontId="16" fillId="13" borderId="74" applyAlignment="1" pivotButton="0" quotePrefix="0" xfId="0">
      <alignment horizontal="center" vertical="center"/>
    </xf>
    <xf numFmtId="0" fontId="0" fillId="0" borderId="82" pivotButton="0" quotePrefix="0" xfId="0"/>
    <xf numFmtId="2" fontId="6" fillId="5" borderId="8" applyAlignment="1" pivotButton="0" quotePrefix="0" xfId="0">
      <alignment horizontal="center" vertical="center" textRotation="90"/>
    </xf>
    <xf numFmtId="10" fontId="6" fillId="6" borderId="1" applyAlignment="1" pivotButton="0" quotePrefix="0" xfId="0">
      <alignment horizontal="center" vertical="center"/>
    </xf>
    <xf numFmtId="0" fontId="16" fillId="13" borderId="1" applyAlignment="1" pivotButton="0" quotePrefix="0" xfId="0">
      <alignment horizontal="center" vertical="center"/>
    </xf>
    <xf numFmtId="0" fontId="8" fillId="3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/>
    </xf>
    <xf numFmtId="0" fontId="16" fillId="13" borderId="1" applyAlignment="1" pivotButton="0" quotePrefix="0" xfId="0">
      <alignment horizontal="center"/>
    </xf>
    <xf numFmtId="0" fontId="0" fillId="0" borderId="90" pivotButton="0" quotePrefix="0" xfId="0"/>
    <xf numFmtId="0" fontId="0" fillId="0" borderId="99" pivotButton="0" quotePrefix="0" xfId="0"/>
    <xf numFmtId="0" fontId="0" fillId="0" borderId="100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center" vertical="center"/>
    </xf>
    <xf numFmtId="0" fontId="5" fillId="5" borderId="1" applyAlignment="1" pivotButton="0" quotePrefix="0" xfId="0">
      <alignment horizontal="center" vertical="center"/>
    </xf>
    <xf numFmtId="0" fontId="6" fillId="5" borderId="10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5" fillId="5" borderId="5" applyAlignment="1" pivotButton="0" quotePrefix="0" xfId="0">
      <alignment horizontal="center" vertical="center"/>
    </xf>
    <xf numFmtId="10" fontId="6" fillId="6" borderId="6" applyAlignment="1" pivotButton="0" quotePrefix="0" xfId="0">
      <alignment horizontal="center" vertical="center"/>
    </xf>
    <xf numFmtId="0" fontId="5" fillId="5" borderId="8" applyAlignment="1" pivotButton="0" quotePrefix="0" xfId="0">
      <alignment horizontal="center" vertical="center"/>
    </xf>
    <xf numFmtId="0" fontId="5" fillId="13" borderId="10" applyAlignment="1" pivotButton="0" quotePrefix="0" xfId="0">
      <alignment horizontal="center" vertical="center"/>
    </xf>
    <xf numFmtId="0" fontId="16" fillId="13" borderId="9" applyAlignment="1" pivotButton="0" quotePrefix="0" xfId="0">
      <alignment horizontal="center" vertical="center"/>
    </xf>
    <xf numFmtId="0" fontId="0" fillId="0" borderId="71" pivotButton="0" quotePrefix="0" xfId="0"/>
    <xf numFmtId="168" fontId="5" fillId="1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8" fontId="8" fillId="3" borderId="1" applyAlignment="1" pivotButton="0" quotePrefix="0" xfId="0">
      <alignment horizontal="center" vertical="center"/>
    </xf>
    <xf numFmtId="168" fontId="16" fillId="13" borderId="11" applyAlignment="1" pivotButton="0" quotePrefix="0" xfId="0">
      <alignment horizontal="center"/>
    </xf>
    <xf numFmtId="168" fontId="16" fillId="13" borderId="74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 vertical="center"/>
    </xf>
    <xf numFmtId="168" fontId="16" fillId="13" borderId="1" applyAlignment="1" pivotButton="0" quotePrefix="0" xfId="0">
      <alignment horizontal="center"/>
    </xf>
    <xf numFmtId="168" fontId="16" fillId="13" borderId="9" applyAlignment="1" pivotButton="0" quotePrefix="0" xfId="0">
      <alignment horizontal="center" vertical="center"/>
    </xf>
    <xf numFmtId="168" fontId="9" fillId="3" borderId="1" applyAlignment="1" pivotButton="0" quotePrefix="0" xfId="0">
      <alignment horizontal="center" vertical="center"/>
    </xf>
    <xf numFmtId="1" fontId="6" fillId="6" borderId="1" applyAlignment="1" pivotButton="0" quotePrefix="0" xfId="1">
      <alignment horizontal="center" vertical="center"/>
    </xf>
    <xf numFmtId="1" fontId="4" fillId="0" borderId="0" applyAlignment="1" pivotButton="0" quotePrefix="0" xfId="1">
      <alignment horizontal="center" vertical="center"/>
    </xf>
    <xf numFmtId="1" fontId="6" fillId="6" borderId="6" applyAlignment="1" pivotButton="0" quotePrefix="0" xfId="1">
      <alignment horizontal="center" vertical="center"/>
    </xf>
    <xf numFmtId="168" fontId="6" fillId="3" borderId="1" applyAlignment="1" pivotButton="0" quotePrefix="0" xfId="0">
      <alignment horizontal="center" vertical="center"/>
    </xf>
    <xf numFmtId="169" fontId="4" fillId="3" borderId="1" applyAlignment="1" pivotButton="0" quotePrefix="0" xfId="0">
      <alignment horizontal="center" vertical="center"/>
    </xf>
    <xf numFmtId="169" fontId="5" fillId="13" borderId="1" applyAlignment="1" pivotButton="0" quotePrefix="0" xfId="0">
      <alignment horizontal="center" vertical="center"/>
    </xf>
  </cellXfs>
  <cellStyles count="3">
    <cellStyle name="Normal" xfId="0" builtinId="0"/>
    <cellStyle name="Percent" xfId="1" builtinId="5"/>
    <cellStyle name="Neutral" xfId="2" builtinId="28"/>
  </cellStyles>
  <dxfs count="4889"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</dxf>
    <dxf>
      <font>
        <color theme="9" tint="-0.249946592608417"/>
      </font>
    </dxf>
    <dxf>
      <font>
        <color rgb="FF9C0006"/>
      </font>
    </dxf>
    <dxf>
      <font>
        <condense val="0"/>
        <color indexed="8"/>
        <extend val="0"/>
        <sz val="12"/>
      </font>
      <fill>
        <patternFill patternType="solid">
          <fgColor indexed="27"/>
          <bgColor theme="8" tint="0.7999816888943144"/>
        </patternFill>
      </fill>
    </dxf>
    <dxf>
      <font>
        <color theme="0"/>
        <sz val="12"/>
      </font>
      <fill>
        <patternFill patternType="solid">
          <fgColor indexed="29"/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styles" Target="styles.xml" Id="rId14" /><Relationship Type="http://schemas.openxmlformats.org/officeDocument/2006/relationships/theme" Target="theme/theme1.xml" Id="rId15" /><Relationship Type="http://schemas.microsoft.com/office/2006/relationships/vbaProject" Target="vbaProject.bin" Id="rId16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Plots!$BO$5:$BO$70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Plots!$CF$5:$CF$70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Plots!$AG$5:$AG$10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Plots!$AG$11:$AG$16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Plots!$AG$17:$AG$22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Plots!$AG$23:$AG$28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Plots!$AG$29:$AG$34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Plots!$AG$35:$AG$40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Plots!$AX$5:$AX$10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Plots!$AX$11:$AX$16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Plots!$AX$17:$AX$22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Plots!$AX$23:$AX$28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Plots!$AX$29:$AX$34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Plots!$AX$35:$AX$40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50"/>
          <min val="30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Plots!$BP$5:$BP$70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Plots!$CG$5:$CG$70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Plots!$AH$5:$AH$10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Plots!$AH$11:$AH$16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Plots!$AH$17:$AH$22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Plots!$AH$23:$AH$28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Plots!$AH$29:$AH$34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Plots!$AH$35:$AH$40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Plots!$AY$5:$AY$10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Plots!$AY$11:$AY$16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Plots!$AY$17:$AY$22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Plots!$AY$23:$AY$28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Plots!$AY$29:$AY$34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Plots!$AY$35:$AY$40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"/>
          <min val="28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Plots!$BN$5:$BN$70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Plots!$CE$5:$CE$70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 w="12700">
              <a:solidFill>
                <a:srgbClr val="000000"/>
              </a:solidFill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Plots!$AF$5:$AF$10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Plots!$AF$11:$AF$16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Plots!$AF$17:$AF$22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Plots!$AF$23:$AF$28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Plots!$AF$29:$AF$34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Plots!$AF$35:$AF$40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 w="12700">
              <a:solidFill>
                <a:srgbClr val="DD2D32"/>
              </a:solidFill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Plots!$AW$5:$AW$10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Plots!$AW$11:$AW$16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Plots!$AW$17:$AW$22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Plots!$AW$23:$AW$28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Plots!$AW$29:$AW$34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Plots!$AW$35:$AW$40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logBase val="10"/>
          <orientation val="minMax"/>
          <max val="100000"/>
          <min val="10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6"/>
          <min val="25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5778499381792152"/>
          <y val="0.340309468177541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Plots!$BR$5:$BR$70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Plots!$CI$5:$CI$70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Plots!$AJ$5:$AJ$10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Plots!$AJ$11:$AJ$16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Plots!$AJ$17:$AJ$22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Plots!$AJ$23:$AJ$28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Plots!$AJ$29:$AJ$34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Plots!$AJ$35:$AJ$40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Plots!$BA$5:$BA$10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Plots!$BA$11:$BA$16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Plots!$BA$17:$BA$22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Plots!$BA$23:$BA$28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Plots!$BA$29:$BA$34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Plots!$BA$35:$BA$40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30"/>
          <min val="7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log MS-SSIM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Plots!$BS$5:$BS$70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Plots!$CJ$5:$CJ$70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Plots!$AK$5:$AK$10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Plots!$AK$11:$AK$16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Plots!$AK$17:$AK$22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Plots!$AK$23:$AK$28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Plots!$AK$29:$AK$34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Plots!$AK$35:$AK$40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Plots!$BB$5:$BB$10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Plots!$BB$11:$BB$16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Plots!$BB$17:$BB$22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Plots!$BB$23:$BB$28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Plots!$BB$29:$BB$34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Plots!$BB$35:$BB$40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23.5"/>
          <min val="7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MS-SSIM (dB)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Plots!$BT$5:$BT$70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Plots!$CK$5:$CK$70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Plots!$AL$5:$AL$10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Plots!$AL$11:$AL$16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Plots!$AL$17:$AL$22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Plots!$AL$23:$AL$28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Plots!$AL$29:$AL$34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Plots!$AL$35:$AL$40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Plots!$BC$5:$BC$10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Plots!$BC$11:$BC$16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Plots!$BC$17:$BC$22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Plots!$BC$23:$BC$28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Plots!$BC$29:$BC$34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Plots!$BC$35:$BC$40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VMAF-neg vs Bitrate</a:t>
            </a:r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Plots!$BU$5:$BU$70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Plots!$CL$5:$CL$70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Plots!$AM$5:$AM$10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Plots!$AM$11:$AM$16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Plots!$AM$17:$AM$22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Plots!$AM$23:$AM$28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Plots!$AM$29:$AM$34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Plots!$AM$35:$AM$40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Plots!$BD$5:$BD$10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Plots!$BD$11:$BD$16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Plots!$BD$17:$BD$22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Plots!$BD$23:$BD$28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Plots!$BD$29:$BD$34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Plots!$BD$35:$BD$40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100.5"/>
          <min val="3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VMAF neg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0"/>
        <minorUnit val="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PSNR</a:t>
            </a:r>
            <a:r>
              <a:rPr lang="en-US" baseline="0"/>
              <a:t xml:space="preserve"> HVS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Plots!$BV$5:$BV$70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Plots!$CM$5:$CM$70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Plots!$AN$5:$AN$10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Plots!$AN$11:$AN$16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Plots!$AN$17:$AN$22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Plots!$AN$23:$AN$28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Plots!$AN$29:$AN$34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Plots!$AN$35:$AN$40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Plots!$BE$5:$BE$10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Plots!$BE$11:$BE$16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Plots!$BE$17:$BE$22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Plots!$BE$23:$BE$28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Plots!$BE$29:$BE$34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Plots!$BE$35:$BE$40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5"/>
          <min val="21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PSNR</a:t>
                </a:r>
                <a:r>
                  <a:rPr lang="en-US" baseline="0"/>
                  <a:t xml:space="preserve"> HVS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DE2K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Plots!$BW$5:$BW$70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Plots!$CN$5:$CN$70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Plots!$AO$5:$AO$10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Plots!$AO$11:$AO$16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Plots!$AO$17:$AO$22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Plots!$AO$23:$AO$28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Plots!$AO$29:$AO$34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Plots!$AO$35:$AO$40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Plots!$BF$5:$BF$10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Plots!$BF$11:$BF$16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Plots!$BF$17:$BF$22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Plots!$BF$23:$BF$28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Plots!$BF$29:$BF$34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Plots!$BF$35:$BF$40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8"/>
          <min val="29.5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DE2K 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75" b="1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baseline="0"/>
              <a:t>APSNR Y vs Bitrate</a:t>
            </a:r>
            <a:endParaRPr lang="en-US"/>
          </a:p>
        </rich>
      </tx>
      <layout>
        <manualLayout>
          <xMode val="edge"/>
          <yMode val="edge"/>
          <wMode val="factor"/>
          <hMode val="factor"/>
          <x val="0.421487314085739"/>
          <y val="0.0314136433880344"/>
        </manualLayout>
      </layout>
      <overlay val="0"/>
      <spPr>
        <a:noFill/>
        <a:ln w="25400">
          <a:noFill/>
          <a:prstDash val="solid"/>
        </a:ln>
      </spPr>
    </title>
    <plotArea>
      <layout>
        <manualLayout>
          <layoutTarget val="inner"/>
          <xMode val="edge"/>
          <yMode val="edge"/>
          <wMode val="factor"/>
          <hMode val="factor"/>
          <x val="0.0793387949508521"/>
          <y val="0.115183282880784"/>
          <w val="0.874379636020849"/>
          <h val="0.7643981500270191"/>
        </manualLayout>
      </layout>
      <scatterChart>
        <scatterStyle val="smoothMarker"/>
        <varyColors val="0"/>
        <ser>
          <idx val="0"/>
          <order val="0"/>
          <tx>
            <strRef>
              <f>Plots!$AE$2</f>
              <strCache>
                <ptCount val="1"/>
                <pt idx="0">
                  <v>Convex Hull -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Plots!$BM$5:$BM$70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Plots!$BY$5:$BY$70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Plots!$AV$2</f>
              <strCache>
                <ptCount val="1"/>
                <pt idx="0">
                  <v>Convex Hull - Test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Plots!$CD$5:$CD$70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xVal>
          <yVal>
            <numRef>
              <f>Plots!$CO$5:$CO$70</f>
              <numCache>
                <formatCode>General</formatCode>
                <ptCount val="6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Plots!$AC$5</f>
              <strCache>
                <ptCount val="1"/>
                <pt idx="0">
                  <v>3840x2160 Reference</v>
                </pt>
              </strCache>
            </strRef>
          </tx>
          <spPr>
            <a:ln>
              <a:prstDash val="solid"/>
            </a:ln>
          </spPr>
          <marker>
            <symbol val="diamond"/>
            <size val="5"/>
            <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spPr>
          </marker>
          <xVal>
            <numRef>
              <f>Plots!$AE$5:$AE$10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Plots!$AP$5:$AP$10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Plots!$AC$11</f>
              <strCache>
                <ptCount val="1"/>
                <pt idx="0">
                  <v>2560x1440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Plots!$AE$11:$AE$16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Plots!$AP$11:$AP$16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Plots!$AC$17</f>
              <strCache>
                <ptCount val="1"/>
                <pt idx="0">
                  <v>1920x1080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Plots!$AE$17:$AE$22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Plots!$AP$17:$AP$22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Plots!$AC$23</f>
              <strCache>
                <ptCount val="1"/>
                <pt idx="0">
                  <v>1280x720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Plots!$AE$23:$AE$28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Plots!$AP$23:$AP$28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Plots!$AC$29</f>
              <strCache>
                <ptCount val="1"/>
                <pt idx="0">
                  <v>960x540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Plots!$AE$29:$AE$34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Plots!$AP$29:$AP$34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Plots!$AC$35</f>
              <strCache>
                <ptCount val="1"/>
                <pt idx="0">
                  <v>640x360 Reference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Plots!$AE$35:$AE$40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Plots!$AP$35:$AP$40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Plots!$AU$5</f>
              <strCache>
                <ptCount val="1"/>
                <pt idx="0">
                  <v>3840x2160 Test</v>
                </pt>
              </strCache>
            </strRef>
          </tx>
          <spPr>
            <a:ln>
              <a:prstDash val="solid"/>
            </a:ln>
          </spPr>
          <marker>
            <symbol val="square"/>
            <size val="5"/>
            <spPr>
              <a:ln>
                <a:prstDash val="solid"/>
              </a:ln>
            </spPr>
          </marker>
          <xVal>
            <numRef>
              <f>Plots!$AV$5:$AV$10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Plots!$BG$5:$BG$10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Plots!$AU$11</f>
              <strCache>
                <ptCount val="1"/>
                <pt idx="0">
                  <v>2560x1440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Plots!$AV$11:$AV$16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Plots!$BG$11:$BG$16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0"/>
          <order val="10"/>
          <tx>
            <strRef>
              <f>Plots!$AU$17</f>
              <strCache>
                <ptCount val="1"/>
                <pt idx="0">
                  <v>1920x1080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Plots!$AV$17:$AV$22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Plots!$BG$17:$BG$22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1"/>
          <order val="11"/>
          <tx>
            <strRef>
              <f>Plots!$AU$23</f>
              <strCache>
                <ptCount val="1"/>
                <pt idx="0">
                  <v>1280x720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Plots!$AV$23:$AV$28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Plots!$BG$23:$BG$28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Plots!$AU$29</f>
              <strCache>
                <ptCount val="1"/>
                <pt idx="0">
                  <v>960x540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Plots!$AV$29:$AV$34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Plots!$BG$29:$BG$34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ser>
          <idx val="13"/>
          <order val="13"/>
          <tx>
            <strRef>
              <f>Plots!$AU$35</f>
              <strCache>
                <ptCount val="1"/>
                <pt idx="0">
                  <v>640x360 Test</v>
                </pt>
              </strCache>
            </strRef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Plots!$AV$35:$AV$40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xVal>
          <yVal>
            <numRef>
              <f>Plots!$BG$35:$BG$40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241048576"/>
        <axId val="241120384"/>
      </scatterChart>
      <valAx>
        <axId val="241048576"/>
        <scaling>
          <orientation val="minMax"/>
          <max val="54900"/>
          <min val="0"/>
        </scaling>
        <delete val="0"/>
        <axPos val="b"/>
        <majorGridlines/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459503839797803"/>
              <y val="0.929319498614075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120384"/>
        <crosses val="autoZero"/>
        <crossBetween val="midCat"/>
      </valAx>
      <valAx>
        <axId val="241120384"/>
        <scaling>
          <orientation val="minMax"/>
          <max val="49.5"/>
          <min val="30"/>
        </scaling>
        <delete val="0"/>
        <axPos val="l"/>
        <majorGridlines>
          <spPr>
            <a:ln w="3175">
              <a:solidFill>
                <a:srgbClr val="000000"/>
              </a:solidFill>
              <a:prstDash val="solid"/>
            </a:ln>
          </spPr>
        </majorGridlines>
        <minorGridlines>
          <spPr>
            <a:ln w="3175">
              <a:solidFill>
                <a:srgbClr val="808080"/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900" b="1" i="0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baseline="0"/>
                  <a:t>APSNR Y (dB)</a:t>
                </a:r>
                <a:endParaRPr lang="en-US"/>
              </a:p>
            </rich>
          </tx>
          <layout>
            <manualLayout>
              <xMode val="edge"/>
              <yMode val="edge"/>
              <wMode val="factor"/>
              <hMode val="factor"/>
              <x val="0.023140533359256"/>
              <y val="0.421466185885643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General" sourceLinked="1"/>
        <majorTickMark val="out"/>
        <minorTickMark val="none"/>
        <tickLblPos val="nextTo"/>
        <spPr>
          <a:ln w="3175">
            <a:solidFill>
              <a:srgbClr val="000000"/>
            </a:solidFill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241048576"/>
        <crosses val="autoZero"/>
        <crossBetween val="midCat"/>
        <majorUnit val="1"/>
        <minorUnit val="0.5"/>
      </valAx>
    </plotArea>
    <legend>
      <legendPos val="r"/>
      <layout>
        <manualLayout>
          <xMode val="edge"/>
          <yMode val="edge"/>
          <wMode val="factor"/>
          <hMode val="factor"/>
          <x val="0.6290896076007028"/>
          <y val="0.3769018066566722"/>
          <w val="0.2932066115702479"/>
          <h val="0.4562740463617005"/>
        </manualLayout>
      </layout>
      <overlay val="0"/>
      <spPr>
        <a:solidFill>
          <a:srgbClr val="FFFFFF"/>
        </a:solidFill>
        <a:ln w="3175">
          <a:solidFill>
            <a:srgbClr val="000000"/>
          </a:solidFill>
          <a:prstDash val="solid"/>
        </a:ln>
      </spPr>
      <txPr>
        <a:bodyPr/>
        <a:lstStyle/>
        <a:p>
          <a:pPr>
            <a:defRPr sz="1000" b="0" i="0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r>
            <a:t/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Relationship Type="http://schemas.openxmlformats.org/officeDocument/2006/relationships/chart" Target="/xl/charts/chart10.xml" Id="rId10" /><Relationship Type="http://schemas.openxmlformats.org/officeDocument/2006/relationships/chart" Target="/xl/charts/chart11.xml" Id="rId1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0</col>
      <colOff>0</colOff>
      <row>4</row>
      <rowOff>9525</rowOff>
    </from>
    <to>
      <col>10</col>
      <colOff>0</colOff>
      <row>31</row>
      <rowOff>76200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10</col>
      <colOff>431800</colOff>
      <row>4</row>
      <rowOff>12700</rowOff>
    </from>
    <to>
      <col>22</col>
      <colOff>38100</colOff>
      <row>31</row>
      <rowOff>79375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10</col>
      <colOff>482600</colOff>
      <row>32</row>
      <rowOff>101600</rowOff>
    </from>
    <to>
      <col>22</col>
      <colOff>88900</colOff>
      <row>59</row>
      <rowOff>168275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0</col>
      <colOff>38100</colOff>
      <row>32</row>
      <rowOff>50800</rowOff>
    </from>
    <to>
      <col>10</col>
      <colOff>38100</colOff>
      <row>59</row>
      <rowOff>117475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0</col>
      <colOff>38100</colOff>
      <row>60</row>
      <rowOff>114300</rowOff>
    </from>
    <to>
      <col>10</col>
      <colOff>38100</colOff>
      <row>87</row>
      <rowOff>180975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10</col>
      <colOff>635000</colOff>
      <row>60</row>
      <rowOff>165100</rowOff>
    </from>
    <to>
      <col>22</col>
      <colOff>241300</colOff>
      <row>88</row>
      <rowOff>28575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0</col>
      <colOff>25400</colOff>
      <row>88</row>
      <rowOff>63500</rowOff>
    </from>
    <to>
      <col>10</col>
      <colOff>25400</colOff>
      <row>115</row>
      <rowOff>130175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10</col>
      <colOff>635000</colOff>
      <row>88</row>
      <rowOff>127000</rowOff>
    </from>
    <to>
      <col>22</col>
      <colOff>241300</colOff>
      <row>115</row>
      <rowOff>193675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0</col>
      <colOff>127000</colOff>
      <row>117</row>
      <rowOff>12700</rowOff>
    </from>
    <to>
      <col>10</col>
      <colOff>127000</colOff>
      <row>144</row>
      <rowOff>79375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  <twoCellAnchor>
    <from>
      <col>10</col>
      <colOff>622300</colOff>
      <row>117</row>
      <rowOff>38100</rowOff>
    </from>
    <to>
      <col>22</col>
      <colOff>228600</colOff>
      <row>144</row>
      <rowOff>104775</rowOff>
    </to>
    <graphicFrame>
      <nvGraphicFramePr>
        <cNvPr id="10" name="Chart 10"/>
        <cNvGraphicFramePr/>
      </nvGraphicFramePr>
      <xfrm/>
      <a:graphic>
        <a:graphicData uri="http://schemas.openxmlformats.org/drawingml/2006/chart">
          <c:chart r:id="rId10"/>
        </a:graphicData>
      </a:graphic>
    </graphicFrame>
    <clientData/>
  </twoCellAnchor>
  <twoCellAnchor>
    <from>
      <col>0</col>
      <colOff>177800</colOff>
      <row>147</row>
      <rowOff>63500</rowOff>
    </from>
    <to>
      <col>10</col>
      <colOff>177800</colOff>
      <row>174</row>
      <rowOff>130175</rowOff>
    </to>
    <graphicFrame>
      <nvGraphicFramePr>
        <cNvPr id="11" name="Chart 11"/>
        <cNvGraphicFramePr/>
      </nvGraphicFramePr>
      <xfrm/>
      <a:graphic>
        <a:graphicData uri="http://schemas.openxmlformats.org/drawingml/2006/chart">
          <c:chart r:id="rId1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L57"/>
  <sheetViews>
    <sheetView zoomScale="110" zoomScaleNormal="110" workbookViewId="0">
      <selection activeCell="B4" sqref="B4"/>
    </sheetView>
  </sheetViews>
  <sheetFormatPr baseColWidth="10" defaultColWidth="10.83203125" defaultRowHeight="16"/>
  <cols>
    <col width="10.6640625" customWidth="1" style="241" min="1" max="1"/>
    <col width="15.1640625" customWidth="1" style="26" min="2" max="2"/>
    <col width="13" bestFit="1" customWidth="1" style="24" min="3" max="3"/>
    <col width="12.83203125" bestFit="1" customWidth="1" style="24" min="4" max="4"/>
    <col width="11" bestFit="1" customWidth="1" style="24" min="5" max="6"/>
    <col width="12.83203125" bestFit="1" customWidth="1" style="24" min="7" max="7"/>
    <col width="11" bestFit="1" customWidth="1" style="24" min="8" max="8"/>
    <col width="12.83203125" bestFit="1" customWidth="1" style="24" min="9" max="9"/>
    <col width="11" bestFit="1" customWidth="1" style="24" min="10" max="10"/>
    <col width="12.83203125" bestFit="1" customWidth="1" style="24" min="11" max="11"/>
    <col width="11" bestFit="1" customWidth="1" style="24" min="12" max="25"/>
    <col width="10.83203125" customWidth="1" style="24" min="26" max="38"/>
    <col width="10.83203125" customWidth="1" style="23" min="39" max="39"/>
    <col width="10.83203125" customWidth="1" style="23" min="40" max="16384"/>
  </cols>
  <sheetData>
    <row r="1">
      <c r="A1" s="72" t="inlineStr">
        <is>
          <t>AV2 CTC</t>
        </is>
      </c>
      <c r="B1" s="164" t="inlineStr">
        <is>
          <t>9.9 AS</t>
        </is>
      </c>
    </row>
    <row r="2">
      <c r="A2" s="72" t="inlineStr">
        <is>
          <t>CTC Version</t>
        </is>
      </c>
      <c r="B2" s="164" t="inlineStr">
        <is>
          <t>v5</t>
        </is>
      </c>
    </row>
    <row r="3">
      <c r="A3" s="72" t="inlineStr">
        <is>
          <t>Anchor</t>
        </is>
      </c>
      <c r="B3" s="164" t="n"/>
    </row>
    <row r="4" ht="17" customHeight="1" s="241" thickBot="1">
      <c r="A4" s="72" t="inlineStr">
        <is>
          <t>Test</t>
        </is>
      </c>
      <c r="B4" s="164" t="n"/>
    </row>
    <row r="5">
      <c r="B5" s="174" t="inlineStr">
        <is>
          <t>Sequence</t>
        </is>
      </c>
      <c r="C5" s="181">
        <f>CONCATENATE("BD-rates Over ", B3)</f>
        <v/>
      </c>
      <c r="D5" s="182" t="n"/>
      <c r="E5" s="182" t="n"/>
      <c r="F5" s="182" t="n"/>
      <c r="G5" s="182" t="n"/>
      <c r="H5" s="182" t="n"/>
      <c r="I5" s="182" t="n"/>
      <c r="J5" s="182" t="n"/>
      <c r="K5" s="182" t="n"/>
      <c r="L5" s="182" t="n"/>
      <c r="M5" s="182" t="n"/>
      <c r="N5" s="182" t="n"/>
      <c r="O5" s="182" t="n"/>
      <c r="P5" s="182" t="n"/>
      <c r="Q5" s="182" t="n"/>
      <c r="R5" s="182" t="n"/>
      <c r="S5" s="182" t="n"/>
      <c r="T5" s="183" t="n"/>
      <c r="U5" s="23" t="n"/>
      <c r="V5" s="23" t="n"/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</row>
    <row r="6">
      <c r="B6" s="175" t="n"/>
      <c r="C6" s="165" t="inlineStr">
        <is>
          <t>PSNR Y CH</t>
        </is>
      </c>
      <c r="D6" s="166" t="n"/>
      <c r="E6" s="166" t="n"/>
      <c r="F6" s="166" t="n"/>
      <c r="G6" s="166" t="n"/>
      <c r="H6" s="166" t="n"/>
      <c r="I6" s="166" t="n"/>
      <c r="J6" s="166" t="n"/>
      <c r="K6" s="166" t="n"/>
      <c r="L6" s="166" t="n"/>
      <c r="M6" s="166" t="n"/>
      <c r="N6" s="166" t="n"/>
      <c r="O6" s="166" t="n"/>
      <c r="P6" s="166" t="n"/>
      <c r="Q6" s="166" t="n"/>
      <c r="R6" s="166" t="n"/>
      <c r="S6" s="166" t="n"/>
      <c r="T6" s="167" t="n"/>
      <c r="U6" s="23" t="n"/>
      <c r="V6" s="23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</row>
    <row r="7">
      <c r="B7" s="175" t="n"/>
      <c r="C7" s="168" t="n"/>
      <c r="D7" s="168" t="n"/>
      <c r="E7" s="168" t="inlineStr">
        <is>
          <t>PSNR</t>
        </is>
      </c>
      <c r="F7" s="166" t="n"/>
      <c r="G7" s="166" t="n"/>
      <c r="H7" s="166" t="n"/>
      <c r="I7" s="169" t="n"/>
      <c r="J7" s="168" t="n"/>
      <c r="K7" s="168" t="n"/>
      <c r="L7" s="168" t="n"/>
      <c r="M7" s="168" t="n"/>
      <c r="N7" s="168" t="n"/>
      <c r="O7" s="168" t="n"/>
      <c r="P7" s="165" t="inlineStr">
        <is>
          <t>APSNR</t>
        </is>
      </c>
      <c r="Q7" s="166" t="n"/>
      <c r="R7" s="166" t="n"/>
      <c r="S7" s="166" t="n"/>
      <c r="T7" s="167" t="n"/>
      <c r="U7" s="23" t="n"/>
      <c r="V7" s="23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</row>
    <row r="8" ht="17" customHeight="1" s="241" thickBot="1">
      <c r="B8" s="176" t="n"/>
      <c r="C8" s="192" t="n"/>
      <c r="D8" s="192" t="inlineStr">
        <is>
          <t>Y</t>
        </is>
      </c>
      <c r="E8" s="192">
        <f>BoxingPractice!C46</f>
        <v/>
      </c>
      <c r="F8" s="192">
        <f>BoxingPractice!D46</f>
        <v/>
      </c>
      <c r="G8" s="192">
        <f>BoxingPractice!E46</f>
        <v/>
      </c>
      <c r="H8" s="192">
        <f>BoxingPractice!F46</f>
        <v/>
      </c>
      <c r="I8" s="192" t="inlineStr">
        <is>
          <t>bdYUV</t>
        </is>
      </c>
      <c r="J8" s="192">
        <f>BoxingPractice!G46</f>
        <v/>
      </c>
      <c r="K8" s="192">
        <f>BoxingPractice!H46</f>
        <v/>
      </c>
      <c r="L8" s="192">
        <f>BoxingPractice!I46</f>
        <v/>
      </c>
      <c r="M8" s="192">
        <f>BoxingPractice!J46</f>
        <v/>
      </c>
      <c r="N8" s="192">
        <f>BoxingPractice!K46</f>
        <v/>
      </c>
      <c r="O8" s="192">
        <f>BoxingPractice!L46</f>
        <v/>
      </c>
      <c r="P8" s="192">
        <f>BoxingPractice!M46</f>
        <v/>
      </c>
      <c r="Q8" s="192">
        <f>BoxingPractice!N46</f>
        <v/>
      </c>
      <c r="R8" s="192">
        <f>BoxingPractice!O46</f>
        <v/>
      </c>
      <c r="S8" s="192">
        <f>BoxingPractice!P46</f>
        <v/>
      </c>
      <c r="T8" s="63" t="inlineStr">
        <is>
          <t>bdYUV</t>
        </is>
      </c>
      <c r="U8" s="23" t="n"/>
      <c r="V8" s="23" t="n"/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</row>
    <row r="9">
      <c r="B9" s="171" t="inlineStr">
        <is>
          <t>Average</t>
        </is>
      </c>
      <c r="C9" s="103" t="inlineStr">
        <is>
          <t>High</t>
        </is>
      </c>
      <c r="D9" s="44">
        <f>'Summary (Full)'!F29</f>
        <v/>
      </c>
      <c r="E9" s="180">
        <f>'Summary (Full)'!G29</f>
        <v/>
      </c>
      <c r="F9" s="180">
        <f>'Summary (Full)'!H29</f>
        <v/>
      </c>
      <c r="G9" s="180">
        <f>'Summary (Full)'!I29</f>
        <v/>
      </c>
      <c r="H9" s="180">
        <f>'Summary (Full)'!J29</f>
        <v/>
      </c>
      <c r="I9" s="180">
        <f>'Summary (Full)'!K29</f>
        <v/>
      </c>
      <c r="J9" s="180">
        <f>'Summary (Full)'!L29</f>
        <v/>
      </c>
      <c r="K9" s="180">
        <f>'Summary (Full)'!M29</f>
        <v/>
      </c>
      <c r="L9" s="180">
        <f>'Summary (Full)'!N29</f>
        <v/>
      </c>
      <c r="M9" s="180">
        <f>'Summary (Full)'!O29</f>
        <v/>
      </c>
      <c r="N9" s="180">
        <f>'Summary (Full)'!P29</f>
        <v/>
      </c>
      <c r="O9" s="180">
        <f>'Summary (Full)'!Q29</f>
        <v/>
      </c>
      <c r="P9" s="180">
        <f>'Summary (Full)'!R29</f>
        <v/>
      </c>
      <c r="Q9" s="180">
        <f>'Summary (Full)'!S29</f>
        <v/>
      </c>
      <c r="R9" s="180">
        <f>'Summary (Full)'!T29</f>
        <v/>
      </c>
      <c r="S9" s="180">
        <f>'Summary (Full)'!U29</f>
        <v/>
      </c>
      <c r="T9" s="184">
        <f>'Summary (Full)'!V29</f>
        <v/>
      </c>
      <c r="U9" s="23" t="n"/>
      <c r="V9" s="23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</row>
    <row r="10">
      <c r="B10" s="172" t="n"/>
      <c r="C10" s="103" t="inlineStr">
        <is>
          <t>Med</t>
        </is>
      </c>
      <c r="D10" s="17">
        <f>'Summary (Full)'!F30</f>
        <v/>
      </c>
      <c r="E10" s="178" t="n"/>
      <c r="F10" s="178" t="n"/>
      <c r="G10" s="178" t="n"/>
      <c r="H10" s="178" t="n"/>
      <c r="I10" s="178" t="n"/>
      <c r="J10" s="178" t="n"/>
      <c r="K10" s="178" t="n"/>
      <c r="L10" s="178" t="n"/>
      <c r="M10" s="178" t="n"/>
      <c r="N10" s="178" t="n"/>
      <c r="O10" s="178" t="n"/>
      <c r="P10" s="178" t="n"/>
      <c r="Q10" s="178" t="n"/>
      <c r="R10" s="178" t="n"/>
      <c r="S10" s="178" t="n"/>
      <c r="T10" s="185" t="n"/>
      <c r="U10" s="23" t="n"/>
      <c r="V10" s="23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</row>
    <row r="11" ht="17" customHeight="1" s="241" thickBot="1">
      <c r="B11" s="173" t="n"/>
      <c r="C11" s="104" t="inlineStr">
        <is>
          <t>Low</t>
        </is>
      </c>
      <c r="D11" s="47">
        <f>'Summary (Full)'!F31</f>
        <v/>
      </c>
      <c r="E11" s="179" t="n"/>
      <c r="F11" s="179" t="n"/>
      <c r="G11" s="179" t="n"/>
      <c r="H11" s="179" t="n"/>
      <c r="I11" s="179" t="n"/>
      <c r="J11" s="179" t="n"/>
      <c r="K11" s="179" t="n"/>
      <c r="L11" s="179" t="n"/>
      <c r="M11" s="179" t="n"/>
      <c r="N11" s="179" t="n"/>
      <c r="O11" s="179" t="n"/>
      <c r="P11" s="179" t="n"/>
      <c r="Q11" s="179" t="n"/>
      <c r="R11" s="179" t="n"/>
      <c r="S11" s="179" t="n"/>
      <c r="T11" s="186" t="n"/>
      <c r="U11" s="23" t="n"/>
      <c r="V11" s="23" t="n"/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</row>
    <row r="12">
      <c r="D12" s="5" t="n"/>
      <c r="U12" s="23" t="n"/>
      <c r="V12" s="23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</row>
    <row r="14" ht="17" customHeight="1" s="241" thickBot="1">
      <c r="V14" s="23" t="n"/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</row>
    <row r="15">
      <c r="B15" s="174" t="inlineStr">
        <is>
          <t>Sequence</t>
        </is>
      </c>
      <c r="C15" s="190">
        <f>CONCATENATE("BD-rates Over ", B3)</f>
        <v/>
      </c>
      <c r="D15" s="191" t="n"/>
      <c r="E15" s="191" t="n"/>
      <c r="F15" s="191" t="n"/>
      <c r="G15" s="191" t="n"/>
      <c r="H15" s="191" t="n"/>
      <c r="I15" s="191" t="n"/>
      <c r="J15" s="191" t="n"/>
      <c r="K15" s="191" t="n"/>
      <c r="L15" s="191" t="n"/>
      <c r="M15" s="191" t="n"/>
      <c r="N15" s="191" t="n"/>
      <c r="O15" s="191" t="n"/>
      <c r="P15" s="191" t="n"/>
      <c r="Q15" s="191" t="n"/>
      <c r="R15" s="191" t="n"/>
      <c r="S15" s="191" t="n"/>
      <c r="T15" s="191" t="n"/>
      <c r="U15" s="191" t="n"/>
      <c r="V15" s="191" t="n"/>
      <c r="W15" s="191" t="n"/>
      <c r="X15" s="191" t="n"/>
      <c r="Y15" s="191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</row>
    <row r="16">
      <c r="B16" s="175" t="n"/>
      <c r="C16" s="40" t="n"/>
      <c r="D16" s="168" t="inlineStr">
        <is>
          <t>SSIM CH</t>
        </is>
      </c>
      <c r="E16" s="169" t="n"/>
      <c r="F16" s="168" t="inlineStr">
        <is>
          <t>MS-SSIM CH</t>
        </is>
      </c>
      <c r="G16" s="169" t="n"/>
      <c r="H16" s="168" t="inlineStr">
        <is>
          <t>VMAF CH</t>
        </is>
      </c>
      <c r="I16" s="169" t="n"/>
      <c r="J16" s="168" t="inlineStr">
        <is>
          <t>VMAF-neg CH</t>
        </is>
      </c>
      <c r="K16" s="169" t="n"/>
      <c r="L16" s="168" t="inlineStr">
        <is>
          <t>PSNR-HVS CH</t>
        </is>
      </c>
      <c r="M16" s="169" t="n"/>
      <c r="N16" s="168" t="inlineStr">
        <is>
          <t>DE CH</t>
        </is>
      </c>
      <c r="O16" s="169" t="n"/>
      <c r="P16" s="165" t="inlineStr">
        <is>
          <t>APSNR CH</t>
        </is>
      </c>
      <c r="Q16" s="166" t="n"/>
      <c r="R16" s="166" t="n"/>
      <c r="S16" s="166" t="n"/>
      <c r="T16" s="166" t="n"/>
      <c r="U16" s="167" t="n"/>
      <c r="V16" s="168" t="inlineStr">
        <is>
          <t>PSNR YUV CH</t>
        </is>
      </c>
      <c r="W16" s="169" t="n"/>
      <c r="X16" s="168" t="inlineStr">
        <is>
          <t>APSNR-YUV CH</t>
        </is>
      </c>
      <c r="Y16" s="169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</row>
    <row r="17">
      <c r="B17" s="175" t="n"/>
      <c r="C17" s="168" t="n"/>
      <c r="D17" s="168" t="inlineStr">
        <is>
          <t>SSIM</t>
        </is>
      </c>
      <c r="E17" s="169" t="n"/>
      <c r="F17" s="168" t="inlineStr">
        <is>
          <t>MS-SSIM</t>
        </is>
      </c>
      <c r="G17" s="169" t="n"/>
      <c r="H17" s="168" t="inlineStr">
        <is>
          <t>VMAF</t>
        </is>
      </c>
      <c r="I17" s="169" t="n"/>
      <c r="J17" s="168" t="inlineStr">
        <is>
          <t>VMAF-neg</t>
        </is>
      </c>
      <c r="K17" s="169" t="n"/>
      <c r="L17" s="168" t="inlineStr">
        <is>
          <t>PSNR HVS</t>
        </is>
      </c>
      <c r="M17" s="169" t="n"/>
      <c r="N17" s="168" t="inlineStr">
        <is>
          <t>DE</t>
        </is>
      </c>
      <c r="O17" s="169" t="n"/>
      <c r="P17" s="165" t="inlineStr">
        <is>
          <t>APSNR</t>
        </is>
      </c>
      <c r="Q17" s="166" t="n"/>
      <c r="R17" s="166" t="n"/>
      <c r="S17" s="166" t="n"/>
      <c r="T17" s="166" t="n"/>
      <c r="U17" s="167" t="n"/>
      <c r="V17" s="168" t="inlineStr">
        <is>
          <t>PSRN YUV</t>
        </is>
      </c>
      <c r="W17" s="169" t="n"/>
      <c r="X17" s="168" t="inlineStr">
        <is>
          <t>APSNR YUV</t>
        </is>
      </c>
      <c r="Y17" s="169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</row>
    <row r="18" ht="17" customHeight="1" s="241" thickBot="1">
      <c r="B18" s="176" t="n"/>
      <c r="C18" s="192" t="n"/>
      <c r="D18" s="192" t="inlineStr">
        <is>
          <t>Range</t>
        </is>
      </c>
      <c r="E18" s="192" t="inlineStr">
        <is>
          <t>Y</t>
        </is>
      </c>
      <c r="F18" s="192" t="inlineStr">
        <is>
          <t>Range</t>
        </is>
      </c>
      <c r="G18" s="192" t="inlineStr">
        <is>
          <t>Y</t>
        </is>
      </c>
      <c r="H18" s="192" t="inlineStr">
        <is>
          <t>Range</t>
        </is>
      </c>
      <c r="I18" s="192" t="inlineStr">
        <is>
          <t>Y</t>
        </is>
      </c>
      <c r="J18" s="192" t="inlineStr">
        <is>
          <t>Range</t>
        </is>
      </c>
      <c r="K18" s="192" t="inlineStr">
        <is>
          <t>Y</t>
        </is>
      </c>
      <c r="L18" s="192" t="inlineStr">
        <is>
          <t>Range</t>
        </is>
      </c>
      <c r="M18" s="192" t="inlineStr">
        <is>
          <t>Y</t>
        </is>
      </c>
      <c r="N18" s="192" t="inlineStr">
        <is>
          <t>Range</t>
        </is>
      </c>
      <c r="O18" s="192" t="inlineStr">
        <is>
          <t>Y</t>
        </is>
      </c>
      <c r="P18" s="192" t="inlineStr">
        <is>
          <t>Range</t>
        </is>
      </c>
      <c r="Q18" s="192" t="inlineStr">
        <is>
          <t>Y</t>
        </is>
      </c>
      <c r="R18" s="192" t="inlineStr">
        <is>
          <t>U</t>
        </is>
      </c>
      <c r="S18" s="192" t="inlineStr">
        <is>
          <t>V</t>
        </is>
      </c>
      <c r="T18" s="192" t="inlineStr">
        <is>
          <t>YUV</t>
        </is>
      </c>
      <c r="U18" s="63" t="inlineStr">
        <is>
          <t>bdYUV</t>
        </is>
      </c>
      <c r="V18" s="192" t="inlineStr">
        <is>
          <t>Range</t>
        </is>
      </c>
      <c r="W18" s="192" t="inlineStr">
        <is>
          <t>YUV</t>
        </is>
      </c>
      <c r="X18" s="192" t="inlineStr">
        <is>
          <t>Range</t>
        </is>
      </c>
      <c r="Y18" s="192" t="inlineStr">
        <is>
          <t>YUV</t>
        </is>
      </c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</row>
    <row r="19">
      <c r="B19" s="171" t="inlineStr">
        <is>
          <t>Average</t>
        </is>
      </c>
      <c r="C19" s="35" t="inlineStr">
        <is>
          <t>High</t>
        </is>
      </c>
      <c r="D19" s="44">
        <f>'Summary (Full)'!F63</f>
        <v/>
      </c>
      <c r="E19" s="180">
        <f>'Summary (Full)'!G63</f>
        <v/>
      </c>
      <c r="F19" s="44">
        <f>'Summary (Full)'!H63</f>
        <v/>
      </c>
      <c r="G19" s="180">
        <f>'Summary (Full)'!I63</f>
        <v/>
      </c>
      <c r="H19" s="44">
        <f>'Summary (Full)'!J63</f>
        <v/>
      </c>
      <c r="I19" s="180">
        <f>'Summary (Full)'!K63</f>
        <v/>
      </c>
      <c r="J19" s="44">
        <f>'Summary (Full)'!L63</f>
        <v/>
      </c>
      <c r="K19" s="180">
        <f>'Summary (Full)'!M63</f>
        <v/>
      </c>
      <c r="L19" s="44">
        <f>'Summary (Full)'!N63</f>
        <v/>
      </c>
      <c r="M19" s="180">
        <f>'Summary (Full)'!O63</f>
        <v/>
      </c>
      <c r="N19" s="44">
        <f>'Summary (Full)'!P63</f>
        <v/>
      </c>
      <c r="O19" s="180">
        <f>'Summary (Full)'!Q63</f>
        <v/>
      </c>
      <c r="P19" s="44">
        <f>'Summary (Full)'!R63</f>
        <v/>
      </c>
      <c r="Q19" s="180">
        <f>'Summary (Full)'!S63</f>
        <v/>
      </c>
      <c r="R19" s="180">
        <f>'Summary (Full)'!T63</f>
        <v/>
      </c>
      <c r="S19" s="180">
        <f>'Summary (Full)'!U63</f>
        <v/>
      </c>
      <c r="T19" s="180">
        <f>'Summary (Full)'!V63</f>
        <v/>
      </c>
      <c r="U19" s="180">
        <f>'Summary (Full)'!W63</f>
        <v/>
      </c>
      <c r="V19" s="44">
        <f>'Summary (Full)'!X63</f>
        <v/>
      </c>
      <c r="W19" s="180">
        <f>'Summary (Full)'!Y63</f>
        <v/>
      </c>
      <c r="X19" s="44">
        <f>'Summary (Full)'!Z63</f>
        <v/>
      </c>
      <c r="Y19" s="180">
        <f>'Summary (Full)'!AA63</f>
        <v/>
      </c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</row>
    <row r="20">
      <c r="B20" s="172" t="n"/>
      <c r="C20" s="35" t="inlineStr">
        <is>
          <t>Med</t>
        </is>
      </c>
      <c r="D20" s="17">
        <f>'Summary (Full)'!F64</f>
        <v/>
      </c>
      <c r="E20" s="178" t="n"/>
      <c r="F20" s="17">
        <f>'Summary (Full)'!H64</f>
        <v/>
      </c>
      <c r="G20" s="178" t="n"/>
      <c r="H20" s="17">
        <f>'Summary (Full)'!J64</f>
        <v/>
      </c>
      <c r="I20" s="178" t="n"/>
      <c r="J20" s="17">
        <f>'Summary (Full)'!L64</f>
        <v/>
      </c>
      <c r="K20" s="178" t="n"/>
      <c r="L20" s="17">
        <f>'Summary (Full)'!N64</f>
        <v/>
      </c>
      <c r="M20" s="178" t="n"/>
      <c r="N20" s="17">
        <f>'Summary (Full)'!P64</f>
        <v/>
      </c>
      <c r="O20" s="178" t="n"/>
      <c r="P20" s="17">
        <f>'Summary (Full)'!R64</f>
        <v/>
      </c>
      <c r="Q20" s="178" t="n"/>
      <c r="R20" s="178" t="n"/>
      <c r="S20" s="178" t="n"/>
      <c r="T20" s="178" t="n"/>
      <c r="U20" s="178" t="n"/>
      <c r="V20" s="17">
        <f>'Summary (Full)'!X64</f>
        <v/>
      </c>
      <c r="W20" s="178" t="n"/>
      <c r="X20" s="17">
        <f>'Summary (Full)'!Z64</f>
        <v/>
      </c>
      <c r="Y20" s="178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</row>
    <row r="21" ht="17" customHeight="1" s="241" thickBot="1">
      <c r="B21" s="173" t="n"/>
      <c r="C21" s="64" t="inlineStr">
        <is>
          <t>Low</t>
        </is>
      </c>
      <c r="D21" s="47">
        <f>'Summary (Full)'!F65</f>
        <v/>
      </c>
      <c r="E21" s="179" t="n"/>
      <c r="F21" s="47">
        <f>'Summary (Full)'!H65</f>
        <v/>
      </c>
      <c r="G21" s="179" t="n"/>
      <c r="H21" s="47">
        <f>'Summary (Full)'!J65</f>
        <v/>
      </c>
      <c r="I21" s="179" t="n"/>
      <c r="J21" s="47">
        <f>'Summary (Full)'!L65</f>
        <v/>
      </c>
      <c r="K21" s="179" t="n"/>
      <c r="L21" s="47">
        <f>'Summary (Full)'!N65</f>
        <v/>
      </c>
      <c r="M21" s="179" t="n"/>
      <c r="N21" s="47">
        <f>'Summary (Full)'!P65</f>
        <v/>
      </c>
      <c r="O21" s="179" t="n"/>
      <c r="P21" s="47">
        <f>'Summary (Full)'!R65</f>
        <v/>
      </c>
      <c r="Q21" s="179" t="n"/>
      <c r="R21" s="179" t="n"/>
      <c r="S21" s="179" t="n"/>
      <c r="T21" s="179" t="n"/>
      <c r="U21" s="179" t="n"/>
      <c r="V21" s="47">
        <f>'Summary (Full)'!X65</f>
        <v/>
      </c>
      <c r="W21" s="179" t="n"/>
      <c r="X21" s="47">
        <f>'Summary (Full)'!Z65</f>
        <v/>
      </c>
      <c r="Y21" s="179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</row>
    <row r="22"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</row>
    <row r="23"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</row>
    <row r="24" ht="17" customHeight="1" s="241" thickBot="1"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</row>
    <row r="25">
      <c r="B25" s="199" t="inlineStr">
        <is>
          <t>Sequence</t>
        </is>
      </c>
      <c r="C25" s="201" t="inlineStr">
        <is>
          <t>Timing</t>
        </is>
      </c>
      <c r="D25" s="182" t="n"/>
      <c r="E25" s="182" t="n"/>
      <c r="F25" s="182" t="n"/>
      <c r="G25" s="182" t="n"/>
      <c r="H25" s="182" t="n"/>
      <c r="I25" s="182" t="n"/>
      <c r="J25" s="182" t="n"/>
      <c r="K25" s="182" t="n"/>
      <c r="L25" s="202" t="n"/>
      <c r="M25" s="181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</row>
    <row r="26">
      <c r="B26" s="175" t="n"/>
      <c r="C26" s="205" t="inlineStr">
        <is>
          <t>Geometric Averages</t>
        </is>
      </c>
      <c r="D26" s="166" t="n"/>
      <c r="E26" s="166" t="n"/>
      <c r="F26" s="169" t="n"/>
      <c r="G26" s="168" t="inlineStr">
        <is>
          <t>Arithmetic Average</t>
        </is>
      </c>
      <c r="H26" s="169" t="n"/>
      <c r="I26" s="168" t="inlineStr">
        <is>
          <t>Max</t>
        </is>
      </c>
      <c r="J26" s="169" t="n"/>
      <c r="K26" s="168" t="inlineStr">
        <is>
          <t>Min</t>
        </is>
      </c>
      <c r="L26" s="169" t="n"/>
      <c r="M26" s="165" t="n"/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</row>
    <row r="27" ht="17" customHeight="1" s="241" thickBot="1">
      <c r="B27" s="200" t="n"/>
      <c r="C27" s="90" t="inlineStr">
        <is>
          <t>EncG</t>
        </is>
      </c>
      <c r="D27" s="90" t="inlineStr">
        <is>
          <t>EncR</t>
        </is>
      </c>
      <c r="E27" s="90" t="inlineStr">
        <is>
          <t>DecG</t>
        </is>
      </c>
      <c r="F27" s="90" t="inlineStr">
        <is>
          <t>DecR</t>
        </is>
      </c>
      <c r="G27" s="91" t="inlineStr">
        <is>
          <t>EncR</t>
        </is>
      </c>
      <c r="H27" s="91" t="inlineStr">
        <is>
          <t>DecR</t>
        </is>
      </c>
      <c r="I27" s="91" t="inlineStr">
        <is>
          <t>EncR</t>
        </is>
      </c>
      <c r="J27" s="91" t="inlineStr">
        <is>
          <t>EncG</t>
        </is>
      </c>
      <c r="K27" s="91" t="inlineStr">
        <is>
          <t>EncR</t>
        </is>
      </c>
      <c r="L27" s="91" t="inlineStr">
        <is>
          <t>EncG</t>
        </is>
      </c>
      <c r="M27" s="92" t="inlineStr">
        <is>
          <t>Success</t>
        </is>
      </c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</row>
    <row r="28" ht="17" customHeight="1" s="241" thickBot="1">
      <c r="B28" s="58" t="inlineStr">
        <is>
          <t>Average</t>
        </is>
      </c>
      <c r="C28" s="177">
        <f>'Summary (Full)'!E80</f>
        <v/>
      </c>
      <c r="D28" s="177">
        <f>'Summary (Full)'!F80</f>
        <v/>
      </c>
      <c r="E28" s="177">
        <f>'Summary (Full)'!G80</f>
        <v/>
      </c>
      <c r="F28" s="177">
        <f>'Summary (Full)'!H80</f>
        <v/>
      </c>
      <c r="G28" s="177">
        <f>'Summary (Full)'!I80</f>
        <v/>
      </c>
      <c r="H28" s="177">
        <f>'Summary (Full)'!J80</f>
        <v/>
      </c>
      <c r="I28" s="177">
        <f>'Summary (Full)'!K80</f>
        <v/>
      </c>
      <c r="J28" s="177">
        <f>'Summary (Full)'!L80</f>
        <v/>
      </c>
      <c r="K28" s="177">
        <f>'Summary (Full)'!M80</f>
        <v/>
      </c>
      <c r="L28" s="177">
        <f>'Summary (Full)'!N80</f>
        <v/>
      </c>
      <c r="M28" s="177">
        <f>'Summary (Full)'!O80</f>
        <v/>
      </c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</row>
    <row r="29"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</row>
    <row r="30"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</row>
    <row r="31" ht="17" customHeight="1" s="241" thickBot="1"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</row>
    <row r="32">
      <c r="B32" s="197" t="inlineStr">
        <is>
          <t>Resolution</t>
        </is>
      </c>
      <c r="C32" s="190">
        <f>'Summary (Full)'!F84</f>
        <v/>
      </c>
      <c r="D32" s="191" t="n"/>
      <c r="E32" s="191" t="n"/>
      <c r="F32" s="191" t="n"/>
      <c r="G32" s="191" t="n"/>
      <c r="H32" s="191" t="n"/>
      <c r="I32" s="191" t="n"/>
      <c r="J32" s="191" t="n"/>
      <c r="K32" s="191" t="n"/>
      <c r="L32" s="191" t="n"/>
      <c r="M32" s="191" t="n"/>
      <c r="N32" s="191" t="n"/>
      <c r="O32" s="191" t="n"/>
      <c r="V32" s="23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</row>
    <row r="33">
      <c r="B33" s="175" t="n"/>
      <c r="C33" s="170">
        <f>'Summary (Full)'!F85</f>
        <v/>
      </c>
      <c r="D33" s="166" t="n"/>
      <c r="E33" s="166" t="n"/>
      <c r="F33" s="166" t="n"/>
      <c r="G33" s="169" t="n"/>
      <c r="H33" s="170">
        <f>'Summary (Full)'!K85</f>
        <v/>
      </c>
      <c r="I33" s="169" t="n"/>
      <c r="J33" s="170">
        <f>'Summary (Full)'!M85</f>
        <v/>
      </c>
      <c r="K33" s="169" t="n"/>
      <c r="L33" s="170">
        <f>'Summary (Full)'!O85</f>
        <v/>
      </c>
      <c r="M33" s="169" t="n"/>
      <c r="N33" s="170">
        <f>'Summary (Full)'!Q85</f>
        <v/>
      </c>
      <c r="O33" s="169" t="n"/>
      <c r="V33" s="23" t="n"/>
      <c r="W33" s="23" t="n"/>
      <c r="X33" s="23" t="n"/>
      <c r="Y33" s="23" t="n"/>
      <c r="Z33" s="23" t="n"/>
      <c r="AA33" s="23" t="n"/>
      <c r="AB33" s="23" t="n"/>
      <c r="AC33" s="23" t="n"/>
      <c r="AD33" s="23" t="n"/>
      <c r="AE33" s="23" t="n"/>
      <c r="AF33" s="23" t="n"/>
      <c r="AG33" s="23" t="n"/>
      <c r="AH33" s="23" t="n"/>
      <c r="AI33" s="23" t="n"/>
      <c r="AJ33" s="23" t="n"/>
      <c r="AK33" s="23" t="n"/>
      <c r="AL33" s="23" t="n"/>
    </row>
    <row r="34">
      <c r="B34" s="175" t="n"/>
      <c r="C34" s="168" t="n"/>
      <c r="D34" s="168" t="n"/>
      <c r="E34" s="192" t="n"/>
      <c r="F34" s="192" t="n"/>
      <c r="G34" s="192" t="n"/>
      <c r="H34" s="192" t="n"/>
      <c r="I34" s="192" t="n"/>
      <c r="J34" s="192" t="n"/>
      <c r="K34" s="192" t="n"/>
      <c r="L34" s="192" t="n"/>
      <c r="M34" s="192" t="n"/>
      <c r="N34" s="192" t="n"/>
      <c r="O34" s="192" t="n"/>
      <c r="V34" s="23" t="n"/>
      <c r="W34" s="23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</row>
    <row r="35" ht="17" customHeight="1" s="241" thickBot="1">
      <c r="B35" s="175" t="n"/>
      <c r="C35" s="192">
        <f>'Summary (Full)'!F87</f>
        <v/>
      </c>
      <c r="D35" s="193" t="n"/>
      <c r="E35" s="192">
        <f>'Summary (Full)'!H87</f>
        <v/>
      </c>
      <c r="F35" s="192">
        <f>'Summary (Full)'!I87</f>
        <v/>
      </c>
      <c r="G35" s="192">
        <f>'Summary (Full)'!J87</f>
        <v/>
      </c>
      <c r="H35" s="192">
        <f>'Summary (Full)'!K87</f>
        <v/>
      </c>
      <c r="I35" s="192">
        <f>'Summary (Full)'!L87</f>
        <v/>
      </c>
      <c r="J35" s="192">
        <f>'Summary (Full)'!M87</f>
        <v/>
      </c>
      <c r="K35" s="192">
        <f>'Summary (Full)'!N87</f>
        <v/>
      </c>
      <c r="L35" s="192">
        <f>'Summary (Full)'!O87</f>
        <v/>
      </c>
      <c r="M35" s="192">
        <f>'Summary (Full)'!P87</f>
        <v/>
      </c>
      <c r="N35" s="192">
        <f>'Summary (Full)'!Q87</f>
        <v/>
      </c>
      <c r="O35" s="192">
        <f>'Summary (Full)'!R87</f>
        <v/>
      </c>
      <c r="V35" s="23" t="n"/>
      <c r="W35" s="23" t="n"/>
      <c r="X35" s="23" t="n"/>
      <c r="Y35" s="23" t="n"/>
      <c r="Z35" s="23" t="n"/>
      <c r="AA35" s="23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</row>
    <row r="36">
      <c r="B36" s="204">
        <f>'Summary (Full)'!D88</f>
        <v/>
      </c>
      <c r="C36" s="84">
        <f>'Summary (Full)'!F112</f>
        <v/>
      </c>
      <c r="D36" s="44">
        <f>'Summary (Full)'!G112</f>
        <v/>
      </c>
      <c r="E36" s="180">
        <f>'Summary (Full)'!H112</f>
        <v/>
      </c>
      <c r="F36" s="180">
        <f>'Summary (Full)'!I112</f>
        <v/>
      </c>
      <c r="G36" s="180">
        <f>'Summary (Full)'!J112</f>
        <v/>
      </c>
      <c r="H36" s="180">
        <f>'Summary (Full)'!K112</f>
        <v/>
      </c>
      <c r="I36" s="180">
        <f>'Summary (Full)'!L112</f>
        <v/>
      </c>
      <c r="J36" s="180">
        <f>'Summary (Full)'!M112</f>
        <v/>
      </c>
      <c r="K36" s="180">
        <f>'Summary (Full)'!N112</f>
        <v/>
      </c>
      <c r="L36" s="180">
        <f>'Summary (Full)'!O112</f>
        <v/>
      </c>
      <c r="M36" s="184">
        <f>'Summary (Full)'!P112</f>
        <v/>
      </c>
      <c r="N36" s="247">
        <f>'Summary (Full)'!Q112</f>
        <v/>
      </c>
      <c r="O36" s="198">
        <f>'Summary (Full)'!R112</f>
        <v/>
      </c>
      <c r="AL36" s="23" t="n"/>
    </row>
    <row r="37">
      <c r="B37" s="195" t="n"/>
      <c r="C37" s="85">
        <f>'Summary (Full)'!F113</f>
        <v/>
      </c>
      <c r="D37" s="17">
        <f>'Summary (Full)'!G113</f>
        <v/>
      </c>
      <c r="E37" s="178" t="n"/>
      <c r="F37" s="178" t="n"/>
      <c r="G37" s="178" t="n"/>
      <c r="H37" s="177">
        <f>'Summary (Full)'!K113</f>
        <v/>
      </c>
      <c r="I37" s="178" t="n"/>
      <c r="J37" s="177">
        <f>'Summary (Full)'!M113</f>
        <v/>
      </c>
      <c r="K37" s="178" t="n"/>
      <c r="L37" s="177">
        <f>'Summary (Full)'!O113</f>
        <v/>
      </c>
      <c r="M37" s="185" t="n"/>
      <c r="N37" s="246">
        <f>'Summary (Full)'!Q113</f>
        <v/>
      </c>
      <c r="O37" s="185" t="n"/>
      <c r="AL37" s="23" t="n"/>
    </row>
    <row r="38">
      <c r="B38" s="196" t="n"/>
      <c r="C38" s="85">
        <f>'Summary (Full)'!F114</f>
        <v/>
      </c>
      <c r="D38" s="17">
        <f>'Summary (Full)'!G114</f>
        <v/>
      </c>
      <c r="E38" s="179" t="n"/>
      <c r="F38" s="179" t="n"/>
      <c r="G38" s="179" t="n"/>
      <c r="H38" s="177">
        <f>'Summary (Full)'!K114</f>
        <v/>
      </c>
      <c r="I38" s="179" t="n"/>
      <c r="J38" s="177">
        <f>'Summary (Full)'!M114</f>
        <v/>
      </c>
      <c r="K38" s="179" t="n"/>
      <c r="L38" s="177">
        <f>'Summary (Full)'!O114</f>
        <v/>
      </c>
      <c r="M38" s="186" t="n"/>
      <c r="N38" s="246">
        <f>'Summary (Full)'!Q114</f>
        <v/>
      </c>
      <c r="O38" s="186" t="n"/>
      <c r="AL38" s="23" t="n"/>
    </row>
    <row r="39">
      <c r="B39" s="203">
        <f>'Summary (Full)'!D116</f>
        <v/>
      </c>
      <c r="C39" s="85">
        <f>'Summary (Full)'!F140</f>
        <v/>
      </c>
      <c r="D39" s="17">
        <f>'Summary (Full)'!G140</f>
        <v/>
      </c>
      <c r="E39" s="177">
        <f>'Summary (Full)'!H140</f>
        <v/>
      </c>
      <c r="F39" s="177">
        <f>'Summary (Full)'!I140</f>
        <v/>
      </c>
      <c r="G39" s="177">
        <f>'Summary (Full)'!J140</f>
        <v/>
      </c>
      <c r="H39" s="177">
        <f>'Summary (Full)'!K140</f>
        <v/>
      </c>
      <c r="I39" s="177">
        <f>'Summary (Full)'!L140</f>
        <v/>
      </c>
      <c r="J39" s="177">
        <f>'Summary (Full)'!M140</f>
        <v/>
      </c>
      <c r="K39" s="177">
        <f>'Summary (Full)'!N140</f>
        <v/>
      </c>
      <c r="L39" s="177">
        <f>'Summary (Full)'!O140</f>
        <v/>
      </c>
      <c r="M39" s="187">
        <f>'Summary (Full)'!P140</f>
        <v/>
      </c>
      <c r="N39" s="246">
        <f>'Summary (Full)'!Q140</f>
        <v/>
      </c>
      <c r="O39" s="188">
        <f>'Summary (Full)'!R140</f>
        <v/>
      </c>
      <c r="AL39" s="23" t="n"/>
    </row>
    <row r="40">
      <c r="B40" s="195" t="n"/>
      <c r="C40" s="85">
        <f>'Summary (Full)'!F141</f>
        <v/>
      </c>
      <c r="D40" s="17">
        <f>'Summary (Full)'!G141</f>
        <v/>
      </c>
      <c r="E40" s="178" t="n"/>
      <c r="F40" s="178" t="n"/>
      <c r="G40" s="178" t="n"/>
      <c r="H40" s="177">
        <f>'Summary (Full)'!K141</f>
        <v/>
      </c>
      <c r="I40" s="178" t="n"/>
      <c r="J40" s="177">
        <f>'Summary (Full)'!M141</f>
        <v/>
      </c>
      <c r="K40" s="178" t="n"/>
      <c r="L40" s="177">
        <f>'Summary (Full)'!O141</f>
        <v/>
      </c>
      <c r="M40" s="185" t="n"/>
      <c r="N40" s="246">
        <f>'Summary (Full)'!Q141</f>
        <v/>
      </c>
      <c r="O40" s="185" t="n"/>
      <c r="AL40" s="23" t="n"/>
    </row>
    <row r="41">
      <c r="B41" s="196" t="n"/>
      <c r="C41" s="85">
        <f>'Summary (Full)'!F142</f>
        <v/>
      </c>
      <c r="D41" s="17">
        <f>'Summary (Full)'!G142</f>
        <v/>
      </c>
      <c r="E41" s="179" t="n"/>
      <c r="F41" s="179" t="n"/>
      <c r="G41" s="179" t="n"/>
      <c r="H41" s="177">
        <f>'Summary (Full)'!K142</f>
        <v/>
      </c>
      <c r="I41" s="179" t="n"/>
      <c r="J41" s="177">
        <f>'Summary (Full)'!M142</f>
        <v/>
      </c>
      <c r="K41" s="179" t="n"/>
      <c r="L41" s="177">
        <f>'Summary (Full)'!O142</f>
        <v/>
      </c>
      <c r="M41" s="186" t="n"/>
      <c r="N41" s="246">
        <f>'Summary (Full)'!Q142</f>
        <v/>
      </c>
      <c r="O41" s="186" t="n"/>
      <c r="AL41" s="23" t="n"/>
    </row>
    <row r="42">
      <c r="B42" s="203">
        <f>'Summary (Full)'!D144</f>
        <v/>
      </c>
      <c r="C42" s="85">
        <f>'Summary (Full)'!F168</f>
        <v/>
      </c>
      <c r="D42" s="17">
        <f>'Summary (Full)'!G168</f>
        <v/>
      </c>
      <c r="E42" s="177">
        <f>'Summary (Full)'!H168</f>
        <v/>
      </c>
      <c r="F42" s="177">
        <f>'Summary (Full)'!I168</f>
        <v/>
      </c>
      <c r="G42" s="177">
        <f>'Summary (Full)'!J168</f>
        <v/>
      </c>
      <c r="H42" s="177">
        <f>'Summary (Full)'!K168</f>
        <v/>
      </c>
      <c r="I42" s="177">
        <f>'Summary (Full)'!L168</f>
        <v/>
      </c>
      <c r="J42" s="177">
        <f>'Summary (Full)'!M168</f>
        <v/>
      </c>
      <c r="K42" s="177">
        <f>'Summary (Full)'!N168</f>
        <v/>
      </c>
      <c r="L42" s="177">
        <f>'Summary (Full)'!O168</f>
        <v/>
      </c>
      <c r="M42" s="187">
        <f>'Summary (Full)'!P168</f>
        <v/>
      </c>
      <c r="N42" s="246">
        <f>'Summary (Full)'!Q168</f>
        <v/>
      </c>
      <c r="O42" s="188">
        <f>'Summary (Full)'!R168</f>
        <v/>
      </c>
      <c r="AL42" s="23" t="n"/>
    </row>
    <row r="43">
      <c r="B43" s="195" t="n"/>
      <c r="C43" s="85">
        <f>'Summary (Full)'!F169</f>
        <v/>
      </c>
      <c r="D43" s="17">
        <f>'Summary (Full)'!G169</f>
        <v/>
      </c>
      <c r="E43" s="178" t="n"/>
      <c r="F43" s="178" t="n"/>
      <c r="G43" s="178" t="n"/>
      <c r="H43" s="177">
        <f>'Summary (Full)'!K169</f>
        <v/>
      </c>
      <c r="I43" s="178" t="n"/>
      <c r="J43" s="177">
        <f>'Summary (Full)'!M169</f>
        <v/>
      </c>
      <c r="K43" s="178" t="n"/>
      <c r="L43" s="177">
        <f>'Summary (Full)'!O169</f>
        <v/>
      </c>
      <c r="M43" s="185" t="n"/>
      <c r="N43" s="246">
        <f>'Summary (Full)'!Q169</f>
        <v/>
      </c>
      <c r="O43" s="185" t="n"/>
      <c r="AL43" s="23" t="n"/>
    </row>
    <row r="44">
      <c r="B44" s="196" t="n"/>
      <c r="C44" s="85">
        <f>'Summary (Full)'!F170</f>
        <v/>
      </c>
      <c r="D44" s="17">
        <f>'Summary (Full)'!G170</f>
        <v/>
      </c>
      <c r="E44" s="179" t="n"/>
      <c r="F44" s="179" t="n"/>
      <c r="G44" s="179" t="n"/>
      <c r="H44" s="177">
        <f>'Summary (Full)'!K170</f>
        <v/>
      </c>
      <c r="I44" s="179" t="n"/>
      <c r="J44" s="177">
        <f>'Summary (Full)'!M170</f>
        <v/>
      </c>
      <c r="K44" s="179" t="n"/>
      <c r="L44" s="177">
        <f>'Summary (Full)'!O170</f>
        <v/>
      </c>
      <c r="M44" s="186" t="n"/>
      <c r="N44" s="246">
        <f>'Summary (Full)'!Q170</f>
        <v/>
      </c>
      <c r="O44" s="186" t="n"/>
      <c r="AL44" s="23" t="n"/>
    </row>
    <row r="45">
      <c r="B45" s="203">
        <f>'Summary (Full)'!D172</f>
        <v/>
      </c>
      <c r="C45" s="85">
        <f>'Summary (Full)'!F196</f>
        <v/>
      </c>
      <c r="D45" s="17">
        <f>'Summary (Full)'!G196</f>
        <v/>
      </c>
      <c r="E45" s="177">
        <f>'Summary (Full)'!H196</f>
        <v/>
      </c>
      <c r="F45" s="177">
        <f>'Summary (Full)'!I196</f>
        <v/>
      </c>
      <c r="G45" s="177">
        <f>'Summary (Full)'!J196</f>
        <v/>
      </c>
      <c r="H45" s="177">
        <f>'Summary (Full)'!K196</f>
        <v/>
      </c>
      <c r="I45" s="177">
        <f>'Summary (Full)'!L196</f>
        <v/>
      </c>
      <c r="J45" s="177">
        <f>'Summary (Full)'!M196</f>
        <v/>
      </c>
      <c r="K45" s="177">
        <f>'Summary (Full)'!N196</f>
        <v/>
      </c>
      <c r="L45" s="177">
        <f>'Summary (Full)'!O196</f>
        <v/>
      </c>
      <c r="M45" s="187">
        <f>'Summary (Full)'!P196</f>
        <v/>
      </c>
      <c r="N45" s="246">
        <f>'Summary (Full)'!Q196</f>
        <v/>
      </c>
      <c r="O45" s="188">
        <f>'Summary (Full)'!R196</f>
        <v/>
      </c>
      <c r="AL45" s="23" t="n"/>
    </row>
    <row r="46">
      <c r="B46" s="195" t="n"/>
      <c r="C46" s="85">
        <f>'Summary (Full)'!F197</f>
        <v/>
      </c>
      <c r="D46" s="17">
        <f>'Summary (Full)'!G197</f>
        <v/>
      </c>
      <c r="E46" s="178" t="n"/>
      <c r="F46" s="178" t="n"/>
      <c r="G46" s="178" t="n"/>
      <c r="H46" s="177">
        <f>'Summary (Full)'!K197</f>
        <v/>
      </c>
      <c r="I46" s="178" t="n"/>
      <c r="J46" s="177">
        <f>'Summary (Full)'!M197</f>
        <v/>
      </c>
      <c r="K46" s="178" t="n"/>
      <c r="L46" s="177">
        <f>'Summary (Full)'!O197</f>
        <v/>
      </c>
      <c r="M46" s="185" t="n"/>
      <c r="N46" s="246">
        <f>'Summary (Full)'!Q197</f>
        <v/>
      </c>
      <c r="O46" s="185" t="n"/>
      <c r="AL46" s="23" t="n"/>
    </row>
    <row r="47">
      <c r="B47" s="196" t="n"/>
      <c r="C47" s="85">
        <f>'Summary (Full)'!F198</f>
        <v/>
      </c>
      <c r="D47" s="17">
        <f>'Summary (Full)'!G198</f>
        <v/>
      </c>
      <c r="E47" s="179" t="n"/>
      <c r="F47" s="179" t="n"/>
      <c r="G47" s="179" t="n"/>
      <c r="H47" s="177">
        <f>'Summary (Full)'!K198</f>
        <v/>
      </c>
      <c r="I47" s="179" t="n"/>
      <c r="J47" s="177">
        <f>'Summary (Full)'!M198</f>
        <v/>
      </c>
      <c r="K47" s="179" t="n"/>
      <c r="L47" s="177">
        <f>'Summary (Full)'!O198</f>
        <v/>
      </c>
      <c r="M47" s="186" t="n"/>
      <c r="N47" s="246">
        <f>'Summary (Full)'!Q198</f>
        <v/>
      </c>
      <c r="O47" s="186" t="n"/>
      <c r="AL47" s="23" t="n"/>
    </row>
    <row r="48">
      <c r="B48" s="203">
        <f>'Summary (Full)'!D200</f>
        <v/>
      </c>
      <c r="C48" s="85">
        <f>'Summary (Full)'!F224</f>
        <v/>
      </c>
      <c r="D48" s="17">
        <f>'Summary (Full)'!G224</f>
        <v/>
      </c>
      <c r="E48" s="177">
        <f>'Summary (Full)'!H224</f>
        <v/>
      </c>
      <c r="F48" s="177">
        <f>'Summary (Full)'!I224</f>
        <v/>
      </c>
      <c r="G48" s="177">
        <f>'Summary (Full)'!J224</f>
        <v/>
      </c>
      <c r="H48" s="177">
        <f>'Summary (Full)'!K224</f>
        <v/>
      </c>
      <c r="I48" s="177">
        <f>'Summary (Full)'!L224</f>
        <v/>
      </c>
      <c r="J48" s="177">
        <f>'Summary (Full)'!M224</f>
        <v/>
      </c>
      <c r="K48" s="177">
        <f>'Summary (Full)'!N224</f>
        <v/>
      </c>
      <c r="L48" s="177">
        <f>'Summary (Full)'!O224</f>
        <v/>
      </c>
      <c r="M48" s="187">
        <f>'Summary (Full)'!P224</f>
        <v/>
      </c>
      <c r="N48" s="246">
        <f>'Summary (Full)'!Q224</f>
        <v/>
      </c>
      <c r="O48" s="188">
        <f>'Summary (Full)'!R224</f>
        <v/>
      </c>
      <c r="AL48" s="23" t="n"/>
    </row>
    <row r="49">
      <c r="B49" s="195" t="n"/>
      <c r="C49" s="85">
        <f>'Summary (Full)'!F225</f>
        <v/>
      </c>
      <c r="D49" s="17">
        <f>'Summary (Full)'!G225</f>
        <v/>
      </c>
      <c r="E49" s="178" t="n"/>
      <c r="F49" s="178" t="n"/>
      <c r="G49" s="178" t="n"/>
      <c r="H49" s="177">
        <f>'Summary (Full)'!K225</f>
        <v/>
      </c>
      <c r="I49" s="178" t="n"/>
      <c r="J49" s="177">
        <f>'Summary (Full)'!M225</f>
        <v/>
      </c>
      <c r="K49" s="178" t="n"/>
      <c r="L49" s="177">
        <f>'Summary (Full)'!O225</f>
        <v/>
      </c>
      <c r="M49" s="185" t="n"/>
      <c r="N49" s="246">
        <f>'Summary (Full)'!Q225</f>
        <v/>
      </c>
      <c r="O49" s="185" t="n"/>
      <c r="AL49" s="23" t="n"/>
    </row>
    <row r="50">
      <c r="B50" s="196" t="n"/>
      <c r="C50" s="85">
        <f>'Summary (Full)'!F226</f>
        <v/>
      </c>
      <c r="D50" s="17">
        <f>'Summary (Full)'!G226</f>
        <v/>
      </c>
      <c r="E50" s="179" t="n"/>
      <c r="F50" s="179" t="n"/>
      <c r="G50" s="179" t="n"/>
      <c r="H50" s="177">
        <f>'Summary (Full)'!K226</f>
        <v/>
      </c>
      <c r="I50" s="179" t="n"/>
      <c r="J50" s="177">
        <f>'Summary (Full)'!M226</f>
        <v/>
      </c>
      <c r="K50" s="179" t="n"/>
      <c r="L50" s="177">
        <f>'Summary (Full)'!O226</f>
        <v/>
      </c>
      <c r="M50" s="186" t="n"/>
      <c r="N50" s="246">
        <f>'Summary (Full)'!Q226</f>
        <v/>
      </c>
      <c r="O50" s="186" t="n"/>
      <c r="AL50" s="23" t="n"/>
    </row>
    <row r="51">
      <c r="B51" s="203">
        <f>'Summary (Full)'!D228</f>
        <v/>
      </c>
      <c r="C51" s="85">
        <f>'Summary (Full)'!F252</f>
        <v/>
      </c>
      <c r="D51" s="17">
        <f>'Summary (Full)'!G252</f>
        <v/>
      </c>
      <c r="E51" s="177">
        <f>'Summary (Full)'!H252</f>
        <v/>
      </c>
      <c r="F51" s="177">
        <f>'Summary (Full)'!I252</f>
        <v/>
      </c>
      <c r="G51" s="177">
        <f>'Summary (Full)'!J252</f>
        <v/>
      </c>
      <c r="H51" s="177">
        <f>'Summary (Full)'!K252</f>
        <v/>
      </c>
      <c r="I51" s="177">
        <f>'Summary (Full)'!L252</f>
        <v/>
      </c>
      <c r="J51" s="177">
        <f>'Summary (Full)'!M252</f>
        <v/>
      </c>
      <c r="K51" s="177">
        <f>'Summary (Full)'!N252</f>
        <v/>
      </c>
      <c r="L51" s="177">
        <f>'Summary (Full)'!O252</f>
        <v/>
      </c>
      <c r="M51" s="187">
        <f>'Summary (Full)'!P252</f>
        <v/>
      </c>
      <c r="N51" s="246">
        <f>'Summary (Full)'!Q252</f>
        <v/>
      </c>
      <c r="O51" s="188">
        <f>'Summary (Full)'!R252</f>
        <v/>
      </c>
      <c r="AL51" s="23" t="n"/>
    </row>
    <row r="52">
      <c r="B52" s="195" t="n"/>
      <c r="C52" s="85">
        <f>'Summary (Full)'!F253</f>
        <v/>
      </c>
      <c r="D52" s="17">
        <f>'Summary (Full)'!G253</f>
        <v/>
      </c>
      <c r="E52" s="178" t="n"/>
      <c r="F52" s="178" t="n"/>
      <c r="G52" s="178" t="n"/>
      <c r="H52" s="177">
        <f>'Summary (Full)'!K253</f>
        <v/>
      </c>
      <c r="I52" s="178" t="n"/>
      <c r="J52" s="177">
        <f>'Summary (Full)'!M253</f>
        <v/>
      </c>
      <c r="K52" s="178" t="n"/>
      <c r="L52" s="177">
        <f>'Summary (Full)'!O253</f>
        <v/>
      </c>
      <c r="M52" s="185" t="n"/>
      <c r="N52" s="246">
        <f>'Summary (Full)'!Q253</f>
        <v/>
      </c>
      <c r="O52" s="185" t="n"/>
      <c r="AL52" s="23" t="n"/>
    </row>
    <row r="53" ht="17" customHeight="1" s="241" thickBot="1">
      <c r="B53" s="196" t="n"/>
      <c r="C53" s="105">
        <f>'Summary (Full)'!F254</f>
        <v/>
      </c>
      <c r="D53" s="49">
        <f>'Summary (Full)'!G254</f>
        <v/>
      </c>
      <c r="E53" s="179" t="n"/>
      <c r="F53" s="179" t="n"/>
      <c r="G53" s="179" t="n"/>
      <c r="H53" s="101">
        <f>'Summary (Full)'!K254</f>
        <v/>
      </c>
      <c r="I53" s="179" t="n"/>
      <c r="J53" s="101">
        <f>'Summary (Full)'!M254</f>
        <v/>
      </c>
      <c r="K53" s="179" t="n"/>
      <c r="L53" s="101">
        <f>'Summary (Full)'!O254</f>
        <v/>
      </c>
      <c r="M53" s="186" t="n"/>
      <c r="N53" s="126">
        <f>'Summary (Full)'!Q254</f>
        <v/>
      </c>
      <c r="O53" s="186" t="n"/>
      <c r="AL53" s="23" t="n"/>
    </row>
    <row r="54" ht="17" customHeight="1" s="241" thickTop="1">
      <c r="B54" s="194" t="inlineStr">
        <is>
          <t>OVERALL</t>
        </is>
      </c>
      <c r="C54" s="109" t="inlineStr">
        <is>
          <t>HIGH</t>
        </is>
      </c>
      <c r="D54" s="110">
        <f>AVERAGE(D36,D39,D42,D45,D48,D51)</f>
        <v/>
      </c>
      <c r="E54" s="189">
        <f>AVERAGE(E36:E53)</f>
        <v/>
      </c>
      <c r="F54" s="189">
        <f>AVERAGE(F36:F53)</f>
        <v/>
      </c>
      <c r="G54" s="189">
        <f>AVERAGE(G36:G53)</f>
        <v/>
      </c>
      <c r="H54" s="189">
        <f>AVERAGE(H36,H39,H42,H45,H48,H51)</f>
        <v/>
      </c>
      <c r="I54" s="189">
        <f>AVERAGE(I36:I53)</f>
        <v/>
      </c>
      <c r="J54" s="189">
        <f>AVERAGE(J36,J39,J42,J45,J48,J51)</f>
        <v/>
      </c>
      <c r="K54" s="189">
        <f>AVERAGE(K36:K53)</f>
        <v/>
      </c>
      <c r="L54" s="189">
        <f>AVERAGE(L36,L39,L42,L45,L48,L51)</f>
        <v/>
      </c>
      <c r="M54" s="207">
        <f>AVERAGE(M36:M53)</f>
        <v/>
      </c>
      <c r="N54" s="127">
        <f>SUM(N36,N39,N42,N45,N48,N51)</f>
        <v/>
      </c>
      <c r="O54" s="206">
        <f>SUM(O36:O53)</f>
        <v/>
      </c>
      <c r="AL54" s="23" t="n"/>
    </row>
    <row r="55">
      <c r="B55" s="195" t="n"/>
      <c r="C55" s="87" t="inlineStr">
        <is>
          <t>MED</t>
        </is>
      </c>
      <c r="D55" s="17">
        <f>AVERAGE(D37,D40,D43,D46,D49,D52)</f>
        <v/>
      </c>
      <c r="E55" s="178" t="n"/>
      <c r="F55" s="178" t="n"/>
      <c r="G55" s="178" t="n"/>
      <c r="H55" s="177">
        <f>AVERAGE(H37,H40,H43,H46,H49,H52)</f>
        <v/>
      </c>
      <c r="I55" s="178" t="n"/>
      <c r="J55" s="177">
        <f>AVERAGE(J37,J40,J43,J46,J49,J52)</f>
        <v/>
      </c>
      <c r="K55" s="178" t="n"/>
      <c r="L55" s="177">
        <f>AVERAGE(L37,L40,L43,L46,L49,L52)</f>
        <v/>
      </c>
      <c r="M55" s="185" t="n"/>
      <c r="N55" s="246">
        <f>SUM(N37,N40,N43,N46,N49,N52)</f>
        <v/>
      </c>
      <c r="O55" s="185" t="n"/>
      <c r="AL55" s="23" t="n"/>
    </row>
    <row r="56" ht="17" customHeight="1" s="241" thickBot="1">
      <c r="B56" s="196" t="n"/>
      <c r="C56" s="106" t="inlineStr">
        <is>
          <t>LOW</t>
        </is>
      </c>
      <c r="D56" s="107">
        <f>AVERAGE(D38,D41,D44,D47,D50,D53)</f>
        <v/>
      </c>
      <c r="E56" s="179" t="n"/>
      <c r="F56" s="179" t="n"/>
      <c r="G56" s="179" t="n"/>
      <c r="H56" s="108">
        <f>AVERAGE(H38,H41,H44,H47,H50,H53)</f>
        <v/>
      </c>
      <c r="I56" s="179" t="n"/>
      <c r="J56" s="108">
        <f>AVERAGE(J38,J41,J44,J47,J50,J53)</f>
        <v/>
      </c>
      <c r="K56" s="179" t="n"/>
      <c r="L56" s="108">
        <f>AVERAGE(L38,L41,L44,L47,L50,L53)</f>
        <v/>
      </c>
      <c r="M56" s="186" t="n"/>
      <c r="N56" s="128">
        <f>SUM(N38,N41,N44,N47,N50,N53)</f>
        <v/>
      </c>
      <c r="O56" s="186" t="n"/>
      <c r="AL56" s="23" t="n"/>
    </row>
    <row r="57" ht="17" customHeight="1" s="241" thickTop="1">
      <c r="AL57" s="23" t="n"/>
    </row>
  </sheetData>
  <mergeCells count="126">
    <mergeCell ref="L17:M17"/>
    <mergeCell ref="G54:G56"/>
    <mergeCell ref="I48:I50"/>
    <mergeCell ref="V17:W17"/>
    <mergeCell ref="K48:K50"/>
    <mergeCell ref="F16:G16"/>
    <mergeCell ref="O51:O53"/>
    <mergeCell ref="I26:J26"/>
    <mergeCell ref="L9:L11"/>
    <mergeCell ref="C32:O32"/>
    <mergeCell ref="K26:L26"/>
    <mergeCell ref="B36:B38"/>
    <mergeCell ref="N9:N11"/>
    <mergeCell ref="B45:B47"/>
    <mergeCell ref="F9:F11"/>
    <mergeCell ref="P16:U16"/>
    <mergeCell ref="F39:F41"/>
    <mergeCell ref="C26:F26"/>
    <mergeCell ref="E51:E53"/>
    <mergeCell ref="G42:G44"/>
    <mergeCell ref="B15:B18"/>
    <mergeCell ref="E7:I7"/>
    <mergeCell ref="F51:F53"/>
    <mergeCell ref="Q19:Q21"/>
    <mergeCell ref="S19:S21"/>
    <mergeCell ref="E36:E38"/>
    <mergeCell ref="Q9:Q11"/>
    <mergeCell ref="M45:M47"/>
    <mergeCell ref="S9:S11"/>
    <mergeCell ref="E45:E47"/>
    <mergeCell ref="G45:G47"/>
    <mergeCell ref="I39:I41"/>
    <mergeCell ref="L16:M16"/>
    <mergeCell ref="K39:K41"/>
    <mergeCell ref="N16:O16"/>
    <mergeCell ref="X17:Y17"/>
    <mergeCell ref="O48:O50"/>
    <mergeCell ref="B25:B27"/>
    <mergeCell ref="F17:G17"/>
    <mergeCell ref="H17:I17"/>
    <mergeCell ref="E48:E50"/>
    <mergeCell ref="G48:G50"/>
    <mergeCell ref="K51:K53"/>
    <mergeCell ref="M51:M53"/>
    <mergeCell ref="G26:H26"/>
    <mergeCell ref="C25:L25"/>
    <mergeCell ref="T9:T11"/>
    <mergeCell ref="B39:B41"/>
    <mergeCell ref="B48:B50"/>
    <mergeCell ref="E19:E21"/>
    <mergeCell ref="C5:T5"/>
    <mergeCell ref="G19:G21"/>
    <mergeCell ref="Y19:Y21"/>
    <mergeCell ref="B32:B35"/>
    <mergeCell ref="E9:E11"/>
    <mergeCell ref="I42:I44"/>
    <mergeCell ref="K42:K44"/>
    <mergeCell ref="M36:M38"/>
    <mergeCell ref="C33:G33"/>
    <mergeCell ref="M42:M44"/>
    <mergeCell ref="O42:O44"/>
    <mergeCell ref="I19:I21"/>
    <mergeCell ref="X16:Y16"/>
    <mergeCell ref="G9:G11"/>
    <mergeCell ref="B51:B53"/>
    <mergeCell ref="L33:M33"/>
    <mergeCell ref="M19:M21"/>
    <mergeCell ref="N33:O33"/>
    <mergeCell ref="O19:O21"/>
    <mergeCell ref="D17:E17"/>
    <mergeCell ref="K9:K11"/>
    <mergeCell ref="M9:M11"/>
    <mergeCell ref="N17:O17"/>
    <mergeCell ref="O9:O11"/>
    <mergeCell ref="I54:I56"/>
    <mergeCell ref="K54:K56"/>
    <mergeCell ref="E39:E41"/>
    <mergeCell ref="H16:I16"/>
    <mergeCell ref="M48:M50"/>
    <mergeCell ref="G39:G41"/>
    <mergeCell ref="J16:K16"/>
    <mergeCell ref="P7:T7"/>
    <mergeCell ref="R19:R21"/>
    <mergeCell ref="B42:B44"/>
    <mergeCell ref="O54:O56"/>
    <mergeCell ref="P9:P11"/>
    <mergeCell ref="F36:F38"/>
    <mergeCell ref="H9:H11"/>
    <mergeCell ref="B5:B8"/>
    <mergeCell ref="F45:F47"/>
    <mergeCell ref="J9:J11"/>
    <mergeCell ref="M54:M56"/>
    <mergeCell ref="F42:F44"/>
    <mergeCell ref="B19:B21"/>
    <mergeCell ref="G51:G53"/>
    <mergeCell ref="I51:I53"/>
    <mergeCell ref="E54:E56"/>
    <mergeCell ref="C15:Y15"/>
    <mergeCell ref="P17:U17"/>
    <mergeCell ref="T19:T21"/>
    <mergeCell ref="C35:D35"/>
    <mergeCell ref="B54:B56"/>
    <mergeCell ref="F48:F50"/>
    <mergeCell ref="R9:R11"/>
    <mergeCell ref="K19:K21"/>
    <mergeCell ref="U19:U21"/>
    <mergeCell ref="W19:W21"/>
    <mergeCell ref="I9:I11"/>
    <mergeCell ref="E42:E44"/>
    <mergeCell ref="G36:G38"/>
    <mergeCell ref="I36:I38"/>
    <mergeCell ref="D16:E16"/>
    <mergeCell ref="K36:K38"/>
    <mergeCell ref="I45:I47"/>
    <mergeCell ref="K45:K47"/>
    <mergeCell ref="M39:M41"/>
    <mergeCell ref="F54:F56"/>
    <mergeCell ref="O39:O41"/>
    <mergeCell ref="O36:O38"/>
    <mergeCell ref="O45:O47"/>
    <mergeCell ref="C6:T6"/>
    <mergeCell ref="V16:W16"/>
    <mergeCell ref="H33:I33"/>
    <mergeCell ref="J33:K33"/>
    <mergeCell ref="B9:B11"/>
    <mergeCell ref="J17:K17"/>
  </mergeCells>
  <conditionalFormatting sqref="D9:D10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M28">
    <cfRule type="cellIs" priority="2277" operator="lessThan" dxfId="3" stopIfTrue="1">
      <formula>1</formula>
    </cfRule>
  </conditionalFormatting>
  <conditionalFormatting sqref="C28:M28">
    <cfRule type="cellIs" priority="335" operator="greaterThan" dxfId="4605" stopIfTrue="1">
      <formula>2</formula>
    </cfRule>
    <cfRule type="cellIs" priority="336" operator="lessThan" dxfId="4604" stopIfTrue="1">
      <formula>0.5</formula>
    </cfRule>
  </conditionalFormatting>
  <conditionalFormatting sqref="D9">
    <cfRule type="cellIs" priority="2279" operator="greaterThan" dxfId="1" stopIfTrue="1">
      <formula>0</formula>
    </cfRule>
    <cfRule type="cellIs" priority="2280" operator="lessThan" dxfId="0" stopIfTrue="1">
      <formula>0</formula>
    </cfRule>
  </conditionalFormatting>
  <conditionalFormatting sqref="D10">
    <cfRule type="cellIs" priority="325" operator="lessThan" dxfId="0" stopIfTrue="1">
      <formula>0</formula>
    </cfRule>
    <cfRule type="cellIs" priority="326" operator="greaterThan" dxfId="1" stopIfTrue="1">
      <formula>0</formula>
    </cfRule>
  </conditionalFormatting>
  <conditionalFormatting sqref="D12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19" operator="greaterThan" dxfId="1" stopIfTrue="1">
      <formula>0</formula>
    </cfRule>
    <cfRule type="cellIs" priority="320" operator="lessThan" dxfId="0" stopIfTrue="1">
      <formula>0</formula>
    </cfRule>
    <cfRule type="cellIs" priority="315" operator="lessThan" dxfId="0" stopIfTrue="1">
      <formula>0</formula>
    </cfRule>
    <cfRule type="cellIs" priority="316" operator="greaterThan" dxfId="1" stopIfTrue="1">
      <formula>0</formula>
    </cfRule>
  </conditionalFormatting>
  <conditionalFormatting sqref="D11">
    <cfRule type="cellIs" priority="310" operator="greaterThan" dxfId="3" stopIfTrue="1">
      <formula>0.03</formula>
    </cfRule>
    <cfRule type="cellIs" priority="311" operator="lessThan" dxfId="2" stopIfTrue="1">
      <formula>-0.03</formula>
    </cfRule>
    <cfRule type="cellIs" priority="313" operator="greaterThan" dxfId="1" stopIfTrue="1">
      <formula>0</formula>
    </cfRule>
    <cfRule type="cellIs" priority="312" operator="lessThan" dxfId="0" stopIfTrue="1">
      <formula>0</formula>
    </cfRule>
  </conditionalFormatting>
  <conditionalFormatting sqref="E9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F9:T9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19">
    <cfRule type="cellIs" priority="63" operator="greaterThan" dxfId="3" stopIfTrue="1">
      <formula>0.03</formula>
    </cfRule>
    <cfRule type="cellIs" priority="64" operator="lessThan" dxfId="2" stopIfTrue="1">
      <formula>-0.03</formula>
    </cfRule>
    <cfRule type="cellIs" priority="66" operator="greaterThan" dxfId="1" stopIfTrue="1">
      <formula>0</formula>
    </cfRule>
    <cfRule type="cellIs" priority="65" operator="lessThan" dxfId="0" stopIfTrue="1">
      <formula>0</formula>
    </cfRule>
  </conditionalFormatting>
  <conditionalFormatting sqref="K19">
    <cfRule type="cellIs" priority="75" operator="greaterThan" dxfId="3" stopIfTrue="1">
      <formula>0.03</formula>
    </cfRule>
    <cfRule type="cellIs" priority="76" operator="lessThan" dxfId="2" stopIfTrue="1">
      <formula>-0.03</formula>
    </cfRule>
    <cfRule type="cellIs" priority="78" operator="greaterThan" dxfId="1" stopIfTrue="1">
      <formula>0</formula>
    </cfRule>
    <cfRule type="cellIs" priority="77" operator="lessThan" dxfId="0" stopIfTrue="1">
      <formula>0</formula>
    </cfRule>
  </conditionalFormatting>
  <conditionalFormatting sqref="G19">
    <cfRule type="cellIs" priority="83" operator="greaterThan" dxfId="3" stopIfTrue="1">
      <formula>0.03</formula>
    </cfRule>
    <cfRule type="cellIs" priority="84" operator="lessThan" dxfId="2" stopIfTrue="1">
      <formula>-0.03</formula>
    </cfRule>
    <cfRule type="cellIs" priority="86" operator="greaterThan" dxfId="1" stopIfTrue="1">
      <formula>0</formula>
    </cfRule>
    <cfRule type="cellIs" priority="85" operator="lessThan" dxfId="0" stopIfTrue="1">
      <formula>0</formula>
    </cfRule>
  </conditionalFormatting>
  <conditionalFormatting sqref="S19">
    <cfRule type="cellIs" priority="55" operator="greaterThan" dxfId="3" stopIfTrue="1">
      <formula>0.03</formula>
    </cfRule>
    <cfRule type="cellIs" priority="56" operator="lessThan" dxfId="2" stopIfTrue="1">
      <formula>-0.03</formula>
    </cfRule>
    <cfRule type="cellIs" priority="58" operator="greaterThan" dxfId="1" stopIfTrue="1">
      <formula>0</formula>
    </cfRule>
    <cfRule type="cellIs" priority="57" operator="lessThan" dxfId="0" stopIfTrue="1">
      <formula>0</formula>
    </cfRule>
  </conditionalFormatting>
  <conditionalFormatting sqref="D19:D20">
    <cfRule type="cellIs" priority="235" operator="greaterThan" dxfId="3" stopIfTrue="1">
      <formula>0.03</formula>
    </cfRule>
    <cfRule type="cellIs" priority="236" operator="lessThan" dxfId="2" stopIfTrue="1">
      <formula>-0.03</formula>
    </cfRule>
  </conditionalFormatting>
  <conditionalFormatting sqref="D19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D20">
    <cfRule type="cellIs" priority="237" operator="lessThan" dxfId="0" stopIfTrue="1">
      <formula>0</formula>
    </cfRule>
    <cfRule type="cellIs" priority="238" operator="greaterThan" dxfId="1" stopIfTrue="1">
      <formula>0</formula>
    </cfRule>
  </conditionalFormatting>
  <conditionalFormatting sqref="D21">
    <cfRule type="cellIs" priority="231" operator="greaterThan" dxfId="3" stopIfTrue="1">
      <formula>0.03</formula>
    </cfRule>
    <cfRule type="cellIs" priority="232" operator="lessThan" dxfId="2" stopIfTrue="1">
      <formula>-0.03</formula>
    </cfRule>
    <cfRule type="cellIs" priority="234" operator="greaterThan" dxfId="1" stopIfTrue="1">
      <formula>0</formula>
    </cfRule>
    <cfRule type="cellIs" priority="233" operator="lessThan" dxfId="0" stopIfTrue="1">
      <formula>0</formula>
    </cfRule>
  </conditionalFormatting>
  <conditionalFormatting sqref="K36 K39 K42 K45 K48 K51 K54">
    <cfRule type="cellIs" priority="19" operator="greaterThan" dxfId="3" stopIfTrue="1">
      <formula>0.03</formula>
    </cfRule>
    <cfRule type="cellIs" priority="20" operator="lessThan" dxfId="2" stopIfTrue="1">
      <formula>-0.03</formula>
    </cfRule>
    <cfRule type="cellIs" priority="22" operator="greaterThan" dxfId="1" stopIfTrue="1">
      <formula>0</formula>
    </cfRule>
    <cfRule type="cellIs" priority="21" operator="lessThan" dxfId="0" stopIfTrue="1">
      <formula>0</formula>
    </cfRule>
  </conditionalFormatting>
  <conditionalFormatting sqref="M36 M39 M42 M45 M48 M51 M54">
    <cfRule type="cellIs" priority="15" operator="greaterThan" dxfId="3" stopIfTrue="1">
      <formula>0.03</formula>
    </cfRule>
    <cfRule type="cellIs" priority="16" operator="lessThan" dxfId="2" stopIfTrue="1">
      <formula>-0.03</formula>
    </cfRule>
    <cfRule type="cellIs" priority="18" operator="greaterThan" dxfId="1" stopIfTrue="1">
      <formula>0</formula>
    </cfRule>
    <cfRule type="cellIs" priority="17" operator="lessThan" dxfId="0" stopIfTrue="1">
      <formula>0</formula>
    </cfRule>
  </conditionalFormatting>
  <conditionalFormatting sqref="D36:D37 D39:D40 D42:D43 D45:D46 D48:D49 D51:D52 D54:D55">
    <cfRule type="cellIs" priority="215" operator="greaterThan" dxfId="3" stopIfTrue="1">
      <formula>0.03</formula>
    </cfRule>
    <cfRule type="cellIs" priority="216" operator="lessThan" dxfId="2" stopIfTrue="1">
      <formula>-0.03</formula>
    </cfRule>
  </conditionalFormatting>
  <conditionalFormatting sqref="D36 D39 D42 D45 D48 D51 D54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D37 D40 D43 D46 D49 D52 D55">
    <cfRule type="cellIs" priority="217" operator="lessThan" dxfId="0" stopIfTrue="1">
      <formula>0</formula>
    </cfRule>
    <cfRule type="cellIs" priority="218" operator="greaterThan" dxfId="1" stopIfTrue="1">
      <formula>0</formula>
    </cfRule>
  </conditionalFormatting>
  <conditionalFormatting sqref="D38 D41 D44 D47 D50 D53 D56">
    <cfRule type="cellIs" priority="211" operator="greaterThan" dxfId="3" stopIfTrue="1">
      <formula>0.03</formula>
    </cfRule>
    <cfRule type="cellIs" priority="212" operator="lessThan" dxfId="2" stopIfTrue="1">
      <formula>-0.03</formula>
    </cfRule>
    <cfRule type="cellIs" priority="214" operator="greaterThan" dxfId="1" stopIfTrue="1">
      <formula>0</formula>
    </cfRule>
    <cfRule type="cellIs" priority="213" operator="lessThan" dxfId="0" stopIfTrue="1">
      <formula>0</formula>
    </cfRule>
  </conditionalFormatting>
  <conditionalFormatting sqref="H36:H37 H39:H40 H42:H43 H45:H46 H48:H49 H51:H52 H54:H55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H36 H39 H42 H45 H48 H51 H54">
    <cfRule type="cellIs" priority="209" operator="greaterThan" dxfId="1" stopIfTrue="1">
      <formula>0</formula>
    </cfRule>
    <cfRule type="cellIs" priority="210" operator="lessThan" dxfId="0" stopIfTrue="1">
      <formula>0</formula>
    </cfRule>
  </conditionalFormatting>
  <conditionalFormatting sqref="H37 H40 H43 H46 H49 H52 H55">
    <cfRule type="cellIs" priority="207" operator="lessThan" dxfId="0" stopIfTrue="1">
      <formula>0</formula>
    </cfRule>
    <cfRule type="cellIs" priority="208" operator="greaterThan" dxfId="1" stopIfTrue="1">
      <formula>0</formula>
    </cfRule>
  </conditionalFormatting>
  <conditionalFormatting sqref="H38 H41 H44 H47 H50 H53 H56">
    <cfRule type="cellIs" priority="201" operator="greaterThan" dxfId="3" stopIfTrue="1">
      <formula>0.03</formula>
    </cfRule>
    <cfRule type="cellIs" priority="202" operator="lessThan" dxfId="2" stopIfTrue="1">
      <formula>-0.03</formula>
    </cfRule>
    <cfRule type="cellIs" priority="204" operator="greaterThan" dxfId="1" stopIfTrue="1">
      <formula>0</formula>
    </cfRule>
    <cfRule type="cellIs" priority="203" operator="lessThan" dxfId="0" stopIfTrue="1">
      <formula>0</formula>
    </cfRule>
  </conditionalFormatting>
  <conditionalFormatting sqref="L36:L37 L39:L40 L42:L43 L45:L46 L48:L49 L51:L52 L54:L55">
    <cfRule type="cellIs" priority="195" operator="greaterThan" dxfId="3" stopIfTrue="1">
      <formula>0.03</formula>
    </cfRule>
    <cfRule type="cellIs" priority="196" operator="lessThan" dxfId="2" stopIfTrue="1">
      <formula>-0.03</formula>
    </cfRule>
  </conditionalFormatting>
  <conditionalFormatting sqref="L36 L39 L42 L45 L48 L51 L54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L37 L40 L43 L46 L49 L52 L55">
    <cfRule type="cellIs" priority="197" operator="lessThan" dxfId="0" stopIfTrue="1">
      <formula>0</formula>
    </cfRule>
    <cfRule type="cellIs" priority="198" operator="greaterThan" dxfId="1" stopIfTrue="1">
      <formula>0</formula>
    </cfRule>
  </conditionalFormatting>
  <conditionalFormatting sqref="L38 L41 L44 L47 L50 L53 L56">
    <cfRule type="cellIs" priority="191" operator="greaterThan" dxfId="3" stopIfTrue="1">
      <formula>0.03</formula>
    </cfRule>
    <cfRule type="cellIs" priority="192" operator="lessThan" dxfId="2" stopIfTrue="1">
      <formula>-0.03</formula>
    </cfRule>
    <cfRule type="cellIs" priority="194" operator="greaterThan" dxfId="1" stopIfTrue="1">
      <formula>0</formula>
    </cfRule>
    <cfRule type="cellIs" priority="193" operator="lessThan" dxfId="0" stopIfTrue="1">
      <formula>0</formula>
    </cfRule>
  </conditionalFormatting>
  <conditionalFormatting sqref="J36:J37 J39:J40 J42:J43 J45:J46 J48:J49 J51:J52 J54:J5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J36 J39 J42 J45 J48 J51 J54">
    <cfRule type="cellIs" priority="189" operator="greaterThan" dxfId="1" stopIfTrue="1">
      <formula>0</formula>
    </cfRule>
    <cfRule type="cellIs" priority="190" operator="lessThan" dxfId="0" stopIfTrue="1">
      <formula>0</formula>
    </cfRule>
  </conditionalFormatting>
  <conditionalFormatting sqref="J37 J40 J43 J46 J49 J52 J55">
    <cfRule type="cellIs" priority="187" operator="lessThan" dxfId="0" stopIfTrue="1">
      <formula>0</formula>
    </cfRule>
    <cfRule type="cellIs" priority="188" operator="greaterThan" dxfId="1" stopIfTrue="1">
      <formula>0</formula>
    </cfRule>
  </conditionalFormatting>
  <conditionalFormatting sqref="J38 J41 J44 J47 J50 J53 J56">
    <cfRule type="cellIs" priority="181" operator="greaterThan" dxfId="3" stopIfTrue="1">
      <formula>0.03</formula>
    </cfRule>
    <cfRule type="cellIs" priority="182" operator="lessThan" dxfId="2" stopIfTrue="1">
      <formula>-0.03</formula>
    </cfRule>
    <cfRule type="cellIs" priority="184" operator="greaterThan" dxfId="1" stopIfTrue="1">
      <formula>0</formula>
    </cfRule>
    <cfRule type="cellIs" priority="183" operator="lessThan" dxfId="0" stopIfTrue="1">
      <formula>0</formula>
    </cfRule>
  </conditionalFormatting>
  <conditionalFormatting sqref="F19:F20">
    <cfRule type="cellIs" priority="175" operator="greaterThan" dxfId="3" stopIfTrue="1">
      <formula>0.03</formula>
    </cfRule>
    <cfRule type="cellIs" priority="176" operator="lessThan" dxfId="2" stopIfTrue="1">
      <formula>-0.03</formula>
    </cfRule>
  </conditionalFormatting>
  <conditionalFormatting sqref="F19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F20">
    <cfRule type="cellIs" priority="177" operator="lessThan" dxfId="0" stopIfTrue="1">
      <formula>0</formula>
    </cfRule>
    <cfRule type="cellIs" priority="178" operator="greaterThan" dxfId="1" stopIfTrue="1">
      <formula>0</formula>
    </cfRule>
  </conditionalFormatting>
  <conditionalFormatting sqref="F21">
    <cfRule type="cellIs" priority="171" operator="greaterThan" dxfId="3" stopIfTrue="1">
      <formula>0.03</formula>
    </cfRule>
    <cfRule type="cellIs" priority="172" operator="lessThan" dxfId="2" stopIfTrue="1">
      <formula>-0.03</formula>
    </cfRule>
    <cfRule type="cellIs" priority="174" operator="greaterThan" dxfId="1" stopIfTrue="1">
      <formula>0</formula>
    </cfRule>
    <cfRule type="cellIs" priority="173" operator="lessThan" dxfId="0" stopIfTrue="1">
      <formula>0</formula>
    </cfRule>
  </conditionalFormatting>
  <conditionalFormatting sqref="H19:H20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H19">
    <cfRule type="cellIs" priority="169" operator="greaterThan" dxfId="1" stopIfTrue="1">
      <formula>0</formula>
    </cfRule>
    <cfRule type="cellIs" priority="170" operator="lessThan" dxfId="0" stopIfTrue="1">
      <formula>0</formula>
    </cfRule>
  </conditionalFormatting>
  <conditionalFormatting sqref="H20">
    <cfRule type="cellIs" priority="167" operator="lessThan" dxfId="0" stopIfTrue="1">
      <formula>0</formula>
    </cfRule>
    <cfRule type="cellIs" priority="168" operator="greaterThan" dxfId="1" stopIfTrue="1">
      <formula>0</formula>
    </cfRule>
  </conditionalFormatting>
  <conditionalFormatting sqref="H21">
    <cfRule type="cellIs" priority="161" operator="greaterThan" dxfId="3" stopIfTrue="1">
      <formula>0.03</formula>
    </cfRule>
    <cfRule type="cellIs" priority="162" operator="lessThan" dxfId="2" stopIfTrue="1">
      <formula>-0.03</formula>
    </cfRule>
    <cfRule type="cellIs" priority="164" operator="greaterThan" dxfId="1" stopIfTrue="1">
      <formula>0</formula>
    </cfRule>
    <cfRule type="cellIs" priority="163" operator="lessThan" dxfId="0" stopIfTrue="1">
      <formula>0</formula>
    </cfRule>
  </conditionalFormatting>
  <conditionalFormatting sqref="J19:J20">
    <cfRule type="cellIs" priority="155" operator="greaterThan" dxfId="3" stopIfTrue="1">
      <formula>0.03</formula>
    </cfRule>
    <cfRule type="cellIs" priority="156" operator="lessThan" dxfId="2" stopIfTrue="1">
      <formula>-0.03</formula>
    </cfRule>
  </conditionalFormatting>
  <conditionalFormatting sqref="J19">
    <cfRule type="cellIs" priority="159" operator="greaterThan" dxfId="1" stopIfTrue="1">
      <formula>0</formula>
    </cfRule>
    <cfRule type="cellIs" priority="160" operator="lessThan" dxfId="0" stopIfTrue="1">
      <formula>0</formula>
    </cfRule>
  </conditionalFormatting>
  <conditionalFormatting sqref="J20">
    <cfRule type="cellIs" priority="157" operator="lessThan" dxfId="0" stopIfTrue="1">
      <formula>0</formula>
    </cfRule>
    <cfRule type="cellIs" priority="158" operator="greaterThan" dxfId="1" stopIfTrue="1">
      <formula>0</formula>
    </cfRule>
  </conditionalFormatting>
  <conditionalFormatting sqref="J21">
    <cfRule type="cellIs" priority="151" operator="greaterThan" dxfId="3" stopIfTrue="1">
      <formula>0.03</formula>
    </cfRule>
    <cfRule type="cellIs" priority="152" operator="lessThan" dxfId="2" stopIfTrue="1">
      <formula>-0.03</formula>
    </cfRule>
    <cfRule type="cellIs" priority="154" operator="greaterThan" dxfId="1" stopIfTrue="1">
      <formula>0</formula>
    </cfRule>
    <cfRule type="cellIs" priority="153" operator="lessThan" dxfId="0" stopIfTrue="1">
      <formula>0</formula>
    </cfRule>
  </conditionalFormatting>
  <conditionalFormatting sqref="L19:L20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L19">
    <cfRule type="cellIs" priority="149" operator="greaterThan" dxfId="1" stopIfTrue="1">
      <formula>0</formula>
    </cfRule>
    <cfRule type="cellIs" priority="150" operator="lessThan" dxfId="0" stopIfTrue="1">
      <formula>0</formula>
    </cfRule>
  </conditionalFormatting>
  <conditionalFormatting sqref="L20">
    <cfRule type="cellIs" priority="147" operator="lessThan" dxfId="0" stopIfTrue="1">
      <formula>0</formula>
    </cfRule>
    <cfRule type="cellIs" priority="148" operator="greaterThan" dxfId="1" stopIfTrue="1">
      <formula>0</formula>
    </cfRule>
  </conditionalFormatting>
  <conditionalFormatting sqref="L21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4" operator="greaterThan" dxfId="1" stopIfTrue="1">
      <formula>0</formula>
    </cfRule>
    <cfRule type="cellIs" priority="143" operator="lessThan" dxfId="0" stopIfTrue="1">
      <formula>0</formula>
    </cfRule>
  </conditionalFormatting>
  <conditionalFormatting sqref="N19:N20">
    <cfRule type="cellIs" priority="135" operator="greaterThan" dxfId="3" stopIfTrue="1">
      <formula>0.03</formula>
    </cfRule>
    <cfRule type="cellIs" priority="136" operator="lessThan" dxfId="2" stopIfTrue="1">
      <formula>-0.03</formula>
    </cfRule>
  </conditionalFormatting>
  <conditionalFormatting sqref="N19">
    <cfRule type="cellIs" priority="139" operator="greaterThan" dxfId="1" stopIfTrue="1">
      <formula>0</formula>
    </cfRule>
    <cfRule type="cellIs" priority="140" operator="lessThan" dxfId="0" stopIfTrue="1">
      <formula>0</formula>
    </cfRule>
  </conditionalFormatting>
  <conditionalFormatting sqref="N20">
    <cfRule type="cellIs" priority="137" operator="lessThan" dxfId="0" stopIfTrue="1">
      <formula>0</formula>
    </cfRule>
    <cfRule type="cellIs" priority="138" operator="greaterThan" dxfId="1" stopIfTrue="1">
      <formula>0</formula>
    </cfRule>
  </conditionalFormatting>
  <conditionalFormatting sqref="N21">
    <cfRule type="cellIs" priority="131" operator="greaterThan" dxfId="3" stopIfTrue="1">
      <formula>0.03</formula>
    </cfRule>
    <cfRule type="cellIs" priority="132" operator="lessThan" dxfId="2" stopIfTrue="1">
      <formula>-0.03</formula>
    </cfRule>
    <cfRule type="cellIs" priority="134" operator="greaterThan" dxfId="1" stopIfTrue="1">
      <formula>0</formula>
    </cfRule>
    <cfRule type="cellIs" priority="133" operator="lessThan" dxfId="0" stopIfTrue="1">
      <formula>0</formula>
    </cfRule>
  </conditionalFormatting>
  <conditionalFormatting sqref="P19:P20">
    <cfRule type="cellIs" priority="115" operator="greaterThan" dxfId="3" stopIfTrue="1">
      <formula>0.03</formula>
    </cfRule>
    <cfRule type="cellIs" priority="116" operator="lessThan" dxfId="2" stopIfTrue="1">
      <formula>-0.03</formula>
    </cfRule>
  </conditionalFormatting>
  <conditionalFormatting sqref="P19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P20">
    <cfRule type="cellIs" priority="117" operator="lessThan" dxfId="0" stopIfTrue="1">
      <formula>0</formula>
    </cfRule>
    <cfRule type="cellIs" priority="118" operator="greaterThan" dxfId="1" stopIfTrue="1">
      <formula>0</formula>
    </cfRule>
  </conditionalFormatting>
  <conditionalFormatting sqref="P21">
    <cfRule type="cellIs" priority="111" operator="greaterThan" dxfId="3" stopIfTrue="1">
      <formula>0.03</formula>
    </cfRule>
    <cfRule type="cellIs" priority="112" operator="lessThan" dxfId="2" stopIfTrue="1">
      <formula>-0.03</formula>
    </cfRule>
    <cfRule type="cellIs" priority="114" operator="greaterThan" dxfId="1" stopIfTrue="1">
      <formula>0</formula>
    </cfRule>
    <cfRule type="cellIs" priority="113" operator="lessThan" dxfId="0" stopIfTrue="1">
      <formula>0</formula>
    </cfRule>
  </conditionalFormatting>
  <conditionalFormatting sqref="V19:V20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19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V20">
    <cfRule type="cellIs" priority="107" operator="lessThan" dxfId="0" stopIfTrue="1">
      <formula>0</formula>
    </cfRule>
    <cfRule type="cellIs" priority="108" operator="greaterThan" dxfId="1" stopIfTrue="1">
      <formula>0</formula>
    </cfRule>
  </conditionalFormatting>
  <conditionalFormatting sqref="V21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4" operator="greaterThan" dxfId="1" stopIfTrue="1">
      <formula>0</formula>
    </cfRule>
    <cfRule type="cellIs" priority="103" operator="lessThan" dxfId="0" stopIfTrue="1">
      <formula>0</formula>
    </cfRule>
  </conditionalFormatting>
  <conditionalFormatting sqref="X19:X20">
    <cfRule type="cellIs" priority="95" operator="greaterThan" dxfId="3" stopIfTrue="1">
      <formula>0.03</formula>
    </cfRule>
    <cfRule type="cellIs" priority="96" operator="lessThan" dxfId="2" stopIfTrue="1">
      <formula>-0.03</formula>
    </cfRule>
  </conditionalFormatting>
  <conditionalFormatting sqref="X19">
    <cfRule type="cellIs" priority="99" operator="greaterThan" dxfId="1" stopIfTrue="1">
      <formula>0</formula>
    </cfRule>
    <cfRule type="cellIs" priority="100" operator="lessThan" dxfId="0" stopIfTrue="1">
      <formula>0</formula>
    </cfRule>
  </conditionalFormatting>
  <conditionalFormatting sqref="X20">
    <cfRule type="cellIs" priority="97" operator="lessThan" dxfId="0" stopIfTrue="1">
      <formula>0</formula>
    </cfRule>
    <cfRule type="cellIs" priority="98" operator="greaterThan" dxfId="1" stopIfTrue="1">
      <formula>0</formula>
    </cfRule>
  </conditionalFormatting>
  <conditionalFormatting sqref="X21">
    <cfRule type="cellIs" priority="91" operator="greaterThan" dxfId="3" stopIfTrue="1">
      <formula>0.03</formula>
    </cfRule>
    <cfRule type="cellIs" priority="92" operator="lessThan" dxfId="2" stopIfTrue="1">
      <formula>-0.03</formula>
    </cfRule>
    <cfRule type="cellIs" priority="94" operator="greaterThan" dxfId="1" stopIfTrue="1">
      <formula>0</formula>
    </cfRule>
    <cfRule type="cellIs" priority="93" operator="lessThan" dxfId="0" stopIfTrue="1">
      <formula>0</formula>
    </cfRule>
  </conditionalFormatting>
  <conditionalFormatting sqref="E19">
    <cfRule type="cellIs" priority="87" operator="greaterThan" dxfId="3" stopIfTrue="1">
      <formula>0.03</formula>
    </cfRule>
    <cfRule type="cellIs" priority="88" operator="lessThan" dxfId="2" stopIfTrue="1">
      <formula>-0.03</formula>
    </cfRule>
    <cfRule type="cellIs" priority="90" operator="greaterThan" dxfId="1" stopIfTrue="1">
      <formula>0</formula>
    </cfRule>
    <cfRule type="cellIs" priority="89" operator="lessThan" dxfId="0" stopIfTrue="1">
      <formula>0</formula>
    </cfRule>
  </conditionalFormatting>
  <conditionalFormatting sqref="I19">
    <cfRule type="cellIs" priority="79" operator="greaterThan" dxfId="3" stopIfTrue="1">
      <formula>0.03</formula>
    </cfRule>
    <cfRule type="cellIs" priority="80" operator="lessThan" dxfId="2" stopIfTrue="1">
      <formula>-0.03</formula>
    </cfRule>
    <cfRule type="cellIs" priority="82" operator="greaterThan" dxfId="1" stopIfTrue="1">
      <formula>0</formula>
    </cfRule>
    <cfRule type="cellIs" priority="81" operator="lessThan" dxfId="0" stopIfTrue="1">
      <formula>0</formula>
    </cfRule>
  </conditionalFormatting>
  <conditionalFormatting sqref="M19">
    <cfRule type="cellIs" priority="71" operator="greaterThan" dxfId="3" stopIfTrue="1">
      <formula>0.03</formula>
    </cfRule>
    <cfRule type="cellIs" priority="72" operator="lessThan" dxfId="2" stopIfTrue="1">
      <formula>-0.03</formula>
    </cfRule>
    <cfRule type="cellIs" priority="74" operator="greaterThan" dxfId="1" stopIfTrue="1">
      <formula>0</formula>
    </cfRule>
    <cfRule type="cellIs" priority="73" operator="lessThan" dxfId="0" stopIfTrue="1">
      <formula>0</formula>
    </cfRule>
  </conditionalFormatting>
  <conditionalFormatting sqref="O19">
    <cfRule type="cellIs" priority="67" operator="greaterThan" dxfId="3" stopIfTrue="1">
      <formula>0.03</formula>
    </cfRule>
    <cfRule type="cellIs" priority="68" operator="lessThan" dxfId="2" stopIfTrue="1">
      <formula>-0.03</formula>
    </cfRule>
    <cfRule type="cellIs" priority="70" operator="greaterThan" dxfId="1" stopIfTrue="1">
      <formula>0</formula>
    </cfRule>
    <cfRule type="cellIs" priority="69" operator="lessThan" dxfId="0" stopIfTrue="1">
      <formula>0</formula>
    </cfRule>
  </conditionalFormatting>
  <conditionalFormatting sqref="R19">
    <cfRule type="cellIs" priority="59" operator="greaterThan" dxfId="3" stopIfTrue="1">
      <formula>0.03</formula>
    </cfRule>
    <cfRule type="cellIs" priority="60" operator="lessThan" dxfId="2" stopIfTrue="1">
      <formula>-0.03</formula>
    </cfRule>
    <cfRule type="cellIs" priority="62" operator="greaterThan" dxfId="1" stopIfTrue="1">
      <formula>0</formula>
    </cfRule>
    <cfRule type="cellIs" priority="61" operator="lessThan" dxfId="0" stopIfTrue="1">
      <formula>0</formula>
    </cfRule>
  </conditionalFormatting>
  <conditionalFormatting sqref="T19">
    <cfRule type="cellIs" priority="51" operator="greaterThan" dxfId="3" stopIfTrue="1">
      <formula>0.03</formula>
    </cfRule>
    <cfRule type="cellIs" priority="52" operator="lessThan" dxfId="2" stopIfTrue="1">
      <formula>-0.03</formula>
    </cfRule>
    <cfRule type="cellIs" priority="54" operator="greaterThan" dxfId="1" stopIfTrue="1">
      <formula>0</formula>
    </cfRule>
    <cfRule type="cellIs" priority="53" operator="lessThan" dxfId="0" stopIfTrue="1">
      <formula>0</formula>
    </cfRule>
  </conditionalFormatting>
  <conditionalFormatting sqref="U19">
    <cfRule type="cellIs" priority="47" operator="greaterThan" dxfId="3" stopIfTrue="1">
      <formula>0.03</formula>
    </cfRule>
    <cfRule type="cellIs" priority="48" operator="lessThan" dxfId="2" stopIfTrue="1">
      <formula>-0.03</formula>
    </cfRule>
    <cfRule type="cellIs" priority="50" operator="greaterThan" dxfId="1" stopIfTrue="1">
      <formula>0</formula>
    </cfRule>
    <cfRule type="cellIs" priority="49" operator="lessThan" dxfId="0" stopIfTrue="1">
      <formula>0</formula>
    </cfRule>
  </conditionalFormatting>
  <conditionalFormatting sqref="W19">
    <cfRule type="cellIs" priority="43" operator="greaterThan" dxfId="3" stopIfTrue="1">
      <formula>0.03</formula>
    </cfRule>
    <cfRule type="cellIs" priority="44" operator="lessThan" dxfId="2" stopIfTrue="1">
      <formula>-0.03</formula>
    </cfRule>
    <cfRule type="cellIs" priority="46" operator="greaterThan" dxfId="1" stopIfTrue="1">
      <formula>0</formula>
    </cfRule>
    <cfRule type="cellIs" priority="45" operator="lessThan" dxfId="0" stopIfTrue="1">
      <formula>0</formula>
    </cfRule>
  </conditionalFormatting>
  <conditionalFormatting sqref="Y19">
    <cfRule type="cellIs" priority="39" operator="greaterThan" dxfId="3" stopIfTrue="1">
      <formula>0.03</formula>
    </cfRule>
    <cfRule type="cellIs" priority="40" operator="lessThan" dxfId="2" stopIfTrue="1">
      <formula>-0.03</formula>
    </cfRule>
    <cfRule type="cellIs" priority="42" operator="greaterThan" dxfId="1" stopIfTrue="1">
      <formula>0</formula>
    </cfRule>
    <cfRule type="cellIs" priority="41" operator="lessThan" dxfId="0" stopIfTrue="1">
      <formula>0</formula>
    </cfRule>
  </conditionalFormatting>
  <conditionalFormatting sqref="E36 E39 E42 E45 E48 E51 E54">
    <cfRule type="cellIs" priority="35" operator="greaterThan" dxfId="3" stopIfTrue="1">
      <formula>0.03</formula>
    </cfRule>
    <cfRule type="cellIs" priority="36" operator="lessThan" dxfId="2" stopIfTrue="1">
      <formula>-0.03</formula>
    </cfRule>
    <cfRule type="cellIs" priority="38" operator="greaterThan" dxfId="1" stopIfTrue="1">
      <formula>0</formula>
    </cfRule>
    <cfRule type="cellIs" priority="37" operator="lessThan" dxfId="0" stopIfTrue="1">
      <formula>0</formula>
    </cfRule>
  </conditionalFormatting>
  <conditionalFormatting sqref="F36 F39 F42 F45 F48 F51 F54">
    <cfRule type="cellIs" priority="31" operator="greaterThan" dxfId="3" stopIfTrue="1">
      <formula>0.03</formula>
    </cfRule>
    <cfRule type="cellIs" priority="32" operator="lessThan" dxfId="2" stopIfTrue="1">
      <formula>-0.03</formula>
    </cfRule>
    <cfRule type="cellIs" priority="34" operator="greaterThan" dxfId="1" stopIfTrue="1">
      <formula>0</formula>
    </cfRule>
    <cfRule type="cellIs" priority="33" operator="lessThan" dxfId="0" stopIfTrue="1">
      <formula>0</formula>
    </cfRule>
  </conditionalFormatting>
  <conditionalFormatting sqref="G36 G39 G42 G45 G48 G51 G54">
    <cfRule type="cellIs" priority="27" operator="greaterThan" dxfId="3" stopIfTrue="1">
      <formula>0.03</formula>
    </cfRule>
    <cfRule type="cellIs" priority="28" operator="lessThan" dxfId="2" stopIfTrue="1">
      <formula>-0.03</formula>
    </cfRule>
    <cfRule type="cellIs" priority="30" operator="greaterThan" dxfId="1" stopIfTrue="1">
      <formula>0</formula>
    </cfRule>
    <cfRule type="cellIs" priority="29" operator="lessThan" dxfId="0" stopIfTrue="1">
      <formula>0</formula>
    </cfRule>
  </conditionalFormatting>
  <conditionalFormatting sqref="I36 I39 I42 I45 I48 I51 I54">
    <cfRule type="cellIs" priority="23" operator="greaterThan" dxfId="3" stopIfTrue="1">
      <formula>0.03</formula>
    </cfRule>
    <cfRule type="cellIs" priority="24" operator="lessThan" dxfId="2" stopIfTrue="1">
      <formula>-0.03</formula>
    </cfRule>
    <cfRule type="cellIs" priority="26" operator="greaterThan" dxfId="1" stopIfTrue="1">
      <formula>0</formula>
    </cfRule>
    <cfRule type="cellIs" priority="25" operator="lessThan" dxfId="0" stopIfTrue="1">
      <formula>0</formula>
    </cfRule>
  </conditionalFormatting>
  <conditionalFormatting sqref="O36 O39 O42 O45 O48 O51 O54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conditionalFormatting sqref="N36:N37 N39:N40 N42:N43 N45:N46 N48:N49 N51:N52 N54:N55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N36 N39 N42 N45 N48 N51 N54">
    <cfRule type="cellIs" priority="13" operator="greaterThan" dxfId="1" stopIfTrue="1">
      <formula>0</formula>
    </cfRule>
    <cfRule type="cellIs" priority="14" operator="lessThan" dxfId="0" stopIfTrue="1">
      <formula>0</formula>
    </cfRule>
  </conditionalFormatting>
  <conditionalFormatting sqref="N37 N40 N43 N46 N49 N52 N55">
    <cfRule type="cellIs" priority="11" operator="lessThan" dxfId="0" stopIfTrue="1">
      <formula>0</formula>
    </cfRule>
    <cfRule type="cellIs" priority="12" operator="greaterThan" dxfId="1" stopIfTrue="1">
      <formula>0</formula>
    </cfRule>
  </conditionalFormatting>
  <conditionalFormatting sqref="N38 N41 N44 N47 N50 N53 N56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8" operator="greaterThan" dxfId="1" stopIfTrue="1">
      <formula>0</formula>
    </cfRule>
    <cfRule type="cellIs" priority="7" operator="lessThan" dxfId="0" stopIfTrue="1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AO254"/>
  <sheetViews>
    <sheetView zoomScaleNormal="100" workbookViewId="0">
      <selection activeCell="C47" sqref="C47:C52"/>
    </sheetView>
  </sheetViews>
  <sheetFormatPr baseColWidth="10" defaultColWidth="10.83203125" defaultRowHeight="16"/>
  <cols>
    <col width="17.5" customWidth="1" style="23" min="1" max="1"/>
    <col width="10.83203125" customWidth="1" style="23" min="2" max="3"/>
    <col width="15.1640625" customWidth="1" style="26" min="4" max="4"/>
    <col width="13" bestFit="1" customWidth="1" style="24" min="5" max="5"/>
    <col width="12.6640625" bestFit="1" customWidth="1" style="24" min="6" max="15"/>
    <col width="10.83203125" customWidth="1" style="24" min="16" max="40"/>
    <col width="10.83203125" customWidth="1" style="23" min="41" max="41"/>
    <col width="10.83203125" customWidth="1" style="23" min="42" max="16384"/>
  </cols>
  <sheetData>
    <row r="1">
      <c r="A1" s="22" t="n"/>
      <c r="B1" s="22" t="n"/>
      <c r="C1" s="22" t="n"/>
      <c r="D1" s="197" t="inlineStr">
        <is>
          <t>Sequence</t>
        </is>
      </c>
      <c r="E1" s="181" t="inlineStr">
        <is>
          <t>BD-rates</t>
        </is>
      </c>
      <c r="F1" s="182" t="n"/>
      <c r="G1" s="182" t="n"/>
      <c r="H1" s="182" t="n"/>
      <c r="I1" s="182" t="n"/>
      <c r="J1" s="182" t="n"/>
      <c r="K1" s="182" t="n"/>
      <c r="L1" s="182" t="n"/>
      <c r="M1" s="182" t="n"/>
      <c r="N1" s="182" t="n"/>
      <c r="O1" s="182" t="n"/>
      <c r="P1" s="182" t="n"/>
      <c r="Q1" s="182" t="n"/>
      <c r="R1" s="182" t="n"/>
      <c r="S1" s="182" t="n"/>
      <c r="T1" s="182" t="n"/>
      <c r="U1" s="182" t="n"/>
      <c r="V1" s="183" t="n"/>
      <c r="W1" s="23" t="n"/>
      <c r="X1" s="23" t="n"/>
      <c r="Y1" s="23" t="n"/>
      <c r="Z1" s="23" t="n"/>
      <c r="AA1" s="23" t="n"/>
      <c r="AB1" s="23" t="n"/>
      <c r="AC1" s="23" t="n"/>
      <c r="AD1" s="23" t="n"/>
      <c r="AE1" s="23" t="n"/>
      <c r="AF1" s="23" t="n"/>
      <c r="AG1" s="23" t="n"/>
      <c r="AH1" s="23" t="n"/>
      <c r="AI1" s="23" t="n"/>
      <c r="AJ1" s="23" t="n"/>
      <c r="AK1" s="23" t="n"/>
      <c r="AL1" s="23" t="n"/>
      <c r="AM1" s="23" t="n"/>
      <c r="AN1" s="23" t="n"/>
    </row>
    <row r="2">
      <c r="A2" s="22" t="n"/>
      <c r="B2" s="22" t="n"/>
      <c r="C2" s="22" t="n"/>
      <c r="D2" s="175" t="n"/>
      <c r="E2" s="165" t="inlineStr">
        <is>
          <t>PSNR Y CH</t>
        </is>
      </c>
      <c r="F2" s="166" t="n"/>
      <c r="G2" s="166" t="n"/>
      <c r="H2" s="166" t="n"/>
      <c r="I2" s="166" t="n"/>
      <c r="J2" s="166" t="n"/>
      <c r="K2" s="166" t="n"/>
      <c r="L2" s="166" t="n"/>
      <c r="M2" s="166" t="n"/>
      <c r="N2" s="166" t="n"/>
      <c r="O2" s="166" t="n"/>
      <c r="P2" s="166" t="n"/>
      <c r="Q2" s="166" t="n"/>
      <c r="R2" s="166" t="n"/>
      <c r="S2" s="166" t="n"/>
      <c r="T2" s="166" t="n"/>
      <c r="U2" s="166" t="n"/>
      <c r="V2" s="167" t="n"/>
      <c r="W2" s="23" t="n"/>
      <c r="X2" s="23" t="n"/>
      <c r="Y2" s="23" t="n"/>
      <c r="Z2" s="23" t="n"/>
      <c r="AA2" s="23" t="n"/>
      <c r="AB2" s="23" t="n"/>
      <c r="AC2" s="23" t="n"/>
      <c r="AD2" s="23" t="n"/>
      <c r="AE2" s="23" t="n"/>
      <c r="AF2" s="23" t="n"/>
      <c r="AG2" s="23" t="n"/>
      <c r="AH2" s="23" t="n"/>
      <c r="AI2" s="23" t="n"/>
      <c r="AJ2" s="23" t="n"/>
      <c r="AK2" s="23" t="n"/>
      <c r="AL2" s="23" t="n"/>
      <c r="AM2" s="23" t="n"/>
      <c r="AN2" s="23" t="n"/>
    </row>
    <row r="3">
      <c r="B3" s="24" t="n"/>
      <c r="C3" s="24" t="n"/>
      <c r="D3" s="175" t="n"/>
      <c r="E3" s="168" t="n"/>
      <c r="F3" s="168" t="n"/>
      <c r="G3" s="168" t="inlineStr">
        <is>
          <t>PSNR</t>
        </is>
      </c>
      <c r="H3" s="166" t="n"/>
      <c r="I3" s="166" t="n"/>
      <c r="J3" s="166" t="n"/>
      <c r="K3" s="169" t="n"/>
      <c r="L3" s="168" t="n"/>
      <c r="M3" s="168" t="n"/>
      <c r="N3" s="168" t="n"/>
      <c r="O3" s="168" t="n"/>
      <c r="P3" s="168" t="n"/>
      <c r="Q3" s="168" t="n"/>
      <c r="R3" s="165" t="inlineStr">
        <is>
          <t>APSNR</t>
        </is>
      </c>
      <c r="S3" s="166" t="n"/>
      <c r="T3" s="166" t="n"/>
      <c r="U3" s="166" t="n"/>
      <c r="V3" s="167" t="n"/>
      <c r="W3" s="23" t="n"/>
      <c r="X3" s="23" t="n"/>
      <c r="Y3" s="23" t="n"/>
      <c r="Z3" s="23" t="n"/>
      <c r="AA3" s="23" t="n"/>
      <c r="AB3" s="23" t="n"/>
      <c r="AC3" s="23" t="n"/>
      <c r="AD3" s="23" t="n"/>
      <c r="AE3" s="23" t="n"/>
      <c r="AF3" s="23" t="n"/>
      <c r="AG3" s="23" t="n"/>
      <c r="AH3" s="23" t="n"/>
      <c r="AI3" s="23" t="n"/>
      <c r="AJ3" s="23" t="n"/>
      <c r="AK3" s="23" t="n"/>
      <c r="AL3" s="23" t="n"/>
      <c r="AM3" s="23" t="n"/>
      <c r="AN3" s="23" t="n"/>
    </row>
    <row r="4" ht="17" customHeight="1" s="241" thickBot="1">
      <c r="B4" s="25" t="n"/>
      <c r="C4" s="25" t="n"/>
      <c r="D4" s="175" t="n"/>
      <c r="E4" s="192" t="n"/>
      <c r="F4" s="192" t="inlineStr">
        <is>
          <t>Y</t>
        </is>
      </c>
      <c r="G4" s="192">
        <f>BoxingPractice!C46</f>
        <v/>
      </c>
      <c r="H4" s="192">
        <f>BoxingPractice!D46</f>
        <v/>
      </c>
      <c r="I4" s="192">
        <f>BoxingPractice!E46</f>
        <v/>
      </c>
      <c r="J4" s="192">
        <f>BoxingPractice!F46</f>
        <v/>
      </c>
      <c r="K4" s="192" t="inlineStr">
        <is>
          <t>bdYUV</t>
        </is>
      </c>
      <c r="L4" s="192">
        <f>BoxingPractice!G46</f>
        <v/>
      </c>
      <c r="M4" s="192">
        <f>BoxingPractice!H46</f>
        <v/>
      </c>
      <c r="N4" s="192">
        <f>BoxingPractice!I46</f>
        <v/>
      </c>
      <c r="O4" s="192">
        <f>BoxingPractice!J46</f>
        <v/>
      </c>
      <c r="P4" s="192">
        <f>BoxingPractice!K46</f>
        <v/>
      </c>
      <c r="Q4" s="192">
        <f>BoxingPractice!L46</f>
        <v/>
      </c>
      <c r="R4" s="192">
        <f>BoxingPractice!M46</f>
        <v/>
      </c>
      <c r="S4" s="192">
        <f>BoxingPractice!N46</f>
        <v/>
      </c>
      <c r="T4" s="192">
        <f>BoxingPractice!O46</f>
        <v/>
      </c>
      <c r="U4" s="192">
        <f>BoxingPractice!P46</f>
        <v/>
      </c>
      <c r="V4" s="63" t="inlineStr">
        <is>
          <t>bdYUV</t>
        </is>
      </c>
      <c r="W4" s="23" t="n"/>
      <c r="X4" s="23" t="n"/>
      <c r="Y4" s="23" t="n"/>
      <c r="Z4" s="23" t="n"/>
      <c r="AA4" s="23" t="n"/>
      <c r="AB4" s="23" t="n"/>
      <c r="AC4" s="23" t="n"/>
      <c r="AD4" s="23" t="n"/>
      <c r="AE4" s="23" t="n"/>
      <c r="AF4" s="23" t="n"/>
      <c r="AG4" s="23" t="n"/>
      <c r="AH4" s="23" t="n"/>
      <c r="AI4" s="23" t="n"/>
      <c r="AJ4" s="23" t="n"/>
      <c r="AK4" s="23" t="n"/>
      <c r="AL4" s="23" t="n"/>
      <c r="AM4" s="23" t="n"/>
      <c r="AN4" s="23" t="n"/>
    </row>
    <row r="5">
      <c r="D5" s="230" t="inlineStr">
        <is>
          <t>BoxingPractice</t>
        </is>
      </c>
      <c r="E5" s="54">
        <f t="array" ref="E5">INDIRECT(""&amp;$D5 &amp; "!A47")</f>
        <v/>
      </c>
      <c r="F5" s="44">
        <f t="array" ref="F5">INDIRECT(""&amp;$D5 &amp; "!B47")</f>
        <v/>
      </c>
      <c r="G5" s="180">
        <f t="array" ref="G5">INDIRECT(""&amp;$D5 &amp; "!C47")</f>
        <v/>
      </c>
      <c r="H5" s="180">
        <f t="array" ref="H5">INDIRECT(""&amp;$D5 &amp; "!D47")</f>
        <v/>
      </c>
      <c r="I5" s="180">
        <f t="array" ref="I5">INDIRECT(""&amp;$D5 &amp; "!E47")</f>
        <v/>
      </c>
      <c r="J5" s="180">
        <f t="array" ref="J5">INDIRECT(""&amp;$D5 &amp; "!F47")</f>
        <v/>
      </c>
      <c r="K5" s="180">
        <f>('Summary (Full)'!$B$50*G5+'Summary (Full)'!$B$51*H5+'Summary (Full)'!$B$52*I5)/'Summary (Full)'!$B$53</f>
        <v/>
      </c>
      <c r="L5" s="180">
        <f t="array" ref="L5">INDIRECT(""&amp;$D5 &amp; "!G47")</f>
        <v/>
      </c>
      <c r="M5" s="180">
        <f t="array" ref="M5">INDIRECT(""&amp;$D5 &amp; "!H47")</f>
        <v/>
      </c>
      <c r="N5" s="180">
        <f t="array" ref="N5">INDIRECT(""&amp;$D5 &amp; "!I47")</f>
        <v/>
      </c>
      <c r="O5" s="180">
        <f t="array" ref="O5">INDIRECT(""&amp;$D5 &amp; "!J47")</f>
        <v/>
      </c>
      <c r="P5" s="180">
        <f t="array" ref="P5">INDIRECT(""&amp;$D5 &amp; "!K47")</f>
        <v/>
      </c>
      <c r="Q5" s="180">
        <f t="array" ref="Q5">INDIRECT(""&amp;$D5 &amp; "!L47")</f>
        <v/>
      </c>
      <c r="R5" s="180">
        <f t="array" ref="R5">INDIRECT(""&amp;$D5 &amp; "!M47")</f>
        <v/>
      </c>
      <c r="S5" s="180">
        <f t="array" ref="S5">INDIRECT(""&amp;$D5 &amp; "!N47")</f>
        <v/>
      </c>
      <c r="T5" s="180">
        <f t="array" ref="T5">INDIRECT(""&amp;$D5 &amp; "!O47")</f>
        <v/>
      </c>
      <c r="U5" s="180">
        <f t="array" ref="U5">INDIRECT(""&amp;$D5 &amp; "!P47")</f>
        <v/>
      </c>
      <c r="V5" s="184">
        <f>('Summary (Full)'!$B$58*R5+'Summary (Full)'!$B$59*S5+'Summary (Full)'!$B$60*T5)/'Summary (Full)'!$B$61</f>
        <v/>
      </c>
      <c r="W5" s="23" t="n"/>
      <c r="X5" s="23" t="n"/>
      <c r="Y5" s="23" t="n"/>
      <c r="Z5" s="23" t="n"/>
      <c r="AA5" s="23" t="n"/>
      <c r="AB5" s="23" t="n"/>
      <c r="AC5" s="23" t="n"/>
      <c r="AD5" s="23" t="n"/>
      <c r="AE5" s="23" t="n"/>
      <c r="AF5" s="23" t="n"/>
      <c r="AG5" s="23" t="n"/>
      <c r="AH5" s="23" t="n"/>
      <c r="AI5" s="23" t="n"/>
      <c r="AJ5" s="23" t="n"/>
      <c r="AK5" s="23" t="n"/>
      <c r="AL5" s="23" t="n"/>
      <c r="AM5" s="23" t="n"/>
      <c r="AN5" s="23" t="n"/>
    </row>
    <row r="6">
      <c r="D6" s="172" t="n"/>
      <c r="E6" s="43">
        <f t="array" ref="E6">INDIRECT(""&amp;$D5 &amp; "!A49")</f>
        <v/>
      </c>
      <c r="F6" s="17">
        <f t="array" ref="F6">INDIRECT(""&amp;$D5 &amp; "!B49")</f>
        <v/>
      </c>
      <c r="G6" s="178" t="n"/>
      <c r="H6" s="178" t="n"/>
      <c r="I6" s="178" t="n"/>
      <c r="J6" s="178" t="n"/>
      <c r="K6" s="178" t="n"/>
      <c r="L6" s="178" t="n"/>
      <c r="M6" s="178" t="n"/>
      <c r="N6" s="178" t="n"/>
      <c r="O6" s="178" t="n"/>
      <c r="P6" s="178" t="n"/>
      <c r="Q6" s="178" t="n"/>
      <c r="R6" s="178" t="n"/>
      <c r="S6" s="178" t="n"/>
      <c r="T6" s="178" t="n"/>
      <c r="U6" s="178" t="n"/>
      <c r="V6" s="185" t="n"/>
      <c r="W6" s="23" t="n"/>
      <c r="X6" s="23" t="n"/>
      <c r="Y6" s="23" t="n"/>
      <c r="Z6" s="23" t="n"/>
      <c r="AA6" s="23" t="n"/>
      <c r="AB6" s="23" t="n"/>
      <c r="AC6" s="23" t="n"/>
      <c r="AD6" s="23" t="n"/>
      <c r="AE6" s="23" t="n"/>
      <c r="AF6" s="23" t="n"/>
      <c r="AG6" s="23" t="n"/>
      <c r="AH6" s="23" t="n"/>
      <c r="AI6" s="23" t="n"/>
      <c r="AJ6" s="23" t="n"/>
      <c r="AK6" s="23" t="n"/>
      <c r="AL6" s="23" t="n"/>
      <c r="AM6" s="23" t="n"/>
      <c r="AN6" s="23" t="n"/>
    </row>
    <row r="7">
      <c r="D7" s="209" t="n"/>
      <c r="E7" s="43">
        <f t="array" ref="E7">INDIRECT(""&amp;$D5 &amp; "!A51")</f>
        <v/>
      </c>
      <c r="F7" s="17">
        <f t="array" ref="F7">INDIRECT(""&amp;$D5 &amp; "!B51")</f>
        <v/>
      </c>
      <c r="G7" s="179" t="n"/>
      <c r="H7" s="179" t="n"/>
      <c r="I7" s="179" t="n"/>
      <c r="J7" s="179" t="n"/>
      <c r="K7" s="179" t="n"/>
      <c r="L7" s="179" t="n"/>
      <c r="M7" s="179" t="n"/>
      <c r="N7" s="179" t="n"/>
      <c r="O7" s="179" t="n"/>
      <c r="P7" s="179" t="n"/>
      <c r="Q7" s="179" t="n"/>
      <c r="R7" s="179" t="n"/>
      <c r="S7" s="179" t="n"/>
      <c r="T7" s="179" t="n"/>
      <c r="U7" s="179" t="n"/>
      <c r="V7" s="186" t="n"/>
      <c r="W7" s="23" t="n"/>
      <c r="X7" s="23" t="n"/>
      <c r="Y7" s="23" t="n"/>
      <c r="Z7" s="23" t="n"/>
      <c r="AA7" s="23" t="n"/>
      <c r="AB7" s="23" t="n"/>
      <c r="AC7" s="23" t="n"/>
      <c r="AD7" s="23" t="n"/>
      <c r="AE7" s="23" t="n"/>
      <c r="AF7" s="23" t="n"/>
      <c r="AG7" s="23" t="n"/>
      <c r="AH7" s="23" t="n"/>
      <c r="AI7" s="23" t="n"/>
      <c r="AJ7" s="23" t="n"/>
      <c r="AK7" s="23" t="n"/>
      <c r="AL7" s="23" t="n"/>
      <c r="AM7" s="23" t="n"/>
      <c r="AN7" s="23" t="n"/>
    </row>
    <row r="8">
      <c r="D8" s="208" t="inlineStr">
        <is>
          <t>CrossWalk</t>
        </is>
      </c>
      <c r="E8" s="43">
        <f t="array" ref="E8">INDIRECT(""&amp;$D8 &amp; "!A47")</f>
        <v/>
      </c>
      <c r="F8" s="17">
        <f t="array" ref="F8">INDIRECT(""&amp;$D8 &amp; "!B47")</f>
        <v/>
      </c>
      <c r="G8" s="177">
        <f t="array" ref="G8">INDIRECT(""&amp;$D8 &amp; "!C47")</f>
        <v/>
      </c>
      <c r="H8" s="177">
        <f t="array" ref="H8">INDIRECT(""&amp;$D8 &amp; "!D47")</f>
        <v/>
      </c>
      <c r="I8" s="177">
        <f t="array" ref="I8">INDIRECT(""&amp;$D8 &amp; "!E47")</f>
        <v/>
      </c>
      <c r="J8" s="177">
        <f t="array" ref="J8">INDIRECT(""&amp;$D8 &amp; "!F47")</f>
        <v/>
      </c>
      <c r="K8" s="177">
        <f>('Summary (Full)'!$B$50*G8+'Summary (Full)'!$B$51*H8+'Summary (Full)'!$B$52*I8)/'Summary (Full)'!$B$53</f>
        <v/>
      </c>
      <c r="L8" s="177">
        <f t="array" ref="L8">INDIRECT(""&amp;$D8 &amp; "!G47")</f>
        <v/>
      </c>
      <c r="M8" s="177">
        <f t="array" ref="M8">INDIRECT(""&amp;$D8 &amp; "!H47")</f>
        <v/>
      </c>
      <c r="N8" s="177">
        <f t="array" ref="N8">INDIRECT(""&amp;$D8 &amp; "!I47")</f>
        <v/>
      </c>
      <c r="O8" s="177">
        <f t="array" ref="O8">INDIRECT(""&amp;$D8 &amp; "!J47")</f>
        <v/>
      </c>
      <c r="P8" s="177">
        <f t="array" ref="P8">INDIRECT(""&amp;$D8 &amp; "!K47")</f>
        <v/>
      </c>
      <c r="Q8" s="177">
        <f t="array" ref="Q8">INDIRECT(""&amp;$D8 &amp; "!L47")</f>
        <v/>
      </c>
      <c r="R8" s="177">
        <f t="array" ref="R8">INDIRECT(""&amp;$D8 &amp; "!M47")</f>
        <v/>
      </c>
      <c r="S8" s="177">
        <f t="array" ref="S8">INDIRECT(""&amp;$D8 &amp; "!N47")</f>
        <v/>
      </c>
      <c r="T8" s="177">
        <f t="array" ref="T8">INDIRECT(""&amp;$D8 &amp; "!O47")</f>
        <v/>
      </c>
      <c r="U8" s="177">
        <f t="array" ref="U8">INDIRECT(""&amp;$D8 &amp; "!P47")</f>
        <v/>
      </c>
      <c r="V8" s="187">
        <f>('Summary (Full)'!$B$58*R8+'Summary (Full)'!$B$59*S8+'Summary (Full)'!$B$60*T8)/'Summary (Full)'!$B$61</f>
        <v/>
      </c>
      <c r="W8" s="23" t="n"/>
      <c r="X8" s="23" t="n"/>
      <c r="Y8" s="23" t="n"/>
      <c r="Z8" s="23" t="n"/>
      <c r="AA8" s="23" t="n"/>
      <c r="AB8" s="23" t="n"/>
      <c r="AC8" s="23" t="n"/>
      <c r="AD8" s="23" t="n"/>
      <c r="AE8" s="23" t="n"/>
      <c r="AF8" s="23" t="n"/>
      <c r="AG8" s="23" t="n"/>
      <c r="AH8" s="23" t="n"/>
      <c r="AI8" s="23" t="n"/>
      <c r="AJ8" s="23" t="n"/>
      <c r="AK8" s="23" t="n"/>
      <c r="AL8" s="23" t="n"/>
      <c r="AM8" s="23" t="n"/>
      <c r="AN8" s="23" t="n"/>
    </row>
    <row r="9">
      <c r="D9" s="172" t="n"/>
      <c r="E9" s="43">
        <f t="array" ref="E9">INDIRECT(""&amp;$D8 &amp; "!A49")</f>
        <v/>
      </c>
      <c r="F9" s="17">
        <f t="array" ref="F9">INDIRECT(""&amp;$D8 &amp; "!B49")</f>
        <v/>
      </c>
      <c r="G9" s="178" t="n"/>
      <c r="H9" s="178" t="n"/>
      <c r="I9" s="178" t="n"/>
      <c r="J9" s="178" t="n"/>
      <c r="K9" s="178" t="n"/>
      <c r="L9" s="178" t="n"/>
      <c r="M9" s="178" t="n"/>
      <c r="N9" s="178" t="n"/>
      <c r="O9" s="178" t="n"/>
      <c r="P9" s="178" t="n"/>
      <c r="Q9" s="178" t="n"/>
      <c r="R9" s="178" t="n"/>
      <c r="S9" s="178" t="n"/>
      <c r="T9" s="178" t="n"/>
      <c r="U9" s="178" t="n"/>
      <c r="V9" s="185" t="n"/>
      <c r="W9" s="23" t="n"/>
      <c r="X9" s="23" t="n"/>
      <c r="Y9" s="23" t="n"/>
      <c r="Z9" s="23" t="n"/>
      <c r="AA9" s="23" t="n"/>
      <c r="AB9" s="23" t="n"/>
      <c r="AC9" s="23" t="n"/>
      <c r="AD9" s="23" t="n"/>
      <c r="AE9" s="23" t="n"/>
      <c r="AF9" s="23" t="n"/>
      <c r="AG9" s="23" t="n"/>
      <c r="AH9" s="23" t="n"/>
      <c r="AI9" s="23" t="n"/>
      <c r="AJ9" s="23" t="n"/>
      <c r="AK9" s="23" t="n"/>
      <c r="AL9" s="23" t="n"/>
      <c r="AM9" s="23" t="n"/>
      <c r="AN9" s="23" t="n"/>
    </row>
    <row r="10">
      <c r="D10" s="209" t="n"/>
      <c r="E10" s="43">
        <f t="array" ref="E10">INDIRECT(""&amp;$D8 &amp; "!A51")</f>
        <v/>
      </c>
      <c r="F10" s="17">
        <f t="array" ref="F10">INDIRECT(""&amp;$D8 &amp; "!B51")</f>
        <v/>
      </c>
      <c r="G10" s="179" t="n"/>
      <c r="H10" s="179" t="n"/>
      <c r="I10" s="179" t="n"/>
      <c r="J10" s="179" t="n"/>
      <c r="K10" s="179" t="n"/>
      <c r="L10" s="179" t="n"/>
      <c r="M10" s="179" t="n"/>
      <c r="N10" s="179" t="n"/>
      <c r="O10" s="179" t="n"/>
      <c r="P10" s="179" t="n"/>
      <c r="Q10" s="179" t="n"/>
      <c r="R10" s="179" t="n"/>
      <c r="S10" s="179" t="n"/>
      <c r="T10" s="179" t="n"/>
      <c r="U10" s="179" t="n"/>
      <c r="V10" s="186" t="n"/>
      <c r="W10" s="23" t="n"/>
      <c r="X10" s="23" t="n"/>
      <c r="Y10" s="23" t="n"/>
      <c r="Z10" s="23" t="n"/>
      <c r="AA10" s="23" t="n"/>
      <c r="AB10" s="23" t="n"/>
      <c r="AC10" s="23" t="n"/>
      <c r="AD10" s="23" t="n"/>
      <c r="AE10" s="23" t="n"/>
      <c r="AF10" s="23" t="n"/>
      <c r="AG10" s="23" t="n"/>
      <c r="AH10" s="23" t="n"/>
      <c r="AI10" s="23" t="n"/>
      <c r="AJ10" s="23" t="n"/>
      <c r="AK10" s="23" t="n"/>
      <c r="AL10" s="23" t="n"/>
      <c r="AM10" s="23" t="n"/>
      <c r="AN10" s="23" t="n"/>
    </row>
    <row r="11">
      <c r="D11" s="208" t="inlineStr">
        <is>
          <t>FoodMarket2</t>
        </is>
      </c>
      <c r="E11" s="43">
        <f t="array" ref="E11">INDIRECT(""&amp;$D11 &amp; "!A47")</f>
        <v/>
      </c>
      <c r="F11" s="17">
        <f t="array" ref="F11">INDIRECT(""&amp;$D11 &amp; "!B47")</f>
        <v/>
      </c>
      <c r="G11" s="177">
        <f t="array" ref="G11">INDIRECT(""&amp;$D11 &amp; "!C47")</f>
        <v/>
      </c>
      <c r="H11" s="177">
        <f t="array" ref="H11">INDIRECT(""&amp;$D11 &amp; "!D47")</f>
        <v/>
      </c>
      <c r="I11" s="177">
        <f t="array" ref="I11">INDIRECT(""&amp;$D11 &amp; "!E47")</f>
        <v/>
      </c>
      <c r="J11" s="177">
        <f t="array" ref="J11">INDIRECT(""&amp;$D11 &amp; "!F47")</f>
        <v/>
      </c>
      <c r="K11" s="177">
        <f>('Summary (Full)'!$B$50*G11+'Summary (Full)'!$B$51*H11+'Summary (Full)'!$B$52*I11)/'Summary (Full)'!$B$53</f>
        <v/>
      </c>
      <c r="L11" s="177">
        <f t="array" ref="L11">INDIRECT(""&amp;$D11 &amp; "!G47")</f>
        <v/>
      </c>
      <c r="M11" s="177">
        <f t="array" ref="M11">INDIRECT(""&amp;$D11 &amp; "!H47")</f>
        <v/>
      </c>
      <c r="N11" s="177">
        <f t="array" ref="N11">INDIRECT(""&amp;$D11 &amp; "!I47")</f>
        <v/>
      </c>
      <c r="O11" s="177">
        <f t="array" ref="O11">INDIRECT(""&amp;$D11 &amp; "!J47")</f>
        <v/>
      </c>
      <c r="P11" s="177">
        <f t="array" ref="P11">INDIRECT(""&amp;$D11 &amp; "!K47")</f>
        <v/>
      </c>
      <c r="Q11" s="177">
        <f t="array" ref="Q11">INDIRECT(""&amp;$D11 &amp; "!L47")</f>
        <v/>
      </c>
      <c r="R11" s="177">
        <f t="array" ref="R11">INDIRECT(""&amp;$D11 &amp; "!M47")</f>
        <v/>
      </c>
      <c r="S11" s="177">
        <f t="array" ref="S11">INDIRECT(""&amp;$D11 &amp; "!N47")</f>
        <v/>
      </c>
      <c r="T11" s="177">
        <f t="array" ref="T11">INDIRECT(""&amp;$D11 &amp; "!O47")</f>
        <v/>
      </c>
      <c r="U11" s="177">
        <f t="array" ref="U11">INDIRECT(""&amp;$D11 &amp; "!P47")</f>
        <v/>
      </c>
      <c r="V11" s="187">
        <f>('Summary (Full)'!$B$58*R11+'Summary (Full)'!$B$59*S11+'Summary (Full)'!$B$60*T11)/'Summary (Full)'!$B$61</f>
        <v/>
      </c>
      <c r="W11" s="23" t="n"/>
      <c r="X11" s="23" t="n"/>
      <c r="Y11" s="23" t="n"/>
      <c r="Z11" s="23" t="n"/>
      <c r="AA11" s="23" t="n"/>
      <c r="AB11" s="23" t="n"/>
      <c r="AC11" s="23" t="n"/>
      <c r="AD11" s="23" t="n"/>
      <c r="AE11" s="23" t="n"/>
      <c r="AF11" s="23" t="n"/>
      <c r="AG11" s="23" t="n"/>
      <c r="AH11" s="23" t="n"/>
      <c r="AI11" s="23" t="n"/>
      <c r="AJ11" s="23" t="n"/>
      <c r="AK11" s="23" t="n"/>
      <c r="AL11" s="23" t="n"/>
      <c r="AM11" s="23" t="n"/>
      <c r="AN11" s="23" t="n"/>
    </row>
    <row r="12">
      <c r="D12" s="172" t="n"/>
      <c r="E12" s="43">
        <f t="array" ref="E12">INDIRECT(""&amp;$D11 &amp; "!A49")</f>
        <v/>
      </c>
      <c r="F12" s="17">
        <f t="array" ref="F12">INDIRECT(""&amp;$D11 &amp; "!B49")</f>
        <v/>
      </c>
      <c r="G12" s="178" t="n"/>
      <c r="H12" s="178" t="n"/>
      <c r="I12" s="178" t="n"/>
      <c r="J12" s="178" t="n"/>
      <c r="K12" s="178" t="n"/>
      <c r="L12" s="178" t="n"/>
      <c r="M12" s="178" t="n"/>
      <c r="N12" s="178" t="n"/>
      <c r="O12" s="178" t="n"/>
      <c r="P12" s="178" t="n"/>
      <c r="Q12" s="178" t="n"/>
      <c r="R12" s="178" t="n"/>
      <c r="S12" s="178" t="n"/>
      <c r="T12" s="178" t="n"/>
      <c r="U12" s="178" t="n"/>
      <c r="V12" s="185" t="n"/>
      <c r="W12" s="23" t="n"/>
      <c r="X12" s="23" t="n"/>
      <c r="Y12" s="23" t="n"/>
      <c r="Z12" s="23" t="n"/>
      <c r="AA12" s="23" t="n"/>
      <c r="AB12" s="23" t="n"/>
      <c r="AC12" s="23" t="n"/>
      <c r="AD12" s="23" t="n"/>
      <c r="AE12" s="23" t="n"/>
      <c r="AF12" s="23" t="n"/>
      <c r="AG12" s="23" t="n"/>
      <c r="AH12" s="23" t="n"/>
      <c r="AI12" s="23" t="n"/>
      <c r="AJ12" s="23" t="n"/>
      <c r="AK12" s="23" t="n"/>
      <c r="AL12" s="23" t="n"/>
      <c r="AM12" s="23" t="n"/>
      <c r="AN12" s="23" t="n"/>
    </row>
    <row r="13">
      <c r="D13" s="209" t="n"/>
      <c r="E13" s="43">
        <f t="array" ref="E13">INDIRECT(""&amp;$D11 &amp; "!A51")</f>
        <v/>
      </c>
      <c r="F13" s="17">
        <f t="array" ref="F13">INDIRECT(""&amp;$D11 &amp; "!B51")</f>
        <v/>
      </c>
      <c r="G13" s="179" t="n"/>
      <c r="H13" s="179" t="n"/>
      <c r="I13" s="179" t="n"/>
      <c r="J13" s="179" t="n"/>
      <c r="K13" s="179" t="n"/>
      <c r="L13" s="179" t="n"/>
      <c r="M13" s="179" t="n"/>
      <c r="N13" s="179" t="n"/>
      <c r="O13" s="179" t="n"/>
      <c r="P13" s="179" t="n"/>
      <c r="Q13" s="179" t="n"/>
      <c r="R13" s="179" t="n"/>
      <c r="S13" s="179" t="n"/>
      <c r="T13" s="179" t="n"/>
      <c r="U13" s="179" t="n"/>
      <c r="V13" s="186" t="n"/>
      <c r="W13" s="23" t="n"/>
      <c r="X13" s="23" t="n"/>
      <c r="Y13" s="23" t="n"/>
      <c r="Z13" s="23" t="n"/>
      <c r="AA13" s="23" t="n"/>
      <c r="AB13" s="23" t="n"/>
      <c r="AC13" s="23" t="n"/>
      <c r="AD13" s="23" t="n"/>
      <c r="AE13" s="23" t="n"/>
      <c r="AF13" s="23" t="n"/>
      <c r="AG13" s="23" t="n"/>
      <c r="AH13" s="23" t="n"/>
      <c r="AI13" s="23" t="n"/>
      <c r="AJ13" s="23" t="n"/>
      <c r="AK13" s="23" t="n"/>
      <c r="AL13" s="23" t="n"/>
      <c r="AM13" s="23" t="n"/>
      <c r="AN13" s="23" t="n"/>
    </row>
    <row r="14">
      <c r="D14" s="208" t="inlineStr">
        <is>
          <t>Neon1224</t>
        </is>
      </c>
      <c r="E14" s="43">
        <f t="array" ref="E14">INDIRECT(""&amp;$D14 &amp; "!A47")</f>
        <v/>
      </c>
      <c r="F14" s="17">
        <f t="array" ref="F14">INDIRECT(""&amp;$D14 &amp; "!B47")</f>
        <v/>
      </c>
      <c r="G14" s="177">
        <f t="array" ref="G14">INDIRECT(""&amp;$D14 &amp; "!C47")</f>
        <v/>
      </c>
      <c r="H14" s="177">
        <f t="array" ref="H14">INDIRECT(""&amp;$D14 &amp; "!D47")</f>
        <v/>
      </c>
      <c r="I14" s="177">
        <f t="array" ref="I14">INDIRECT(""&amp;$D14 &amp; "!E47")</f>
        <v/>
      </c>
      <c r="J14" s="177">
        <f t="array" ref="J14">INDIRECT(""&amp;$D14 &amp; "!F47")</f>
        <v/>
      </c>
      <c r="K14" s="177">
        <f>('Summary (Full)'!$B$50*G14+'Summary (Full)'!$B$51*H14+'Summary (Full)'!$B$52*I14)/'Summary (Full)'!$B$53</f>
        <v/>
      </c>
      <c r="L14" s="177">
        <f t="array" ref="L14">INDIRECT(""&amp;$D14 &amp; "!G47")</f>
        <v/>
      </c>
      <c r="M14" s="177">
        <f t="array" ref="M14">INDIRECT(""&amp;$D14 &amp; "!H47")</f>
        <v/>
      </c>
      <c r="N14" s="177">
        <f t="array" ref="N14">INDIRECT(""&amp;$D14 &amp; "!I47")</f>
        <v/>
      </c>
      <c r="O14" s="177">
        <f t="array" ref="O14">INDIRECT(""&amp;$D14 &amp; "!J47")</f>
        <v/>
      </c>
      <c r="P14" s="177">
        <f t="array" ref="P14">INDIRECT(""&amp;$D14 &amp; "!K47")</f>
        <v/>
      </c>
      <c r="Q14" s="177">
        <f t="array" ref="Q14">INDIRECT(""&amp;$D14 &amp; "!L47")</f>
        <v/>
      </c>
      <c r="R14" s="177">
        <f t="array" ref="R14">INDIRECT(""&amp;$D14 &amp; "!M47")</f>
        <v/>
      </c>
      <c r="S14" s="177">
        <f t="array" ref="S14">INDIRECT(""&amp;$D14 &amp; "!N47")</f>
        <v/>
      </c>
      <c r="T14" s="177">
        <f t="array" ref="T14">INDIRECT(""&amp;$D14 &amp; "!O47")</f>
        <v/>
      </c>
      <c r="U14" s="177">
        <f t="array" ref="U14">INDIRECT(""&amp;$D14 &amp; "!P47")</f>
        <v/>
      </c>
      <c r="V14" s="187">
        <f>('Summary (Full)'!$B$58*R14+'Summary (Full)'!$B$59*S14+'Summary (Full)'!$B$60*T14)/'Summary (Full)'!$B$61</f>
        <v/>
      </c>
      <c r="W14" s="23" t="n"/>
      <c r="X14" s="23" t="n"/>
      <c r="Y14" s="23" t="n"/>
      <c r="Z14" s="23" t="n"/>
      <c r="AA14" s="23" t="n"/>
      <c r="AB14" s="23" t="n"/>
      <c r="AC14" s="23" t="n"/>
      <c r="AD14" s="23" t="n"/>
      <c r="AE14" s="23" t="n"/>
      <c r="AF14" s="23" t="n"/>
      <c r="AG14" s="23" t="n"/>
      <c r="AH14" s="23" t="n"/>
      <c r="AI14" s="23" t="n"/>
      <c r="AJ14" s="23" t="n"/>
      <c r="AK14" s="23" t="n"/>
      <c r="AL14" s="23" t="n"/>
      <c r="AM14" s="23" t="n"/>
      <c r="AN14" s="23" t="n"/>
    </row>
    <row r="15">
      <c r="D15" s="172" t="n"/>
      <c r="E15" s="43">
        <f t="array" ref="E15">INDIRECT(""&amp;$D14 &amp; "!A49")</f>
        <v/>
      </c>
      <c r="F15" s="17">
        <f t="array" ref="F15">INDIRECT(""&amp;$D14 &amp; "!B49")</f>
        <v/>
      </c>
      <c r="G15" s="178" t="n"/>
      <c r="H15" s="178" t="n"/>
      <c r="I15" s="178" t="n"/>
      <c r="J15" s="178" t="n"/>
      <c r="K15" s="178" t="n"/>
      <c r="L15" s="178" t="n"/>
      <c r="M15" s="178" t="n"/>
      <c r="N15" s="178" t="n"/>
      <c r="O15" s="178" t="n"/>
      <c r="P15" s="178" t="n"/>
      <c r="Q15" s="178" t="n"/>
      <c r="R15" s="178" t="n"/>
      <c r="S15" s="178" t="n"/>
      <c r="T15" s="178" t="n"/>
      <c r="U15" s="178" t="n"/>
      <c r="V15" s="185" t="n"/>
      <c r="W15" s="23" t="n"/>
      <c r="X15" s="23" t="n"/>
      <c r="Y15" s="23" t="n"/>
      <c r="Z15" s="23" t="n"/>
      <c r="AA15" s="23" t="n"/>
      <c r="AB15" s="23" t="n"/>
      <c r="AC15" s="23" t="n"/>
      <c r="AD15" s="23" t="n"/>
      <c r="AE15" s="23" t="n"/>
      <c r="AF15" s="23" t="n"/>
      <c r="AG15" s="23" t="n"/>
      <c r="AH15" s="23" t="n"/>
      <c r="AI15" s="23" t="n"/>
      <c r="AJ15" s="23" t="n"/>
      <c r="AK15" s="23" t="n"/>
      <c r="AL15" s="23" t="n"/>
      <c r="AM15" s="23" t="n"/>
      <c r="AN15" s="23" t="n"/>
    </row>
    <row r="16">
      <c r="D16" s="209" t="n"/>
      <c r="E16" s="43">
        <f t="array" ref="E16">INDIRECT(""&amp;$D14 &amp; "!A51")</f>
        <v/>
      </c>
      <c r="F16" s="17">
        <f t="array" ref="F16">INDIRECT(""&amp;$D14 &amp; "!B51")</f>
        <v/>
      </c>
      <c r="G16" s="179" t="n"/>
      <c r="H16" s="179" t="n"/>
      <c r="I16" s="179" t="n"/>
      <c r="J16" s="179" t="n"/>
      <c r="K16" s="179" t="n"/>
      <c r="L16" s="179" t="n"/>
      <c r="M16" s="179" t="n"/>
      <c r="N16" s="179" t="n"/>
      <c r="O16" s="179" t="n"/>
      <c r="P16" s="179" t="n"/>
      <c r="Q16" s="179" t="n"/>
      <c r="R16" s="179" t="n"/>
      <c r="S16" s="179" t="n"/>
      <c r="T16" s="179" t="n"/>
      <c r="U16" s="179" t="n"/>
      <c r="V16" s="186" t="n"/>
      <c r="W16" s="23" t="n"/>
      <c r="X16" s="23" t="n"/>
      <c r="Y16" s="23" t="n"/>
      <c r="Z16" s="23" t="n"/>
      <c r="AA16" s="23" t="n"/>
      <c r="AB16" s="23" t="n"/>
      <c r="AC16" s="23" t="n"/>
      <c r="AD16" s="23" t="n"/>
      <c r="AE16" s="23" t="n"/>
      <c r="AF16" s="23" t="n"/>
      <c r="AG16" s="23" t="n"/>
      <c r="AH16" s="23" t="n"/>
      <c r="AI16" s="23" t="n"/>
      <c r="AJ16" s="23" t="n"/>
      <c r="AK16" s="23" t="n"/>
      <c r="AL16" s="23" t="n"/>
      <c r="AM16" s="23" t="n"/>
      <c r="AN16" s="23" t="n"/>
    </row>
    <row r="17">
      <c r="D17" s="208" t="inlineStr">
        <is>
          <t>NocturneDance</t>
        </is>
      </c>
      <c r="E17" s="43">
        <f t="array" ref="E17">INDIRECT(""&amp;$D17 &amp; "!A47")</f>
        <v/>
      </c>
      <c r="F17" s="17">
        <f t="array" ref="F17">INDIRECT(""&amp;$D17 &amp; "!B47")</f>
        <v/>
      </c>
      <c r="G17" s="177">
        <f t="array" ref="G17">INDIRECT(""&amp;$D17 &amp; "!C47")</f>
        <v/>
      </c>
      <c r="H17" s="177">
        <f t="array" ref="H17">INDIRECT(""&amp;$D17 &amp; "!D47")</f>
        <v/>
      </c>
      <c r="I17" s="177">
        <f t="array" ref="I17">INDIRECT(""&amp;$D17 &amp; "!E47")</f>
        <v/>
      </c>
      <c r="J17" s="177">
        <f t="array" ref="J17">INDIRECT(""&amp;$D17 &amp; "!F47")</f>
        <v/>
      </c>
      <c r="K17" s="177">
        <f>('Summary (Full)'!$B$50*G17+'Summary (Full)'!$B$51*H17+'Summary (Full)'!$B$52*I17)/'Summary (Full)'!$B$53</f>
        <v/>
      </c>
      <c r="L17" s="177">
        <f t="array" ref="L17">INDIRECT(""&amp;$D17 &amp; "!G47")</f>
        <v/>
      </c>
      <c r="M17" s="177">
        <f t="array" ref="M17">INDIRECT(""&amp;$D17 &amp; "!H47")</f>
        <v/>
      </c>
      <c r="N17" s="177">
        <f t="array" ref="N17">INDIRECT(""&amp;$D17 &amp; "!I47")</f>
        <v/>
      </c>
      <c r="O17" s="177">
        <f t="array" ref="O17">INDIRECT(""&amp;$D17 &amp; "!J47")</f>
        <v/>
      </c>
      <c r="P17" s="177">
        <f t="array" ref="P17">INDIRECT(""&amp;$D17 &amp; "!K47")</f>
        <v/>
      </c>
      <c r="Q17" s="177">
        <f t="array" ref="Q17">INDIRECT(""&amp;$D17 &amp; "!L47")</f>
        <v/>
      </c>
      <c r="R17" s="177">
        <f t="array" ref="R17">INDIRECT(""&amp;$D17 &amp; "!M47")</f>
        <v/>
      </c>
      <c r="S17" s="177">
        <f t="array" ref="S17">INDIRECT(""&amp;$D17 &amp; "!N47")</f>
        <v/>
      </c>
      <c r="T17" s="177">
        <f t="array" ref="T17">INDIRECT(""&amp;$D17 &amp; "!O47")</f>
        <v/>
      </c>
      <c r="U17" s="177">
        <f t="array" ref="U17">INDIRECT(""&amp;$D17 &amp; "!P47")</f>
        <v/>
      </c>
      <c r="V17" s="187">
        <f>('Summary (Full)'!$B$58*R17+'Summary (Full)'!$B$59*S17+'Summary (Full)'!$B$60*T17)/'Summary (Full)'!$B$61</f>
        <v/>
      </c>
      <c r="W17" s="23" t="n"/>
      <c r="X17" s="23" t="n"/>
      <c r="Y17" s="23" t="n"/>
      <c r="Z17" s="23" t="n"/>
      <c r="AA17" s="23" t="n"/>
      <c r="AB17" s="23" t="n"/>
      <c r="AC17" s="23" t="n"/>
      <c r="AD17" s="23" t="n"/>
      <c r="AE17" s="23" t="n"/>
      <c r="AF17" s="23" t="n"/>
      <c r="AG17" s="23" t="n"/>
      <c r="AH17" s="23" t="n"/>
      <c r="AI17" s="23" t="n"/>
      <c r="AJ17" s="23" t="n"/>
      <c r="AK17" s="23" t="n"/>
      <c r="AL17" s="23" t="n"/>
      <c r="AM17" s="23" t="n"/>
      <c r="AN17" s="23" t="n"/>
    </row>
    <row r="18">
      <c r="D18" s="172" t="n"/>
      <c r="E18" s="43">
        <f t="array" ref="E18">INDIRECT(""&amp;$D17 &amp; "!A49")</f>
        <v/>
      </c>
      <c r="F18" s="17">
        <f t="array" ref="F18">INDIRECT(""&amp;$D17 &amp; "!B49")</f>
        <v/>
      </c>
      <c r="G18" s="178" t="n"/>
      <c r="H18" s="178" t="n"/>
      <c r="I18" s="178" t="n"/>
      <c r="J18" s="178" t="n"/>
      <c r="K18" s="178" t="n"/>
      <c r="L18" s="178" t="n"/>
      <c r="M18" s="178" t="n"/>
      <c r="N18" s="178" t="n"/>
      <c r="O18" s="178" t="n"/>
      <c r="P18" s="178" t="n"/>
      <c r="Q18" s="178" t="n"/>
      <c r="R18" s="178" t="n"/>
      <c r="S18" s="178" t="n"/>
      <c r="T18" s="178" t="n"/>
      <c r="U18" s="178" t="n"/>
      <c r="V18" s="185" t="n"/>
      <c r="W18" s="23" t="n"/>
      <c r="X18" s="23" t="n"/>
      <c r="Y18" s="23" t="n"/>
      <c r="Z18" s="23" t="n"/>
      <c r="AA18" s="23" t="n"/>
      <c r="AB18" s="23" t="n"/>
      <c r="AC18" s="23" t="n"/>
      <c r="AD18" s="23" t="n"/>
      <c r="AE18" s="23" t="n"/>
      <c r="AF18" s="23" t="n"/>
      <c r="AG18" s="23" t="n"/>
      <c r="AH18" s="23" t="n"/>
      <c r="AI18" s="23" t="n"/>
      <c r="AJ18" s="23" t="n"/>
      <c r="AK18" s="23" t="n"/>
      <c r="AL18" s="23" t="n"/>
      <c r="AM18" s="23" t="n"/>
      <c r="AN18" s="23" t="n"/>
    </row>
    <row r="19">
      <c r="D19" s="209" t="n"/>
      <c r="E19" s="43">
        <f t="array" ref="E19">INDIRECT(""&amp;$D17 &amp; "!A51")</f>
        <v/>
      </c>
      <c r="F19" s="17">
        <f t="array" ref="F19">INDIRECT(""&amp;$D17 &amp; "!B51")</f>
        <v/>
      </c>
      <c r="G19" s="179" t="n"/>
      <c r="H19" s="179" t="n"/>
      <c r="I19" s="179" t="n"/>
      <c r="J19" s="179" t="n"/>
      <c r="K19" s="179" t="n"/>
      <c r="L19" s="179" t="n"/>
      <c r="M19" s="179" t="n"/>
      <c r="N19" s="179" t="n"/>
      <c r="O19" s="179" t="n"/>
      <c r="P19" s="179" t="n"/>
      <c r="Q19" s="179" t="n"/>
      <c r="R19" s="179" t="n"/>
      <c r="S19" s="179" t="n"/>
      <c r="T19" s="179" t="n"/>
      <c r="U19" s="179" t="n"/>
      <c r="V19" s="186" t="n"/>
      <c r="W19" s="23" t="n"/>
      <c r="X19" s="23" t="n"/>
      <c r="Y19" s="23" t="n"/>
      <c r="Z19" s="23" t="n"/>
      <c r="AA19" s="23" t="n"/>
      <c r="AB19" s="23" t="n"/>
      <c r="AC19" s="23" t="n"/>
      <c r="AD19" s="23" t="n"/>
      <c r="AE19" s="23" t="n"/>
      <c r="AF19" s="23" t="n"/>
      <c r="AG19" s="23" t="n"/>
      <c r="AH19" s="23" t="n"/>
      <c r="AI19" s="23" t="n"/>
      <c r="AJ19" s="23" t="n"/>
      <c r="AK19" s="23" t="n"/>
      <c r="AL19" s="23" t="n"/>
      <c r="AM19" s="23" t="n"/>
      <c r="AN19" s="23" t="n"/>
    </row>
    <row r="20">
      <c r="D20" s="208" t="inlineStr">
        <is>
          <t>PierSeaside</t>
        </is>
      </c>
      <c r="E20" s="43">
        <f t="array" ref="E20">INDIRECT(""&amp;$D20 &amp; "!A47")</f>
        <v/>
      </c>
      <c r="F20" s="17">
        <f t="array" ref="F20">INDIRECT(""&amp;$D20 &amp; "!B47")</f>
        <v/>
      </c>
      <c r="G20" s="177">
        <f t="array" ref="G20">INDIRECT(""&amp;$D20 &amp; "!C47")</f>
        <v/>
      </c>
      <c r="H20" s="177">
        <f t="array" ref="H20">INDIRECT(""&amp;$D20 &amp; "!D47")</f>
        <v/>
      </c>
      <c r="I20" s="177">
        <f t="array" ref="I20">INDIRECT(""&amp;$D20 &amp; "!E47")</f>
        <v/>
      </c>
      <c r="J20" s="177">
        <f t="array" ref="J20">INDIRECT(""&amp;$D20 &amp; "!F47")</f>
        <v/>
      </c>
      <c r="K20" s="177">
        <f>('Summary (Full)'!$B$50*G20+'Summary (Full)'!$B$51*H20+'Summary (Full)'!$B$52*I20)/'Summary (Full)'!$B$53</f>
        <v/>
      </c>
      <c r="L20" s="177">
        <f t="array" ref="L20">INDIRECT(""&amp;$D20 &amp; "!G47")</f>
        <v/>
      </c>
      <c r="M20" s="177">
        <f t="array" ref="M20">INDIRECT(""&amp;$D20 &amp; "!H47")</f>
        <v/>
      </c>
      <c r="N20" s="177">
        <f t="array" ref="N20">INDIRECT(""&amp;$D20 &amp; "!I47")</f>
        <v/>
      </c>
      <c r="O20" s="177">
        <f t="array" ref="O20">INDIRECT(""&amp;$D20 &amp; "!J47")</f>
        <v/>
      </c>
      <c r="P20" s="177">
        <f t="array" ref="P20">INDIRECT(""&amp;$D20 &amp; "!K47")</f>
        <v/>
      </c>
      <c r="Q20" s="177">
        <f t="array" ref="Q20">INDIRECT(""&amp;$D20 &amp; "!L47")</f>
        <v/>
      </c>
      <c r="R20" s="177">
        <f t="array" ref="R20">INDIRECT(""&amp;$D20 &amp; "!M47")</f>
        <v/>
      </c>
      <c r="S20" s="177">
        <f t="array" ref="S20">INDIRECT(""&amp;$D20 &amp; "!N47")</f>
        <v/>
      </c>
      <c r="T20" s="177">
        <f t="array" ref="T20">INDIRECT(""&amp;$D20 &amp; "!O47")</f>
        <v/>
      </c>
      <c r="U20" s="177">
        <f t="array" ref="U20">INDIRECT(""&amp;$D20 &amp; "!P47")</f>
        <v/>
      </c>
      <c r="V20" s="187">
        <f>('Summary (Full)'!$B$58*R20+'Summary (Full)'!$B$59*S20+'Summary (Full)'!$B$60*T20)/'Summary (Full)'!$B$61</f>
        <v/>
      </c>
      <c r="W20" s="23" t="n"/>
      <c r="X20" s="23" t="n"/>
      <c r="Y20" s="23" t="n"/>
      <c r="Z20" s="23" t="n"/>
      <c r="AA20" s="23" t="n"/>
      <c r="AB20" s="23" t="n"/>
      <c r="AC20" s="23" t="n"/>
      <c r="AD20" s="23" t="n"/>
      <c r="AE20" s="23" t="n"/>
      <c r="AF20" s="23" t="n"/>
      <c r="AG20" s="23" t="n"/>
      <c r="AH20" s="23" t="n"/>
      <c r="AI20" s="23" t="n"/>
      <c r="AJ20" s="23" t="n"/>
      <c r="AK20" s="23" t="n"/>
      <c r="AL20" s="23" t="n"/>
      <c r="AM20" s="23" t="n"/>
      <c r="AN20" s="23" t="n"/>
    </row>
    <row r="21">
      <c r="D21" s="172" t="n"/>
      <c r="E21" s="43">
        <f t="array" ref="E21">INDIRECT(""&amp;$D20 &amp; "!A49")</f>
        <v/>
      </c>
      <c r="F21" s="17">
        <f t="array" ref="F21">INDIRECT(""&amp;$D20 &amp; "!B49")</f>
        <v/>
      </c>
      <c r="G21" s="178" t="n"/>
      <c r="H21" s="178" t="n"/>
      <c r="I21" s="178" t="n"/>
      <c r="J21" s="178" t="n"/>
      <c r="K21" s="178" t="n"/>
      <c r="L21" s="178" t="n"/>
      <c r="M21" s="178" t="n"/>
      <c r="N21" s="178" t="n"/>
      <c r="O21" s="178" t="n"/>
      <c r="P21" s="178" t="n"/>
      <c r="Q21" s="178" t="n"/>
      <c r="R21" s="178" t="n"/>
      <c r="S21" s="178" t="n"/>
      <c r="T21" s="178" t="n"/>
      <c r="U21" s="178" t="n"/>
      <c r="V21" s="185" t="n"/>
      <c r="W21" s="23" t="n"/>
      <c r="X21" s="23" t="n"/>
      <c r="Y21" s="23" t="n"/>
      <c r="Z21" s="23" t="n"/>
      <c r="AA21" s="23" t="n"/>
      <c r="AB21" s="23" t="n"/>
      <c r="AC21" s="23" t="n"/>
      <c r="AD21" s="23" t="n"/>
      <c r="AE21" s="23" t="n"/>
      <c r="AF21" s="23" t="n"/>
      <c r="AG21" s="23" t="n"/>
      <c r="AH21" s="23" t="n"/>
      <c r="AI21" s="23" t="n"/>
      <c r="AJ21" s="23" t="n"/>
      <c r="AK21" s="23" t="n"/>
      <c r="AL21" s="23" t="n"/>
      <c r="AM21" s="23" t="n"/>
      <c r="AN21" s="23" t="n"/>
    </row>
    <row r="22">
      <c r="D22" s="209" t="n"/>
      <c r="E22" s="43">
        <f t="array" ref="E22">INDIRECT(""&amp;$D20 &amp; "!A51")</f>
        <v/>
      </c>
      <c r="F22" s="17">
        <f t="array" ref="F22">INDIRECT(""&amp;$D20 &amp; "!B51")</f>
        <v/>
      </c>
      <c r="G22" s="179" t="n"/>
      <c r="H22" s="179" t="n"/>
      <c r="I22" s="179" t="n"/>
      <c r="J22" s="179" t="n"/>
      <c r="K22" s="179" t="n"/>
      <c r="L22" s="179" t="n"/>
      <c r="M22" s="179" t="n"/>
      <c r="N22" s="179" t="n"/>
      <c r="O22" s="179" t="n"/>
      <c r="P22" s="179" t="n"/>
      <c r="Q22" s="179" t="n"/>
      <c r="R22" s="179" t="n"/>
      <c r="S22" s="179" t="n"/>
      <c r="T22" s="179" t="n"/>
      <c r="U22" s="179" t="n"/>
      <c r="V22" s="186" t="n"/>
      <c r="W22" s="23" t="n"/>
      <c r="X22" s="23" t="n"/>
      <c r="Y22" s="23" t="n"/>
      <c r="Z22" s="23" t="n"/>
      <c r="AA22" s="23" t="n"/>
      <c r="AB22" s="23" t="n"/>
      <c r="AC22" s="23" t="n"/>
      <c r="AD22" s="23" t="n"/>
      <c r="AE22" s="23" t="n"/>
      <c r="AF22" s="23" t="n"/>
      <c r="AG22" s="23" t="n"/>
      <c r="AH22" s="23" t="n"/>
      <c r="AI22" s="23" t="n"/>
      <c r="AJ22" s="23" t="n"/>
      <c r="AK22" s="23" t="n"/>
      <c r="AL22" s="23" t="n"/>
      <c r="AM22" s="23" t="n"/>
      <c r="AN22" s="23" t="n"/>
    </row>
    <row r="23">
      <c r="D23" s="208" t="inlineStr">
        <is>
          <t>Tango</t>
        </is>
      </c>
      <c r="E23" s="43">
        <f t="array" ref="E23">INDIRECT(""&amp;$D23 &amp; "!A47")</f>
        <v/>
      </c>
      <c r="F23" s="17">
        <f t="array" ref="F23">INDIRECT(""&amp;$D23 &amp; "!B47")</f>
        <v/>
      </c>
      <c r="G23" s="177">
        <f t="array" ref="G23">INDIRECT(""&amp;$D23 &amp; "!C47")</f>
        <v/>
      </c>
      <c r="H23" s="177">
        <f t="array" ref="H23">INDIRECT(""&amp;$D23 &amp; "!D47")</f>
        <v/>
      </c>
      <c r="I23" s="177">
        <f t="array" ref="I23">INDIRECT(""&amp;$D23 &amp; "!E47")</f>
        <v/>
      </c>
      <c r="J23" s="177">
        <f t="array" ref="J23">INDIRECT(""&amp;$D23 &amp; "!F47")</f>
        <v/>
      </c>
      <c r="K23" s="177">
        <f>('Summary (Full)'!$B$50*G23+'Summary (Full)'!$B$51*H23+'Summary (Full)'!$B$52*I23)/'Summary (Full)'!$B$53</f>
        <v/>
      </c>
      <c r="L23" s="177">
        <f t="array" ref="L23">INDIRECT(""&amp;$D23 &amp; "!G47")</f>
        <v/>
      </c>
      <c r="M23" s="177">
        <f t="array" ref="M23">INDIRECT(""&amp;$D23 &amp; "!H47")</f>
        <v/>
      </c>
      <c r="N23" s="177">
        <f t="array" ref="N23">INDIRECT(""&amp;$D23 &amp; "!I47")</f>
        <v/>
      </c>
      <c r="O23" s="177">
        <f t="array" ref="O23">INDIRECT(""&amp;$D23 &amp; "!J47")</f>
        <v/>
      </c>
      <c r="P23" s="177">
        <f t="array" ref="P23">INDIRECT(""&amp;$D23 &amp; "!K47")</f>
        <v/>
      </c>
      <c r="Q23" s="177">
        <f t="array" ref="Q23">INDIRECT(""&amp;$D23 &amp; "!L47")</f>
        <v/>
      </c>
      <c r="R23" s="177">
        <f t="array" ref="R23">INDIRECT(""&amp;$D23 &amp; "!M47")</f>
        <v/>
      </c>
      <c r="S23" s="177">
        <f t="array" ref="S23">INDIRECT(""&amp;$D23 &amp; "!N47")</f>
        <v/>
      </c>
      <c r="T23" s="177">
        <f t="array" ref="T23">INDIRECT(""&amp;$D23 &amp; "!O47")</f>
        <v/>
      </c>
      <c r="U23" s="177">
        <f t="array" ref="U23">INDIRECT(""&amp;$D23 &amp; "!P47")</f>
        <v/>
      </c>
      <c r="V23" s="187">
        <f>('Summary (Full)'!$B$58*R23+'Summary (Full)'!$B$59*S23+'Summary (Full)'!$B$60*T23)/'Summary (Full)'!$B$61</f>
        <v/>
      </c>
      <c r="W23" s="23" t="n"/>
      <c r="X23" s="23" t="n"/>
      <c r="Y23" s="23" t="n"/>
      <c r="Z23" s="23" t="n"/>
      <c r="AA23" s="23" t="n"/>
      <c r="AB23" s="23" t="n"/>
      <c r="AC23" s="23" t="n"/>
      <c r="AD23" s="23" t="n"/>
      <c r="AE23" s="23" t="n"/>
      <c r="AF23" s="23" t="n"/>
      <c r="AG23" s="23" t="n"/>
      <c r="AH23" s="23" t="n"/>
      <c r="AI23" s="23" t="n"/>
      <c r="AJ23" s="23" t="n"/>
      <c r="AK23" s="23" t="n"/>
      <c r="AL23" s="23" t="n"/>
      <c r="AM23" s="23" t="n"/>
      <c r="AN23" s="23" t="n"/>
    </row>
    <row r="24">
      <c r="D24" s="172" t="n"/>
      <c r="E24" s="43">
        <f t="array" ref="E24">INDIRECT(""&amp;$D23 &amp; "!A49")</f>
        <v/>
      </c>
      <c r="F24" s="17">
        <f t="array" ref="F24">INDIRECT(""&amp;$D23 &amp; "!B49")</f>
        <v/>
      </c>
      <c r="G24" s="178" t="n"/>
      <c r="H24" s="178" t="n"/>
      <c r="I24" s="178" t="n"/>
      <c r="J24" s="178" t="n"/>
      <c r="K24" s="178" t="n"/>
      <c r="L24" s="178" t="n"/>
      <c r="M24" s="178" t="n"/>
      <c r="N24" s="178" t="n"/>
      <c r="O24" s="178" t="n"/>
      <c r="P24" s="178" t="n"/>
      <c r="Q24" s="178" t="n"/>
      <c r="R24" s="178" t="n"/>
      <c r="S24" s="178" t="n"/>
      <c r="T24" s="178" t="n"/>
      <c r="U24" s="178" t="n"/>
      <c r="V24" s="185" t="n"/>
      <c r="W24" s="23" t="n"/>
      <c r="X24" s="23" t="n"/>
      <c r="Y24" s="23" t="n"/>
      <c r="Z24" s="23" t="n"/>
      <c r="AA24" s="23" t="n"/>
      <c r="AB24" s="23" t="n"/>
      <c r="AC24" s="23" t="n"/>
      <c r="AD24" s="23" t="n"/>
      <c r="AE24" s="23" t="n"/>
      <c r="AF24" s="23" t="n"/>
      <c r="AG24" s="23" t="n"/>
      <c r="AH24" s="23" t="n"/>
      <c r="AI24" s="23" t="n"/>
      <c r="AJ24" s="23" t="n"/>
      <c r="AK24" s="23" t="n"/>
      <c r="AL24" s="23" t="n"/>
      <c r="AM24" s="23" t="n"/>
      <c r="AN24" s="23" t="n"/>
    </row>
    <row r="25">
      <c r="D25" s="209" t="n"/>
      <c r="E25" s="43">
        <f t="array" ref="E25">INDIRECT(""&amp;$D23 &amp; "!A51")</f>
        <v/>
      </c>
      <c r="F25" s="17">
        <f t="array" ref="F25">INDIRECT(""&amp;$D23 &amp; "!B51")</f>
        <v/>
      </c>
      <c r="G25" s="179" t="n"/>
      <c r="H25" s="179" t="n"/>
      <c r="I25" s="179" t="n"/>
      <c r="J25" s="179" t="n"/>
      <c r="K25" s="179" t="n"/>
      <c r="L25" s="179" t="n"/>
      <c r="M25" s="179" t="n"/>
      <c r="N25" s="179" t="n"/>
      <c r="O25" s="179" t="n"/>
      <c r="P25" s="179" t="n"/>
      <c r="Q25" s="179" t="n"/>
      <c r="R25" s="179" t="n"/>
      <c r="S25" s="179" t="n"/>
      <c r="T25" s="179" t="n"/>
      <c r="U25" s="179" t="n"/>
      <c r="V25" s="186" t="n"/>
      <c r="W25" s="23" t="n"/>
      <c r="X25" s="23" t="n"/>
      <c r="Y25" s="23" t="n"/>
      <c r="Z25" s="23" t="n"/>
      <c r="AA25" s="23" t="n"/>
      <c r="AB25" s="23" t="n"/>
      <c r="AC25" s="23" t="n"/>
      <c r="AD25" s="23" t="n"/>
      <c r="AE25" s="23" t="n"/>
      <c r="AF25" s="23" t="n"/>
      <c r="AG25" s="23" t="n"/>
      <c r="AH25" s="23" t="n"/>
      <c r="AI25" s="23" t="n"/>
      <c r="AJ25" s="23" t="n"/>
      <c r="AK25" s="23" t="n"/>
      <c r="AL25" s="23" t="n"/>
      <c r="AM25" s="23" t="n"/>
      <c r="AN25" s="23" t="n"/>
    </row>
    <row r="26">
      <c r="D26" s="208" t="inlineStr">
        <is>
          <t>Timelapse</t>
        </is>
      </c>
      <c r="E26" s="43">
        <f t="array" ref="E26">INDIRECT(""&amp;$D26 &amp; "!A47")</f>
        <v/>
      </c>
      <c r="F26" s="17">
        <f t="array" ref="F26">INDIRECT(""&amp;$D26 &amp; "!B47")</f>
        <v/>
      </c>
      <c r="G26" s="177">
        <f t="array" ref="G26">INDIRECT(""&amp;$D26 &amp; "!C47")</f>
        <v/>
      </c>
      <c r="H26" s="177">
        <f t="array" ref="H26">INDIRECT(""&amp;$D26 &amp; "!D47")</f>
        <v/>
      </c>
      <c r="I26" s="177">
        <f t="array" ref="I26">INDIRECT(""&amp;$D26 &amp; "!E47")</f>
        <v/>
      </c>
      <c r="J26" s="177">
        <f t="array" ref="J26">INDIRECT(""&amp;$D26 &amp; "!F47")</f>
        <v/>
      </c>
      <c r="K26" s="177">
        <f>('Summary (Full)'!$B$50*G26+'Summary (Full)'!$B$51*H26+'Summary (Full)'!$B$52*I26)/'Summary (Full)'!$B$53</f>
        <v/>
      </c>
      <c r="L26" s="177">
        <f t="array" ref="L26">INDIRECT(""&amp;$D26 &amp; "!G47")</f>
        <v/>
      </c>
      <c r="M26" s="177">
        <f t="array" ref="M26">INDIRECT(""&amp;$D26 &amp; "!H47")</f>
        <v/>
      </c>
      <c r="N26" s="177">
        <f t="array" ref="N26">INDIRECT(""&amp;$D26 &amp; "!I47")</f>
        <v/>
      </c>
      <c r="O26" s="177">
        <f t="array" ref="O26">INDIRECT(""&amp;$D26 &amp; "!J47")</f>
        <v/>
      </c>
      <c r="P26" s="177">
        <f t="array" ref="P26">INDIRECT(""&amp;$D26 &amp; "!K47")</f>
        <v/>
      </c>
      <c r="Q26" s="177">
        <f t="array" ref="Q26">INDIRECT(""&amp;$D26 &amp; "!L47")</f>
        <v/>
      </c>
      <c r="R26" s="177">
        <f t="array" ref="R26">INDIRECT(""&amp;$D26 &amp; "!M47")</f>
        <v/>
      </c>
      <c r="S26" s="177">
        <f t="array" ref="S26">INDIRECT(""&amp;$D26 &amp; "!N47")</f>
        <v/>
      </c>
      <c r="T26" s="177">
        <f t="array" ref="T26">INDIRECT(""&amp;$D26 &amp; "!O47")</f>
        <v/>
      </c>
      <c r="U26" s="177">
        <f t="array" ref="U26">INDIRECT(""&amp;$D26 &amp; "!P47")</f>
        <v/>
      </c>
      <c r="V26" s="187">
        <f>('Summary (Full)'!$B$58*R26+'Summary (Full)'!$B$59*S26+'Summary (Full)'!$B$60*T26)/'Summary (Full)'!$B$61</f>
        <v/>
      </c>
      <c r="W26" s="23" t="n"/>
      <c r="X26" s="23" t="n"/>
      <c r="Y26" s="23" t="n"/>
      <c r="Z26" s="23" t="n"/>
      <c r="AA26" s="23" t="n"/>
      <c r="AB26" s="23" t="n"/>
      <c r="AC26" s="23" t="n"/>
      <c r="AD26" s="23" t="n"/>
      <c r="AE26" s="23" t="n"/>
      <c r="AF26" s="23" t="n"/>
      <c r="AG26" s="23" t="n"/>
      <c r="AH26" s="23" t="n"/>
      <c r="AI26" s="23" t="n"/>
      <c r="AJ26" s="23" t="n"/>
      <c r="AK26" s="23" t="n"/>
      <c r="AL26" s="23" t="n"/>
      <c r="AM26" s="23" t="n"/>
      <c r="AN26" s="23" t="n"/>
    </row>
    <row r="27">
      <c r="D27" s="172" t="n"/>
      <c r="E27" s="43">
        <f t="array" ref="E27">INDIRECT(""&amp;$D26 &amp; "!A49")</f>
        <v/>
      </c>
      <c r="F27" s="17">
        <f t="array" ref="F27">INDIRECT(""&amp;$D26 &amp; "!B49")</f>
        <v/>
      </c>
      <c r="G27" s="178" t="n"/>
      <c r="H27" s="178" t="n"/>
      <c r="I27" s="178" t="n"/>
      <c r="J27" s="178" t="n"/>
      <c r="K27" s="178" t="n"/>
      <c r="L27" s="178" t="n"/>
      <c r="M27" s="178" t="n"/>
      <c r="N27" s="178" t="n"/>
      <c r="O27" s="178" t="n"/>
      <c r="P27" s="178" t="n"/>
      <c r="Q27" s="178" t="n"/>
      <c r="R27" s="178" t="n"/>
      <c r="S27" s="178" t="n"/>
      <c r="T27" s="178" t="n"/>
      <c r="U27" s="178" t="n"/>
      <c r="V27" s="185" t="n"/>
      <c r="W27" s="23" t="n"/>
      <c r="X27" s="23" t="n"/>
      <c r="Y27" s="23" t="n"/>
      <c r="Z27" s="23" t="n"/>
      <c r="AA27" s="23" t="n"/>
      <c r="AB27" s="23" t="n"/>
      <c r="AC27" s="23" t="n"/>
      <c r="AD27" s="23" t="n"/>
      <c r="AE27" s="23" t="n"/>
      <c r="AF27" s="23" t="n"/>
      <c r="AG27" s="23" t="n"/>
      <c r="AH27" s="23" t="n"/>
      <c r="AI27" s="23" t="n"/>
      <c r="AJ27" s="23" t="n"/>
      <c r="AK27" s="23" t="n"/>
      <c r="AL27" s="23" t="n"/>
      <c r="AM27" s="23" t="n"/>
      <c r="AN27" s="23" t="n"/>
    </row>
    <row r="28" ht="17" customHeight="1" s="241" thickBot="1">
      <c r="D28" s="209" t="n"/>
      <c r="E28" s="55">
        <f t="array" ref="E28">INDIRECT(""&amp;$D26 &amp; "!A51")</f>
        <v/>
      </c>
      <c r="F28" s="49">
        <f t="array" ref="F28">INDIRECT(""&amp;$D26 &amp; "!B51")</f>
        <v/>
      </c>
      <c r="G28" s="179" t="n"/>
      <c r="H28" s="179" t="n"/>
      <c r="I28" s="179" t="n"/>
      <c r="J28" s="179" t="n"/>
      <c r="K28" s="179" t="n"/>
      <c r="L28" s="179" t="n"/>
      <c r="M28" s="179" t="n"/>
      <c r="N28" s="179" t="n"/>
      <c r="O28" s="179" t="n"/>
      <c r="P28" s="179" t="n"/>
      <c r="Q28" s="179" t="n"/>
      <c r="R28" s="179" t="n"/>
      <c r="S28" s="179" t="n"/>
      <c r="T28" s="179" t="n"/>
      <c r="U28" s="179" t="n"/>
      <c r="V28" s="186" t="n"/>
      <c r="W28" s="23" t="n"/>
      <c r="X28" s="23" t="n"/>
      <c r="Y28" s="23" t="n"/>
      <c r="Z28" s="23" t="n"/>
      <c r="AA28" s="23" t="n"/>
      <c r="AB28" s="23" t="n"/>
      <c r="AC28" s="23" t="n"/>
      <c r="AD28" s="23" t="n"/>
      <c r="AE28" s="23" t="n"/>
      <c r="AF28" s="23" t="n"/>
      <c r="AG28" s="23" t="n"/>
      <c r="AH28" s="23" t="n"/>
      <c r="AI28" s="23" t="n"/>
      <c r="AJ28" s="23" t="n"/>
      <c r="AK28" s="23" t="n"/>
      <c r="AL28" s="23" t="n"/>
      <c r="AM28" s="23" t="n"/>
      <c r="AN28" s="23" t="n"/>
    </row>
    <row r="29">
      <c r="A29" s="219" t="inlineStr">
        <is>
          <t>Convex Hull Control</t>
        </is>
      </c>
      <c r="B29" s="220" t="n"/>
      <c r="D29" s="231" t="inlineStr">
        <is>
          <t>Average</t>
        </is>
      </c>
      <c r="E29" s="52" t="inlineStr">
        <is>
          <t>High</t>
        </is>
      </c>
      <c r="F29" s="44">
        <f>AVERAGE(F5,F8,F11,F14,F17,F20,F23,F26)</f>
        <v/>
      </c>
      <c r="G29" s="180">
        <f>AVERAGE(G5:G28)</f>
        <v/>
      </c>
      <c r="H29" s="180">
        <f>AVERAGE(H5:H28)</f>
        <v/>
      </c>
      <c r="I29" s="180">
        <f>AVERAGE(I5:I28)</f>
        <v/>
      </c>
      <c r="J29" s="180">
        <f>AVERAGE(J5:J28)</f>
        <v/>
      </c>
      <c r="K29" s="180">
        <f>AVERAGE(K5:K28)</f>
        <v/>
      </c>
      <c r="L29" s="180">
        <f>AVERAGE(L5:L28)</f>
        <v/>
      </c>
      <c r="M29" s="180">
        <f>AVERAGE(M5:M28)</f>
        <v/>
      </c>
      <c r="N29" s="180">
        <f>AVERAGE(N5:N28)</f>
        <v/>
      </c>
      <c r="O29" s="180">
        <f>AVERAGE(O5:O28)</f>
        <v/>
      </c>
      <c r="P29" s="180">
        <f>AVERAGE(P5:P28)</f>
        <v/>
      </c>
      <c r="Q29" s="180">
        <f>AVERAGE(Q5:Q28)</f>
        <v/>
      </c>
      <c r="R29" s="180">
        <f>AVERAGE(R5:R28)</f>
        <v/>
      </c>
      <c r="S29" s="180">
        <f>AVERAGE(S5:S28)</f>
        <v/>
      </c>
      <c r="T29" s="180">
        <f>AVERAGE(T5:T28)</f>
        <v/>
      </c>
      <c r="U29" s="180">
        <f>AVERAGE(U5:U28)</f>
        <v/>
      </c>
      <c r="V29" s="184">
        <f>AVERAGE(V5:V28)</f>
        <v/>
      </c>
      <c r="W29" s="23" t="n"/>
      <c r="X29" s="23" t="n"/>
      <c r="Y29" s="23" t="n"/>
      <c r="Z29" s="23" t="n"/>
      <c r="AA29" s="23" t="n"/>
      <c r="AB29" s="23" t="n"/>
      <c r="AC29" s="23" t="n"/>
      <c r="AD29" s="23" t="n"/>
      <c r="AE29" s="23" t="n"/>
      <c r="AF29" s="23" t="n"/>
      <c r="AG29" s="23" t="n"/>
      <c r="AH29" s="23" t="n"/>
      <c r="AI29" s="23" t="n"/>
      <c r="AJ29" s="23" t="n"/>
      <c r="AK29" s="23" t="n"/>
      <c r="AL29" s="23" t="n"/>
      <c r="AM29" s="23" t="n"/>
      <c r="AN29" s="23" t="n"/>
    </row>
    <row r="30">
      <c r="A30" s="29" t="inlineStr">
        <is>
          <t>Intermediate points</t>
        </is>
      </c>
      <c r="B30" s="30" t="n">
        <v>7</v>
      </c>
      <c r="D30" s="227" t="n"/>
      <c r="E30" s="50" t="inlineStr">
        <is>
          <t>Med</t>
        </is>
      </c>
      <c r="F30" s="17">
        <f>AVERAGE(F6,F9,F12,F15,F18,F21,F24,F27)</f>
        <v/>
      </c>
      <c r="G30" s="178" t="n"/>
      <c r="H30" s="178" t="n"/>
      <c r="I30" s="178" t="n"/>
      <c r="J30" s="178" t="n"/>
      <c r="K30" s="178" t="n"/>
      <c r="L30" s="178" t="n"/>
      <c r="M30" s="178" t="n"/>
      <c r="N30" s="178" t="n"/>
      <c r="O30" s="178" t="n"/>
      <c r="P30" s="178" t="n"/>
      <c r="Q30" s="178" t="n"/>
      <c r="R30" s="178" t="n"/>
      <c r="S30" s="178" t="n"/>
      <c r="T30" s="178" t="n"/>
      <c r="U30" s="178" t="n"/>
      <c r="V30" s="185" t="n"/>
      <c r="W30" s="23" t="n"/>
      <c r="X30" s="23" t="n"/>
      <c r="Y30" s="23" t="n"/>
      <c r="Z30" s="23" t="n"/>
      <c r="AA30" s="23" t="n"/>
      <c r="AB30" s="23" t="n"/>
      <c r="AC30" s="23" t="n"/>
      <c r="AD30" s="23" t="n"/>
      <c r="AE30" s="23" t="n"/>
      <c r="AF30" s="23" t="n"/>
      <c r="AG30" s="23" t="n"/>
      <c r="AH30" s="23" t="n"/>
      <c r="AI30" s="23" t="n"/>
      <c r="AJ30" s="23" t="n"/>
      <c r="AK30" s="23" t="n"/>
      <c r="AL30" s="23" t="n"/>
      <c r="AM30" s="23" t="n"/>
      <c r="AN30" s="23" t="n"/>
    </row>
    <row r="31" ht="17" customHeight="1" s="241" thickBot="1">
      <c r="D31" s="228" t="n"/>
      <c r="E31" s="51" t="inlineStr">
        <is>
          <t>Low</t>
        </is>
      </c>
      <c r="F31" s="47">
        <f>AVERAGE(F7,F10,F13,F16,F19,F22,F25,F28)</f>
        <v/>
      </c>
      <c r="G31" s="179" t="n"/>
      <c r="H31" s="179" t="n"/>
      <c r="I31" s="179" t="n"/>
      <c r="J31" s="179" t="n"/>
      <c r="K31" s="179" t="n"/>
      <c r="L31" s="179" t="n"/>
      <c r="M31" s="179" t="n"/>
      <c r="N31" s="179" t="n"/>
      <c r="O31" s="179" t="n"/>
      <c r="P31" s="179" t="n"/>
      <c r="Q31" s="179" t="n"/>
      <c r="R31" s="179" t="n"/>
      <c r="S31" s="179" t="n"/>
      <c r="T31" s="179" t="n"/>
      <c r="U31" s="179" t="n"/>
      <c r="V31" s="186" t="n"/>
      <c r="W31" s="23" t="n"/>
      <c r="X31" s="23" t="n"/>
      <c r="Y31" s="23" t="n"/>
      <c r="Z31" s="23" t="n"/>
      <c r="AA31" s="23" t="n"/>
      <c r="AB31" s="23" t="n"/>
      <c r="AC31" s="23" t="n"/>
      <c r="AD31" s="23" t="n"/>
      <c r="AE31" s="23" t="n"/>
      <c r="AF31" s="23" t="n"/>
      <c r="AG31" s="23" t="n"/>
      <c r="AH31" s="23" t="n"/>
      <c r="AI31" s="23" t="n"/>
      <c r="AJ31" s="23" t="n"/>
      <c r="AK31" s="23" t="n"/>
      <c r="AL31" s="23" t="n"/>
      <c r="AM31" s="23" t="n"/>
      <c r="AN31" s="23" t="n"/>
    </row>
    <row r="32">
      <c r="F32" s="80" t="n"/>
      <c r="W32" s="23" t="n"/>
      <c r="X32" s="23" t="n"/>
      <c r="Y32" s="23" t="n"/>
      <c r="Z32" s="23" t="n"/>
      <c r="AA32" s="23" t="n"/>
      <c r="AB32" s="23" t="n"/>
      <c r="AC32" s="23" t="n"/>
      <c r="AD32" s="23" t="n"/>
      <c r="AE32" s="23" t="n"/>
      <c r="AF32" s="23" t="n"/>
      <c r="AG32" s="23" t="n"/>
      <c r="AH32" s="23" t="n"/>
      <c r="AI32" s="23" t="n"/>
      <c r="AJ32" s="23" t="n"/>
      <c r="AK32" s="23" t="n"/>
      <c r="AL32" s="23" t="n"/>
      <c r="AM32" s="23" t="n"/>
      <c r="AN32" s="23" t="n"/>
    </row>
    <row r="33">
      <c r="A33" s="219" t="inlineStr">
        <is>
          <t>YUV PSNR Weights</t>
        </is>
      </c>
      <c r="B33" s="220" t="n"/>
      <c r="C33" s="33" t="n"/>
    </row>
    <row r="34" ht="17" customHeight="1" s="241" thickBot="1">
      <c r="A34" s="29" t="inlineStr">
        <is>
          <t xml:space="preserve">Y </t>
        </is>
      </c>
      <c r="B34" s="30" t="n">
        <v>14</v>
      </c>
      <c r="C34" s="34" t="n"/>
      <c r="X34" s="23" t="n"/>
      <c r="Y34" s="23" t="n"/>
      <c r="Z34" s="23" t="n"/>
      <c r="AA34" s="23" t="n"/>
      <c r="AB34" s="23" t="n"/>
      <c r="AC34" s="23" t="n"/>
      <c r="AD34" s="23" t="n"/>
      <c r="AE34" s="23" t="n"/>
      <c r="AF34" s="23" t="n"/>
      <c r="AG34" s="23" t="n"/>
      <c r="AH34" s="23" t="n"/>
      <c r="AI34" s="23" t="n"/>
      <c r="AJ34" s="23" t="n"/>
      <c r="AK34" s="23" t="n"/>
      <c r="AL34" s="23" t="n"/>
      <c r="AM34" s="23" t="n"/>
      <c r="AN34" s="23" t="n"/>
    </row>
    <row r="35">
      <c r="A35" s="29" t="inlineStr">
        <is>
          <t>U</t>
        </is>
      </c>
      <c r="B35" s="30" t="n">
        <v>1</v>
      </c>
      <c r="C35" s="34" t="n"/>
      <c r="D35" s="174" t="inlineStr">
        <is>
          <t>Sequence</t>
        </is>
      </c>
      <c r="E35" s="229" t="inlineStr">
        <is>
          <t>BD-rates</t>
        </is>
      </c>
      <c r="F35" s="182" t="n"/>
      <c r="G35" s="182" t="n"/>
      <c r="H35" s="182" t="n"/>
      <c r="I35" s="182" t="n"/>
      <c r="J35" s="182" t="n"/>
      <c r="K35" s="182" t="n"/>
      <c r="L35" s="182" t="n"/>
      <c r="M35" s="182" t="n"/>
      <c r="N35" s="182" t="n"/>
      <c r="O35" s="182" t="n"/>
      <c r="P35" s="182" t="n"/>
      <c r="Q35" s="182" t="n"/>
      <c r="R35" s="182" t="n"/>
      <c r="S35" s="182" t="n"/>
      <c r="T35" s="182" t="n"/>
      <c r="U35" s="182" t="n"/>
      <c r="V35" s="182" t="n"/>
      <c r="W35" s="182" t="n"/>
      <c r="X35" s="182" t="n"/>
      <c r="Y35" s="182" t="n"/>
      <c r="Z35" s="182" t="n"/>
      <c r="AA35" s="182" t="n"/>
      <c r="AB35" s="23" t="n"/>
      <c r="AC35" s="23" t="n"/>
      <c r="AD35" s="23" t="n"/>
      <c r="AE35" s="23" t="n"/>
      <c r="AF35" s="23" t="n"/>
      <c r="AG35" s="23" t="n"/>
      <c r="AH35" s="23" t="n"/>
      <c r="AI35" s="23" t="n"/>
      <c r="AJ35" s="23" t="n"/>
      <c r="AK35" s="23" t="n"/>
      <c r="AL35" s="23" t="n"/>
      <c r="AM35" s="23" t="n"/>
      <c r="AN35" s="23" t="n"/>
    </row>
    <row r="36">
      <c r="A36" s="29" t="inlineStr">
        <is>
          <t>V</t>
        </is>
      </c>
      <c r="B36" s="30" t="n">
        <v>1</v>
      </c>
      <c r="C36" s="34" t="n"/>
      <c r="D36" s="175" t="n"/>
      <c r="E36" s="40" t="n"/>
      <c r="F36" s="168" t="inlineStr">
        <is>
          <t>SSIM CH</t>
        </is>
      </c>
      <c r="G36" s="169" t="n"/>
      <c r="H36" s="168" t="inlineStr">
        <is>
          <t>MS-SSIM CH</t>
        </is>
      </c>
      <c r="I36" s="169" t="n"/>
      <c r="J36" s="168" t="inlineStr">
        <is>
          <t>VMAF CH</t>
        </is>
      </c>
      <c r="K36" s="169" t="n"/>
      <c r="L36" s="168" t="inlineStr">
        <is>
          <t>VMAF-neg CH</t>
        </is>
      </c>
      <c r="M36" s="169" t="n"/>
      <c r="N36" s="168" t="inlineStr">
        <is>
          <t>PSNR-HVS CH</t>
        </is>
      </c>
      <c r="O36" s="169" t="n"/>
      <c r="P36" s="168" t="inlineStr">
        <is>
          <t>DE CH</t>
        </is>
      </c>
      <c r="Q36" s="169" t="n"/>
      <c r="R36" s="165" t="inlineStr">
        <is>
          <t>APSNR CH</t>
        </is>
      </c>
      <c r="S36" s="166" t="n"/>
      <c r="T36" s="166" t="n"/>
      <c r="U36" s="166" t="n"/>
      <c r="V36" s="166" t="n"/>
      <c r="W36" s="167" t="n"/>
      <c r="X36" s="168" t="inlineStr">
        <is>
          <t>PSNR-YUV CH</t>
        </is>
      </c>
      <c r="Y36" s="169" t="n"/>
      <c r="Z36" s="168" t="inlineStr">
        <is>
          <t>APSNR-YUV CH</t>
        </is>
      </c>
      <c r="AA36" s="169" t="n"/>
      <c r="AB36" s="23" t="n"/>
      <c r="AC36" s="23" t="n"/>
      <c r="AD36" s="23" t="n"/>
      <c r="AE36" s="23" t="n"/>
      <c r="AF36" s="23" t="n"/>
      <c r="AG36" s="23" t="n"/>
      <c r="AH36" s="23" t="n"/>
      <c r="AI36" s="23" t="n"/>
      <c r="AJ36" s="23" t="n"/>
      <c r="AK36" s="23" t="n"/>
      <c r="AL36" s="23" t="n"/>
      <c r="AM36" s="23" t="n"/>
      <c r="AN36" s="23" t="n"/>
    </row>
    <row r="37">
      <c r="A37" s="29" t="inlineStr">
        <is>
          <t>Sum</t>
        </is>
      </c>
      <c r="B37" s="30">
        <f>SUM(B34:B36)</f>
        <v/>
      </c>
      <c r="C37" s="34" t="n"/>
      <c r="D37" s="175" t="n"/>
      <c r="E37" s="168" t="n"/>
      <c r="F37" s="168" t="inlineStr">
        <is>
          <t>SSIM</t>
        </is>
      </c>
      <c r="G37" s="169" t="n"/>
      <c r="H37" s="168" t="inlineStr">
        <is>
          <t>MS-SSIM</t>
        </is>
      </c>
      <c r="I37" s="169" t="n"/>
      <c r="J37" s="168" t="inlineStr">
        <is>
          <t>VMAF</t>
        </is>
      </c>
      <c r="K37" s="169" t="n"/>
      <c r="L37" s="168" t="inlineStr">
        <is>
          <t>VMAF-neg</t>
        </is>
      </c>
      <c r="M37" s="169" t="n"/>
      <c r="N37" s="168" t="inlineStr">
        <is>
          <t>PSNR HVS</t>
        </is>
      </c>
      <c r="O37" s="169" t="n"/>
      <c r="P37" s="168" t="inlineStr">
        <is>
          <t>DE</t>
        </is>
      </c>
      <c r="Q37" s="169" t="n"/>
      <c r="R37" s="165" t="inlineStr">
        <is>
          <t>APSNR</t>
        </is>
      </c>
      <c r="S37" s="166" t="n"/>
      <c r="T37" s="166" t="n"/>
      <c r="U37" s="166" t="n"/>
      <c r="V37" s="166" t="n"/>
      <c r="W37" s="167" t="n"/>
      <c r="X37" s="168" t="inlineStr">
        <is>
          <t>PSNR YUV</t>
        </is>
      </c>
      <c r="Y37" s="169" t="n"/>
      <c r="Z37" s="168" t="inlineStr">
        <is>
          <t>APSNR YUV</t>
        </is>
      </c>
      <c r="AA37" s="169" t="n"/>
      <c r="AB37" s="23" t="n"/>
      <c r="AC37" s="23" t="n"/>
      <c r="AD37" s="23" t="n"/>
      <c r="AE37" s="23" t="n"/>
      <c r="AF37" s="23" t="n"/>
      <c r="AG37" s="23" t="n"/>
      <c r="AH37" s="23" t="n"/>
      <c r="AI37" s="23" t="n"/>
      <c r="AJ37" s="23" t="n"/>
      <c r="AK37" s="23" t="n"/>
      <c r="AL37" s="23" t="n"/>
      <c r="AM37" s="23" t="n"/>
      <c r="AN37" s="23" t="n"/>
    </row>
    <row r="38" ht="17" customHeight="1" s="241" thickBot="1">
      <c r="A38" s="31" t="n"/>
      <c r="B38" s="32" t="n"/>
      <c r="C38" s="32" t="n"/>
      <c r="D38" s="176" t="n"/>
      <c r="E38" s="192" t="n"/>
      <c r="F38" s="192" t="inlineStr">
        <is>
          <t>Range</t>
        </is>
      </c>
      <c r="G38" s="192" t="inlineStr">
        <is>
          <t>Y</t>
        </is>
      </c>
      <c r="H38" s="192" t="inlineStr">
        <is>
          <t>Range</t>
        </is>
      </c>
      <c r="I38" s="192" t="inlineStr">
        <is>
          <t>Y</t>
        </is>
      </c>
      <c r="J38" s="192" t="inlineStr">
        <is>
          <t>Range</t>
        </is>
      </c>
      <c r="K38" s="192" t="inlineStr">
        <is>
          <t>Y</t>
        </is>
      </c>
      <c r="L38" s="192" t="inlineStr">
        <is>
          <t>Range</t>
        </is>
      </c>
      <c r="M38" s="192" t="inlineStr">
        <is>
          <t>Y</t>
        </is>
      </c>
      <c r="N38" s="192" t="inlineStr">
        <is>
          <t>Range</t>
        </is>
      </c>
      <c r="O38" s="192" t="inlineStr">
        <is>
          <t>Y</t>
        </is>
      </c>
      <c r="P38" s="192" t="inlineStr">
        <is>
          <t>Range</t>
        </is>
      </c>
      <c r="Q38" s="192" t="inlineStr">
        <is>
          <t>Y</t>
        </is>
      </c>
      <c r="R38" s="192" t="inlineStr">
        <is>
          <t>Range</t>
        </is>
      </c>
      <c r="S38" s="192" t="inlineStr">
        <is>
          <t>Y</t>
        </is>
      </c>
      <c r="T38" s="192" t="inlineStr">
        <is>
          <t>U</t>
        </is>
      </c>
      <c r="U38" s="192" t="inlineStr">
        <is>
          <t>V</t>
        </is>
      </c>
      <c r="V38" s="192" t="inlineStr">
        <is>
          <t>YUV</t>
        </is>
      </c>
      <c r="W38" s="63" t="inlineStr">
        <is>
          <t>bdYUV</t>
        </is>
      </c>
      <c r="X38" s="192" t="inlineStr">
        <is>
          <t>Range</t>
        </is>
      </c>
      <c r="Y38" s="192" t="inlineStr">
        <is>
          <t>YUV</t>
        </is>
      </c>
      <c r="Z38" s="192" t="inlineStr">
        <is>
          <t>Range</t>
        </is>
      </c>
      <c r="AA38" s="192" t="inlineStr">
        <is>
          <t>YUV</t>
        </is>
      </c>
      <c r="AB38" s="23" t="n"/>
      <c r="AC38" s="23" t="n"/>
      <c r="AD38" s="23" t="n"/>
      <c r="AE38" s="23" t="n"/>
      <c r="AF38" s="23" t="n"/>
      <c r="AG38" s="23" t="n"/>
      <c r="AH38" s="23" t="n"/>
      <c r="AI38" s="23" t="n"/>
      <c r="AJ38" s="23" t="n"/>
      <c r="AK38" s="23" t="n"/>
      <c r="AL38" s="23" t="n"/>
      <c r="AM38" s="23" t="n"/>
      <c r="AN38" s="23" t="n"/>
    </row>
    <row r="39">
      <c r="A39" s="31" t="n"/>
      <c r="B39" s="32" t="n"/>
      <c r="C39" s="32" t="n"/>
      <c r="D39" s="208">
        <f>D5</f>
        <v/>
      </c>
      <c r="E39" s="43">
        <f t="array" ref="E39">INDIRECT(""&amp;$D39 &amp; "!A47")</f>
        <v/>
      </c>
      <c r="F39" s="44">
        <f t="array" ref="F39">INDIRECT(""&amp;$D39 &amp; "!Q47")</f>
        <v/>
      </c>
      <c r="G39" s="180">
        <f t="array" ref="G39">INDIRECT(""&amp;$D39 &amp; "!R47")</f>
        <v/>
      </c>
      <c r="H39" s="180">
        <f t="array" ref="H39">INDIRECT(""&amp;$D39 &amp; "!S47")</f>
        <v/>
      </c>
      <c r="I39" s="180">
        <f t="array" ref="I39">INDIRECT(""&amp;$D39 &amp; "!T47")</f>
        <v/>
      </c>
      <c r="J39" s="180">
        <f t="array" ref="J39">INDIRECT(""&amp;$D39 &amp; "!U47")</f>
        <v/>
      </c>
      <c r="K39" s="180">
        <f t="array" ref="K39">INDIRECT(""&amp;$D39 &amp; "!V47")</f>
        <v/>
      </c>
      <c r="L39" s="180">
        <f t="array" ref="L39">INDIRECT(""&amp;$D39 &amp; "!W47")</f>
        <v/>
      </c>
      <c r="M39" s="180">
        <f t="array" ref="M39">INDIRECT(""&amp;$D39 &amp; "!X47")</f>
        <v/>
      </c>
      <c r="N39" s="180">
        <f t="array" ref="N39">INDIRECT(""&amp;$D39 &amp; "!Y47")</f>
        <v/>
      </c>
      <c r="O39" s="180">
        <f t="array" ref="O39">INDIRECT(""&amp;$D39 &amp; "!Z47")</f>
        <v/>
      </c>
      <c r="P39" s="180">
        <f t="array" ref="P39">INDIRECT(""&amp;$D39 &amp; "!AA47")</f>
        <v/>
      </c>
      <c r="Q39" s="180">
        <f t="array" ref="Q39">INDIRECT(""&amp;$D39 &amp; "!AB47")</f>
        <v/>
      </c>
      <c r="R39" s="180">
        <f t="array" ref="R39">INDIRECT(""&amp;$D39 &amp; "!AC47")</f>
        <v/>
      </c>
      <c r="S39" s="180">
        <f t="array" ref="S39">INDIRECT(""&amp;$D39 &amp; "!AE47")</f>
        <v/>
      </c>
      <c r="T39" s="180">
        <f t="array" ref="T39">INDIRECT(""&amp;$D39 &amp; "!AF47")</f>
        <v/>
      </c>
      <c r="U39" s="180">
        <f t="array" ref="U39">INDIRECT(""&amp;$D39 &amp; "!AG47")</f>
        <v/>
      </c>
      <c r="V39" s="180">
        <f t="array" ref="V39">INDIRECT(""&amp;$D39 &amp; "!AH47")</f>
        <v/>
      </c>
      <c r="W39" s="180">
        <f>('Summary (Full)'!$B$58*S39+'Summary (Full)'!$B$59*T39+'Summary (Full)'!$B$60*U39)/'Summary (Full)'!$B$61</f>
        <v/>
      </c>
      <c r="X39" s="180">
        <f t="array" ref="X39">INDIRECT(""&amp;$D39 &amp; "!AI47")</f>
        <v/>
      </c>
      <c r="Y39" s="180">
        <f t="array" ref="Y39">INDIRECT(""&amp;$D39 &amp; "!AJ47")</f>
        <v/>
      </c>
      <c r="Z39" s="180">
        <f t="array" ref="Z39">INDIRECT(""&amp;$D39 &amp; "!AK47")</f>
        <v/>
      </c>
      <c r="AA39" s="184">
        <f t="array" ref="AA39">INDIRECT(""&amp;$D39 &amp; "!AL47")</f>
        <v/>
      </c>
      <c r="AB39" s="23" t="n"/>
      <c r="AC39" s="23" t="n"/>
      <c r="AD39" s="23" t="n"/>
      <c r="AE39" s="23" t="n"/>
      <c r="AF39" s="23" t="n"/>
      <c r="AG39" s="23" t="n"/>
      <c r="AH39" s="23" t="n"/>
      <c r="AI39" s="23" t="n"/>
      <c r="AJ39" s="23" t="n"/>
      <c r="AK39" s="23" t="n"/>
      <c r="AL39" s="23" t="n"/>
      <c r="AM39" s="23" t="n"/>
      <c r="AN39" s="23" t="n"/>
    </row>
    <row r="40">
      <c r="A40" s="219" t="inlineStr">
        <is>
          <t>YUV APSNR Weights</t>
        </is>
      </c>
      <c r="B40" s="220" t="n"/>
      <c r="C40" s="33" t="n"/>
      <c r="D40" s="172" t="n"/>
      <c r="E40" s="43">
        <f t="array" ref="E40">INDIRECT(""&amp;$D39 &amp; "!A49")</f>
        <v/>
      </c>
      <c r="F40" s="17">
        <f t="array" ref="F40">INDIRECT(""&amp;$D39 &amp; "!Q49")</f>
        <v/>
      </c>
      <c r="G40" s="178" t="n"/>
      <c r="H40" s="177">
        <f t="array" ref="H40">INDIRECT(""&amp;$D39 &amp; "!S49")</f>
        <v/>
      </c>
      <c r="I40" s="178" t="n"/>
      <c r="J40" s="177">
        <f t="array" ref="J40">INDIRECT(""&amp;$D39 &amp; "!U49")</f>
        <v/>
      </c>
      <c r="K40" s="178" t="n"/>
      <c r="L40" s="177">
        <f t="array" ref="L40">INDIRECT(""&amp;$D39 &amp; "!W49")</f>
        <v/>
      </c>
      <c r="M40" s="178" t="n"/>
      <c r="N40" s="177">
        <f t="array" ref="N40">INDIRECT(""&amp;$D39 &amp; "!Y49")</f>
        <v/>
      </c>
      <c r="O40" s="178" t="n"/>
      <c r="P40" s="177">
        <f t="array" ref="P40">INDIRECT(""&amp;$D39 &amp; "!AA49")</f>
        <v/>
      </c>
      <c r="Q40" s="178" t="n"/>
      <c r="R40" s="177">
        <f t="array" ref="R40">INDIRECT(""&amp;$D39 &amp; "!AC49")</f>
        <v/>
      </c>
      <c r="S40" s="178" t="n"/>
      <c r="T40" s="178" t="n"/>
      <c r="U40" s="178" t="n"/>
      <c r="V40" s="178" t="n"/>
      <c r="W40" s="178" t="n"/>
      <c r="X40" s="177">
        <f t="array" ref="X40">INDIRECT(""&amp;$D39 &amp; "!AI49")</f>
        <v/>
      </c>
      <c r="Y40" s="178" t="n"/>
      <c r="Z40" s="177">
        <f t="array" ref="Z40">INDIRECT(""&amp;$D39 &amp; "!AK49")</f>
        <v/>
      </c>
      <c r="AA40" s="185" t="n"/>
      <c r="AB40" s="23" t="n"/>
      <c r="AC40" s="23" t="n"/>
      <c r="AD40" s="23" t="n"/>
      <c r="AE40" s="23" t="n"/>
      <c r="AF40" s="23" t="n"/>
      <c r="AG40" s="23" t="n"/>
      <c r="AH40" s="23" t="n"/>
      <c r="AI40" s="23" t="n"/>
      <c r="AJ40" s="23" t="n"/>
      <c r="AK40" s="23" t="n"/>
      <c r="AL40" s="23" t="n"/>
      <c r="AM40" s="23" t="n"/>
      <c r="AN40" s="23" t="n"/>
    </row>
    <row r="41">
      <c r="A41" s="29" t="inlineStr">
        <is>
          <t xml:space="preserve">Y </t>
        </is>
      </c>
      <c r="B41" s="30" t="n">
        <v>4</v>
      </c>
      <c r="C41" s="34" t="n"/>
      <c r="D41" s="209" t="n"/>
      <c r="E41" s="43">
        <f t="array" ref="E41">INDIRECT(""&amp;$D39 &amp; "!A51")</f>
        <v/>
      </c>
      <c r="F41" s="17">
        <f t="array" ref="F41">INDIRECT(""&amp;$D39 &amp; "!Q51")</f>
        <v/>
      </c>
      <c r="G41" s="179" t="n"/>
      <c r="H41" s="177">
        <f t="array" ref="H41">INDIRECT(""&amp;$D39 &amp; "!S51")</f>
        <v/>
      </c>
      <c r="I41" s="179" t="n"/>
      <c r="J41" s="177">
        <f t="array" ref="J41">INDIRECT(""&amp;$D39 &amp; "!U51")</f>
        <v/>
      </c>
      <c r="K41" s="179" t="n"/>
      <c r="L41" s="177">
        <f t="array" ref="L41">INDIRECT(""&amp;$D39 &amp; "!W51")</f>
        <v/>
      </c>
      <c r="M41" s="179" t="n"/>
      <c r="N41" s="177">
        <f t="array" ref="N41">INDIRECT(""&amp;$D39 &amp; "!Y51")</f>
        <v/>
      </c>
      <c r="O41" s="179" t="n"/>
      <c r="P41" s="177">
        <f t="array" ref="P41">INDIRECT(""&amp;$D39 &amp; "!AA51")</f>
        <v/>
      </c>
      <c r="Q41" s="179" t="n"/>
      <c r="R41" s="177">
        <f t="array" ref="R41">INDIRECT(""&amp;$D39 &amp; "!AC51")</f>
        <v/>
      </c>
      <c r="S41" s="179" t="n"/>
      <c r="T41" s="179" t="n"/>
      <c r="U41" s="179" t="n"/>
      <c r="V41" s="179" t="n"/>
      <c r="W41" s="179" t="n"/>
      <c r="X41" s="177">
        <f t="array" ref="X41">INDIRECT(""&amp;$D39 &amp; "!AI51")</f>
        <v/>
      </c>
      <c r="Y41" s="179" t="n"/>
      <c r="Z41" s="177">
        <f t="array" ref="Z41">INDIRECT(""&amp;$D39 &amp; "!AK51")</f>
        <v/>
      </c>
      <c r="AA41" s="186" t="n"/>
      <c r="AB41" s="23" t="n"/>
      <c r="AC41" s="23" t="n"/>
      <c r="AD41" s="23" t="n"/>
      <c r="AE41" s="23" t="n"/>
      <c r="AF41" s="23" t="n"/>
      <c r="AG41" s="23" t="n"/>
      <c r="AH41" s="23" t="n"/>
      <c r="AI41" s="23" t="n"/>
      <c r="AJ41" s="23" t="n"/>
      <c r="AK41" s="23" t="n"/>
      <c r="AL41" s="23" t="n"/>
      <c r="AM41" s="23" t="n"/>
      <c r="AN41" s="23" t="n"/>
    </row>
    <row r="42">
      <c r="A42" s="29" t="inlineStr">
        <is>
          <t>U</t>
        </is>
      </c>
      <c r="B42" s="30" t="n">
        <v>1</v>
      </c>
      <c r="C42" s="34" t="n"/>
      <c r="D42" s="208">
        <f>D8</f>
        <v/>
      </c>
      <c r="E42" s="43">
        <f t="array" ref="E42">INDIRECT(""&amp;$D42 &amp; "!A47")</f>
        <v/>
      </c>
      <c r="F42" s="17">
        <f t="array" ref="F42">INDIRECT(""&amp;$D42 &amp; "!Q47")</f>
        <v/>
      </c>
      <c r="G42" s="177">
        <f t="array" ref="G42">INDIRECT(""&amp;$D42 &amp; "!R47")</f>
        <v/>
      </c>
      <c r="H42" s="177">
        <f t="array" ref="H42">INDIRECT(""&amp;$D42 &amp; "!S47")</f>
        <v/>
      </c>
      <c r="I42" s="177">
        <f t="array" ref="I42">INDIRECT(""&amp;$D42 &amp; "!T47")</f>
        <v/>
      </c>
      <c r="J42" s="177">
        <f t="array" ref="J42">INDIRECT(""&amp;$D42 &amp; "!U47")</f>
        <v/>
      </c>
      <c r="K42" s="177">
        <f t="array" ref="K42">INDIRECT(""&amp;$D42 &amp; "!V47")</f>
        <v/>
      </c>
      <c r="L42" s="177">
        <f t="array" ref="L42">INDIRECT(""&amp;$D42 &amp; "!W47")</f>
        <v/>
      </c>
      <c r="M42" s="177">
        <f t="array" ref="M42">INDIRECT(""&amp;$D42 &amp; "!X47")</f>
        <v/>
      </c>
      <c r="N42" s="177">
        <f t="array" ref="N42">INDIRECT(""&amp;$D42 &amp; "!Y47")</f>
        <v/>
      </c>
      <c r="O42" s="177">
        <f t="array" ref="O42">INDIRECT(""&amp;$D42 &amp; "!Z47")</f>
        <v/>
      </c>
      <c r="P42" s="177">
        <f t="array" ref="P42">INDIRECT(""&amp;$D42 &amp; "!AA47")</f>
        <v/>
      </c>
      <c r="Q42" s="177">
        <f t="array" ref="Q42">INDIRECT(""&amp;$D42 &amp; "!AB47")</f>
        <v/>
      </c>
      <c r="R42" s="177">
        <f t="array" ref="R42">INDIRECT(""&amp;$D42 &amp; "!AC47")</f>
        <v/>
      </c>
      <c r="S42" s="177">
        <f t="array" ref="S42">INDIRECT(""&amp;$D42 &amp; "!AE47")</f>
        <v/>
      </c>
      <c r="T42" s="177">
        <f t="array" ref="T42">INDIRECT(""&amp;$D42 &amp; "!AF47")</f>
        <v/>
      </c>
      <c r="U42" s="177">
        <f t="array" ref="U42">INDIRECT(""&amp;$D42 &amp; "!AG47")</f>
        <v/>
      </c>
      <c r="V42" s="177">
        <f t="array" ref="V42">INDIRECT(""&amp;$D42 &amp; "!AH47")</f>
        <v/>
      </c>
      <c r="W42" s="177">
        <f>('Summary (Full)'!$B$58*S42+'Summary (Full)'!$B$59*T42+'Summary (Full)'!$B$60*U42)/'Summary (Full)'!$B$61</f>
        <v/>
      </c>
      <c r="X42" s="177">
        <f t="array" ref="X42">INDIRECT(""&amp;$D42 &amp; "!AI47")</f>
        <v/>
      </c>
      <c r="Y42" s="177">
        <f t="array" ref="Y42">INDIRECT(""&amp;$D42 &amp; "!AJ47")</f>
        <v/>
      </c>
      <c r="Z42" s="177">
        <f t="array" ref="Z42">INDIRECT(""&amp;$D42 &amp; "!AK47")</f>
        <v/>
      </c>
      <c r="AA42" s="187">
        <f t="array" ref="AA42">INDIRECT(""&amp;$D42 &amp; "!AL47")</f>
        <v/>
      </c>
      <c r="AB42" s="23" t="n"/>
      <c r="AC42" s="23" t="n"/>
      <c r="AD42" s="23" t="n"/>
      <c r="AE42" s="23" t="n"/>
      <c r="AF42" s="23" t="n"/>
      <c r="AG42" s="23" t="n"/>
      <c r="AH42" s="23" t="n"/>
      <c r="AI42" s="23" t="n"/>
      <c r="AJ42" s="23" t="n"/>
      <c r="AK42" s="23" t="n"/>
      <c r="AL42" s="23" t="n"/>
      <c r="AM42" s="23" t="n"/>
      <c r="AN42" s="23" t="n"/>
    </row>
    <row r="43">
      <c r="A43" s="29" t="inlineStr">
        <is>
          <t>V</t>
        </is>
      </c>
      <c r="B43" s="30" t="n">
        <v>1</v>
      </c>
      <c r="C43" s="34" t="n"/>
      <c r="D43" s="172" t="n"/>
      <c r="E43" s="43">
        <f t="array" ref="E43">INDIRECT(""&amp;$D42 &amp; "!A49")</f>
        <v/>
      </c>
      <c r="F43" s="17">
        <f t="array" ref="F43">INDIRECT(""&amp;$D42 &amp; "!Q49")</f>
        <v/>
      </c>
      <c r="G43" s="178" t="n"/>
      <c r="H43" s="177">
        <f t="array" ref="H43">INDIRECT(""&amp;$D42 &amp; "!S49")</f>
        <v/>
      </c>
      <c r="I43" s="178" t="n"/>
      <c r="J43" s="177">
        <f t="array" ref="J43">INDIRECT(""&amp;$D42 &amp; "!U49")</f>
        <v/>
      </c>
      <c r="K43" s="178" t="n"/>
      <c r="L43" s="177">
        <f t="array" ref="L43">INDIRECT(""&amp;$D42 &amp; "!W49")</f>
        <v/>
      </c>
      <c r="M43" s="178" t="n"/>
      <c r="N43" s="177">
        <f t="array" ref="N43">INDIRECT(""&amp;$D42 &amp; "!Y49")</f>
        <v/>
      </c>
      <c r="O43" s="178" t="n"/>
      <c r="P43" s="177">
        <f t="array" ref="P43">INDIRECT(""&amp;$D42 &amp; "!AA49")</f>
        <v/>
      </c>
      <c r="Q43" s="178" t="n"/>
      <c r="R43" s="177">
        <f t="array" ref="R43">INDIRECT(""&amp;$D42 &amp; "!AC49")</f>
        <v/>
      </c>
      <c r="S43" s="178" t="n"/>
      <c r="T43" s="178" t="n"/>
      <c r="U43" s="178" t="n"/>
      <c r="V43" s="178" t="n"/>
      <c r="W43" s="178" t="n"/>
      <c r="X43" s="177">
        <f t="array" ref="X43">INDIRECT(""&amp;$D42 &amp; "!AI49")</f>
        <v/>
      </c>
      <c r="Y43" s="178" t="n"/>
      <c r="Z43" s="177">
        <f t="array" ref="Z43">INDIRECT(""&amp;$D42 &amp; "!AK49")</f>
        <v/>
      </c>
      <c r="AA43" s="185" t="n"/>
      <c r="AB43" s="23" t="n"/>
      <c r="AC43" s="23" t="n"/>
      <c r="AD43" s="23" t="n"/>
      <c r="AE43" s="23" t="n"/>
      <c r="AF43" s="23" t="n"/>
      <c r="AG43" s="23" t="n"/>
      <c r="AH43" s="23" t="n"/>
      <c r="AI43" s="23" t="n"/>
      <c r="AJ43" s="23" t="n"/>
      <c r="AK43" s="23" t="n"/>
      <c r="AL43" s="23" t="n"/>
      <c r="AM43" s="23" t="n"/>
      <c r="AN43" s="23" t="n"/>
    </row>
    <row r="44">
      <c r="A44" s="29" t="inlineStr">
        <is>
          <t>Sum</t>
        </is>
      </c>
      <c r="B44" s="30">
        <f>SUM(B41:B43)</f>
        <v/>
      </c>
      <c r="C44" s="34" t="n"/>
      <c r="D44" s="209" t="n"/>
      <c r="E44" s="43">
        <f t="array" ref="E44">INDIRECT(""&amp;$D42 &amp; "!A51")</f>
        <v/>
      </c>
      <c r="F44" s="17">
        <f t="array" ref="F44">INDIRECT(""&amp;$D42 &amp; "!Q51")</f>
        <v/>
      </c>
      <c r="G44" s="179" t="n"/>
      <c r="H44" s="177">
        <f t="array" ref="H44">INDIRECT(""&amp;$D42 &amp; "!S51")</f>
        <v/>
      </c>
      <c r="I44" s="179" t="n"/>
      <c r="J44" s="177">
        <f t="array" ref="J44">INDIRECT(""&amp;$D42 &amp; "!U51")</f>
        <v/>
      </c>
      <c r="K44" s="179" t="n"/>
      <c r="L44" s="177">
        <f t="array" ref="L44">INDIRECT(""&amp;$D42 &amp; "!W51")</f>
        <v/>
      </c>
      <c r="M44" s="179" t="n"/>
      <c r="N44" s="177">
        <f t="array" ref="N44">INDIRECT(""&amp;$D42 &amp; "!Y51")</f>
        <v/>
      </c>
      <c r="O44" s="179" t="n"/>
      <c r="P44" s="177">
        <f t="array" ref="P44">INDIRECT(""&amp;$D42 &amp; "!AA51")</f>
        <v/>
      </c>
      <c r="Q44" s="179" t="n"/>
      <c r="R44" s="177">
        <f t="array" ref="R44">INDIRECT(""&amp;$D42 &amp; "!AC51")</f>
        <v/>
      </c>
      <c r="S44" s="179" t="n"/>
      <c r="T44" s="179" t="n"/>
      <c r="U44" s="179" t="n"/>
      <c r="V44" s="179" t="n"/>
      <c r="W44" s="179" t="n"/>
      <c r="X44" s="177">
        <f t="array" ref="X44">INDIRECT(""&amp;$D42 &amp; "!AI51")</f>
        <v/>
      </c>
      <c r="Y44" s="179" t="n"/>
      <c r="Z44" s="177">
        <f t="array" ref="Z44">INDIRECT(""&amp;$D42 &amp; "!AK51")</f>
        <v/>
      </c>
      <c r="AA44" s="186" t="n"/>
      <c r="AB44" s="23" t="n"/>
      <c r="AC44" s="23" t="n"/>
      <c r="AD44" s="23" t="n"/>
      <c r="AE44" s="23" t="n"/>
      <c r="AF44" s="23" t="n"/>
      <c r="AG44" s="23" t="n"/>
      <c r="AH44" s="23" t="n"/>
      <c r="AI44" s="23" t="n"/>
      <c r="AJ44" s="23" t="n"/>
      <c r="AK44" s="23" t="n"/>
      <c r="AL44" s="23" t="n"/>
      <c r="AM44" s="23" t="n"/>
      <c r="AN44" s="23" t="n"/>
    </row>
    <row r="45">
      <c r="A45" s="31" t="n"/>
      <c r="B45" s="32" t="n"/>
      <c r="C45" s="32" t="n"/>
      <c r="D45" s="208">
        <f>D11</f>
        <v/>
      </c>
      <c r="E45" s="43">
        <f t="array" ref="E45">INDIRECT(""&amp;$D45 &amp; "!A47")</f>
        <v/>
      </c>
      <c r="F45" s="17">
        <f t="array" ref="F45">INDIRECT(""&amp;$D45 &amp; "!Q47")</f>
        <v/>
      </c>
      <c r="G45" s="177">
        <f t="array" ref="G45">INDIRECT(""&amp;$D45 &amp; "!R47")</f>
        <v/>
      </c>
      <c r="H45" s="177">
        <f t="array" ref="H45">INDIRECT(""&amp;$D45 &amp; "!S47")</f>
        <v/>
      </c>
      <c r="I45" s="177">
        <f t="array" ref="I45">INDIRECT(""&amp;$D45 &amp; "!T47")</f>
        <v/>
      </c>
      <c r="J45" s="177">
        <f t="array" ref="J45">INDIRECT(""&amp;$D45 &amp; "!U47")</f>
        <v/>
      </c>
      <c r="K45" s="177">
        <f t="array" ref="K45">INDIRECT(""&amp;$D45 &amp; "!V47")</f>
        <v/>
      </c>
      <c r="L45" s="177">
        <f t="array" ref="L45">INDIRECT(""&amp;$D45 &amp; "!W47")</f>
        <v/>
      </c>
      <c r="M45" s="177">
        <f t="array" ref="M45">INDIRECT(""&amp;$D45 &amp; "!X47")</f>
        <v/>
      </c>
      <c r="N45" s="177">
        <f t="array" ref="N45">INDIRECT(""&amp;$D45 &amp; "!Y47")</f>
        <v/>
      </c>
      <c r="O45" s="177">
        <f t="array" ref="O45">INDIRECT(""&amp;$D45 &amp; "!Z47")</f>
        <v/>
      </c>
      <c r="P45" s="177">
        <f t="array" ref="P45">INDIRECT(""&amp;$D45 &amp; "!AA47")</f>
        <v/>
      </c>
      <c r="Q45" s="177">
        <f t="array" ref="Q45">INDIRECT(""&amp;$D45 &amp; "!AB47")</f>
        <v/>
      </c>
      <c r="R45" s="177">
        <f t="array" ref="R45">INDIRECT(""&amp;$D45 &amp; "!AC47")</f>
        <v/>
      </c>
      <c r="S45" s="177">
        <f t="array" ref="S45">INDIRECT(""&amp;$D45 &amp; "!AE47")</f>
        <v/>
      </c>
      <c r="T45" s="177">
        <f t="array" ref="T45">INDIRECT(""&amp;$D45 &amp; "!AF47")</f>
        <v/>
      </c>
      <c r="U45" s="177">
        <f t="array" ref="U45">INDIRECT(""&amp;$D45 &amp; "!AG47")</f>
        <v/>
      </c>
      <c r="V45" s="177">
        <f t="array" ref="V45">INDIRECT(""&amp;$D45 &amp; "!AH47")</f>
        <v/>
      </c>
      <c r="W45" s="177">
        <f>('Summary (Full)'!$B$58*S45+'Summary (Full)'!$B$59*T45+'Summary (Full)'!$B$60*U45)/'Summary (Full)'!$B$61</f>
        <v/>
      </c>
      <c r="X45" s="177">
        <f t="array" ref="X45">INDIRECT(""&amp;$D45 &amp; "!AI47")</f>
        <v/>
      </c>
      <c r="Y45" s="177">
        <f t="array" ref="Y45">INDIRECT(""&amp;$D45 &amp; "!AJ47")</f>
        <v/>
      </c>
      <c r="Z45" s="177">
        <f t="array" ref="Z45">INDIRECT(""&amp;$D45 &amp; "!AK47")</f>
        <v/>
      </c>
      <c r="AA45" s="187">
        <f t="array" ref="AA45">INDIRECT(""&amp;$D45 &amp; "!AL47")</f>
        <v/>
      </c>
      <c r="AB45" s="23" t="n"/>
      <c r="AC45" s="23" t="n"/>
      <c r="AD45" s="23" t="n"/>
      <c r="AE45" s="23" t="n"/>
      <c r="AF45" s="23" t="n"/>
      <c r="AG45" s="23" t="n"/>
      <c r="AH45" s="23" t="n"/>
      <c r="AI45" s="23" t="n"/>
      <c r="AJ45" s="23" t="n"/>
      <c r="AK45" s="23" t="n"/>
      <c r="AL45" s="23" t="n"/>
      <c r="AM45" s="23" t="n"/>
      <c r="AN45" s="23" t="n"/>
    </row>
    <row r="46">
      <c r="A46" s="31" t="n"/>
      <c r="B46" s="32" t="n"/>
      <c r="C46" s="32" t="n"/>
      <c r="D46" s="172" t="n"/>
      <c r="E46" s="43">
        <f t="array" ref="E46">INDIRECT(""&amp;$D45 &amp; "!A49")</f>
        <v/>
      </c>
      <c r="F46" s="17">
        <f t="array" ref="F46">INDIRECT(""&amp;$D45 &amp; "!Q49")</f>
        <v/>
      </c>
      <c r="G46" s="178" t="n"/>
      <c r="H46" s="177">
        <f t="array" ref="H46">INDIRECT(""&amp;$D45 &amp; "!S49")</f>
        <v/>
      </c>
      <c r="I46" s="178" t="n"/>
      <c r="J46" s="177">
        <f t="array" ref="J46">INDIRECT(""&amp;$D45 &amp; "!U49")</f>
        <v/>
      </c>
      <c r="K46" s="178" t="n"/>
      <c r="L46" s="177">
        <f t="array" ref="L46">INDIRECT(""&amp;$D45 &amp; "!W49")</f>
        <v/>
      </c>
      <c r="M46" s="178" t="n"/>
      <c r="N46" s="177">
        <f t="array" ref="N46">INDIRECT(""&amp;$D45 &amp; "!Y49")</f>
        <v/>
      </c>
      <c r="O46" s="178" t="n"/>
      <c r="P46" s="177">
        <f t="array" ref="P46">INDIRECT(""&amp;$D45 &amp; "!AA49")</f>
        <v/>
      </c>
      <c r="Q46" s="178" t="n"/>
      <c r="R46" s="177">
        <f t="array" ref="R46">INDIRECT(""&amp;$D45 &amp; "!AC49")</f>
        <v/>
      </c>
      <c r="S46" s="178" t="n"/>
      <c r="T46" s="178" t="n"/>
      <c r="U46" s="178" t="n"/>
      <c r="V46" s="178" t="n"/>
      <c r="W46" s="178" t="n"/>
      <c r="X46" s="177">
        <f t="array" ref="X46">INDIRECT(""&amp;$D45 &amp; "!AI49")</f>
        <v/>
      </c>
      <c r="Y46" s="178" t="n"/>
      <c r="Z46" s="177">
        <f t="array" ref="Z46">INDIRECT(""&amp;$D45 &amp; "!AK49")</f>
        <v/>
      </c>
      <c r="AA46" s="185" t="n"/>
      <c r="AB46" s="23" t="n"/>
      <c r="AC46" s="23" t="n"/>
      <c r="AD46" s="23" t="n"/>
      <c r="AE46" s="23" t="n"/>
      <c r="AF46" s="23" t="n"/>
      <c r="AG46" s="23" t="n"/>
      <c r="AH46" s="23" t="n"/>
      <c r="AI46" s="23" t="n"/>
      <c r="AJ46" s="23" t="n"/>
      <c r="AK46" s="23" t="n"/>
      <c r="AL46" s="23" t="n"/>
      <c r="AM46" s="23" t="n"/>
      <c r="AN46" s="23" t="n"/>
    </row>
    <row r="47">
      <c r="A47" s="31" t="n"/>
      <c r="B47" s="32" t="n"/>
      <c r="C47" s="32" t="n"/>
      <c r="D47" s="209" t="n"/>
      <c r="E47" s="43">
        <f t="array" ref="E47">INDIRECT(""&amp;$D45 &amp; "!A51")</f>
        <v/>
      </c>
      <c r="F47" s="17">
        <f t="array" ref="F47">INDIRECT(""&amp;$D45 &amp; "!Q51")</f>
        <v/>
      </c>
      <c r="G47" s="179" t="n"/>
      <c r="H47" s="177">
        <f t="array" ref="H47">INDIRECT(""&amp;$D45 &amp; "!S51")</f>
        <v/>
      </c>
      <c r="I47" s="179" t="n"/>
      <c r="J47" s="177">
        <f t="array" ref="J47">INDIRECT(""&amp;$D45 &amp; "!U51")</f>
        <v/>
      </c>
      <c r="K47" s="179" t="n"/>
      <c r="L47" s="177">
        <f t="array" ref="L47">INDIRECT(""&amp;$D45 &amp; "!W51")</f>
        <v/>
      </c>
      <c r="M47" s="179" t="n"/>
      <c r="N47" s="177">
        <f t="array" ref="N47">INDIRECT(""&amp;$D45 &amp; "!Y51")</f>
        <v/>
      </c>
      <c r="O47" s="179" t="n"/>
      <c r="P47" s="177">
        <f t="array" ref="P47">INDIRECT(""&amp;$D45 &amp; "!AA51")</f>
        <v/>
      </c>
      <c r="Q47" s="179" t="n"/>
      <c r="R47" s="177">
        <f t="array" ref="R47">INDIRECT(""&amp;$D45 &amp; "!AC51")</f>
        <v/>
      </c>
      <c r="S47" s="179" t="n"/>
      <c r="T47" s="179" t="n"/>
      <c r="U47" s="179" t="n"/>
      <c r="V47" s="179" t="n"/>
      <c r="W47" s="179" t="n"/>
      <c r="X47" s="177">
        <f t="array" ref="X47">INDIRECT(""&amp;$D45 &amp; "!AI51")</f>
        <v/>
      </c>
      <c r="Y47" s="179" t="n"/>
      <c r="Z47" s="177">
        <f t="array" ref="Z47">INDIRECT(""&amp;$D45 &amp; "!AK51")</f>
        <v/>
      </c>
      <c r="AA47" s="186" t="n"/>
      <c r="AB47" s="23" t="n"/>
      <c r="AC47" s="23" t="n"/>
      <c r="AD47" s="23" t="n"/>
      <c r="AE47" s="23" t="n"/>
      <c r="AF47" s="23" t="n"/>
      <c r="AG47" s="23" t="n"/>
      <c r="AH47" s="23" t="n"/>
      <c r="AI47" s="23" t="n"/>
      <c r="AJ47" s="23" t="n"/>
      <c r="AK47" s="23" t="n"/>
      <c r="AL47" s="23" t="n"/>
      <c r="AM47" s="23" t="n"/>
      <c r="AN47" s="23" t="n"/>
    </row>
    <row r="48">
      <c r="A48" s="212" t="inlineStr">
        <is>
          <t>weighted PSNR BD-rate  Weights</t>
        </is>
      </c>
      <c r="B48" s="213" t="n"/>
      <c r="C48" s="33" t="n"/>
      <c r="D48" s="208">
        <f>D14</f>
        <v/>
      </c>
      <c r="E48" s="43">
        <f t="array" ref="E48">INDIRECT(""&amp;$D48 &amp; "!A47")</f>
        <v/>
      </c>
      <c r="F48" s="17">
        <f t="array" ref="F48">INDIRECT(""&amp;$D48 &amp; "!Q47")</f>
        <v/>
      </c>
      <c r="G48" s="177">
        <f t="array" ref="G48">INDIRECT(""&amp;$D48 &amp; "!R47")</f>
        <v/>
      </c>
      <c r="H48" s="177">
        <f t="array" ref="H48">INDIRECT(""&amp;$D48 &amp; "!S47")</f>
        <v/>
      </c>
      <c r="I48" s="177">
        <f t="array" ref="I48">INDIRECT(""&amp;$D48 &amp; "!T47")</f>
        <v/>
      </c>
      <c r="J48" s="177">
        <f t="array" ref="J48">INDIRECT(""&amp;$D48 &amp; "!U47")</f>
        <v/>
      </c>
      <c r="K48" s="177">
        <f t="array" ref="K48">INDIRECT(""&amp;$D48 &amp; "!V47")</f>
        <v/>
      </c>
      <c r="L48" s="177">
        <f t="array" ref="L48">INDIRECT(""&amp;$D48 &amp; "!W47")</f>
        <v/>
      </c>
      <c r="M48" s="177">
        <f t="array" ref="M48">INDIRECT(""&amp;$D48 &amp; "!X47")</f>
        <v/>
      </c>
      <c r="N48" s="177">
        <f t="array" ref="N48">INDIRECT(""&amp;$D48 &amp; "!Y47")</f>
        <v/>
      </c>
      <c r="O48" s="177">
        <f t="array" ref="O48">INDIRECT(""&amp;$D48 &amp; "!Z47")</f>
        <v/>
      </c>
      <c r="P48" s="177">
        <f t="array" ref="P48">INDIRECT(""&amp;$D48 &amp; "!AA47")</f>
        <v/>
      </c>
      <c r="Q48" s="177">
        <f t="array" ref="Q48">INDIRECT(""&amp;$D48 &amp; "!AB47")</f>
        <v/>
      </c>
      <c r="R48" s="177">
        <f t="array" ref="R48">INDIRECT(""&amp;$D48 &amp; "!AC47")</f>
        <v/>
      </c>
      <c r="S48" s="177">
        <f t="array" ref="S48">INDIRECT(""&amp;$D48 &amp; "!AE47")</f>
        <v/>
      </c>
      <c r="T48" s="177">
        <f t="array" ref="T48">INDIRECT(""&amp;$D48 &amp; "!AF47")</f>
        <v/>
      </c>
      <c r="U48" s="177">
        <f t="array" ref="U48">INDIRECT(""&amp;$D48 &amp; "!AG47")</f>
        <v/>
      </c>
      <c r="V48" s="177">
        <f t="array" ref="V48">INDIRECT(""&amp;$D48 &amp; "!AH47")</f>
        <v/>
      </c>
      <c r="W48" s="177">
        <f>('Summary (Full)'!$B$58*S48+'Summary (Full)'!$B$59*T48+'Summary (Full)'!$B$60*U48)/'Summary (Full)'!$B$61</f>
        <v/>
      </c>
      <c r="X48" s="177">
        <f t="array" ref="X48">INDIRECT(""&amp;$D48 &amp; "!AI47")</f>
        <v/>
      </c>
      <c r="Y48" s="177">
        <f t="array" ref="Y48">INDIRECT(""&amp;$D48 &amp; "!AJ47")</f>
        <v/>
      </c>
      <c r="Z48" s="177">
        <f t="array" ref="Z48">INDIRECT(""&amp;$D48 &amp; "!AK47")</f>
        <v/>
      </c>
      <c r="AA48" s="187">
        <f t="array" ref="AA48">INDIRECT(""&amp;$D48 &amp; "!AL47")</f>
        <v/>
      </c>
      <c r="AB48" s="23" t="n"/>
      <c r="AC48" s="23" t="n"/>
      <c r="AD48" s="23" t="n"/>
      <c r="AE48" s="23" t="n"/>
      <c r="AF48" s="23" t="n"/>
      <c r="AG48" s="23" t="n"/>
      <c r="AH48" s="23" t="n"/>
      <c r="AI48" s="23" t="n"/>
      <c r="AJ48" s="23" t="n"/>
      <c r="AK48" s="23" t="n"/>
      <c r="AL48" s="23" t="n"/>
      <c r="AM48" s="23" t="n"/>
      <c r="AN48" s="23" t="n"/>
    </row>
    <row r="49">
      <c r="A49" s="214" t="n"/>
      <c r="B49" s="215" t="n"/>
      <c r="C49" s="33" t="n"/>
      <c r="D49" s="172" t="n"/>
      <c r="E49" s="43">
        <f t="array" ref="E49">INDIRECT(""&amp;$D48 &amp; "!A49")</f>
        <v/>
      </c>
      <c r="F49" s="17">
        <f t="array" ref="F49">INDIRECT(""&amp;$D48 &amp; "!Q49")</f>
        <v/>
      </c>
      <c r="G49" s="178" t="n"/>
      <c r="H49" s="177">
        <f t="array" ref="H49">INDIRECT(""&amp;$D48 &amp; "!S49")</f>
        <v/>
      </c>
      <c r="I49" s="178" t="n"/>
      <c r="J49" s="177">
        <f t="array" ref="J49">INDIRECT(""&amp;$D48 &amp; "!U49")</f>
        <v/>
      </c>
      <c r="K49" s="178" t="n"/>
      <c r="L49" s="177">
        <f t="array" ref="L49">INDIRECT(""&amp;$D48 &amp; "!W49")</f>
        <v/>
      </c>
      <c r="M49" s="178" t="n"/>
      <c r="N49" s="177">
        <f t="array" ref="N49">INDIRECT(""&amp;$D48 &amp; "!Y49")</f>
        <v/>
      </c>
      <c r="O49" s="178" t="n"/>
      <c r="P49" s="177">
        <f t="array" ref="P49">INDIRECT(""&amp;$D48 &amp; "!AA49")</f>
        <v/>
      </c>
      <c r="Q49" s="178" t="n"/>
      <c r="R49" s="177">
        <f t="array" ref="R49">INDIRECT(""&amp;$D48 &amp; "!AC49")</f>
        <v/>
      </c>
      <c r="S49" s="178" t="n"/>
      <c r="T49" s="178" t="n"/>
      <c r="U49" s="178" t="n"/>
      <c r="V49" s="178" t="n"/>
      <c r="W49" s="178" t="n"/>
      <c r="X49" s="177">
        <f t="array" ref="X49">INDIRECT(""&amp;$D48 &amp; "!AI49")</f>
        <v/>
      </c>
      <c r="Y49" s="178" t="n"/>
      <c r="Z49" s="177">
        <f t="array" ref="Z49">INDIRECT(""&amp;$D48 &amp; "!AK49")</f>
        <v/>
      </c>
      <c r="AA49" s="185" t="n"/>
      <c r="AB49" s="23" t="n"/>
      <c r="AC49" s="23" t="n"/>
      <c r="AD49" s="23" t="n"/>
      <c r="AE49" s="23" t="n"/>
      <c r="AF49" s="23" t="n"/>
      <c r="AG49" s="23" t="n"/>
      <c r="AH49" s="23" t="n"/>
      <c r="AI49" s="23" t="n"/>
      <c r="AJ49" s="23" t="n"/>
      <c r="AK49" s="23" t="n"/>
      <c r="AL49" s="23" t="n"/>
      <c r="AM49" s="23" t="n"/>
      <c r="AN49" s="23" t="n"/>
    </row>
    <row r="50">
      <c r="A50" s="29" t="inlineStr">
        <is>
          <t xml:space="preserve">Y </t>
        </is>
      </c>
      <c r="B50" s="30" t="n">
        <v>23</v>
      </c>
      <c r="C50" s="34" t="n"/>
      <c r="D50" s="209" t="n"/>
      <c r="E50" s="43">
        <f t="array" ref="E50">INDIRECT(""&amp;$D48 &amp; "!A51")</f>
        <v/>
      </c>
      <c r="F50" s="17">
        <f t="array" ref="F50">INDIRECT(""&amp;$D48 &amp; "!Q51")</f>
        <v/>
      </c>
      <c r="G50" s="179" t="n"/>
      <c r="H50" s="177">
        <f t="array" ref="H50">INDIRECT(""&amp;$D48 &amp; "!S51")</f>
        <v/>
      </c>
      <c r="I50" s="179" t="n"/>
      <c r="J50" s="177">
        <f t="array" ref="J50">INDIRECT(""&amp;$D48 &amp; "!U51")</f>
        <v/>
      </c>
      <c r="K50" s="179" t="n"/>
      <c r="L50" s="177">
        <f t="array" ref="L50">INDIRECT(""&amp;$D48 &amp; "!W51")</f>
        <v/>
      </c>
      <c r="M50" s="179" t="n"/>
      <c r="N50" s="177">
        <f t="array" ref="N50">INDIRECT(""&amp;$D48 &amp; "!Y51")</f>
        <v/>
      </c>
      <c r="O50" s="179" t="n"/>
      <c r="P50" s="177">
        <f t="array" ref="P50">INDIRECT(""&amp;$D48 &amp; "!AA51")</f>
        <v/>
      </c>
      <c r="Q50" s="179" t="n"/>
      <c r="R50" s="177">
        <f t="array" ref="R50">INDIRECT(""&amp;$D48 &amp; "!AC51")</f>
        <v/>
      </c>
      <c r="S50" s="179" t="n"/>
      <c r="T50" s="179" t="n"/>
      <c r="U50" s="179" t="n"/>
      <c r="V50" s="179" t="n"/>
      <c r="W50" s="179" t="n"/>
      <c r="X50" s="177">
        <f t="array" ref="X50">INDIRECT(""&amp;$D48 &amp; "!AI51")</f>
        <v/>
      </c>
      <c r="Y50" s="179" t="n"/>
      <c r="Z50" s="177">
        <f t="array" ref="Z50">INDIRECT(""&amp;$D48 &amp; "!AK51")</f>
        <v/>
      </c>
      <c r="AA50" s="186" t="n"/>
      <c r="AB50" s="23" t="n"/>
      <c r="AC50" s="23" t="n"/>
      <c r="AD50" s="23" t="n"/>
      <c r="AE50" s="23" t="n"/>
      <c r="AF50" s="23" t="n"/>
      <c r="AG50" s="23" t="n"/>
      <c r="AH50" s="23" t="n"/>
      <c r="AI50" s="23" t="n"/>
      <c r="AJ50" s="23" t="n"/>
      <c r="AK50" s="23" t="n"/>
      <c r="AL50" s="23" t="n"/>
      <c r="AM50" s="23" t="n"/>
      <c r="AN50" s="23" t="n"/>
    </row>
    <row r="51">
      <c r="A51" s="29" t="inlineStr">
        <is>
          <t>U</t>
        </is>
      </c>
      <c r="B51" s="30" t="n">
        <v>1</v>
      </c>
      <c r="C51" s="34" t="n"/>
      <c r="D51" s="208">
        <f>D17</f>
        <v/>
      </c>
      <c r="E51" s="43">
        <f t="array" ref="E51">INDIRECT(""&amp;$D51 &amp; "!A47")</f>
        <v/>
      </c>
      <c r="F51" s="17">
        <f t="array" ref="F51">INDIRECT(""&amp;$D51 &amp; "!Q47")</f>
        <v/>
      </c>
      <c r="G51" s="177">
        <f t="array" ref="G51">INDIRECT(""&amp;$D51 &amp; "!R47")</f>
        <v/>
      </c>
      <c r="H51" s="177">
        <f t="array" ref="H51">INDIRECT(""&amp;$D51 &amp; "!S47")</f>
        <v/>
      </c>
      <c r="I51" s="177">
        <f t="array" ref="I51">INDIRECT(""&amp;$D51 &amp; "!T47")</f>
        <v/>
      </c>
      <c r="J51" s="177">
        <f t="array" ref="J51">INDIRECT(""&amp;$D51 &amp; "!U47")</f>
        <v/>
      </c>
      <c r="K51" s="177">
        <f t="array" ref="K51">INDIRECT(""&amp;$D51 &amp; "!V47")</f>
        <v/>
      </c>
      <c r="L51" s="177">
        <f t="array" ref="L51">INDIRECT(""&amp;$D51 &amp; "!W47")</f>
        <v/>
      </c>
      <c r="M51" s="177">
        <f t="array" ref="M51">INDIRECT(""&amp;$D51 &amp; "!X47")</f>
        <v/>
      </c>
      <c r="N51" s="177">
        <f t="array" ref="N51">INDIRECT(""&amp;$D51 &amp; "!Y47")</f>
        <v/>
      </c>
      <c r="O51" s="177">
        <f t="array" ref="O51">INDIRECT(""&amp;$D51 &amp; "!Z47")</f>
        <v/>
      </c>
      <c r="P51" s="177">
        <f t="array" ref="P51">INDIRECT(""&amp;$D51 &amp; "!AA47")</f>
        <v/>
      </c>
      <c r="Q51" s="177">
        <f t="array" ref="Q51">INDIRECT(""&amp;$D51 &amp; "!AB47")</f>
        <v/>
      </c>
      <c r="R51" s="177">
        <f t="array" ref="R51">INDIRECT(""&amp;$D51 &amp; "!AC47")</f>
        <v/>
      </c>
      <c r="S51" s="177">
        <f t="array" ref="S51">INDIRECT(""&amp;$D51 &amp; "!AE47")</f>
        <v/>
      </c>
      <c r="T51" s="177">
        <f t="array" ref="T51">INDIRECT(""&amp;$D51 &amp; "!AF47")</f>
        <v/>
      </c>
      <c r="U51" s="177">
        <f t="array" ref="U51">INDIRECT(""&amp;$D51 &amp; "!AG47")</f>
        <v/>
      </c>
      <c r="V51" s="177">
        <f t="array" ref="V51">INDIRECT(""&amp;$D51 &amp; "!AH47")</f>
        <v/>
      </c>
      <c r="W51" s="177">
        <f>('Summary (Full)'!$B$58*S51+'Summary (Full)'!$B$59*T51+'Summary (Full)'!$B$60*U51)/'Summary (Full)'!$B$61</f>
        <v/>
      </c>
      <c r="X51" s="177">
        <f t="array" ref="X51">INDIRECT(""&amp;$D51 &amp; "!AI47")</f>
        <v/>
      </c>
      <c r="Y51" s="177">
        <f t="array" ref="Y51">INDIRECT(""&amp;$D51 &amp; "!AJ47")</f>
        <v/>
      </c>
      <c r="Z51" s="177">
        <f t="array" ref="Z51">INDIRECT(""&amp;$D51 &amp; "!AK47")</f>
        <v/>
      </c>
      <c r="AA51" s="187">
        <f t="array" ref="AA51">INDIRECT(""&amp;$D51 &amp; "!AL47")</f>
        <v/>
      </c>
      <c r="AB51" s="23" t="n"/>
      <c r="AC51" s="23" t="n"/>
      <c r="AD51" s="23" t="n"/>
      <c r="AE51" s="23" t="n"/>
      <c r="AF51" s="23" t="n"/>
      <c r="AG51" s="23" t="n"/>
      <c r="AH51" s="23" t="n"/>
      <c r="AI51" s="23" t="n"/>
      <c r="AJ51" s="23" t="n"/>
      <c r="AK51" s="23" t="n"/>
      <c r="AL51" s="23" t="n"/>
      <c r="AM51" s="23" t="n"/>
      <c r="AN51" s="23" t="n"/>
    </row>
    <row r="52">
      <c r="A52" s="29" t="inlineStr">
        <is>
          <t>V</t>
        </is>
      </c>
      <c r="B52" s="30" t="n">
        <v>1</v>
      </c>
      <c r="C52" s="34" t="n"/>
      <c r="D52" s="172" t="n"/>
      <c r="E52" s="43">
        <f t="array" ref="E52">INDIRECT(""&amp;$D51 &amp; "!A49")</f>
        <v/>
      </c>
      <c r="F52" s="17">
        <f t="array" ref="F52">INDIRECT(""&amp;$D51 &amp; "!Q49")</f>
        <v/>
      </c>
      <c r="G52" s="178" t="n"/>
      <c r="H52" s="177">
        <f t="array" ref="H52">INDIRECT(""&amp;$D51 &amp; "!S49")</f>
        <v/>
      </c>
      <c r="I52" s="178" t="n"/>
      <c r="J52" s="177">
        <f t="array" ref="J52">INDIRECT(""&amp;$D51 &amp; "!U49")</f>
        <v/>
      </c>
      <c r="K52" s="178" t="n"/>
      <c r="L52" s="177">
        <f t="array" ref="L52">INDIRECT(""&amp;$D51 &amp; "!W49")</f>
        <v/>
      </c>
      <c r="M52" s="178" t="n"/>
      <c r="N52" s="177">
        <f t="array" ref="N52">INDIRECT(""&amp;$D51 &amp; "!Y49")</f>
        <v/>
      </c>
      <c r="O52" s="178" t="n"/>
      <c r="P52" s="177">
        <f t="array" ref="P52">INDIRECT(""&amp;$D51 &amp; "!AA49")</f>
        <v/>
      </c>
      <c r="Q52" s="178" t="n"/>
      <c r="R52" s="177">
        <f t="array" ref="R52">INDIRECT(""&amp;$D51 &amp; "!AC49")</f>
        <v/>
      </c>
      <c r="S52" s="178" t="n"/>
      <c r="T52" s="178" t="n"/>
      <c r="U52" s="178" t="n"/>
      <c r="V52" s="178" t="n"/>
      <c r="W52" s="178" t="n"/>
      <c r="X52" s="177">
        <f t="array" ref="X52">INDIRECT(""&amp;$D51 &amp; "!AI49")</f>
        <v/>
      </c>
      <c r="Y52" s="178" t="n"/>
      <c r="Z52" s="177">
        <f t="array" ref="Z52">INDIRECT(""&amp;$D51 &amp; "!AK49")</f>
        <v/>
      </c>
      <c r="AA52" s="185" t="n"/>
      <c r="AB52" s="23" t="n"/>
      <c r="AC52" s="23" t="n"/>
      <c r="AD52" s="23" t="n"/>
      <c r="AE52" s="23" t="n"/>
      <c r="AF52" s="23" t="n"/>
      <c r="AG52" s="23" t="n"/>
      <c r="AH52" s="23" t="n"/>
      <c r="AI52" s="23" t="n"/>
      <c r="AJ52" s="23" t="n"/>
      <c r="AK52" s="23" t="n"/>
      <c r="AL52" s="23" t="n"/>
      <c r="AM52" s="23" t="n"/>
      <c r="AN52" s="23" t="n"/>
    </row>
    <row r="53">
      <c r="A53" s="29" t="inlineStr">
        <is>
          <t>Sum</t>
        </is>
      </c>
      <c r="B53" s="30">
        <f>SUM(B50:B52)</f>
        <v/>
      </c>
      <c r="C53" s="34" t="n"/>
      <c r="D53" s="209" t="n"/>
      <c r="E53" s="43">
        <f t="array" ref="E53">INDIRECT(""&amp;$D51 &amp; "!A51")</f>
        <v/>
      </c>
      <c r="F53" s="17">
        <f t="array" ref="F53">INDIRECT(""&amp;$D51 &amp; "!Q51")</f>
        <v/>
      </c>
      <c r="G53" s="179" t="n"/>
      <c r="H53" s="177">
        <f t="array" ref="H53">INDIRECT(""&amp;$D51 &amp; "!S51")</f>
        <v/>
      </c>
      <c r="I53" s="179" t="n"/>
      <c r="J53" s="177">
        <f t="array" ref="J53">INDIRECT(""&amp;$D51 &amp; "!U51")</f>
        <v/>
      </c>
      <c r="K53" s="179" t="n"/>
      <c r="L53" s="177">
        <f t="array" ref="L53">INDIRECT(""&amp;$D51 &amp; "!W51")</f>
        <v/>
      </c>
      <c r="M53" s="179" t="n"/>
      <c r="N53" s="177">
        <f t="array" ref="N53">INDIRECT(""&amp;$D51 &amp; "!Y51")</f>
        <v/>
      </c>
      <c r="O53" s="179" t="n"/>
      <c r="P53" s="177">
        <f t="array" ref="P53">INDIRECT(""&amp;$D51 &amp; "!AA51")</f>
        <v/>
      </c>
      <c r="Q53" s="179" t="n"/>
      <c r="R53" s="177">
        <f t="array" ref="R53">INDIRECT(""&amp;$D51 &amp; "!AC51")</f>
        <v/>
      </c>
      <c r="S53" s="179" t="n"/>
      <c r="T53" s="179" t="n"/>
      <c r="U53" s="179" t="n"/>
      <c r="V53" s="179" t="n"/>
      <c r="W53" s="179" t="n"/>
      <c r="X53" s="177">
        <f t="array" ref="X53">INDIRECT(""&amp;$D51 &amp; "!AI51")</f>
        <v/>
      </c>
      <c r="Y53" s="179" t="n"/>
      <c r="Z53" s="177">
        <f t="array" ref="Z53">INDIRECT(""&amp;$D51 &amp; "!AK51")</f>
        <v/>
      </c>
      <c r="AA53" s="186" t="n"/>
      <c r="AB53" s="23" t="n"/>
      <c r="AC53" s="23" t="n"/>
      <c r="AD53" s="23" t="n"/>
      <c r="AE53" s="23" t="n"/>
      <c r="AF53" s="23" t="n"/>
      <c r="AG53" s="23" t="n"/>
      <c r="AH53" s="23" t="n"/>
      <c r="AI53" s="23" t="n"/>
      <c r="AJ53" s="23" t="n"/>
      <c r="AK53" s="23" t="n"/>
      <c r="AL53" s="23" t="n"/>
      <c r="AM53" s="23" t="n"/>
      <c r="AN53" s="23" t="n"/>
    </row>
    <row r="54">
      <c r="A54" s="31" t="n"/>
      <c r="B54" s="32" t="n"/>
      <c r="C54" s="32" t="n"/>
      <c r="D54" s="208">
        <f>D20</f>
        <v/>
      </c>
      <c r="E54" s="43">
        <f t="array" ref="E54">INDIRECT(""&amp;$D54 &amp; "!A47")</f>
        <v/>
      </c>
      <c r="F54" s="17">
        <f t="array" ref="F54">INDIRECT(""&amp;$D54 &amp; "!Q47")</f>
        <v/>
      </c>
      <c r="G54" s="177">
        <f t="array" ref="G54">INDIRECT(""&amp;$D54 &amp; "!R47")</f>
        <v/>
      </c>
      <c r="H54" s="177">
        <f t="array" ref="H54">INDIRECT(""&amp;$D54 &amp; "!S47")</f>
        <v/>
      </c>
      <c r="I54" s="177">
        <f t="array" ref="I54">INDIRECT(""&amp;$D54 &amp; "!T47")</f>
        <v/>
      </c>
      <c r="J54" s="177">
        <f t="array" ref="J54">INDIRECT(""&amp;$D54 &amp; "!U47")</f>
        <v/>
      </c>
      <c r="K54" s="177">
        <f t="array" ref="K54">INDIRECT(""&amp;$D54 &amp; "!V47")</f>
        <v/>
      </c>
      <c r="L54" s="177">
        <f t="array" ref="L54">INDIRECT(""&amp;$D54 &amp; "!W47")</f>
        <v/>
      </c>
      <c r="M54" s="177">
        <f t="array" ref="M54">INDIRECT(""&amp;$D54 &amp; "!X47")</f>
        <v/>
      </c>
      <c r="N54" s="177">
        <f t="array" ref="N54">INDIRECT(""&amp;$D54 &amp; "!Y47")</f>
        <v/>
      </c>
      <c r="O54" s="177">
        <f t="array" ref="O54">INDIRECT(""&amp;$D54 &amp; "!Z47")</f>
        <v/>
      </c>
      <c r="P54" s="177">
        <f t="array" ref="P54">INDIRECT(""&amp;$D54 &amp; "!AA47")</f>
        <v/>
      </c>
      <c r="Q54" s="177">
        <f t="array" ref="Q54">INDIRECT(""&amp;$D54 &amp; "!AB47")</f>
        <v/>
      </c>
      <c r="R54" s="177">
        <f t="array" ref="R54">INDIRECT(""&amp;$D54 &amp; "!AC47")</f>
        <v/>
      </c>
      <c r="S54" s="177">
        <f t="array" ref="S54">INDIRECT(""&amp;$D54 &amp; "!AE47")</f>
        <v/>
      </c>
      <c r="T54" s="177">
        <f t="array" ref="T54">INDIRECT(""&amp;$D54 &amp; "!AF47")</f>
        <v/>
      </c>
      <c r="U54" s="177">
        <f t="array" ref="U54">INDIRECT(""&amp;$D54 &amp; "!AG47")</f>
        <v/>
      </c>
      <c r="V54" s="177">
        <f t="array" ref="V54">INDIRECT(""&amp;$D54 &amp; "!AH47")</f>
        <v/>
      </c>
      <c r="W54" s="177">
        <f>('Summary (Full)'!$B$58*S54+'Summary (Full)'!$B$59*T54+'Summary (Full)'!$B$60*U54)/'Summary (Full)'!$B$61</f>
        <v/>
      </c>
      <c r="X54" s="177">
        <f t="array" ref="X54">INDIRECT(""&amp;$D54 &amp; "!AI47")</f>
        <v/>
      </c>
      <c r="Y54" s="177">
        <f t="array" ref="Y54">INDIRECT(""&amp;$D54 &amp; "!AJ47")</f>
        <v/>
      </c>
      <c r="Z54" s="177">
        <f t="array" ref="Z54">INDIRECT(""&amp;$D54 &amp; "!AK47")</f>
        <v/>
      </c>
      <c r="AA54" s="187">
        <f t="array" ref="AA54">INDIRECT(""&amp;$D54 &amp; "!AL47")</f>
        <v/>
      </c>
      <c r="AB54" s="23" t="n"/>
      <c r="AC54" s="23" t="n"/>
      <c r="AD54" s="23" t="n"/>
      <c r="AE54" s="23" t="n"/>
      <c r="AF54" s="23" t="n"/>
      <c r="AG54" s="23" t="n"/>
      <c r="AH54" s="23" t="n"/>
      <c r="AI54" s="23" t="n"/>
      <c r="AJ54" s="23" t="n"/>
      <c r="AK54" s="23" t="n"/>
      <c r="AL54" s="23" t="n"/>
      <c r="AM54" s="23" t="n"/>
      <c r="AN54" s="23" t="n"/>
    </row>
    <row r="55">
      <c r="A55" s="31" t="n"/>
      <c r="B55" s="32" t="n"/>
      <c r="C55" s="32" t="n"/>
      <c r="D55" s="172" t="n"/>
      <c r="E55" s="43">
        <f t="array" ref="E55">INDIRECT(""&amp;$D54 &amp; "!A49")</f>
        <v/>
      </c>
      <c r="F55" s="17">
        <f t="array" ref="F55">INDIRECT(""&amp;$D54 &amp; "!Q49")</f>
        <v/>
      </c>
      <c r="G55" s="178" t="n"/>
      <c r="H55" s="177">
        <f t="array" ref="H55">INDIRECT(""&amp;$D54 &amp; "!S49")</f>
        <v/>
      </c>
      <c r="I55" s="178" t="n"/>
      <c r="J55" s="177">
        <f t="array" ref="J55">INDIRECT(""&amp;$D54 &amp; "!U49")</f>
        <v/>
      </c>
      <c r="K55" s="178" t="n"/>
      <c r="L55" s="177">
        <f t="array" ref="L55">INDIRECT(""&amp;$D54 &amp; "!W49")</f>
        <v/>
      </c>
      <c r="M55" s="178" t="n"/>
      <c r="N55" s="177">
        <f t="array" ref="N55">INDIRECT(""&amp;$D54 &amp; "!Y49")</f>
        <v/>
      </c>
      <c r="O55" s="178" t="n"/>
      <c r="P55" s="177">
        <f t="array" ref="P55">INDIRECT(""&amp;$D54 &amp; "!AA49")</f>
        <v/>
      </c>
      <c r="Q55" s="178" t="n"/>
      <c r="R55" s="177">
        <f t="array" ref="R55">INDIRECT(""&amp;$D54 &amp; "!AC49")</f>
        <v/>
      </c>
      <c r="S55" s="178" t="n"/>
      <c r="T55" s="178" t="n"/>
      <c r="U55" s="178" t="n"/>
      <c r="V55" s="178" t="n"/>
      <c r="W55" s="178" t="n"/>
      <c r="X55" s="177">
        <f t="array" ref="X55">INDIRECT(""&amp;$D54 &amp; "!AI49")</f>
        <v/>
      </c>
      <c r="Y55" s="178" t="n"/>
      <c r="Z55" s="177">
        <f t="array" ref="Z55">INDIRECT(""&amp;$D54 &amp; "!AK49")</f>
        <v/>
      </c>
      <c r="AA55" s="185" t="n"/>
      <c r="AB55" s="23" t="n"/>
      <c r="AC55" s="23" t="n"/>
      <c r="AD55" s="23" t="n"/>
      <c r="AE55" s="23" t="n"/>
      <c r="AF55" s="23" t="n"/>
      <c r="AG55" s="23" t="n"/>
      <c r="AH55" s="23" t="n"/>
      <c r="AI55" s="23" t="n"/>
      <c r="AJ55" s="23" t="n"/>
      <c r="AK55" s="23" t="n"/>
      <c r="AL55" s="23" t="n"/>
      <c r="AM55" s="23" t="n"/>
      <c r="AN55" s="23" t="n"/>
    </row>
    <row r="56">
      <c r="A56" s="212" t="inlineStr">
        <is>
          <t>weighted APSNR BD-rate  Weights</t>
        </is>
      </c>
      <c r="B56" s="213" t="n"/>
      <c r="C56" s="33" t="n"/>
      <c r="D56" s="209" t="n"/>
      <c r="E56" s="43">
        <f t="array" ref="E56">INDIRECT(""&amp;$D54 &amp; "!A51")</f>
        <v/>
      </c>
      <c r="F56" s="17">
        <f t="array" ref="F56">INDIRECT(""&amp;$D54 &amp; "!Q51")</f>
        <v/>
      </c>
      <c r="G56" s="179" t="n"/>
      <c r="H56" s="177">
        <f t="array" ref="H56">INDIRECT(""&amp;$D54 &amp; "!S51")</f>
        <v/>
      </c>
      <c r="I56" s="179" t="n"/>
      <c r="J56" s="177">
        <f t="array" ref="J56">INDIRECT(""&amp;$D54 &amp; "!U51")</f>
        <v/>
      </c>
      <c r="K56" s="179" t="n"/>
      <c r="L56" s="177">
        <f t="array" ref="L56">INDIRECT(""&amp;$D54 &amp; "!W51")</f>
        <v/>
      </c>
      <c r="M56" s="179" t="n"/>
      <c r="N56" s="177">
        <f t="array" ref="N56">INDIRECT(""&amp;$D54 &amp; "!Y51")</f>
        <v/>
      </c>
      <c r="O56" s="179" t="n"/>
      <c r="P56" s="177">
        <f t="array" ref="P56">INDIRECT(""&amp;$D54 &amp; "!AA51")</f>
        <v/>
      </c>
      <c r="Q56" s="179" t="n"/>
      <c r="R56" s="177">
        <f t="array" ref="R56">INDIRECT(""&amp;$D54 &amp; "!AC51")</f>
        <v/>
      </c>
      <c r="S56" s="179" t="n"/>
      <c r="T56" s="179" t="n"/>
      <c r="U56" s="179" t="n"/>
      <c r="V56" s="179" t="n"/>
      <c r="W56" s="179" t="n"/>
      <c r="X56" s="177">
        <f t="array" ref="X56">INDIRECT(""&amp;$D54 &amp; "!AI51")</f>
        <v/>
      </c>
      <c r="Y56" s="179" t="n"/>
      <c r="Z56" s="177">
        <f t="array" ref="Z56">INDIRECT(""&amp;$D54 &amp; "!AK51")</f>
        <v/>
      </c>
      <c r="AA56" s="186" t="n"/>
      <c r="AB56" s="23" t="n"/>
      <c r="AC56" s="23" t="n"/>
      <c r="AD56" s="23" t="n"/>
      <c r="AE56" s="23" t="n"/>
      <c r="AF56" s="23" t="n"/>
      <c r="AG56" s="23" t="n"/>
      <c r="AH56" s="23" t="n"/>
      <c r="AI56" s="23" t="n"/>
      <c r="AJ56" s="23" t="n"/>
      <c r="AK56" s="23" t="n"/>
      <c r="AL56" s="23" t="n"/>
      <c r="AM56" s="23" t="n"/>
      <c r="AN56" s="23" t="n"/>
    </row>
    <row r="57">
      <c r="A57" s="214" t="n"/>
      <c r="B57" s="215" t="n"/>
      <c r="C57" s="33" t="n"/>
      <c r="D57" s="208">
        <f>D23</f>
        <v/>
      </c>
      <c r="E57" s="43">
        <f t="array" ref="E57">INDIRECT(""&amp;$D57 &amp; "!A47")</f>
        <v/>
      </c>
      <c r="F57" s="17">
        <f t="array" ref="F57">INDIRECT(""&amp;$D57 &amp; "!Q47")</f>
        <v/>
      </c>
      <c r="G57" s="177">
        <f t="array" ref="G57">INDIRECT(""&amp;$D57 &amp; "!R47")</f>
        <v/>
      </c>
      <c r="H57" s="177">
        <f t="array" ref="H57">INDIRECT(""&amp;$D57 &amp; "!S47")</f>
        <v/>
      </c>
      <c r="I57" s="177">
        <f t="array" ref="I57">INDIRECT(""&amp;$D57 &amp; "!T47")</f>
        <v/>
      </c>
      <c r="J57" s="177">
        <f t="array" ref="J57">INDIRECT(""&amp;$D57 &amp; "!U47")</f>
        <v/>
      </c>
      <c r="K57" s="177">
        <f t="array" ref="K57">INDIRECT(""&amp;$D57 &amp; "!V47")</f>
        <v/>
      </c>
      <c r="L57" s="177">
        <f t="array" ref="L57">INDIRECT(""&amp;$D57 &amp; "!W47")</f>
        <v/>
      </c>
      <c r="M57" s="177">
        <f t="array" ref="M57">INDIRECT(""&amp;$D57 &amp; "!X47")</f>
        <v/>
      </c>
      <c r="N57" s="177">
        <f t="array" ref="N57">INDIRECT(""&amp;$D57 &amp; "!Y47")</f>
        <v/>
      </c>
      <c r="O57" s="177">
        <f t="array" ref="O57">INDIRECT(""&amp;$D57 &amp; "!Z47")</f>
        <v/>
      </c>
      <c r="P57" s="177">
        <f t="array" ref="P57">INDIRECT(""&amp;$D57 &amp; "!AA47")</f>
        <v/>
      </c>
      <c r="Q57" s="177">
        <f t="array" ref="Q57">INDIRECT(""&amp;$D57 &amp; "!AB47")</f>
        <v/>
      </c>
      <c r="R57" s="177">
        <f t="array" ref="R57">INDIRECT(""&amp;$D57 &amp; "!AC47")</f>
        <v/>
      </c>
      <c r="S57" s="177">
        <f t="array" ref="S57">INDIRECT(""&amp;$D57 &amp; "!AE47")</f>
        <v/>
      </c>
      <c r="T57" s="177">
        <f t="array" ref="T57">INDIRECT(""&amp;$D57 &amp; "!AF47")</f>
        <v/>
      </c>
      <c r="U57" s="177">
        <f t="array" ref="U57">INDIRECT(""&amp;$D57 &amp; "!AG47")</f>
        <v/>
      </c>
      <c r="V57" s="177">
        <f t="array" ref="V57">INDIRECT(""&amp;$D57 &amp; "!AH47")</f>
        <v/>
      </c>
      <c r="W57" s="177">
        <f>('Summary (Full)'!$B$58*S57+'Summary (Full)'!$B$59*T57+'Summary (Full)'!$B$60*U57)/'Summary (Full)'!$B$61</f>
        <v/>
      </c>
      <c r="X57" s="177">
        <f t="array" ref="X57">INDIRECT(""&amp;$D57 &amp; "!AI47")</f>
        <v/>
      </c>
      <c r="Y57" s="177">
        <f t="array" ref="Y57">INDIRECT(""&amp;$D57 &amp; "!AJ47")</f>
        <v/>
      </c>
      <c r="Z57" s="177">
        <f t="array" ref="Z57">INDIRECT(""&amp;$D57 &amp; "!AK47")</f>
        <v/>
      </c>
      <c r="AA57" s="187">
        <f t="array" ref="AA57">INDIRECT(""&amp;$D57 &amp; "!AL47")</f>
        <v/>
      </c>
      <c r="AB57" s="23" t="n"/>
      <c r="AC57" s="23" t="n"/>
      <c r="AD57" s="23" t="n"/>
      <c r="AE57" s="23" t="n"/>
      <c r="AF57" s="23" t="n"/>
      <c r="AG57" s="23" t="n"/>
      <c r="AH57" s="23" t="n"/>
      <c r="AI57" s="23" t="n"/>
      <c r="AJ57" s="23" t="n"/>
      <c r="AK57" s="23" t="n"/>
      <c r="AL57" s="23" t="n"/>
      <c r="AM57" s="23" t="n"/>
      <c r="AN57" s="23" t="n"/>
    </row>
    <row r="58">
      <c r="A58" s="29" t="inlineStr">
        <is>
          <t xml:space="preserve">Y </t>
        </is>
      </c>
      <c r="B58" s="30" t="n">
        <v>23</v>
      </c>
      <c r="C58" s="34" t="n"/>
      <c r="D58" s="172" t="n"/>
      <c r="E58" s="43">
        <f t="array" ref="E58">INDIRECT(""&amp;$D57 &amp; "!A49")</f>
        <v/>
      </c>
      <c r="F58" s="17">
        <f t="array" ref="F58">INDIRECT(""&amp;$D57 &amp; "!Q49")</f>
        <v/>
      </c>
      <c r="G58" s="178" t="n"/>
      <c r="H58" s="177">
        <f t="array" ref="H58">INDIRECT(""&amp;$D57 &amp; "!S49")</f>
        <v/>
      </c>
      <c r="I58" s="178" t="n"/>
      <c r="J58" s="177">
        <f t="array" ref="J58">INDIRECT(""&amp;$D57 &amp; "!U49")</f>
        <v/>
      </c>
      <c r="K58" s="178" t="n"/>
      <c r="L58" s="177">
        <f t="array" ref="L58">INDIRECT(""&amp;$D57 &amp; "!W49")</f>
        <v/>
      </c>
      <c r="M58" s="178" t="n"/>
      <c r="N58" s="177">
        <f t="array" ref="N58">INDIRECT(""&amp;$D57 &amp; "!Y49")</f>
        <v/>
      </c>
      <c r="O58" s="178" t="n"/>
      <c r="P58" s="177">
        <f t="array" ref="P58">INDIRECT(""&amp;$D57 &amp; "!AA49")</f>
        <v/>
      </c>
      <c r="Q58" s="178" t="n"/>
      <c r="R58" s="177">
        <f t="array" ref="R58">INDIRECT(""&amp;$D57 &amp; "!AC49")</f>
        <v/>
      </c>
      <c r="S58" s="178" t="n"/>
      <c r="T58" s="178" t="n"/>
      <c r="U58" s="178" t="n"/>
      <c r="V58" s="178" t="n"/>
      <c r="W58" s="178" t="n"/>
      <c r="X58" s="177">
        <f t="array" ref="X58">INDIRECT(""&amp;$D57 &amp; "!AI49")</f>
        <v/>
      </c>
      <c r="Y58" s="178" t="n"/>
      <c r="Z58" s="177">
        <f t="array" ref="Z58">INDIRECT(""&amp;$D57 &amp; "!AK49")</f>
        <v/>
      </c>
      <c r="AA58" s="185" t="n"/>
      <c r="AB58" s="23" t="n"/>
      <c r="AC58" s="23" t="n"/>
      <c r="AD58" s="23" t="n"/>
      <c r="AE58" s="23" t="n"/>
      <c r="AF58" s="23" t="n"/>
      <c r="AG58" s="23" t="n"/>
      <c r="AH58" s="23" t="n"/>
      <c r="AI58" s="23" t="n"/>
      <c r="AJ58" s="23" t="n"/>
      <c r="AK58" s="23" t="n"/>
      <c r="AL58" s="23" t="n"/>
      <c r="AM58" s="23" t="n"/>
      <c r="AN58" s="23" t="n"/>
    </row>
    <row r="59">
      <c r="A59" s="29" t="inlineStr">
        <is>
          <t>U</t>
        </is>
      </c>
      <c r="B59" s="30" t="n">
        <v>1</v>
      </c>
      <c r="C59" s="34" t="n"/>
      <c r="D59" s="209" t="n"/>
      <c r="E59" s="43">
        <f t="array" ref="E59">INDIRECT(""&amp;$D57 &amp; "!A51")</f>
        <v/>
      </c>
      <c r="F59" s="17">
        <f t="array" ref="F59">INDIRECT(""&amp;$D57 &amp; "!Q51")</f>
        <v/>
      </c>
      <c r="G59" s="179" t="n"/>
      <c r="H59" s="177">
        <f t="array" ref="H59">INDIRECT(""&amp;$D57 &amp; "!S51")</f>
        <v/>
      </c>
      <c r="I59" s="179" t="n"/>
      <c r="J59" s="177">
        <f t="array" ref="J59">INDIRECT(""&amp;$D57 &amp; "!U51")</f>
        <v/>
      </c>
      <c r="K59" s="179" t="n"/>
      <c r="L59" s="177">
        <f t="array" ref="L59">INDIRECT(""&amp;$D57 &amp; "!W51")</f>
        <v/>
      </c>
      <c r="M59" s="179" t="n"/>
      <c r="N59" s="177">
        <f t="array" ref="N59">INDIRECT(""&amp;$D57 &amp; "!Y51")</f>
        <v/>
      </c>
      <c r="O59" s="179" t="n"/>
      <c r="P59" s="177">
        <f t="array" ref="P59">INDIRECT(""&amp;$D57 &amp; "!AA51")</f>
        <v/>
      </c>
      <c r="Q59" s="179" t="n"/>
      <c r="R59" s="177">
        <f t="array" ref="R59">INDIRECT(""&amp;$D57 &amp; "!AC51")</f>
        <v/>
      </c>
      <c r="S59" s="179" t="n"/>
      <c r="T59" s="179" t="n"/>
      <c r="U59" s="179" t="n"/>
      <c r="V59" s="179" t="n"/>
      <c r="W59" s="179" t="n"/>
      <c r="X59" s="177">
        <f t="array" ref="X59">INDIRECT(""&amp;$D57 &amp; "!AI51")</f>
        <v/>
      </c>
      <c r="Y59" s="179" t="n"/>
      <c r="Z59" s="177">
        <f t="array" ref="Z59">INDIRECT(""&amp;$D57 &amp; "!AK51")</f>
        <v/>
      </c>
      <c r="AA59" s="186" t="n"/>
      <c r="AB59" s="23" t="n"/>
      <c r="AC59" s="23" t="n"/>
      <c r="AD59" s="23" t="n"/>
      <c r="AE59" s="23" t="n"/>
      <c r="AF59" s="23" t="n"/>
      <c r="AG59" s="23" t="n"/>
      <c r="AH59" s="23" t="n"/>
      <c r="AI59" s="23" t="n"/>
      <c r="AJ59" s="23" t="n"/>
      <c r="AK59" s="23" t="n"/>
      <c r="AL59" s="23" t="n"/>
      <c r="AM59" s="23" t="n"/>
      <c r="AN59" s="23" t="n"/>
    </row>
    <row r="60">
      <c r="A60" s="29" t="inlineStr">
        <is>
          <t>V</t>
        </is>
      </c>
      <c r="B60" s="30" t="n">
        <v>1</v>
      </c>
      <c r="C60" s="34" t="n"/>
      <c r="D60" s="208">
        <f>D26</f>
        <v/>
      </c>
      <c r="E60" s="43">
        <f t="array" ref="E60">INDIRECT(""&amp;$D60 &amp; "!A47")</f>
        <v/>
      </c>
      <c r="F60" s="17">
        <f t="array" ref="F60">INDIRECT(""&amp;$D60 &amp; "!Q47")</f>
        <v/>
      </c>
      <c r="G60" s="177">
        <f t="array" ref="G60">INDIRECT(""&amp;$D60 &amp; "!R47")</f>
        <v/>
      </c>
      <c r="H60" s="177">
        <f t="array" ref="H60">INDIRECT(""&amp;$D60 &amp; "!S47")</f>
        <v/>
      </c>
      <c r="I60" s="177">
        <f t="array" ref="I60">INDIRECT(""&amp;$D60 &amp; "!T47")</f>
        <v/>
      </c>
      <c r="J60" s="177">
        <f t="array" ref="J60">INDIRECT(""&amp;$D60 &amp; "!U47")</f>
        <v/>
      </c>
      <c r="K60" s="177">
        <f t="array" ref="K60">INDIRECT(""&amp;$D60 &amp; "!V47")</f>
        <v/>
      </c>
      <c r="L60" s="177">
        <f t="array" ref="L60">INDIRECT(""&amp;$D60 &amp; "!W47")</f>
        <v/>
      </c>
      <c r="M60" s="177">
        <f t="array" ref="M60">INDIRECT(""&amp;$D60 &amp; "!X47")</f>
        <v/>
      </c>
      <c r="N60" s="177">
        <f t="array" ref="N60">INDIRECT(""&amp;$D60 &amp; "!Y47")</f>
        <v/>
      </c>
      <c r="O60" s="177">
        <f t="array" ref="O60">INDIRECT(""&amp;$D60 &amp; "!Z47")</f>
        <v/>
      </c>
      <c r="P60" s="177">
        <f t="array" ref="P60">INDIRECT(""&amp;$D60 &amp; "!AA47")</f>
        <v/>
      </c>
      <c r="Q60" s="177">
        <f t="array" ref="Q60">INDIRECT(""&amp;$D60 &amp; "!AB47")</f>
        <v/>
      </c>
      <c r="R60" s="177">
        <f t="array" ref="R60">INDIRECT(""&amp;$D60 &amp; "!AC47")</f>
        <v/>
      </c>
      <c r="S60" s="177">
        <f t="array" ref="S60">INDIRECT(""&amp;$D60 &amp; "!AE47")</f>
        <v/>
      </c>
      <c r="T60" s="177">
        <f t="array" ref="T60">INDIRECT(""&amp;$D60 &amp; "!AF47")</f>
        <v/>
      </c>
      <c r="U60" s="177">
        <f t="array" ref="U60">INDIRECT(""&amp;$D60 &amp; "!AG47")</f>
        <v/>
      </c>
      <c r="V60" s="177">
        <f t="array" ref="V60">INDIRECT(""&amp;$D60 &amp; "!AH47")</f>
        <v/>
      </c>
      <c r="W60" s="177">
        <f>('Summary (Full)'!$B$58*S60+'Summary (Full)'!$B$59*T60+'Summary (Full)'!$B$60*U60)/'Summary (Full)'!$B$61</f>
        <v/>
      </c>
      <c r="X60" s="177">
        <f t="array" ref="X60">INDIRECT(""&amp;$D60 &amp; "!AI47")</f>
        <v/>
      </c>
      <c r="Y60" s="177">
        <f t="array" ref="Y60">INDIRECT(""&amp;$D60 &amp; "!AJ47")</f>
        <v/>
      </c>
      <c r="Z60" s="177">
        <f t="array" ref="Z60">INDIRECT(""&amp;$D60 &amp; "!AK47")</f>
        <v/>
      </c>
      <c r="AA60" s="187">
        <f t="array" ref="AA60">INDIRECT(""&amp;$D60 &amp; "!AL47")</f>
        <v/>
      </c>
      <c r="AB60" s="23" t="n"/>
      <c r="AC60" s="23" t="n"/>
      <c r="AD60" s="23" t="n"/>
      <c r="AE60" s="23" t="n"/>
      <c r="AF60" s="23" t="n"/>
      <c r="AG60" s="23" t="n"/>
      <c r="AH60" s="23" t="n"/>
      <c r="AI60" s="23" t="n"/>
      <c r="AJ60" s="23" t="n"/>
      <c r="AK60" s="23" t="n"/>
      <c r="AL60" s="23" t="n"/>
      <c r="AM60" s="23" t="n"/>
      <c r="AN60" s="23" t="n"/>
    </row>
    <row r="61">
      <c r="A61" s="29" t="inlineStr">
        <is>
          <t>Sum</t>
        </is>
      </c>
      <c r="B61" s="30">
        <f>SUM(B58:B60)</f>
        <v/>
      </c>
      <c r="C61" s="34" t="n"/>
      <c r="D61" s="172" t="n"/>
      <c r="E61" s="43">
        <f t="array" ref="E61">INDIRECT(""&amp;$D60 &amp; "!A49")</f>
        <v/>
      </c>
      <c r="F61" s="17">
        <f t="array" ref="F61">INDIRECT(""&amp;$D60 &amp; "!Q49")</f>
        <v/>
      </c>
      <c r="G61" s="178" t="n"/>
      <c r="H61" s="177">
        <f t="array" ref="H61">INDIRECT(""&amp;$D60 &amp; "!S49")</f>
        <v/>
      </c>
      <c r="I61" s="178" t="n"/>
      <c r="J61" s="177">
        <f t="array" ref="J61">INDIRECT(""&amp;$D60 &amp; "!U49")</f>
        <v/>
      </c>
      <c r="K61" s="178" t="n"/>
      <c r="L61" s="177">
        <f t="array" ref="L61">INDIRECT(""&amp;$D60 &amp; "!W49")</f>
        <v/>
      </c>
      <c r="M61" s="178" t="n"/>
      <c r="N61" s="177">
        <f t="array" ref="N61">INDIRECT(""&amp;$D60 &amp; "!Y49")</f>
        <v/>
      </c>
      <c r="O61" s="178" t="n"/>
      <c r="P61" s="177">
        <f t="array" ref="P61">INDIRECT(""&amp;$D60 &amp; "!AA49")</f>
        <v/>
      </c>
      <c r="Q61" s="178" t="n"/>
      <c r="R61" s="177">
        <f t="array" ref="R61">INDIRECT(""&amp;$D60 &amp; "!AC49")</f>
        <v/>
      </c>
      <c r="S61" s="178" t="n"/>
      <c r="T61" s="178" t="n"/>
      <c r="U61" s="178" t="n"/>
      <c r="V61" s="178" t="n"/>
      <c r="W61" s="178" t="n"/>
      <c r="X61" s="177">
        <f t="array" ref="X61">INDIRECT(""&amp;$D60 &amp; "!AI49")</f>
        <v/>
      </c>
      <c r="Y61" s="178" t="n"/>
      <c r="Z61" s="177">
        <f t="array" ref="Z61">INDIRECT(""&amp;$D60 &amp; "!AK49")</f>
        <v/>
      </c>
      <c r="AA61" s="185" t="n"/>
      <c r="AB61" s="23" t="n"/>
      <c r="AC61" s="23" t="n"/>
      <c r="AD61" s="23" t="n"/>
      <c r="AE61" s="23" t="n"/>
      <c r="AF61" s="23" t="n"/>
      <c r="AG61" s="23" t="n"/>
      <c r="AH61" s="23" t="n"/>
      <c r="AI61" s="23" t="n"/>
      <c r="AJ61" s="23" t="n"/>
      <c r="AK61" s="23" t="n"/>
      <c r="AL61" s="23" t="n"/>
      <c r="AM61" s="23" t="n"/>
      <c r="AN61" s="23" t="n"/>
    </row>
    <row r="62" ht="17" customHeight="1" s="241" thickBot="1">
      <c r="D62" s="209" t="n"/>
      <c r="E62" s="81">
        <f t="array" ref="E62">INDIRECT(""&amp;$D60 &amp; "!A51")</f>
        <v/>
      </c>
      <c r="F62" s="49">
        <f t="array" ref="F62">INDIRECT(""&amp;$D60 &amp; "!Q51")</f>
        <v/>
      </c>
      <c r="G62" s="179" t="n"/>
      <c r="H62" s="101">
        <f t="array" ref="H62">INDIRECT(""&amp;$D60 &amp; "!S51")</f>
        <v/>
      </c>
      <c r="I62" s="179" t="n"/>
      <c r="J62" s="101">
        <f t="array" ref="J62">INDIRECT(""&amp;$D60 &amp; "!U51")</f>
        <v/>
      </c>
      <c r="K62" s="179" t="n"/>
      <c r="L62" s="101">
        <f t="array" ref="L62">INDIRECT(""&amp;$D60 &amp; "!W51")</f>
        <v/>
      </c>
      <c r="M62" s="179" t="n"/>
      <c r="N62" s="101">
        <f t="array" ref="N62">INDIRECT(""&amp;$D60 &amp; "!Y51")</f>
        <v/>
      </c>
      <c r="O62" s="179" t="n"/>
      <c r="P62" s="101">
        <f t="array" ref="P62">INDIRECT(""&amp;$D60 &amp; "!AA51")</f>
        <v/>
      </c>
      <c r="Q62" s="179" t="n"/>
      <c r="R62" s="101">
        <f t="array" ref="R62">INDIRECT(""&amp;$D60 &amp; "!AC51")</f>
        <v/>
      </c>
      <c r="S62" s="179" t="n"/>
      <c r="T62" s="179" t="n"/>
      <c r="U62" s="179" t="n"/>
      <c r="V62" s="179" t="n"/>
      <c r="W62" s="179" t="n"/>
      <c r="X62" s="101">
        <f t="array" ref="X62">INDIRECT(""&amp;$D60 &amp; "!AI51")</f>
        <v/>
      </c>
      <c r="Y62" s="179" t="n"/>
      <c r="Z62" s="101">
        <f t="array" ref="Z62">INDIRECT(""&amp;$D60 &amp; "!AK51")</f>
        <v/>
      </c>
      <c r="AA62" s="186" t="n"/>
      <c r="AB62" s="23" t="n"/>
      <c r="AC62" s="23" t="n"/>
      <c r="AD62" s="23" t="n"/>
      <c r="AE62" s="23" t="n"/>
      <c r="AF62" s="23" t="n"/>
      <c r="AG62" s="23" t="n"/>
      <c r="AH62" s="23" t="n"/>
      <c r="AI62" s="23" t="n"/>
      <c r="AJ62" s="23" t="n"/>
      <c r="AK62" s="23" t="n"/>
      <c r="AL62" s="23" t="n"/>
      <c r="AM62" s="23" t="n"/>
      <c r="AN62" s="23" t="n"/>
    </row>
    <row r="63">
      <c r="D63" s="226" t="inlineStr">
        <is>
          <t>Average</t>
        </is>
      </c>
      <c r="E63" s="82" t="inlineStr">
        <is>
          <t>High</t>
        </is>
      </c>
      <c r="F63" s="44">
        <f>AVERAGE(F39,F42,F45,F48,F51,F54,F57,F60)</f>
        <v/>
      </c>
      <c r="G63" s="180">
        <f>AVERAGE(G39:G62)</f>
        <v/>
      </c>
      <c r="H63" s="180">
        <f>AVERAGE(H39,H42,H45,H48,H51,H54,H57,H60)</f>
        <v/>
      </c>
      <c r="I63" s="180">
        <f>AVERAGE(I39:I62)</f>
        <v/>
      </c>
      <c r="J63" s="180">
        <f>AVERAGE(J39,J42,J45,J48,J51,J54,J57,J60)</f>
        <v/>
      </c>
      <c r="K63" s="180">
        <f>AVERAGE(K39:K62)</f>
        <v/>
      </c>
      <c r="L63" s="180">
        <f>AVERAGE(L39,L42,L45,L48,L51,L54,L57,L60)</f>
        <v/>
      </c>
      <c r="M63" s="180">
        <f>AVERAGE(M39:M62)</f>
        <v/>
      </c>
      <c r="N63" s="180">
        <f>AVERAGE(N39,N42,N45,N48,N51,N54,N57,N60)</f>
        <v/>
      </c>
      <c r="O63" s="180">
        <f>AVERAGE(O39:O62)</f>
        <v/>
      </c>
      <c r="P63" s="180">
        <f>AVERAGE(P39,P42,P45,P48,P51,P54,P57,P60)</f>
        <v/>
      </c>
      <c r="Q63" s="180">
        <f>AVERAGE(Q39:Q62)</f>
        <v/>
      </c>
      <c r="R63" s="180">
        <f>AVERAGE(R39,R42,R45,R48,R51,R54,R57,R60)</f>
        <v/>
      </c>
      <c r="S63" s="180">
        <f>AVERAGE(S39:S62)</f>
        <v/>
      </c>
      <c r="T63" s="180">
        <f>AVERAGE(T39:T62)</f>
        <v/>
      </c>
      <c r="U63" s="180">
        <f>AVERAGE(U39:U62)</f>
        <v/>
      </c>
      <c r="V63" s="180">
        <f>AVERAGE(V39:V62)</f>
        <v/>
      </c>
      <c r="W63" s="180">
        <f>AVERAGE(W39:W62)</f>
        <v/>
      </c>
      <c r="X63" s="180">
        <f>AVERAGE(X39,X42,X45,X48,X51,X54,X57,X60)</f>
        <v/>
      </c>
      <c r="Y63" s="180">
        <f>AVERAGE(Y39:Y62)</f>
        <v/>
      </c>
      <c r="Z63" s="180">
        <f>AVERAGE(Z39,Z42,Z45,Z48,Z51,Z54,Z57,Z60)</f>
        <v/>
      </c>
      <c r="AA63" s="184">
        <f>AVERAGE(AA39:AA62)</f>
        <v/>
      </c>
      <c r="AB63" s="23" t="n"/>
      <c r="AC63" s="23" t="n"/>
      <c r="AD63" s="23" t="n"/>
      <c r="AE63" s="23" t="n"/>
      <c r="AF63" s="23" t="n"/>
      <c r="AG63" s="23" t="n"/>
      <c r="AH63" s="23" t="n"/>
      <c r="AI63" s="23" t="n"/>
      <c r="AJ63" s="23" t="n"/>
      <c r="AK63" s="23" t="n"/>
      <c r="AL63" s="23" t="n"/>
      <c r="AM63" s="23" t="n"/>
      <c r="AN63" s="23" t="n"/>
    </row>
    <row r="64">
      <c r="D64" s="227" t="n"/>
      <c r="E64" s="50" t="inlineStr">
        <is>
          <t>Med</t>
        </is>
      </c>
      <c r="F64" s="17">
        <f>AVERAGE(F40,F43,F46,F49,F52,F55,F58,F61)</f>
        <v/>
      </c>
      <c r="G64" s="178" t="n"/>
      <c r="H64" s="177">
        <f>AVERAGE(H40,H43,H46,H49,H52,H55,H58,H61)</f>
        <v/>
      </c>
      <c r="I64" s="178" t="n"/>
      <c r="J64" s="177">
        <f>AVERAGE(J40,J43,J46,J49,J52,J55,J58,J61)</f>
        <v/>
      </c>
      <c r="K64" s="178" t="n"/>
      <c r="L64" s="177">
        <f>AVERAGE(L40,L43,L46,L49,L52,L55,L58,L61)</f>
        <v/>
      </c>
      <c r="M64" s="178" t="n"/>
      <c r="N64" s="177">
        <f>AVERAGE(N40,N43,N46,N49,N52,N55,N58,N61)</f>
        <v/>
      </c>
      <c r="O64" s="178" t="n"/>
      <c r="P64" s="177">
        <f>AVERAGE(P40,P43,P46,P49,P52,P55,P58,P61)</f>
        <v/>
      </c>
      <c r="Q64" s="178" t="n"/>
      <c r="R64" s="177">
        <f>AVERAGE(R40,R43,R46,R49,R52,R55,R58,R61)</f>
        <v/>
      </c>
      <c r="S64" s="178" t="n"/>
      <c r="T64" s="178" t="n"/>
      <c r="U64" s="178" t="n"/>
      <c r="V64" s="178" t="n"/>
      <c r="W64" s="178" t="n"/>
      <c r="X64" s="177">
        <f>AVERAGE(X40,X43,X46,X49,X52,X55,X58,X61)</f>
        <v/>
      </c>
      <c r="Y64" s="178" t="n"/>
      <c r="Z64" s="177">
        <f>AVERAGE(Z40,Z43,Z46,Z49,Z52,Z55,Z58,Z61)</f>
        <v/>
      </c>
      <c r="AA64" s="185" t="n"/>
      <c r="AB64" s="23" t="n"/>
      <c r="AC64" s="23" t="n"/>
      <c r="AD64" s="23" t="n"/>
      <c r="AE64" s="23" t="n"/>
      <c r="AF64" s="23" t="n"/>
      <c r="AG64" s="23" t="n"/>
      <c r="AH64" s="23" t="n"/>
      <c r="AI64" s="23" t="n"/>
      <c r="AJ64" s="23" t="n"/>
      <c r="AK64" s="23" t="n"/>
      <c r="AL64" s="23" t="n"/>
      <c r="AM64" s="23" t="n"/>
      <c r="AN64" s="23" t="n"/>
    </row>
    <row r="65" ht="17" customHeight="1" s="241" thickBot="1">
      <c r="D65" s="228" t="n"/>
      <c r="E65" s="51" t="inlineStr">
        <is>
          <t>Low</t>
        </is>
      </c>
      <c r="F65" s="47">
        <f>AVERAGE(F41,F44,F47,F50,F53,F56,F59,F62)</f>
        <v/>
      </c>
      <c r="G65" s="179" t="n"/>
      <c r="H65" s="57">
        <f>AVERAGE(H41,H44,H47,H50,H53,H56,H59,H62)</f>
        <v/>
      </c>
      <c r="I65" s="179" t="n"/>
      <c r="J65" s="57">
        <f>AVERAGE(J41,J44,J47,J50,J53,J56,J59,J62)</f>
        <v/>
      </c>
      <c r="K65" s="179" t="n"/>
      <c r="L65" s="57">
        <f>AVERAGE(L41,L44,L47,L50,L53,L56,L59,L62)</f>
        <v/>
      </c>
      <c r="M65" s="179" t="n"/>
      <c r="N65" s="57">
        <f>AVERAGE(N41,N44,N47,N50,N53,N56,N59,N62)</f>
        <v/>
      </c>
      <c r="O65" s="179" t="n"/>
      <c r="P65" s="57">
        <f>AVERAGE(P41,P44,P47,P50,P53,P56,P59,P62)</f>
        <v/>
      </c>
      <c r="Q65" s="179" t="n"/>
      <c r="R65" s="57">
        <f>AVERAGE(R41,R44,R47,R50,R53,R56,R59,R62)</f>
        <v/>
      </c>
      <c r="S65" s="179" t="n"/>
      <c r="T65" s="179" t="n"/>
      <c r="U65" s="179" t="n"/>
      <c r="V65" s="179" t="n"/>
      <c r="W65" s="179" t="n"/>
      <c r="X65" s="57">
        <f>AVERAGE(X41,X44,X47,X50,X53,X56,X59,X62)</f>
        <v/>
      </c>
      <c r="Y65" s="179" t="n"/>
      <c r="Z65" s="57">
        <f>AVERAGE(Z41,Z44,Z47,Z50,Z53,Z56,Z59,Z62)</f>
        <v/>
      </c>
      <c r="AA65" s="186" t="n"/>
      <c r="AB65" s="23" t="n"/>
      <c r="AC65" s="23" t="n"/>
      <c r="AD65" s="23" t="n"/>
      <c r="AE65" s="23" t="n"/>
      <c r="AF65" s="23" t="n"/>
      <c r="AG65" s="23" t="n"/>
      <c r="AH65" s="23" t="n"/>
      <c r="AI65" s="23" t="n"/>
      <c r="AJ65" s="23" t="n"/>
      <c r="AK65" s="23" t="n"/>
      <c r="AL65" s="23" t="n"/>
      <c r="AM65" s="23" t="n"/>
      <c r="AN65" s="23" t="n"/>
    </row>
    <row r="68" ht="17" customHeight="1" s="241" thickBot="1"/>
    <row r="69">
      <c r="D69" s="218" t="inlineStr">
        <is>
          <t>Sequence</t>
        </is>
      </c>
      <c r="E69" s="201" t="inlineStr">
        <is>
          <t>Timing</t>
        </is>
      </c>
      <c r="F69" s="182" t="n"/>
      <c r="G69" s="182" t="n"/>
      <c r="H69" s="182" t="n"/>
      <c r="I69" s="182" t="n"/>
      <c r="J69" s="182" t="n"/>
      <c r="K69" s="182" t="n"/>
      <c r="L69" s="182" t="n"/>
      <c r="M69" s="182" t="n"/>
      <c r="N69" s="202" t="n"/>
      <c r="O69" s="181" t="n"/>
    </row>
    <row r="70">
      <c r="D70" s="175" t="n"/>
      <c r="E70" s="205" t="inlineStr">
        <is>
          <t>Geometric Averages</t>
        </is>
      </c>
      <c r="F70" s="166" t="n"/>
      <c r="G70" s="166" t="n"/>
      <c r="H70" s="169" t="n"/>
      <c r="I70" s="168" t="inlineStr">
        <is>
          <t>Arithmetic Average</t>
        </is>
      </c>
      <c r="J70" s="169" t="n"/>
      <c r="K70" s="168" t="inlineStr">
        <is>
          <t>Max</t>
        </is>
      </c>
      <c r="L70" s="169" t="n"/>
      <c r="M70" s="168" t="inlineStr">
        <is>
          <t>Min</t>
        </is>
      </c>
      <c r="N70" s="169" t="n"/>
      <c r="O70" s="165" t="n"/>
    </row>
    <row r="71" ht="17" customHeight="1" s="241" thickBot="1">
      <c r="D71" s="200" t="n"/>
      <c r="E71" s="59" t="inlineStr">
        <is>
          <t>EncG</t>
        </is>
      </c>
      <c r="F71" s="59" t="inlineStr">
        <is>
          <t>EncR</t>
        </is>
      </c>
      <c r="G71" s="59" t="inlineStr">
        <is>
          <t>DecG</t>
        </is>
      </c>
      <c r="H71" s="59" t="inlineStr">
        <is>
          <t>DecR</t>
        </is>
      </c>
      <c r="I71" s="41" t="inlineStr">
        <is>
          <t>EncR</t>
        </is>
      </c>
      <c r="J71" s="41" t="inlineStr">
        <is>
          <t>DecR</t>
        </is>
      </c>
      <c r="K71" s="41" t="inlineStr">
        <is>
          <t>EncR</t>
        </is>
      </c>
      <c r="L71" s="41" t="inlineStr">
        <is>
          <t>EncG</t>
        </is>
      </c>
      <c r="M71" s="41" t="inlineStr">
        <is>
          <t>EncR</t>
        </is>
      </c>
      <c r="N71" s="41" t="inlineStr">
        <is>
          <t>EncG</t>
        </is>
      </c>
      <c r="O71" s="62" t="inlineStr">
        <is>
          <t>Success</t>
        </is>
      </c>
    </row>
    <row r="72">
      <c r="D72" s="65">
        <f>D5</f>
        <v/>
      </c>
      <c r="E72" s="44">
        <f t="array" ref="E72">INDIRECT(""&amp;$D72 &amp; "!AJ61")</f>
        <v/>
      </c>
      <c r="F72" s="180">
        <f t="array" ref="F72">INDIRECT(""&amp;$D72 &amp; "!AL57")</f>
        <v/>
      </c>
      <c r="G72" s="180">
        <f t="array" ref="G72">INDIRECT(""&amp;$D72 &amp; "!AK61")</f>
        <v/>
      </c>
      <c r="H72" s="180">
        <f t="array" ref="H72">INDIRECT(""&amp;$D72 &amp; "!AM57")</f>
        <v/>
      </c>
      <c r="I72" s="180">
        <f t="array" ref="I72">INDIRECT(""&amp;$D72 &amp; "!AL58")</f>
        <v/>
      </c>
      <c r="J72" s="180">
        <f t="array" ref="J72">INDIRECT(""&amp;$D72 &amp; "!AM58")</f>
        <v/>
      </c>
      <c r="K72" s="180">
        <f t="array" ref="K72">INDIRECT(""&amp;$D72 &amp; "!AL59")</f>
        <v/>
      </c>
      <c r="L72" s="180">
        <f t="array" ref="L72">INDIRECT(""&amp;$D72 &amp; "!AM59")</f>
        <v/>
      </c>
      <c r="M72" s="180">
        <f t="array" ref="M72">INDIRECT(""&amp;$D72 &amp; "!AL60")</f>
        <v/>
      </c>
      <c r="N72" s="180">
        <f t="array" ref="N72">INDIRECT(""&amp;$D72 &amp; "!AM60")</f>
        <v/>
      </c>
      <c r="O72" s="184">
        <f t="array" ref="O72">INDIRECT(""&amp;$D72 &amp; "!AM56")</f>
        <v/>
      </c>
    </row>
    <row r="73">
      <c r="D73" s="65">
        <f>D8</f>
        <v/>
      </c>
      <c r="E73" s="17">
        <f t="array" ref="E73">INDIRECT(""&amp;$D73 &amp; "!AJ61")</f>
        <v/>
      </c>
      <c r="F73" s="177">
        <f t="array" ref="F73">INDIRECT(""&amp;$D73 &amp; "!AL57")</f>
        <v/>
      </c>
      <c r="G73" s="177">
        <f t="array" ref="G73">INDIRECT(""&amp;$D73 &amp; "!AK61")</f>
        <v/>
      </c>
      <c r="H73" s="177">
        <f t="array" ref="H73">INDIRECT(""&amp;$D73 &amp; "!AM57")</f>
        <v/>
      </c>
      <c r="I73" s="177">
        <f t="array" ref="I73">INDIRECT(""&amp;$D73 &amp; "!AL58")</f>
        <v/>
      </c>
      <c r="J73" s="177">
        <f t="array" ref="J73">INDIRECT(""&amp;$D73 &amp; "!AM58")</f>
        <v/>
      </c>
      <c r="K73" s="177">
        <f t="array" ref="K73">INDIRECT(""&amp;$D73 &amp; "!AL59")</f>
        <v/>
      </c>
      <c r="L73" s="177">
        <f t="array" ref="L73">INDIRECT(""&amp;$D73 &amp; "!AM59")</f>
        <v/>
      </c>
      <c r="M73" s="177">
        <f t="array" ref="M73">INDIRECT(""&amp;$D73 &amp; "!AL60")</f>
        <v/>
      </c>
      <c r="N73" s="177">
        <f t="array" ref="N73">INDIRECT(""&amp;$D73 &amp; "!AM60")</f>
        <v/>
      </c>
      <c r="O73" s="187">
        <f t="array" ref="O73">INDIRECT(""&amp;$D73 &amp; "!AM56")</f>
        <v/>
      </c>
    </row>
    <row r="74">
      <c r="D74" s="65">
        <f>D11</f>
        <v/>
      </c>
      <c r="E74" s="17">
        <f t="array" ref="E74">INDIRECT(""&amp;$D74 &amp; "!AJ61")</f>
        <v/>
      </c>
      <c r="F74" s="177">
        <f t="array" ref="F74">INDIRECT(""&amp;$D74 &amp; "!AL57")</f>
        <v/>
      </c>
      <c r="G74" s="177">
        <f t="array" ref="G74">INDIRECT(""&amp;$D74 &amp; "!AK61")</f>
        <v/>
      </c>
      <c r="H74" s="177">
        <f t="array" ref="H74">INDIRECT(""&amp;$D74 &amp; "!AM57")</f>
        <v/>
      </c>
      <c r="I74" s="177">
        <f t="array" ref="I74">INDIRECT(""&amp;$D74 &amp; "!AL58")</f>
        <v/>
      </c>
      <c r="J74" s="177">
        <f t="array" ref="J74">INDIRECT(""&amp;$D74 &amp; "!AM58")</f>
        <v/>
      </c>
      <c r="K74" s="177">
        <f t="array" ref="K74">INDIRECT(""&amp;$D74 &amp; "!AL59")</f>
        <v/>
      </c>
      <c r="L74" s="177">
        <f t="array" ref="L74">INDIRECT(""&amp;$D74 &amp; "!AM59")</f>
        <v/>
      </c>
      <c r="M74" s="177">
        <f t="array" ref="M74">INDIRECT(""&amp;$D74 &amp; "!AL60")</f>
        <v/>
      </c>
      <c r="N74" s="177">
        <f t="array" ref="N74">INDIRECT(""&amp;$D74 &amp; "!AM60")</f>
        <v/>
      </c>
      <c r="O74" s="187">
        <f t="array" ref="O74">INDIRECT(""&amp;$D74 &amp; "!AM56")</f>
        <v/>
      </c>
    </row>
    <row r="75">
      <c r="D75" s="65">
        <f>D14</f>
        <v/>
      </c>
      <c r="E75" s="17">
        <f t="array" ref="E75">INDIRECT(""&amp;$D75 &amp; "!AJ61")</f>
        <v/>
      </c>
      <c r="F75" s="177">
        <f t="array" ref="F75">INDIRECT(""&amp;$D75 &amp; "!AL57")</f>
        <v/>
      </c>
      <c r="G75" s="177">
        <f t="array" ref="G75">INDIRECT(""&amp;$D75 &amp; "!AK61")</f>
        <v/>
      </c>
      <c r="H75" s="177">
        <f t="array" ref="H75">INDIRECT(""&amp;$D75 &amp; "!AM57")</f>
        <v/>
      </c>
      <c r="I75" s="177">
        <f t="array" ref="I75">INDIRECT(""&amp;$D75 &amp; "!AL58")</f>
        <v/>
      </c>
      <c r="J75" s="177">
        <f t="array" ref="J75">INDIRECT(""&amp;$D75 &amp; "!AM58")</f>
        <v/>
      </c>
      <c r="K75" s="177">
        <f t="array" ref="K75">INDIRECT(""&amp;$D75 &amp; "!AL59")</f>
        <v/>
      </c>
      <c r="L75" s="177">
        <f t="array" ref="L75">INDIRECT(""&amp;$D75 &amp; "!AM59")</f>
        <v/>
      </c>
      <c r="M75" s="177">
        <f t="array" ref="M75">INDIRECT(""&amp;$D75 &amp; "!AL60")</f>
        <v/>
      </c>
      <c r="N75" s="177">
        <f t="array" ref="N75">INDIRECT(""&amp;$D75 &amp; "!AM60")</f>
        <v/>
      </c>
      <c r="O75" s="187">
        <f t="array" ref="O75">INDIRECT(""&amp;$D75 &amp; "!AM56")</f>
        <v/>
      </c>
    </row>
    <row r="76">
      <c r="D76" s="65">
        <f>D17</f>
        <v/>
      </c>
      <c r="E76" s="17">
        <f t="array" ref="E76">INDIRECT(""&amp;$D76 &amp; "!AJ61")</f>
        <v/>
      </c>
      <c r="F76" s="177">
        <f t="array" ref="F76">INDIRECT(""&amp;$D76 &amp; "!AL57")</f>
        <v/>
      </c>
      <c r="G76" s="177">
        <f t="array" ref="G76">INDIRECT(""&amp;$D76 &amp; "!AK61")</f>
        <v/>
      </c>
      <c r="H76" s="177">
        <f t="array" ref="H76">INDIRECT(""&amp;$D76 &amp; "!AM57")</f>
        <v/>
      </c>
      <c r="I76" s="177">
        <f t="array" ref="I76">INDIRECT(""&amp;$D76 &amp; "!AL58")</f>
        <v/>
      </c>
      <c r="J76" s="177">
        <f t="array" ref="J76">INDIRECT(""&amp;$D76 &amp; "!AM58")</f>
        <v/>
      </c>
      <c r="K76" s="177">
        <f t="array" ref="K76">INDIRECT(""&amp;$D76 &amp; "!AL59")</f>
        <v/>
      </c>
      <c r="L76" s="177">
        <f t="array" ref="L76">INDIRECT(""&amp;$D76 &amp; "!AM59")</f>
        <v/>
      </c>
      <c r="M76" s="177">
        <f t="array" ref="M76">INDIRECT(""&amp;$D76 &amp; "!AL60")</f>
        <v/>
      </c>
      <c r="N76" s="177">
        <f t="array" ref="N76">INDIRECT(""&amp;$D76 &amp; "!AM60")</f>
        <v/>
      </c>
      <c r="O76" s="187">
        <f t="array" ref="O76">INDIRECT(""&amp;$D76 &amp; "!AM56")</f>
        <v/>
      </c>
    </row>
    <row r="77">
      <c r="D77" s="65">
        <f>D20</f>
        <v/>
      </c>
      <c r="E77" s="17">
        <f t="array" ref="E77">INDIRECT(""&amp;$D77 &amp; "!AJ61")</f>
        <v/>
      </c>
      <c r="F77" s="177">
        <f t="array" ref="F77">INDIRECT(""&amp;$D77 &amp; "!AL57")</f>
        <v/>
      </c>
      <c r="G77" s="177">
        <f t="array" ref="G77">INDIRECT(""&amp;$D77 &amp; "!AK61")</f>
        <v/>
      </c>
      <c r="H77" s="177">
        <f t="array" ref="H77">INDIRECT(""&amp;$D77 &amp; "!AM57")</f>
        <v/>
      </c>
      <c r="I77" s="177">
        <f t="array" ref="I77">INDIRECT(""&amp;$D77 &amp; "!AL58")</f>
        <v/>
      </c>
      <c r="J77" s="177">
        <f t="array" ref="J77">INDIRECT(""&amp;$D77 &amp; "!AM58")</f>
        <v/>
      </c>
      <c r="K77" s="177">
        <f t="array" ref="K77">INDIRECT(""&amp;$D77 &amp; "!AL59")</f>
        <v/>
      </c>
      <c r="L77" s="177">
        <f t="array" ref="L77">INDIRECT(""&amp;$D77 &amp; "!AM59")</f>
        <v/>
      </c>
      <c r="M77" s="177">
        <f t="array" ref="M77">INDIRECT(""&amp;$D77 &amp; "!AL60")</f>
        <v/>
      </c>
      <c r="N77" s="177">
        <f t="array" ref="N77">INDIRECT(""&amp;$D77 &amp; "!AM60")</f>
        <v/>
      </c>
      <c r="O77" s="187">
        <f t="array" ref="O77">INDIRECT(""&amp;$D77 &amp; "!AM56")</f>
        <v/>
      </c>
    </row>
    <row r="78">
      <c r="D78" s="65">
        <f>D23</f>
        <v/>
      </c>
      <c r="E78" s="17">
        <f t="array" ref="E78">INDIRECT(""&amp;$D78 &amp; "!AJ61")</f>
        <v/>
      </c>
      <c r="F78" s="177">
        <f t="array" ref="F78">INDIRECT(""&amp;$D78 &amp; "!AL57")</f>
        <v/>
      </c>
      <c r="G78" s="177">
        <f t="array" ref="G78">INDIRECT(""&amp;$D78 &amp; "!AK61")</f>
        <v/>
      </c>
      <c r="H78" s="177">
        <f t="array" ref="H78">INDIRECT(""&amp;$D78 &amp; "!AM57")</f>
        <v/>
      </c>
      <c r="I78" s="177">
        <f t="array" ref="I78">INDIRECT(""&amp;$D78 &amp; "!AL58")</f>
        <v/>
      </c>
      <c r="J78" s="177">
        <f t="array" ref="J78">INDIRECT(""&amp;$D78 &amp; "!AM58")</f>
        <v/>
      </c>
      <c r="K78" s="177">
        <f t="array" ref="K78">INDIRECT(""&amp;$D78 &amp; "!AL59")</f>
        <v/>
      </c>
      <c r="L78" s="177">
        <f t="array" ref="L78">INDIRECT(""&amp;$D78 &amp; "!AM59")</f>
        <v/>
      </c>
      <c r="M78" s="177">
        <f t="array" ref="M78">INDIRECT(""&amp;$D78 &amp; "!AL60")</f>
        <v/>
      </c>
      <c r="N78" s="177">
        <f t="array" ref="N78">INDIRECT(""&amp;$D78 &amp; "!AM60")</f>
        <v/>
      </c>
      <c r="O78" s="187">
        <f t="array" ref="O78">INDIRECT(""&amp;$D78 &amp; "!AM56")</f>
        <v/>
      </c>
    </row>
    <row r="79" ht="17" customHeight="1" s="241" thickBot="1">
      <c r="D79" s="66">
        <f>D26</f>
        <v/>
      </c>
      <c r="E79" s="47">
        <f t="array" ref="E79">INDIRECT(""&amp;$D79 &amp; "!AJ61")</f>
        <v/>
      </c>
      <c r="F79" s="57">
        <f t="array" ref="F79">INDIRECT(""&amp;$D79 &amp; "!AL57")</f>
        <v/>
      </c>
      <c r="G79" s="57">
        <f t="array" ref="G79">INDIRECT(""&amp;$D79 &amp; "!AK61")</f>
        <v/>
      </c>
      <c r="H79" s="57">
        <f t="array" ref="H79">INDIRECT(""&amp;$D79 &amp; "!AM57")</f>
        <v/>
      </c>
      <c r="I79" s="57">
        <f t="array" ref="I79">INDIRECT(""&amp;$D79 &amp; "!AL58")</f>
        <v/>
      </c>
      <c r="J79" s="57">
        <f t="array" ref="J79">INDIRECT(""&amp;$D79 &amp; "!AM58")</f>
        <v/>
      </c>
      <c r="K79" s="57">
        <f t="array" ref="K79">INDIRECT(""&amp;$D79 &amp; "!AL59")</f>
        <v/>
      </c>
      <c r="L79" s="57">
        <f t="array" ref="L79">INDIRECT(""&amp;$D79 &amp; "!AM59")</f>
        <v/>
      </c>
      <c r="M79" s="57">
        <f t="array" ref="M79">INDIRECT(""&amp;$D79 &amp; "!AL60")</f>
        <v/>
      </c>
      <c r="N79" s="57">
        <f t="array" ref="N79">INDIRECT(""&amp;$D79 &amp; "!AM60")</f>
        <v/>
      </c>
      <c r="O79" s="48">
        <f t="array" ref="O79">INDIRECT(""&amp;$D79 &amp; "!AM56")</f>
        <v/>
      </c>
    </row>
    <row r="80" ht="17" customHeight="1" s="241" thickBot="1">
      <c r="D80" s="58" t="inlineStr">
        <is>
          <t>Average</t>
        </is>
      </c>
      <c r="E80" s="53">
        <f>GEOMEAN(E72:E79)</f>
        <v/>
      </c>
      <c r="F80" s="53">
        <f>GEOMEAN(F72:F79)</f>
        <v/>
      </c>
      <c r="G80" s="53">
        <f>GEOMEAN(G72:G79)</f>
        <v/>
      </c>
      <c r="H80" s="53">
        <f>GEOMEAN(H72:H79)</f>
        <v/>
      </c>
      <c r="I80" s="53">
        <f>AVERAGE(I72:I79)</f>
        <v/>
      </c>
      <c r="J80" s="53">
        <f>AVERAGE(J72:J79)</f>
        <v/>
      </c>
      <c r="K80" s="53">
        <f>MAX(K72:K79)</f>
        <v/>
      </c>
      <c r="L80" s="53">
        <f>MAX(L72:L79)</f>
        <v/>
      </c>
      <c r="M80" s="53">
        <f>MIN(M72:M79)</f>
        <v/>
      </c>
      <c r="N80" s="53">
        <f>MIN(N72:N79)</f>
        <v/>
      </c>
      <c r="O80" s="53">
        <f>AVERAGE(O72:O79)</f>
        <v/>
      </c>
    </row>
    <row r="82">
      <c r="AG82" s="23" t="n"/>
      <c r="AH82" s="23" t="n"/>
      <c r="AI82" s="23" t="n"/>
      <c r="AJ82" s="23" t="n"/>
      <c r="AK82" s="23" t="n"/>
      <c r="AL82" s="23" t="n"/>
      <c r="AM82" s="23" t="n"/>
      <c r="AN82" s="23" t="n"/>
    </row>
    <row r="83" ht="17" customHeight="1" s="241" thickBot="1">
      <c r="AG83" s="23" t="n"/>
      <c r="AH83" s="23" t="n"/>
      <c r="AI83" s="23" t="n"/>
      <c r="AJ83" s="23" t="n"/>
      <c r="AK83" s="23" t="n"/>
      <c r="AL83" s="23" t="n"/>
      <c r="AM83" s="23" t="n"/>
      <c r="AN83" s="23" t="n"/>
    </row>
    <row r="84">
      <c r="D84" s="197" t="inlineStr">
        <is>
          <t>Resolution</t>
        </is>
      </c>
      <c r="E84" s="197" t="inlineStr">
        <is>
          <t>Sequence</t>
        </is>
      </c>
      <c r="F84" s="224" t="inlineStr">
        <is>
          <t>BD-rates</t>
        </is>
      </c>
      <c r="G84" s="191" t="n"/>
      <c r="H84" s="191" t="n"/>
      <c r="I84" s="191" t="n"/>
      <c r="J84" s="191" t="n"/>
      <c r="K84" s="191" t="n"/>
      <c r="L84" s="191" t="n"/>
      <c r="M84" s="191" t="n"/>
      <c r="N84" s="191" t="n"/>
      <c r="O84" s="191" t="n"/>
      <c r="P84" s="191" t="n"/>
      <c r="Q84" s="191" t="n"/>
      <c r="R84" s="225" t="n"/>
      <c r="AH84" s="23" t="n"/>
      <c r="AI84" s="23" t="n"/>
      <c r="AJ84" s="23" t="n"/>
      <c r="AK84" s="23" t="n"/>
      <c r="AL84" s="23" t="n"/>
      <c r="AM84" s="23" t="n"/>
      <c r="AN84" s="23" t="n"/>
    </row>
    <row r="85">
      <c r="D85" s="175" t="n"/>
      <c r="E85" s="175" t="n"/>
      <c r="F85" s="170">
        <f>BoxingPractice!AO2</f>
        <v/>
      </c>
      <c r="G85" s="166" t="n"/>
      <c r="H85" s="166" t="n"/>
      <c r="I85" s="166" t="n"/>
      <c r="J85" s="169" t="n"/>
      <c r="K85" s="170">
        <f>BoxingPractice!AT2</f>
        <v/>
      </c>
      <c r="L85" s="169" t="n"/>
      <c r="M85" s="170">
        <f>BoxingPractice!AV2</f>
        <v/>
      </c>
      <c r="N85" s="169" t="n"/>
      <c r="O85" s="170">
        <f>BoxingPractice!AX2</f>
        <v/>
      </c>
      <c r="P85" s="169" t="n"/>
      <c r="Q85" s="170" t="inlineStr">
        <is>
          <t>VMAF Validity</t>
        </is>
      </c>
      <c r="R85" s="169" t="n"/>
      <c r="AH85" s="23" t="n"/>
      <c r="AI85" s="23" t="n"/>
      <c r="AJ85" s="23" t="n"/>
      <c r="AK85" s="23" t="n"/>
      <c r="AL85" s="23" t="n"/>
      <c r="AM85" s="23" t="n"/>
      <c r="AN85" s="23" t="n"/>
    </row>
    <row r="86">
      <c r="D86" s="175" t="n"/>
      <c r="E86" s="175" t="n"/>
      <c r="F86" s="168" t="n"/>
      <c r="G86" s="168" t="n"/>
      <c r="H86" s="192" t="n"/>
      <c r="I86" s="192" t="n"/>
      <c r="J86" s="192" t="n"/>
      <c r="K86" s="192" t="n"/>
      <c r="L86" s="192" t="n"/>
      <c r="M86" s="192" t="n"/>
      <c r="N86" s="192" t="n"/>
      <c r="O86" s="192" t="n"/>
      <c r="P86" s="192" t="n"/>
      <c r="Q86" s="192" t="n"/>
      <c r="R86" s="192" t="n"/>
      <c r="AH86" s="23" t="n"/>
      <c r="AI86" s="23" t="n"/>
      <c r="AJ86" s="23" t="n"/>
      <c r="AK86" s="23" t="n"/>
      <c r="AL86" s="23" t="n"/>
      <c r="AM86" s="23" t="n"/>
      <c r="AN86" s="23" t="n"/>
    </row>
    <row r="87" ht="17" customHeight="1" s="241" thickBot="1">
      <c r="D87" s="175" t="n"/>
      <c r="E87" s="175" t="n"/>
      <c r="F87" s="192">
        <f>BoxingPractice!AO4</f>
        <v/>
      </c>
      <c r="G87" s="193" t="n"/>
      <c r="H87" s="192">
        <f>BoxingPractice!AQ4</f>
        <v/>
      </c>
      <c r="I87" s="192">
        <f>BoxingPractice!AR4</f>
        <v/>
      </c>
      <c r="J87" s="192">
        <f>BoxingPractice!AS4</f>
        <v/>
      </c>
      <c r="K87" s="192">
        <f>BoxingPractice!AT4</f>
        <v/>
      </c>
      <c r="L87" s="192">
        <f>BoxingPractice!AU4</f>
        <v/>
      </c>
      <c r="M87" s="192">
        <f>BoxingPractice!AV4</f>
        <v/>
      </c>
      <c r="N87" s="192">
        <f>BoxingPractice!AW4</f>
        <v/>
      </c>
      <c r="O87" s="192">
        <f>BoxingPractice!AX4</f>
        <v/>
      </c>
      <c r="P87" s="192">
        <f>BoxingPractice!AY4</f>
        <v/>
      </c>
      <c r="Q87" s="192" t="inlineStr">
        <is>
          <t>Range</t>
        </is>
      </c>
      <c r="R87" s="192" t="inlineStr">
        <is>
          <t>Y</t>
        </is>
      </c>
      <c r="AH87" s="23" t="n"/>
      <c r="AI87" s="23" t="n"/>
      <c r="AJ87" s="23" t="n"/>
      <c r="AK87" s="23" t="n"/>
      <c r="AL87" s="23" t="n"/>
      <c r="AM87" s="23" t="n"/>
      <c r="AN87" s="23" t="n"/>
    </row>
    <row r="88">
      <c r="D88" s="221">
        <f>BoxingPractice!A5</f>
        <v/>
      </c>
      <c r="E88" s="210">
        <f>D5</f>
        <v/>
      </c>
      <c r="F88" s="84">
        <f t="array" ref="F88">INDIRECT(""&amp;$E88 &amp; "!AO5")</f>
        <v/>
      </c>
      <c r="G88" s="44">
        <f t="array" ref="G88">INDIRECT(""&amp;$E88 &amp; "!AP5")</f>
        <v/>
      </c>
      <c r="H88" s="180">
        <f t="array" ref="H88">INDIRECT(""&amp;$E88 &amp; "!AQ5")</f>
        <v/>
      </c>
      <c r="I88" s="180">
        <f t="array" ref="I88">INDIRECT(""&amp;$E88 &amp; "!AR5")</f>
        <v/>
      </c>
      <c r="J88" s="180">
        <f t="array" ref="J88">INDIRECT(""&amp;$E88 &amp; "!AS5")</f>
        <v/>
      </c>
      <c r="K88" s="180">
        <f t="array" ref="K88">INDIRECT(""&amp;$E88 &amp; "!AT5")</f>
        <v/>
      </c>
      <c r="L88" s="180">
        <f t="array" ref="L88">INDIRECT(""&amp;$E88 &amp; "!AU5")</f>
        <v/>
      </c>
      <c r="M88" s="180">
        <f t="array" ref="M88">INDIRECT(""&amp;$E88 &amp; "!AV5")</f>
        <v/>
      </c>
      <c r="N88" s="180">
        <f t="array" ref="N88">INDIRECT(""&amp;$E88 &amp; "!AW5")</f>
        <v/>
      </c>
      <c r="O88" s="180">
        <f t="array" ref="O88">INDIRECT(""&amp;$E88 &amp; "!AX5")</f>
        <v/>
      </c>
      <c r="P88" s="184">
        <f t="array" ref="P88">INDIRECT(""&amp;$E88 &amp; "!AY5")</f>
        <v/>
      </c>
      <c r="Q88" s="124">
        <f t="array" ref="Q88">INDIRECT(""&amp;$E88 &amp; "!AZ5")</f>
        <v/>
      </c>
      <c r="R88" s="217">
        <f t="array" ref="R88">INDIRECT(""&amp;$E88 &amp; "!BA5")</f>
        <v/>
      </c>
      <c r="AH88" s="23" t="n"/>
      <c r="AI88" s="23" t="n"/>
      <c r="AJ88" s="23" t="n"/>
      <c r="AK88" s="23" t="n"/>
      <c r="AL88" s="23" t="n"/>
      <c r="AM88" s="23" t="n"/>
      <c r="AN88" s="23" t="n"/>
    </row>
    <row r="89">
      <c r="D89" s="222" t="n"/>
      <c r="E89" s="195" t="n"/>
      <c r="F89" s="85">
        <f t="array" ref="F89">INDIRECT(""&amp;$E88 &amp; "!AO7")</f>
        <v/>
      </c>
      <c r="G89" s="17">
        <f t="array" ref="G89">INDIRECT(""&amp;$E88 &amp; "!AP7")</f>
        <v/>
      </c>
      <c r="H89" s="178" t="n"/>
      <c r="I89" s="178" t="n"/>
      <c r="J89" s="178" t="n"/>
      <c r="K89" s="177">
        <f t="array" ref="K89">INDIRECT(""&amp;$E88 &amp; "!AT7")</f>
        <v/>
      </c>
      <c r="L89" s="178" t="n"/>
      <c r="M89" s="177">
        <f t="array" ref="M89">INDIRECT(""&amp;$E88 &amp; "!AV7")</f>
        <v/>
      </c>
      <c r="N89" s="178" t="n"/>
      <c r="O89" s="177">
        <f t="array" ref="O89">INDIRECT(""&amp;$E88 &amp; "!AX7")</f>
        <v/>
      </c>
      <c r="P89" s="185" t="n"/>
      <c r="Q89" s="125">
        <f t="array" ref="Q89">INDIRECT(""&amp;$E88 &amp; "!AZ7")</f>
        <v/>
      </c>
      <c r="R89" s="185" t="n"/>
      <c r="AH89" s="23" t="n"/>
      <c r="AI89" s="23" t="n"/>
      <c r="AJ89" s="23" t="n"/>
      <c r="AK89" s="23" t="n"/>
      <c r="AL89" s="23" t="n"/>
      <c r="AM89" s="23" t="n"/>
      <c r="AN89" s="23" t="n"/>
    </row>
    <row r="90" ht="17" customHeight="1" s="241" thickBot="1">
      <c r="D90" s="222" t="n"/>
      <c r="E90" s="211" t="n"/>
      <c r="F90" s="86">
        <f t="array" ref="F90">INDIRECT(""&amp;$E88 &amp; "!AO9")</f>
        <v/>
      </c>
      <c r="G90" s="17">
        <f t="array" ref="G90">INDIRECT(""&amp;$E88 &amp; "!AP9")</f>
        <v/>
      </c>
      <c r="H90" s="179" t="n"/>
      <c r="I90" s="179" t="n"/>
      <c r="J90" s="179" t="n"/>
      <c r="K90" s="177">
        <f t="array" ref="K90">INDIRECT(""&amp;$E88 &amp; "!AT9")</f>
        <v/>
      </c>
      <c r="L90" s="179" t="n"/>
      <c r="M90" s="177">
        <f t="array" ref="M90">INDIRECT(""&amp;$E88 &amp; "!AV9")</f>
        <v/>
      </c>
      <c r="N90" s="179" t="n"/>
      <c r="O90" s="177">
        <f t="array" ref="O90">INDIRECT(""&amp;$E88 &amp; "!Ax9")</f>
        <v/>
      </c>
      <c r="P90" s="186" t="n"/>
      <c r="Q90" s="125">
        <f t="array" ref="Q90">INDIRECT(""&amp;$E88 &amp; "!Az9")</f>
        <v/>
      </c>
      <c r="R90" s="186" t="n"/>
      <c r="AH90" s="23" t="n"/>
      <c r="AI90" s="23" t="n"/>
      <c r="AJ90" s="23" t="n"/>
      <c r="AK90" s="23" t="n"/>
      <c r="AL90" s="23" t="n"/>
      <c r="AM90" s="23" t="n"/>
      <c r="AN90" s="23" t="n"/>
    </row>
    <row r="91">
      <c r="D91" s="222" t="n"/>
      <c r="E91" s="210">
        <f>D8</f>
        <v/>
      </c>
      <c r="F91" s="84">
        <f t="array" ref="F91">INDIRECT(""&amp;$E91 &amp; "!AO5")</f>
        <v/>
      </c>
      <c r="G91" s="17">
        <f t="array" ref="G91">INDIRECT(""&amp;$E91 &amp; "!AP5")</f>
        <v/>
      </c>
      <c r="H91" s="177">
        <f t="array" ref="H91">INDIRECT(""&amp;$E91 &amp; "!AQ5")</f>
        <v/>
      </c>
      <c r="I91" s="177">
        <f t="array" ref="I91">INDIRECT(""&amp;$E91 &amp; "!AR5")</f>
        <v/>
      </c>
      <c r="J91" s="177">
        <f t="array" ref="J91">INDIRECT(""&amp;$E91 &amp; "!AS5")</f>
        <v/>
      </c>
      <c r="K91" s="177">
        <f t="array" ref="K91">INDIRECT(""&amp;$E91 &amp; "!AT5")</f>
        <v/>
      </c>
      <c r="L91" s="177">
        <f t="array" ref="L91">INDIRECT(""&amp;$E91 &amp; "!AU5")</f>
        <v/>
      </c>
      <c r="M91" s="177">
        <f t="array" ref="M91">INDIRECT(""&amp;$E91 &amp; "!AV5")</f>
        <v/>
      </c>
      <c r="N91" s="177">
        <f t="array" ref="N91">INDIRECT(""&amp;$E91 &amp; "!AW5")</f>
        <v/>
      </c>
      <c r="O91" s="177">
        <f t="array" ref="O91">INDIRECT(""&amp;$E91 &amp; "!AX5")</f>
        <v/>
      </c>
      <c r="P91" s="187">
        <f t="array" ref="P91">INDIRECT(""&amp;$E91 &amp; "!AY5")</f>
        <v/>
      </c>
      <c r="Q91" s="124">
        <f t="array" ref="Q91">INDIRECT(""&amp;$E91 &amp; "!AZ5")</f>
        <v/>
      </c>
      <c r="R91" s="217">
        <f t="array" ref="R91">INDIRECT(""&amp;$E91 &amp; "!BA5")</f>
        <v/>
      </c>
      <c r="AO91" s="24" t="n"/>
    </row>
    <row r="92">
      <c r="D92" s="222" t="n"/>
      <c r="E92" s="195" t="n"/>
      <c r="F92" s="85">
        <f t="array" ref="F92">INDIRECT(""&amp;$E91 &amp; "!AO7")</f>
        <v/>
      </c>
      <c r="G92" s="17">
        <f t="array" ref="G92">INDIRECT(""&amp;$E91 &amp; "!AP7")</f>
        <v/>
      </c>
      <c r="H92" s="178" t="n"/>
      <c r="I92" s="178" t="n"/>
      <c r="J92" s="178" t="n"/>
      <c r="K92" s="177">
        <f t="array" ref="K92">INDIRECT(""&amp;$E91 &amp; "!AT7")</f>
        <v/>
      </c>
      <c r="L92" s="178" t="n"/>
      <c r="M92" s="177">
        <f t="array" ref="M92">INDIRECT(""&amp;$E91 &amp; "!AV7")</f>
        <v/>
      </c>
      <c r="N92" s="178" t="n"/>
      <c r="O92" s="177">
        <f t="array" ref="O92">INDIRECT(""&amp;$E91 &amp; "!AX7")</f>
        <v/>
      </c>
      <c r="P92" s="185" t="n"/>
      <c r="Q92" s="125">
        <f t="array" ref="Q92">INDIRECT(""&amp;$E91 &amp; "!AZ7")</f>
        <v/>
      </c>
      <c r="R92" s="185" t="n"/>
    </row>
    <row r="93" ht="17" customHeight="1" s="241" thickBot="1">
      <c r="D93" s="222" t="n"/>
      <c r="E93" s="211" t="n"/>
      <c r="F93" s="86">
        <f t="array" ref="F93">INDIRECT(""&amp;$E91 &amp; "!AO9")</f>
        <v/>
      </c>
      <c r="G93" s="17">
        <f t="array" ref="G93">INDIRECT(""&amp;$E91 &amp; "!AP9")</f>
        <v/>
      </c>
      <c r="H93" s="179" t="n"/>
      <c r="I93" s="179" t="n"/>
      <c r="J93" s="179" t="n"/>
      <c r="K93" s="177">
        <f t="array" ref="K93">INDIRECT(""&amp;$E91 &amp; "!AT9")</f>
        <v/>
      </c>
      <c r="L93" s="179" t="n"/>
      <c r="M93" s="177">
        <f t="array" ref="M93">INDIRECT(""&amp;$E91 &amp; "!AV9")</f>
        <v/>
      </c>
      <c r="N93" s="179" t="n"/>
      <c r="O93" s="177">
        <f t="array" ref="O93">INDIRECT(""&amp;$E91 &amp; "!Ax9")</f>
        <v/>
      </c>
      <c r="P93" s="186" t="n"/>
      <c r="Q93" s="125">
        <f t="array" ref="Q93">INDIRECT(""&amp;$E91 &amp; "!Az9")</f>
        <v/>
      </c>
      <c r="R93" s="186" t="n"/>
    </row>
    <row r="94">
      <c r="D94" s="222" t="n"/>
      <c r="E94" s="210">
        <f>D11</f>
        <v/>
      </c>
      <c r="F94" s="84">
        <f t="array" ref="F94">INDIRECT(""&amp;$E94 &amp; "!AO5")</f>
        <v/>
      </c>
      <c r="G94" s="17">
        <f t="array" ref="G94">INDIRECT(""&amp;$E94 &amp; "!AP5")</f>
        <v/>
      </c>
      <c r="H94" s="177">
        <f t="array" ref="H94">INDIRECT(""&amp;$E94 &amp; "!AQ5")</f>
        <v/>
      </c>
      <c r="I94" s="177">
        <f t="array" ref="I94">INDIRECT(""&amp;$E94 &amp; "!AR5")</f>
        <v/>
      </c>
      <c r="J94" s="177">
        <f t="array" ref="J94">INDIRECT(""&amp;$E94 &amp; "!AS5")</f>
        <v/>
      </c>
      <c r="K94" s="177">
        <f t="array" ref="K94">INDIRECT(""&amp;$E94 &amp; "!AT5")</f>
        <v/>
      </c>
      <c r="L94" s="177">
        <f t="array" ref="L94">INDIRECT(""&amp;$E94 &amp; "!AU5")</f>
        <v/>
      </c>
      <c r="M94" s="177">
        <f t="array" ref="M94">INDIRECT(""&amp;$E94 &amp; "!AV5")</f>
        <v/>
      </c>
      <c r="N94" s="177">
        <f t="array" ref="N94">INDIRECT(""&amp;$E94 &amp; "!AW5")</f>
        <v/>
      </c>
      <c r="O94" s="177">
        <f t="array" ref="O94">INDIRECT(""&amp;$E94 &amp; "!AX5")</f>
        <v/>
      </c>
      <c r="P94" s="187">
        <f t="array" ref="P94">INDIRECT(""&amp;$E94 &amp; "!AY5")</f>
        <v/>
      </c>
      <c r="Q94" s="124">
        <f t="array" ref="Q94">INDIRECT(""&amp;$E94 &amp; "!AZ5")</f>
        <v/>
      </c>
      <c r="R94" s="217">
        <f t="array" ref="R94">INDIRECT(""&amp;$E94 &amp; "!BA5")</f>
        <v/>
      </c>
    </row>
    <row r="95">
      <c r="D95" s="222" t="n"/>
      <c r="E95" s="195" t="n"/>
      <c r="F95" s="85">
        <f t="array" ref="F95">INDIRECT(""&amp;$E94 &amp; "!AO7")</f>
        <v/>
      </c>
      <c r="G95" s="17">
        <f t="array" ref="G95">INDIRECT(""&amp;$E94 &amp; "!AP7")</f>
        <v/>
      </c>
      <c r="H95" s="178" t="n"/>
      <c r="I95" s="178" t="n"/>
      <c r="J95" s="178" t="n"/>
      <c r="K95" s="177">
        <f t="array" ref="K95">INDIRECT(""&amp;$E94 &amp; "!AT7")</f>
        <v/>
      </c>
      <c r="L95" s="178" t="n"/>
      <c r="M95" s="177">
        <f t="array" ref="M95">INDIRECT(""&amp;$E94 &amp; "!AV7")</f>
        <v/>
      </c>
      <c r="N95" s="178" t="n"/>
      <c r="O95" s="177">
        <f t="array" ref="O95">INDIRECT(""&amp;$E94 &amp; "!AX7")</f>
        <v/>
      </c>
      <c r="P95" s="185" t="n"/>
      <c r="Q95" s="125">
        <f t="array" ref="Q95">INDIRECT(""&amp;$E94 &amp; "!AZ7")</f>
        <v/>
      </c>
      <c r="R95" s="185" t="n"/>
    </row>
    <row r="96" ht="17" customHeight="1" s="241" thickBot="1">
      <c r="D96" s="222" t="n"/>
      <c r="E96" s="211" t="n"/>
      <c r="F96" s="86">
        <f t="array" ref="F96">INDIRECT(""&amp;$E94 &amp; "!AO9")</f>
        <v/>
      </c>
      <c r="G96" s="17">
        <f t="array" ref="G96">INDIRECT(""&amp;$E94 &amp; "!AP9")</f>
        <v/>
      </c>
      <c r="H96" s="179" t="n"/>
      <c r="I96" s="179" t="n"/>
      <c r="J96" s="179" t="n"/>
      <c r="K96" s="177">
        <f t="array" ref="K96">INDIRECT(""&amp;$E94 &amp; "!AT9")</f>
        <v/>
      </c>
      <c r="L96" s="179" t="n"/>
      <c r="M96" s="177">
        <f t="array" ref="M96">INDIRECT(""&amp;$E94 &amp; "!AV9")</f>
        <v/>
      </c>
      <c r="N96" s="179" t="n"/>
      <c r="O96" s="177">
        <f t="array" ref="O96">INDIRECT(""&amp;$E94 &amp; "!Ax9")</f>
        <v/>
      </c>
      <c r="P96" s="186" t="n"/>
      <c r="Q96" s="125">
        <f t="array" ref="Q96">INDIRECT(""&amp;$E94 &amp; "!Az9")</f>
        <v/>
      </c>
      <c r="R96" s="186" t="n"/>
    </row>
    <row r="97">
      <c r="D97" s="222" t="n"/>
      <c r="E97" s="210">
        <f>D14</f>
        <v/>
      </c>
      <c r="F97" s="84">
        <f t="array" ref="F97">INDIRECT(""&amp;$E97 &amp; "!AO5")</f>
        <v/>
      </c>
      <c r="G97" s="17">
        <f t="array" ref="G97">INDIRECT(""&amp;$E97 &amp; "!AP5")</f>
        <v/>
      </c>
      <c r="H97" s="177">
        <f t="array" ref="H97">INDIRECT(""&amp;$E97 &amp; "!AQ5")</f>
        <v/>
      </c>
      <c r="I97" s="177">
        <f t="array" ref="I97">INDIRECT(""&amp;$E97 &amp; "!AR5")</f>
        <v/>
      </c>
      <c r="J97" s="177">
        <f t="array" ref="J97">INDIRECT(""&amp;$E97 &amp; "!AS5")</f>
        <v/>
      </c>
      <c r="K97" s="177">
        <f t="array" ref="K97">INDIRECT(""&amp;$E97 &amp; "!AT5")</f>
        <v/>
      </c>
      <c r="L97" s="177">
        <f t="array" ref="L97">INDIRECT(""&amp;$E97 &amp; "!AU5")</f>
        <v/>
      </c>
      <c r="M97" s="177">
        <f t="array" ref="M97">INDIRECT(""&amp;$E97 &amp; "!AV5")</f>
        <v/>
      </c>
      <c r="N97" s="177">
        <f t="array" ref="N97">INDIRECT(""&amp;$E97 &amp; "!AW5")</f>
        <v/>
      </c>
      <c r="O97" s="177">
        <f t="array" ref="O97">INDIRECT(""&amp;$E97 &amp; "!AX5")</f>
        <v/>
      </c>
      <c r="P97" s="187">
        <f t="array" ref="P97">INDIRECT(""&amp;$E97 &amp; "!AY5")</f>
        <v/>
      </c>
      <c r="Q97" s="124">
        <f t="array" ref="Q97">INDIRECT(""&amp;$E97 &amp; "!AZ5")</f>
        <v/>
      </c>
      <c r="R97" s="217">
        <f t="array" ref="R97">INDIRECT(""&amp;$E97 &amp; "!BA5")</f>
        <v/>
      </c>
    </row>
    <row r="98">
      <c r="D98" s="222" t="n"/>
      <c r="E98" s="195" t="n"/>
      <c r="F98" s="85">
        <f t="array" ref="F98">INDIRECT(""&amp;$E97 &amp; "!AO7")</f>
        <v/>
      </c>
      <c r="G98" s="17">
        <f t="array" ref="G98">INDIRECT(""&amp;$E97 &amp; "!AP7")</f>
        <v/>
      </c>
      <c r="H98" s="178" t="n"/>
      <c r="I98" s="178" t="n"/>
      <c r="J98" s="178" t="n"/>
      <c r="K98" s="177">
        <f t="array" ref="K98">INDIRECT(""&amp;$E97 &amp; "!AT7")</f>
        <v/>
      </c>
      <c r="L98" s="178" t="n"/>
      <c r="M98" s="177">
        <f t="array" ref="M98">INDIRECT(""&amp;$E97 &amp; "!AV7")</f>
        <v/>
      </c>
      <c r="N98" s="178" t="n"/>
      <c r="O98" s="177">
        <f t="array" ref="O98">INDIRECT(""&amp;$E97 &amp; "!AX7")</f>
        <v/>
      </c>
      <c r="P98" s="185" t="n"/>
      <c r="Q98" s="125">
        <f t="array" ref="Q98">INDIRECT(""&amp;$E97 &amp; "!AZ7")</f>
        <v/>
      </c>
      <c r="R98" s="185" t="n"/>
    </row>
    <row r="99" ht="17" customHeight="1" s="241" thickBot="1">
      <c r="D99" s="222" t="n"/>
      <c r="E99" s="211" t="n"/>
      <c r="F99" s="86">
        <f t="array" ref="F99">INDIRECT(""&amp;$E97 &amp; "!AO9")</f>
        <v/>
      </c>
      <c r="G99" s="17">
        <f t="array" ref="G99">INDIRECT(""&amp;$E97 &amp; "!AP9")</f>
        <v/>
      </c>
      <c r="H99" s="179" t="n"/>
      <c r="I99" s="179" t="n"/>
      <c r="J99" s="179" t="n"/>
      <c r="K99" s="177">
        <f t="array" ref="K99">INDIRECT(""&amp;$E97 &amp; "!AT9")</f>
        <v/>
      </c>
      <c r="L99" s="179" t="n"/>
      <c r="M99" s="177">
        <f t="array" ref="M99">INDIRECT(""&amp;$E97 &amp; "!AV9")</f>
        <v/>
      </c>
      <c r="N99" s="179" t="n"/>
      <c r="O99" s="177">
        <f t="array" ref="O99">INDIRECT(""&amp;$E97 &amp; "!Ax9")</f>
        <v/>
      </c>
      <c r="P99" s="186" t="n"/>
      <c r="Q99" s="125">
        <f t="array" ref="Q99">INDIRECT(""&amp;$E97 &amp; "!Az9")</f>
        <v/>
      </c>
      <c r="R99" s="186" t="n"/>
    </row>
    <row r="100">
      <c r="D100" s="222" t="n"/>
      <c r="E100" s="210">
        <f>D17</f>
        <v/>
      </c>
      <c r="F100" s="84">
        <f t="array" ref="F100">INDIRECT(""&amp;$E100 &amp; "!AO5")</f>
        <v/>
      </c>
      <c r="G100" s="17">
        <f t="array" ref="G100">INDIRECT(""&amp;$E100 &amp; "!AP5")</f>
        <v/>
      </c>
      <c r="H100" s="177">
        <f t="array" ref="H100">INDIRECT(""&amp;$E100 &amp; "!AQ5")</f>
        <v/>
      </c>
      <c r="I100" s="177">
        <f t="array" ref="I100">INDIRECT(""&amp;$E100 &amp; "!AR5")</f>
        <v/>
      </c>
      <c r="J100" s="177">
        <f t="array" ref="J100">INDIRECT(""&amp;$E100 &amp; "!AS5")</f>
        <v/>
      </c>
      <c r="K100" s="177">
        <f t="array" ref="K100">INDIRECT(""&amp;$E100 &amp; "!AT5")</f>
        <v/>
      </c>
      <c r="L100" s="177">
        <f t="array" ref="L100">INDIRECT(""&amp;$E100 &amp; "!AU5")</f>
        <v/>
      </c>
      <c r="M100" s="177">
        <f t="array" ref="M100">INDIRECT(""&amp;$E100 &amp; "!AV5")</f>
        <v/>
      </c>
      <c r="N100" s="177">
        <f t="array" ref="N100">INDIRECT(""&amp;$E100 &amp; "!AW5")</f>
        <v/>
      </c>
      <c r="O100" s="177">
        <f t="array" ref="O100">INDIRECT(""&amp;$E100 &amp; "!AX5")</f>
        <v/>
      </c>
      <c r="P100" s="187">
        <f t="array" ref="P100">INDIRECT(""&amp;$E100 &amp; "!AY5")</f>
        <v/>
      </c>
      <c r="Q100" s="124">
        <f t="array" ref="Q100">INDIRECT(""&amp;$E100 &amp; "!AZ5")</f>
        <v/>
      </c>
      <c r="R100" s="217">
        <f t="array" ref="R100">INDIRECT(""&amp;$E100 &amp; "!BA5")</f>
        <v/>
      </c>
    </row>
    <row r="101">
      <c r="D101" s="222" t="n"/>
      <c r="E101" s="195" t="n"/>
      <c r="F101" s="85">
        <f t="array" ref="F101">INDIRECT(""&amp;$E100 &amp; "!AO7")</f>
        <v/>
      </c>
      <c r="G101" s="17">
        <f t="array" ref="G101">INDIRECT(""&amp;$E100 &amp; "!AP7")</f>
        <v/>
      </c>
      <c r="H101" s="178" t="n"/>
      <c r="I101" s="178" t="n"/>
      <c r="J101" s="178" t="n"/>
      <c r="K101" s="177">
        <f t="array" ref="K101">INDIRECT(""&amp;$E100 &amp; "!AT7")</f>
        <v/>
      </c>
      <c r="L101" s="178" t="n"/>
      <c r="M101" s="177">
        <f t="array" ref="M101">INDIRECT(""&amp;$E100 &amp; "!AV7")</f>
        <v/>
      </c>
      <c r="N101" s="178" t="n"/>
      <c r="O101" s="177">
        <f t="array" ref="O101">INDIRECT(""&amp;$E100 &amp; "!AX7")</f>
        <v/>
      </c>
      <c r="P101" s="185" t="n"/>
      <c r="Q101" s="125">
        <f t="array" ref="Q101">INDIRECT(""&amp;$E100 &amp; "!AZ7")</f>
        <v/>
      </c>
      <c r="R101" s="185" t="n"/>
    </row>
    <row r="102" ht="17" customHeight="1" s="241" thickBot="1">
      <c r="D102" s="222" t="n"/>
      <c r="E102" s="211" t="n"/>
      <c r="F102" s="86">
        <f t="array" ref="F102">INDIRECT(""&amp;$E100 &amp; "!AO9")</f>
        <v/>
      </c>
      <c r="G102" s="17">
        <f t="array" ref="G102">INDIRECT(""&amp;$E100 &amp; "!AP9")</f>
        <v/>
      </c>
      <c r="H102" s="179" t="n"/>
      <c r="I102" s="179" t="n"/>
      <c r="J102" s="179" t="n"/>
      <c r="K102" s="177">
        <f t="array" ref="K102">INDIRECT(""&amp;$E100 &amp; "!AT9")</f>
        <v/>
      </c>
      <c r="L102" s="179" t="n"/>
      <c r="M102" s="177">
        <f t="array" ref="M102">INDIRECT(""&amp;$E100 &amp; "!AV9")</f>
        <v/>
      </c>
      <c r="N102" s="179" t="n"/>
      <c r="O102" s="177">
        <f t="array" ref="O102">INDIRECT(""&amp;$E100 &amp; "!Ax9")</f>
        <v/>
      </c>
      <c r="P102" s="186" t="n"/>
      <c r="Q102" s="125">
        <f t="array" ref="Q102">INDIRECT(""&amp;$E100 &amp; "!Az9")</f>
        <v/>
      </c>
      <c r="R102" s="186" t="n"/>
    </row>
    <row r="103">
      <c r="D103" s="222" t="n"/>
      <c r="E103" s="210">
        <f>D20</f>
        <v/>
      </c>
      <c r="F103" s="84">
        <f t="array" ref="F103">INDIRECT(""&amp;$E103 &amp; "!AO5")</f>
        <v/>
      </c>
      <c r="G103" s="17">
        <f t="array" ref="G103">INDIRECT(""&amp;$E103 &amp; "!AP5")</f>
        <v/>
      </c>
      <c r="H103" s="177">
        <f t="array" ref="H103">INDIRECT(""&amp;$E103 &amp; "!AQ5")</f>
        <v/>
      </c>
      <c r="I103" s="177">
        <f t="array" ref="I103">INDIRECT(""&amp;$E103 &amp; "!AR5")</f>
        <v/>
      </c>
      <c r="J103" s="177">
        <f t="array" ref="J103">INDIRECT(""&amp;$E103 &amp; "!AS5")</f>
        <v/>
      </c>
      <c r="K103" s="177">
        <f t="array" ref="K103">INDIRECT(""&amp;$E103 &amp; "!AT5")</f>
        <v/>
      </c>
      <c r="L103" s="177">
        <f t="array" ref="L103">INDIRECT(""&amp;$E103 &amp; "!AU5")</f>
        <v/>
      </c>
      <c r="M103" s="177">
        <f t="array" ref="M103">INDIRECT(""&amp;$E103 &amp; "!AV5")</f>
        <v/>
      </c>
      <c r="N103" s="177">
        <f t="array" ref="N103">INDIRECT(""&amp;$E103 &amp; "!AW5")</f>
        <v/>
      </c>
      <c r="O103" s="177">
        <f t="array" ref="O103">INDIRECT(""&amp;$E103 &amp; "!AX5")</f>
        <v/>
      </c>
      <c r="P103" s="187">
        <f t="array" ref="P103">INDIRECT(""&amp;$E103 &amp; "!AY5")</f>
        <v/>
      </c>
      <c r="Q103" s="124">
        <f t="array" ref="Q103">INDIRECT(""&amp;$E103 &amp; "!AZ5")</f>
        <v/>
      </c>
      <c r="R103" s="217">
        <f t="array" ref="R103">INDIRECT(""&amp;$E103 &amp; "!BA5")</f>
        <v/>
      </c>
    </row>
    <row r="104">
      <c r="D104" s="222" t="n"/>
      <c r="E104" s="195" t="n"/>
      <c r="F104" s="85">
        <f t="array" ref="F104">INDIRECT(""&amp;$E103 &amp; "!AO7")</f>
        <v/>
      </c>
      <c r="G104" s="17">
        <f t="array" ref="G104">INDIRECT(""&amp;$E103 &amp; "!AP7")</f>
        <v/>
      </c>
      <c r="H104" s="178" t="n"/>
      <c r="I104" s="178" t="n"/>
      <c r="J104" s="178" t="n"/>
      <c r="K104" s="177">
        <f t="array" ref="K104">INDIRECT(""&amp;$E103 &amp; "!AT7")</f>
        <v/>
      </c>
      <c r="L104" s="178" t="n"/>
      <c r="M104" s="177">
        <f t="array" ref="M104">INDIRECT(""&amp;$E103 &amp; "!AV7")</f>
        <v/>
      </c>
      <c r="N104" s="178" t="n"/>
      <c r="O104" s="177">
        <f t="array" ref="O104">INDIRECT(""&amp;$E103 &amp; "!AX7")</f>
        <v/>
      </c>
      <c r="P104" s="185" t="n"/>
      <c r="Q104" s="125">
        <f t="array" ref="Q104">INDIRECT(""&amp;$E103 &amp; "!AZ7")</f>
        <v/>
      </c>
      <c r="R104" s="185" t="n"/>
    </row>
    <row r="105" ht="17" customHeight="1" s="241" thickBot="1">
      <c r="D105" s="222" t="n"/>
      <c r="E105" s="211" t="n"/>
      <c r="F105" s="86">
        <f t="array" ref="F105">INDIRECT(""&amp;$E103 &amp; "!AO9")</f>
        <v/>
      </c>
      <c r="G105" s="17">
        <f t="array" ref="G105">INDIRECT(""&amp;$E103 &amp; "!AP9")</f>
        <v/>
      </c>
      <c r="H105" s="179" t="n"/>
      <c r="I105" s="179" t="n"/>
      <c r="J105" s="179" t="n"/>
      <c r="K105" s="177">
        <f t="array" ref="K105">INDIRECT(""&amp;$E103 &amp; "!AT9")</f>
        <v/>
      </c>
      <c r="L105" s="179" t="n"/>
      <c r="M105" s="177">
        <f t="array" ref="M105">INDIRECT(""&amp;$E103 &amp; "!AV9")</f>
        <v/>
      </c>
      <c r="N105" s="179" t="n"/>
      <c r="O105" s="177">
        <f t="array" ref="O105">INDIRECT(""&amp;$E103 &amp; "!Ax9")</f>
        <v/>
      </c>
      <c r="P105" s="186" t="n"/>
      <c r="Q105" s="125">
        <f t="array" ref="Q105">INDIRECT(""&amp;$E103 &amp; "!Az9")</f>
        <v/>
      </c>
      <c r="R105" s="186" t="n"/>
    </row>
    <row r="106">
      <c r="D106" s="222" t="n"/>
      <c r="E106" s="210">
        <f>D23</f>
        <v/>
      </c>
      <c r="F106" s="84">
        <f t="array" ref="F106">INDIRECT(""&amp;$E106 &amp; "!AO5")</f>
        <v/>
      </c>
      <c r="G106" s="17">
        <f t="array" ref="G106">INDIRECT(""&amp;$E106 &amp; "!AP5")</f>
        <v/>
      </c>
      <c r="H106" s="177">
        <f t="array" ref="H106">INDIRECT(""&amp;$E106 &amp; "!AQ5")</f>
        <v/>
      </c>
      <c r="I106" s="177">
        <f t="array" ref="I106">INDIRECT(""&amp;$E106 &amp; "!AR5")</f>
        <v/>
      </c>
      <c r="J106" s="177">
        <f t="array" ref="J106">INDIRECT(""&amp;$E106 &amp; "!AS5")</f>
        <v/>
      </c>
      <c r="K106" s="177">
        <f t="array" ref="K106">INDIRECT(""&amp;$E106 &amp; "!AT5")</f>
        <v/>
      </c>
      <c r="L106" s="177">
        <f t="array" ref="L106">INDIRECT(""&amp;$E106 &amp; "!AU5")</f>
        <v/>
      </c>
      <c r="M106" s="177">
        <f t="array" ref="M106">INDIRECT(""&amp;$E106 &amp; "!AV5")</f>
        <v/>
      </c>
      <c r="N106" s="177">
        <f t="array" ref="N106">INDIRECT(""&amp;$E106 &amp; "!AW5")</f>
        <v/>
      </c>
      <c r="O106" s="177">
        <f t="array" ref="O106">INDIRECT(""&amp;$E106 &amp; "!AX5")</f>
        <v/>
      </c>
      <c r="P106" s="187">
        <f t="array" ref="P106">INDIRECT(""&amp;$E106 &amp; "!AY5")</f>
        <v/>
      </c>
      <c r="Q106" s="124">
        <f t="array" ref="Q106">INDIRECT(""&amp;$E106 &amp; "!AZ5")</f>
        <v/>
      </c>
      <c r="R106" s="217">
        <f t="array" ref="R106">INDIRECT(""&amp;$E106 &amp; "!BA5")</f>
        <v/>
      </c>
    </row>
    <row r="107">
      <c r="D107" s="222" t="n"/>
      <c r="E107" s="195" t="n"/>
      <c r="F107" s="85">
        <f t="array" ref="F107">INDIRECT(""&amp;$E106 &amp; "!AO7")</f>
        <v/>
      </c>
      <c r="G107" s="17">
        <f t="array" ref="G107">INDIRECT(""&amp;$E106 &amp; "!AP7")</f>
        <v/>
      </c>
      <c r="H107" s="178" t="n"/>
      <c r="I107" s="178" t="n"/>
      <c r="J107" s="178" t="n"/>
      <c r="K107" s="177">
        <f t="array" ref="K107">INDIRECT(""&amp;$E106 &amp; "!AT7")</f>
        <v/>
      </c>
      <c r="L107" s="178" t="n"/>
      <c r="M107" s="177">
        <f t="array" ref="M107">INDIRECT(""&amp;$E106 &amp; "!AV7")</f>
        <v/>
      </c>
      <c r="N107" s="178" t="n"/>
      <c r="O107" s="177">
        <f t="array" ref="O107">INDIRECT(""&amp;$E106 &amp; "!AX7")</f>
        <v/>
      </c>
      <c r="P107" s="185" t="n"/>
      <c r="Q107" s="125">
        <f t="array" ref="Q107">INDIRECT(""&amp;$E106 &amp; "!AZ7")</f>
        <v/>
      </c>
      <c r="R107" s="185" t="n"/>
    </row>
    <row r="108" ht="17" customHeight="1" s="241" thickBot="1">
      <c r="D108" s="222" t="n"/>
      <c r="E108" s="211" t="n"/>
      <c r="F108" s="86">
        <f t="array" ref="F108">INDIRECT(""&amp;$E106 &amp; "!AO9")</f>
        <v/>
      </c>
      <c r="G108" s="17">
        <f t="array" ref="G108">INDIRECT(""&amp;$E106 &amp; "!AP9")</f>
        <v/>
      </c>
      <c r="H108" s="179" t="n"/>
      <c r="I108" s="179" t="n"/>
      <c r="J108" s="179" t="n"/>
      <c r="K108" s="177">
        <f t="array" ref="K108">INDIRECT(""&amp;$E106 &amp; "!AT9")</f>
        <v/>
      </c>
      <c r="L108" s="179" t="n"/>
      <c r="M108" s="177">
        <f t="array" ref="M108">INDIRECT(""&amp;$E106 &amp; "!AV9")</f>
        <v/>
      </c>
      <c r="N108" s="179" t="n"/>
      <c r="O108" s="177">
        <f t="array" ref="O108">INDIRECT(""&amp;$E106 &amp; "!Ax9")</f>
        <v/>
      </c>
      <c r="P108" s="186" t="n"/>
      <c r="Q108" s="125">
        <f t="array" ref="Q108">INDIRECT(""&amp;$E106 &amp; "!Az9")</f>
        <v/>
      </c>
      <c r="R108" s="186" t="n"/>
    </row>
    <row r="109">
      <c r="D109" s="222" t="n"/>
      <c r="E109" s="216">
        <f>D26</f>
        <v/>
      </c>
      <c r="F109" s="84">
        <f t="array" ref="F109">INDIRECT(""&amp;$E109 &amp; "!AO5")</f>
        <v/>
      </c>
      <c r="G109" s="17">
        <f t="array" ref="G109">INDIRECT(""&amp;$E109 &amp; "!AP5")</f>
        <v/>
      </c>
      <c r="H109" s="177">
        <f t="array" ref="H109">INDIRECT(""&amp;$E109 &amp; "!AQ5")</f>
        <v/>
      </c>
      <c r="I109" s="177">
        <f t="array" ref="I109">INDIRECT(""&amp;$E109 &amp; "!AR5")</f>
        <v/>
      </c>
      <c r="J109" s="177">
        <f t="array" ref="J109">INDIRECT(""&amp;$E109 &amp; "!AS5")</f>
        <v/>
      </c>
      <c r="K109" s="177">
        <f t="array" ref="K109">INDIRECT(""&amp;$E109 &amp; "!AT5")</f>
        <v/>
      </c>
      <c r="L109" s="177">
        <f t="array" ref="L109">INDIRECT(""&amp;$E109 &amp; "!AU5")</f>
        <v/>
      </c>
      <c r="M109" s="177">
        <f t="array" ref="M109">INDIRECT(""&amp;$E109 &amp; "!AV5")</f>
        <v/>
      </c>
      <c r="N109" s="177">
        <f t="array" ref="N109">INDIRECT(""&amp;$E109 &amp; "!AW5")</f>
        <v/>
      </c>
      <c r="O109" s="177">
        <f t="array" ref="O109">INDIRECT(""&amp;$E109 &amp; "!AX5")</f>
        <v/>
      </c>
      <c r="P109" s="187">
        <f t="array" ref="P109">INDIRECT(""&amp;$E109 &amp; "!AY5")</f>
        <v/>
      </c>
      <c r="Q109" s="124">
        <f t="array" ref="Q109">INDIRECT(""&amp;$E109 &amp; "!AZ5")</f>
        <v/>
      </c>
      <c r="R109" s="217">
        <f t="array" ref="R109">INDIRECT(""&amp;$E109 &amp; "!BA5")</f>
        <v/>
      </c>
    </row>
    <row r="110">
      <c r="D110" s="222" t="n"/>
      <c r="E110" s="195" t="n"/>
      <c r="F110" s="85">
        <f t="array" ref="F110">INDIRECT(""&amp;$E109 &amp; "!AO7")</f>
        <v/>
      </c>
      <c r="G110" s="17">
        <f t="array" ref="G110">INDIRECT(""&amp;$E109 &amp; "!AP7")</f>
        <v/>
      </c>
      <c r="H110" s="178" t="n"/>
      <c r="I110" s="178" t="n"/>
      <c r="J110" s="178" t="n"/>
      <c r="K110" s="177">
        <f t="array" ref="K110">INDIRECT(""&amp;$E109 &amp; "!AT7")</f>
        <v/>
      </c>
      <c r="L110" s="178" t="n"/>
      <c r="M110" s="177">
        <f t="array" ref="M110">INDIRECT(""&amp;$E109 &amp; "!AV7")</f>
        <v/>
      </c>
      <c r="N110" s="178" t="n"/>
      <c r="O110" s="177">
        <f t="array" ref="O110">INDIRECT(""&amp;$E109 &amp; "!AX7")</f>
        <v/>
      </c>
      <c r="P110" s="185" t="n"/>
      <c r="Q110" s="125">
        <f t="array" ref="Q110">INDIRECT(""&amp;$E109 &amp; "!AZ7")</f>
        <v/>
      </c>
      <c r="R110" s="185" t="n"/>
    </row>
    <row r="111" ht="17" customHeight="1" s="241" thickBot="1">
      <c r="D111" s="222" t="n"/>
      <c r="E111" s="195" t="n"/>
      <c r="F111" s="105">
        <f t="array" ref="F111">INDIRECT(""&amp;$E109 &amp; "!AO9")</f>
        <v/>
      </c>
      <c r="G111" s="49">
        <f t="array" ref="G111">INDIRECT(""&amp;$E109 &amp; "!AP9")</f>
        <v/>
      </c>
      <c r="H111" s="179" t="n"/>
      <c r="I111" s="179" t="n"/>
      <c r="J111" s="179" t="n"/>
      <c r="K111" s="101">
        <f t="array" ref="K111">INDIRECT(""&amp;$E109 &amp; "!AT9")</f>
        <v/>
      </c>
      <c r="L111" s="179" t="n"/>
      <c r="M111" s="101">
        <f t="array" ref="M111">INDIRECT(""&amp;$E109 &amp; "!AV9")</f>
        <v/>
      </c>
      <c r="N111" s="179" t="n"/>
      <c r="O111" s="101">
        <f t="array" ref="O111">INDIRECT(""&amp;$E109 &amp; "!Ax9")</f>
        <v/>
      </c>
      <c r="P111" s="186" t="n"/>
      <c r="Q111" s="125">
        <f t="array" ref="Q111">INDIRECT(""&amp;$E109 &amp; "!Az9")</f>
        <v/>
      </c>
      <c r="R111" s="186" t="n"/>
    </row>
    <row r="112">
      <c r="D112" s="222" t="n"/>
      <c r="E112" s="210" t="inlineStr">
        <is>
          <t>averages</t>
        </is>
      </c>
      <c r="F112" s="84" t="inlineStr">
        <is>
          <t>High</t>
        </is>
      </c>
      <c r="G112" s="44">
        <f>AVERAGE(G88,G91,G94,G97,G100,G103,G106,G109)</f>
        <v/>
      </c>
      <c r="H112" s="180">
        <f>AVERAGE(H88:H111)</f>
        <v/>
      </c>
      <c r="I112" s="180">
        <f>AVERAGE(I88:I111)</f>
        <v/>
      </c>
      <c r="J112" s="180">
        <f>AVERAGE(J88:J111)</f>
        <v/>
      </c>
      <c r="K112" s="180">
        <f>AVERAGE(K88,K91,K94,K97,K100,K103,K106,K109)</f>
        <v/>
      </c>
      <c r="L112" s="180">
        <f>AVERAGE(L88:L111)</f>
        <v/>
      </c>
      <c r="M112" s="180">
        <f>AVERAGE(M88,M91,M94,M97,M100,M103,M106,M109)</f>
        <v/>
      </c>
      <c r="N112" s="180">
        <f>AVERAGE(N88:N111)</f>
        <v/>
      </c>
      <c r="O112" s="180">
        <f>AVERAGE(O88,O91,O94,O97,O100,O103,O106,O109)</f>
        <v/>
      </c>
      <c r="P112" s="184">
        <f>AVERAGE(P88:P111)</f>
        <v/>
      </c>
      <c r="Q112" s="247">
        <f>SUM(Q88,Q91,Q94,Q97,Q100,Q103,Q106,Q109)</f>
        <v/>
      </c>
      <c r="R112" s="198">
        <f>SUM(R88:R111)</f>
        <v/>
      </c>
    </row>
    <row r="113">
      <c r="D113" s="222" t="n"/>
      <c r="E113" s="195" t="n"/>
      <c r="F113" s="85" t="inlineStr">
        <is>
          <t>Med</t>
        </is>
      </c>
      <c r="G113" s="17">
        <f>AVERAGE(G89,G92,G95,G98,G101,G104,G107,G110)</f>
        <v/>
      </c>
      <c r="H113" s="178" t="n"/>
      <c r="I113" s="178" t="n"/>
      <c r="J113" s="178" t="n"/>
      <c r="K113" s="177">
        <f>AVERAGE(K89,K92,K95,K98,K101,K104,K107,K110)</f>
        <v/>
      </c>
      <c r="L113" s="178" t="n"/>
      <c r="M113" s="177">
        <f>AVERAGE(M89,M92,M95,M98,M101,M104,M107,M110)</f>
        <v/>
      </c>
      <c r="N113" s="178" t="n"/>
      <c r="O113" s="177">
        <f>AVERAGE(O89,O92,O95,O98,O101,O104,O107,O110)</f>
        <v/>
      </c>
      <c r="P113" s="185" t="n"/>
      <c r="Q113" s="246">
        <f>SUM(Q89,Q92,Q95,Q98,Q101,Q104,Q107,Q110)</f>
        <v/>
      </c>
      <c r="R113" s="185" t="n"/>
    </row>
    <row r="114" ht="17" customHeight="1" s="241" thickBot="1">
      <c r="D114" s="223" t="n"/>
      <c r="E114" s="211" t="n"/>
      <c r="F114" s="86" t="inlineStr">
        <is>
          <t>Low</t>
        </is>
      </c>
      <c r="G114" s="47">
        <f>AVERAGE(G90,G93,G96,G99,G102,G105,G108,G111)</f>
        <v/>
      </c>
      <c r="H114" s="179" t="n"/>
      <c r="I114" s="179" t="n"/>
      <c r="J114" s="179" t="n"/>
      <c r="K114" s="57">
        <f>AVERAGE(K90,K93,K96,K99,K102,K105,K108,K111)</f>
        <v/>
      </c>
      <c r="L114" s="179" t="n"/>
      <c r="M114" s="57">
        <f>AVERAGE(M90,M93,M96,M99,M102,M105,M108,M111)</f>
        <v/>
      </c>
      <c r="N114" s="179" t="n"/>
      <c r="O114" s="57">
        <f>AVERAGE(O90,O93,O96,O99,O102,O105,O108,O111)</f>
        <v/>
      </c>
      <c r="P114" s="186" t="n"/>
      <c r="Q114" s="122">
        <f>SUM(Q90,Q93,Q96,Q99,Q102,Q105,Q108,Q111)</f>
        <v/>
      </c>
      <c r="R114" s="186" t="n"/>
    </row>
    <row r="115" ht="17" customHeight="1" s="241" thickBot="1">
      <c r="D115" s="88" t="n"/>
      <c r="E115" s="89" t="n"/>
      <c r="F115" s="112" t="n"/>
      <c r="G115" s="102" t="n"/>
      <c r="H115" s="83" t="n"/>
      <c r="I115" s="83" t="n"/>
      <c r="J115" s="83" t="n"/>
      <c r="K115" s="100" t="n"/>
      <c r="L115" s="83" t="n"/>
      <c r="M115" s="100" t="n"/>
      <c r="N115" s="83" t="n"/>
      <c r="O115" s="100" t="n"/>
      <c r="P115" s="113" t="n"/>
    </row>
    <row r="116">
      <c r="D116" s="221">
        <f>BoxingPractice!A11</f>
        <v/>
      </c>
      <c r="E116" s="210">
        <f>E88</f>
        <v/>
      </c>
      <c r="F116" s="84">
        <f t="array" ref="F116">INDIRECT(""&amp;$E116 &amp; "!AO11")</f>
        <v/>
      </c>
      <c r="G116" s="44">
        <f t="array" ref="G116">INDIRECT(""&amp;$E116 &amp; "!AP11")</f>
        <v/>
      </c>
      <c r="H116" s="180">
        <f t="array" ref="H116">INDIRECT(""&amp;$E116 &amp; "!AQ11")</f>
        <v/>
      </c>
      <c r="I116" s="180">
        <f t="array" ref="I116">INDIRECT(""&amp;$E116 &amp; "!AR11")</f>
        <v/>
      </c>
      <c r="J116" s="180">
        <f t="array" ref="J116">INDIRECT(""&amp;$E116 &amp; "!AS11")</f>
        <v/>
      </c>
      <c r="K116" s="180">
        <f t="array" ref="K116">INDIRECT(""&amp;$E116 &amp; "!AT11")</f>
        <v/>
      </c>
      <c r="L116" s="180">
        <f t="array" ref="L116">INDIRECT(""&amp;$E116 &amp; "!AU11")</f>
        <v/>
      </c>
      <c r="M116" s="180">
        <f t="array" ref="M116">INDIRECT(""&amp;$E116 &amp; "!AV11")</f>
        <v/>
      </c>
      <c r="N116" s="180">
        <f t="array" ref="N116">INDIRECT(""&amp;$E116 &amp; "!AW11")</f>
        <v/>
      </c>
      <c r="O116" s="180">
        <f t="array" ref="O116">INDIRECT(""&amp;$E116 &amp; "!AX11")</f>
        <v/>
      </c>
      <c r="P116" s="187">
        <f t="array" ref="P116">INDIRECT(""&amp;$E116 &amp; "!AY11")</f>
        <v/>
      </c>
      <c r="Q116" s="247">
        <f t="array" ref="Q116">INDIRECT(""&amp;$E116 &amp; "!AZ11")</f>
        <v/>
      </c>
      <c r="R116" s="188">
        <f t="array" ref="R116">INDIRECT(""&amp;$E116 &amp; "!BA11")</f>
        <v/>
      </c>
    </row>
    <row r="117">
      <c r="D117" s="222" t="n"/>
      <c r="E117" s="195" t="n"/>
      <c r="F117" s="85">
        <f t="array" ref="F117">INDIRECT(""&amp;$E116 &amp; "!AO13")</f>
        <v/>
      </c>
      <c r="G117" s="17">
        <f t="array" ref="G117">INDIRECT(""&amp;$E116 &amp; "!AP13")</f>
        <v/>
      </c>
      <c r="H117" s="178" t="n"/>
      <c r="I117" s="178" t="n"/>
      <c r="J117" s="178" t="n"/>
      <c r="K117" s="177">
        <f t="array" ref="K117">INDIRECT(""&amp;$E116 &amp; "!AT13")</f>
        <v/>
      </c>
      <c r="L117" s="178" t="n"/>
      <c r="M117" s="177">
        <f t="array" ref="M117">INDIRECT(""&amp;$E116 &amp; "!AV13")</f>
        <v/>
      </c>
      <c r="N117" s="178" t="n"/>
      <c r="O117" s="177">
        <f t="array" ref="O117">INDIRECT(""&amp;$E116 &amp; "!AX13")</f>
        <v/>
      </c>
      <c r="P117" s="185" t="n"/>
      <c r="Q117" s="246">
        <f t="array" ref="Q117">INDIRECT(""&amp;$E116 &amp; "!AZ13")</f>
        <v/>
      </c>
      <c r="R117" s="185" t="n"/>
    </row>
    <row r="118" ht="17" customHeight="1" s="241" thickBot="1">
      <c r="D118" s="222" t="n"/>
      <c r="E118" s="211" t="n"/>
      <c r="F118" s="86">
        <f t="array" ref="F118">INDIRECT(""&amp;$E116 &amp; "!AO15")</f>
        <v/>
      </c>
      <c r="G118" s="17">
        <f t="array" ref="G118">INDIRECT(""&amp;$E116 &amp; "!AP15")</f>
        <v/>
      </c>
      <c r="H118" s="179" t="n"/>
      <c r="I118" s="179" t="n"/>
      <c r="J118" s="179" t="n"/>
      <c r="K118" s="177">
        <f t="array" ref="K118">INDIRECT(""&amp;$E116 &amp; "!AT15")</f>
        <v/>
      </c>
      <c r="L118" s="179" t="n"/>
      <c r="M118" s="177">
        <f t="array" ref="M118">INDIRECT(""&amp;$E116 &amp; "!AV15")</f>
        <v/>
      </c>
      <c r="N118" s="179" t="n"/>
      <c r="O118" s="177">
        <f t="array" ref="O118">INDIRECT(""&amp;$E116 &amp; "!Ax15")</f>
        <v/>
      </c>
      <c r="P118" s="186" t="n"/>
      <c r="Q118" s="246">
        <f t="array" ref="Q118">INDIRECT(""&amp;$E116 &amp; "!Az15")</f>
        <v/>
      </c>
      <c r="R118" s="186" t="n"/>
    </row>
    <row r="119">
      <c r="D119" s="222" t="n"/>
      <c r="E119" s="210">
        <f>E91</f>
        <v/>
      </c>
      <c r="F119" s="84">
        <f t="array" ref="F119">INDIRECT(""&amp;$E119 &amp; "!AO11")</f>
        <v/>
      </c>
      <c r="G119" s="17">
        <f t="array" ref="G119">INDIRECT(""&amp;$E119 &amp; "!AP11")</f>
        <v/>
      </c>
      <c r="H119" s="177">
        <f t="array" ref="H119">INDIRECT(""&amp;$E119 &amp; "!AQ11")</f>
        <v/>
      </c>
      <c r="I119" s="177">
        <f t="array" ref="I119">INDIRECT(""&amp;$E119 &amp; "!AR11")</f>
        <v/>
      </c>
      <c r="J119" s="177">
        <f t="array" ref="J119">INDIRECT(""&amp;$E119 &amp; "!AS11")</f>
        <v/>
      </c>
      <c r="K119" s="177">
        <f t="array" ref="K119">INDIRECT(""&amp;$E119 &amp; "!AT11")</f>
        <v/>
      </c>
      <c r="L119" s="177">
        <f t="array" ref="L119">INDIRECT(""&amp;$E119 &amp; "!AU11")</f>
        <v/>
      </c>
      <c r="M119" s="177">
        <f t="array" ref="M119">INDIRECT(""&amp;$E119 &amp; "!AV11")</f>
        <v/>
      </c>
      <c r="N119" s="177">
        <f t="array" ref="N119">INDIRECT(""&amp;$E119 &amp; "!AW11")</f>
        <v/>
      </c>
      <c r="O119" s="177">
        <f t="array" ref="O119">INDIRECT(""&amp;$E119 &amp; "!AX11")</f>
        <v/>
      </c>
      <c r="P119" s="187">
        <f t="array" ref="P119">INDIRECT(""&amp;$E119 &amp; "!AY11")</f>
        <v/>
      </c>
      <c r="Q119" s="247">
        <f t="array" ref="Q119">INDIRECT(""&amp;$E119 &amp; "!AZ11")</f>
        <v/>
      </c>
      <c r="R119" s="188">
        <f t="array" ref="R119">INDIRECT(""&amp;$E119 &amp; "!BA11")</f>
        <v/>
      </c>
    </row>
    <row r="120">
      <c r="D120" s="222" t="n"/>
      <c r="E120" s="195" t="n"/>
      <c r="F120" s="85">
        <f t="array" ref="F120">INDIRECT(""&amp;$E119 &amp; "!AO13")</f>
        <v/>
      </c>
      <c r="G120" s="17">
        <f t="array" ref="G120">INDIRECT(""&amp;$E119 &amp; "!AP13")</f>
        <v/>
      </c>
      <c r="H120" s="178" t="n"/>
      <c r="I120" s="178" t="n"/>
      <c r="J120" s="178" t="n"/>
      <c r="K120" s="177">
        <f t="array" ref="K120">INDIRECT(""&amp;$E119 &amp; "!AT13")</f>
        <v/>
      </c>
      <c r="L120" s="178" t="n"/>
      <c r="M120" s="177">
        <f t="array" ref="M120">INDIRECT(""&amp;$E119 &amp; "!AV13")</f>
        <v/>
      </c>
      <c r="N120" s="178" t="n"/>
      <c r="O120" s="177">
        <f t="array" ref="O120">INDIRECT(""&amp;$E119 &amp; "!AX13")</f>
        <v/>
      </c>
      <c r="P120" s="185" t="n"/>
      <c r="Q120" s="246">
        <f t="array" ref="Q120">INDIRECT(""&amp;$E119 &amp; "!AZ13")</f>
        <v/>
      </c>
      <c r="R120" s="185" t="n"/>
    </row>
    <row r="121" ht="17" customHeight="1" s="241" thickBot="1">
      <c r="D121" s="222" t="n"/>
      <c r="E121" s="211" t="n"/>
      <c r="F121" s="86">
        <f t="array" ref="F121">INDIRECT(""&amp;$E119 &amp; "!AO15")</f>
        <v/>
      </c>
      <c r="G121" s="17">
        <f t="array" ref="G121">INDIRECT(""&amp;$E119 &amp; "!AP15")</f>
        <v/>
      </c>
      <c r="H121" s="179" t="n"/>
      <c r="I121" s="179" t="n"/>
      <c r="J121" s="179" t="n"/>
      <c r="K121" s="177">
        <f t="array" ref="K121">INDIRECT(""&amp;$E119 &amp; "!AT15")</f>
        <v/>
      </c>
      <c r="L121" s="179" t="n"/>
      <c r="M121" s="177">
        <f t="array" ref="M121">INDIRECT(""&amp;$E119 &amp; "!AV15")</f>
        <v/>
      </c>
      <c r="N121" s="179" t="n"/>
      <c r="O121" s="177">
        <f t="array" ref="O121">INDIRECT(""&amp;$E119 &amp; "!Ax15")</f>
        <v/>
      </c>
      <c r="P121" s="186" t="n"/>
      <c r="Q121" s="246">
        <f t="array" ref="Q121">INDIRECT(""&amp;$E119 &amp; "!Az15")</f>
        <v/>
      </c>
      <c r="R121" s="186" t="n"/>
    </row>
    <row r="122">
      <c r="D122" s="222" t="n"/>
      <c r="E122" s="210">
        <f>E94</f>
        <v/>
      </c>
      <c r="F122" s="84">
        <f t="array" ref="F122">INDIRECT(""&amp;$E122 &amp; "!AO11")</f>
        <v/>
      </c>
      <c r="G122" s="17">
        <f t="array" ref="G122">INDIRECT(""&amp;$E122 &amp; "!AP11")</f>
        <v/>
      </c>
      <c r="H122" s="177">
        <f t="array" ref="H122">INDIRECT(""&amp;$E122 &amp; "!AQ11")</f>
        <v/>
      </c>
      <c r="I122" s="177">
        <f t="array" ref="I122">INDIRECT(""&amp;$E122 &amp; "!AR11")</f>
        <v/>
      </c>
      <c r="J122" s="177">
        <f t="array" ref="J122">INDIRECT(""&amp;$E122 &amp; "!AS11")</f>
        <v/>
      </c>
      <c r="K122" s="177">
        <f t="array" ref="K122">INDIRECT(""&amp;$E122 &amp; "!AT11")</f>
        <v/>
      </c>
      <c r="L122" s="177">
        <f t="array" ref="L122">INDIRECT(""&amp;$E122 &amp; "!AU11")</f>
        <v/>
      </c>
      <c r="M122" s="177">
        <f t="array" ref="M122">INDIRECT(""&amp;$E122 &amp; "!AV11")</f>
        <v/>
      </c>
      <c r="N122" s="177">
        <f t="array" ref="N122">INDIRECT(""&amp;$E122 &amp; "!AW11")</f>
        <v/>
      </c>
      <c r="O122" s="177">
        <f t="array" ref="O122">INDIRECT(""&amp;$E122 &amp; "!AX11")</f>
        <v/>
      </c>
      <c r="P122" s="187">
        <f t="array" ref="P122">INDIRECT(""&amp;$E122 &amp; "!AY11")</f>
        <v/>
      </c>
      <c r="Q122" s="247">
        <f t="array" ref="Q122">INDIRECT(""&amp;$E122 &amp; "!AZ11")</f>
        <v/>
      </c>
      <c r="R122" s="188">
        <f t="array" ref="R122">INDIRECT(""&amp;$E122 &amp; "!BA11")</f>
        <v/>
      </c>
    </row>
    <row r="123">
      <c r="D123" s="222" t="n"/>
      <c r="E123" s="195" t="n"/>
      <c r="F123" s="85">
        <f t="array" ref="F123">INDIRECT(""&amp;$E122 &amp; "!AO13")</f>
        <v/>
      </c>
      <c r="G123" s="17">
        <f t="array" ref="G123">INDIRECT(""&amp;$E122 &amp; "!AP13")</f>
        <v/>
      </c>
      <c r="H123" s="178" t="n"/>
      <c r="I123" s="178" t="n"/>
      <c r="J123" s="178" t="n"/>
      <c r="K123" s="177">
        <f t="array" ref="K123">INDIRECT(""&amp;$E122 &amp; "!AT13")</f>
        <v/>
      </c>
      <c r="L123" s="178" t="n"/>
      <c r="M123" s="177">
        <f t="array" ref="M123">INDIRECT(""&amp;$E122 &amp; "!AV13")</f>
        <v/>
      </c>
      <c r="N123" s="178" t="n"/>
      <c r="O123" s="177">
        <f t="array" ref="O123">INDIRECT(""&amp;$E122 &amp; "!AX13")</f>
        <v/>
      </c>
      <c r="P123" s="185" t="n"/>
      <c r="Q123" s="246">
        <f t="array" ref="Q123">INDIRECT(""&amp;$E122 &amp; "!AZ13")</f>
        <v/>
      </c>
      <c r="R123" s="185" t="n"/>
    </row>
    <row r="124" ht="17" customHeight="1" s="241" thickBot="1">
      <c r="D124" s="222" t="n"/>
      <c r="E124" s="211" t="n"/>
      <c r="F124" s="86">
        <f t="array" ref="F124">INDIRECT(""&amp;$E122 &amp; "!AO15")</f>
        <v/>
      </c>
      <c r="G124" s="17">
        <f t="array" ref="G124">INDIRECT(""&amp;$E122 &amp; "!AP15")</f>
        <v/>
      </c>
      <c r="H124" s="179" t="n"/>
      <c r="I124" s="179" t="n"/>
      <c r="J124" s="179" t="n"/>
      <c r="K124" s="177">
        <f t="array" ref="K124">INDIRECT(""&amp;$E122 &amp; "!AT15")</f>
        <v/>
      </c>
      <c r="L124" s="179" t="n"/>
      <c r="M124" s="177">
        <f t="array" ref="M124">INDIRECT(""&amp;$E122 &amp; "!AV15")</f>
        <v/>
      </c>
      <c r="N124" s="179" t="n"/>
      <c r="O124" s="177">
        <f t="array" ref="O124">INDIRECT(""&amp;$E122 &amp; "!Ax15")</f>
        <v/>
      </c>
      <c r="P124" s="186" t="n"/>
      <c r="Q124" s="246">
        <f t="array" ref="Q124">INDIRECT(""&amp;$E122 &amp; "!Az15")</f>
        <v/>
      </c>
      <c r="R124" s="186" t="n"/>
    </row>
    <row r="125">
      <c r="D125" s="222" t="n"/>
      <c r="E125" s="210">
        <f>E97</f>
        <v/>
      </c>
      <c r="F125" s="84">
        <f t="array" ref="F125">INDIRECT(""&amp;$E125 &amp; "!AO11")</f>
        <v/>
      </c>
      <c r="G125" s="17">
        <f t="array" ref="G125">INDIRECT(""&amp;$E125 &amp; "!AP11")</f>
        <v/>
      </c>
      <c r="H125" s="177">
        <f t="array" ref="H125">INDIRECT(""&amp;$E125 &amp; "!AQ11")</f>
        <v/>
      </c>
      <c r="I125" s="177">
        <f t="array" ref="I125">INDIRECT(""&amp;$E125 &amp; "!AR11")</f>
        <v/>
      </c>
      <c r="J125" s="177">
        <f t="array" ref="J125">INDIRECT(""&amp;$E125 &amp; "!AS11")</f>
        <v/>
      </c>
      <c r="K125" s="177">
        <f t="array" ref="K125">INDIRECT(""&amp;$E125 &amp; "!AT11")</f>
        <v/>
      </c>
      <c r="L125" s="177">
        <f t="array" ref="L125">INDIRECT(""&amp;$E125 &amp; "!AU11")</f>
        <v/>
      </c>
      <c r="M125" s="177">
        <f t="array" ref="M125">INDIRECT(""&amp;$E125 &amp; "!AV11")</f>
        <v/>
      </c>
      <c r="N125" s="177">
        <f t="array" ref="N125">INDIRECT(""&amp;$E125 &amp; "!AW11")</f>
        <v/>
      </c>
      <c r="O125" s="177">
        <f t="array" ref="O125">INDIRECT(""&amp;$E125 &amp; "!AX11")</f>
        <v/>
      </c>
      <c r="P125" s="187">
        <f t="array" ref="P125">INDIRECT(""&amp;$E125 &amp; "!AY11")</f>
        <v/>
      </c>
      <c r="Q125" s="247">
        <f t="array" ref="Q125">INDIRECT(""&amp;$E125 &amp; "!AZ11")</f>
        <v/>
      </c>
      <c r="R125" s="188">
        <f t="array" ref="R125">INDIRECT(""&amp;$E125 &amp; "!BA11")</f>
        <v/>
      </c>
    </row>
    <row r="126">
      <c r="D126" s="222" t="n"/>
      <c r="E126" s="195" t="n"/>
      <c r="F126" s="85">
        <f t="array" ref="F126">INDIRECT(""&amp;$E125 &amp; "!AO13")</f>
        <v/>
      </c>
      <c r="G126" s="17">
        <f t="array" ref="G126">INDIRECT(""&amp;$E125 &amp; "!AP13")</f>
        <v/>
      </c>
      <c r="H126" s="178" t="n"/>
      <c r="I126" s="178" t="n"/>
      <c r="J126" s="178" t="n"/>
      <c r="K126" s="177">
        <f t="array" ref="K126">INDIRECT(""&amp;$E125 &amp; "!AT13")</f>
        <v/>
      </c>
      <c r="L126" s="178" t="n"/>
      <c r="M126" s="177">
        <f t="array" ref="M126">INDIRECT(""&amp;$E125 &amp; "!AV13")</f>
        <v/>
      </c>
      <c r="N126" s="178" t="n"/>
      <c r="O126" s="177">
        <f t="array" ref="O126">INDIRECT(""&amp;$E125 &amp; "!AX13")</f>
        <v/>
      </c>
      <c r="P126" s="185" t="n"/>
      <c r="Q126" s="246">
        <f t="array" ref="Q126">INDIRECT(""&amp;$E125 &amp; "!AZ13")</f>
        <v/>
      </c>
      <c r="R126" s="185" t="n"/>
    </row>
    <row r="127" ht="17" customHeight="1" s="241" thickBot="1">
      <c r="D127" s="222" t="n"/>
      <c r="E127" s="211" t="n"/>
      <c r="F127" s="86">
        <f t="array" ref="F127">INDIRECT(""&amp;$E125 &amp; "!AO15")</f>
        <v/>
      </c>
      <c r="G127" s="17">
        <f t="array" ref="G127">INDIRECT(""&amp;$E125 &amp; "!AP15")</f>
        <v/>
      </c>
      <c r="H127" s="179" t="n"/>
      <c r="I127" s="179" t="n"/>
      <c r="J127" s="179" t="n"/>
      <c r="K127" s="177">
        <f t="array" ref="K127">INDIRECT(""&amp;$E125 &amp; "!AT15")</f>
        <v/>
      </c>
      <c r="L127" s="179" t="n"/>
      <c r="M127" s="177">
        <f t="array" ref="M127">INDIRECT(""&amp;$E125 &amp; "!AV15")</f>
        <v/>
      </c>
      <c r="N127" s="179" t="n"/>
      <c r="O127" s="177">
        <f t="array" ref="O127">INDIRECT(""&amp;$E125 &amp; "!Ax15")</f>
        <v/>
      </c>
      <c r="P127" s="186" t="n"/>
      <c r="Q127" s="246">
        <f t="array" ref="Q127">INDIRECT(""&amp;$E125 &amp; "!Az15")</f>
        <v/>
      </c>
      <c r="R127" s="186" t="n"/>
    </row>
    <row r="128">
      <c r="D128" s="222" t="n"/>
      <c r="E128" s="210">
        <f>E100</f>
        <v/>
      </c>
      <c r="F128" s="84">
        <f t="array" ref="F128">INDIRECT(""&amp;$E128 &amp; "!AO11")</f>
        <v/>
      </c>
      <c r="G128" s="17">
        <f t="array" ref="G128">INDIRECT(""&amp;$E128 &amp; "!AP11")</f>
        <v/>
      </c>
      <c r="H128" s="177">
        <f t="array" ref="H128">INDIRECT(""&amp;$E128 &amp; "!AQ11")</f>
        <v/>
      </c>
      <c r="I128" s="177">
        <f t="array" ref="I128">INDIRECT(""&amp;$E128 &amp; "!AR11")</f>
        <v/>
      </c>
      <c r="J128" s="177">
        <f t="array" ref="J128">INDIRECT(""&amp;$E128 &amp; "!AS11")</f>
        <v/>
      </c>
      <c r="K128" s="177">
        <f t="array" ref="K128">INDIRECT(""&amp;$E128 &amp; "!AT11")</f>
        <v/>
      </c>
      <c r="L128" s="177">
        <f t="array" ref="L128">INDIRECT(""&amp;$E128 &amp; "!AU11")</f>
        <v/>
      </c>
      <c r="M128" s="177">
        <f t="array" ref="M128">INDIRECT(""&amp;$E128 &amp; "!AV11")</f>
        <v/>
      </c>
      <c r="N128" s="177">
        <f t="array" ref="N128">INDIRECT(""&amp;$E128 &amp; "!AW11")</f>
        <v/>
      </c>
      <c r="O128" s="177">
        <f t="array" ref="O128">INDIRECT(""&amp;$E128 &amp; "!AX11")</f>
        <v/>
      </c>
      <c r="P128" s="187">
        <f t="array" ref="P128">INDIRECT(""&amp;$E128 &amp; "!AY11")</f>
        <v/>
      </c>
      <c r="Q128" s="247">
        <f t="array" ref="Q128">INDIRECT(""&amp;$E128 &amp; "!AZ11")</f>
        <v/>
      </c>
      <c r="R128" s="188">
        <f t="array" ref="R128">INDIRECT(""&amp;$E128 &amp; "!BA11")</f>
        <v/>
      </c>
    </row>
    <row r="129">
      <c r="D129" s="222" t="n"/>
      <c r="E129" s="195" t="n"/>
      <c r="F129" s="85">
        <f t="array" ref="F129">INDIRECT(""&amp;$E128 &amp; "!AO13")</f>
        <v/>
      </c>
      <c r="G129" s="17">
        <f t="array" ref="G129">INDIRECT(""&amp;$E128 &amp; "!AP13")</f>
        <v/>
      </c>
      <c r="H129" s="178" t="n"/>
      <c r="I129" s="178" t="n"/>
      <c r="J129" s="178" t="n"/>
      <c r="K129" s="177">
        <f t="array" ref="K129">INDIRECT(""&amp;$E128 &amp; "!AT13")</f>
        <v/>
      </c>
      <c r="L129" s="178" t="n"/>
      <c r="M129" s="177">
        <f t="array" ref="M129">INDIRECT(""&amp;$E128 &amp; "!AV13")</f>
        <v/>
      </c>
      <c r="N129" s="178" t="n"/>
      <c r="O129" s="177">
        <f t="array" ref="O129">INDIRECT(""&amp;$E128 &amp; "!AX13")</f>
        <v/>
      </c>
      <c r="P129" s="185" t="n"/>
      <c r="Q129" s="246">
        <f t="array" ref="Q129">INDIRECT(""&amp;$E128 &amp; "!AZ13")</f>
        <v/>
      </c>
      <c r="R129" s="185" t="n"/>
    </row>
    <row r="130" ht="17" customHeight="1" s="241" thickBot="1">
      <c r="D130" s="222" t="n"/>
      <c r="E130" s="211" t="n"/>
      <c r="F130" s="86">
        <f t="array" ref="F130">INDIRECT(""&amp;$E128 &amp; "!AO15")</f>
        <v/>
      </c>
      <c r="G130" s="17">
        <f t="array" ref="G130">INDIRECT(""&amp;$E128 &amp; "!AP15")</f>
        <v/>
      </c>
      <c r="H130" s="179" t="n"/>
      <c r="I130" s="179" t="n"/>
      <c r="J130" s="179" t="n"/>
      <c r="K130" s="177">
        <f t="array" ref="K130">INDIRECT(""&amp;$E128 &amp; "!AT15")</f>
        <v/>
      </c>
      <c r="L130" s="179" t="n"/>
      <c r="M130" s="177">
        <f t="array" ref="M130">INDIRECT(""&amp;$E128 &amp; "!AV15")</f>
        <v/>
      </c>
      <c r="N130" s="179" t="n"/>
      <c r="O130" s="177">
        <f t="array" ref="O130">INDIRECT(""&amp;$E128 &amp; "!Ax15")</f>
        <v/>
      </c>
      <c r="P130" s="186" t="n"/>
      <c r="Q130" s="246">
        <f t="array" ref="Q130">INDIRECT(""&amp;$E128 &amp; "!Az15")</f>
        <v/>
      </c>
      <c r="R130" s="186" t="n"/>
    </row>
    <row r="131">
      <c r="D131" s="222" t="n"/>
      <c r="E131" s="210">
        <f>E103</f>
        <v/>
      </c>
      <c r="F131" s="84">
        <f t="array" ref="F131">INDIRECT(""&amp;$E131 &amp; "!AO11")</f>
        <v/>
      </c>
      <c r="G131" s="17">
        <f t="array" ref="G131">INDIRECT(""&amp;$E131 &amp; "!AP11")</f>
        <v/>
      </c>
      <c r="H131" s="177">
        <f t="array" ref="H131">INDIRECT(""&amp;$E131 &amp; "!AQ11")</f>
        <v/>
      </c>
      <c r="I131" s="177">
        <f t="array" ref="I131">INDIRECT(""&amp;$E131 &amp; "!AR11")</f>
        <v/>
      </c>
      <c r="J131" s="177">
        <f t="array" ref="J131">INDIRECT(""&amp;$E131 &amp; "!AS11")</f>
        <v/>
      </c>
      <c r="K131" s="177">
        <f t="array" ref="K131">INDIRECT(""&amp;$E131 &amp; "!AT11")</f>
        <v/>
      </c>
      <c r="L131" s="177">
        <f t="array" ref="L131">INDIRECT(""&amp;$E131 &amp; "!AU11")</f>
        <v/>
      </c>
      <c r="M131" s="177">
        <f t="array" ref="M131">INDIRECT(""&amp;$E131 &amp; "!AV11")</f>
        <v/>
      </c>
      <c r="N131" s="177">
        <f t="array" ref="N131">INDIRECT(""&amp;$E131 &amp; "!AW11")</f>
        <v/>
      </c>
      <c r="O131" s="177">
        <f t="array" ref="O131">INDIRECT(""&amp;$E131 &amp; "!AX11")</f>
        <v/>
      </c>
      <c r="P131" s="187">
        <f t="array" ref="P131">INDIRECT(""&amp;$E131 &amp; "!AY11")</f>
        <v/>
      </c>
      <c r="Q131" s="247">
        <f t="array" ref="Q131">INDIRECT(""&amp;$E131 &amp; "!AZ11")</f>
        <v/>
      </c>
      <c r="R131" s="188">
        <f t="array" ref="R131">INDIRECT(""&amp;$E131 &amp; "!BA11")</f>
        <v/>
      </c>
    </row>
    <row r="132">
      <c r="D132" s="222" t="n"/>
      <c r="E132" s="195" t="n"/>
      <c r="F132" s="85">
        <f t="array" ref="F132">INDIRECT(""&amp;$E131 &amp; "!AO13")</f>
        <v/>
      </c>
      <c r="G132" s="17">
        <f t="array" ref="G132">INDIRECT(""&amp;$E131 &amp; "!AP13")</f>
        <v/>
      </c>
      <c r="H132" s="178" t="n"/>
      <c r="I132" s="178" t="n"/>
      <c r="J132" s="178" t="n"/>
      <c r="K132" s="177">
        <f t="array" ref="K132">INDIRECT(""&amp;$E131 &amp; "!AT13")</f>
        <v/>
      </c>
      <c r="L132" s="178" t="n"/>
      <c r="M132" s="177">
        <f t="array" ref="M132">INDIRECT(""&amp;$E131 &amp; "!AV13")</f>
        <v/>
      </c>
      <c r="N132" s="178" t="n"/>
      <c r="O132" s="177">
        <f t="array" ref="O132">INDIRECT(""&amp;$E131 &amp; "!AX13")</f>
        <v/>
      </c>
      <c r="P132" s="185" t="n"/>
      <c r="Q132" s="246">
        <f t="array" ref="Q132">INDIRECT(""&amp;$E131 &amp; "!AZ13")</f>
        <v/>
      </c>
      <c r="R132" s="185" t="n"/>
    </row>
    <row r="133" ht="17" customHeight="1" s="241" thickBot="1">
      <c r="D133" s="222" t="n"/>
      <c r="E133" s="211" t="n"/>
      <c r="F133" s="86">
        <f t="array" ref="F133">INDIRECT(""&amp;$E131 &amp; "!AO15")</f>
        <v/>
      </c>
      <c r="G133" s="17">
        <f t="array" ref="G133">INDIRECT(""&amp;$E131 &amp; "!AP15")</f>
        <v/>
      </c>
      <c r="H133" s="179" t="n"/>
      <c r="I133" s="179" t="n"/>
      <c r="J133" s="179" t="n"/>
      <c r="K133" s="177">
        <f t="array" ref="K133">INDIRECT(""&amp;$E131 &amp; "!AT15")</f>
        <v/>
      </c>
      <c r="L133" s="179" t="n"/>
      <c r="M133" s="177">
        <f t="array" ref="M133">INDIRECT(""&amp;$E131 &amp; "!AV15")</f>
        <v/>
      </c>
      <c r="N133" s="179" t="n"/>
      <c r="O133" s="177">
        <f t="array" ref="O133">INDIRECT(""&amp;$E131 &amp; "!Ax15")</f>
        <v/>
      </c>
      <c r="P133" s="186" t="n"/>
      <c r="Q133" s="246">
        <f t="array" ref="Q133">INDIRECT(""&amp;$E131 &amp; "!Az15")</f>
        <v/>
      </c>
      <c r="R133" s="186" t="n"/>
    </row>
    <row r="134">
      <c r="D134" s="222" t="n"/>
      <c r="E134" s="210">
        <f>E106</f>
        <v/>
      </c>
      <c r="F134" s="84">
        <f t="array" ref="F134">INDIRECT(""&amp;$E134 &amp; "!AO11")</f>
        <v/>
      </c>
      <c r="G134" s="17">
        <f t="array" ref="G134">INDIRECT(""&amp;$E134 &amp; "!AP11")</f>
        <v/>
      </c>
      <c r="H134" s="177">
        <f t="array" ref="H134">INDIRECT(""&amp;$E134 &amp; "!AQ11")</f>
        <v/>
      </c>
      <c r="I134" s="177">
        <f t="array" ref="I134">INDIRECT(""&amp;$E134 &amp; "!AR11")</f>
        <v/>
      </c>
      <c r="J134" s="177">
        <f t="array" ref="J134">INDIRECT(""&amp;$E134 &amp; "!AS11")</f>
        <v/>
      </c>
      <c r="K134" s="177">
        <f t="array" ref="K134">INDIRECT(""&amp;$E134 &amp; "!AT11")</f>
        <v/>
      </c>
      <c r="L134" s="177">
        <f t="array" ref="L134">INDIRECT(""&amp;$E134 &amp; "!AU11")</f>
        <v/>
      </c>
      <c r="M134" s="177">
        <f t="array" ref="M134">INDIRECT(""&amp;$E134 &amp; "!AV11")</f>
        <v/>
      </c>
      <c r="N134" s="177">
        <f t="array" ref="N134">INDIRECT(""&amp;$E134 &amp; "!AW11")</f>
        <v/>
      </c>
      <c r="O134" s="177">
        <f t="array" ref="O134">INDIRECT(""&amp;$E134 &amp; "!AX11")</f>
        <v/>
      </c>
      <c r="P134" s="187">
        <f t="array" ref="P134">INDIRECT(""&amp;$E134 &amp; "!AY11")</f>
        <v/>
      </c>
      <c r="Q134" s="247">
        <f t="array" ref="Q134">INDIRECT(""&amp;$E134 &amp; "!AZ11")</f>
        <v/>
      </c>
      <c r="R134" s="188">
        <f t="array" ref="R134">INDIRECT(""&amp;$E134 &amp; "!BA11")</f>
        <v/>
      </c>
    </row>
    <row r="135">
      <c r="D135" s="222" t="n"/>
      <c r="E135" s="195" t="n"/>
      <c r="F135" s="85">
        <f t="array" ref="F135">INDIRECT(""&amp;$E134 &amp; "!AO13")</f>
        <v/>
      </c>
      <c r="G135" s="17">
        <f t="array" ref="G135">INDIRECT(""&amp;$E134 &amp; "!AP13")</f>
        <v/>
      </c>
      <c r="H135" s="178" t="n"/>
      <c r="I135" s="178" t="n"/>
      <c r="J135" s="178" t="n"/>
      <c r="K135" s="177">
        <f t="array" ref="K135">INDIRECT(""&amp;$E134 &amp; "!AT13")</f>
        <v/>
      </c>
      <c r="L135" s="178" t="n"/>
      <c r="M135" s="177">
        <f t="array" ref="M135">INDIRECT(""&amp;$E134 &amp; "!AV13")</f>
        <v/>
      </c>
      <c r="N135" s="178" t="n"/>
      <c r="O135" s="177">
        <f t="array" ref="O135">INDIRECT(""&amp;$E134 &amp; "!AX13")</f>
        <v/>
      </c>
      <c r="P135" s="185" t="n"/>
      <c r="Q135" s="246">
        <f t="array" ref="Q135">INDIRECT(""&amp;$E134 &amp; "!AZ13")</f>
        <v/>
      </c>
      <c r="R135" s="185" t="n"/>
    </row>
    <row r="136" ht="17" customHeight="1" s="241" thickBot="1">
      <c r="D136" s="222" t="n"/>
      <c r="E136" s="211" t="n"/>
      <c r="F136" s="86">
        <f t="array" ref="F136">INDIRECT(""&amp;$E134 &amp; "!AO15")</f>
        <v/>
      </c>
      <c r="G136" s="17">
        <f t="array" ref="G136">INDIRECT(""&amp;$E134 &amp; "!AP15")</f>
        <v/>
      </c>
      <c r="H136" s="179" t="n"/>
      <c r="I136" s="179" t="n"/>
      <c r="J136" s="179" t="n"/>
      <c r="K136" s="177">
        <f t="array" ref="K136">INDIRECT(""&amp;$E134 &amp; "!AT15")</f>
        <v/>
      </c>
      <c r="L136" s="179" t="n"/>
      <c r="M136" s="177">
        <f t="array" ref="M136">INDIRECT(""&amp;$E134 &amp; "!AV15")</f>
        <v/>
      </c>
      <c r="N136" s="179" t="n"/>
      <c r="O136" s="177">
        <f t="array" ref="O136">INDIRECT(""&amp;$E134 &amp; "!Ax15")</f>
        <v/>
      </c>
      <c r="P136" s="186" t="n"/>
      <c r="Q136" s="246">
        <f t="array" ref="Q136">INDIRECT(""&amp;$E134 &amp; "!Az15")</f>
        <v/>
      </c>
      <c r="R136" s="186" t="n"/>
    </row>
    <row r="137">
      <c r="D137" s="222" t="n"/>
      <c r="E137" s="216">
        <f>E109</f>
        <v/>
      </c>
      <c r="F137" s="84">
        <f t="array" ref="F137">INDIRECT(""&amp;$E137 &amp; "!AO11")</f>
        <v/>
      </c>
      <c r="G137" s="17">
        <f t="array" ref="G137">INDIRECT(""&amp;$E137 &amp; "!AP11")</f>
        <v/>
      </c>
      <c r="H137" s="177">
        <f t="array" ref="H137">INDIRECT(""&amp;$E137 &amp; "!AQ11")</f>
        <v/>
      </c>
      <c r="I137" s="177">
        <f t="array" ref="I137">INDIRECT(""&amp;$E137 &amp; "!AR11")</f>
        <v/>
      </c>
      <c r="J137" s="177">
        <f t="array" ref="J137">INDIRECT(""&amp;$E137 &amp; "!AS11")</f>
        <v/>
      </c>
      <c r="K137" s="177">
        <f t="array" ref="K137">INDIRECT(""&amp;$E137 &amp; "!AT11")</f>
        <v/>
      </c>
      <c r="L137" s="177">
        <f t="array" ref="L137">INDIRECT(""&amp;$E137 &amp; "!AU11")</f>
        <v/>
      </c>
      <c r="M137" s="177">
        <f t="array" ref="M137">INDIRECT(""&amp;$E137 &amp; "!AV11")</f>
        <v/>
      </c>
      <c r="N137" s="177">
        <f t="array" ref="N137">INDIRECT(""&amp;$E137 &amp; "!AW11")</f>
        <v/>
      </c>
      <c r="O137" s="177">
        <f t="array" ref="O137">INDIRECT(""&amp;$E137 &amp; "!AX11")</f>
        <v/>
      </c>
      <c r="P137" s="187">
        <f t="array" ref="P137">INDIRECT(""&amp;$E137 &amp; "!AY11")</f>
        <v/>
      </c>
      <c r="Q137" s="247">
        <f t="array" ref="Q137">INDIRECT(""&amp;$E137 &amp; "!AZ11")</f>
        <v/>
      </c>
      <c r="R137" s="188">
        <f t="array" ref="R137">INDIRECT(""&amp;$E137 &amp; "!BA11")</f>
        <v/>
      </c>
    </row>
    <row r="138">
      <c r="D138" s="222" t="n"/>
      <c r="E138" s="195" t="n"/>
      <c r="F138" s="85">
        <f t="array" ref="F138">INDIRECT(""&amp;$E137 &amp; "!AO13")</f>
        <v/>
      </c>
      <c r="G138" s="17">
        <f t="array" ref="G138">INDIRECT(""&amp;$E137 &amp; "!AP13")</f>
        <v/>
      </c>
      <c r="H138" s="178" t="n"/>
      <c r="I138" s="178" t="n"/>
      <c r="J138" s="178" t="n"/>
      <c r="K138" s="177">
        <f t="array" ref="K138">INDIRECT(""&amp;$E137 &amp; "!AT13")</f>
        <v/>
      </c>
      <c r="L138" s="178" t="n"/>
      <c r="M138" s="177">
        <f t="array" ref="M138">INDIRECT(""&amp;$E137 &amp; "!AV13")</f>
        <v/>
      </c>
      <c r="N138" s="178" t="n"/>
      <c r="O138" s="177">
        <f t="array" ref="O138">INDIRECT(""&amp;$E137 &amp; "!AX13")</f>
        <v/>
      </c>
      <c r="P138" s="185" t="n"/>
      <c r="Q138" s="246">
        <f t="array" ref="Q138">INDIRECT(""&amp;$E137 &amp; "!AZ13")</f>
        <v/>
      </c>
      <c r="R138" s="185" t="n"/>
    </row>
    <row r="139" ht="17" customHeight="1" s="241" thickBot="1">
      <c r="D139" s="222" t="n"/>
      <c r="E139" s="195" t="n"/>
      <c r="F139" s="105">
        <f t="array" ref="F139">INDIRECT(""&amp;$E137 &amp; "!AO15")</f>
        <v/>
      </c>
      <c r="G139" s="49">
        <f t="array" ref="G139">INDIRECT(""&amp;$E137 &amp; "!AP15")</f>
        <v/>
      </c>
      <c r="H139" s="179" t="n"/>
      <c r="I139" s="179" t="n"/>
      <c r="J139" s="179" t="n"/>
      <c r="K139" s="101">
        <f t="array" ref="K139">INDIRECT(""&amp;$E137 &amp; "!AT15")</f>
        <v/>
      </c>
      <c r="L139" s="179" t="n"/>
      <c r="M139" s="101">
        <f t="array" ref="M139">INDIRECT(""&amp;$E137 &amp; "!AV15")</f>
        <v/>
      </c>
      <c r="N139" s="179" t="n"/>
      <c r="O139" s="101">
        <f t="array" ref="O139">INDIRECT(""&amp;$E137 &amp; "!Ax15")</f>
        <v/>
      </c>
      <c r="P139" s="186" t="n"/>
      <c r="Q139" s="246">
        <f t="array" ref="Q139">INDIRECT(""&amp;$E137 &amp; "!Az15")</f>
        <v/>
      </c>
      <c r="R139" s="186" t="n"/>
    </row>
    <row r="140">
      <c r="D140" s="222" t="n"/>
      <c r="E140" s="210" t="inlineStr">
        <is>
          <t>averages</t>
        </is>
      </c>
      <c r="F140" s="84" t="inlineStr">
        <is>
          <t>High</t>
        </is>
      </c>
      <c r="G140" s="44">
        <f>AVERAGE(G116,G119,G122,G125,G128,G131,G134,G137)</f>
        <v/>
      </c>
      <c r="H140" s="180">
        <f>AVERAGE(H116:H139)</f>
        <v/>
      </c>
      <c r="I140" s="180">
        <f>AVERAGE(I116:I139)</f>
        <v/>
      </c>
      <c r="J140" s="180">
        <f>AVERAGE(J116:J139)</f>
        <v/>
      </c>
      <c r="K140" s="180">
        <f>AVERAGE(K116,K119,K122,K125,K128,K131,K134,K137)</f>
        <v/>
      </c>
      <c r="L140" s="180">
        <f>AVERAGE(L116:L139)</f>
        <v/>
      </c>
      <c r="M140" s="180">
        <f>AVERAGE(M116,M119,M122,M125,M128,M131,M134,M137)</f>
        <v/>
      </c>
      <c r="N140" s="180">
        <f>AVERAGE(N116:N139)</f>
        <v/>
      </c>
      <c r="O140" s="180">
        <f>AVERAGE(O116,O119,O122,O125,O128,O131,O134,O137)</f>
        <v/>
      </c>
      <c r="P140" s="184">
        <f>AVERAGE(P116:P139)</f>
        <v/>
      </c>
      <c r="Q140" s="247">
        <f>SUM(Q116,Q119,Q122,Q125,Q128,Q131,Q134,Q137)</f>
        <v/>
      </c>
      <c r="R140" s="198">
        <f>SUM(R116:R139)</f>
        <v/>
      </c>
    </row>
    <row r="141">
      <c r="D141" s="222" t="n"/>
      <c r="E141" s="195" t="n"/>
      <c r="F141" s="85" t="inlineStr">
        <is>
          <t>Med</t>
        </is>
      </c>
      <c r="G141" s="17">
        <f>AVERAGE(G117,G120,G123,G126,G129,G132,G135,G138)</f>
        <v/>
      </c>
      <c r="H141" s="178" t="n"/>
      <c r="I141" s="178" t="n"/>
      <c r="J141" s="178" t="n"/>
      <c r="K141" s="177">
        <f>AVERAGE(K117,K120,K123,K126,K129,K132,K135,K138)</f>
        <v/>
      </c>
      <c r="L141" s="178" t="n"/>
      <c r="M141" s="177">
        <f>AVERAGE(M117,M120,M123,M126,M129,M132,M135,M138)</f>
        <v/>
      </c>
      <c r="N141" s="178" t="n"/>
      <c r="O141" s="177">
        <f>AVERAGE(O117,O120,O123,O126,O129,O132,O135,O138)</f>
        <v/>
      </c>
      <c r="P141" s="185" t="n"/>
      <c r="Q141" s="246">
        <f>SUM(Q117,Q120,Q123,Q126,Q129,Q132,Q135,Q138)</f>
        <v/>
      </c>
      <c r="R141" s="185" t="n"/>
    </row>
    <row r="142" ht="17" customHeight="1" s="241" thickBot="1">
      <c r="D142" s="223" t="n"/>
      <c r="E142" s="211" t="n"/>
      <c r="F142" s="86" t="inlineStr">
        <is>
          <t>Low</t>
        </is>
      </c>
      <c r="G142" s="47">
        <f>AVERAGE(G118,G121,G124,G127,G130,G133,G136,G139)</f>
        <v/>
      </c>
      <c r="H142" s="179" t="n"/>
      <c r="I142" s="179" t="n"/>
      <c r="J142" s="179" t="n"/>
      <c r="K142" s="57">
        <f>AVERAGE(K118,K121,K124,K127,K130,K133,K136,K139)</f>
        <v/>
      </c>
      <c r="L142" s="179" t="n"/>
      <c r="M142" s="57">
        <f>AVERAGE(M118,M121,M124,M127,M130,M133,M136,M139)</f>
        <v/>
      </c>
      <c r="N142" s="179" t="n"/>
      <c r="O142" s="57">
        <f>AVERAGE(O118,O121,O124,O127,O130,O133,O136,O139)</f>
        <v/>
      </c>
      <c r="P142" s="186" t="n"/>
      <c r="Q142" s="122">
        <f>SUM(Q118,Q121,Q124,Q127,Q130,Q133,Q136,Q139)</f>
        <v/>
      </c>
      <c r="R142" s="186" t="n"/>
    </row>
    <row r="143" ht="17" customHeight="1" s="241" thickBot="1">
      <c r="D143" s="88" t="n"/>
      <c r="E143" s="89" t="n"/>
      <c r="F143" s="112" t="n"/>
      <c r="G143" s="102" t="n"/>
      <c r="H143" s="83" t="n"/>
      <c r="I143" s="83" t="n"/>
      <c r="J143" s="83" t="n"/>
      <c r="K143" s="100" t="n"/>
      <c r="L143" s="83" t="n"/>
      <c r="M143" s="100" t="n"/>
      <c r="N143" s="83" t="n"/>
      <c r="O143" s="100" t="n"/>
      <c r="P143" s="113" t="n"/>
    </row>
    <row r="144">
      <c r="D144" s="221">
        <f>BoxingPractice!A17</f>
        <v/>
      </c>
      <c r="E144" s="210">
        <f>D5</f>
        <v/>
      </c>
      <c r="F144" s="84">
        <f t="array" ref="F144">INDIRECT(""&amp;$E88 &amp; "!AO17")</f>
        <v/>
      </c>
      <c r="G144" s="44">
        <f t="array" ref="G144">INDIRECT(""&amp;$E88 &amp; "!AP17")</f>
        <v/>
      </c>
      <c r="H144" s="180">
        <f t="array" ref="H144">INDIRECT(""&amp;$E88 &amp; "!AQ17")</f>
        <v/>
      </c>
      <c r="I144" s="180">
        <f t="array" ref="I144">INDIRECT(""&amp;$E88 &amp; "!AR17")</f>
        <v/>
      </c>
      <c r="J144" s="180">
        <f t="array" ref="J144">INDIRECT(""&amp;$E88 &amp; "!AS17")</f>
        <v/>
      </c>
      <c r="K144" s="180">
        <f t="array" ref="K144">INDIRECT(""&amp;$E88 &amp; "!AT17")</f>
        <v/>
      </c>
      <c r="L144" s="180">
        <f t="array" ref="L144">INDIRECT(""&amp;$E88 &amp; "!AU17")</f>
        <v/>
      </c>
      <c r="M144" s="180">
        <f t="array" ref="M144">INDIRECT(""&amp;$E88 &amp; "!AV17")</f>
        <v/>
      </c>
      <c r="N144" s="180">
        <f t="array" ref="N144">INDIRECT(""&amp;$E88 &amp; "!AW17")</f>
        <v/>
      </c>
      <c r="O144" s="180">
        <f t="array" ref="O144">INDIRECT(""&amp;$E88 &amp; "!AX17")</f>
        <v/>
      </c>
      <c r="P144" s="184">
        <f t="array" ref="P144">INDIRECT(""&amp;$E88 &amp; "!AY17")</f>
        <v/>
      </c>
      <c r="Q144" s="247">
        <f t="array" ref="Q144">INDIRECT(""&amp;$E88 &amp; "!AZ17")</f>
        <v/>
      </c>
      <c r="R144" s="198">
        <f t="array" ref="R144">INDIRECT(""&amp;$E88 &amp; "!BA17")</f>
        <v/>
      </c>
    </row>
    <row r="145">
      <c r="D145" s="222" t="n"/>
      <c r="E145" s="195" t="n"/>
      <c r="F145" s="85">
        <f t="array" ref="F145">INDIRECT(""&amp;$E88 &amp; "!AO19")</f>
        <v/>
      </c>
      <c r="G145" s="17">
        <f t="array" ref="G145">INDIRECT(""&amp;$E88 &amp; "!AP19")</f>
        <v/>
      </c>
      <c r="H145" s="178" t="n"/>
      <c r="I145" s="178" t="n"/>
      <c r="J145" s="178" t="n"/>
      <c r="K145" s="177">
        <f t="array" ref="K145">INDIRECT(""&amp;$E88 &amp; "!AT19")</f>
        <v/>
      </c>
      <c r="L145" s="178" t="n"/>
      <c r="M145" s="177">
        <f t="array" ref="M145">INDIRECT(""&amp;$E88 &amp; "!AV19")</f>
        <v/>
      </c>
      <c r="N145" s="178" t="n"/>
      <c r="O145" s="177">
        <f t="array" ref="O145">INDIRECT(""&amp;$E88 &amp; "!AX19")</f>
        <v/>
      </c>
      <c r="P145" s="185" t="n"/>
      <c r="Q145" s="246">
        <f t="array" ref="Q145">INDIRECT(""&amp;$E88 &amp; "!AZ19")</f>
        <v/>
      </c>
      <c r="R145" s="185" t="n"/>
    </row>
    <row r="146" ht="17" customHeight="1" s="241" thickBot="1">
      <c r="D146" s="222" t="n"/>
      <c r="E146" s="211" t="n"/>
      <c r="F146" s="86">
        <f t="array" ref="F146">INDIRECT(""&amp;$E88 &amp; "!AO21")</f>
        <v/>
      </c>
      <c r="G146" s="17">
        <f t="array" ref="G146">INDIRECT(""&amp;$E88 &amp; "!AP21")</f>
        <v/>
      </c>
      <c r="H146" s="179" t="n"/>
      <c r="I146" s="179" t="n"/>
      <c r="J146" s="179" t="n"/>
      <c r="K146" s="177">
        <f t="array" ref="K146">INDIRECT(""&amp;$E88 &amp; "!AT21")</f>
        <v/>
      </c>
      <c r="L146" s="179" t="n"/>
      <c r="M146" s="177">
        <f t="array" ref="M146">INDIRECT(""&amp;$E88 &amp; "!AV21")</f>
        <v/>
      </c>
      <c r="N146" s="179" t="n"/>
      <c r="O146" s="177">
        <f t="array" ref="O146">INDIRECT(""&amp;$E88 &amp; "!Ax21")</f>
        <v/>
      </c>
      <c r="P146" s="186" t="n"/>
      <c r="Q146" s="246">
        <f t="array" ref="Q146">INDIRECT(""&amp;$E88 &amp; "!AZ21")</f>
        <v/>
      </c>
      <c r="R146" s="186" t="n"/>
    </row>
    <row r="147">
      <c r="D147" s="222" t="n"/>
      <c r="E147" s="210">
        <f>D8</f>
        <v/>
      </c>
      <c r="F147" s="84">
        <f t="array" ref="F147">INDIRECT(""&amp;$E91 &amp; "!AO17")</f>
        <v/>
      </c>
      <c r="G147" s="17">
        <f t="array" ref="G147">INDIRECT(""&amp;$E91 &amp; "!AP17")</f>
        <v/>
      </c>
      <c r="H147" s="177">
        <f t="array" ref="H147">INDIRECT(""&amp;$E91 &amp; "!AQ17")</f>
        <v/>
      </c>
      <c r="I147" s="177">
        <f t="array" ref="I147">INDIRECT(""&amp;$E91 &amp; "!AR17")</f>
        <v/>
      </c>
      <c r="J147" s="177">
        <f t="array" ref="J147">INDIRECT(""&amp;$E91 &amp; "!AS17")</f>
        <v/>
      </c>
      <c r="K147" s="177">
        <f t="array" ref="K147">INDIRECT(""&amp;$E91 &amp; "!AT17")</f>
        <v/>
      </c>
      <c r="L147" s="177">
        <f t="array" ref="L147">INDIRECT(""&amp;$E91 &amp; "!AU17")</f>
        <v/>
      </c>
      <c r="M147" s="177">
        <f t="array" ref="M147">INDIRECT(""&amp;$E91 &amp; "!AV17")</f>
        <v/>
      </c>
      <c r="N147" s="177">
        <f t="array" ref="N147">INDIRECT(""&amp;$E91 &amp; "!AW17")</f>
        <v/>
      </c>
      <c r="O147" s="177">
        <f t="array" ref="O147">INDIRECT(""&amp;$E91 &amp; "!AX17")</f>
        <v/>
      </c>
      <c r="P147" s="187">
        <f t="array" ref="P147">INDIRECT(""&amp;$E91 &amp; "!AY17")</f>
        <v/>
      </c>
      <c r="Q147" s="246">
        <f t="array" ref="Q147">INDIRECT(""&amp;$E91 &amp; "!AZ17")</f>
        <v/>
      </c>
      <c r="R147" s="188">
        <f t="array" ref="R147">INDIRECT(""&amp;$E91 &amp; "!BA17")</f>
        <v/>
      </c>
    </row>
    <row r="148">
      <c r="D148" s="222" t="n"/>
      <c r="E148" s="195" t="n"/>
      <c r="F148" s="85">
        <f t="array" ref="F148">INDIRECT(""&amp;$E91 &amp; "!AO19")</f>
        <v/>
      </c>
      <c r="G148" s="17">
        <f t="array" ref="G148">INDIRECT(""&amp;$E91 &amp; "!AP19")</f>
        <v/>
      </c>
      <c r="H148" s="178" t="n"/>
      <c r="I148" s="178" t="n"/>
      <c r="J148" s="178" t="n"/>
      <c r="K148" s="177">
        <f t="array" ref="K148">INDIRECT(""&amp;$E91 &amp; "!AT19")</f>
        <v/>
      </c>
      <c r="L148" s="178" t="n"/>
      <c r="M148" s="177">
        <f t="array" ref="M148">INDIRECT(""&amp;$E91 &amp; "!AV19")</f>
        <v/>
      </c>
      <c r="N148" s="178" t="n"/>
      <c r="O148" s="177">
        <f t="array" ref="O148">INDIRECT(""&amp;$E91 &amp; "!AX19")</f>
        <v/>
      </c>
      <c r="P148" s="185" t="n"/>
      <c r="Q148" s="246">
        <f t="array" ref="Q148">INDIRECT(""&amp;$E91 &amp; "!AZ19")</f>
        <v/>
      </c>
      <c r="R148" s="185" t="n"/>
    </row>
    <row r="149" ht="17" customHeight="1" s="241" thickBot="1">
      <c r="D149" s="222" t="n"/>
      <c r="E149" s="211" t="n"/>
      <c r="F149" s="86">
        <f t="array" ref="F149">INDIRECT(""&amp;$E91 &amp; "!AO21")</f>
        <v/>
      </c>
      <c r="G149" s="17">
        <f t="array" ref="G149">INDIRECT(""&amp;$E91 &amp; "!AP21")</f>
        <v/>
      </c>
      <c r="H149" s="179" t="n"/>
      <c r="I149" s="179" t="n"/>
      <c r="J149" s="179" t="n"/>
      <c r="K149" s="177">
        <f t="array" ref="K149">INDIRECT(""&amp;$E91 &amp; "!AT21")</f>
        <v/>
      </c>
      <c r="L149" s="179" t="n"/>
      <c r="M149" s="177">
        <f t="array" ref="M149">INDIRECT(""&amp;$E91 &amp; "!AV21")</f>
        <v/>
      </c>
      <c r="N149" s="179" t="n"/>
      <c r="O149" s="177">
        <f t="array" ref="O149">INDIRECT(""&amp;$E91 &amp; "!Ax21")</f>
        <v/>
      </c>
      <c r="P149" s="186" t="n"/>
      <c r="Q149" s="246">
        <f t="array" ref="Q149">INDIRECT(""&amp;$E91 &amp; "!AZ21")</f>
        <v/>
      </c>
      <c r="R149" s="186" t="n"/>
    </row>
    <row r="150">
      <c r="D150" s="222" t="n"/>
      <c r="E150" s="210">
        <f>D11</f>
        <v/>
      </c>
      <c r="F150" s="84">
        <f t="array" ref="F150">INDIRECT(""&amp;$E94 &amp; "!AO17")</f>
        <v/>
      </c>
      <c r="G150" s="17">
        <f t="array" ref="G150">INDIRECT(""&amp;$E94 &amp; "!AP17")</f>
        <v/>
      </c>
      <c r="H150" s="177">
        <f t="array" ref="H150">INDIRECT(""&amp;$E94 &amp; "!AQ17")</f>
        <v/>
      </c>
      <c r="I150" s="177">
        <f t="array" ref="I150">INDIRECT(""&amp;$E94 &amp; "!AR17")</f>
        <v/>
      </c>
      <c r="J150" s="177">
        <f t="array" ref="J150">INDIRECT(""&amp;$E94 &amp; "!AS17")</f>
        <v/>
      </c>
      <c r="K150" s="177">
        <f t="array" ref="K150">INDIRECT(""&amp;$E94 &amp; "!AT17")</f>
        <v/>
      </c>
      <c r="L150" s="177">
        <f t="array" ref="L150">INDIRECT(""&amp;$E94 &amp; "!AU17")</f>
        <v/>
      </c>
      <c r="M150" s="177">
        <f t="array" ref="M150">INDIRECT(""&amp;$E94 &amp; "!AV17")</f>
        <v/>
      </c>
      <c r="N150" s="177">
        <f t="array" ref="N150">INDIRECT(""&amp;$E94 &amp; "!AW17")</f>
        <v/>
      </c>
      <c r="O150" s="177">
        <f t="array" ref="O150">INDIRECT(""&amp;$E94 &amp; "!AX17")</f>
        <v/>
      </c>
      <c r="P150" s="187">
        <f t="array" ref="P150">INDIRECT(""&amp;$E94 &amp; "!AY17")</f>
        <v/>
      </c>
      <c r="Q150" s="246">
        <f t="array" ref="Q150">INDIRECT(""&amp;$E94 &amp; "!AZ17")</f>
        <v/>
      </c>
      <c r="R150" s="188">
        <f t="array" ref="R150">INDIRECT(""&amp;$E94 &amp; "!BA17")</f>
        <v/>
      </c>
    </row>
    <row r="151">
      <c r="D151" s="222" t="n"/>
      <c r="E151" s="195" t="n"/>
      <c r="F151" s="85">
        <f t="array" ref="F151">INDIRECT(""&amp;$E94 &amp; "!AO19")</f>
        <v/>
      </c>
      <c r="G151" s="17">
        <f t="array" ref="G151">INDIRECT(""&amp;$E94 &amp; "!AP19")</f>
        <v/>
      </c>
      <c r="H151" s="178" t="n"/>
      <c r="I151" s="178" t="n"/>
      <c r="J151" s="178" t="n"/>
      <c r="K151" s="177">
        <f t="array" ref="K151">INDIRECT(""&amp;$E94 &amp; "!AT19")</f>
        <v/>
      </c>
      <c r="L151" s="178" t="n"/>
      <c r="M151" s="177">
        <f t="array" ref="M151">INDIRECT(""&amp;$E94 &amp; "!AV19")</f>
        <v/>
      </c>
      <c r="N151" s="178" t="n"/>
      <c r="O151" s="177">
        <f t="array" ref="O151">INDIRECT(""&amp;$E94 &amp; "!AX19")</f>
        <v/>
      </c>
      <c r="P151" s="185" t="n"/>
      <c r="Q151" s="246">
        <f t="array" ref="Q151">INDIRECT(""&amp;$E94 &amp; "!AZ19")</f>
        <v/>
      </c>
      <c r="R151" s="185" t="n"/>
    </row>
    <row r="152" ht="17" customHeight="1" s="241" thickBot="1">
      <c r="D152" s="222" t="n"/>
      <c r="E152" s="211" t="n"/>
      <c r="F152" s="86">
        <f t="array" ref="F152">INDIRECT(""&amp;$E94 &amp; "!AO21")</f>
        <v/>
      </c>
      <c r="G152" s="17">
        <f t="array" ref="G152">INDIRECT(""&amp;$E94 &amp; "!AP21")</f>
        <v/>
      </c>
      <c r="H152" s="179" t="n"/>
      <c r="I152" s="179" t="n"/>
      <c r="J152" s="179" t="n"/>
      <c r="K152" s="177">
        <f t="array" ref="K152">INDIRECT(""&amp;$E94 &amp; "!AT21")</f>
        <v/>
      </c>
      <c r="L152" s="179" t="n"/>
      <c r="M152" s="177">
        <f t="array" ref="M152">INDIRECT(""&amp;$E94 &amp; "!AV21")</f>
        <v/>
      </c>
      <c r="N152" s="179" t="n"/>
      <c r="O152" s="177">
        <f t="array" ref="O152">INDIRECT(""&amp;$E94 &amp; "!Ax21")</f>
        <v/>
      </c>
      <c r="P152" s="186" t="n"/>
      <c r="Q152" s="246">
        <f t="array" ref="Q152">INDIRECT(""&amp;$E94 &amp; "!AZ21")</f>
        <v/>
      </c>
      <c r="R152" s="186" t="n"/>
    </row>
    <row r="153">
      <c r="D153" s="222" t="n"/>
      <c r="E153" s="210">
        <f>D14</f>
        <v/>
      </c>
      <c r="F153" s="84">
        <f t="array" ref="F153">INDIRECT(""&amp;$E97 &amp; "!AO17")</f>
        <v/>
      </c>
      <c r="G153" s="17">
        <f t="array" ref="G153">INDIRECT(""&amp;$E97 &amp; "!AP17")</f>
        <v/>
      </c>
      <c r="H153" s="177">
        <f t="array" ref="H153">INDIRECT(""&amp;$E97 &amp; "!AQ17")</f>
        <v/>
      </c>
      <c r="I153" s="177">
        <f t="array" ref="I153">INDIRECT(""&amp;$E97 &amp; "!AR17")</f>
        <v/>
      </c>
      <c r="J153" s="177">
        <f t="array" ref="J153">INDIRECT(""&amp;$E97 &amp; "!AS17")</f>
        <v/>
      </c>
      <c r="K153" s="177">
        <f t="array" ref="K153">INDIRECT(""&amp;$E97 &amp; "!AT17")</f>
        <v/>
      </c>
      <c r="L153" s="177">
        <f t="array" ref="L153">INDIRECT(""&amp;$E97 &amp; "!AU17")</f>
        <v/>
      </c>
      <c r="M153" s="177">
        <f t="array" ref="M153">INDIRECT(""&amp;$E97 &amp; "!AV17")</f>
        <v/>
      </c>
      <c r="N153" s="177">
        <f t="array" ref="N153">INDIRECT(""&amp;$E97 &amp; "!AW17")</f>
        <v/>
      </c>
      <c r="O153" s="177">
        <f t="array" ref="O153">INDIRECT(""&amp;$E97 &amp; "!AX17")</f>
        <v/>
      </c>
      <c r="P153" s="187">
        <f t="array" ref="P153">INDIRECT(""&amp;$E97 &amp; "!AY17")</f>
        <v/>
      </c>
      <c r="Q153" s="246">
        <f t="array" ref="Q153">INDIRECT(""&amp;$E97 &amp; "!AZ17")</f>
        <v/>
      </c>
      <c r="R153" s="188">
        <f t="array" ref="R153">INDIRECT(""&amp;$E97 &amp; "!BA17")</f>
        <v/>
      </c>
    </row>
    <row r="154">
      <c r="D154" s="222" t="n"/>
      <c r="E154" s="195" t="n"/>
      <c r="F154" s="85">
        <f t="array" ref="F154">INDIRECT(""&amp;$E97 &amp; "!AO19")</f>
        <v/>
      </c>
      <c r="G154" s="17">
        <f t="array" ref="G154">INDIRECT(""&amp;$E97 &amp; "!AP19")</f>
        <v/>
      </c>
      <c r="H154" s="178" t="n"/>
      <c r="I154" s="178" t="n"/>
      <c r="J154" s="178" t="n"/>
      <c r="K154" s="177">
        <f t="array" ref="K154">INDIRECT(""&amp;$E97 &amp; "!AT19")</f>
        <v/>
      </c>
      <c r="L154" s="178" t="n"/>
      <c r="M154" s="177">
        <f t="array" ref="M154">INDIRECT(""&amp;$E97 &amp; "!AV19")</f>
        <v/>
      </c>
      <c r="N154" s="178" t="n"/>
      <c r="O154" s="177">
        <f t="array" ref="O154">INDIRECT(""&amp;$E97 &amp; "!AX19")</f>
        <v/>
      </c>
      <c r="P154" s="185" t="n"/>
      <c r="Q154" s="246">
        <f t="array" ref="Q154">INDIRECT(""&amp;$E97 &amp; "!AZ19")</f>
        <v/>
      </c>
      <c r="R154" s="185" t="n"/>
    </row>
    <row r="155" ht="17" customHeight="1" s="241" thickBot="1">
      <c r="D155" s="222" t="n"/>
      <c r="E155" s="211" t="n"/>
      <c r="F155" s="86">
        <f t="array" ref="F155">INDIRECT(""&amp;$E97 &amp; "!AO21")</f>
        <v/>
      </c>
      <c r="G155" s="17">
        <f t="array" ref="G155">INDIRECT(""&amp;$E97 &amp; "!AP21")</f>
        <v/>
      </c>
      <c r="H155" s="179" t="n"/>
      <c r="I155" s="179" t="n"/>
      <c r="J155" s="179" t="n"/>
      <c r="K155" s="177">
        <f t="array" ref="K155">INDIRECT(""&amp;$E97 &amp; "!AT21")</f>
        <v/>
      </c>
      <c r="L155" s="179" t="n"/>
      <c r="M155" s="177">
        <f t="array" ref="M155">INDIRECT(""&amp;$E97 &amp; "!AV21")</f>
        <v/>
      </c>
      <c r="N155" s="179" t="n"/>
      <c r="O155" s="177">
        <f t="array" ref="O155">INDIRECT(""&amp;$E97 &amp; "!Ax21")</f>
        <v/>
      </c>
      <c r="P155" s="186" t="n"/>
      <c r="Q155" s="246">
        <f t="array" ref="Q155">INDIRECT(""&amp;$E97 &amp; "!AZ21")</f>
        <v/>
      </c>
      <c r="R155" s="186" t="n"/>
    </row>
    <row r="156">
      <c r="D156" s="222" t="n"/>
      <c r="E156" s="210">
        <f>D17</f>
        <v/>
      </c>
      <c r="F156" s="84">
        <f t="array" ref="F156">INDIRECT(""&amp;$E100 &amp; "!AO17")</f>
        <v/>
      </c>
      <c r="G156" s="17">
        <f t="array" ref="G156">INDIRECT(""&amp;$E100 &amp; "!AP17")</f>
        <v/>
      </c>
      <c r="H156" s="177">
        <f t="array" ref="H156">INDIRECT(""&amp;$E100 &amp; "!AQ17")</f>
        <v/>
      </c>
      <c r="I156" s="177">
        <f t="array" ref="I156">INDIRECT(""&amp;$E100 &amp; "!AR17")</f>
        <v/>
      </c>
      <c r="J156" s="177">
        <f t="array" ref="J156">INDIRECT(""&amp;$E100 &amp; "!AS17")</f>
        <v/>
      </c>
      <c r="K156" s="177">
        <f t="array" ref="K156">INDIRECT(""&amp;$E100 &amp; "!AT17")</f>
        <v/>
      </c>
      <c r="L156" s="177">
        <f t="array" ref="L156">INDIRECT(""&amp;$E100 &amp; "!AU17")</f>
        <v/>
      </c>
      <c r="M156" s="177">
        <f t="array" ref="M156">INDIRECT(""&amp;$E100 &amp; "!AV17")</f>
        <v/>
      </c>
      <c r="N156" s="177">
        <f t="array" ref="N156">INDIRECT(""&amp;$E100 &amp; "!AW17")</f>
        <v/>
      </c>
      <c r="O156" s="177">
        <f t="array" ref="O156">INDIRECT(""&amp;$E100 &amp; "!AX17")</f>
        <v/>
      </c>
      <c r="P156" s="187">
        <f t="array" ref="P156">INDIRECT(""&amp;$E100 &amp; "!AY17")</f>
        <v/>
      </c>
      <c r="Q156" s="246">
        <f t="array" ref="Q156">INDIRECT(""&amp;$E100 &amp; "!AZ17")</f>
        <v/>
      </c>
      <c r="R156" s="188">
        <f t="array" ref="R156">INDIRECT(""&amp;$E100 &amp; "!BA17")</f>
        <v/>
      </c>
    </row>
    <row r="157">
      <c r="D157" s="222" t="n"/>
      <c r="E157" s="195" t="n"/>
      <c r="F157" s="85">
        <f t="array" ref="F157">INDIRECT(""&amp;$E100 &amp; "!AO19")</f>
        <v/>
      </c>
      <c r="G157" s="17">
        <f t="array" ref="G157">INDIRECT(""&amp;$E100 &amp; "!AP19")</f>
        <v/>
      </c>
      <c r="H157" s="178" t="n"/>
      <c r="I157" s="178" t="n"/>
      <c r="J157" s="178" t="n"/>
      <c r="K157" s="177">
        <f t="array" ref="K157">INDIRECT(""&amp;$E100 &amp; "!AT19")</f>
        <v/>
      </c>
      <c r="L157" s="178" t="n"/>
      <c r="M157" s="177">
        <f t="array" ref="M157">INDIRECT(""&amp;$E100 &amp; "!AV19")</f>
        <v/>
      </c>
      <c r="N157" s="178" t="n"/>
      <c r="O157" s="177">
        <f t="array" ref="O157">INDIRECT(""&amp;$E100 &amp; "!AX19")</f>
        <v/>
      </c>
      <c r="P157" s="185" t="n"/>
      <c r="Q157" s="246">
        <f t="array" ref="Q157">INDIRECT(""&amp;$E100 &amp; "!AZ19")</f>
        <v/>
      </c>
      <c r="R157" s="185" t="n"/>
    </row>
    <row r="158" ht="17" customHeight="1" s="241" thickBot="1">
      <c r="D158" s="222" t="n"/>
      <c r="E158" s="211" t="n"/>
      <c r="F158" s="86">
        <f t="array" ref="F158">INDIRECT(""&amp;$E100 &amp; "!AO21")</f>
        <v/>
      </c>
      <c r="G158" s="17">
        <f t="array" ref="G158">INDIRECT(""&amp;$E100 &amp; "!AP21")</f>
        <v/>
      </c>
      <c r="H158" s="179" t="n"/>
      <c r="I158" s="179" t="n"/>
      <c r="J158" s="179" t="n"/>
      <c r="K158" s="177">
        <f t="array" ref="K158">INDIRECT(""&amp;$E100 &amp; "!AT21")</f>
        <v/>
      </c>
      <c r="L158" s="179" t="n"/>
      <c r="M158" s="177">
        <f t="array" ref="M158">INDIRECT(""&amp;$E100 &amp; "!AV21")</f>
        <v/>
      </c>
      <c r="N158" s="179" t="n"/>
      <c r="O158" s="177">
        <f t="array" ref="O158">INDIRECT(""&amp;$E100 &amp; "!Ax21")</f>
        <v/>
      </c>
      <c r="P158" s="186" t="n"/>
      <c r="Q158" s="246">
        <f t="array" ref="Q158">INDIRECT(""&amp;$E100 &amp; "!AZ21")</f>
        <v/>
      </c>
      <c r="R158" s="186" t="n"/>
    </row>
    <row r="159">
      <c r="D159" s="222" t="n"/>
      <c r="E159" s="210">
        <f>D20</f>
        <v/>
      </c>
      <c r="F159" s="84">
        <f t="array" ref="F159">INDIRECT(""&amp;$E103 &amp; "!AO17")</f>
        <v/>
      </c>
      <c r="G159" s="17">
        <f t="array" ref="G159">INDIRECT(""&amp;$E103 &amp; "!AP17")</f>
        <v/>
      </c>
      <c r="H159" s="177">
        <f t="array" ref="H159">INDIRECT(""&amp;$E103 &amp; "!AQ17")</f>
        <v/>
      </c>
      <c r="I159" s="177">
        <f t="array" ref="I159">INDIRECT(""&amp;$E103 &amp; "!AR17")</f>
        <v/>
      </c>
      <c r="J159" s="177">
        <f t="array" ref="J159">INDIRECT(""&amp;$E103 &amp; "!AS17")</f>
        <v/>
      </c>
      <c r="K159" s="177">
        <f t="array" ref="K159">INDIRECT(""&amp;$E103 &amp; "!AT17")</f>
        <v/>
      </c>
      <c r="L159" s="177">
        <f t="array" ref="L159">INDIRECT(""&amp;$E103 &amp; "!AU17")</f>
        <v/>
      </c>
      <c r="M159" s="177">
        <f t="array" ref="M159">INDIRECT(""&amp;$E103 &amp; "!AV17")</f>
        <v/>
      </c>
      <c r="N159" s="177">
        <f t="array" ref="N159">INDIRECT(""&amp;$E103 &amp; "!AW17")</f>
        <v/>
      </c>
      <c r="O159" s="177">
        <f t="array" ref="O159">INDIRECT(""&amp;$E103 &amp; "!AX17")</f>
        <v/>
      </c>
      <c r="P159" s="187">
        <f t="array" ref="P159">INDIRECT(""&amp;$E103 &amp; "!AY17")</f>
        <v/>
      </c>
      <c r="Q159" s="246">
        <f t="array" ref="Q159">INDIRECT(""&amp;$E103 &amp; "!AZ17")</f>
        <v/>
      </c>
      <c r="R159" s="188">
        <f t="array" ref="R159">INDIRECT(""&amp;$E103 &amp; "!BA17")</f>
        <v/>
      </c>
    </row>
    <row r="160">
      <c r="D160" s="222" t="n"/>
      <c r="E160" s="195" t="n"/>
      <c r="F160" s="85">
        <f t="array" ref="F160">INDIRECT(""&amp;$E103 &amp; "!AO19")</f>
        <v/>
      </c>
      <c r="G160" s="17">
        <f t="array" ref="G160">INDIRECT(""&amp;$E103 &amp; "!AP19")</f>
        <v/>
      </c>
      <c r="H160" s="178" t="n"/>
      <c r="I160" s="178" t="n"/>
      <c r="J160" s="178" t="n"/>
      <c r="K160" s="177">
        <f t="array" ref="K160">INDIRECT(""&amp;$E103 &amp; "!AT19")</f>
        <v/>
      </c>
      <c r="L160" s="178" t="n"/>
      <c r="M160" s="177">
        <f t="array" ref="M160">INDIRECT(""&amp;$E103 &amp; "!AV19")</f>
        <v/>
      </c>
      <c r="N160" s="178" t="n"/>
      <c r="O160" s="177">
        <f t="array" ref="O160">INDIRECT(""&amp;$E103 &amp; "!AX19")</f>
        <v/>
      </c>
      <c r="P160" s="185" t="n"/>
      <c r="Q160" s="246">
        <f t="array" ref="Q160">INDIRECT(""&amp;$E103 &amp; "!AZ19")</f>
        <v/>
      </c>
      <c r="R160" s="185" t="n"/>
    </row>
    <row r="161" ht="17" customHeight="1" s="241" thickBot="1">
      <c r="D161" s="222" t="n"/>
      <c r="E161" s="211" t="n"/>
      <c r="F161" s="86">
        <f t="array" ref="F161">INDIRECT(""&amp;$E103 &amp; "!AO21")</f>
        <v/>
      </c>
      <c r="G161" s="17">
        <f t="array" ref="G161">INDIRECT(""&amp;$E103 &amp; "!AP21")</f>
        <v/>
      </c>
      <c r="H161" s="179" t="n"/>
      <c r="I161" s="179" t="n"/>
      <c r="J161" s="179" t="n"/>
      <c r="K161" s="177">
        <f t="array" ref="K161">INDIRECT(""&amp;$E103 &amp; "!AT21")</f>
        <v/>
      </c>
      <c r="L161" s="179" t="n"/>
      <c r="M161" s="177">
        <f t="array" ref="M161">INDIRECT(""&amp;$E103 &amp; "!AV21")</f>
        <v/>
      </c>
      <c r="N161" s="179" t="n"/>
      <c r="O161" s="177">
        <f t="array" ref="O161">INDIRECT(""&amp;$E103 &amp; "!Ax21")</f>
        <v/>
      </c>
      <c r="P161" s="186" t="n"/>
      <c r="Q161" s="246">
        <f t="array" ref="Q161">INDIRECT(""&amp;$E103 &amp; "!AZ21")</f>
        <v/>
      </c>
      <c r="R161" s="186" t="n"/>
    </row>
    <row r="162">
      <c r="D162" s="222" t="n"/>
      <c r="E162" s="210">
        <f>D23</f>
        <v/>
      </c>
      <c r="F162" s="84">
        <f t="array" ref="F162">INDIRECT(""&amp;$E106 &amp; "!AO17")</f>
        <v/>
      </c>
      <c r="G162" s="17">
        <f t="array" ref="G162">INDIRECT(""&amp;$E106 &amp; "!AP17")</f>
        <v/>
      </c>
      <c r="H162" s="177">
        <f t="array" ref="H162">INDIRECT(""&amp;$E106 &amp; "!AQ17")</f>
        <v/>
      </c>
      <c r="I162" s="177">
        <f t="array" ref="I162">INDIRECT(""&amp;$E106 &amp; "!AR17")</f>
        <v/>
      </c>
      <c r="J162" s="177">
        <f t="array" ref="J162">INDIRECT(""&amp;$E106 &amp; "!AS17")</f>
        <v/>
      </c>
      <c r="K162" s="177">
        <f t="array" ref="K162">INDIRECT(""&amp;$E106 &amp; "!AT17")</f>
        <v/>
      </c>
      <c r="L162" s="177">
        <f t="array" ref="L162">INDIRECT(""&amp;$E106 &amp; "!AU17")</f>
        <v/>
      </c>
      <c r="M162" s="177">
        <f t="array" ref="M162">INDIRECT(""&amp;$E106 &amp; "!AV17")</f>
        <v/>
      </c>
      <c r="N162" s="177">
        <f t="array" ref="N162">INDIRECT(""&amp;$E106 &amp; "!AW17")</f>
        <v/>
      </c>
      <c r="O162" s="177">
        <f t="array" ref="O162">INDIRECT(""&amp;$E106 &amp; "!AX17")</f>
        <v/>
      </c>
      <c r="P162" s="187">
        <f t="array" ref="P162">INDIRECT(""&amp;$E106 &amp; "!AY17")</f>
        <v/>
      </c>
      <c r="Q162" s="246">
        <f t="array" ref="Q162">INDIRECT(""&amp;$E106 &amp; "!AZ17")</f>
        <v/>
      </c>
      <c r="R162" s="188">
        <f t="array" ref="R162">INDIRECT(""&amp;$E106 &amp; "!BA17")</f>
        <v/>
      </c>
    </row>
    <row r="163">
      <c r="D163" s="222" t="n"/>
      <c r="E163" s="195" t="n"/>
      <c r="F163" s="85">
        <f t="array" ref="F163">INDIRECT(""&amp;$E106 &amp; "!AO19")</f>
        <v/>
      </c>
      <c r="G163" s="17">
        <f t="array" ref="G163">INDIRECT(""&amp;$E106 &amp; "!AP19")</f>
        <v/>
      </c>
      <c r="H163" s="178" t="n"/>
      <c r="I163" s="178" t="n"/>
      <c r="J163" s="178" t="n"/>
      <c r="K163" s="177">
        <f t="array" ref="K163">INDIRECT(""&amp;$E106 &amp; "!AT19")</f>
        <v/>
      </c>
      <c r="L163" s="178" t="n"/>
      <c r="M163" s="177">
        <f t="array" ref="M163">INDIRECT(""&amp;$E106 &amp; "!AV19")</f>
        <v/>
      </c>
      <c r="N163" s="178" t="n"/>
      <c r="O163" s="177">
        <f t="array" ref="O163">INDIRECT(""&amp;$E106 &amp; "!AX19")</f>
        <v/>
      </c>
      <c r="P163" s="185" t="n"/>
      <c r="Q163" s="246">
        <f t="array" ref="Q163">INDIRECT(""&amp;$E106 &amp; "!AZ19")</f>
        <v/>
      </c>
      <c r="R163" s="185" t="n"/>
    </row>
    <row r="164" ht="17" customHeight="1" s="241" thickBot="1">
      <c r="D164" s="222" t="n"/>
      <c r="E164" s="211" t="n"/>
      <c r="F164" s="86">
        <f t="array" ref="F164">INDIRECT(""&amp;$E106 &amp; "!AO21")</f>
        <v/>
      </c>
      <c r="G164" s="17">
        <f t="array" ref="G164">INDIRECT(""&amp;$E106 &amp; "!AP21")</f>
        <v/>
      </c>
      <c r="H164" s="179" t="n"/>
      <c r="I164" s="179" t="n"/>
      <c r="J164" s="179" t="n"/>
      <c r="K164" s="177">
        <f t="array" ref="K164">INDIRECT(""&amp;$E106 &amp; "!AT21")</f>
        <v/>
      </c>
      <c r="L164" s="179" t="n"/>
      <c r="M164" s="177">
        <f t="array" ref="M164">INDIRECT(""&amp;$E106 &amp; "!AV21")</f>
        <v/>
      </c>
      <c r="N164" s="179" t="n"/>
      <c r="O164" s="177">
        <f t="array" ref="O164">INDIRECT(""&amp;$E106 &amp; "!Ax21")</f>
        <v/>
      </c>
      <c r="P164" s="186" t="n"/>
      <c r="Q164" s="246">
        <f t="array" ref="Q164">INDIRECT(""&amp;$E106 &amp; "!AZ21")</f>
        <v/>
      </c>
      <c r="R164" s="186" t="n"/>
    </row>
    <row r="165">
      <c r="D165" s="222" t="n"/>
      <c r="E165" s="216">
        <f>D26</f>
        <v/>
      </c>
      <c r="F165" s="84">
        <f t="array" ref="F165">INDIRECT(""&amp;$E109 &amp; "!AO17")</f>
        <v/>
      </c>
      <c r="G165" s="17">
        <f t="array" ref="G165">INDIRECT(""&amp;$E109 &amp; "!AP17")</f>
        <v/>
      </c>
      <c r="H165" s="177">
        <f t="array" ref="H165">INDIRECT(""&amp;$E109 &amp; "!AQ17")</f>
        <v/>
      </c>
      <c r="I165" s="177">
        <f t="array" ref="I165">INDIRECT(""&amp;$E109 &amp; "!AR17")</f>
        <v/>
      </c>
      <c r="J165" s="177">
        <f t="array" ref="J165">INDIRECT(""&amp;$E109 &amp; "!AS17")</f>
        <v/>
      </c>
      <c r="K165" s="177">
        <f t="array" ref="K165">INDIRECT(""&amp;$E109 &amp; "!AT17")</f>
        <v/>
      </c>
      <c r="L165" s="177">
        <f t="array" ref="L165">INDIRECT(""&amp;$E109 &amp; "!AU17")</f>
        <v/>
      </c>
      <c r="M165" s="177">
        <f t="array" ref="M165">INDIRECT(""&amp;$E109 &amp; "!AV17")</f>
        <v/>
      </c>
      <c r="N165" s="177">
        <f t="array" ref="N165">INDIRECT(""&amp;$E109 &amp; "!AW17")</f>
        <v/>
      </c>
      <c r="O165" s="177">
        <f t="array" ref="O165">INDIRECT(""&amp;$E109 &amp; "!AX17")</f>
        <v/>
      </c>
      <c r="P165" s="187">
        <f t="array" ref="P165">INDIRECT(""&amp;$E109 &amp; "!AY17")</f>
        <v/>
      </c>
      <c r="Q165" s="246">
        <f t="array" ref="Q165">INDIRECT(""&amp;$E109 &amp; "!AZ17")</f>
        <v/>
      </c>
      <c r="R165" s="188">
        <f t="array" ref="R165">INDIRECT(""&amp;$E109 &amp; "!BA17")</f>
        <v/>
      </c>
    </row>
    <row r="166">
      <c r="D166" s="222" t="n"/>
      <c r="E166" s="195" t="n"/>
      <c r="F166" s="85">
        <f t="array" ref="F166">INDIRECT(""&amp;$E109 &amp; "!AO19")</f>
        <v/>
      </c>
      <c r="G166" s="17">
        <f t="array" ref="G166">INDIRECT(""&amp;$E109 &amp; "!AP19")</f>
        <v/>
      </c>
      <c r="H166" s="178" t="n"/>
      <c r="I166" s="178" t="n"/>
      <c r="J166" s="178" t="n"/>
      <c r="K166" s="177">
        <f t="array" ref="K166">INDIRECT(""&amp;$E109 &amp; "!AT19")</f>
        <v/>
      </c>
      <c r="L166" s="178" t="n"/>
      <c r="M166" s="177">
        <f t="array" ref="M166">INDIRECT(""&amp;$E109 &amp; "!AV19")</f>
        <v/>
      </c>
      <c r="N166" s="178" t="n"/>
      <c r="O166" s="177">
        <f t="array" ref="O166">INDIRECT(""&amp;$E109 &amp; "!AX19")</f>
        <v/>
      </c>
      <c r="P166" s="185" t="n"/>
      <c r="Q166" s="246">
        <f t="array" ref="Q166">INDIRECT(""&amp;$E109 &amp; "!AZ19")</f>
        <v/>
      </c>
      <c r="R166" s="185" t="n"/>
    </row>
    <row r="167" ht="17" customHeight="1" s="241" thickBot="1">
      <c r="D167" s="222" t="n"/>
      <c r="E167" s="195" t="n"/>
      <c r="F167" s="105">
        <f t="array" ref="F167">INDIRECT(""&amp;$E109 &amp; "!AO21")</f>
        <v/>
      </c>
      <c r="G167" s="49">
        <f t="array" ref="G167">INDIRECT(""&amp;$E109 &amp; "!AP21")</f>
        <v/>
      </c>
      <c r="H167" s="179" t="n"/>
      <c r="I167" s="179" t="n"/>
      <c r="J167" s="179" t="n"/>
      <c r="K167" s="101">
        <f t="array" ref="K167">INDIRECT(""&amp;$E109 &amp; "!AT21")</f>
        <v/>
      </c>
      <c r="L167" s="179" t="n"/>
      <c r="M167" s="101">
        <f t="array" ref="M167">INDIRECT(""&amp;$E109 &amp; "!AV21")</f>
        <v/>
      </c>
      <c r="N167" s="179" t="n"/>
      <c r="O167" s="101">
        <f t="array" ref="O167">INDIRECT(""&amp;$E109 &amp; "!Ax21")</f>
        <v/>
      </c>
      <c r="P167" s="186" t="n"/>
      <c r="Q167" s="126">
        <f t="array" ref="Q167">INDIRECT(""&amp;$E109 &amp; "!AZ21")</f>
        <v/>
      </c>
      <c r="R167" s="186" t="n"/>
    </row>
    <row r="168">
      <c r="D168" s="222" t="n"/>
      <c r="E168" s="210" t="inlineStr">
        <is>
          <t>averages</t>
        </is>
      </c>
      <c r="F168" s="84" t="inlineStr">
        <is>
          <t>High</t>
        </is>
      </c>
      <c r="G168" s="44">
        <f>AVERAGE(G144,G147,G150,G153,G156,G159,G162,G165)</f>
        <v/>
      </c>
      <c r="H168" s="180">
        <f>AVERAGE(H144:H167)</f>
        <v/>
      </c>
      <c r="I168" s="180">
        <f>AVERAGE(I144:I167)</f>
        <v/>
      </c>
      <c r="J168" s="180">
        <f>AVERAGE(J144:J167)</f>
        <v/>
      </c>
      <c r="K168" s="180">
        <f>AVERAGE(K144,K147,K150,K153,K156,K159,K162,K165)</f>
        <v/>
      </c>
      <c r="L168" s="180">
        <f>AVERAGE(L144:L167)</f>
        <v/>
      </c>
      <c r="M168" s="180">
        <f>AVERAGE(M144,M147,M150,M153,M156,M159,M162,M165)</f>
        <v/>
      </c>
      <c r="N168" s="180">
        <f>AVERAGE(N144:N167)</f>
        <v/>
      </c>
      <c r="O168" s="180">
        <f>AVERAGE(O144,O147,O150,O153,O156,O159,O162,O165)</f>
        <v/>
      </c>
      <c r="P168" s="184">
        <f>AVERAGE(P144:P167)</f>
        <v/>
      </c>
      <c r="Q168" s="247">
        <f>SUM(Q144,Q147,Q150,Q153,Q156,Q159,Q162,Q165)</f>
        <v/>
      </c>
      <c r="R168" s="198">
        <f>SUM(R144:R167)</f>
        <v/>
      </c>
    </row>
    <row r="169">
      <c r="D169" s="222" t="n"/>
      <c r="E169" s="195" t="n"/>
      <c r="F169" s="85" t="inlineStr">
        <is>
          <t>Med</t>
        </is>
      </c>
      <c r="G169" s="17">
        <f>AVERAGE(G145,G148,G151,G154,G157,G160,G163,G166)</f>
        <v/>
      </c>
      <c r="H169" s="178" t="n"/>
      <c r="I169" s="178" t="n"/>
      <c r="J169" s="178" t="n"/>
      <c r="K169" s="177">
        <f>AVERAGE(K145,K148,K151,K154,K157,K160,K163,K166)</f>
        <v/>
      </c>
      <c r="L169" s="178" t="n"/>
      <c r="M169" s="177">
        <f>AVERAGE(M145,M148,M151,M154,M157,M160,M163,M166)</f>
        <v/>
      </c>
      <c r="N169" s="178" t="n"/>
      <c r="O169" s="177">
        <f>AVERAGE(O145,O148,O151,O154,O157,O160,O163,O166)</f>
        <v/>
      </c>
      <c r="P169" s="185" t="n"/>
      <c r="Q169" s="246">
        <f>SUM(Q145,Q148,Q151,Q154,Q157,Q160,Q163,Q166)</f>
        <v/>
      </c>
      <c r="R169" s="185" t="n"/>
    </row>
    <row r="170" ht="17" customHeight="1" s="241" thickBot="1">
      <c r="D170" s="223" t="n"/>
      <c r="E170" s="211" t="n"/>
      <c r="F170" s="86" t="inlineStr">
        <is>
          <t>Low</t>
        </is>
      </c>
      <c r="G170" s="47">
        <f>AVERAGE(G146,G149,G152,G155,G158,G161,G164,G167)</f>
        <v/>
      </c>
      <c r="H170" s="179" t="n"/>
      <c r="I170" s="179" t="n"/>
      <c r="J170" s="179" t="n"/>
      <c r="K170" s="57">
        <f>AVERAGE(K146,K149,K152,K155,K158,K161,K164,K167)</f>
        <v/>
      </c>
      <c r="L170" s="179" t="n"/>
      <c r="M170" s="57">
        <f>AVERAGE(M146,M149,M152,M155,M158,M161,M164,M167)</f>
        <v/>
      </c>
      <c r="N170" s="179" t="n"/>
      <c r="O170" s="57">
        <f>AVERAGE(O146,O149,O152,O155,O158,O161,O164,O167)</f>
        <v/>
      </c>
      <c r="P170" s="186" t="n"/>
      <c r="Q170" s="122">
        <f>SUM(Q146,Q149,Q152,Q155,Q158,Q161,Q164,Q167)</f>
        <v/>
      </c>
      <c r="R170" s="186" t="n"/>
    </row>
    <row r="171" ht="17" customHeight="1" s="241" thickBot="1">
      <c r="D171" s="88" t="n"/>
      <c r="E171" s="89" t="n"/>
      <c r="F171" s="112" t="n"/>
      <c r="G171" s="102" t="n"/>
      <c r="H171" s="83" t="n"/>
      <c r="I171" s="83" t="n"/>
      <c r="J171" s="83" t="n"/>
      <c r="K171" s="100" t="n"/>
      <c r="L171" s="83" t="n"/>
      <c r="M171" s="100" t="n"/>
      <c r="N171" s="83" t="n"/>
      <c r="O171" s="100" t="n"/>
      <c r="P171" s="113" t="n"/>
    </row>
    <row r="172">
      <c r="D172" s="221">
        <f>BoxingPractice!A23</f>
        <v/>
      </c>
      <c r="E172" s="210">
        <f>D5</f>
        <v/>
      </c>
      <c r="F172" s="84">
        <f t="array" ref="F172">INDIRECT(""&amp;$E88 &amp; "!AO23")</f>
        <v/>
      </c>
      <c r="G172" s="44">
        <f t="array" ref="G172">INDIRECT(""&amp;$E88 &amp; "!AP23")</f>
        <v/>
      </c>
      <c r="H172" s="180">
        <f t="array" ref="H172">INDIRECT(""&amp;$E88 &amp; "!AQ23")</f>
        <v/>
      </c>
      <c r="I172" s="180">
        <f t="array" ref="I172">INDIRECT(""&amp;$E88 &amp; "!AR23")</f>
        <v/>
      </c>
      <c r="J172" s="180">
        <f t="array" ref="J172">INDIRECT(""&amp;$E88 &amp; "!AS23")</f>
        <v/>
      </c>
      <c r="K172" s="180">
        <f t="array" ref="K172">INDIRECT(""&amp;$E88 &amp; "!AT23")</f>
        <v/>
      </c>
      <c r="L172" s="180">
        <f t="array" ref="L172">INDIRECT(""&amp;$E88 &amp; "!AU23")</f>
        <v/>
      </c>
      <c r="M172" s="180">
        <f t="array" ref="M172">INDIRECT(""&amp;$E88 &amp; "!AV23")</f>
        <v/>
      </c>
      <c r="N172" s="180">
        <f t="array" ref="N172">INDIRECT(""&amp;$E88 &amp; "!AW23")</f>
        <v/>
      </c>
      <c r="O172" s="180">
        <f t="array" ref="O172">INDIRECT(""&amp;$E88 &amp; "!AX23")</f>
        <v/>
      </c>
      <c r="P172" s="184">
        <f t="array" ref="P172">INDIRECT(""&amp;$E88 &amp; "!AY23")</f>
        <v/>
      </c>
      <c r="Q172" s="247">
        <f t="array" ref="Q172">INDIRECT(""&amp;$E88 &amp; "!AZ23")</f>
        <v/>
      </c>
      <c r="R172" s="198">
        <f t="array" ref="R172">INDIRECT(""&amp;$E88 &amp; "!BA23")</f>
        <v/>
      </c>
    </row>
    <row r="173">
      <c r="D173" s="222" t="n"/>
      <c r="E173" s="195" t="n"/>
      <c r="F173" s="85">
        <f t="array" ref="F173">INDIRECT(""&amp;$E88 &amp; "!AO25")</f>
        <v/>
      </c>
      <c r="G173" s="17">
        <f t="array" ref="G173">INDIRECT(""&amp;$E88 &amp; "!AP25")</f>
        <v/>
      </c>
      <c r="H173" s="178" t="n"/>
      <c r="I173" s="178" t="n"/>
      <c r="J173" s="178" t="n"/>
      <c r="K173" s="177">
        <f t="array" ref="K173">INDIRECT(""&amp;$E88 &amp; "!AT25")</f>
        <v/>
      </c>
      <c r="L173" s="178" t="n"/>
      <c r="M173" s="177">
        <f t="array" ref="M173">INDIRECT(""&amp;$E88 &amp; "!AV25")</f>
        <v/>
      </c>
      <c r="N173" s="178" t="n"/>
      <c r="O173" s="177">
        <f t="array" ref="O173">INDIRECT(""&amp;$E88 &amp; "!AX25")</f>
        <v/>
      </c>
      <c r="P173" s="185" t="n"/>
      <c r="Q173" s="246">
        <f t="array" ref="Q173">INDIRECT(""&amp;$E88 &amp; "!AZ25")</f>
        <v/>
      </c>
      <c r="R173" s="185" t="n"/>
    </row>
    <row r="174" ht="17" customHeight="1" s="241" thickBot="1">
      <c r="D174" s="222" t="n"/>
      <c r="E174" s="211" t="n"/>
      <c r="F174" s="86">
        <f t="array" ref="F174">INDIRECT(""&amp;$E88 &amp; "!AO27")</f>
        <v/>
      </c>
      <c r="G174" s="17">
        <f t="array" ref="G174">INDIRECT(""&amp;$E88 &amp; "!AP27")</f>
        <v/>
      </c>
      <c r="H174" s="179" t="n"/>
      <c r="I174" s="179" t="n"/>
      <c r="J174" s="179" t="n"/>
      <c r="K174" s="177">
        <f t="array" ref="K174">INDIRECT(""&amp;$E88 &amp; "!AT27")</f>
        <v/>
      </c>
      <c r="L174" s="179" t="n"/>
      <c r="M174" s="177">
        <f t="array" ref="M174">INDIRECT(""&amp;$E88 &amp; "!AV27")</f>
        <v/>
      </c>
      <c r="N174" s="179" t="n"/>
      <c r="O174" s="177">
        <f t="array" ref="O174">INDIRECT(""&amp;$E88 &amp; "!Ax27")</f>
        <v/>
      </c>
      <c r="P174" s="186" t="n"/>
      <c r="Q174" s="246">
        <f t="array" ref="Q174">INDIRECT(""&amp;$E88 &amp; "!AZ27")</f>
        <v/>
      </c>
      <c r="R174" s="186" t="n"/>
    </row>
    <row r="175">
      <c r="D175" s="222" t="n"/>
      <c r="E175" s="210">
        <f>D8</f>
        <v/>
      </c>
      <c r="F175" s="84">
        <f t="array" ref="F175">INDIRECT(""&amp;$E91 &amp; "!AO23")</f>
        <v/>
      </c>
      <c r="G175" s="17">
        <f t="array" ref="G175">INDIRECT(""&amp;$E91 &amp; "!AP23")</f>
        <v/>
      </c>
      <c r="H175" s="177">
        <f t="array" ref="H175">INDIRECT(""&amp;$E91 &amp; "!AQ23")</f>
        <v/>
      </c>
      <c r="I175" s="177">
        <f t="array" ref="I175">INDIRECT(""&amp;$E91 &amp; "!AR23")</f>
        <v/>
      </c>
      <c r="J175" s="177">
        <f t="array" ref="J175">INDIRECT(""&amp;$E91 &amp; "!AS23")</f>
        <v/>
      </c>
      <c r="K175" s="177">
        <f t="array" ref="K175">INDIRECT(""&amp;$E91 &amp; "!AT23")</f>
        <v/>
      </c>
      <c r="L175" s="177">
        <f t="array" ref="L175">INDIRECT(""&amp;$E91 &amp; "!AU23")</f>
        <v/>
      </c>
      <c r="M175" s="177">
        <f t="array" ref="M175">INDIRECT(""&amp;$E91 &amp; "!AV23")</f>
        <v/>
      </c>
      <c r="N175" s="177">
        <f t="array" ref="N175">INDIRECT(""&amp;$E91 &amp; "!AW23")</f>
        <v/>
      </c>
      <c r="O175" s="177">
        <f t="array" ref="O175">INDIRECT(""&amp;$E91 &amp; "!AX23")</f>
        <v/>
      </c>
      <c r="P175" s="187">
        <f t="array" ref="P175">INDIRECT(""&amp;$E91 &amp; "!AY23")</f>
        <v/>
      </c>
      <c r="Q175" s="246">
        <f t="array" ref="Q175">INDIRECT(""&amp;$E91 &amp; "!AZ23")</f>
        <v/>
      </c>
      <c r="R175" s="188">
        <f t="array" ref="R175">INDIRECT(""&amp;$E91 &amp; "!BA23")</f>
        <v/>
      </c>
    </row>
    <row r="176">
      <c r="D176" s="222" t="n"/>
      <c r="E176" s="195" t="n"/>
      <c r="F176" s="85">
        <f t="array" ref="F176">INDIRECT(""&amp;$E91 &amp; "!AO25")</f>
        <v/>
      </c>
      <c r="G176" s="17">
        <f t="array" ref="G176">INDIRECT(""&amp;$E91 &amp; "!AP25")</f>
        <v/>
      </c>
      <c r="H176" s="178" t="n"/>
      <c r="I176" s="178" t="n"/>
      <c r="J176" s="178" t="n"/>
      <c r="K176" s="177">
        <f t="array" ref="K176">INDIRECT(""&amp;$E91 &amp; "!AT25")</f>
        <v/>
      </c>
      <c r="L176" s="178" t="n"/>
      <c r="M176" s="177">
        <f t="array" ref="M176">INDIRECT(""&amp;$E91 &amp; "!AV25")</f>
        <v/>
      </c>
      <c r="N176" s="178" t="n"/>
      <c r="O176" s="177">
        <f t="array" ref="O176">INDIRECT(""&amp;$E91 &amp; "!AX25")</f>
        <v/>
      </c>
      <c r="P176" s="185" t="n"/>
      <c r="Q176" s="246">
        <f t="array" ref="Q176">INDIRECT(""&amp;$E91 &amp; "!AZ25")</f>
        <v/>
      </c>
      <c r="R176" s="185" t="n"/>
    </row>
    <row r="177" ht="17" customHeight="1" s="241" thickBot="1">
      <c r="D177" s="222" t="n"/>
      <c r="E177" s="211" t="n"/>
      <c r="F177" s="86">
        <f t="array" ref="F177">INDIRECT(""&amp;$E91 &amp; "!AO27")</f>
        <v/>
      </c>
      <c r="G177" s="17">
        <f t="array" ref="G177">INDIRECT(""&amp;$E91 &amp; "!AP27")</f>
        <v/>
      </c>
      <c r="H177" s="179" t="n"/>
      <c r="I177" s="179" t="n"/>
      <c r="J177" s="179" t="n"/>
      <c r="K177" s="177">
        <f t="array" ref="K177">INDIRECT(""&amp;$E91 &amp; "!AT27")</f>
        <v/>
      </c>
      <c r="L177" s="179" t="n"/>
      <c r="M177" s="177">
        <f t="array" ref="M177">INDIRECT(""&amp;$E91 &amp; "!AV27")</f>
        <v/>
      </c>
      <c r="N177" s="179" t="n"/>
      <c r="O177" s="177">
        <f t="array" ref="O177">INDIRECT(""&amp;$E91 &amp; "!Ax27")</f>
        <v/>
      </c>
      <c r="P177" s="186" t="n"/>
      <c r="Q177" s="246">
        <f t="array" ref="Q177">INDIRECT(""&amp;$E91 &amp; "!AZ27")</f>
        <v/>
      </c>
      <c r="R177" s="186" t="n"/>
    </row>
    <row r="178">
      <c r="D178" s="222" t="n"/>
      <c r="E178" s="210">
        <f>D11</f>
        <v/>
      </c>
      <c r="F178" s="84">
        <f t="array" ref="F178">INDIRECT(""&amp;$E94 &amp; "!AO23")</f>
        <v/>
      </c>
      <c r="G178" s="17">
        <f t="array" ref="G178">INDIRECT(""&amp;$E94 &amp; "!AP23")</f>
        <v/>
      </c>
      <c r="H178" s="177">
        <f t="array" ref="H178">INDIRECT(""&amp;$E94 &amp; "!AQ23")</f>
        <v/>
      </c>
      <c r="I178" s="177">
        <f t="array" ref="I178">INDIRECT(""&amp;$E94 &amp; "!AR23")</f>
        <v/>
      </c>
      <c r="J178" s="177">
        <f t="array" ref="J178">INDIRECT(""&amp;$E94 &amp; "!AS23")</f>
        <v/>
      </c>
      <c r="K178" s="177">
        <f t="array" ref="K178">INDIRECT(""&amp;$E94 &amp; "!AT23")</f>
        <v/>
      </c>
      <c r="L178" s="177">
        <f t="array" ref="L178">INDIRECT(""&amp;$E94 &amp; "!AU23")</f>
        <v/>
      </c>
      <c r="M178" s="177">
        <f t="array" ref="M178">INDIRECT(""&amp;$E94 &amp; "!AV23")</f>
        <v/>
      </c>
      <c r="N178" s="177">
        <f t="array" ref="N178">INDIRECT(""&amp;$E94 &amp; "!AW23")</f>
        <v/>
      </c>
      <c r="O178" s="177">
        <f t="array" ref="O178">INDIRECT(""&amp;$E94 &amp; "!AX23")</f>
        <v/>
      </c>
      <c r="P178" s="187">
        <f t="array" ref="P178">INDIRECT(""&amp;$E94 &amp; "!AY23")</f>
        <v/>
      </c>
      <c r="Q178" s="246">
        <f t="array" ref="Q178">INDIRECT(""&amp;$E94 &amp; "!AZ23")</f>
        <v/>
      </c>
      <c r="R178" s="188">
        <f t="array" ref="R178">INDIRECT(""&amp;$E94 &amp; "!BA23")</f>
        <v/>
      </c>
    </row>
    <row r="179">
      <c r="D179" s="222" t="n"/>
      <c r="E179" s="195" t="n"/>
      <c r="F179" s="85">
        <f t="array" ref="F179">INDIRECT(""&amp;$E94 &amp; "!AO25")</f>
        <v/>
      </c>
      <c r="G179" s="17">
        <f t="array" ref="G179">INDIRECT(""&amp;$E94 &amp; "!AP25")</f>
        <v/>
      </c>
      <c r="H179" s="178" t="n"/>
      <c r="I179" s="178" t="n"/>
      <c r="J179" s="178" t="n"/>
      <c r="K179" s="177">
        <f t="array" ref="K179">INDIRECT(""&amp;$E94 &amp; "!AT25")</f>
        <v/>
      </c>
      <c r="L179" s="178" t="n"/>
      <c r="M179" s="177">
        <f t="array" ref="M179">INDIRECT(""&amp;$E94 &amp; "!AV25")</f>
        <v/>
      </c>
      <c r="N179" s="178" t="n"/>
      <c r="O179" s="177">
        <f t="array" ref="O179">INDIRECT(""&amp;$E94 &amp; "!AX25")</f>
        <v/>
      </c>
      <c r="P179" s="185" t="n"/>
      <c r="Q179" s="246">
        <f t="array" ref="Q179">INDIRECT(""&amp;$E94 &amp; "!AZ25")</f>
        <v/>
      </c>
      <c r="R179" s="185" t="n"/>
    </row>
    <row r="180" ht="17" customHeight="1" s="241" thickBot="1">
      <c r="D180" s="222" t="n"/>
      <c r="E180" s="211" t="n"/>
      <c r="F180" s="86">
        <f t="array" ref="F180">INDIRECT(""&amp;$E94 &amp; "!AO27")</f>
        <v/>
      </c>
      <c r="G180" s="17">
        <f t="array" ref="G180">INDIRECT(""&amp;$E94 &amp; "!AP27")</f>
        <v/>
      </c>
      <c r="H180" s="179" t="n"/>
      <c r="I180" s="179" t="n"/>
      <c r="J180" s="179" t="n"/>
      <c r="K180" s="177">
        <f t="array" ref="K180">INDIRECT(""&amp;$E94 &amp; "!AT27")</f>
        <v/>
      </c>
      <c r="L180" s="179" t="n"/>
      <c r="M180" s="177">
        <f t="array" ref="M180">INDIRECT(""&amp;$E94 &amp; "!AV27")</f>
        <v/>
      </c>
      <c r="N180" s="179" t="n"/>
      <c r="O180" s="177">
        <f t="array" ref="O180">INDIRECT(""&amp;$E94 &amp; "!Ax27")</f>
        <v/>
      </c>
      <c r="P180" s="186" t="n"/>
      <c r="Q180" s="246">
        <f t="array" ref="Q180">INDIRECT(""&amp;$E94 &amp; "!AZ27")</f>
        <v/>
      </c>
      <c r="R180" s="186" t="n"/>
    </row>
    <row r="181">
      <c r="D181" s="222" t="n"/>
      <c r="E181" s="210">
        <f>D14</f>
        <v/>
      </c>
      <c r="F181" s="84">
        <f t="array" ref="F181">INDIRECT(""&amp;$E97 &amp; "!AO23")</f>
        <v/>
      </c>
      <c r="G181" s="17">
        <f t="array" ref="G181">INDIRECT(""&amp;$E97 &amp; "!AP23")</f>
        <v/>
      </c>
      <c r="H181" s="177">
        <f t="array" ref="H181">INDIRECT(""&amp;$E97 &amp; "!AQ23")</f>
        <v/>
      </c>
      <c r="I181" s="177">
        <f t="array" ref="I181">INDIRECT(""&amp;$E97 &amp; "!AR23")</f>
        <v/>
      </c>
      <c r="J181" s="177">
        <f t="array" ref="J181">INDIRECT(""&amp;$E97 &amp; "!AS23")</f>
        <v/>
      </c>
      <c r="K181" s="177">
        <f t="array" ref="K181">INDIRECT(""&amp;$E97 &amp; "!AT23")</f>
        <v/>
      </c>
      <c r="L181" s="177">
        <f t="array" ref="L181">INDIRECT(""&amp;$E97 &amp; "!AU23")</f>
        <v/>
      </c>
      <c r="M181" s="177">
        <f t="array" ref="M181">INDIRECT(""&amp;$E97 &amp; "!AV23")</f>
        <v/>
      </c>
      <c r="N181" s="177">
        <f t="array" ref="N181">INDIRECT(""&amp;$E97 &amp; "!AW23")</f>
        <v/>
      </c>
      <c r="O181" s="177">
        <f t="array" ref="O181">INDIRECT(""&amp;$E97 &amp; "!AX23")</f>
        <v/>
      </c>
      <c r="P181" s="187">
        <f t="array" ref="P181">INDIRECT(""&amp;$E97 &amp; "!AY23")</f>
        <v/>
      </c>
      <c r="Q181" s="246">
        <f t="array" ref="Q181">INDIRECT(""&amp;$E97 &amp; "!AZ23")</f>
        <v/>
      </c>
      <c r="R181" s="188">
        <f t="array" ref="R181">INDIRECT(""&amp;$E97 &amp; "!BA23")</f>
        <v/>
      </c>
    </row>
    <row r="182">
      <c r="D182" s="222" t="n"/>
      <c r="E182" s="195" t="n"/>
      <c r="F182" s="85">
        <f t="array" ref="F182">INDIRECT(""&amp;$E97 &amp; "!AO25")</f>
        <v/>
      </c>
      <c r="G182" s="17">
        <f t="array" ref="G182">INDIRECT(""&amp;$E97 &amp; "!AP25")</f>
        <v/>
      </c>
      <c r="H182" s="178" t="n"/>
      <c r="I182" s="178" t="n"/>
      <c r="J182" s="178" t="n"/>
      <c r="K182" s="177">
        <f t="array" ref="K182">INDIRECT(""&amp;$E97 &amp; "!AT25")</f>
        <v/>
      </c>
      <c r="L182" s="178" t="n"/>
      <c r="M182" s="177">
        <f t="array" ref="M182">INDIRECT(""&amp;$E97 &amp; "!AV25")</f>
        <v/>
      </c>
      <c r="N182" s="178" t="n"/>
      <c r="O182" s="177">
        <f t="array" ref="O182">INDIRECT(""&amp;$E97 &amp; "!AX25")</f>
        <v/>
      </c>
      <c r="P182" s="185" t="n"/>
      <c r="Q182" s="246">
        <f t="array" ref="Q182">INDIRECT(""&amp;$E97 &amp; "!AZ25")</f>
        <v/>
      </c>
      <c r="R182" s="185" t="n"/>
    </row>
    <row r="183" ht="17" customHeight="1" s="241" thickBot="1">
      <c r="D183" s="222" t="n"/>
      <c r="E183" s="211" t="n"/>
      <c r="F183" s="86">
        <f t="array" ref="F183">INDIRECT(""&amp;$E97 &amp; "!AO27")</f>
        <v/>
      </c>
      <c r="G183" s="17">
        <f t="array" ref="G183">INDIRECT(""&amp;$E97 &amp; "!AP27")</f>
        <v/>
      </c>
      <c r="H183" s="179" t="n"/>
      <c r="I183" s="179" t="n"/>
      <c r="J183" s="179" t="n"/>
      <c r="K183" s="177">
        <f t="array" ref="K183">INDIRECT(""&amp;$E97 &amp; "!AT27")</f>
        <v/>
      </c>
      <c r="L183" s="179" t="n"/>
      <c r="M183" s="177">
        <f t="array" ref="M183">INDIRECT(""&amp;$E97 &amp; "!AV27")</f>
        <v/>
      </c>
      <c r="N183" s="179" t="n"/>
      <c r="O183" s="177">
        <f t="array" ref="O183">INDIRECT(""&amp;$E97 &amp; "!Ax27")</f>
        <v/>
      </c>
      <c r="P183" s="186" t="n"/>
      <c r="Q183" s="246">
        <f t="array" ref="Q183">INDIRECT(""&amp;$E97 &amp; "!AZ27")</f>
        <v/>
      </c>
      <c r="R183" s="186" t="n"/>
    </row>
    <row r="184">
      <c r="D184" s="222" t="n"/>
      <c r="E184" s="210">
        <f>D17</f>
        <v/>
      </c>
      <c r="F184" s="84">
        <f t="array" ref="F184">INDIRECT(""&amp;$E100 &amp; "!AO23")</f>
        <v/>
      </c>
      <c r="G184" s="17">
        <f t="array" ref="G184">INDIRECT(""&amp;$E100 &amp; "!AP23")</f>
        <v/>
      </c>
      <c r="H184" s="177">
        <f t="array" ref="H184">INDIRECT(""&amp;$E100 &amp; "!AQ23")</f>
        <v/>
      </c>
      <c r="I184" s="177">
        <f t="array" ref="I184">INDIRECT(""&amp;$E100 &amp; "!AR23")</f>
        <v/>
      </c>
      <c r="J184" s="177">
        <f t="array" ref="J184">INDIRECT(""&amp;$E100 &amp; "!AS23")</f>
        <v/>
      </c>
      <c r="K184" s="177">
        <f t="array" ref="K184">INDIRECT(""&amp;$E100 &amp; "!AT23")</f>
        <v/>
      </c>
      <c r="L184" s="177">
        <f t="array" ref="L184">INDIRECT(""&amp;$E100 &amp; "!AU23")</f>
        <v/>
      </c>
      <c r="M184" s="177">
        <f t="array" ref="M184">INDIRECT(""&amp;$E100 &amp; "!AV23")</f>
        <v/>
      </c>
      <c r="N184" s="177">
        <f t="array" ref="N184">INDIRECT(""&amp;$E100 &amp; "!AW23")</f>
        <v/>
      </c>
      <c r="O184" s="177">
        <f t="array" ref="O184">INDIRECT(""&amp;$E100 &amp; "!AX23")</f>
        <v/>
      </c>
      <c r="P184" s="187">
        <f t="array" ref="P184">INDIRECT(""&amp;$E100 &amp; "!AY23")</f>
        <v/>
      </c>
      <c r="Q184" s="246">
        <f t="array" ref="Q184">INDIRECT(""&amp;$E100 &amp; "!AZ23")</f>
        <v/>
      </c>
      <c r="R184" s="188">
        <f t="array" ref="R184">INDIRECT(""&amp;$E100 &amp; "!BA23")</f>
        <v/>
      </c>
    </row>
    <row r="185">
      <c r="D185" s="222" t="n"/>
      <c r="E185" s="195" t="n"/>
      <c r="F185" s="85">
        <f t="array" ref="F185">INDIRECT(""&amp;$E100 &amp; "!AO25")</f>
        <v/>
      </c>
      <c r="G185" s="17">
        <f t="array" ref="G185">INDIRECT(""&amp;$E100 &amp; "!AP25")</f>
        <v/>
      </c>
      <c r="H185" s="178" t="n"/>
      <c r="I185" s="178" t="n"/>
      <c r="J185" s="178" t="n"/>
      <c r="K185" s="177">
        <f t="array" ref="K185">INDIRECT(""&amp;$E100 &amp; "!AT25")</f>
        <v/>
      </c>
      <c r="L185" s="178" t="n"/>
      <c r="M185" s="177">
        <f t="array" ref="M185">INDIRECT(""&amp;$E100 &amp; "!AV25")</f>
        <v/>
      </c>
      <c r="N185" s="178" t="n"/>
      <c r="O185" s="177">
        <f t="array" ref="O185">INDIRECT(""&amp;$E100 &amp; "!AX25")</f>
        <v/>
      </c>
      <c r="P185" s="185" t="n"/>
      <c r="Q185" s="246">
        <f t="array" ref="Q185">INDIRECT(""&amp;$E100 &amp; "!AZ25")</f>
        <v/>
      </c>
      <c r="R185" s="185" t="n"/>
    </row>
    <row r="186" ht="17" customHeight="1" s="241" thickBot="1">
      <c r="D186" s="222" t="n"/>
      <c r="E186" s="211" t="n"/>
      <c r="F186" s="86">
        <f t="array" ref="F186">INDIRECT(""&amp;$E100 &amp; "!AO27")</f>
        <v/>
      </c>
      <c r="G186" s="17">
        <f t="array" ref="G186">INDIRECT(""&amp;$E100 &amp; "!AP27")</f>
        <v/>
      </c>
      <c r="H186" s="179" t="n"/>
      <c r="I186" s="179" t="n"/>
      <c r="J186" s="179" t="n"/>
      <c r="K186" s="177">
        <f t="array" ref="K186">INDIRECT(""&amp;$E100 &amp; "!AT27")</f>
        <v/>
      </c>
      <c r="L186" s="179" t="n"/>
      <c r="M186" s="177">
        <f t="array" ref="M186">INDIRECT(""&amp;$E100 &amp; "!AV27")</f>
        <v/>
      </c>
      <c r="N186" s="179" t="n"/>
      <c r="O186" s="177">
        <f t="array" ref="O186">INDIRECT(""&amp;$E100 &amp; "!Ax27")</f>
        <v/>
      </c>
      <c r="P186" s="186" t="n"/>
      <c r="Q186" s="246">
        <f t="array" ref="Q186">INDIRECT(""&amp;$E100 &amp; "!AZ27")</f>
        <v/>
      </c>
      <c r="R186" s="186" t="n"/>
    </row>
    <row r="187">
      <c r="D187" s="222" t="n"/>
      <c r="E187" s="210">
        <f>D20</f>
        <v/>
      </c>
      <c r="F187" s="84">
        <f t="array" ref="F187">INDIRECT(""&amp;$E103 &amp; "!AO23")</f>
        <v/>
      </c>
      <c r="G187" s="17">
        <f t="array" ref="G187">INDIRECT(""&amp;$E103 &amp; "!AP23")</f>
        <v/>
      </c>
      <c r="H187" s="177">
        <f t="array" ref="H187">INDIRECT(""&amp;$E103 &amp; "!AQ23")</f>
        <v/>
      </c>
      <c r="I187" s="177">
        <f t="array" ref="I187">INDIRECT(""&amp;$E103 &amp; "!AR23")</f>
        <v/>
      </c>
      <c r="J187" s="177">
        <f t="array" ref="J187">INDIRECT(""&amp;$E103 &amp; "!AS23")</f>
        <v/>
      </c>
      <c r="K187" s="177">
        <f t="array" ref="K187">INDIRECT(""&amp;$E103 &amp; "!AT23")</f>
        <v/>
      </c>
      <c r="L187" s="177">
        <f t="array" ref="L187">INDIRECT(""&amp;$E103 &amp; "!AU23")</f>
        <v/>
      </c>
      <c r="M187" s="177">
        <f t="array" ref="M187">INDIRECT(""&amp;$E103 &amp; "!AV23")</f>
        <v/>
      </c>
      <c r="N187" s="177">
        <f t="array" ref="N187">INDIRECT(""&amp;$E103 &amp; "!AW23")</f>
        <v/>
      </c>
      <c r="O187" s="177">
        <f t="array" ref="O187">INDIRECT(""&amp;$E103 &amp; "!AX23")</f>
        <v/>
      </c>
      <c r="P187" s="187">
        <f t="array" ref="P187">INDIRECT(""&amp;$E103 &amp; "!AY23")</f>
        <v/>
      </c>
      <c r="Q187" s="246">
        <f t="array" ref="Q187">INDIRECT(""&amp;$E103 &amp; "!AZ23")</f>
        <v/>
      </c>
      <c r="R187" s="188">
        <f t="array" ref="R187">INDIRECT(""&amp;$E103 &amp; "!BA23")</f>
        <v/>
      </c>
    </row>
    <row r="188">
      <c r="D188" s="222" t="n"/>
      <c r="E188" s="195" t="n"/>
      <c r="F188" s="85">
        <f t="array" ref="F188">INDIRECT(""&amp;$E103 &amp; "!AO25")</f>
        <v/>
      </c>
      <c r="G188" s="17">
        <f t="array" ref="G188">INDIRECT(""&amp;$E103 &amp; "!AP25")</f>
        <v/>
      </c>
      <c r="H188" s="178" t="n"/>
      <c r="I188" s="178" t="n"/>
      <c r="J188" s="178" t="n"/>
      <c r="K188" s="177">
        <f t="array" ref="K188">INDIRECT(""&amp;$E103 &amp; "!AT25")</f>
        <v/>
      </c>
      <c r="L188" s="178" t="n"/>
      <c r="M188" s="177">
        <f t="array" ref="M188">INDIRECT(""&amp;$E103 &amp; "!AV25")</f>
        <v/>
      </c>
      <c r="N188" s="178" t="n"/>
      <c r="O188" s="177">
        <f t="array" ref="O188">INDIRECT(""&amp;$E103 &amp; "!AX25")</f>
        <v/>
      </c>
      <c r="P188" s="185" t="n"/>
      <c r="Q188" s="246">
        <f t="array" ref="Q188">INDIRECT(""&amp;$E103 &amp; "!AZ25")</f>
        <v/>
      </c>
      <c r="R188" s="185" t="n"/>
    </row>
    <row r="189" ht="17" customHeight="1" s="241" thickBot="1">
      <c r="D189" s="222" t="n"/>
      <c r="E189" s="211" t="n"/>
      <c r="F189" s="86">
        <f t="array" ref="F189">INDIRECT(""&amp;$E103 &amp; "!AO27")</f>
        <v/>
      </c>
      <c r="G189" s="17">
        <f t="array" ref="G189">INDIRECT(""&amp;$E103 &amp; "!AP27")</f>
        <v/>
      </c>
      <c r="H189" s="179" t="n"/>
      <c r="I189" s="179" t="n"/>
      <c r="J189" s="179" t="n"/>
      <c r="K189" s="177">
        <f t="array" ref="K189">INDIRECT(""&amp;$E103 &amp; "!AT27")</f>
        <v/>
      </c>
      <c r="L189" s="179" t="n"/>
      <c r="M189" s="177">
        <f t="array" ref="M189">INDIRECT(""&amp;$E103 &amp; "!AV27")</f>
        <v/>
      </c>
      <c r="N189" s="179" t="n"/>
      <c r="O189" s="177">
        <f t="array" ref="O189">INDIRECT(""&amp;$E103 &amp; "!Ax27")</f>
        <v/>
      </c>
      <c r="P189" s="186" t="n"/>
      <c r="Q189" s="246">
        <f t="array" ref="Q189">INDIRECT(""&amp;$E103 &amp; "!AZ27")</f>
        <v/>
      </c>
      <c r="R189" s="186" t="n"/>
    </row>
    <row r="190">
      <c r="D190" s="222" t="n"/>
      <c r="E190" s="210">
        <f>D23</f>
        <v/>
      </c>
      <c r="F190" s="84">
        <f t="array" ref="F190">INDIRECT(""&amp;$E106 &amp; "!AO23")</f>
        <v/>
      </c>
      <c r="G190" s="17">
        <f t="array" ref="G190">INDIRECT(""&amp;$E106 &amp; "!AP23")</f>
        <v/>
      </c>
      <c r="H190" s="177">
        <f t="array" ref="H190">INDIRECT(""&amp;$E106 &amp; "!AQ23")</f>
        <v/>
      </c>
      <c r="I190" s="177">
        <f t="array" ref="I190">INDIRECT(""&amp;$E106 &amp; "!AR23")</f>
        <v/>
      </c>
      <c r="J190" s="177">
        <f t="array" ref="J190">INDIRECT(""&amp;$E106 &amp; "!AS23")</f>
        <v/>
      </c>
      <c r="K190" s="177">
        <f t="array" ref="K190">INDIRECT(""&amp;$E106 &amp; "!AT23")</f>
        <v/>
      </c>
      <c r="L190" s="177">
        <f t="array" ref="L190">INDIRECT(""&amp;$E106 &amp; "!AU23")</f>
        <v/>
      </c>
      <c r="M190" s="177">
        <f t="array" ref="M190">INDIRECT(""&amp;$E106 &amp; "!AV23")</f>
        <v/>
      </c>
      <c r="N190" s="177">
        <f t="array" ref="N190">INDIRECT(""&amp;$E106 &amp; "!AW23")</f>
        <v/>
      </c>
      <c r="O190" s="177">
        <f t="array" ref="O190">INDIRECT(""&amp;$E106 &amp; "!AX23")</f>
        <v/>
      </c>
      <c r="P190" s="187">
        <f t="array" ref="P190">INDIRECT(""&amp;$E106 &amp; "!AY23")</f>
        <v/>
      </c>
      <c r="Q190" s="246">
        <f t="array" ref="Q190">INDIRECT(""&amp;$E106 &amp; "!AZ23")</f>
        <v/>
      </c>
      <c r="R190" s="188">
        <f t="array" ref="R190">INDIRECT(""&amp;$E106 &amp; "!BA23")</f>
        <v/>
      </c>
    </row>
    <row r="191">
      <c r="D191" s="222" t="n"/>
      <c r="E191" s="195" t="n"/>
      <c r="F191" s="85">
        <f t="array" ref="F191">INDIRECT(""&amp;$E106 &amp; "!AO25")</f>
        <v/>
      </c>
      <c r="G191" s="17">
        <f t="array" ref="G191">INDIRECT(""&amp;$E106 &amp; "!AP25")</f>
        <v/>
      </c>
      <c r="H191" s="178" t="n"/>
      <c r="I191" s="178" t="n"/>
      <c r="J191" s="178" t="n"/>
      <c r="K191" s="177">
        <f t="array" ref="K191">INDIRECT(""&amp;$E106 &amp; "!AT25")</f>
        <v/>
      </c>
      <c r="L191" s="178" t="n"/>
      <c r="M191" s="177">
        <f t="array" ref="M191">INDIRECT(""&amp;$E106 &amp; "!AV25")</f>
        <v/>
      </c>
      <c r="N191" s="178" t="n"/>
      <c r="O191" s="177">
        <f t="array" ref="O191">INDIRECT(""&amp;$E106 &amp; "!AX25")</f>
        <v/>
      </c>
      <c r="P191" s="185" t="n"/>
      <c r="Q191" s="246">
        <f t="array" ref="Q191">INDIRECT(""&amp;$E106 &amp; "!AZ25")</f>
        <v/>
      </c>
      <c r="R191" s="185" t="n"/>
    </row>
    <row r="192" ht="17" customHeight="1" s="241" thickBot="1">
      <c r="D192" s="222" t="n"/>
      <c r="E192" s="211" t="n"/>
      <c r="F192" s="86">
        <f t="array" ref="F192">INDIRECT(""&amp;$E106 &amp; "!AO27")</f>
        <v/>
      </c>
      <c r="G192" s="17">
        <f t="array" ref="G192">INDIRECT(""&amp;$E106 &amp; "!AP27")</f>
        <v/>
      </c>
      <c r="H192" s="179" t="n"/>
      <c r="I192" s="179" t="n"/>
      <c r="J192" s="179" t="n"/>
      <c r="K192" s="177">
        <f t="array" ref="K192">INDIRECT(""&amp;$E106 &amp; "!AT27")</f>
        <v/>
      </c>
      <c r="L192" s="179" t="n"/>
      <c r="M192" s="177">
        <f t="array" ref="M192">INDIRECT(""&amp;$E106 &amp; "!AV27")</f>
        <v/>
      </c>
      <c r="N192" s="179" t="n"/>
      <c r="O192" s="177">
        <f t="array" ref="O192">INDIRECT(""&amp;$E106 &amp; "!Ax27")</f>
        <v/>
      </c>
      <c r="P192" s="186" t="n"/>
      <c r="Q192" s="246">
        <f t="array" ref="Q192">INDIRECT(""&amp;$E106 &amp; "!AZ27")</f>
        <v/>
      </c>
      <c r="R192" s="186" t="n"/>
    </row>
    <row r="193">
      <c r="D193" s="222" t="n"/>
      <c r="E193" s="216">
        <f>D26</f>
        <v/>
      </c>
      <c r="F193" s="84">
        <f t="array" ref="F193">INDIRECT(""&amp;$E109 &amp; "!AO23")</f>
        <v/>
      </c>
      <c r="G193" s="17">
        <f t="array" ref="G193">INDIRECT(""&amp;$E109 &amp; "!AP23")</f>
        <v/>
      </c>
      <c r="H193" s="177">
        <f t="array" ref="H193">INDIRECT(""&amp;$E109 &amp; "!AQ23")</f>
        <v/>
      </c>
      <c r="I193" s="177">
        <f t="array" ref="I193">INDIRECT(""&amp;$E109 &amp; "!AR23")</f>
        <v/>
      </c>
      <c r="J193" s="177">
        <f t="array" ref="J193">INDIRECT(""&amp;$E109 &amp; "!AS23")</f>
        <v/>
      </c>
      <c r="K193" s="177">
        <f t="array" ref="K193">INDIRECT(""&amp;$E109 &amp; "!AT23")</f>
        <v/>
      </c>
      <c r="L193" s="177">
        <f t="array" ref="L193">INDIRECT(""&amp;$E109 &amp; "!AU23")</f>
        <v/>
      </c>
      <c r="M193" s="177">
        <f t="array" ref="M193">INDIRECT(""&amp;$E109 &amp; "!AV23")</f>
        <v/>
      </c>
      <c r="N193" s="177">
        <f t="array" ref="N193">INDIRECT(""&amp;$E109 &amp; "!AW23")</f>
        <v/>
      </c>
      <c r="O193" s="177">
        <f t="array" ref="O193">INDIRECT(""&amp;$E109 &amp; "!AX23")</f>
        <v/>
      </c>
      <c r="P193" s="187">
        <f t="array" ref="P193">INDIRECT(""&amp;$E109 &amp; "!AY23")</f>
        <v/>
      </c>
      <c r="Q193" s="246">
        <f t="array" ref="Q193">INDIRECT(""&amp;$E109 &amp; "!AZ23")</f>
        <v/>
      </c>
      <c r="R193" s="188">
        <f t="array" ref="R193">INDIRECT(""&amp;$E109 &amp; "!BA23")</f>
        <v/>
      </c>
    </row>
    <row r="194">
      <c r="D194" s="222" t="n"/>
      <c r="E194" s="195" t="n"/>
      <c r="F194" s="85">
        <f t="array" ref="F194">INDIRECT(""&amp;$E109 &amp; "!AO25")</f>
        <v/>
      </c>
      <c r="G194" s="17">
        <f t="array" ref="G194">INDIRECT(""&amp;$E109 &amp; "!AP25")</f>
        <v/>
      </c>
      <c r="H194" s="178" t="n"/>
      <c r="I194" s="178" t="n"/>
      <c r="J194" s="178" t="n"/>
      <c r="K194" s="177">
        <f t="array" ref="K194">INDIRECT(""&amp;$E109 &amp; "!AT25")</f>
        <v/>
      </c>
      <c r="L194" s="178" t="n"/>
      <c r="M194" s="177">
        <f t="array" ref="M194">INDIRECT(""&amp;$E109 &amp; "!AV25")</f>
        <v/>
      </c>
      <c r="N194" s="178" t="n"/>
      <c r="O194" s="177">
        <f t="array" ref="O194">INDIRECT(""&amp;$E109 &amp; "!AX25")</f>
        <v/>
      </c>
      <c r="P194" s="185" t="n"/>
      <c r="Q194" s="246">
        <f t="array" ref="Q194">INDIRECT(""&amp;$E109 &amp; "!AZ25")</f>
        <v/>
      </c>
      <c r="R194" s="185" t="n"/>
    </row>
    <row r="195" ht="17" customHeight="1" s="241" thickBot="1">
      <c r="D195" s="222" t="n"/>
      <c r="E195" s="195" t="n"/>
      <c r="F195" s="105">
        <f t="array" ref="F195">INDIRECT(""&amp;$E109 &amp; "!AO27")</f>
        <v/>
      </c>
      <c r="G195" s="49">
        <f t="array" ref="G195">INDIRECT(""&amp;$E109 &amp; "!AP27")</f>
        <v/>
      </c>
      <c r="H195" s="179" t="n"/>
      <c r="I195" s="179" t="n"/>
      <c r="J195" s="179" t="n"/>
      <c r="K195" s="101">
        <f t="array" ref="K195">INDIRECT(""&amp;$E109 &amp; "!AT27")</f>
        <v/>
      </c>
      <c r="L195" s="179" t="n"/>
      <c r="M195" s="101">
        <f t="array" ref="M195">INDIRECT(""&amp;$E109 &amp; "!AV27")</f>
        <v/>
      </c>
      <c r="N195" s="179" t="n"/>
      <c r="O195" s="101">
        <f t="array" ref="O195">INDIRECT(""&amp;$E109 &amp; "!Ax27")</f>
        <v/>
      </c>
      <c r="P195" s="186" t="n"/>
      <c r="Q195" s="126">
        <f t="array" ref="Q195">INDIRECT(""&amp;$E109 &amp; "!AZ27")</f>
        <v/>
      </c>
      <c r="R195" s="186" t="n"/>
    </row>
    <row r="196">
      <c r="D196" s="222" t="n"/>
      <c r="E196" s="210" t="inlineStr">
        <is>
          <t>averages</t>
        </is>
      </c>
      <c r="F196" s="84" t="inlineStr">
        <is>
          <t>High</t>
        </is>
      </c>
      <c r="G196" s="44">
        <f>AVERAGE(G172,G175,G178,G181,G184,G187,G190,G193)</f>
        <v/>
      </c>
      <c r="H196" s="180">
        <f>AVERAGE(H172:H195)</f>
        <v/>
      </c>
      <c r="I196" s="180">
        <f>AVERAGE(I172:I195)</f>
        <v/>
      </c>
      <c r="J196" s="180">
        <f>AVERAGE(J172:J195)</f>
        <v/>
      </c>
      <c r="K196" s="180">
        <f>AVERAGE(K172,K175,K178,K181,K184,K187,K190,K193)</f>
        <v/>
      </c>
      <c r="L196" s="180">
        <f>AVERAGE(L172:L195)</f>
        <v/>
      </c>
      <c r="M196" s="180">
        <f>AVERAGE(M172,M175,M178,M181,M184,M187,M190,M193)</f>
        <v/>
      </c>
      <c r="N196" s="180">
        <f>AVERAGE(N172:N195)</f>
        <v/>
      </c>
      <c r="O196" s="180">
        <f>AVERAGE(O172,O175,O178,O181,O184,O187,O190,O193)</f>
        <v/>
      </c>
      <c r="P196" s="184">
        <f>AVERAGE(P172:P195)</f>
        <v/>
      </c>
      <c r="Q196" s="247">
        <f>SUM(Q172,Q175,Q178,Q181,Q184,Q187,Q190,Q193)</f>
        <v/>
      </c>
      <c r="R196" s="198">
        <f>SUM(R172:R195)</f>
        <v/>
      </c>
    </row>
    <row r="197">
      <c r="D197" s="222" t="n"/>
      <c r="E197" s="195" t="n"/>
      <c r="F197" s="85" t="inlineStr">
        <is>
          <t>Med</t>
        </is>
      </c>
      <c r="G197" s="17">
        <f>AVERAGE(G173,G176,G179,G182,G185,G188,G191,G194)</f>
        <v/>
      </c>
      <c r="H197" s="178" t="n"/>
      <c r="I197" s="178" t="n"/>
      <c r="J197" s="178" t="n"/>
      <c r="K197" s="177">
        <f>AVERAGE(K173,K176,K179,K182,K185,K188,K191,K194)</f>
        <v/>
      </c>
      <c r="L197" s="178" t="n"/>
      <c r="M197" s="177">
        <f>AVERAGE(M173,M176,M179,M182,M185,M188,M191,M194)</f>
        <v/>
      </c>
      <c r="N197" s="178" t="n"/>
      <c r="O197" s="177">
        <f>AVERAGE(O173,O176,O179,O182,O185,O188,O191,O194)</f>
        <v/>
      </c>
      <c r="P197" s="185" t="n"/>
      <c r="Q197" s="246">
        <f>SUM(Q173,Q176,Q179,Q182,Q185,Q188,Q191,Q194)</f>
        <v/>
      </c>
      <c r="R197" s="185" t="n"/>
    </row>
    <row r="198" ht="17" customHeight="1" s="241" thickBot="1">
      <c r="D198" s="223" t="n"/>
      <c r="E198" s="211" t="n"/>
      <c r="F198" s="86" t="inlineStr">
        <is>
          <t>Low</t>
        </is>
      </c>
      <c r="G198" s="47">
        <f>AVERAGE(G174,G177,G180,G183,G186,G189,G192,G195)</f>
        <v/>
      </c>
      <c r="H198" s="179" t="n"/>
      <c r="I198" s="179" t="n"/>
      <c r="J198" s="179" t="n"/>
      <c r="K198" s="57">
        <f>AVERAGE(K174,K177,K180,K183,K186,K189,K192,K195)</f>
        <v/>
      </c>
      <c r="L198" s="179" t="n"/>
      <c r="M198" s="57">
        <f>AVERAGE(M174,M177,M180,M183,M186,M189,M192,M195)</f>
        <v/>
      </c>
      <c r="N198" s="179" t="n"/>
      <c r="O198" s="57">
        <f>AVERAGE(O174,O177,O180,O183,O186,O189,O192,O195)</f>
        <v/>
      </c>
      <c r="P198" s="186" t="n"/>
      <c r="Q198" s="122">
        <f>SUM(Q174,Q177,Q180,Q183,Q186,Q189,Q192,Q195)</f>
        <v/>
      </c>
      <c r="R198" s="186" t="n"/>
    </row>
    <row r="199" ht="17" customHeight="1" s="241" thickBot="1">
      <c r="D199" s="88" t="n"/>
      <c r="E199" s="89" t="n"/>
      <c r="F199" s="112" t="n"/>
      <c r="G199" s="102" t="n"/>
      <c r="H199" s="83" t="n"/>
      <c r="I199" s="83" t="n"/>
      <c r="J199" s="83" t="n"/>
      <c r="K199" s="100" t="n"/>
      <c r="L199" s="83" t="n"/>
      <c r="M199" s="100" t="n"/>
      <c r="N199" s="83" t="n"/>
      <c r="O199" s="100" t="n"/>
      <c r="P199" s="113" t="n"/>
    </row>
    <row r="200">
      <c r="D200" s="221">
        <f>BoxingPractice!A29</f>
        <v/>
      </c>
      <c r="E200" s="210">
        <f>D5</f>
        <v/>
      </c>
      <c r="F200" s="84">
        <f t="array" ref="F200">INDIRECT(""&amp;$E88 &amp; "!AO29")</f>
        <v/>
      </c>
      <c r="G200" s="44">
        <f t="array" ref="G200">INDIRECT(""&amp;$E88 &amp; "!AP29")</f>
        <v/>
      </c>
      <c r="H200" s="180">
        <f t="array" ref="H200">INDIRECT(""&amp;$E88 &amp; "!AQ29")</f>
        <v/>
      </c>
      <c r="I200" s="180">
        <f t="array" ref="I200">INDIRECT(""&amp;$E88 &amp; "!AR29")</f>
        <v/>
      </c>
      <c r="J200" s="180">
        <f t="array" ref="J200">INDIRECT(""&amp;$E88 &amp; "!AS29")</f>
        <v/>
      </c>
      <c r="K200" s="180">
        <f t="array" ref="K200">INDIRECT(""&amp;$E88 &amp; "!AT29")</f>
        <v/>
      </c>
      <c r="L200" s="180">
        <f t="array" ref="L200">INDIRECT(""&amp;$E88 &amp; "!AU29")</f>
        <v/>
      </c>
      <c r="M200" s="180">
        <f t="array" ref="M200">INDIRECT(""&amp;$E88 &amp; "!AV29")</f>
        <v/>
      </c>
      <c r="N200" s="180">
        <f t="array" ref="N200">INDIRECT(""&amp;$E88 &amp; "!AW29")</f>
        <v/>
      </c>
      <c r="O200" s="180">
        <f t="array" ref="O200">INDIRECT(""&amp;$E88 &amp; "!AX29")</f>
        <v/>
      </c>
      <c r="P200" s="184">
        <f t="array" ref="P200">INDIRECT(""&amp;$E88 &amp; "!AY29")</f>
        <v/>
      </c>
      <c r="Q200" s="247">
        <f t="array" ref="Q200">INDIRECT(""&amp;$E88 &amp; "!AZ29")</f>
        <v/>
      </c>
      <c r="R200" s="198">
        <f t="array" ref="R200">INDIRECT(""&amp;$E88 &amp; "!BA29")</f>
        <v/>
      </c>
    </row>
    <row r="201">
      <c r="D201" s="222" t="n"/>
      <c r="E201" s="195" t="n"/>
      <c r="F201" s="85">
        <f t="array" ref="F201">INDIRECT(""&amp;$E88 &amp; "!AO31")</f>
        <v/>
      </c>
      <c r="G201" s="17">
        <f t="array" ref="G201">INDIRECT(""&amp;$E88 &amp; "!AP31")</f>
        <v/>
      </c>
      <c r="H201" s="178" t="n"/>
      <c r="I201" s="178" t="n"/>
      <c r="J201" s="178" t="n"/>
      <c r="K201" s="177">
        <f t="array" ref="K201">INDIRECT(""&amp;$E88 &amp; "!AT31")</f>
        <v/>
      </c>
      <c r="L201" s="178" t="n"/>
      <c r="M201" s="177">
        <f t="array" ref="M201">INDIRECT(""&amp;$E88 &amp; "!AV31")</f>
        <v/>
      </c>
      <c r="N201" s="178" t="n"/>
      <c r="O201" s="177">
        <f t="array" ref="O201">INDIRECT(""&amp;$E88 &amp; "!AX31")</f>
        <v/>
      </c>
      <c r="P201" s="185" t="n"/>
      <c r="Q201" s="246">
        <f t="array" ref="Q201">INDIRECT(""&amp;$E88 &amp; "!AZ31")</f>
        <v/>
      </c>
      <c r="R201" s="185" t="n"/>
    </row>
    <row r="202" ht="17" customHeight="1" s="241" thickBot="1">
      <c r="D202" s="222" t="n"/>
      <c r="E202" s="211" t="n"/>
      <c r="F202" s="86">
        <f t="array" ref="F202">INDIRECT(""&amp;$E88 &amp; "!AO33")</f>
        <v/>
      </c>
      <c r="G202" s="17">
        <f t="array" ref="G202">INDIRECT(""&amp;$E88 &amp; "!AP33")</f>
        <v/>
      </c>
      <c r="H202" s="179" t="n"/>
      <c r="I202" s="179" t="n"/>
      <c r="J202" s="179" t="n"/>
      <c r="K202" s="177">
        <f t="array" ref="K202">INDIRECT(""&amp;$E88 &amp; "!AT33")</f>
        <v/>
      </c>
      <c r="L202" s="179" t="n"/>
      <c r="M202" s="177">
        <f t="array" ref="M202">INDIRECT(""&amp;$E88 &amp; "!AV33")</f>
        <v/>
      </c>
      <c r="N202" s="179" t="n"/>
      <c r="O202" s="177">
        <f t="array" ref="O202">INDIRECT(""&amp;$E88 &amp; "!Ax33")</f>
        <v/>
      </c>
      <c r="P202" s="186" t="n"/>
      <c r="Q202" s="246">
        <f t="array" ref="Q202">INDIRECT(""&amp;$E88 &amp; "!AZ33")</f>
        <v/>
      </c>
      <c r="R202" s="186" t="n"/>
    </row>
    <row r="203">
      <c r="D203" s="222" t="n"/>
      <c r="E203" s="210">
        <f>D8</f>
        <v/>
      </c>
      <c r="F203" s="84">
        <f t="array" ref="F203">INDIRECT(""&amp;$E91 &amp; "!AO29")</f>
        <v/>
      </c>
      <c r="G203" s="17">
        <f t="array" ref="G203">INDIRECT(""&amp;$E91 &amp; "!AP29")</f>
        <v/>
      </c>
      <c r="H203" s="177">
        <f t="array" ref="H203">INDIRECT(""&amp;$E91 &amp; "!AQ29")</f>
        <v/>
      </c>
      <c r="I203" s="177">
        <f t="array" ref="I203">INDIRECT(""&amp;$E91 &amp; "!AR29")</f>
        <v/>
      </c>
      <c r="J203" s="177">
        <f t="array" ref="J203">INDIRECT(""&amp;$E91 &amp; "!AS29")</f>
        <v/>
      </c>
      <c r="K203" s="177">
        <f t="array" ref="K203">INDIRECT(""&amp;$E91 &amp; "!AT29")</f>
        <v/>
      </c>
      <c r="L203" s="177">
        <f t="array" ref="L203">INDIRECT(""&amp;$E91 &amp; "!AU29")</f>
        <v/>
      </c>
      <c r="M203" s="177">
        <f t="array" ref="M203">INDIRECT(""&amp;$E91 &amp; "!AV29")</f>
        <v/>
      </c>
      <c r="N203" s="177">
        <f t="array" ref="N203">INDIRECT(""&amp;$E91 &amp; "!AW29")</f>
        <v/>
      </c>
      <c r="O203" s="177">
        <f t="array" ref="O203">INDIRECT(""&amp;$E91 &amp; "!AX29")</f>
        <v/>
      </c>
      <c r="P203" s="187">
        <f t="array" ref="P203">INDIRECT(""&amp;$E91 &amp; "!AY29")</f>
        <v/>
      </c>
      <c r="Q203" s="246">
        <f t="array" ref="Q203">INDIRECT(""&amp;$E91 &amp; "!AZ29")</f>
        <v/>
      </c>
      <c r="R203" s="188">
        <f t="array" ref="R203">INDIRECT(""&amp;$E91 &amp; "!BA29")</f>
        <v/>
      </c>
    </row>
    <row r="204">
      <c r="D204" s="222" t="n"/>
      <c r="E204" s="195" t="n"/>
      <c r="F204" s="85">
        <f t="array" ref="F204">INDIRECT(""&amp;$E91 &amp; "!AO31")</f>
        <v/>
      </c>
      <c r="G204" s="17">
        <f t="array" ref="G204">INDIRECT(""&amp;$E91 &amp; "!AP31")</f>
        <v/>
      </c>
      <c r="H204" s="178" t="n"/>
      <c r="I204" s="178" t="n"/>
      <c r="J204" s="178" t="n"/>
      <c r="K204" s="177">
        <f t="array" ref="K204">INDIRECT(""&amp;$E91 &amp; "!AT31")</f>
        <v/>
      </c>
      <c r="L204" s="178" t="n"/>
      <c r="M204" s="177">
        <f t="array" ref="M204">INDIRECT(""&amp;$E91 &amp; "!AV31")</f>
        <v/>
      </c>
      <c r="N204" s="178" t="n"/>
      <c r="O204" s="177">
        <f t="array" ref="O204">INDIRECT(""&amp;$E91 &amp; "!AX31")</f>
        <v/>
      </c>
      <c r="P204" s="185" t="n"/>
      <c r="Q204" s="246">
        <f t="array" ref="Q204">INDIRECT(""&amp;$E91 &amp; "!AZ31")</f>
        <v/>
      </c>
      <c r="R204" s="185" t="n"/>
    </row>
    <row r="205" ht="17" customHeight="1" s="241" thickBot="1">
      <c r="D205" s="222" t="n"/>
      <c r="E205" s="211" t="n"/>
      <c r="F205" s="86">
        <f t="array" ref="F205">INDIRECT(""&amp;$E91 &amp; "!AO33")</f>
        <v/>
      </c>
      <c r="G205" s="17">
        <f t="array" ref="G205">INDIRECT(""&amp;$E91 &amp; "!AP33")</f>
        <v/>
      </c>
      <c r="H205" s="179" t="n"/>
      <c r="I205" s="179" t="n"/>
      <c r="J205" s="179" t="n"/>
      <c r="K205" s="177">
        <f t="array" ref="K205">INDIRECT(""&amp;$E91 &amp; "!AT33")</f>
        <v/>
      </c>
      <c r="L205" s="179" t="n"/>
      <c r="M205" s="177">
        <f t="array" ref="M205">INDIRECT(""&amp;$E91 &amp; "!AV33")</f>
        <v/>
      </c>
      <c r="N205" s="179" t="n"/>
      <c r="O205" s="177">
        <f t="array" ref="O205">INDIRECT(""&amp;$E91 &amp; "!Ax33")</f>
        <v/>
      </c>
      <c r="P205" s="186" t="n"/>
      <c r="Q205" s="246">
        <f t="array" ref="Q205">INDIRECT(""&amp;$E91 &amp; "!AZ33")</f>
        <v/>
      </c>
      <c r="R205" s="186" t="n"/>
    </row>
    <row r="206">
      <c r="D206" s="222" t="n"/>
      <c r="E206" s="210">
        <f>D11</f>
        <v/>
      </c>
      <c r="F206" s="84">
        <f t="array" ref="F206">INDIRECT(""&amp;$E94 &amp; "!AO29")</f>
        <v/>
      </c>
      <c r="G206" s="17">
        <f t="array" ref="G206">INDIRECT(""&amp;$E94 &amp; "!AP29")</f>
        <v/>
      </c>
      <c r="H206" s="177">
        <f t="array" ref="H206">INDIRECT(""&amp;$E94 &amp; "!AQ29")</f>
        <v/>
      </c>
      <c r="I206" s="177">
        <f t="array" ref="I206">INDIRECT(""&amp;$E94 &amp; "!AR29")</f>
        <v/>
      </c>
      <c r="J206" s="177">
        <f t="array" ref="J206">INDIRECT(""&amp;$E94 &amp; "!AS29")</f>
        <v/>
      </c>
      <c r="K206" s="177">
        <f t="array" ref="K206">INDIRECT(""&amp;$E94 &amp; "!AT29")</f>
        <v/>
      </c>
      <c r="L206" s="177">
        <f t="array" ref="L206">INDIRECT(""&amp;$E94 &amp; "!AU29")</f>
        <v/>
      </c>
      <c r="M206" s="177">
        <f t="array" ref="M206">INDIRECT(""&amp;$E94 &amp; "!AV29")</f>
        <v/>
      </c>
      <c r="N206" s="177">
        <f t="array" ref="N206">INDIRECT(""&amp;$E94 &amp; "!AW29")</f>
        <v/>
      </c>
      <c r="O206" s="177">
        <f t="array" ref="O206">INDIRECT(""&amp;$E94 &amp; "!AX29")</f>
        <v/>
      </c>
      <c r="P206" s="187">
        <f t="array" ref="P206">INDIRECT(""&amp;$E94 &amp; "!AY29")</f>
        <v/>
      </c>
      <c r="Q206" s="246">
        <f t="array" ref="Q206">INDIRECT(""&amp;$E94 &amp; "!AZ29")</f>
        <v/>
      </c>
      <c r="R206" s="188">
        <f t="array" ref="R206">INDIRECT(""&amp;$E94 &amp; "!BA29")</f>
        <v/>
      </c>
    </row>
    <row r="207">
      <c r="D207" s="222" t="n"/>
      <c r="E207" s="195" t="n"/>
      <c r="F207" s="85">
        <f t="array" ref="F207">INDIRECT(""&amp;$E94 &amp; "!AO31")</f>
        <v/>
      </c>
      <c r="G207" s="17">
        <f t="array" ref="G207">INDIRECT(""&amp;$E94 &amp; "!AP31")</f>
        <v/>
      </c>
      <c r="H207" s="178" t="n"/>
      <c r="I207" s="178" t="n"/>
      <c r="J207" s="178" t="n"/>
      <c r="K207" s="177">
        <f t="array" ref="K207">INDIRECT(""&amp;$E94 &amp; "!AT31")</f>
        <v/>
      </c>
      <c r="L207" s="178" t="n"/>
      <c r="M207" s="177">
        <f t="array" ref="M207">INDIRECT(""&amp;$E94 &amp; "!AV31")</f>
        <v/>
      </c>
      <c r="N207" s="178" t="n"/>
      <c r="O207" s="177">
        <f t="array" ref="O207">INDIRECT(""&amp;$E94 &amp; "!AX31")</f>
        <v/>
      </c>
      <c r="P207" s="185" t="n"/>
      <c r="Q207" s="246">
        <f t="array" ref="Q207">INDIRECT(""&amp;$E94 &amp; "!AZ31")</f>
        <v/>
      </c>
      <c r="R207" s="185" t="n"/>
    </row>
    <row r="208" ht="17" customHeight="1" s="241" thickBot="1">
      <c r="D208" s="222" t="n"/>
      <c r="E208" s="211" t="n"/>
      <c r="F208" s="86">
        <f t="array" ref="F208">INDIRECT(""&amp;$E94 &amp; "!AO33")</f>
        <v/>
      </c>
      <c r="G208" s="17">
        <f t="array" ref="G208">INDIRECT(""&amp;$E94 &amp; "!AP33")</f>
        <v/>
      </c>
      <c r="H208" s="179" t="n"/>
      <c r="I208" s="179" t="n"/>
      <c r="J208" s="179" t="n"/>
      <c r="K208" s="177">
        <f t="array" ref="K208">INDIRECT(""&amp;$E94 &amp; "!AT33")</f>
        <v/>
      </c>
      <c r="L208" s="179" t="n"/>
      <c r="M208" s="177">
        <f t="array" ref="M208">INDIRECT(""&amp;$E94 &amp; "!AV33")</f>
        <v/>
      </c>
      <c r="N208" s="179" t="n"/>
      <c r="O208" s="177">
        <f t="array" ref="O208">INDIRECT(""&amp;$E94 &amp; "!Ax33")</f>
        <v/>
      </c>
      <c r="P208" s="186" t="n"/>
      <c r="Q208" s="246">
        <f t="array" ref="Q208">INDIRECT(""&amp;$E94 &amp; "!AZ33")</f>
        <v/>
      </c>
      <c r="R208" s="186" t="n"/>
    </row>
    <row r="209">
      <c r="D209" s="222" t="n"/>
      <c r="E209" s="210">
        <f>D14</f>
        <v/>
      </c>
      <c r="F209" s="84">
        <f t="array" ref="F209">INDIRECT(""&amp;$E97 &amp; "!AO29")</f>
        <v/>
      </c>
      <c r="G209" s="17">
        <f t="array" ref="G209">INDIRECT(""&amp;$E97 &amp; "!AP29")</f>
        <v/>
      </c>
      <c r="H209" s="177">
        <f t="array" ref="H209">INDIRECT(""&amp;$E97 &amp; "!AQ29")</f>
        <v/>
      </c>
      <c r="I209" s="177">
        <f t="array" ref="I209">INDIRECT(""&amp;$E97 &amp; "!AR29")</f>
        <v/>
      </c>
      <c r="J209" s="177">
        <f t="array" ref="J209">INDIRECT(""&amp;$E97 &amp; "!AS29")</f>
        <v/>
      </c>
      <c r="K209" s="177">
        <f t="array" ref="K209">INDIRECT(""&amp;$E97 &amp; "!AT29")</f>
        <v/>
      </c>
      <c r="L209" s="177">
        <f t="array" ref="L209">INDIRECT(""&amp;$E97 &amp; "!AU29")</f>
        <v/>
      </c>
      <c r="M209" s="177">
        <f t="array" ref="M209">INDIRECT(""&amp;$E97 &amp; "!AV29")</f>
        <v/>
      </c>
      <c r="N209" s="177">
        <f t="array" ref="N209">INDIRECT(""&amp;$E97 &amp; "!AW29")</f>
        <v/>
      </c>
      <c r="O209" s="177">
        <f t="array" ref="O209">INDIRECT(""&amp;$E97 &amp; "!AX29")</f>
        <v/>
      </c>
      <c r="P209" s="187">
        <f t="array" ref="P209">INDIRECT(""&amp;$E97 &amp; "!AY29")</f>
        <v/>
      </c>
      <c r="Q209" s="246">
        <f t="array" ref="Q209">INDIRECT(""&amp;$E97 &amp; "!AZ29")</f>
        <v/>
      </c>
      <c r="R209" s="188">
        <f t="array" ref="R209">INDIRECT(""&amp;$E97 &amp; "!BA29")</f>
        <v/>
      </c>
    </row>
    <row r="210">
      <c r="D210" s="222" t="n"/>
      <c r="E210" s="195" t="n"/>
      <c r="F210" s="85">
        <f t="array" ref="F210">INDIRECT(""&amp;$E97 &amp; "!AO31")</f>
        <v/>
      </c>
      <c r="G210" s="17">
        <f t="array" ref="G210">INDIRECT(""&amp;$E97 &amp; "!AP31")</f>
        <v/>
      </c>
      <c r="H210" s="178" t="n"/>
      <c r="I210" s="178" t="n"/>
      <c r="J210" s="178" t="n"/>
      <c r="K210" s="177">
        <f t="array" ref="K210">INDIRECT(""&amp;$E97 &amp; "!AT31")</f>
        <v/>
      </c>
      <c r="L210" s="178" t="n"/>
      <c r="M210" s="177">
        <f t="array" ref="M210">INDIRECT(""&amp;$E97 &amp; "!AV31")</f>
        <v/>
      </c>
      <c r="N210" s="178" t="n"/>
      <c r="O210" s="177">
        <f t="array" ref="O210">INDIRECT(""&amp;$E97 &amp; "!AX31")</f>
        <v/>
      </c>
      <c r="P210" s="185" t="n"/>
      <c r="Q210" s="246">
        <f t="array" ref="Q210">INDIRECT(""&amp;$E97 &amp; "!AZ31")</f>
        <v/>
      </c>
      <c r="R210" s="185" t="n"/>
    </row>
    <row r="211" ht="17" customHeight="1" s="241" thickBot="1">
      <c r="D211" s="222" t="n"/>
      <c r="E211" s="211" t="n"/>
      <c r="F211" s="86">
        <f t="array" ref="F211">INDIRECT(""&amp;$E97 &amp; "!AO33")</f>
        <v/>
      </c>
      <c r="G211" s="17">
        <f t="array" ref="G211">INDIRECT(""&amp;$E97 &amp; "!AP33")</f>
        <v/>
      </c>
      <c r="H211" s="179" t="n"/>
      <c r="I211" s="179" t="n"/>
      <c r="J211" s="179" t="n"/>
      <c r="K211" s="177">
        <f t="array" ref="K211">INDIRECT(""&amp;$E97 &amp; "!AT33")</f>
        <v/>
      </c>
      <c r="L211" s="179" t="n"/>
      <c r="M211" s="177">
        <f t="array" ref="M211">INDIRECT(""&amp;$E97 &amp; "!AV33")</f>
        <v/>
      </c>
      <c r="N211" s="179" t="n"/>
      <c r="O211" s="177">
        <f t="array" ref="O211">INDIRECT(""&amp;$E97 &amp; "!Ax33")</f>
        <v/>
      </c>
      <c r="P211" s="186" t="n"/>
      <c r="Q211" s="246">
        <f t="array" ref="Q211">INDIRECT(""&amp;$E97 &amp; "!AZ33")</f>
        <v/>
      </c>
      <c r="R211" s="186" t="n"/>
    </row>
    <row r="212">
      <c r="D212" s="222" t="n"/>
      <c r="E212" s="210">
        <f>D17</f>
        <v/>
      </c>
      <c r="F212" s="84">
        <f t="array" ref="F212">INDIRECT(""&amp;$E100 &amp; "!AO29")</f>
        <v/>
      </c>
      <c r="G212" s="17">
        <f t="array" ref="G212">INDIRECT(""&amp;$E100 &amp; "!AP29")</f>
        <v/>
      </c>
      <c r="H212" s="177">
        <f t="array" ref="H212">INDIRECT(""&amp;$E100 &amp; "!AQ29")</f>
        <v/>
      </c>
      <c r="I212" s="177">
        <f t="array" ref="I212">INDIRECT(""&amp;$E100 &amp; "!AR29")</f>
        <v/>
      </c>
      <c r="J212" s="177">
        <f t="array" ref="J212">INDIRECT(""&amp;$E100 &amp; "!AS29")</f>
        <v/>
      </c>
      <c r="K212" s="177">
        <f t="array" ref="K212">INDIRECT(""&amp;$E100 &amp; "!AT29")</f>
        <v/>
      </c>
      <c r="L212" s="177">
        <f t="array" ref="L212">INDIRECT(""&amp;$E100 &amp; "!AU29")</f>
        <v/>
      </c>
      <c r="M212" s="177">
        <f t="array" ref="M212">INDIRECT(""&amp;$E100 &amp; "!AV29")</f>
        <v/>
      </c>
      <c r="N212" s="177">
        <f t="array" ref="N212">INDIRECT(""&amp;$E100 &amp; "!AW29")</f>
        <v/>
      </c>
      <c r="O212" s="177">
        <f t="array" ref="O212">INDIRECT(""&amp;$E100 &amp; "!AX29")</f>
        <v/>
      </c>
      <c r="P212" s="187">
        <f t="array" ref="P212">INDIRECT(""&amp;$E100 &amp; "!AY29")</f>
        <v/>
      </c>
      <c r="Q212" s="246">
        <f t="array" ref="Q212">INDIRECT(""&amp;$E100 &amp; "!AZ29")</f>
        <v/>
      </c>
      <c r="R212" s="188">
        <f t="array" ref="R212">INDIRECT(""&amp;$E100 &amp; "!BA29")</f>
        <v/>
      </c>
    </row>
    <row r="213">
      <c r="D213" s="222" t="n"/>
      <c r="E213" s="195" t="n"/>
      <c r="F213" s="85">
        <f t="array" ref="F213">INDIRECT(""&amp;$E100 &amp; "!AO31")</f>
        <v/>
      </c>
      <c r="G213" s="17">
        <f t="array" ref="G213">INDIRECT(""&amp;$E100 &amp; "!AP31")</f>
        <v/>
      </c>
      <c r="H213" s="178" t="n"/>
      <c r="I213" s="178" t="n"/>
      <c r="J213" s="178" t="n"/>
      <c r="K213" s="177">
        <f t="array" ref="K213">INDIRECT(""&amp;$E100 &amp; "!AT31")</f>
        <v/>
      </c>
      <c r="L213" s="178" t="n"/>
      <c r="M213" s="177">
        <f t="array" ref="M213">INDIRECT(""&amp;$E100 &amp; "!AV31")</f>
        <v/>
      </c>
      <c r="N213" s="178" t="n"/>
      <c r="O213" s="177">
        <f t="array" ref="O213">INDIRECT(""&amp;$E100 &amp; "!AX31")</f>
        <v/>
      </c>
      <c r="P213" s="185" t="n"/>
      <c r="Q213" s="246">
        <f t="array" ref="Q213">INDIRECT(""&amp;$E100 &amp; "!AZ31")</f>
        <v/>
      </c>
      <c r="R213" s="185" t="n"/>
    </row>
    <row r="214" ht="17" customHeight="1" s="241" thickBot="1">
      <c r="D214" s="222" t="n"/>
      <c r="E214" s="211" t="n"/>
      <c r="F214" s="86">
        <f t="array" ref="F214">INDIRECT(""&amp;$E100 &amp; "!AO33")</f>
        <v/>
      </c>
      <c r="G214" s="17">
        <f t="array" ref="G214">INDIRECT(""&amp;$E100 &amp; "!AP33")</f>
        <v/>
      </c>
      <c r="H214" s="179" t="n"/>
      <c r="I214" s="179" t="n"/>
      <c r="J214" s="179" t="n"/>
      <c r="K214" s="177">
        <f t="array" ref="K214">INDIRECT(""&amp;$E100 &amp; "!AT33")</f>
        <v/>
      </c>
      <c r="L214" s="179" t="n"/>
      <c r="M214" s="177">
        <f t="array" ref="M214">INDIRECT(""&amp;$E100 &amp; "!AV33")</f>
        <v/>
      </c>
      <c r="N214" s="179" t="n"/>
      <c r="O214" s="177">
        <f t="array" ref="O214">INDIRECT(""&amp;$E100 &amp; "!Ax33")</f>
        <v/>
      </c>
      <c r="P214" s="186" t="n"/>
      <c r="Q214" s="246">
        <f t="array" ref="Q214">INDIRECT(""&amp;$E100 &amp; "!AZ33")</f>
        <v/>
      </c>
      <c r="R214" s="186" t="n"/>
    </row>
    <row r="215">
      <c r="D215" s="222" t="n"/>
      <c r="E215" s="210">
        <f>D20</f>
        <v/>
      </c>
      <c r="F215" s="84">
        <f t="array" ref="F215">INDIRECT(""&amp;$E103 &amp; "!AO29")</f>
        <v/>
      </c>
      <c r="G215" s="17">
        <f t="array" ref="G215">INDIRECT(""&amp;$E103 &amp; "!AP29")</f>
        <v/>
      </c>
      <c r="H215" s="177">
        <f t="array" ref="H215">INDIRECT(""&amp;$E103 &amp; "!AQ29")</f>
        <v/>
      </c>
      <c r="I215" s="177">
        <f t="array" ref="I215">INDIRECT(""&amp;$E103 &amp; "!AR29")</f>
        <v/>
      </c>
      <c r="J215" s="177">
        <f t="array" ref="J215">INDIRECT(""&amp;$E103 &amp; "!AS29")</f>
        <v/>
      </c>
      <c r="K215" s="177">
        <f t="array" ref="K215">INDIRECT(""&amp;$E103 &amp; "!AT29")</f>
        <v/>
      </c>
      <c r="L215" s="177">
        <f t="array" ref="L215">INDIRECT(""&amp;$E103 &amp; "!AU29")</f>
        <v/>
      </c>
      <c r="M215" s="177">
        <f t="array" ref="M215">INDIRECT(""&amp;$E103 &amp; "!AV29")</f>
        <v/>
      </c>
      <c r="N215" s="177">
        <f t="array" ref="N215">INDIRECT(""&amp;$E103 &amp; "!AW29")</f>
        <v/>
      </c>
      <c r="O215" s="177">
        <f t="array" ref="O215">INDIRECT(""&amp;$E103 &amp; "!AX29")</f>
        <v/>
      </c>
      <c r="P215" s="187">
        <f t="array" ref="P215">INDIRECT(""&amp;$E103 &amp; "!AY29")</f>
        <v/>
      </c>
      <c r="Q215" s="246">
        <f t="array" ref="Q215">INDIRECT(""&amp;$E103 &amp; "!AZ29")</f>
        <v/>
      </c>
      <c r="R215" s="188">
        <f t="array" ref="R215">INDIRECT(""&amp;$E103 &amp; "!BA29")</f>
        <v/>
      </c>
    </row>
    <row r="216">
      <c r="D216" s="222" t="n"/>
      <c r="E216" s="195" t="n"/>
      <c r="F216" s="85">
        <f t="array" ref="F216">INDIRECT(""&amp;$E103 &amp; "!AO31")</f>
        <v/>
      </c>
      <c r="G216" s="17">
        <f t="array" ref="G216">INDIRECT(""&amp;$E103 &amp; "!AP31")</f>
        <v/>
      </c>
      <c r="H216" s="178" t="n"/>
      <c r="I216" s="178" t="n"/>
      <c r="J216" s="178" t="n"/>
      <c r="K216" s="177">
        <f t="array" ref="K216">INDIRECT(""&amp;$E103 &amp; "!AT31")</f>
        <v/>
      </c>
      <c r="L216" s="178" t="n"/>
      <c r="M216" s="177">
        <f t="array" ref="M216">INDIRECT(""&amp;$E103 &amp; "!AV31")</f>
        <v/>
      </c>
      <c r="N216" s="178" t="n"/>
      <c r="O216" s="177">
        <f t="array" ref="O216">INDIRECT(""&amp;$E103 &amp; "!AX31")</f>
        <v/>
      </c>
      <c r="P216" s="185" t="n"/>
      <c r="Q216" s="246">
        <f t="array" ref="Q216">INDIRECT(""&amp;$E103 &amp; "!AZ31")</f>
        <v/>
      </c>
      <c r="R216" s="185" t="n"/>
    </row>
    <row r="217" ht="17" customHeight="1" s="241" thickBot="1">
      <c r="D217" s="222" t="n"/>
      <c r="E217" s="211" t="n"/>
      <c r="F217" s="86">
        <f t="array" ref="F217">INDIRECT(""&amp;$E103 &amp; "!AO33")</f>
        <v/>
      </c>
      <c r="G217" s="17">
        <f t="array" ref="G217">INDIRECT(""&amp;$E103 &amp; "!AP33")</f>
        <v/>
      </c>
      <c r="H217" s="179" t="n"/>
      <c r="I217" s="179" t="n"/>
      <c r="J217" s="179" t="n"/>
      <c r="K217" s="177">
        <f t="array" ref="K217">INDIRECT(""&amp;$E103 &amp; "!AT33")</f>
        <v/>
      </c>
      <c r="L217" s="179" t="n"/>
      <c r="M217" s="177">
        <f t="array" ref="M217">INDIRECT(""&amp;$E103 &amp; "!AV33")</f>
        <v/>
      </c>
      <c r="N217" s="179" t="n"/>
      <c r="O217" s="177">
        <f t="array" ref="O217">INDIRECT(""&amp;$E103 &amp; "!Ax33")</f>
        <v/>
      </c>
      <c r="P217" s="186" t="n"/>
      <c r="Q217" s="246">
        <f t="array" ref="Q217">INDIRECT(""&amp;$E103 &amp; "!AZ33")</f>
        <v/>
      </c>
      <c r="R217" s="186" t="n"/>
    </row>
    <row r="218">
      <c r="D218" s="222" t="n"/>
      <c r="E218" s="210">
        <f>D23</f>
        <v/>
      </c>
      <c r="F218" s="84">
        <f t="array" ref="F218">INDIRECT(""&amp;$E106 &amp; "!AO29")</f>
        <v/>
      </c>
      <c r="G218" s="17">
        <f t="array" ref="G218">INDIRECT(""&amp;$E106 &amp; "!AP29")</f>
        <v/>
      </c>
      <c r="H218" s="177">
        <f t="array" ref="H218">INDIRECT(""&amp;$E106 &amp; "!AQ29")</f>
        <v/>
      </c>
      <c r="I218" s="177">
        <f t="array" ref="I218">INDIRECT(""&amp;$E106 &amp; "!AR29")</f>
        <v/>
      </c>
      <c r="J218" s="177">
        <f t="array" ref="J218">INDIRECT(""&amp;$E106 &amp; "!AS29")</f>
        <v/>
      </c>
      <c r="K218" s="177">
        <f t="array" ref="K218">INDIRECT(""&amp;$E106 &amp; "!AT29")</f>
        <v/>
      </c>
      <c r="L218" s="177">
        <f t="array" ref="L218">INDIRECT(""&amp;$E106 &amp; "!AU29")</f>
        <v/>
      </c>
      <c r="M218" s="177">
        <f t="array" ref="M218">INDIRECT(""&amp;$E106 &amp; "!AV29")</f>
        <v/>
      </c>
      <c r="N218" s="177">
        <f t="array" ref="N218">INDIRECT(""&amp;$E106 &amp; "!AW29")</f>
        <v/>
      </c>
      <c r="O218" s="177">
        <f t="array" ref="O218">INDIRECT(""&amp;$E106 &amp; "!AX29")</f>
        <v/>
      </c>
      <c r="P218" s="187">
        <f t="array" ref="P218">INDIRECT(""&amp;$E106 &amp; "!AY29")</f>
        <v/>
      </c>
      <c r="Q218" s="246">
        <f t="array" ref="Q218">INDIRECT(""&amp;$E106 &amp; "!AZ29")</f>
        <v/>
      </c>
      <c r="R218" s="188">
        <f t="array" ref="R218">INDIRECT(""&amp;$E106 &amp; "!BA29")</f>
        <v/>
      </c>
    </row>
    <row r="219">
      <c r="D219" s="222" t="n"/>
      <c r="E219" s="195" t="n"/>
      <c r="F219" s="85">
        <f t="array" ref="F219">INDIRECT(""&amp;$E106 &amp; "!AO31")</f>
        <v/>
      </c>
      <c r="G219" s="17">
        <f t="array" ref="G219">INDIRECT(""&amp;$E106 &amp; "!AP31")</f>
        <v/>
      </c>
      <c r="H219" s="178" t="n"/>
      <c r="I219" s="178" t="n"/>
      <c r="J219" s="178" t="n"/>
      <c r="K219" s="177">
        <f t="array" ref="K219">INDIRECT(""&amp;$E106 &amp; "!AT31")</f>
        <v/>
      </c>
      <c r="L219" s="178" t="n"/>
      <c r="M219" s="177">
        <f t="array" ref="M219">INDIRECT(""&amp;$E106 &amp; "!AV31")</f>
        <v/>
      </c>
      <c r="N219" s="178" t="n"/>
      <c r="O219" s="177">
        <f t="array" ref="O219">INDIRECT(""&amp;$E106 &amp; "!AX31")</f>
        <v/>
      </c>
      <c r="P219" s="185" t="n"/>
      <c r="Q219" s="246">
        <f t="array" ref="Q219">INDIRECT(""&amp;$E106 &amp; "!AZ31")</f>
        <v/>
      </c>
      <c r="R219" s="185" t="n"/>
    </row>
    <row r="220" ht="17" customHeight="1" s="241" thickBot="1">
      <c r="D220" s="222" t="n"/>
      <c r="E220" s="211" t="n"/>
      <c r="F220" s="86">
        <f t="array" ref="F220">INDIRECT(""&amp;$E106 &amp; "!AO33")</f>
        <v/>
      </c>
      <c r="G220" s="17">
        <f t="array" ref="G220">INDIRECT(""&amp;$E106 &amp; "!AP33")</f>
        <v/>
      </c>
      <c r="H220" s="179" t="n"/>
      <c r="I220" s="179" t="n"/>
      <c r="J220" s="179" t="n"/>
      <c r="K220" s="177">
        <f t="array" ref="K220">INDIRECT(""&amp;$E106 &amp; "!AT33")</f>
        <v/>
      </c>
      <c r="L220" s="179" t="n"/>
      <c r="M220" s="177">
        <f t="array" ref="M220">INDIRECT(""&amp;$E106 &amp; "!AV33")</f>
        <v/>
      </c>
      <c r="N220" s="179" t="n"/>
      <c r="O220" s="177">
        <f t="array" ref="O220">INDIRECT(""&amp;$E106 &amp; "!Ax33")</f>
        <v/>
      </c>
      <c r="P220" s="186" t="n"/>
      <c r="Q220" s="246">
        <f t="array" ref="Q220">INDIRECT(""&amp;$E106 &amp; "!AZ33")</f>
        <v/>
      </c>
      <c r="R220" s="186" t="n"/>
    </row>
    <row r="221">
      <c r="D221" s="222" t="n"/>
      <c r="E221" s="216">
        <f>D26</f>
        <v/>
      </c>
      <c r="F221" s="84">
        <f t="array" ref="F221">INDIRECT(""&amp;$E109 &amp; "!AO29")</f>
        <v/>
      </c>
      <c r="G221" s="17">
        <f t="array" ref="G221">INDIRECT(""&amp;$E109 &amp; "!AP29")</f>
        <v/>
      </c>
      <c r="H221" s="177">
        <f t="array" ref="H221">INDIRECT(""&amp;$E109 &amp; "!AQ29")</f>
        <v/>
      </c>
      <c r="I221" s="177">
        <f t="array" ref="I221">INDIRECT(""&amp;$E109 &amp; "!AR29")</f>
        <v/>
      </c>
      <c r="J221" s="177">
        <f t="array" ref="J221">INDIRECT(""&amp;$E109 &amp; "!AS29")</f>
        <v/>
      </c>
      <c r="K221" s="177">
        <f t="array" ref="K221">INDIRECT(""&amp;$E109 &amp; "!AT29")</f>
        <v/>
      </c>
      <c r="L221" s="177">
        <f t="array" ref="L221">INDIRECT(""&amp;$E109 &amp; "!AU29")</f>
        <v/>
      </c>
      <c r="M221" s="177">
        <f t="array" ref="M221">INDIRECT(""&amp;$E109 &amp; "!AV29")</f>
        <v/>
      </c>
      <c r="N221" s="177">
        <f t="array" ref="N221">INDIRECT(""&amp;$E109 &amp; "!AW29")</f>
        <v/>
      </c>
      <c r="O221" s="177">
        <f t="array" ref="O221">INDIRECT(""&amp;$E109 &amp; "!AX29")</f>
        <v/>
      </c>
      <c r="P221" s="187">
        <f t="array" ref="P221">INDIRECT(""&amp;$E109 &amp; "!AY29")</f>
        <v/>
      </c>
      <c r="Q221" s="246">
        <f t="array" ref="Q221">INDIRECT(""&amp;$E109 &amp; "!AZ29")</f>
        <v/>
      </c>
      <c r="R221" s="188">
        <f t="array" ref="R221">INDIRECT(""&amp;$E109 &amp; "!BA29")</f>
        <v/>
      </c>
    </row>
    <row r="222">
      <c r="D222" s="222" t="n"/>
      <c r="E222" s="195" t="n"/>
      <c r="F222" s="85">
        <f t="array" ref="F222">INDIRECT(""&amp;$E109 &amp; "!AO31")</f>
        <v/>
      </c>
      <c r="G222" s="17">
        <f t="array" ref="G222">INDIRECT(""&amp;$E109 &amp; "!AP31")</f>
        <v/>
      </c>
      <c r="H222" s="178" t="n"/>
      <c r="I222" s="178" t="n"/>
      <c r="J222" s="178" t="n"/>
      <c r="K222" s="177">
        <f t="array" ref="K222">INDIRECT(""&amp;$E109 &amp; "!AT31")</f>
        <v/>
      </c>
      <c r="L222" s="178" t="n"/>
      <c r="M222" s="177">
        <f t="array" ref="M222">INDIRECT(""&amp;$E109 &amp; "!AV31")</f>
        <v/>
      </c>
      <c r="N222" s="178" t="n"/>
      <c r="O222" s="177">
        <f t="array" ref="O222">INDIRECT(""&amp;$E109 &amp; "!AX31")</f>
        <v/>
      </c>
      <c r="P222" s="185" t="n"/>
      <c r="Q222" s="246">
        <f t="array" ref="Q222">INDIRECT(""&amp;$E109 &amp; "!AZ31")</f>
        <v/>
      </c>
      <c r="R222" s="185" t="n"/>
    </row>
    <row r="223" ht="17" customHeight="1" s="241" thickBot="1">
      <c r="D223" s="222" t="n"/>
      <c r="E223" s="195" t="n"/>
      <c r="F223" s="105">
        <f t="array" ref="F223">INDIRECT(""&amp;$E109 &amp; "!AO33")</f>
        <v/>
      </c>
      <c r="G223" s="49">
        <f t="array" ref="G223">INDIRECT(""&amp;$E109 &amp; "!AP33")</f>
        <v/>
      </c>
      <c r="H223" s="179" t="n"/>
      <c r="I223" s="179" t="n"/>
      <c r="J223" s="179" t="n"/>
      <c r="K223" s="101">
        <f t="array" ref="K223">INDIRECT(""&amp;$E109 &amp; "!AT33")</f>
        <v/>
      </c>
      <c r="L223" s="179" t="n"/>
      <c r="M223" s="101">
        <f t="array" ref="M223">INDIRECT(""&amp;$E109 &amp; "!AV33")</f>
        <v/>
      </c>
      <c r="N223" s="179" t="n"/>
      <c r="O223" s="101">
        <f t="array" ref="O223">INDIRECT(""&amp;$E109 &amp; "!Ax33")</f>
        <v/>
      </c>
      <c r="P223" s="186" t="n"/>
      <c r="Q223" s="126">
        <f t="array" ref="Q223">INDIRECT(""&amp;$E109 &amp; "!AZ33")</f>
        <v/>
      </c>
      <c r="R223" s="186" t="n"/>
    </row>
    <row r="224">
      <c r="D224" s="222" t="n"/>
      <c r="E224" s="210" t="inlineStr">
        <is>
          <t>averages</t>
        </is>
      </c>
      <c r="F224" s="84" t="inlineStr">
        <is>
          <t>High</t>
        </is>
      </c>
      <c r="G224" s="44">
        <f>AVERAGE(G200,G203,G206,G209,G212,G215,G218,G221)</f>
        <v/>
      </c>
      <c r="H224" s="180">
        <f>AVERAGE(H200:H223)</f>
        <v/>
      </c>
      <c r="I224" s="180">
        <f>AVERAGE(I200:I223)</f>
        <v/>
      </c>
      <c r="J224" s="180">
        <f>AVERAGE(J200:J223)</f>
        <v/>
      </c>
      <c r="K224" s="180">
        <f>AVERAGE(K200,K203,K206,K209,K212,K215,K218,K221)</f>
        <v/>
      </c>
      <c r="L224" s="180">
        <f>AVERAGE(L200:L223)</f>
        <v/>
      </c>
      <c r="M224" s="180">
        <f>AVERAGE(M200,M203,M206,M209,M212,M215,M218,M221)</f>
        <v/>
      </c>
      <c r="N224" s="180">
        <f>AVERAGE(N200:N223)</f>
        <v/>
      </c>
      <c r="O224" s="180">
        <f>AVERAGE(O200,O203,O206,O209,O212,O215,O218,O221)</f>
        <v/>
      </c>
      <c r="P224" s="184">
        <f>AVERAGE(P200:P223)</f>
        <v/>
      </c>
      <c r="Q224" s="247">
        <f>SUM(Q200,Q203,Q206,Q209,Q212,Q215,Q218,Q221)</f>
        <v/>
      </c>
      <c r="R224" s="198">
        <f>SUM(R200:R223)</f>
        <v/>
      </c>
    </row>
    <row r="225">
      <c r="D225" s="222" t="n"/>
      <c r="E225" s="195" t="n"/>
      <c r="F225" s="85" t="inlineStr">
        <is>
          <t>Med</t>
        </is>
      </c>
      <c r="G225" s="17">
        <f>AVERAGE(G201,G204,G207,G210,G213,G216,G219,G222)</f>
        <v/>
      </c>
      <c r="H225" s="178" t="n"/>
      <c r="I225" s="178" t="n"/>
      <c r="J225" s="178" t="n"/>
      <c r="K225" s="177">
        <f>AVERAGE(K201,K204,K207,K210,K213,K216,K219,K222)</f>
        <v/>
      </c>
      <c r="L225" s="178" t="n"/>
      <c r="M225" s="177">
        <f>AVERAGE(M201,M204,M207,M210,M213,M216,M219,M222)</f>
        <v/>
      </c>
      <c r="N225" s="178" t="n"/>
      <c r="O225" s="177">
        <f>AVERAGE(O201,O204,O207,O210,O213,O216,O219,O222)</f>
        <v/>
      </c>
      <c r="P225" s="185" t="n"/>
      <c r="Q225" s="246">
        <f>SUM(Q201,Q204,Q207,Q210,Q213,Q216,Q219,Q222)</f>
        <v/>
      </c>
      <c r="R225" s="185" t="n"/>
    </row>
    <row r="226" ht="17" customHeight="1" s="241" thickBot="1">
      <c r="D226" s="223" t="n"/>
      <c r="E226" s="211" t="n"/>
      <c r="F226" s="86" t="inlineStr">
        <is>
          <t>Low</t>
        </is>
      </c>
      <c r="G226" s="47">
        <f>AVERAGE(G202,G205,G208,G211,G214,G217,G220,G223)</f>
        <v/>
      </c>
      <c r="H226" s="179" t="n"/>
      <c r="I226" s="179" t="n"/>
      <c r="J226" s="179" t="n"/>
      <c r="K226" s="57">
        <f>AVERAGE(K202,K205,K208,K211,K214,K217,K220,K223)</f>
        <v/>
      </c>
      <c r="L226" s="179" t="n"/>
      <c r="M226" s="57">
        <f>AVERAGE(M202,M205,M208,M211,M214,M217,M220,M223)</f>
        <v/>
      </c>
      <c r="N226" s="179" t="n"/>
      <c r="O226" s="57">
        <f>AVERAGE(O202,O205,O208,O211,O214,O217,O220,O223)</f>
        <v/>
      </c>
      <c r="P226" s="186" t="n"/>
      <c r="Q226" s="122">
        <f>SUM(Q202,Q205,Q208,Q211,Q214,Q217,Q220,Q223)</f>
        <v/>
      </c>
      <c r="R226" s="186" t="n"/>
    </row>
    <row r="227" ht="17" customHeight="1" s="241" thickBot="1">
      <c r="D227" s="88" t="n"/>
      <c r="E227" s="89" t="n"/>
      <c r="F227" s="112" t="n"/>
      <c r="G227" s="102" t="n"/>
      <c r="H227" s="83" t="n"/>
      <c r="I227" s="83" t="n"/>
      <c r="J227" s="83" t="n"/>
      <c r="K227" s="100" t="n"/>
      <c r="L227" s="83" t="n"/>
      <c r="M227" s="100" t="n"/>
      <c r="N227" s="83" t="n"/>
      <c r="O227" s="100" t="n"/>
      <c r="P227" s="113" t="n"/>
    </row>
    <row r="228">
      <c r="D228" s="221">
        <f>BoxingPractice!A35</f>
        <v/>
      </c>
      <c r="E228" s="210">
        <f>D5</f>
        <v/>
      </c>
      <c r="F228" s="84">
        <f t="array" ref="F228">INDIRECT(""&amp;$E88 &amp; "!AO35")</f>
        <v/>
      </c>
      <c r="G228" s="44">
        <f t="array" ref="G228">INDIRECT(""&amp;$E88 &amp; "!AP35")</f>
        <v/>
      </c>
      <c r="H228" s="180">
        <f t="array" ref="H228">INDIRECT(""&amp;$E88 &amp; "!AQ35")</f>
        <v/>
      </c>
      <c r="I228" s="180">
        <f t="array" ref="I228">INDIRECT(""&amp;$E88 &amp; "!AR35")</f>
        <v/>
      </c>
      <c r="J228" s="180">
        <f t="array" ref="J228">INDIRECT(""&amp;$E88 &amp; "!AS35")</f>
        <v/>
      </c>
      <c r="K228" s="180">
        <f t="array" ref="K228">INDIRECT(""&amp;$E88 &amp; "!AT35")</f>
        <v/>
      </c>
      <c r="L228" s="180">
        <f t="array" ref="L228">INDIRECT(""&amp;$E88 &amp; "!AU35")</f>
        <v/>
      </c>
      <c r="M228" s="180">
        <f t="array" ref="M228">INDIRECT(""&amp;$E88 &amp; "!AV35")</f>
        <v/>
      </c>
      <c r="N228" s="180">
        <f t="array" ref="N228">INDIRECT(""&amp;$E88 &amp; "!AW35")</f>
        <v/>
      </c>
      <c r="O228" s="180">
        <f t="array" ref="O228">INDIRECT(""&amp;$E88 &amp; "!AX35")</f>
        <v/>
      </c>
      <c r="P228" s="184">
        <f t="array" ref="P228">INDIRECT(""&amp;$E88 &amp; "!AY35")</f>
        <v/>
      </c>
      <c r="Q228" s="247">
        <f t="array" ref="Q228">INDIRECT(""&amp;$E88 &amp; "!AZ35")</f>
        <v/>
      </c>
      <c r="R228" s="198">
        <f t="array" ref="R228">INDIRECT(""&amp;$E88 &amp; "!BA35")</f>
        <v/>
      </c>
    </row>
    <row r="229">
      <c r="D229" s="222" t="n"/>
      <c r="E229" s="195" t="n"/>
      <c r="F229" s="85">
        <f t="array" ref="F229">INDIRECT(""&amp;$E88 &amp; "!AO37")</f>
        <v/>
      </c>
      <c r="G229" s="17">
        <f t="array" ref="G229">INDIRECT(""&amp;$E88 &amp; "!AP37")</f>
        <v/>
      </c>
      <c r="H229" s="178" t="n"/>
      <c r="I229" s="178" t="n"/>
      <c r="J229" s="178" t="n"/>
      <c r="K229" s="177">
        <f t="array" ref="K229">INDIRECT(""&amp;$E88 &amp; "!AT37")</f>
        <v/>
      </c>
      <c r="L229" s="178" t="n"/>
      <c r="M229" s="177">
        <f t="array" ref="M229">INDIRECT(""&amp;$E88 &amp; "!AV37")</f>
        <v/>
      </c>
      <c r="N229" s="178" t="n"/>
      <c r="O229" s="177">
        <f t="array" ref="O229">INDIRECT(""&amp;$E88 &amp; "!AX37")</f>
        <v/>
      </c>
      <c r="P229" s="185" t="n"/>
      <c r="Q229" s="246">
        <f t="array" ref="Q229">INDIRECT(""&amp;$E88 &amp; "!AZ37")</f>
        <v/>
      </c>
      <c r="R229" s="185" t="n"/>
    </row>
    <row r="230" ht="17" customHeight="1" s="241" thickBot="1">
      <c r="D230" s="222" t="n"/>
      <c r="E230" s="211" t="n"/>
      <c r="F230" s="86">
        <f t="array" ref="F230">INDIRECT(""&amp;$E88 &amp; "!AO39")</f>
        <v/>
      </c>
      <c r="G230" s="17">
        <f t="array" ref="G230">INDIRECT(""&amp;$E88 &amp; "!AP39")</f>
        <v/>
      </c>
      <c r="H230" s="179" t="n"/>
      <c r="I230" s="179" t="n"/>
      <c r="J230" s="179" t="n"/>
      <c r="K230" s="177">
        <f t="array" ref="K230">INDIRECT(""&amp;$E88 &amp; "!AT39")</f>
        <v/>
      </c>
      <c r="L230" s="179" t="n"/>
      <c r="M230" s="177">
        <f t="array" ref="M230">INDIRECT(""&amp;$E88 &amp; "!AV39")</f>
        <v/>
      </c>
      <c r="N230" s="179" t="n"/>
      <c r="O230" s="177">
        <f t="array" ref="O230">INDIRECT(""&amp;$E88 &amp; "!Ax39")</f>
        <v/>
      </c>
      <c r="P230" s="186" t="n"/>
      <c r="Q230" s="246">
        <f t="array" ref="Q230">INDIRECT(""&amp;$E88 &amp; "!AZ39")</f>
        <v/>
      </c>
      <c r="R230" s="186" t="n"/>
    </row>
    <row r="231">
      <c r="D231" s="222" t="n"/>
      <c r="E231" s="210">
        <f>D8</f>
        <v/>
      </c>
      <c r="F231" s="84">
        <f t="array" ref="F231">INDIRECT(""&amp;$E91 &amp; "!AO35")</f>
        <v/>
      </c>
      <c r="G231" s="17">
        <f t="array" ref="G231">INDIRECT(""&amp;$E91 &amp; "!AP35")</f>
        <v/>
      </c>
      <c r="H231" s="177">
        <f t="array" ref="H231">INDIRECT(""&amp;$E91 &amp; "!AQ35")</f>
        <v/>
      </c>
      <c r="I231" s="177">
        <f t="array" ref="I231">INDIRECT(""&amp;$E91 &amp; "!AR35")</f>
        <v/>
      </c>
      <c r="J231" s="177">
        <f t="array" ref="J231">INDIRECT(""&amp;$E91 &amp; "!AS35")</f>
        <v/>
      </c>
      <c r="K231" s="177">
        <f t="array" ref="K231">INDIRECT(""&amp;$E91 &amp; "!AT35")</f>
        <v/>
      </c>
      <c r="L231" s="177">
        <f t="array" ref="L231">INDIRECT(""&amp;$E91 &amp; "!AU35")</f>
        <v/>
      </c>
      <c r="M231" s="177">
        <f t="array" ref="M231">INDIRECT(""&amp;$E91 &amp; "!AV35")</f>
        <v/>
      </c>
      <c r="N231" s="177">
        <f t="array" ref="N231">INDIRECT(""&amp;$E91 &amp; "!AW35")</f>
        <v/>
      </c>
      <c r="O231" s="177">
        <f t="array" ref="O231">INDIRECT(""&amp;$E91 &amp; "!AX35")</f>
        <v/>
      </c>
      <c r="P231" s="187">
        <f t="array" ref="P231">INDIRECT(""&amp;$E91 &amp; "!AY35")</f>
        <v/>
      </c>
      <c r="Q231" s="246">
        <f t="array" ref="Q231">INDIRECT(""&amp;$E91 &amp; "!AZ35")</f>
        <v/>
      </c>
      <c r="R231" s="188">
        <f t="array" ref="R231">INDIRECT(""&amp;$E91 &amp; "!BA35")</f>
        <v/>
      </c>
    </row>
    <row r="232">
      <c r="D232" s="222" t="n"/>
      <c r="E232" s="195" t="n"/>
      <c r="F232" s="85">
        <f t="array" ref="F232">INDIRECT(""&amp;$E91 &amp; "!AO37")</f>
        <v/>
      </c>
      <c r="G232" s="17">
        <f t="array" ref="G232">INDIRECT(""&amp;$E91 &amp; "!AP37")</f>
        <v/>
      </c>
      <c r="H232" s="178" t="n"/>
      <c r="I232" s="178" t="n"/>
      <c r="J232" s="178" t="n"/>
      <c r="K232" s="177">
        <f t="array" ref="K232">INDIRECT(""&amp;$E91 &amp; "!AT37")</f>
        <v/>
      </c>
      <c r="L232" s="178" t="n"/>
      <c r="M232" s="177">
        <f t="array" ref="M232">INDIRECT(""&amp;$E91 &amp; "!AV37")</f>
        <v/>
      </c>
      <c r="N232" s="178" t="n"/>
      <c r="O232" s="177">
        <f t="array" ref="O232">INDIRECT(""&amp;$E91 &amp; "!AX37")</f>
        <v/>
      </c>
      <c r="P232" s="185" t="n"/>
      <c r="Q232" s="246">
        <f t="array" ref="Q232">INDIRECT(""&amp;$E91 &amp; "!AZ37")</f>
        <v/>
      </c>
      <c r="R232" s="185" t="n"/>
    </row>
    <row r="233" ht="17" customHeight="1" s="241" thickBot="1">
      <c r="D233" s="222" t="n"/>
      <c r="E233" s="211" t="n"/>
      <c r="F233" s="86">
        <f t="array" ref="F233">INDIRECT(""&amp;$E91 &amp; "!AO39")</f>
        <v/>
      </c>
      <c r="G233" s="17">
        <f t="array" ref="G233">INDIRECT(""&amp;$E91 &amp; "!AP39")</f>
        <v/>
      </c>
      <c r="H233" s="179" t="n"/>
      <c r="I233" s="179" t="n"/>
      <c r="J233" s="179" t="n"/>
      <c r="K233" s="177">
        <f t="array" ref="K233">INDIRECT(""&amp;$E91 &amp; "!AT39")</f>
        <v/>
      </c>
      <c r="L233" s="179" t="n"/>
      <c r="M233" s="177">
        <f t="array" ref="M233">INDIRECT(""&amp;$E91 &amp; "!AV39")</f>
        <v/>
      </c>
      <c r="N233" s="179" t="n"/>
      <c r="O233" s="177">
        <f t="array" ref="O233">INDIRECT(""&amp;$E91 &amp; "!Ax39")</f>
        <v/>
      </c>
      <c r="P233" s="186" t="n"/>
      <c r="Q233" s="246">
        <f t="array" ref="Q233">INDIRECT(""&amp;$E91 &amp; "!AZ39")</f>
        <v/>
      </c>
      <c r="R233" s="186" t="n"/>
    </row>
    <row r="234">
      <c r="D234" s="222" t="n"/>
      <c r="E234" s="210">
        <f>D11</f>
        <v/>
      </c>
      <c r="F234" s="84">
        <f t="array" ref="F234">INDIRECT(""&amp;$E94 &amp; "!AO35")</f>
        <v/>
      </c>
      <c r="G234" s="17">
        <f t="array" ref="G234">INDIRECT(""&amp;$E94 &amp; "!AP35")</f>
        <v/>
      </c>
      <c r="H234" s="177">
        <f t="array" ref="H234">INDIRECT(""&amp;$E94 &amp; "!AQ35")</f>
        <v/>
      </c>
      <c r="I234" s="177">
        <f t="array" ref="I234">INDIRECT(""&amp;$E94 &amp; "!AR35")</f>
        <v/>
      </c>
      <c r="J234" s="177">
        <f t="array" ref="J234">INDIRECT(""&amp;$E94 &amp; "!AS35")</f>
        <v/>
      </c>
      <c r="K234" s="177">
        <f t="array" ref="K234">INDIRECT(""&amp;$E94 &amp; "!AT35")</f>
        <v/>
      </c>
      <c r="L234" s="177">
        <f t="array" ref="L234">INDIRECT(""&amp;$E94 &amp; "!AU35")</f>
        <v/>
      </c>
      <c r="M234" s="177">
        <f t="array" ref="M234">INDIRECT(""&amp;$E94 &amp; "!AV35")</f>
        <v/>
      </c>
      <c r="N234" s="177">
        <f t="array" ref="N234">INDIRECT(""&amp;$E94 &amp; "!AW35")</f>
        <v/>
      </c>
      <c r="O234" s="177">
        <f t="array" ref="O234">INDIRECT(""&amp;$E94 &amp; "!AX35")</f>
        <v/>
      </c>
      <c r="P234" s="187">
        <f t="array" ref="P234">INDIRECT(""&amp;$E94 &amp; "!AY35")</f>
        <v/>
      </c>
      <c r="Q234" s="246">
        <f t="array" ref="Q234">INDIRECT(""&amp;$E94 &amp; "!AZ35")</f>
        <v/>
      </c>
      <c r="R234" s="188">
        <f t="array" ref="R234">INDIRECT(""&amp;$E94 &amp; "!BA35")</f>
        <v/>
      </c>
    </row>
    <row r="235">
      <c r="D235" s="222" t="n"/>
      <c r="E235" s="195" t="n"/>
      <c r="F235" s="85">
        <f t="array" ref="F235">INDIRECT(""&amp;$E94 &amp; "!AO37")</f>
        <v/>
      </c>
      <c r="G235" s="17">
        <f t="array" ref="G235">INDIRECT(""&amp;$E94 &amp; "!AP37")</f>
        <v/>
      </c>
      <c r="H235" s="178" t="n"/>
      <c r="I235" s="178" t="n"/>
      <c r="J235" s="178" t="n"/>
      <c r="K235" s="177">
        <f t="array" ref="K235">INDIRECT(""&amp;$E94 &amp; "!AT37")</f>
        <v/>
      </c>
      <c r="L235" s="178" t="n"/>
      <c r="M235" s="177">
        <f t="array" ref="M235">INDIRECT(""&amp;$E94 &amp; "!AV37")</f>
        <v/>
      </c>
      <c r="N235" s="178" t="n"/>
      <c r="O235" s="177">
        <f t="array" ref="O235">INDIRECT(""&amp;$E94 &amp; "!AX37")</f>
        <v/>
      </c>
      <c r="P235" s="185" t="n"/>
      <c r="Q235" s="246">
        <f t="array" ref="Q235">INDIRECT(""&amp;$E94 &amp; "!AZ37")</f>
        <v/>
      </c>
      <c r="R235" s="185" t="n"/>
    </row>
    <row r="236" ht="17" customHeight="1" s="241" thickBot="1">
      <c r="D236" s="222" t="n"/>
      <c r="E236" s="211" t="n"/>
      <c r="F236" s="86">
        <f t="array" ref="F236">INDIRECT(""&amp;$E94 &amp; "!AO39")</f>
        <v/>
      </c>
      <c r="G236" s="17">
        <f t="array" ref="G236">INDIRECT(""&amp;$E94 &amp; "!AP39")</f>
        <v/>
      </c>
      <c r="H236" s="179" t="n"/>
      <c r="I236" s="179" t="n"/>
      <c r="J236" s="179" t="n"/>
      <c r="K236" s="177">
        <f t="array" ref="K236">INDIRECT(""&amp;$E94 &amp; "!AT39")</f>
        <v/>
      </c>
      <c r="L236" s="179" t="n"/>
      <c r="M236" s="177">
        <f t="array" ref="M236">INDIRECT(""&amp;$E94 &amp; "!AV39")</f>
        <v/>
      </c>
      <c r="N236" s="179" t="n"/>
      <c r="O236" s="177">
        <f t="array" ref="O236">INDIRECT(""&amp;$E94 &amp; "!Ax39")</f>
        <v/>
      </c>
      <c r="P236" s="186" t="n"/>
      <c r="Q236" s="246">
        <f t="array" ref="Q236">INDIRECT(""&amp;$E94 &amp; "!AZ39")</f>
        <v/>
      </c>
      <c r="R236" s="186" t="n"/>
    </row>
    <row r="237">
      <c r="D237" s="222" t="n"/>
      <c r="E237" s="210">
        <f>D14</f>
        <v/>
      </c>
      <c r="F237" s="84">
        <f t="array" ref="F237">INDIRECT(""&amp;$E97 &amp; "!AO35")</f>
        <v/>
      </c>
      <c r="G237" s="17">
        <f t="array" ref="G237">INDIRECT(""&amp;$E97 &amp; "!AP35")</f>
        <v/>
      </c>
      <c r="H237" s="177">
        <f t="array" ref="H237">INDIRECT(""&amp;$E97 &amp; "!AQ35")</f>
        <v/>
      </c>
      <c r="I237" s="177">
        <f t="array" ref="I237">INDIRECT(""&amp;$E97 &amp; "!AR35")</f>
        <v/>
      </c>
      <c r="J237" s="177">
        <f t="array" ref="J237">INDIRECT(""&amp;$E97 &amp; "!AS35")</f>
        <v/>
      </c>
      <c r="K237" s="177">
        <f t="array" ref="K237">INDIRECT(""&amp;$E97 &amp; "!AT35")</f>
        <v/>
      </c>
      <c r="L237" s="177">
        <f t="array" ref="L237">INDIRECT(""&amp;$E97 &amp; "!AU35")</f>
        <v/>
      </c>
      <c r="M237" s="177">
        <f t="array" ref="M237">INDIRECT(""&amp;$E97 &amp; "!AV35")</f>
        <v/>
      </c>
      <c r="N237" s="177">
        <f t="array" ref="N237">INDIRECT(""&amp;$E97 &amp; "!AW35")</f>
        <v/>
      </c>
      <c r="O237" s="177">
        <f t="array" ref="O237">INDIRECT(""&amp;$E97 &amp; "!AX35")</f>
        <v/>
      </c>
      <c r="P237" s="187">
        <f t="array" ref="P237">INDIRECT(""&amp;$E97 &amp; "!AY35")</f>
        <v/>
      </c>
      <c r="Q237" s="246">
        <f t="array" ref="Q237">INDIRECT(""&amp;$E97 &amp; "!AZ35")</f>
        <v/>
      </c>
      <c r="R237" s="188">
        <f t="array" ref="R237">INDIRECT(""&amp;$E97 &amp; "!BA35")</f>
        <v/>
      </c>
    </row>
    <row r="238">
      <c r="D238" s="222" t="n"/>
      <c r="E238" s="195" t="n"/>
      <c r="F238" s="85">
        <f t="array" ref="F238">INDIRECT(""&amp;$E97 &amp; "!AO37")</f>
        <v/>
      </c>
      <c r="G238" s="17">
        <f t="array" ref="G238">INDIRECT(""&amp;$E97 &amp; "!AP37")</f>
        <v/>
      </c>
      <c r="H238" s="178" t="n"/>
      <c r="I238" s="178" t="n"/>
      <c r="J238" s="178" t="n"/>
      <c r="K238" s="177">
        <f t="array" ref="K238">INDIRECT(""&amp;$E97 &amp; "!AT37")</f>
        <v/>
      </c>
      <c r="L238" s="178" t="n"/>
      <c r="M238" s="177">
        <f t="array" ref="M238">INDIRECT(""&amp;$E97 &amp; "!AV37")</f>
        <v/>
      </c>
      <c r="N238" s="178" t="n"/>
      <c r="O238" s="177">
        <f t="array" ref="O238">INDIRECT(""&amp;$E97 &amp; "!AX37")</f>
        <v/>
      </c>
      <c r="P238" s="185" t="n"/>
      <c r="Q238" s="246">
        <f t="array" ref="Q238">INDIRECT(""&amp;$E97 &amp; "!AZ37")</f>
        <v/>
      </c>
      <c r="R238" s="185" t="n"/>
    </row>
    <row r="239" ht="17" customHeight="1" s="241" thickBot="1">
      <c r="D239" s="222" t="n"/>
      <c r="E239" s="211" t="n"/>
      <c r="F239" s="86">
        <f t="array" ref="F239">INDIRECT(""&amp;$E97 &amp; "!AO39")</f>
        <v/>
      </c>
      <c r="G239" s="17">
        <f t="array" ref="G239">INDIRECT(""&amp;$E97 &amp; "!AP39")</f>
        <v/>
      </c>
      <c r="H239" s="179" t="n"/>
      <c r="I239" s="179" t="n"/>
      <c r="J239" s="179" t="n"/>
      <c r="K239" s="177">
        <f t="array" ref="K239">INDIRECT(""&amp;$E97 &amp; "!AT39")</f>
        <v/>
      </c>
      <c r="L239" s="179" t="n"/>
      <c r="M239" s="177">
        <f t="array" ref="M239">INDIRECT(""&amp;$E97 &amp; "!AV39")</f>
        <v/>
      </c>
      <c r="N239" s="179" t="n"/>
      <c r="O239" s="177">
        <f t="array" ref="O239">INDIRECT(""&amp;$E97 &amp; "!Ax39")</f>
        <v/>
      </c>
      <c r="P239" s="186" t="n"/>
      <c r="Q239" s="246">
        <f t="array" ref="Q239">INDIRECT(""&amp;$E97 &amp; "!AZ39")</f>
        <v/>
      </c>
      <c r="R239" s="186" t="n"/>
    </row>
    <row r="240">
      <c r="D240" s="222" t="n"/>
      <c r="E240" s="210">
        <f>D17</f>
        <v/>
      </c>
      <c r="F240" s="84">
        <f t="array" ref="F240">INDIRECT(""&amp;$E100 &amp; "!AO35")</f>
        <v/>
      </c>
      <c r="G240" s="17">
        <f t="array" ref="G240">INDIRECT(""&amp;$E100 &amp; "!AP35")</f>
        <v/>
      </c>
      <c r="H240" s="177">
        <f t="array" ref="H240">INDIRECT(""&amp;$E100 &amp; "!AQ35")</f>
        <v/>
      </c>
      <c r="I240" s="177">
        <f t="array" ref="I240">INDIRECT(""&amp;$E100 &amp; "!AR35")</f>
        <v/>
      </c>
      <c r="J240" s="177">
        <f t="array" ref="J240">INDIRECT(""&amp;$E100 &amp; "!AS35")</f>
        <v/>
      </c>
      <c r="K240" s="177">
        <f t="array" ref="K240">INDIRECT(""&amp;$E100 &amp; "!AT35")</f>
        <v/>
      </c>
      <c r="L240" s="177">
        <f t="array" ref="L240">INDIRECT(""&amp;$E100 &amp; "!AU35")</f>
        <v/>
      </c>
      <c r="M240" s="177">
        <f t="array" ref="M240">INDIRECT(""&amp;$E100 &amp; "!AV35")</f>
        <v/>
      </c>
      <c r="N240" s="177">
        <f t="array" ref="N240">INDIRECT(""&amp;$E100 &amp; "!AW35")</f>
        <v/>
      </c>
      <c r="O240" s="177">
        <f t="array" ref="O240">INDIRECT(""&amp;$E100 &amp; "!AX35")</f>
        <v/>
      </c>
      <c r="P240" s="187">
        <f t="array" ref="P240">INDIRECT(""&amp;$E100 &amp; "!AY35")</f>
        <v/>
      </c>
      <c r="Q240" s="246">
        <f t="array" ref="Q240">INDIRECT(""&amp;$E100 &amp; "!AZ35")</f>
        <v/>
      </c>
      <c r="R240" s="188">
        <f t="array" ref="R240">INDIRECT(""&amp;$E100 &amp; "!BA35")</f>
        <v/>
      </c>
    </row>
    <row r="241">
      <c r="D241" s="222" t="n"/>
      <c r="E241" s="195" t="n"/>
      <c r="F241" s="85">
        <f t="array" ref="F241">INDIRECT(""&amp;$E100 &amp; "!AO37")</f>
        <v/>
      </c>
      <c r="G241" s="17">
        <f t="array" ref="G241">INDIRECT(""&amp;$E100 &amp; "!AP37")</f>
        <v/>
      </c>
      <c r="H241" s="178" t="n"/>
      <c r="I241" s="178" t="n"/>
      <c r="J241" s="178" t="n"/>
      <c r="K241" s="177">
        <f t="array" ref="K241">INDIRECT(""&amp;$E100 &amp; "!AT37")</f>
        <v/>
      </c>
      <c r="L241" s="178" t="n"/>
      <c r="M241" s="177">
        <f t="array" ref="M241">INDIRECT(""&amp;$E100 &amp; "!AV37")</f>
        <v/>
      </c>
      <c r="N241" s="178" t="n"/>
      <c r="O241" s="177">
        <f t="array" ref="O241">INDIRECT(""&amp;$E100 &amp; "!AX37")</f>
        <v/>
      </c>
      <c r="P241" s="185" t="n"/>
      <c r="Q241" s="246">
        <f t="array" ref="Q241">INDIRECT(""&amp;$E100 &amp; "!AZ37")</f>
        <v/>
      </c>
      <c r="R241" s="185" t="n"/>
    </row>
    <row r="242" ht="17" customHeight="1" s="241" thickBot="1">
      <c r="D242" s="222" t="n"/>
      <c r="E242" s="211" t="n"/>
      <c r="F242" s="86">
        <f t="array" ref="F242">INDIRECT(""&amp;$E100 &amp; "!AO39")</f>
        <v/>
      </c>
      <c r="G242" s="17">
        <f t="array" ref="G242">INDIRECT(""&amp;$E100 &amp; "!AP39")</f>
        <v/>
      </c>
      <c r="H242" s="179" t="n"/>
      <c r="I242" s="179" t="n"/>
      <c r="J242" s="179" t="n"/>
      <c r="K242" s="177">
        <f t="array" ref="K242">INDIRECT(""&amp;$E100 &amp; "!AT39")</f>
        <v/>
      </c>
      <c r="L242" s="179" t="n"/>
      <c r="M242" s="177">
        <f t="array" ref="M242">INDIRECT(""&amp;$E100 &amp; "!AV39")</f>
        <v/>
      </c>
      <c r="N242" s="179" t="n"/>
      <c r="O242" s="177">
        <f t="array" ref="O242">INDIRECT(""&amp;$E100 &amp; "!Ax39")</f>
        <v/>
      </c>
      <c r="P242" s="186" t="n"/>
      <c r="Q242" s="246">
        <f t="array" ref="Q242">INDIRECT(""&amp;$E100 &amp; "!AZ39")</f>
        <v/>
      </c>
      <c r="R242" s="186" t="n"/>
    </row>
    <row r="243">
      <c r="D243" s="222" t="n"/>
      <c r="E243" s="210">
        <f>D20</f>
        <v/>
      </c>
      <c r="F243" s="84">
        <f t="array" ref="F243">INDIRECT(""&amp;$E103 &amp; "!AO35")</f>
        <v/>
      </c>
      <c r="G243" s="17">
        <f t="array" ref="G243">INDIRECT(""&amp;$E103 &amp; "!AP35")</f>
        <v/>
      </c>
      <c r="H243" s="177">
        <f t="array" ref="H243">INDIRECT(""&amp;$E103 &amp; "!AQ35")</f>
        <v/>
      </c>
      <c r="I243" s="177">
        <f t="array" ref="I243">INDIRECT(""&amp;$E103 &amp; "!AR35")</f>
        <v/>
      </c>
      <c r="J243" s="177">
        <f t="array" ref="J243">INDIRECT(""&amp;$E103 &amp; "!AS35")</f>
        <v/>
      </c>
      <c r="K243" s="177">
        <f t="array" ref="K243">INDIRECT(""&amp;$E103 &amp; "!AT35")</f>
        <v/>
      </c>
      <c r="L243" s="177">
        <f t="array" ref="L243">INDIRECT(""&amp;$E103 &amp; "!AU35")</f>
        <v/>
      </c>
      <c r="M243" s="177">
        <f t="array" ref="M243">INDIRECT(""&amp;$E103 &amp; "!AV35")</f>
        <v/>
      </c>
      <c r="N243" s="177">
        <f t="array" ref="N243">INDIRECT(""&amp;$E103 &amp; "!AW35")</f>
        <v/>
      </c>
      <c r="O243" s="177">
        <f t="array" ref="O243">INDIRECT(""&amp;$E103 &amp; "!AX35")</f>
        <v/>
      </c>
      <c r="P243" s="187">
        <f t="array" ref="P243">INDIRECT(""&amp;$E103 &amp; "!AY35")</f>
        <v/>
      </c>
      <c r="Q243" s="246">
        <f t="array" ref="Q243">INDIRECT(""&amp;$E103 &amp; "!AZ35")</f>
        <v/>
      </c>
      <c r="R243" s="188">
        <f t="array" ref="R243">INDIRECT(""&amp;$E103 &amp; "!BA35")</f>
        <v/>
      </c>
    </row>
    <row r="244">
      <c r="D244" s="222" t="n"/>
      <c r="E244" s="195" t="n"/>
      <c r="F244" s="85">
        <f t="array" ref="F244">INDIRECT(""&amp;$E103 &amp; "!AO37")</f>
        <v/>
      </c>
      <c r="G244" s="17">
        <f t="array" ref="G244">INDIRECT(""&amp;$E103 &amp; "!AP37")</f>
        <v/>
      </c>
      <c r="H244" s="178" t="n"/>
      <c r="I244" s="178" t="n"/>
      <c r="J244" s="178" t="n"/>
      <c r="K244" s="177">
        <f t="array" ref="K244">INDIRECT(""&amp;$E103 &amp; "!AT37")</f>
        <v/>
      </c>
      <c r="L244" s="178" t="n"/>
      <c r="M244" s="177">
        <f t="array" ref="M244">INDIRECT(""&amp;$E103 &amp; "!AV37")</f>
        <v/>
      </c>
      <c r="N244" s="178" t="n"/>
      <c r="O244" s="177">
        <f t="array" ref="O244">INDIRECT(""&amp;$E103 &amp; "!AX37")</f>
        <v/>
      </c>
      <c r="P244" s="185" t="n"/>
      <c r="Q244" s="246">
        <f t="array" ref="Q244">INDIRECT(""&amp;$E103 &amp; "!AZ37")</f>
        <v/>
      </c>
      <c r="R244" s="185" t="n"/>
    </row>
    <row r="245" ht="17" customHeight="1" s="241" thickBot="1">
      <c r="D245" s="222" t="n"/>
      <c r="E245" s="211" t="n"/>
      <c r="F245" s="86">
        <f t="array" ref="F245">INDIRECT(""&amp;$E103 &amp; "!AO39")</f>
        <v/>
      </c>
      <c r="G245" s="17">
        <f t="array" ref="G245">INDIRECT(""&amp;$E103 &amp; "!AP39")</f>
        <v/>
      </c>
      <c r="H245" s="179" t="n"/>
      <c r="I245" s="179" t="n"/>
      <c r="J245" s="179" t="n"/>
      <c r="K245" s="177">
        <f t="array" ref="K245">INDIRECT(""&amp;$E103 &amp; "!AT39")</f>
        <v/>
      </c>
      <c r="L245" s="179" t="n"/>
      <c r="M245" s="177">
        <f t="array" ref="M245">INDIRECT(""&amp;$E103 &amp; "!AV39")</f>
        <v/>
      </c>
      <c r="N245" s="179" t="n"/>
      <c r="O245" s="177">
        <f t="array" ref="O245">INDIRECT(""&amp;$E103 &amp; "!Ax39")</f>
        <v/>
      </c>
      <c r="P245" s="186" t="n"/>
      <c r="Q245" s="246">
        <f t="array" ref="Q245">INDIRECT(""&amp;$E103 &amp; "!AZ39")</f>
        <v/>
      </c>
      <c r="R245" s="186" t="n"/>
    </row>
    <row r="246">
      <c r="D246" s="222" t="n"/>
      <c r="E246" s="210">
        <f>D23</f>
        <v/>
      </c>
      <c r="F246" s="84">
        <f t="array" ref="F246">INDIRECT(""&amp;$E106 &amp; "!AO35")</f>
        <v/>
      </c>
      <c r="G246" s="17">
        <f t="array" ref="G246">INDIRECT(""&amp;$E106 &amp; "!AP35")</f>
        <v/>
      </c>
      <c r="H246" s="177">
        <f t="array" ref="H246">INDIRECT(""&amp;$E106 &amp; "!AQ35")</f>
        <v/>
      </c>
      <c r="I246" s="177">
        <f t="array" ref="I246">INDIRECT(""&amp;$E106 &amp; "!AR35")</f>
        <v/>
      </c>
      <c r="J246" s="177">
        <f t="array" ref="J246">INDIRECT(""&amp;$E106 &amp; "!AS35")</f>
        <v/>
      </c>
      <c r="K246" s="177">
        <f t="array" ref="K246">INDIRECT(""&amp;$E106 &amp; "!AT35")</f>
        <v/>
      </c>
      <c r="L246" s="177">
        <f t="array" ref="L246">INDIRECT(""&amp;$E106 &amp; "!AU35")</f>
        <v/>
      </c>
      <c r="M246" s="177">
        <f t="array" ref="M246">INDIRECT(""&amp;$E106 &amp; "!AV35")</f>
        <v/>
      </c>
      <c r="N246" s="177">
        <f t="array" ref="N246">INDIRECT(""&amp;$E106 &amp; "!AW35")</f>
        <v/>
      </c>
      <c r="O246" s="177">
        <f t="array" ref="O246">INDIRECT(""&amp;$E106 &amp; "!AX35")</f>
        <v/>
      </c>
      <c r="P246" s="187">
        <f t="array" ref="P246">INDIRECT(""&amp;$E106 &amp; "!AY35")</f>
        <v/>
      </c>
      <c r="Q246" s="246">
        <f t="array" ref="Q246">INDIRECT(""&amp;$E106 &amp; "!AZ35")</f>
        <v/>
      </c>
      <c r="R246" s="188">
        <f t="array" ref="R246">INDIRECT(""&amp;$E106 &amp; "!BA35")</f>
        <v/>
      </c>
    </row>
    <row r="247">
      <c r="D247" s="222" t="n"/>
      <c r="E247" s="195" t="n"/>
      <c r="F247" s="85">
        <f t="array" ref="F247">INDIRECT(""&amp;$E106 &amp; "!AO37")</f>
        <v/>
      </c>
      <c r="G247" s="17">
        <f t="array" ref="G247">INDIRECT(""&amp;$E106 &amp; "!AP37")</f>
        <v/>
      </c>
      <c r="H247" s="178" t="n"/>
      <c r="I247" s="178" t="n"/>
      <c r="J247" s="178" t="n"/>
      <c r="K247" s="177">
        <f t="array" ref="K247">INDIRECT(""&amp;$E106 &amp; "!AT37")</f>
        <v/>
      </c>
      <c r="L247" s="178" t="n"/>
      <c r="M247" s="177">
        <f t="array" ref="M247">INDIRECT(""&amp;$E106 &amp; "!AV37")</f>
        <v/>
      </c>
      <c r="N247" s="178" t="n"/>
      <c r="O247" s="177">
        <f t="array" ref="O247">INDIRECT(""&amp;$E106 &amp; "!AX37")</f>
        <v/>
      </c>
      <c r="P247" s="185" t="n"/>
      <c r="Q247" s="246">
        <f t="array" ref="Q247">INDIRECT(""&amp;$E106 &amp; "!AZ37")</f>
        <v/>
      </c>
      <c r="R247" s="185" t="n"/>
    </row>
    <row r="248" ht="17" customHeight="1" s="241" thickBot="1">
      <c r="D248" s="222" t="n"/>
      <c r="E248" s="211" t="n"/>
      <c r="F248" s="86">
        <f t="array" ref="F248">INDIRECT(""&amp;$E106 &amp; "!AO39")</f>
        <v/>
      </c>
      <c r="G248" s="17">
        <f t="array" ref="G248">INDIRECT(""&amp;$E106 &amp; "!AP39")</f>
        <v/>
      </c>
      <c r="H248" s="179" t="n"/>
      <c r="I248" s="179" t="n"/>
      <c r="J248" s="179" t="n"/>
      <c r="K248" s="177">
        <f t="array" ref="K248">INDIRECT(""&amp;$E106 &amp; "!AT39")</f>
        <v/>
      </c>
      <c r="L248" s="179" t="n"/>
      <c r="M248" s="177">
        <f t="array" ref="M248">INDIRECT(""&amp;$E106 &amp; "!AV39")</f>
        <v/>
      </c>
      <c r="N248" s="179" t="n"/>
      <c r="O248" s="177">
        <f t="array" ref="O248">INDIRECT(""&amp;$E106 &amp; "!Ax39")</f>
        <v/>
      </c>
      <c r="P248" s="186" t="n"/>
      <c r="Q248" s="246">
        <f t="array" ref="Q248">INDIRECT(""&amp;$E106 &amp; "!AZ39")</f>
        <v/>
      </c>
      <c r="R248" s="186" t="n"/>
    </row>
    <row r="249">
      <c r="D249" s="222" t="n"/>
      <c r="E249" s="216">
        <f>D26</f>
        <v/>
      </c>
      <c r="F249" s="84">
        <f t="array" ref="F249">INDIRECT(""&amp;$E109 &amp; "!AO35")</f>
        <v/>
      </c>
      <c r="G249" s="17">
        <f t="array" ref="G249">INDIRECT(""&amp;$E109 &amp; "!AP35")</f>
        <v/>
      </c>
      <c r="H249" s="177">
        <f t="array" ref="H249">INDIRECT(""&amp;$E109 &amp; "!AQ35")</f>
        <v/>
      </c>
      <c r="I249" s="177">
        <f t="array" ref="I249">INDIRECT(""&amp;$E109 &amp; "!AR35")</f>
        <v/>
      </c>
      <c r="J249" s="177">
        <f t="array" ref="J249">INDIRECT(""&amp;$E109 &amp; "!AS35")</f>
        <v/>
      </c>
      <c r="K249" s="177">
        <f t="array" ref="K249">INDIRECT(""&amp;$E109 &amp; "!AT35")</f>
        <v/>
      </c>
      <c r="L249" s="177">
        <f t="array" ref="L249">INDIRECT(""&amp;$E109 &amp; "!AU35")</f>
        <v/>
      </c>
      <c r="M249" s="177">
        <f t="array" ref="M249">INDIRECT(""&amp;$E109 &amp; "!AV35")</f>
        <v/>
      </c>
      <c r="N249" s="177">
        <f t="array" ref="N249">INDIRECT(""&amp;$E109 &amp; "!AW35")</f>
        <v/>
      </c>
      <c r="O249" s="177">
        <f t="array" ref="O249">INDIRECT(""&amp;$E109 &amp; "!AX35")</f>
        <v/>
      </c>
      <c r="P249" s="187">
        <f t="array" ref="P249">INDIRECT(""&amp;$E109 &amp; "!AY35")</f>
        <v/>
      </c>
      <c r="Q249" s="246">
        <f t="array" ref="Q249">INDIRECT(""&amp;$E109 &amp; "!AZ35")</f>
        <v/>
      </c>
      <c r="R249" s="188">
        <f t="array" ref="R249">INDIRECT(""&amp;$E109 &amp; "!BA35")</f>
        <v/>
      </c>
    </row>
    <row r="250">
      <c r="D250" s="222" t="n"/>
      <c r="E250" s="195" t="n"/>
      <c r="F250" s="85">
        <f t="array" ref="F250">INDIRECT(""&amp;$E109 &amp; "!AO37")</f>
        <v/>
      </c>
      <c r="G250" s="17">
        <f t="array" ref="G250">INDIRECT(""&amp;$E109 &amp; "!AP37")</f>
        <v/>
      </c>
      <c r="H250" s="178" t="n"/>
      <c r="I250" s="178" t="n"/>
      <c r="J250" s="178" t="n"/>
      <c r="K250" s="177">
        <f t="array" ref="K250">INDIRECT(""&amp;$E109 &amp; "!AT37")</f>
        <v/>
      </c>
      <c r="L250" s="178" t="n"/>
      <c r="M250" s="177">
        <f t="array" ref="M250">INDIRECT(""&amp;$E109 &amp; "!AV37")</f>
        <v/>
      </c>
      <c r="N250" s="178" t="n"/>
      <c r="O250" s="177">
        <f t="array" ref="O250">INDIRECT(""&amp;$E109 &amp; "!AX37")</f>
        <v/>
      </c>
      <c r="P250" s="185" t="n"/>
      <c r="Q250" s="246">
        <f t="array" ref="Q250">INDIRECT(""&amp;$E109 &amp; "!AZ37")</f>
        <v/>
      </c>
      <c r="R250" s="185" t="n"/>
    </row>
    <row r="251" ht="17" customHeight="1" s="241" thickBot="1">
      <c r="D251" s="222" t="n"/>
      <c r="E251" s="195" t="n"/>
      <c r="F251" s="105">
        <f t="array" ref="F251">INDIRECT(""&amp;$E109 &amp; "!AO39")</f>
        <v/>
      </c>
      <c r="G251" s="49">
        <f t="array" ref="G251">INDIRECT(""&amp;$E109 &amp; "!AP39")</f>
        <v/>
      </c>
      <c r="H251" s="179" t="n"/>
      <c r="I251" s="179" t="n"/>
      <c r="J251" s="179" t="n"/>
      <c r="K251" s="101">
        <f t="array" ref="K251">INDIRECT(""&amp;$E109 &amp; "!AT39")</f>
        <v/>
      </c>
      <c r="L251" s="179" t="n"/>
      <c r="M251" s="101">
        <f t="array" ref="M251">INDIRECT(""&amp;$E109 &amp; "!AV39")</f>
        <v/>
      </c>
      <c r="N251" s="179" t="n"/>
      <c r="O251" s="101">
        <f t="array" ref="O251">INDIRECT(""&amp;$E109 &amp; "!Ax39")</f>
        <v/>
      </c>
      <c r="P251" s="186" t="n"/>
      <c r="Q251" s="126">
        <f t="array" ref="Q251">INDIRECT(""&amp;$E109 &amp; "!AZ39")</f>
        <v/>
      </c>
      <c r="R251" s="186" t="n"/>
    </row>
    <row r="252">
      <c r="D252" s="222" t="n"/>
      <c r="E252" s="210" t="inlineStr">
        <is>
          <t>averages</t>
        </is>
      </c>
      <c r="F252" s="84" t="inlineStr">
        <is>
          <t>High</t>
        </is>
      </c>
      <c r="G252" s="44">
        <f>AVERAGE(G228,G231,G234,G237,G240,G243,G246,G249)</f>
        <v/>
      </c>
      <c r="H252" s="180">
        <f>AVERAGE(H228:H251)</f>
        <v/>
      </c>
      <c r="I252" s="180">
        <f>AVERAGE(I228:I251)</f>
        <v/>
      </c>
      <c r="J252" s="180">
        <f>AVERAGE(J228:J251)</f>
        <v/>
      </c>
      <c r="K252" s="180">
        <f>AVERAGE(K228,K231,K234,K237,K240,K243,K246,K249)</f>
        <v/>
      </c>
      <c r="L252" s="180">
        <f>AVERAGE(L228:L251)</f>
        <v/>
      </c>
      <c r="M252" s="180">
        <f>AVERAGE(M228,M231,M234,M237,M240,M243,M246,M249)</f>
        <v/>
      </c>
      <c r="N252" s="180">
        <f>AVERAGE(N228:N251)</f>
        <v/>
      </c>
      <c r="O252" s="180">
        <f>AVERAGE(O228,O231,O234,O237,O240,O243,O246,O249)</f>
        <v/>
      </c>
      <c r="P252" s="184">
        <f>AVERAGE(P228:P251)</f>
        <v/>
      </c>
      <c r="Q252" s="247">
        <f>SUM(Q228,Q231,Q234,Q237,Q240,Q243,Q246,Q249)</f>
        <v/>
      </c>
      <c r="R252" s="198">
        <f>SUM(R228:R251)</f>
        <v/>
      </c>
    </row>
    <row r="253">
      <c r="D253" s="222" t="n"/>
      <c r="E253" s="195" t="n"/>
      <c r="F253" s="85" t="inlineStr">
        <is>
          <t>Med</t>
        </is>
      </c>
      <c r="G253" s="17">
        <f>AVERAGE(G229,G232,G235,G238,G241,G244,G247,G250)</f>
        <v/>
      </c>
      <c r="H253" s="178" t="n"/>
      <c r="I253" s="178" t="n"/>
      <c r="J253" s="178" t="n"/>
      <c r="K253" s="177">
        <f>AVERAGE(K229,K232,K235,K238,K241,K244,K247,K250)</f>
        <v/>
      </c>
      <c r="L253" s="178" t="n"/>
      <c r="M253" s="177">
        <f>AVERAGE(M229,M232,M235,M238,M241,M244,M247,M250)</f>
        <v/>
      </c>
      <c r="N253" s="178" t="n"/>
      <c r="O253" s="177">
        <f>AVERAGE(O229,O232,O235,O238,O241,O244,O247,O250)</f>
        <v/>
      </c>
      <c r="P253" s="185" t="n"/>
      <c r="Q253" s="246">
        <f>SUM(Q229,Q232,Q235,Q238,Q241,Q244,Q247,Q250)</f>
        <v/>
      </c>
      <c r="R253" s="185" t="n"/>
    </row>
    <row r="254" ht="17" customHeight="1" s="241" thickBot="1">
      <c r="D254" s="223" t="n"/>
      <c r="E254" s="211" t="n"/>
      <c r="F254" s="86" t="inlineStr">
        <is>
          <t>Low</t>
        </is>
      </c>
      <c r="G254" s="47">
        <f>AVERAGE(G230,G233,G236,G239,G242,G245,G248,G251)</f>
        <v/>
      </c>
      <c r="H254" s="179" t="n"/>
      <c r="I254" s="179" t="n"/>
      <c r="J254" s="179" t="n"/>
      <c r="K254" s="57">
        <f>AVERAGE(K230,K233,K236,K239,K242,K245,K248,K251)</f>
        <v/>
      </c>
      <c r="L254" s="179" t="n"/>
      <c r="M254" s="57">
        <f>AVERAGE(M230,M233,M236,M239,M242,M245,M248,M251)</f>
        <v/>
      </c>
      <c r="N254" s="179" t="n"/>
      <c r="O254" s="57">
        <f>AVERAGE(O230,O233,O236,O239,O242,O245,O248,O251)</f>
        <v/>
      </c>
      <c r="P254" s="186" t="n"/>
      <c r="Q254" s="122">
        <f>SUM(Q230,Q233,Q236,Q239,Q242,Q245,Q248,Q251)</f>
        <v/>
      </c>
      <c r="R254" s="186" t="n"/>
    </row>
  </sheetData>
  <mergeCells count="762">
    <mergeCell ref="H190:H192"/>
    <mergeCell ref="R116:R118"/>
    <mergeCell ref="V26:V28"/>
    <mergeCell ref="P91:P93"/>
    <mergeCell ref="D5:D7"/>
    <mergeCell ref="R91:R93"/>
    <mergeCell ref="H140:H142"/>
    <mergeCell ref="J91:J93"/>
    <mergeCell ref="J196:J198"/>
    <mergeCell ref="K57:K59"/>
    <mergeCell ref="E1:V1"/>
    <mergeCell ref="L196:L198"/>
    <mergeCell ref="R109:R111"/>
    <mergeCell ref="M57:M59"/>
    <mergeCell ref="E187:E189"/>
    <mergeCell ref="AA51:AA53"/>
    <mergeCell ref="E159:E161"/>
    <mergeCell ref="M23:M25"/>
    <mergeCell ref="E97:E99"/>
    <mergeCell ref="G26:G28"/>
    <mergeCell ref="H125:H127"/>
    <mergeCell ref="I88:I90"/>
    <mergeCell ref="O23:O25"/>
    <mergeCell ref="M70:N70"/>
    <mergeCell ref="I153:I155"/>
    <mergeCell ref="D29:D31"/>
    <mergeCell ref="L249:L251"/>
    <mergeCell ref="N243:N245"/>
    <mergeCell ref="L218:L220"/>
    <mergeCell ref="N218:N220"/>
    <mergeCell ref="A33:B33"/>
    <mergeCell ref="G42:G44"/>
    <mergeCell ref="P190:P192"/>
    <mergeCell ref="P246:P248"/>
    <mergeCell ref="I181:I183"/>
    <mergeCell ref="R246:R248"/>
    <mergeCell ref="E221:E223"/>
    <mergeCell ref="E215:E217"/>
    <mergeCell ref="I131:I133"/>
    <mergeCell ref="H153:H155"/>
    <mergeCell ref="H128:H130"/>
    <mergeCell ref="D116:D142"/>
    <mergeCell ref="M45:M47"/>
    <mergeCell ref="P106:P108"/>
    <mergeCell ref="L144:L146"/>
    <mergeCell ref="R106:R108"/>
    <mergeCell ref="G45:G47"/>
    <mergeCell ref="J106:J108"/>
    <mergeCell ref="V57:V59"/>
    <mergeCell ref="G20:G22"/>
    <mergeCell ref="J252:J254"/>
    <mergeCell ref="I20:I22"/>
    <mergeCell ref="G14:G16"/>
    <mergeCell ref="O11:O13"/>
    <mergeCell ref="Q11:Q13"/>
    <mergeCell ref="I14:I16"/>
    <mergeCell ref="N137:N139"/>
    <mergeCell ref="K14:K16"/>
    <mergeCell ref="D42:D44"/>
    <mergeCell ref="P137:P139"/>
    <mergeCell ref="S54:S56"/>
    <mergeCell ref="E193:E195"/>
    <mergeCell ref="U54:U56"/>
    <mergeCell ref="L237:L239"/>
    <mergeCell ref="M29:M31"/>
    <mergeCell ref="N237:N239"/>
    <mergeCell ref="E134:E136"/>
    <mergeCell ref="N203:N205"/>
    <mergeCell ref="H206:H208"/>
    <mergeCell ref="P119:P121"/>
    <mergeCell ref="H193:H195"/>
    <mergeCell ref="R119:R121"/>
    <mergeCell ref="E234:E236"/>
    <mergeCell ref="AA57:AA59"/>
    <mergeCell ref="R3:V3"/>
    <mergeCell ref="E209:E211"/>
    <mergeCell ref="R196:R198"/>
    <mergeCell ref="E147:E149"/>
    <mergeCell ref="E203:E205"/>
    <mergeCell ref="K60:K62"/>
    <mergeCell ref="M60:M62"/>
    <mergeCell ref="P37:Q37"/>
    <mergeCell ref="N150:N152"/>
    <mergeCell ref="E140:E142"/>
    <mergeCell ref="L165:L167"/>
    <mergeCell ref="O26:O28"/>
    <mergeCell ref="I91:I93"/>
    <mergeCell ref="Q51:Q53"/>
    <mergeCell ref="Q26:Q28"/>
    <mergeCell ref="I162:I164"/>
    <mergeCell ref="J128:J130"/>
    <mergeCell ref="I156:I158"/>
    <mergeCell ref="N8:N10"/>
    <mergeCell ref="P8:P10"/>
    <mergeCell ref="S57:S59"/>
    <mergeCell ref="L29:L31"/>
    <mergeCell ref="AA54:AA56"/>
    <mergeCell ref="J94:J96"/>
    <mergeCell ref="L23:L25"/>
    <mergeCell ref="R252:R254"/>
    <mergeCell ref="L94:L96"/>
    <mergeCell ref="N23:N25"/>
    <mergeCell ref="H159:H161"/>
    <mergeCell ref="P23:P25"/>
    <mergeCell ref="L252:L254"/>
    <mergeCell ref="P112:P114"/>
    <mergeCell ref="J125:J127"/>
    <mergeCell ref="R112:R114"/>
    <mergeCell ref="I249:I251"/>
    <mergeCell ref="M42:M44"/>
    <mergeCell ref="E116:E118"/>
    <mergeCell ref="O42:O44"/>
    <mergeCell ref="P122:P124"/>
    <mergeCell ref="M17:M19"/>
    <mergeCell ref="O17:O19"/>
    <mergeCell ref="R249:R251"/>
    <mergeCell ref="Q17:Q19"/>
    <mergeCell ref="U39:U41"/>
    <mergeCell ref="W39:W41"/>
    <mergeCell ref="E109:E111"/>
    <mergeCell ref="S60:S62"/>
    <mergeCell ref="I109:I111"/>
    <mergeCell ref="E35:AA35"/>
    <mergeCell ref="H181:H183"/>
    <mergeCell ref="H156:H158"/>
    <mergeCell ref="P178:P180"/>
    <mergeCell ref="R178:R180"/>
    <mergeCell ref="J181:J183"/>
    <mergeCell ref="J156:J158"/>
    <mergeCell ref="G3:K3"/>
    <mergeCell ref="N234:N236"/>
    <mergeCell ref="L187:L189"/>
    <mergeCell ref="V8:V10"/>
    <mergeCell ref="E122:E124"/>
    <mergeCell ref="M48:M50"/>
    <mergeCell ref="N209:N211"/>
    <mergeCell ref="H212:H214"/>
    <mergeCell ref="P203:P205"/>
    <mergeCell ref="I175:I177"/>
    <mergeCell ref="I150:I152"/>
    <mergeCell ref="Q14:Q16"/>
    <mergeCell ref="I144:I146"/>
    <mergeCell ref="N140:N142"/>
    <mergeCell ref="D45:D47"/>
    <mergeCell ref="S14:S16"/>
    <mergeCell ref="P140:P142"/>
    <mergeCell ref="N5:N7"/>
    <mergeCell ref="U57:U59"/>
    <mergeCell ref="P11:P13"/>
    <mergeCell ref="I8:I10"/>
    <mergeCell ref="L240:L242"/>
    <mergeCell ref="K8:K10"/>
    <mergeCell ref="W63:W65"/>
    <mergeCell ref="N240:N242"/>
    <mergeCell ref="H109:H111"/>
    <mergeCell ref="A56:B57"/>
    <mergeCell ref="R125:R127"/>
    <mergeCell ref="P206:P208"/>
    <mergeCell ref="J100:J102"/>
    <mergeCell ref="R206:R208"/>
    <mergeCell ref="L100:L102"/>
    <mergeCell ref="N29:N31"/>
    <mergeCell ref="P181:P183"/>
    <mergeCell ref="E212:E214"/>
    <mergeCell ref="D63:D65"/>
    <mergeCell ref="I193:I195"/>
    <mergeCell ref="J144:J146"/>
    <mergeCell ref="I172:I174"/>
    <mergeCell ref="J131:J133"/>
    <mergeCell ref="T57:T59"/>
    <mergeCell ref="M63:M65"/>
    <mergeCell ref="L131:L133"/>
    <mergeCell ref="T5:T7"/>
    <mergeCell ref="V48:V50"/>
    <mergeCell ref="V23:V25"/>
    <mergeCell ref="L97:L99"/>
    <mergeCell ref="N159:N161"/>
    <mergeCell ref="P26:P28"/>
    <mergeCell ref="H162:H164"/>
    <mergeCell ref="N224:N226"/>
    <mergeCell ref="P153:P155"/>
    <mergeCell ref="R88:R90"/>
    <mergeCell ref="N97:N99"/>
    <mergeCell ref="R153:R155"/>
    <mergeCell ref="N153:N155"/>
    <mergeCell ref="P128:P130"/>
    <mergeCell ref="K29:K31"/>
    <mergeCell ref="R128:R130"/>
    <mergeCell ref="U45:U47"/>
    <mergeCell ref="K70:L70"/>
    <mergeCell ref="L184:L186"/>
    <mergeCell ref="W45:W47"/>
    <mergeCell ref="E224:E226"/>
    <mergeCell ref="N184:N186"/>
    <mergeCell ref="O45:O47"/>
    <mergeCell ref="O20:O22"/>
    <mergeCell ref="P228:P230"/>
    <mergeCell ref="Q20:Q22"/>
    <mergeCell ref="H228:H230"/>
    <mergeCell ref="I125:I127"/>
    <mergeCell ref="I112:I114"/>
    <mergeCell ref="N17:N19"/>
    <mergeCell ref="P17:P19"/>
    <mergeCell ref="R181:R183"/>
    <mergeCell ref="H17:H19"/>
    <mergeCell ref="G54:G56"/>
    <mergeCell ref="L215:L217"/>
    <mergeCell ref="E162:E164"/>
    <mergeCell ref="O51:O53"/>
    <mergeCell ref="P212:P214"/>
    <mergeCell ref="I178:I180"/>
    <mergeCell ref="U8:U10"/>
    <mergeCell ref="U60:U62"/>
    <mergeCell ref="H175:H177"/>
    <mergeCell ref="X37:Y37"/>
    <mergeCell ref="N20:N22"/>
    <mergeCell ref="W60:W62"/>
    <mergeCell ref="Z37:AA37"/>
    <mergeCell ref="P20:P22"/>
    <mergeCell ref="H150:H152"/>
    <mergeCell ref="P14:P16"/>
    <mergeCell ref="J150:J152"/>
    <mergeCell ref="R14:R16"/>
    <mergeCell ref="M5:M7"/>
    <mergeCell ref="D88:D114"/>
    <mergeCell ref="F84:R84"/>
    <mergeCell ref="I26:I28"/>
    <mergeCell ref="J116:J118"/>
    <mergeCell ref="T29:T31"/>
    <mergeCell ref="L103:L105"/>
    <mergeCell ref="V29:V31"/>
    <mergeCell ref="P159:P161"/>
    <mergeCell ref="I100:I102"/>
    <mergeCell ref="J147:J149"/>
    <mergeCell ref="L209:L211"/>
    <mergeCell ref="L147:L149"/>
    <mergeCell ref="T60:T62"/>
    <mergeCell ref="N190:N192"/>
    <mergeCell ref="I39:I41"/>
    <mergeCell ref="N162:N164"/>
    <mergeCell ref="R37:W37"/>
    <mergeCell ref="H243:H245"/>
    <mergeCell ref="P162:P164"/>
    <mergeCell ref="J134:J136"/>
    <mergeCell ref="K39:K41"/>
    <mergeCell ref="P156:P158"/>
    <mergeCell ref="R156:R158"/>
    <mergeCell ref="S5:S7"/>
    <mergeCell ref="U5:U7"/>
    <mergeCell ref="R131:R133"/>
    <mergeCell ref="I168:I170"/>
    <mergeCell ref="U23:U25"/>
    <mergeCell ref="W48:W50"/>
    <mergeCell ref="H172:H174"/>
    <mergeCell ref="O48:O50"/>
    <mergeCell ref="Y48:Y50"/>
    <mergeCell ref="Q48:Q50"/>
    <mergeCell ref="P231:P233"/>
    <mergeCell ref="P36:Q36"/>
    <mergeCell ref="R231:R233"/>
    <mergeCell ref="H231:H233"/>
    <mergeCell ref="H165:H167"/>
    <mergeCell ref="J231:J233"/>
    <mergeCell ref="J165:J167"/>
    <mergeCell ref="T42:T44"/>
    <mergeCell ref="I128:I130"/>
    <mergeCell ref="H36:I36"/>
    <mergeCell ref="V42:V44"/>
    <mergeCell ref="L116:L118"/>
    <mergeCell ref="J36:K36"/>
    <mergeCell ref="V17:V19"/>
    <mergeCell ref="D69:D71"/>
    <mergeCell ref="G57:G59"/>
    <mergeCell ref="H20:H22"/>
    <mergeCell ref="I57:I59"/>
    <mergeCell ref="I228:I230"/>
    <mergeCell ref="H196:H198"/>
    <mergeCell ref="N109:N111"/>
    <mergeCell ref="P109:P111"/>
    <mergeCell ref="R11:R13"/>
    <mergeCell ref="W51:W53"/>
    <mergeCell ref="N193:N195"/>
    <mergeCell ref="K63:K65"/>
    <mergeCell ref="E88:E90"/>
    <mergeCell ref="E153:E155"/>
    <mergeCell ref="L122:L124"/>
    <mergeCell ref="H178:H180"/>
    <mergeCell ref="H249:H251"/>
    <mergeCell ref="J178:J180"/>
    <mergeCell ref="L234:L236"/>
    <mergeCell ref="P150:P152"/>
    <mergeCell ref="R150:R152"/>
    <mergeCell ref="P215:P217"/>
    <mergeCell ref="R144:R146"/>
    <mergeCell ref="H218:H220"/>
    <mergeCell ref="R215:R217"/>
    <mergeCell ref="J218:J220"/>
    <mergeCell ref="E119:E121"/>
    <mergeCell ref="E246:E248"/>
    <mergeCell ref="L119:L121"/>
    <mergeCell ref="G60:G62"/>
    <mergeCell ref="I187:I189"/>
    <mergeCell ref="D51:D53"/>
    <mergeCell ref="D26:D28"/>
    <mergeCell ref="S29:S31"/>
    <mergeCell ref="U29:U31"/>
    <mergeCell ref="Q85:R85"/>
    <mergeCell ref="H8:H10"/>
    <mergeCell ref="J8:J10"/>
    <mergeCell ref="N212:N214"/>
    <mergeCell ref="L106:L108"/>
    <mergeCell ref="N206:N208"/>
    <mergeCell ref="N106:N108"/>
    <mergeCell ref="R228:R230"/>
    <mergeCell ref="P193:P195"/>
    <mergeCell ref="K11:K13"/>
    <mergeCell ref="I218:I220"/>
    <mergeCell ref="M11:M13"/>
    <mergeCell ref="R172:R174"/>
    <mergeCell ref="T63:T65"/>
    <mergeCell ref="R243:R245"/>
    <mergeCell ref="L137:L139"/>
    <mergeCell ref="V63:V65"/>
    <mergeCell ref="R221:R223"/>
    <mergeCell ref="O54:O56"/>
    <mergeCell ref="Q54:Q56"/>
    <mergeCell ref="E249:E251"/>
    <mergeCell ref="H237:H239"/>
    <mergeCell ref="I200:I202"/>
    <mergeCell ref="I134:I136"/>
    <mergeCell ref="Y51:Y53"/>
    <mergeCell ref="L5:L7"/>
    <mergeCell ref="J103:J105"/>
    <mergeCell ref="X36:Y36"/>
    <mergeCell ref="Z36:AA36"/>
    <mergeCell ref="J168:J170"/>
    <mergeCell ref="E172:E174"/>
    <mergeCell ref="L168:L170"/>
    <mergeCell ref="L224:L226"/>
    <mergeCell ref="V45:V47"/>
    <mergeCell ref="N119:N121"/>
    <mergeCell ref="E70:H70"/>
    <mergeCell ref="P175:P177"/>
    <mergeCell ref="R175:R177"/>
    <mergeCell ref="N196:N198"/>
    <mergeCell ref="P125:P127"/>
    <mergeCell ref="J37:K37"/>
    <mergeCell ref="I60:I62"/>
    <mergeCell ref="I231:I233"/>
    <mergeCell ref="P196:P198"/>
    <mergeCell ref="L37:M37"/>
    <mergeCell ref="N37:O37"/>
    <mergeCell ref="U42:U44"/>
    <mergeCell ref="W42:W44"/>
    <mergeCell ref="D14:D16"/>
    <mergeCell ref="S26:S28"/>
    <mergeCell ref="U26:U28"/>
    <mergeCell ref="E91:E93"/>
    <mergeCell ref="E196:E198"/>
    <mergeCell ref="R8:R10"/>
    <mergeCell ref="H184:H186"/>
    <mergeCell ref="J184:J186"/>
    <mergeCell ref="O57:O59"/>
    <mergeCell ref="H200:H202"/>
    <mergeCell ref="H134:H136"/>
    <mergeCell ref="H23:H25"/>
    <mergeCell ref="J23:J25"/>
    <mergeCell ref="P252:P254"/>
    <mergeCell ref="H252:H254"/>
    <mergeCell ref="D228:D254"/>
    <mergeCell ref="R218:R220"/>
    <mergeCell ref="D172:D198"/>
    <mergeCell ref="D17:D19"/>
    <mergeCell ref="I243:I245"/>
    <mergeCell ref="Q39:Q41"/>
    <mergeCell ref="S39:S41"/>
    <mergeCell ref="A29:B29"/>
    <mergeCell ref="I215:I217"/>
    <mergeCell ref="I190:I192"/>
    <mergeCell ref="H187:H189"/>
    <mergeCell ref="P184:P186"/>
    <mergeCell ref="I48:I50"/>
    <mergeCell ref="K48:K50"/>
    <mergeCell ref="R100:R102"/>
    <mergeCell ref="P165:P167"/>
    <mergeCell ref="R165:R167"/>
    <mergeCell ref="M14:M16"/>
    <mergeCell ref="O14:O16"/>
    <mergeCell ref="E106:E108"/>
    <mergeCell ref="Q57:Q59"/>
    <mergeCell ref="D20:D22"/>
    <mergeCell ref="L11:L13"/>
    <mergeCell ref="H240:H242"/>
    <mergeCell ref="T39:T41"/>
    <mergeCell ref="N11:N13"/>
    <mergeCell ref="J240:J242"/>
    <mergeCell ref="S63:S65"/>
    <mergeCell ref="U63:U65"/>
    <mergeCell ref="I137:I139"/>
    <mergeCell ref="L246:L248"/>
    <mergeCell ref="H29:H31"/>
    <mergeCell ref="I237:I239"/>
    <mergeCell ref="J29:J31"/>
    <mergeCell ref="N122:N124"/>
    <mergeCell ref="M85:N85"/>
    <mergeCell ref="K5:K7"/>
    <mergeCell ref="I203:I205"/>
    <mergeCell ref="Y60:Y62"/>
    <mergeCell ref="E206:E208"/>
    <mergeCell ref="E69:N69"/>
    <mergeCell ref="H144:H146"/>
    <mergeCell ref="H131:H133"/>
    <mergeCell ref="I221:I223"/>
    <mergeCell ref="J187:J189"/>
    <mergeCell ref="T8:T10"/>
    <mergeCell ref="R26:R28"/>
    <mergeCell ref="J137:J139"/>
    <mergeCell ref="J26:J28"/>
    <mergeCell ref="L88:L90"/>
    <mergeCell ref="T26:T28"/>
    <mergeCell ref="L26:L28"/>
    <mergeCell ref="N88:N90"/>
    <mergeCell ref="L153:L155"/>
    <mergeCell ref="V54:V56"/>
    <mergeCell ref="G29:G31"/>
    <mergeCell ref="I29:I31"/>
    <mergeCell ref="I23:I25"/>
    <mergeCell ref="I94:I96"/>
    <mergeCell ref="I70:J70"/>
    <mergeCell ref="K23:K25"/>
    <mergeCell ref="I252:I254"/>
    <mergeCell ref="N26:N28"/>
    <mergeCell ref="E125:E127"/>
    <mergeCell ref="E112:E114"/>
    <mergeCell ref="N246:N248"/>
    <mergeCell ref="J200:J202"/>
    <mergeCell ref="N221:N223"/>
    <mergeCell ref="H221:H223"/>
    <mergeCell ref="P237:P239"/>
    <mergeCell ref="H215:H217"/>
    <mergeCell ref="R237:R239"/>
    <mergeCell ref="J215:J217"/>
    <mergeCell ref="P187:P189"/>
    <mergeCell ref="K51:K53"/>
    <mergeCell ref="R187:R189"/>
    <mergeCell ref="J190:J192"/>
    <mergeCell ref="M51:M53"/>
    <mergeCell ref="R103:R105"/>
    <mergeCell ref="E181:E183"/>
    <mergeCell ref="E156:E158"/>
    <mergeCell ref="V5:V7"/>
    <mergeCell ref="R168:R170"/>
    <mergeCell ref="I234:I236"/>
    <mergeCell ref="Q8:Q10"/>
    <mergeCell ref="I209:I211"/>
    <mergeCell ref="I184:I186"/>
    <mergeCell ref="I147:I149"/>
    <mergeCell ref="O85:P85"/>
    <mergeCell ref="D48:D50"/>
    <mergeCell ref="Q60:Q62"/>
    <mergeCell ref="J20:J22"/>
    <mergeCell ref="I165:I167"/>
    <mergeCell ref="L14:L16"/>
    <mergeCell ref="N14:N16"/>
    <mergeCell ref="AA63:AA65"/>
    <mergeCell ref="I42:I44"/>
    <mergeCell ref="I5:I7"/>
    <mergeCell ref="K42:K44"/>
    <mergeCell ref="I17:I19"/>
    <mergeCell ref="R184:R186"/>
    <mergeCell ref="K17:K19"/>
    <mergeCell ref="P200:P202"/>
    <mergeCell ref="P134:P136"/>
    <mergeCell ref="P243:P245"/>
    <mergeCell ref="I240:I242"/>
    <mergeCell ref="R200:R202"/>
    <mergeCell ref="R134:R136"/>
    <mergeCell ref="L159:L161"/>
    <mergeCell ref="T23:T25"/>
    <mergeCell ref="E100:E102"/>
    <mergeCell ref="H209:H211"/>
    <mergeCell ref="H147:H149"/>
    <mergeCell ref="J203:J205"/>
    <mergeCell ref="L203:L205"/>
    <mergeCell ref="E200:E202"/>
    <mergeCell ref="L190:L192"/>
    <mergeCell ref="J140:J142"/>
    <mergeCell ref="G39:G41"/>
    <mergeCell ref="L140:L142"/>
    <mergeCell ref="L91:L93"/>
    <mergeCell ref="E131:E133"/>
    <mergeCell ref="N91:N93"/>
    <mergeCell ref="N156:N158"/>
    <mergeCell ref="S8:S10"/>
    <mergeCell ref="N131:N133"/>
    <mergeCell ref="P131:P133"/>
    <mergeCell ref="I159:I161"/>
    <mergeCell ref="Q23:Q25"/>
    <mergeCell ref="S48:S50"/>
    <mergeCell ref="K26:K28"/>
    <mergeCell ref="I97:I99"/>
    <mergeCell ref="U48:U50"/>
    <mergeCell ref="I224:I226"/>
    <mergeCell ref="S23:S25"/>
    <mergeCell ref="AA45:AA47"/>
    <mergeCell ref="L231:L233"/>
    <mergeCell ref="M54:M56"/>
    <mergeCell ref="N231:N233"/>
    <mergeCell ref="E128:E130"/>
    <mergeCell ref="A40:B40"/>
    <mergeCell ref="H94:H96"/>
    <mergeCell ref="N249:N251"/>
    <mergeCell ref="P249:P251"/>
    <mergeCell ref="R17:R19"/>
    <mergeCell ref="T17:T19"/>
    <mergeCell ref="L20:L22"/>
    <mergeCell ref="T11:T13"/>
    <mergeCell ref="P218:P220"/>
    <mergeCell ref="D200:D226"/>
    <mergeCell ref="J109:J111"/>
    <mergeCell ref="R240:R242"/>
    <mergeCell ref="E228:E230"/>
    <mergeCell ref="L109:L111"/>
    <mergeCell ref="V11:V13"/>
    <mergeCell ref="R36:W36"/>
    <mergeCell ref="R190:R192"/>
    <mergeCell ref="J193:J195"/>
    <mergeCell ref="G63:G65"/>
    <mergeCell ref="D54:D56"/>
    <mergeCell ref="H122:H124"/>
    <mergeCell ref="J122:J124"/>
    <mergeCell ref="T48:T50"/>
    <mergeCell ref="J153:J155"/>
    <mergeCell ref="L178:L180"/>
    <mergeCell ref="H234:H236"/>
    <mergeCell ref="L150:L152"/>
    <mergeCell ref="T14:T16"/>
    <mergeCell ref="V14:V16"/>
    <mergeCell ref="N144:N146"/>
    <mergeCell ref="I45:I47"/>
    <mergeCell ref="P144:P146"/>
    <mergeCell ref="J209:J211"/>
    <mergeCell ref="K45:K47"/>
    <mergeCell ref="E175:E177"/>
    <mergeCell ref="K20:K22"/>
    <mergeCell ref="N252:N254"/>
    <mergeCell ref="S11:S13"/>
    <mergeCell ref="E150:E152"/>
    <mergeCell ref="U11:U13"/>
    <mergeCell ref="R137:R139"/>
    <mergeCell ref="W54:W56"/>
    <mergeCell ref="F37:G37"/>
    <mergeCell ref="Y54:Y56"/>
    <mergeCell ref="H88:H90"/>
    <mergeCell ref="E103:E105"/>
    <mergeCell ref="O29:O31"/>
    <mergeCell ref="Q29:Q31"/>
    <mergeCell ref="D11:D13"/>
    <mergeCell ref="I103:I105"/>
    <mergeCell ref="J212:J214"/>
    <mergeCell ref="R203:R205"/>
    <mergeCell ref="L212:L214"/>
    <mergeCell ref="J206:J208"/>
    <mergeCell ref="L206:L208"/>
    <mergeCell ref="H100:H102"/>
    <mergeCell ref="L193:L195"/>
    <mergeCell ref="I63:I65"/>
    <mergeCell ref="E218:E220"/>
    <mergeCell ref="N172:N174"/>
    <mergeCell ref="O60:O62"/>
    <mergeCell ref="P221:P223"/>
    <mergeCell ref="D39:D41"/>
    <mergeCell ref="S51:S53"/>
    <mergeCell ref="U51:U53"/>
    <mergeCell ref="E2:V2"/>
    <mergeCell ref="P5:P7"/>
    <mergeCell ref="F85:J85"/>
    <mergeCell ref="H5:H7"/>
    <mergeCell ref="P29:P31"/>
    <mergeCell ref="J5:J7"/>
    <mergeCell ref="H103:H105"/>
    <mergeCell ref="N94:N96"/>
    <mergeCell ref="R29:R31"/>
    <mergeCell ref="P94:P96"/>
    <mergeCell ref="J159:J161"/>
    <mergeCell ref="H168:H170"/>
    <mergeCell ref="H224:H226"/>
    <mergeCell ref="R23:R25"/>
    <mergeCell ref="D144:D170"/>
    <mergeCell ref="J224:J226"/>
    <mergeCell ref="R94:R96"/>
    <mergeCell ref="H97:H99"/>
    <mergeCell ref="L175:L177"/>
    <mergeCell ref="J97:J99"/>
    <mergeCell ref="M20:M22"/>
    <mergeCell ref="N175:N177"/>
    <mergeCell ref="T45:T47"/>
    <mergeCell ref="T20:T22"/>
    <mergeCell ref="V20:V22"/>
    <mergeCell ref="L125:L127"/>
    <mergeCell ref="E231:E233"/>
    <mergeCell ref="E165:E167"/>
    <mergeCell ref="N125:N127"/>
    <mergeCell ref="H37:I37"/>
    <mergeCell ref="L112:L114"/>
    <mergeCell ref="Q42:Q44"/>
    <mergeCell ref="N112:N114"/>
    <mergeCell ref="I116:I118"/>
    <mergeCell ref="S42:S44"/>
    <mergeCell ref="R193:R195"/>
    <mergeCell ref="S17:S19"/>
    <mergeCell ref="Y39:Y41"/>
    <mergeCell ref="U17:U19"/>
    <mergeCell ref="D57:D59"/>
    <mergeCell ref="AA39:AA41"/>
    <mergeCell ref="L200:L202"/>
    <mergeCell ref="T51:T53"/>
    <mergeCell ref="D1:D4"/>
    <mergeCell ref="L181:L183"/>
    <mergeCell ref="L156:L158"/>
    <mergeCell ref="V51:V53"/>
    <mergeCell ref="N181:N183"/>
    <mergeCell ref="P234:P236"/>
    <mergeCell ref="P172:P174"/>
    <mergeCell ref="R234:R236"/>
    <mergeCell ref="J237:J239"/>
    <mergeCell ref="N147:N149"/>
    <mergeCell ref="P209:P211"/>
    <mergeCell ref="P147:P149"/>
    <mergeCell ref="R209:R211"/>
    <mergeCell ref="R147:R149"/>
    <mergeCell ref="E178:E180"/>
    <mergeCell ref="E243:E245"/>
    <mergeCell ref="U14:U16"/>
    <mergeCell ref="R140:R142"/>
    <mergeCell ref="E144:E146"/>
    <mergeCell ref="H116:H118"/>
    <mergeCell ref="E84:E87"/>
    <mergeCell ref="R5:R7"/>
    <mergeCell ref="W57:W59"/>
    <mergeCell ref="Y57:Y59"/>
    <mergeCell ref="P88:P90"/>
    <mergeCell ref="H91:H93"/>
    <mergeCell ref="I246:I248"/>
    <mergeCell ref="P240:P242"/>
    <mergeCell ref="G8:G10"/>
    <mergeCell ref="G48:G50"/>
    <mergeCell ref="N100:N102"/>
    <mergeCell ref="P100:P102"/>
    <mergeCell ref="N165:N167"/>
    <mergeCell ref="I212:I214"/>
    <mergeCell ref="I106:I108"/>
    <mergeCell ref="V39:V41"/>
    <mergeCell ref="H11:H13"/>
    <mergeCell ref="E137:E139"/>
    <mergeCell ref="J11:J13"/>
    <mergeCell ref="O63:O65"/>
    <mergeCell ref="Q63:Q65"/>
    <mergeCell ref="H246:H248"/>
    <mergeCell ref="F87:G87"/>
    <mergeCell ref="P97:P99"/>
    <mergeCell ref="R159:R161"/>
    <mergeCell ref="R122:R124"/>
    <mergeCell ref="R97:R99"/>
    <mergeCell ref="J162:J164"/>
    <mergeCell ref="L162:L164"/>
    <mergeCell ref="R224:R226"/>
    <mergeCell ref="E237:E239"/>
    <mergeCell ref="P224:P226"/>
    <mergeCell ref="N178:N180"/>
    <mergeCell ref="G5:G7"/>
    <mergeCell ref="L128:L130"/>
    <mergeCell ref="E168:E170"/>
    <mergeCell ref="N128:N130"/>
    <mergeCell ref="Y45:Y47"/>
    <mergeCell ref="Q45:Q47"/>
    <mergeCell ref="Y42:Y44"/>
    <mergeCell ref="I119:I121"/>
    <mergeCell ref="S45:S47"/>
    <mergeCell ref="AA42:AA44"/>
    <mergeCell ref="S20:S22"/>
    <mergeCell ref="J228:J230"/>
    <mergeCell ref="I196:I198"/>
    <mergeCell ref="U20:U22"/>
    <mergeCell ref="L228:L230"/>
    <mergeCell ref="D60:D62"/>
    <mergeCell ref="F36:G36"/>
    <mergeCell ref="H137:H139"/>
    <mergeCell ref="J17:J19"/>
    <mergeCell ref="H26:H28"/>
    <mergeCell ref="J88:J90"/>
    <mergeCell ref="L17:L19"/>
    <mergeCell ref="I54:I56"/>
    <mergeCell ref="K54:K56"/>
    <mergeCell ref="A48:B49"/>
    <mergeCell ref="R212:R214"/>
    <mergeCell ref="E94:E96"/>
    <mergeCell ref="G23:G25"/>
    <mergeCell ref="E252:E254"/>
    <mergeCell ref="H119:H121"/>
    <mergeCell ref="J119:J121"/>
    <mergeCell ref="J175:J177"/>
    <mergeCell ref="J246:J248"/>
    <mergeCell ref="R20:R22"/>
    <mergeCell ref="AA60:AA62"/>
    <mergeCell ref="N200:N202"/>
    <mergeCell ref="J221:J223"/>
    <mergeCell ref="L221:L223"/>
    <mergeCell ref="D84:D87"/>
    <mergeCell ref="N215:N217"/>
    <mergeCell ref="M26:M28"/>
    <mergeCell ref="N116:N118"/>
    <mergeCell ref="N187:N189"/>
    <mergeCell ref="G51:G53"/>
    <mergeCell ref="I51:I53"/>
    <mergeCell ref="N103:N105"/>
    <mergeCell ref="D8:D10"/>
    <mergeCell ref="P103:P105"/>
    <mergeCell ref="N168:N170"/>
    <mergeCell ref="P168:P170"/>
    <mergeCell ref="M8:M10"/>
    <mergeCell ref="D23:D25"/>
    <mergeCell ref="O8:O10"/>
    <mergeCell ref="E184:E186"/>
    <mergeCell ref="K85:L85"/>
    <mergeCell ref="H14:H16"/>
    <mergeCell ref="J14:J16"/>
    <mergeCell ref="H112:H114"/>
    <mergeCell ref="Y63:Y65"/>
    <mergeCell ref="J112:J114"/>
    <mergeCell ref="H106:H108"/>
    <mergeCell ref="I140:I142"/>
    <mergeCell ref="T54:T56"/>
    <mergeCell ref="N228:N230"/>
    <mergeCell ref="G17:G19"/>
    <mergeCell ref="J249:J251"/>
    <mergeCell ref="G11:G13"/>
    <mergeCell ref="M39:M41"/>
    <mergeCell ref="J243:J245"/>
    <mergeCell ref="R162:R164"/>
    <mergeCell ref="L134:L136"/>
    <mergeCell ref="L243:L245"/>
    <mergeCell ref="E240:E242"/>
    <mergeCell ref="N134:N136"/>
    <mergeCell ref="I11:I13"/>
    <mergeCell ref="O39:O41"/>
    <mergeCell ref="E190:E192"/>
    <mergeCell ref="O5:O7"/>
    <mergeCell ref="Q5:Q7"/>
    <mergeCell ref="J234:J236"/>
    <mergeCell ref="I206:I208"/>
    <mergeCell ref="J172:J174"/>
    <mergeCell ref="AA48:AA50"/>
    <mergeCell ref="I122:I124"/>
    <mergeCell ref="L172:L174"/>
    <mergeCell ref="L8:L10"/>
    <mergeCell ref="D35:D38"/>
    <mergeCell ref="V60:V62"/>
    <mergeCell ref="L36:M36"/>
    <mergeCell ref="H203:H205"/>
    <mergeCell ref="N36:O36"/>
    <mergeCell ref="P116:P118"/>
  </mergeCells>
  <conditionalFormatting sqref="G88">
    <cfRule type="cellIs" priority="1253" operator="greaterThan" dxfId="3" stopIfTrue="1">
      <formula>0.03</formula>
    </cfRule>
    <cfRule type="cellIs" priority="1254" operator="lessThan" dxfId="2" stopIfTrue="1">
      <formula>-0.03</formula>
    </cfRule>
  </conditionalFormatting>
  <conditionalFormatting sqref="Y4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Y42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Y51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Y57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Y60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F7 F10 F13 F16 F19 F22 F25 F28 F31">
    <cfRule type="cellIs" priority="561" operator="greaterThan" dxfId="3" stopIfTrue="1">
      <formula>0.03</formula>
    </cfRule>
    <cfRule type="cellIs" priority="562" operator="lessThan" dxfId="2" stopIfTrue="1">
      <formula>-0.03</formula>
    </cfRule>
    <cfRule type="cellIs" priority="564" operator="greaterThan" dxfId="1" stopIfTrue="1">
      <formula>0</formula>
    </cfRule>
    <cfRule type="cellIs" priority="563" operator="lessThan" dxfId="0" stopIfTrue="1">
      <formula>0</formula>
    </cfRule>
  </conditionalFormatting>
  <conditionalFormatting sqref="M88:M254">
    <cfRule type="cellIs" priority="539" operator="greaterThan" dxfId="3" stopIfTrue="1">
      <formula>0.03</formula>
    </cfRule>
    <cfRule type="cellIs" priority="540" operator="lessThan" dxfId="2" stopIfTrue="1">
      <formula>-0.03</formula>
    </cfRule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H39:H40 H42:H43 H45:H46 H48:H49 H51:H52 H54:H55 H57:H58 H60:H61 H63:H64">
    <cfRule type="cellIs" priority="519" operator="greaterThan" dxfId="3" stopIfTrue="1">
      <formula>0.03</formula>
    </cfRule>
    <cfRule type="cellIs" priority="520" operator="lessThan" dxfId="2" stopIfTrue="1">
      <formula>-0.03</formula>
    </cfRule>
  </conditionalFormatting>
  <conditionalFormatting sqref="G255:G258">
    <cfRule type="cellIs" priority="731" operator="greaterThan" dxfId="3" stopIfTrue="1">
      <formula>0.03</formula>
    </cfRule>
    <cfRule type="cellIs" priority="732" operator="lessThan" dxfId="2" stopIfTrue="1">
      <formula>-0.03</formula>
    </cfRule>
  </conditionalFormatting>
  <conditionalFormatting sqref="L39:L40 L42:L43 L45:L46 L48:L49 L51:L52 L54:L55 L57:L58 L60:L61 L63:L64">
    <cfRule type="cellIs" priority="499" operator="greaterThan" dxfId="3" stopIfTrue="1">
      <formula>0.03</formula>
    </cfRule>
    <cfRule type="cellIs" priority="500" operator="lessThan" dxfId="2" stopIfTrue="1">
      <formula>-0.03</formula>
    </cfRule>
  </conditionalFormatting>
  <conditionalFormatting sqref="K255:K258">
    <cfRule type="cellIs" priority="729" operator="greaterThan" dxfId="3" stopIfTrue="1">
      <formula>0.03</formula>
    </cfRule>
    <cfRule type="cellIs" priority="730" operator="lessThan" dxfId="2" stopIfTrue="1">
      <formula>-0.03</formula>
    </cfRule>
  </conditionalFormatting>
  <conditionalFormatting sqref="M255:M258">
    <cfRule type="cellIs" priority="727" operator="greaterThan" dxfId="3" stopIfTrue="1">
      <formula>0.03</formula>
    </cfRule>
    <cfRule type="cellIs" priority="728" operator="lessThan" dxfId="2" stopIfTrue="1">
      <formula>-0.03</formula>
    </cfRule>
  </conditionalFormatting>
  <conditionalFormatting sqref="O255 O257:O258">
    <cfRule type="cellIs" priority="715" operator="greaterThan" dxfId="3" stopIfTrue="1">
      <formula>0.03</formula>
    </cfRule>
    <cfRule type="cellIs" priority="716" operator="lessThan" dxfId="2" stopIfTrue="1">
      <formula>-0.03</formula>
    </cfRule>
  </conditionalFormatting>
  <conditionalFormatting sqref="O80">
    <cfRule type="cellIs" priority="712" operator="lessThan" dxfId="3" stopIfTrue="1">
      <formula>1</formula>
    </cfRule>
  </conditionalFormatting>
  <conditionalFormatting sqref="E80:O80">
    <cfRule type="cellIs" priority="710" operator="greaterThan" dxfId="4605" stopIfTrue="1">
      <formula>2</formula>
    </cfRule>
    <cfRule type="cellIs" priority="711" operator="lessThan" dxfId="4604" stopIfTrue="1">
      <formula>0.5</formula>
    </cfRule>
  </conditionalFormatting>
  <conditionalFormatting sqref="O72:O79">
    <cfRule type="cellIs" priority="709" operator="lessThan" dxfId="3" stopIfTrue="1">
      <formula>1</formula>
    </cfRule>
  </conditionalFormatting>
  <conditionalFormatting sqref="E72:O79">
    <cfRule type="cellIs" priority="707" operator="greaterThan" dxfId="4605" stopIfTrue="1">
      <formula>2</formula>
    </cfRule>
    <cfRule type="cellIs" priority="708" operator="lessThan" dxfId="4604" stopIfTrue="1">
      <formula>0.5</formula>
    </cfRule>
  </conditionalFormatting>
  <conditionalFormatting sqref="H41 H44 H47 H50 H53 H56 H59 H62 H65">
    <cfRule type="cellIs" priority="515" operator="greaterThan" dxfId="3" stopIfTrue="1">
      <formula>0.03</formula>
    </cfRule>
    <cfRule type="cellIs" priority="516" operator="lessThan" dxfId="2" stopIfTrue="1">
      <formula>-0.03</formula>
    </cfRule>
    <cfRule type="cellIs" priority="518" operator="greaterThan" dxfId="1" stopIfTrue="1">
      <formula>0</formula>
    </cfRule>
    <cfRule type="cellIs" priority="517" operator="lessThan" dxfId="0" stopIfTrue="1">
      <formula>0</formula>
    </cfRule>
  </conditionalFormatting>
  <conditionalFormatting sqref="Y39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Y63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N41 N44 N47 N50 N53 N56 N59 N62 N65">
    <cfRule type="cellIs" priority="485" operator="greaterThan" dxfId="3" stopIfTrue="1">
      <formula>0.03</formula>
    </cfRule>
    <cfRule type="cellIs" priority="486" operator="lessThan" dxfId="2" stopIfTrue="1">
      <formula>-0.03</formula>
    </cfRule>
    <cfRule type="cellIs" priority="488" operator="greaterThan" dxfId="1" stopIfTrue="1">
      <formula>0</formula>
    </cfRule>
    <cfRule type="cellIs" priority="487" operator="lessThan" dxfId="0" stopIfTrue="1">
      <formula>0</formula>
    </cfRule>
  </conditionalFormatting>
  <conditionalFormatting sqref="G89:G254">
    <cfRule type="cellIs" priority="547" operator="greaterThan" dxfId="3" stopIfTrue="1">
      <formula>0.03</formula>
    </cfRule>
    <cfRule type="cellIs" priority="548" operator="lessThan" dxfId="2" stopIfTrue="1">
      <formula>-0.03</formula>
    </cfRule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R39:R40 R42:R43 R45:R46 R48:R49 R51:R52 R54:R55 R57:R58 R60:R61 R63:R64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P41 P44 P47 P50 P53 P56 P59 P62 P65">
    <cfRule type="cellIs" priority="475" operator="greaterThan" dxfId="3" stopIfTrue="1">
      <formula>0.03</formula>
    </cfRule>
    <cfRule type="cellIs" priority="476" operator="lessThan" dxfId="2" stopIfTrue="1">
      <formula>-0.03</formula>
    </cfRule>
    <cfRule type="cellIs" priority="478" operator="greaterThan" dxfId="1" stopIfTrue="1">
      <formula>0</formula>
    </cfRule>
    <cfRule type="cellIs" priority="477" operator="lessThan" dxfId="0" stopIfTrue="1">
      <formula>0</formula>
    </cfRule>
  </conditionalFormatting>
  <conditionalFormatting sqref="O88:O254">
    <cfRule type="cellIs" priority="535" operator="greaterThan" dxfId="3" stopIfTrue="1">
      <formula>0.03</formula>
    </cfRule>
    <cfRule type="cellIs" priority="536" operator="lessThan" dxfId="2" stopIfTrue="1">
      <formula>-0.03</formula>
    </cfRule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X39:X40 X42:X43 X45:X46 X48:X49 X51:X52 X54:X55 X57:X58 X60:X61 X63:X64">
    <cfRule type="cellIs" priority="459" operator="greaterThan" dxfId="3" stopIfTrue="1">
      <formula>0.03</formula>
    </cfRule>
    <cfRule type="cellIs" priority="460" operator="lessThan" dxfId="2" stopIfTrue="1">
      <formula>-0.03</formula>
    </cfRule>
  </conditionalFormatting>
  <conditionalFormatting sqref="Y48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Z41 Z44 Z47 Z50 Z53 Z56 Z59 Z62 Z65">
    <cfRule type="cellIs" priority="445" operator="greaterThan" dxfId="3" stopIfTrue="1">
      <formula>0.03</formula>
    </cfRule>
    <cfRule type="cellIs" priority="446" operator="lessThan" dxfId="2" stopIfTrue="1">
      <formula>-0.03</formula>
    </cfRule>
    <cfRule type="cellIs" priority="448" operator="greaterThan" dxfId="1" stopIfTrue="1">
      <formula>0</formula>
    </cfRule>
    <cfRule type="cellIs" priority="447" operator="lessThan" dxfId="0" stopIfTrue="1">
      <formula>0</formula>
    </cfRule>
  </conditionalFormatting>
  <conditionalFormatting sqref="Z39:Z40 Z42:Z43 Z45:Z46 Z48:Z49 Z51:Z52 Z54:Z55 Z57:Z58 Z60:Z61 Z63:Z64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G8 G11 G14 G17 G20 G23 G26 G29">
    <cfRule type="cellIs" priority="433" operator="greaterThan" dxfId="3" stopIfTrue="1">
      <formula>0.03</formula>
    </cfRule>
    <cfRule type="cellIs" priority="434" operator="lessThan" dxfId="2" stopIfTrue="1">
      <formula>-0.03</formula>
    </cfRule>
    <cfRule type="cellIs" priority="436" operator="greaterThan" dxfId="1" stopIfTrue="1">
      <formula>0</formula>
    </cfRule>
    <cfRule type="cellIs" priority="435" operator="lessThan" dxfId="0" stopIfTrue="1">
      <formula>0</formula>
    </cfRule>
  </conditionalFormatting>
  <conditionalFormatting sqref="Y54">
    <cfRule type="cellIs" priority="605" operator="greaterThan" dxfId="3" stopIfTrue="1">
      <formula>0.03</formula>
    </cfRule>
    <cfRule type="cellIs" priority="606" operator="lessThan" dxfId="2" stopIfTrue="1">
      <formula>-0.03</formula>
    </cfRule>
  </conditionalFormatting>
  <conditionalFormatting sqref="G39 G42 G45 G48 G51 G54 G57 G60 G63">
    <cfRule type="cellIs" priority="421" operator="greaterThan" dxfId="3" stopIfTrue="1">
      <formula>0.03</formula>
    </cfRule>
    <cfRule type="cellIs" priority="422" operator="lessThan" dxfId="2" stopIfTrue="1">
      <formula>-0.03</formula>
    </cfRule>
    <cfRule type="cellIs" priority="424" operator="greaterThan" dxfId="1" stopIfTrue="1">
      <formula>0</formula>
    </cfRule>
    <cfRule type="cellIs" priority="423" operator="lessThan" dxfId="0" stopIfTrue="1">
      <formula>0</formula>
    </cfRule>
  </conditionalFormatting>
  <conditionalFormatting sqref="I5:V5 I8:V8 I11:V11 I14:V14 I17:V17 I20:V20 I23:V23 I26:V26 I29:V29">
    <cfRule type="cellIs" priority="425" operator="greaterThan" dxfId="3" stopIfTrue="1">
      <formula>0.03</formula>
    </cfRule>
    <cfRule type="cellIs" priority="426" operator="lessThan" dxfId="2" stopIfTrue="1">
      <formula>-0.03</formula>
    </cfRule>
    <cfRule type="cellIs" priority="428" operator="greaterThan" dxfId="1" stopIfTrue="1">
      <formula>0</formula>
    </cfRule>
    <cfRule type="cellIs" priority="427" operator="lessThan" dxfId="0" stopIfTrue="1">
      <formula>0</formula>
    </cfRule>
  </conditionalFormatting>
  <conditionalFormatting sqref="M39 M42 M45 M48 M51 M54 M57 M60 M63">
    <cfRule type="cellIs" priority="409" operator="greaterThan" dxfId="3" stopIfTrue="1">
      <formula>0.03</formula>
    </cfRule>
    <cfRule type="cellIs" priority="410" operator="lessThan" dxfId="2" stopIfTrue="1">
      <formula>-0.03</formula>
    </cfRule>
    <cfRule type="cellIs" priority="412" operator="greaterThan" dxfId="1" stopIfTrue="1">
      <formula>0</formula>
    </cfRule>
    <cfRule type="cellIs" priority="411" operator="lessThan" dxfId="0" stopIfTrue="1">
      <formula>0</formula>
    </cfRule>
  </conditionalFormatting>
  <conditionalFormatting sqref="K39 K42 K45 K48 K51 K54 K57 K60 K63">
    <cfRule type="cellIs" priority="413" operator="greaterThan" dxfId="3" stopIfTrue="1">
      <formula>0.03</formula>
    </cfRule>
    <cfRule type="cellIs" priority="414" operator="lessThan" dxfId="2" stopIfTrue="1">
      <formula>-0.03</formula>
    </cfRule>
    <cfRule type="cellIs" priority="416" operator="greaterThan" dxfId="1" stopIfTrue="1">
      <formula>0</formula>
    </cfRule>
    <cfRule type="cellIs" priority="415" operator="lessThan" dxfId="0" stopIfTrue="1">
      <formula>0</formula>
    </cfRule>
  </conditionalFormatting>
  <conditionalFormatting sqref="F5:F6 F8:F9 F11:F12 F14:F15 F17:F18 F20:F21 F23:F24 F26:F27 F29:F30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F5 F8 F11 F14 F17 F20 F23 F26 F29">
    <cfRule type="cellIs" priority="569" operator="greaterThan" dxfId="1" stopIfTrue="1">
      <formula>0</formula>
    </cfRule>
    <cfRule type="cellIs" priority="570" operator="lessThan" dxfId="0" stopIfTrue="1">
      <formula>0</formula>
    </cfRule>
  </conditionalFormatting>
  <conditionalFormatting sqref="F6 F9 F12 F15 F18 F21 F24 F27 F30">
    <cfRule type="cellIs" priority="567" operator="lessThan" dxfId="0" stopIfTrue="1">
      <formula>0</formula>
    </cfRule>
    <cfRule type="cellIs" priority="568" operator="greaterThan" dxfId="1" stopIfTrue="1">
      <formula>0</formula>
    </cfRule>
  </conditionalFormatting>
  <conditionalFormatting sqref="N200 N203 N206 N209 N212 N215 N218 N221 N224">
    <cfRule type="cellIs" priority="317" operator="greaterThan" dxfId="3" stopIfTrue="1">
      <formula>0.03</formula>
    </cfRule>
    <cfRule type="cellIs" priority="318" operator="lessThan" dxfId="2" stopIfTrue="1">
      <formula>-0.03</formula>
    </cfRule>
    <cfRule type="cellIs" priority="320" operator="greaterThan" dxfId="1" stopIfTrue="1">
      <formula>0</formula>
    </cfRule>
    <cfRule type="cellIs" priority="319" operator="lessThan" dxfId="0" stopIfTrue="1">
      <formula>0</formula>
    </cfRule>
  </conditionalFormatting>
  <conditionalFormatting sqref="P200 P203 P206 P209 P212 P215 P218 P221 P224">
    <cfRule type="cellIs" priority="313" operator="greaterThan" dxfId="3" stopIfTrue="1">
      <formula>0.03</formula>
    </cfRule>
    <cfRule type="cellIs" priority="314" operator="lessThan" dxfId="2" stopIfTrue="1">
      <formula>-0.03</formula>
    </cfRule>
    <cfRule type="cellIs" priority="316" operator="greaterThan" dxfId="1" stopIfTrue="1">
      <formula>0</formula>
    </cfRule>
    <cfRule type="cellIs" priority="315" operator="lessThan" dxfId="0" stopIfTrue="1">
      <formula>0</formula>
    </cfRule>
  </conditionalFormatting>
  <conditionalFormatting sqref="K88:K254">
    <cfRule type="cellIs" priority="543" operator="greaterThan" dxfId="3" stopIfTrue="1">
      <formula>0.03</formula>
    </cfRule>
    <cfRule type="cellIs" priority="544" operator="lessThan" dxfId="2" stopIfTrue="1">
      <formula>-0.03</formula>
    </cfRule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F39:F40 F42:F43 F45:F46 F48:F49 F51:F52 F54:F55 F57:F58 F60:F61 F63:F64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F39 F42 F45 F48 F51 F54 F57 F60 F63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F40 F43 F46 F49 F52 F55 F58 F61 F64">
    <cfRule type="cellIs" priority="531" operator="lessThan" dxfId="0" stopIfTrue="1">
      <formula>0</formula>
    </cfRule>
    <cfRule type="cellIs" priority="532" operator="greaterThan" dxfId="1" stopIfTrue="1">
      <formula>0</formula>
    </cfRule>
  </conditionalFormatting>
  <conditionalFormatting sqref="F41 F44 F47 F50 F53 F56 F59 F62 F65">
    <cfRule type="cellIs" priority="525" operator="greaterThan" dxfId="3" stopIfTrue="1">
      <formula>0.03</formula>
    </cfRule>
    <cfRule type="cellIs" priority="526" operator="lessThan" dxfId="2" stopIfTrue="1">
      <formula>-0.03</formula>
    </cfRule>
    <cfRule type="cellIs" priority="528" operator="greaterThan" dxfId="1" stopIfTrue="1">
      <formula>0</formula>
    </cfRule>
    <cfRule type="cellIs" priority="527" operator="lessThan" dxfId="0" stopIfTrue="1">
      <formula>0</formula>
    </cfRule>
  </conditionalFormatting>
  <conditionalFormatting sqref="H39 H42 H45 H48 H51 H54 H57 H60 H63">
    <cfRule type="cellIs" priority="523" operator="greaterThan" dxfId="1" stopIfTrue="1">
      <formula>0</formula>
    </cfRule>
    <cfRule type="cellIs" priority="524" operator="lessThan" dxfId="0" stopIfTrue="1">
      <formula>0</formula>
    </cfRule>
  </conditionalFormatting>
  <conditionalFormatting sqref="H40 H43 H46 H49 H52 H55 H58 H61 H64">
    <cfRule type="cellIs" priority="521" operator="lessThan" dxfId="0" stopIfTrue="1">
      <formula>0</formula>
    </cfRule>
    <cfRule type="cellIs" priority="522" operator="greaterThan" dxfId="1" stopIfTrue="1">
      <formula>0</formula>
    </cfRule>
  </conditionalFormatting>
  <conditionalFormatting sqref="J39:J40 J42:J43 J45:J46 J48:J49 J51:J52 J54:J55 J57:J58 J60:J61 J63:J64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J39 J42 J45 J48 J51 J54 J57 J60 J63">
    <cfRule type="cellIs" priority="513" operator="greaterThan" dxfId="1" stopIfTrue="1">
      <formula>0</formula>
    </cfRule>
    <cfRule type="cellIs" priority="514" operator="lessThan" dxfId="0" stopIfTrue="1">
      <formula>0</formula>
    </cfRule>
  </conditionalFormatting>
  <conditionalFormatting sqref="J40 J43 J46 J49 J52 J55 J58 J61 J64">
    <cfRule type="cellIs" priority="511" operator="lessThan" dxfId="0" stopIfTrue="1">
      <formula>0</formula>
    </cfRule>
    <cfRule type="cellIs" priority="512" operator="greaterThan" dxfId="1" stopIfTrue="1">
      <formula>0</formula>
    </cfRule>
  </conditionalFormatting>
  <conditionalFormatting sqref="J41 J44 J47 J50 J53 J56 J59 J62 J65">
    <cfRule type="cellIs" priority="505" operator="greaterThan" dxfId="3" stopIfTrue="1">
      <formula>0.03</formula>
    </cfRule>
    <cfRule type="cellIs" priority="506" operator="lessThan" dxfId="2" stopIfTrue="1">
      <formula>-0.03</formula>
    </cfRule>
    <cfRule type="cellIs" priority="508" operator="greaterThan" dxfId="1" stopIfTrue="1">
      <formula>0</formula>
    </cfRule>
    <cfRule type="cellIs" priority="507" operator="lessThan" dxfId="0" stopIfTrue="1">
      <formula>0</formula>
    </cfRule>
  </conditionalFormatting>
  <conditionalFormatting sqref="L39 L42 L45 L48 L51 L54 L57 L60 L63">
    <cfRule type="cellIs" priority="503" operator="greaterThan" dxfId="1" stopIfTrue="1">
      <formula>0</formula>
    </cfRule>
    <cfRule type="cellIs" priority="504" operator="lessThan" dxfId="0" stopIfTrue="1">
      <formula>0</formula>
    </cfRule>
  </conditionalFormatting>
  <conditionalFormatting sqref="L40 L43 L46 L49 L52 L55 L58 L61 L64">
    <cfRule type="cellIs" priority="501" operator="lessThan" dxfId="0" stopIfTrue="1">
      <formula>0</formula>
    </cfRule>
    <cfRule type="cellIs" priority="502" operator="greaterThan" dxfId="1" stopIfTrue="1">
      <formula>0</formula>
    </cfRule>
  </conditionalFormatting>
  <conditionalFormatting sqref="L41 L44 L47 L50 L53 L56 L59 L62 L65">
    <cfRule type="cellIs" priority="495" operator="greaterThan" dxfId="3" stopIfTrue="1">
      <formula>0.03</formula>
    </cfRule>
    <cfRule type="cellIs" priority="496" operator="lessThan" dxfId="2" stopIfTrue="1">
      <formula>-0.03</formula>
    </cfRule>
    <cfRule type="cellIs" priority="498" operator="greaterThan" dxfId="1" stopIfTrue="1">
      <formula>0</formula>
    </cfRule>
    <cfRule type="cellIs" priority="497" operator="lessThan" dxfId="0" stopIfTrue="1">
      <formula>0</formula>
    </cfRule>
  </conditionalFormatting>
  <conditionalFormatting sqref="N39:N40 N42:N43 N45:N46 N48:N49 N51:N52 N54:N55 N57:N58 N60:N61 N63:N64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N39 N42 N45 N48 N51 N54 N57 N60 N63">
    <cfRule type="cellIs" priority="493" operator="greaterThan" dxfId="1" stopIfTrue="1">
      <formula>0</formula>
    </cfRule>
    <cfRule type="cellIs" priority="494" operator="lessThan" dxfId="0" stopIfTrue="1">
      <formula>0</formula>
    </cfRule>
  </conditionalFormatting>
  <conditionalFormatting sqref="N40 N43 N46 N49 N52 N55 N58 N61 N64">
    <cfRule type="cellIs" priority="491" operator="lessThan" dxfId="0" stopIfTrue="1">
      <formula>0</formula>
    </cfRule>
    <cfRule type="cellIs" priority="492" operator="greaterThan" dxfId="1" stopIfTrue="1">
      <formula>0</formula>
    </cfRule>
  </conditionalFormatting>
  <conditionalFormatting sqref="P39:P40 P42:P43 P45:P46 P48:P49 P51:P52 P54:P55 P57:P58 P60:P61 P63:P64">
    <cfRule type="cellIs" priority="479" operator="greaterThan" dxfId="3" stopIfTrue="1">
      <formula>0.03</formula>
    </cfRule>
    <cfRule type="cellIs" priority="480" operator="lessThan" dxfId="2" stopIfTrue="1">
      <formula>-0.03</formula>
    </cfRule>
  </conditionalFormatting>
  <conditionalFormatting sqref="P39 P42 P45 P48 P51 P54 P57 P60 P63">
    <cfRule type="cellIs" priority="483" operator="greaterThan" dxfId="1" stopIfTrue="1">
      <formula>0</formula>
    </cfRule>
    <cfRule type="cellIs" priority="484" operator="lessThan" dxfId="0" stopIfTrue="1">
      <formula>0</formula>
    </cfRule>
  </conditionalFormatting>
  <conditionalFormatting sqref="P40 P43 P46 P49 P52 P55 P58 P61 P64">
    <cfRule type="cellIs" priority="481" operator="lessThan" dxfId="0" stopIfTrue="1">
      <formula>0</formula>
    </cfRule>
    <cfRule type="cellIs" priority="482" operator="greaterThan" dxfId="1" stopIfTrue="1">
      <formula>0</formula>
    </cfRule>
  </conditionalFormatting>
  <conditionalFormatting sqref="R39 R42 R45 R48 R51 R54 R57 R60 R63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R40 R43 R46 R49 R52 R55 R58 R61 R64">
    <cfRule type="cellIs" priority="471" operator="lessThan" dxfId="0" stopIfTrue="1">
      <formula>0</formula>
    </cfRule>
    <cfRule type="cellIs" priority="472" operator="greaterThan" dxfId="1" stopIfTrue="1">
      <formula>0</formula>
    </cfRule>
  </conditionalFormatting>
  <conditionalFormatting sqref="R41 R44 R47 R50 R53 R56 R59 R62 R65">
    <cfRule type="cellIs" priority="465" operator="greaterThan" dxfId="3" stopIfTrue="1">
      <formula>0.03</formula>
    </cfRule>
    <cfRule type="cellIs" priority="466" operator="lessThan" dxfId="2" stopIfTrue="1">
      <formula>-0.03</formula>
    </cfRule>
    <cfRule type="cellIs" priority="468" operator="greaterThan" dxfId="1" stopIfTrue="1">
      <formula>0</formula>
    </cfRule>
    <cfRule type="cellIs" priority="467" operator="lessThan" dxfId="0" stopIfTrue="1">
      <formula>0</formula>
    </cfRule>
  </conditionalFormatting>
  <conditionalFormatting sqref="X39 X42 X45 X48 X51 X54 X57 X60 X63">
    <cfRule type="cellIs" priority="463" operator="greaterThan" dxfId="1" stopIfTrue="1">
      <formula>0</formula>
    </cfRule>
    <cfRule type="cellIs" priority="464" operator="lessThan" dxfId="0" stopIfTrue="1">
      <formula>0</formula>
    </cfRule>
  </conditionalFormatting>
  <conditionalFormatting sqref="X40 X43 X46 X49 X52 X55 X58 X61 X64">
    <cfRule type="cellIs" priority="461" operator="lessThan" dxfId="0" stopIfTrue="1">
      <formula>0</formula>
    </cfRule>
    <cfRule type="cellIs" priority="462" operator="greaterThan" dxfId="1" stopIfTrue="1">
      <formula>0</formula>
    </cfRule>
  </conditionalFormatting>
  <conditionalFormatting sqref="X41 X44 X47 X50 X53 X56 X59 X62 X65">
    <cfRule type="cellIs" priority="455" operator="greaterThan" dxfId="3" stopIfTrue="1">
      <formula>0.03</formula>
    </cfRule>
    <cfRule type="cellIs" priority="456" operator="lessThan" dxfId="2" stopIfTrue="1">
      <formula>-0.03</formula>
    </cfRule>
    <cfRule type="cellIs" priority="458" operator="greaterThan" dxfId="1" stopIfTrue="1">
      <formula>0</formula>
    </cfRule>
    <cfRule type="cellIs" priority="457" operator="lessThan" dxfId="0" stopIfTrue="1">
      <formula>0</formula>
    </cfRule>
  </conditionalFormatting>
  <conditionalFormatting sqref="Z39 Z42 Z45 Z48 Z51 Z54 Z57 Z60 Z63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Z40 Z43 Z46 Z49 Z52 Z55 Z58 Z61 Z64">
    <cfRule type="cellIs" priority="451" operator="lessThan" dxfId="0" stopIfTrue="1">
      <formula>0</formula>
    </cfRule>
    <cfRule type="cellIs" priority="452" operator="greaterThan" dxfId="1" stopIfTrue="1">
      <formula>0</formula>
    </cfRule>
  </conditionalFormatting>
  <conditionalFormatting sqref="G5">
    <cfRule type="cellIs" priority="441" operator="greaterThan" dxfId="3" stopIfTrue="1">
      <formula>0.03</formula>
    </cfRule>
    <cfRule type="cellIs" priority="442" operator="lessThan" dxfId="2" stopIfTrue="1">
      <formula>-0.03</formula>
    </cfRule>
    <cfRule type="cellIs" priority="444" operator="greaterThan" dxfId="1" stopIfTrue="1">
      <formula>0</formula>
    </cfRule>
    <cfRule type="cellIs" priority="443" operator="lessThan" dxfId="0" stopIfTrue="1">
      <formula>0</formula>
    </cfRule>
  </conditionalFormatting>
  <conditionalFormatting sqref="L228 L231 L234 L237 L240 L243 L246 L249 L252">
    <cfRule type="cellIs" priority="305" operator="greaterThan" dxfId="3" stopIfTrue="1">
      <formula>0.03</formula>
    </cfRule>
    <cfRule type="cellIs" priority="306" operator="lessThan" dxfId="2" stopIfTrue="1">
      <formula>-0.03</formula>
    </cfRule>
    <cfRule type="cellIs" priority="308" operator="greaterThan" dxfId="1" stopIfTrue="1">
      <formula>0</formula>
    </cfRule>
    <cfRule type="cellIs" priority="307" operator="lessThan" dxfId="0" stopIfTrue="1">
      <formula>0</formula>
    </cfRule>
  </conditionalFormatting>
  <conditionalFormatting sqref="H5 H8 H11 H14 H17 H20 H23 H26 H29">
    <cfRule type="cellIs" priority="429" operator="greaterThan" dxfId="3" stopIfTrue="1">
      <formula>0.03</formula>
    </cfRule>
    <cfRule type="cellIs" priority="430" operator="lessThan" dxfId="2" stopIfTrue="1">
      <formula>-0.03</formula>
    </cfRule>
    <cfRule type="cellIs" priority="432" operator="greaterThan" dxfId="1" stopIfTrue="1">
      <formula>0</formula>
    </cfRule>
    <cfRule type="cellIs" priority="431" operator="lessThan" dxfId="0" stopIfTrue="1">
      <formula>0</formula>
    </cfRule>
  </conditionalFormatting>
  <conditionalFormatting sqref="I39 I42 I45 I48 I51 I54 I57 I60 I63">
    <cfRule type="cellIs" priority="417" operator="greaterThan" dxfId="3" stopIfTrue="1">
      <formula>0.03</formula>
    </cfRule>
    <cfRule type="cellIs" priority="418" operator="lessThan" dxfId="2" stopIfTrue="1">
      <formula>-0.03</formula>
    </cfRule>
    <cfRule type="cellIs" priority="420" operator="greaterThan" dxfId="1" stopIfTrue="1">
      <formula>0</formula>
    </cfRule>
    <cfRule type="cellIs" priority="419" operator="lessThan" dxfId="0" stopIfTrue="1">
      <formula>0</formula>
    </cfRule>
  </conditionalFormatting>
  <conditionalFormatting sqref="O39 O42 O45 O48 O51 O54 O57 O60 O63">
    <cfRule type="cellIs" priority="405" operator="greaterThan" dxfId="3" stopIfTrue="1">
      <formula>0.03</formula>
    </cfRule>
    <cfRule type="cellIs" priority="406" operator="lessThan" dxfId="2" stopIfTrue="1">
      <formula>-0.03</formula>
    </cfRule>
    <cfRule type="cellIs" priority="408" operator="greaterThan" dxfId="1" stopIfTrue="1">
      <formula>0</formula>
    </cfRule>
    <cfRule type="cellIs" priority="407" operator="lessThan" dxfId="0" stopIfTrue="1">
      <formula>0</formula>
    </cfRule>
  </conditionalFormatting>
  <conditionalFormatting sqref="Q39 Q42 Q45 Q48 Q51 Q54 Q57 Q60 Q63">
    <cfRule type="cellIs" priority="401" operator="greaterThan" dxfId="3" stopIfTrue="1">
      <formula>0.03</formula>
    </cfRule>
    <cfRule type="cellIs" priority="402" operator="lessThan" dxfId="2" stopIfTrue="1">
      <formula>-0.03</formula>
    </cfRule>
    <cfRule type="cellIs" priority="404" operator="greaterThan" dxfId="1" stopIfTrue="1">
      <formula>0</formula>
    </cfRule>
    <cfRule type="cellIs" priority="403" operator="lessThan" dxfId="0" stopIfTrue="1">
      <formula>0</formula>
    </cfRule>
  </conditionalFormatting>
  <conditionalFormatting sqref="S39:W39 S42:W42 S45:W45 S48:W48 S51:W51 S54:W54 S57:W57 S60:W60 S63:W63">
    <cfRule type="cellIs" priority="397" operator="greaterThan" dxfId="3" stopIfTrue="1">
      <formula>0.03</formula>
    </cfRule>
    <cfRule type="cellIs" priority="398" operator="lessThan" dxfId="2" stopIfTrue="1">
      <formula>-0.03</formula>
    </cfRule>
    <cfRule type="cellIs" priority="400" operator="greaterThan" dxfId="1" stopIfTrue="1">
      <formula>0</formula>
    </cfRule>
    <cfRule type="cellIs" priority="399" operator="lessThan" dxfId="0" stopIfTrue="1">
      <formula>0</formula>
    </cfRule>
  </conditionalFormatting>
  <conditionalFormatting sqref="AA39 AA42 AA45 AA48 AA51 AA54 AA57 AA60 AA63">
    <cfRule type="cellIs" priority="393" operator="greaterThan" dxfId="3" stopIfTrue="1">
      <formula>0.03</formula>
    </cfRule>
    <cfRule type="cellIs" priority="394" operator="lessThan" dxfId="2" stopIfTrue="1">
      <formula>-0.03</formula>
    </cfRule>
    <cfRule type="cellIs" priority="396" operator="greaterThan" dxfId="1" stopIfTrue="1">
      <formula>0</formula>
    </cfRule>
    <cfRule type="cellIs" priority="395" operator="lessThan" dxfId="0" stopIfTrue="1">
      <formula>0</formula>
    </cfRule>
  </conditionalFormatting>
  <conditionalFormatting sqref="P228 P231 P234 P237 P240 P243 P246 P249 P252">
    <cfRule type="cellIs" priority="297" operator="greaterThan" dxfId="3" stopIfTrue="1">
      <formula>0.03</formula>
    </cfRule>
    <cfRule type="cellIs" priority="298" operator="lessThan" dxfId="2" stopIfTrue="1">
      <formula>-0.03</formula>
    </cfRule>
    <cfRule type="cellIs" priority="300" operator="greaterThan" dxfId="1" stopIfTrue="1">
      <formula>0</formula>
    </cfRule>
    <cfRule type="cellIs" priority="299" operator="lessThan" dxfId="0" stopIfTrue="1">
      <formula>0</formula>
    </cfRule>
  </conditionalFormatting>
  <conditionalFormatting sqref="H88:J88 H91:J91 H94:J94 H97:J97 H100:J100 H103:J103 H106:J106 H109:J109 H112:J112">
    <cfRule type="cellIs" priority="389" operator="greaterThan" dxfId="3" stopIfTrue="1">
      <formula>0.03</formula>
    </cfRule>
    <cfRule type="cellIs" priority="390" operator="lessThan" dxfId="2" stopIfTrue="1">
      <formula>-0.03</formula>
    </cfRule>
    <cfRule type="cellIs" priority="392" operator="greaterThan" dxfId="1" stopIfTrue="1">
      <formula>0</formula>
    </cfRule>
    <cfRule type="cellIs" priority="391" operator="lessThan" dxfId="0" stopIfTrue="1">
      <formula>0</formula>
    </cfRule>
  </conditionalFormatting>
  <conditionalFormatting sqref="L88 L91 L94 L97 L100 L103 L106 L109 L112">
    <cfRule type="cellIs" priority="385" operator="greaterThan" dxfId="3" stopIfTrue="1">
      <formula>0.03</formula>
    </cfRule>
    <cfRule type="cellIs" priority="386" operator="lessThan" dxfId="2" stopIfTrue="1">
      <formula>-0.03</formula>
    </cfRule>
    <cfRule type="cellIs" priority="388" operator="greaterThan" dxfId="1" stopIfTrue="1">
      <formula>0</formula>
    </cfRule>
    <cfRule type="cellIs" priority="387" operator="lessThan" dxfId="0" stopIfTrue="1">
      <formula>0</formula>
    </cfRule>
  </conditionalFormatting>
  <conditionalFormatting sqref="N88 N91 N94 N97 N100 N103 N106 N109 N112">
    <cfRule type="cellIs" priority="381" operator="greaterThan" dxfId="3" stopIfTrue="1">
      <formula>0.03</formula>
    </cfRule>
    <cfRule type="cellIs" priority="382" operator="lessThan" dxfId="2" stopIfTrue="1">
      <formula>-0.03</formula>
    </cfRule>
    <cfRule type="cellIs" priority="384" operator="greaterThan" dxfId="1" stopIfTrue="1">
      <formula>0</formula>
    </cfRule>
    <cfRule type="cellIs" priority="383" operator="lessThan" dxfId="0" stopIfTrue="1">
      <formula>0</formula>
    </cfRule>
  </conditionalFormatting>
  <conditionalFormatting sqref="P88 P91 P94 P97 P100 P103 P106 P109 P112">
    <cfRule type="cellIs" priority="377" operator="greaterThan" dxfId="3" stopIfTrue="1">
      <formula>0.03</formula>
    </cfRule>
    <cfRule type="cellIs" priority="378" operator="lessThan" dxfId="2" stopIfTrue="1">
      <formula>-0.03</formula>
    </cfRule>
    <cfRule type="cellIs" priority="380" operator="greaterThan" dxfId="1" stopIfTrue="1">
      <formula>0</formula>
    </cfRule>
    <cfRule type="cellIs" priority="379" operator="lessThan" dxfId="0" stopIfTrue="1">
      <formula>0</formula>
    </cfRule>
  </conditionalFormatting>
  <conditionalFormatting sqref="H116:J116 H119:J119 H122:J122 H125:J125 H128:J128 H131:J131 H134:J134 H137:J137 H140:J140">
    <cfRule type="cellIs" priority="373" operator="greaterThan" dxfId="3" stopIfTrue="1">
      <formula>0.03</formula>
    </cfRule>
    <cfRule type="cellIs" priority="374" operator="lessThan" dxfId="2" stopIfTrue="1">
      <formula>-0.03</formula>
    </cfRule>
    <cfRule type="cellIs" priority="376" operator="greaterThan" dxfId="1" stopIfTrue="1">
      <formula>0</formula>
    </cfRule>
    <cfRule type="cellIs" priority="375" operator="lessThan" dxfId="0" stopIfTrue="1">
      <formula>0</formula>
    </cfRule>
  </conditionalFormatting>
  <conditionalFormatting sqref="L116 L119 L122 L125 L128 L131 L134 L137 L140">
    <cfRule type="cellIs" priority="369" operator="greaterThan" dxfId="3" stopIfTrue="1">
      <formula>0.03</formula>
    </cfRule>
    <cfRule type="cellIs" priority="370" operator="lessThan" dxfId="2" stopIfTrue="1">
      <formula>-0.03</formula>
    </cfRule>
    <cfRule type="cellIs" priority="372" operator="greaterThan" dxfId="1" stopIfTrue="1">
      <formula>0</formula>
    </cfRule>
    <cfRule type="cellIs" priority="371" operator="lessThan" dxfId="0" stopIfTrue="1">
      <formula>0</formula>
    </cfRule>
  </conditionalFormatting>
  <conditionalFormatting sqref="N116 N119 N122 N125 N128 N131 N134 N137 N140">
    <cfRule type="cellIs" priority="365" operator="greaterThan" dxfId="3" stopIfTrue="1">
      <formula>0.03</formula>
    </cfRule>
    <cfRule type="cellIs" priority="366" operator="lessThan" dxfId="2" stopIfTrue="1">
      <formula>-0.03</formula>
    </cfRule>
    <cfRule type="cellIs" priority="368" operator="greaterThan" dxfId="1" stopIfTrue="1">
      <formula>0</formula>
    </cfRule>
    <cfRule type="cellIs" priority="367" operator="lessThan" dxfId="0" stopIfTrue="1">
      <formula>0</formula>
    </cfRule>
  </conditionalFormatting>
  <conditionalFormatting sqref="P119 P122 P125 P128 P131 P134 P137 P140">
    <cfRule type="cellIs" priority="361" operator="greaterThan" dxfId="3" stopIfTrue="1">
      <formula>0.03</formula>
    </cfRule>
    <cfRule type="cellIs" priority="362" operator="lessThan" dxfId="2" stopIfTrue="1">
      <formula>-0.03</formula>
    </cfRule>
    <cfRule type="cellIs" priority="364" operator="greaterThan" dxfId="1" stopIfTrue="1">
      <formula>0</formula>
    </cfRule>
    <cfRule type="cellIs" priority="363" operator="lessThan" dxfId="0" stopIfTrue="1">
      <formula>0</formula>
    </cfRule>
  </conditionalFormatting>
  <conditionalFormatting sqref="H144:J144 H147:J147 H150:J150 H153:J153 H156:J156 H159:J159 H162:J162 H165:J165 H168:J168">
    <cfRule type="cellIs" priority="357" operator="greaterThan" dxfId="3" stopIfTrue="1">
      <formula>0.03</formula>
    </cfRule>
    <cfRule type="cellIs" priority="358" operator="lessThan" dxfId="2" stopIfTrue="1">
      <formula>-0.03</formula>
    </cfRule>
    <cfRule type="cellIs" priority="360" operator="greaterThan" dxfId="1" stopIfTrue="1">
      <formula>0</formula>
    </cfRule>
    <cfRule type="cellIs" priority="359" operator="lessThan" dxfId="0" stopIfTrue="1">
      <formula>0</formula>
    </cfRule>
  </conditionalFormatting>
  <conditionalFormatting sqref="L144 L147 L150 L153 L156 L159 L162 L165 L168">
    <cfRule type="cellIs" priority="353" operator="greaterThan" dxfId="3" stopIfTrue="1">
      <formula>0.03</formula>
    </cfRule>
    <cfRule type="cellIs" priority="354" operator="lessThan" dxfId="2" stopIfTrue="1">
      <formula>-0.03</formula>
    </cfRule>
    <cfRule type="cellIs" priority="356" operator="greaterThan" dxfId="1" stopIfTrue="1">
      <formula>0</formula>
    </cfRule>
    <cfRule type="cellIs" priority="355" operator="lessThan" dxfId="0" stopIfTrue="1">
      <formula>0</formula>
    </cfRule>
  </conditionalFormatting>
  <conditionalFormatting sqref="N144 N147 N150 N153 N156 N159 N162 N165 N168">
    <cfRule type="cellIs" priority="349" operator="greaterThan" dxfId="3" stopIfTrue="1">
      <formula>0.03</formula>
    </cfRule>
    <cfRule type="cellIs" priority="350" operator="lessThan" dxfId="2" stopIfTrue="1">
      <formula>-0.03</formula>
    </cfRule>
    <cfRule type="cellIs" priority="352" operator="greaterThan" dxfId="1" stopIfTrue="1">
      <formula>0</formula>
    </cfRule>
    <cfRule type="cellIs" priority="351" operator="lessThan" dxfId="0" stopIfTrue="1">
      <formula>0</formula>
    </cfRule>
  </conditionalFormatting>
  <conditionalFormatting sqref="P144 P147 P150 P153 P156 P159 P162 P165 P168">
    <cfRule type="cellIs" priority="345" operator="greaterThan" dxfId="3" stopIfTrue="1">
      <formula>0.03</formula>
    </cfRule>
    <cfRule type="cellIs" priority="346" operator="lessThan" dxfId="2" stopIfTrue="1">
      <formula>-0.03</formula>
    </cfRule>
    <cfRule type="cellIs" priority="348" operator="greaterThan" dxfId="1" stopIfTrue="1">
      <formula>0</formula>
    </cfRule>
    <cfRule type="cellIs" priority="347" operator="lessThan" dxfId="0" stopIfTrue="1">
      <formula>0</formula>
    </cfRule>
  </conditionalFormatting>
  <conditionalFormatting sqref="H172:J172 H175:J175 H178:J178 H181:J181 H184:J184 H187:J187 H190:J190 H193:J193 H196:J196">
    <cfRule type="cellIs" priority="341" operator="greaterThan" dxfId="3" stopIfTrue="1">
      <formula>0.03</formula>
    </cfRule>
    <cfRule type="cellIs" priority="342" operator="lessThan" dxfId="2" stopIfTrue="1">
      <formula>-0.03</formula>
    </cfRule>
    <cfRule type="cellIs" priority="344" operator="greaterThan" dxfId="1" stopIfTrue="1">
      <formula>0</formula>
    </cfRule>
    <cfRule type="cellIs" priority="343" operator="lessThan" dxfId="0" stopIfTrue="1">
      <formula>0</formula>
    </cfRule>
  </conditionalFormatting>
  <conditionalFormatting sqref="L172 L175 L178 L181 L184 L187 L190 L193 L196">
    <cfRule type="cellIs" priority="337" operator="greaterThan" dxfId="3" stopIfTrue="1">
      <formula>0.03</formula>
    </cfRule>
    <cfRule type="cellIs" priority="338" operator="lessThan" dxfId="2" stopIfTrue="1">
      <formula>-0.03</formula>
    </cfRule>
    <cfRule type="cellIs" priority="340" operator="greaterThan" dxfId="1" stopIfTrue="1">
      <formula>0</formula>
    </cfRule>
    <cfRule type="cellIs" priority="339" operator="lessThan" dxfId="0" stopIfTrue="1">
      <formula>0</formula>
    </cfRule>
  </conditionalFormatting>
  <conditionalFormatting sqref="N172 N175 N178 N181 N184 N187 N190 N193 N196">
    <cfRule type="cellIs" priority="333" operator="greaterThan" dxfId="3" stopIfTrue="1">
      <formula>0.03</formula>
    </cfRule>
    <cfRule type="cellIs" priority="334" operator="lessThan" dxfId="2" stopIfTrue="1">
      <formula>-0.03</formula>
    </cfRule>
    <cfRule type="cellIs" priority="336" operator="greaterThan" dxfId="1" stopIfTrue="1">
      <formula>0</formula>
    </cfRule>
    <cfRule type="cellIs" priority="335" operator="lessThan" dxfId="0" stopIfTrue="1">
      <formula>0</formula>
    </cfRule>
  </conditionalFormatting>
  <conditionalFormatting sqref="P172 P175 P178 P181 P184 P187 P190 P193 P196">
    <cfRule type="cellIs" priority="329" operator="greaterThan" dxfId="3" stopIfTrue="1">
      <formula>0.03</formula>
    </cfRule>
    <cfRule type="cellIs" priority="330" operator="lessThan" dxfId="2" stopIfTrue="1">
      <formula>-0.03</formula>
    </cfRule>
    <cfRule type="cellIs" priority="332" operator="greaterThan" dxfId="1" stopIfTrue="1">
      <formula>0</formula>
    </cfRule>
    <cfRule type="cellIs" priority="331" operator="lessThan" dxfId="0" stopIfTrue="1">
      <formula>0</formula>
    </cfRule>
  </conditionalFormatting>
  <conditionalFormatting sqref="H200:J200 H203:J203 H206:J206 H209:J209 H212:J212 H215:J215 H218:J218 H221:J221 H224:J224">
    <cfRule type="cellIs" priority="325" operator="greaterThan" dxfId="3" stopIfTrue="1">
      <formula>0.03</formula>
    </cfRule>
    <cfRule type="cellIs" priority="326" operator="lessThan" dxfId="2" stopIfTrue="1">
      <formula>-0.03</formula>
    </cfRule>
    <cfRule type="cellIs" priority="328" operator="greaterThan" dxfId="1" stopIfTrue="1">
      <formula>0</formula>
    </cfRule>
    <cfRule type="cellIs" priority="327" operator="lessThan" dxfId="0" stopIfTrue="1">
      <formula>0</formula>
    </cfRule>
  </conditionalFormatting>
  <conditionalFormatting sqref="L200 L203 L206 L209 L212 L215 L218 L221 L224">
    <cfRule type="cellIs" priority="321" operator="greaterThan" dxfId="3" stopIfTrue="1">
      <formula>0.03</formula>
    </cfRule>
    <cfRule type="cellIs" priority="322" operator="lessThan" dxfId="2" stopIfTrue="1">
      <formula>-0.03</formula>
    </cfRule>
    <cfRule type="cellIs" priority="324" operator="greaterThan" dxfId="1" stopIfTrue="1">
      <formula>0</formula>
    </cfRule>
    <cfRule type="cellIs" priority="323" operator="lessThan" dxfId="0" stopIfTrue="1">
      <formula>0</formula>
    </cfRule>
  </conditionalFormatting>
  <conditionalFormatting sqref="H228:J228 H231:J231 H234:J234 H237:J237 H240:J240 H243:J243 H246:J246 H249:J249 H252:J252">
    <cfRule type="cellIs" priority="309" operator="greaterThan" dxfId="3" stopIfTrue="1">
      <formula>0.03</formula>
    </cfRule>
    <cfRule type="cellIs" priority="310" operator="lessThan" dxfId="2" stopIfTrue="1">
      <formula>-0.03</formula>
    </cfRule>
    <cfRule type="cellIs" priority="312" operator="greaterThan" dxfId="1" stopIfTrue="1">
      <formula>0</formula>
    </cfRule>
    <cfRule type="cellIs" priority="311" operator="lessThan" dxfId="0" stopIfTrue="1">
      <formula>0</formula>
    </cfRule>
  </conditionalFormatting>
  <conditionalFormatting sqref="N228 N231 N234 N237 N240 N243 N246 N249 N252">
    <cfRule type="cellIs" priority="301" operator="greaterThan" dxfId="3" stopIfTrue="1">
      <formula>0.03</formula>
    </cfRule>
    <cfRule type="cellIs" priority="302" operator="lessThan" dxfId="2" stopIfTrue="1">
      <formula>-0.03</formula>
    </cfRule>
    <cfRule type="cellIs" priority="304" operator="greaterThan" dxfId="1" stopIfTrue="1">
      <formula>0</formula>
    </cfRule>
    <cfRule type="cellIs" priority="303" operator="lessThan" dxfId="0" stopIfTrue="1">
      <formula>0</formula>
    </cfRule>
  </conditionalFormatting>
  <conditionalFormatting sqref="Q88:Q90">
    <cfRule type="cellIs" priority="293" operator="greaterThan" dxfId="3" stopIfTrue="1">
      <formula>0.03</formula>
    </cfRule>
    <cfRule type="cellIs" priority="294" operator="lessThan" dxfId="2" stopIfTrue="1">
      <formula>-0.03</formula>
    </cfRule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R88">
    <cfRule type="cellIs" priority="289" operator="greaterThan" dxfId="3" stopIfTrue="1">
      <formula>0.03</formula>
    </cfRule>
    <cfRule type="cellIs" priority="290" operator="lessThan" dxfId="2" stopIfTrue="1">
      <formula>-0.03</formula>
    </cfRule>
    <cfRule type="cellIs" priority="292" operator="greaterThan" dxfId="1" stopIfTrue="1">
      <formula>0</formula>
    </cfRule>
    <cfRule type="cellIs" priority="291" operator="lessThan" dxfId="0" stopIfTrue="1">
      <formula>0</formula>
    </cfRule>
  </conditionalFormatting>
  <conditionalFormatting sqref="Q91:Q93">
    <cfRule type="cellIs" priority="285" operator="greaterThan" dxfId="3" stopIfTrue="1">
      <formula>0.03</formula>
    </cfRule>
    <cfRule type="cellIs" priority="286" operator="lessThan" dxfId="2" stopIfTrue="1">
      <formula>-0.03</formula>
    </cfRule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R91">
    <cfRule type="cellIs" priority="281" operator="greaterThan" dxfId="3" stopIfTrue="1">
      <formula>0.03</formula>
    </cfRule>
    <cfRule type="cellIs" priority="282" operator="lessThan" dxfId="2" stopIfTrue="1">
      <formula>-0.03</formula>
    </cfRule>
    <cfRule type="cellIs" priority="284" operator="greaterThan" dxfId="1" stopIfTrue="1">
      <formula>0</formula>
    </cfRule>
    <cfRule type="cellIs" priority="283" operator="lessThan" dxfId="0" stopIfTrue="1">
      <formula>0</formula>
    </cfRule>
  </conditionalFormatting>
  <conditionalFormatting sqref="Q94:Q96">
    <cfRule type="cellIs" priority="277" operator="greaterThan" dxfId="3" stopIfTrue="1">
      <formula>0.03</formula>
    </cfRule>
    <cfRule type="cellIs" priority="278" operator="lessThan" dxfId="2" stopIfTrue="1">
      <formula>-0.03</formula>
    </cfRule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R94">
    <cfRule type="cellIs" priority="273" operator="greaterThan" dxfId="3" stopIfTrue="1">
      <formula>0.03</formula>
    </cfRule>
    <cfRule type="cellIs" priority="274" operator="lessThan" dxfId="2" stopIfTrue="1">
      <formula>-0.03</formula>
    </cfRule>
    <cfRule type="cellIs" priority="276" operator="greaterThan" dxfId="1" stopIfTrue="1">
      <formula>0</formula>
    </cfRule>
    <cfRule type="cellIs" priority="275" operator="lessThan" dxfId="0" stopIfTrue="1">
      <formula>0</formula>
    </cfRule>
  </conditionalFormatting>
  <conditionalFormatting sqref="Q97:Q99">
    <cfRule type="cellIs" priority="269" operator="greaterThan" dxfId="3" stopIfTrue="1">
      <formula>0.03</formula>
    </cfRule>
    <cfRule type="cellIs" priority="270" operator="lessThan" dxfId="2" stopIfTrue="1">
      <formula>-0.03</formula>
    </cfRule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R97">
    <cfRule type="cellIs" priority="265" operator="greaterThan" dxfId="3" stopIfTrue="1">
      <formula>0.03</formula>
    </cfRule>
    <cfRule type="cellIs" priority="266" operator="lessThan" dxfId="2" stopIfTrue="1">
      <formula>-0.03</formula>
    </cfRule>
    <cfRule type="cellIs" priority="268" operator="greaterThan" dxfId="1" stopIfTrue="1">
      <formula>0</formula>
    </cfRule>
    <cfRule type="cellIs" priority="267" operator="lessThan" dxfId="0" stopIfTrue="1">
      <formula>0</formula>
    </cfRule>
  </conditionalFormatting>
  <conditionalFormatting sqref="Q100:Q102">
    <cfRule type="cellIs" priority="261" operator="greaterThan" dxfId="3" stopIfTrue="1">
      <formula>0.03</formula>
    </cfRule>
    <cfRule type="cellIs" priority="262" operator="lessThan" dxfId="2" stopIfTrue="1">
      <formula>-0.03</formula>
    </cfRule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R100">
    <cfRule type="cellIs" priority="257" operator="greaterThan" dxfId="3" stopIfTrue="1">
      <formula>0.03</formula>
    </cfRule>
    <cfRule type="cellIs" priority="258" operator="lessThan" dxfId="2" stopIfTrue="1">
      <formula>-0.03</formula>
    </cfRule>
    <cfRule type="cellIs" priority="260" operator="greaterThan" dxfId="1" stopIfTrue="1">
      <formula>0</formula>
    </cfRule>
    <cfRule type="cellIs" priority="259" operator="lessThan" dxfId="0" stopIfTrue="1">
      <formula>0</formula>
    </cfRule>
  </conditionalFormatting>
  <conditionalFormatting sqref="Q103:Q105">
    <cfRule type="cellIs" priority="253" operator="greaterThan" dxfId="3" stopIfTrue="1">
      <formula>0.03</formula>
    </cfRule>
    <cfRule type="cellIs" priority="254" operator="lessThan" dxfId="2" stopIfTrue="1">
      <formula>-0.03</formula>
    </cfRule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R103">
    <cfRule type="cellIs" priority="249" operator="greaterThan" dxfId="3" stopIfTrue="1">
      <formula>0.03</formula>
    </cfRule>
    <cfRule type="cellIs" priority="250" operator="lessThan" dxfId="2" stopIfTrue="1">
      <formula>-0.03</formula>
    </cfRule>
    <cfRule type="cellIs" priority="252" operator="greaterThan" dxfId="1" stopIfTrue="1">
      <formula>0</formula>
    </cfRule>
    <cfRule type="cellIs" priority="251" operator="lessThan" dxfId="0" stopIfTrue="1">
      <formula>0</formula>
    </cfRule>
  </conditionalFormatting>
  <conditionalFormatting sqref="Q106:Q108">
    <cfRule type="cellIs" priority="245" operator="greaterThan" dxfId="3" stopIfTrue="1">
      <formula>0.03</formula>
    </cfRule>
    <cfRule type="cellIs" priority="246" operator="lessThan" dxfId="2" stopIfTrue="1">
      <formula>-0.03</formula>
    </cfRule>
    <cfRule type="cellIs" priority="247" operator="greaterThan" dxfId="1" stopIfTrue="1">
      <formula>0</formula>
    </cfRule>
    <cfRule type="cellIs" priority="248" operator="lessThan" dxfId="0" stopIfTrue="1">
      <formula>0</formula>
    </cfRule>
  </conditionalFormatting>
  <conditionalFormatting sqref="R106">
    <cfRule type="cellIs" priority="241" operator="greaterThan" dxfId="3" stopIfTrue="1">
      <formula>0.03</formula>
    </cfRule>
    <cfRule type="cellIs" priority="242" operator="lessThan" dxfId="2" stopIfTrue="1">
      <formula>-0.03</formula>
    </cfRule>
    <cfRule type="cellIs" priority="244" operator="greaterThan" dxfId="1" stopIfTrue="1">
      <formula>0</formula>
    </cfRule>
    <cfRule type="cellIs" priority="243" operator="lessThan" dxfId="0" stopIfTrue="1">
      <formula>0</formula>
    </cfRule>
  </conditionalFormatting>
  <conditionalFormatting sqref="Q109:Q111">
    <cfRule type="cellIs" priority="237" operator="greaterThan" dxfId="3" stopIfTrue="1">
      <formula>0.03</formula>
    </cfRule>
    <cfRule type="cellIs" priority="238" operator="lessThan" dxfId="2" stopIfTrue="1">
      <formula>-0.03</formula>
    </cfRule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R109">
    <cfRule type="cellIs" priority="233" operator="greaterThan" dxfId="3" stopIfTrue="1">
      <formula>0.03</formula>
    </cfRule>
    <cfRule type="cellIs" priority="234" operator="lessThan" dxfId="2" stopIfTrue="1">
      <formula>-0.03</formula>
    </cfRule>
    <cfRule type="cellIs" priority="236" operator="greaterThan" dxfId="1" stopIfTrue="1">
      <formula>0</formula>
    </cfRule>
    <cfRule type="cellIs" priority="235" operator="lessThan" dxfId="0" stopIfTrue="1">
      <formula>0</formula>
    </cfRule>
  </conditionalFormatting>
  <conditionalFormatting sqref="Q112:Q114">
    <cfRule type="cellIs" priority="221" operator="greaterThan" dxfId="3" stopIfTrue="1">
      <formula>0.03</formula>
    </cfRule>
    <cfRule type="cellIs" priority="222" operator="lessThan" dxfId="2" stopIfTrue="1">
      <formula>-0.03</formula>
    </cfRule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R112">
    <cfRule type="cellIs" priority="217" operator="greaterThan" dxfId="3" stopIfTrue="1">
      <formula>0.03</formula>
    </cfRule>
    <cfRule type="cellIs" priority="218" operator="lessThan" dxfId="2" stopIfTrue="1">
      <formula>-0.03</formula>
    </cfRule>
    <cfRule type="cellIs" priority="220" operator="greaterThan" dxfId="1" stopIfTrue="1">
      <formula>0</formula>
    </cfRule>
    <cfRule type="cellIs" priority="219" operator="lessThan" dxfId="0" stopIfTrue="1">
      <formula>0</formula>
    </cfRule>
  </conditionalFormatting>
  <conditionalFormatting sqref="Q140:Q142">
    <cfRule type="cellIs" priority="149" operator="greaterThan" dxfId="3" stopIfTrue="1">
      <formula>0.03</formula>
    </cfRule>
    <cfRule type="cellIs" priority="150" operator="lessThan" dxfId="2" stopIfTrue="1">
      <formula>-0.03</formula>
    </cfRule>
    <cfRule type="cellIs" priority="151" operator="greaterThan" dxfId="1" stopIfTrue="1">
      <formula>0</formula>
    </cfRule>
    <cfRule type="cellIs" priority="152" operator="lessThan" dxfId="0" stopIfTrue="1">
      <formula>0</formula>
    </cfRule>
  </conditionalFormatting>
  <conditionalFormatting sqref="R140">
    <cfRule type="cellIs" priority="145" operator="greaterThan" dxfId="3" stopIfTrue="1">
      <formula>0.03</formula>
    </cfRule>
    <cfRule type="cellIs" priority="146" operator="lessThan" dxfId="2" stopIfTrue="1">
      <formula>-0.03</formula>
    </cfRule>
    <cfRule type="cellIs" priority="148" operator="greaterThan" dxfId="1" stopIfTrue="1">
      <formula>0</formula>
    </cfRule>
    <cfRule type="cellIs" priority="147" operator="lessThan" dxfId="0" stopIfTrue="1">
      <formula>0</formula>
    </cfRule>
  </conditionalFormatting>
  <conditionalFormatting sqref="Q116:Q118">
    <cfRule type="cellIs" priority="141" operator="greaterThan" dxfId="3" stopIfTrue="1">
      <formula>0.03</formula>
    </cfRule>
    <cfRule type="cellIs" priority="142" operator="lessThan" dxfId="2" stopIfTrue="1">
      <formula>-0.03</formula>
    </cfRule>
    <cfRule type="cellIs" priority="143" operator="greaterThan" dxfId="1" stopIfTrue="1">
      <formula>0</formula>
    </cfRule>
    <cfRule type="cellIs" priority="144" operator="lessThan" dxfId="0" stopIfTrue="1">
      <formula>0</formula>
    </cfRule>
  </conditionalFormatting>
  <conditionalFormatting sqref="P116">
    <cfRule type="cellIs" priority="133" operator="greaterThan" dxfId="3" stopIfTrue="1">
      <formula>0.03</formula>
    </cfRule>
    <cfRule type="cellIs" priority="134" operator="lessThan" dxfId="2" stopIfTrue="1">
      <formula>-0.03</formula>
    </cfRule>
    <cfRule type="cellIs" priority="136" operator="greaterThan" dxfId="1" stopIfTrue="1">
      <formula>0</formula>
    </cfRule>
    <cfRule type="cellIs" priority="135" operator="lessThan" dxfId="0" stopIfTrue="1">
      <formula>0</formula>
    </cfRule>
  </conditionalFormatting>
  <conditionalFormatting sqref="R116">
    <cfRule type="cellIs" priority="129" operator="greaterThan" dxfId="3" stopIfTrue="1">
      <formula>0.03</formula>
    </cfRule>
    <cfRule type="cellIs" priority="130" operator="lessThan" dxfId="2" stopIfTrue="1">
      <formula>-0.03</formula>
    </cfRule>
    <cfRule type="cellIs" priority="132" operator="greaterThan" dxfId="1" stopIfTrue="1">
      <formula>0</formula>
    </cfRule>
    <cfRule type="cellIs" priority="131" operator="lessThan" dxfId="0" stopIfTrue="1">
      <formula>0</formula>
    </cfRule>
  </conditionalFormatting>
  <conditionalFormatting sqref="Q119:Q121">
    <cfRule type="cellIs" priority="125" operator="greaterThan" dxfId="3" stopIfTrue="1">
      <formula>0.03</formula>
    </cfRule>
    <cfRule type="cellIs" priority="126" operator="lessThan" dxfId="2" stopIfTrue="1">
      <formula>-0.03</formula>
    </cfRule>
    <cfRule type="cellIs" priority="127" operator="greaterThan" dxfId="1" stopIfTrue="1">
      <formula>0</formula>
    </cfRule>
    <cfRule type="cellIs" priority="128" operator="lessThan" dxfId="0" stopIfTrue="1">
      <formula>0</formula>
    </cfRule>
  </conditionalFormatting>
  <conditionalFormatting sqref="R119">
    <cfRule type="cellIs" priority="121" operator="greaterThan" dxfId="3" stopIfTrue="1">
      <formula>0.03</formula>
    </cfRule>
    <cfRule type="cellIs" priority="122" operator="lessThan" dxfId="2" stopIfTrue="1">
      <formula>-0.03</formula>
    </cfRule>
    <cfRule type="cellIs" priority="124" operator="greaterThan" dxfId="1" stopIfTrue="1">
      <formula>0</formula>
    </cfRule>
    <cfRule type="cellIs" priority="123" operator="lessThan" dxfId="0" stopIfTrue="1">
      <formula>0</formula>
    </cfRule>
  </conditionalFormatting>
  <conditionalFormatting sqref="Q122:Q124">
    <cfRule type="cellIs" priority="117" operator="greaterThan" dxfId="3" stopIfTrue="1">
      <formula>0.03</formula>
    </cfRule>
    <cfRule type="cellIs" priority="118" operator="lessThan" dxfId="2" stopIfTrue="1">
      <formula>-0.03</formula>
    </cfRule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R122">
    <cfRule type="cellIs" priority="113" operator="greaterThan" dxfId="3" stopIfTrue="1">
      <formula>0.03</formula>
    </cfRule>
    <cfRule type="cellIs" priority="114" operator="lessThan" dxfId="2" stopIfTrue="1">
      <formula>-0.03</formula>
    </cfRule>
    <cfRule type="cellIs" priority="116" operator="greaterThan" dxfId="1" stopIfTrue="1">
      <formula>0</formula>
    </cfRule>
    <cfRule type="cellIs" priority="115" operator="lessThan" dxfId="0" stopIfTrue="1">
      <formula>0</formula>
    </cfRule>
  </conditionalFormatting>
  <conditionalFormatting sqref="Q125:Q127">
    <cfRule type="cellIs" priority="109" operator="greaterThan" dxfId="3" stopIfTrue="1">
      <formula>0.03</formula>
    </cfRule>
    <cfRule type="cellIs" priority="110" operator="lessThan" dxfId="2" stopIfTrue="1">
      <formula>-0.03</formula>
    </cfRule>
    <cfRule type="cellIs" priority="111" operator="greaterThan" dxfId="1" stopIfTrue="1">
      <formula>0</formula>
    </cfRule>
    <cfRule type="cellIs" priority="112" operator="lessThan" dxfId="0" stopIfTrue="1">
      <formula>0</formula>
    </cfRule>
  </conditionalFormatting>
  <conditionalFormatting sqref="R125">
    <cfRule type="cellIs" priority="105" operator="greaterThan" dxfId="3" stopIfTrue="1">
      <formula>0.03</formula>
    </cfRule>
    <cfRule type="cellIs" priority="106" operator="lessThan" dxfId="2" stopIfTrue="1">
      <formula>-0.03</formula>
    </cfRule>
    <cfRule type="cellIs" priority="108" operator="greaterThan" dxfId="1" stopIfTrue="1">
      <formula>0</formula>
    </cfRule>
    <cfRule type="cellIs" priority="107" operator="lessThan" dxfId="0" stopIfTrue="1">
      <formula>0</formula>
    </cfRule>
  </conditionalFormatting>
  <conditionalFormatting sqref="Q128:Q130">
    <cfRule type="cellIs" priority="101" operator="greaterThan" dxfId="3" stopIfTrue="1">
      <formula>0.03</formula>
    </cfRule>
    <cfRule type="cellIs" priority="102" operator="lessThan" dxfId="2" stopIfTrue="1">
      <formula>-0.03</formula>
    </cfRule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R128">
    <cfRule type="cellIs" priority="97" operator="greaterThan" dxfId="3" stopIfTrue="1">
      <formula>0.03</formula>
    </cfRule>
    <cfRule type="cellIs" priority="98" operator="lessThan" dxfId="2" stopIfTrue="1">
      <formula>-0.03</formula>
    </cfRule>
    <cfRule type="cellIs" priority="100" operator="greaterThan" dxfId="1" stopIfTrue="1">
      <formula>0</formula>
    </cfRule>
    <cfRule type="cellIs" priority="99" operator="lessThan" dxfId="0" stopIfTrue="1">
      <formula>0</formula>
    </cfRule>
  </conditionalFormatting>
  <conditionalFormatting sqref="Q131:Q133">
    <cfRule type="cellIs" priority="93" operator="greaterThan" dxfId="3" stopIfTrue="1">
      <formula>0.03</formula>
    </cfRule>
    <cfRule type="cellIs" priority="94" operator="lessThan" dxfId="2" stopIfTrue="1">
      <formula>-0.03</formula>
    </cfRule>
    <cfRule type="cellIs" priority="95" operator="greaterThan" dxfId="1" stopIfTrue="1">
      <formula>0</formula>
    </cfRule>
    <cfRule type="cellIs" priority="96" operator="lessThan" dxfId="0" stopIfTrue="1">
      <formula>0</formula>
    </cfRule>
  </conditionalFormatting>
  <conditionalFormatting sqref="R131">
    <cfRule type="cellIs" priority="89" operator="greaterThan" dxfId="3" stopIfTrue="1">
      <formula>0.03</formula>
    </cfRule>
    <cfRule type="cellIs" priority="90" operator="lessThan" dxfId="2" stopIfTrue="1">
      <formula>-0.03</formula>
    </cfRule>
    <cfRule type="cellIs" priority="92" operator="greaterThan" dxfId="1" stopIfTrue="1">
      <formula>0</formula>
    </cfRule>
    <cfRule type="cellIs" priority="91" operator="lessThan" dxfId="0" stopIfTrue="1">
      <formula>0</formula>
    </cfRule>
  </conditionalFormatting>
  <conditionalFormatting sqref="Q134:Q136">
    <cfRule type="cellIs" priority="85" operator="greaterThan" dxfId="3" stopIfTrue="1">
      <formula>0.03</formula>
    </cfRule>
    <cfRule type="cellIs" priority="86" operator="lessThan" dxfId="2" stopIfTrue="1">
      <formula>-0.03</formula>
    </cfRule>
    <cfRule type="cellIs" priority="87" operator="greaterThan" dxfId="1" stopIfTrue="1">
      <formula>0</formula>
    </cfRule>
    <cfRule type="cellIs" priority="88" operator="lessThan" dxfId="0" stopIfTrue="1">
      <formula>0</formula>
    </cfRule>
  </conditionalFormatting>
  <conditionalFormatting sqref="R134">
    <cfRule type="cellIs" priority="81" operator="greaterThan" dxfId="3" stopIfTrue="1">
      <formula>0.03</formula>
    </cfRule>
    <cfRule type="cellIs" priority="82" operator="lessThan" dxfId="2" stopIfTrue="1">
      <formula>-0.03</formula>
    </cfRule>
    <cfRule type="cellIs" priority="84" operator="greaterThan" dxfId="1" stopIfTrue="1">
      <formula>0</formula>
    </cfRule>
    <cfRule type="cellIs" priority="83" operator="lessThan" dxfId="0" stopIfTrue="1">
      <formula>0</formula>
    </cfRule>
  </conditionalFormatting>
  <conditionalFormatting sqref="Q137:Q139">
    <cfRule type="cellIs" priority="77" operator="greaterThan" dxfId="3" stopIfTrue="1">
      <formula>0.03</formula>
    </cfRule>
    <cfRule type="cellIs" priority="78" operator="lessThan" dxfId="2" stopIfTrue="1">
      <formula>-0.03</formula>
    </cfRule>
    <cfRule type="cellIs" priority="79" operator="greaterThan" dxfId="1" stopIfTrue="1">
      <formula>0</formula>
    </cfRule>
    <cfRule type="cellIs" priority="80" operator="lessThan" dxfId="0" stopIfTrue="1">
      <formula>0</formula>
    </cfRule>
  </conditionalFormatting>
  <conditionalFormatting sqref="R137">
    <cfRule type="cellIs" priority="73" operator="greaterThan" dxfId="3" stopIfTrue="1">
      <formula>0.03</formula>
    </cfRule>
    <cfRule type="cellIs" priority="74" operator="lessThan" dxfId="2" stopIfTrue="1">
      <formula>-0.03</formula>
    </cfRule>
    <cfRule type="cellIs" priority="76" operator="greaterThan" dxfId="1" stopIfTrue="1">
      <formula>0</formula>
    </cfRule>
    <cfRule type="cellIs" priority="75" operator="lessThan" dxfId="0" stopIfTrue="1">
      <formula>0</formula>
    </cfRule>
  </conditionalFormatting>
  <conditionalFormatting sqref="Q168:Q170">
    <cfRule type="cellIs" priority="69" operator="greaterThan" dxfId="3" stopIfTrue="1">
      <formula>0.03</formula>
    </cfRule>
    <cfRule type="cellIs" priority="70" operator="lessThan" dxfId="2" stopIfTrue="1">
      <formula>-0.03</formula>
    </cfRule>
    <cfRule type="cellIs" priority="71" operator="greaterThan" dxfId="1" stopIfTrue="1">
      <formula>0</formula>
    </cfRule>
    <cfRule type="cellIs" priority="72" operator="lessThan" dxfId="0" stopIfTrue="1">
      <formula>0</formula>
    </cfRule>
  </conditionalFormatting>
  <conditionalFormatting sqref="R168">
    <cfRule type="cellIs" priority="65" operator="greaterThan" dxfId="3" stopIfTrue="1">
      <formula>0.03</formula>
    </cfRule>
    <cfRule type="cellIs" priority="66" operator="lessThan" dxfId="2" stopIfTrue="1">
      <formula>-0.03</formula>
    </cfRule>
    <cfRule type="cellIs" priority="68" operator="greaterThan" dxfId="1" stopIfTrue="1">
      <formula>0</formula>
    </cfRule>
    <cfRule type="cellIs" priority="67" operator="lessThan" dxfId="0" stopIfTrue="1">
      <formula>0</formula>
    </cfRule>
  </conditionalFormatting>
  <conditionalFormatting sqref="Q196:Q198">
    <cfRule type="cellIs" priority="61" operator="greaterThan" dxfId="3" stopIfTrue="1">
      <formula>0.03</formula>
    </cfRule>
    <cfRule type="cellIs" priority="62" operator="lessThan" dxfId="2" stopIfTrue="1">
      <formula>-0.03</formula>
    </cfRule>
    <cfRule type="cellIs" priority="63" operator="greaterThan" dxfId="1" stopIfTrue="1">
      <formula>0</formula>
    </cfRule>
    <cfRule type="cellIs" priority="64" operator="lessThan" dxfId="0" stopIfTrue="1">
      <formula>0</formula>
    </cfRule>
  </conditionalFormatting>
  <conditionalFormatting sqref="R196">
    <cfRule type="cellIs" priority="57" operator="greaterThan" dxfId="3" stopIfTrue="1">
      <formula>0.03</formula>
    </cfRule>
    <cfRule type="cellIs" priority="58" operator="lessThan" dxfId="2" stopIfTrue="1">
      <formula>-0.03</formula>
    </cfRule>
    <cfRule type="cellIs" priority="60" operator="greaterThan" dxfId="1" stopIfTrue="1">
      <formula>0</formula>
    </cfRule>
    <cfRule type="cellIs" priority="59" operator="lessThan" dxfId="0" stopIfTrue="1">
      <formula>0</formula>
    </cfRule>
  </conditionalFormatting>
  <conditionalFormatting sqref="Q224:Q226">
    <cfRule type="cellIs" priority="53" operator="greaterThan" dxfId="3" stopIfTrue="1">
      <formula>0.03</formula>
    </cfRule>
    <cfRule type="cellIs" priority="54" operator="lessThan" dxfId="2" stopIfTrue="1">
      <formula>-0.03</formula>
    </cfRule>
    <cfRule type="cellIs" priority="55" operator="greaterThan" dxfId="1" stopIfTrue="1">
      <formula>0</formula>
    </cfRule>
    <cfRule type="cellIs" priority="56" operator="lessThan" dxfId="0" stopIfTrue="1">
      <formula>0</formula>
    </cfRule>
  </conditionalFormatting>
  <conditionalFormatting sqref="R224">
    <cfRule type="cellIs" priority="49" operator="greaterThan" dxfId="3" stopIfTrue="1">
      <formula>0.03</formula>
    </cfRule>
    <cfRule type="cellIs" priority="50" operator="lessThan" dxfId="2" stopIfTrue="1">
      <formula>-0.03</formula>
    </cfRule>
    <cfRule type="cellIs" priority="52" operator="greaterThan" dxfId="1" stopIfTrue="1">
      <formula>0</formula>
    </cfRule>
    <cfRule type="cellIs" priority="51" operator="lessThan" dxfId="0" stopIfTrue="1">
      <formula>0</formula>
    </cfRule>
  </conditionalFormatting>
  <conditionalFormatting sqref="Q252:Q254">
    <cfRule type="cellIs" priority="45" operator="greaterThan" dxfId="3" stopIfTrue="1">
      <formula>0.03</formula>
    </cfRule>
    <cfRule type="cellIs" priority="46" operator="lessThan" dxfId="2" stopIfTrue="1">
      <formula>-0.03</formula>
    </cfRule>
    <cfRule type="cellIs" priority="47" operator="greaterThan" dxfId="1" stopIfTrue="1">
      <formula>0</formula>
    </cfRule>
    <cfRule type="cellIs" priority="48" operator="lessThan" dxfId="0" stopIfTrue="1">
      <formula>0</formula>
    </cfRule>
  </conditionalFormatting>
  <conditionalFormatting sqref="R252">
    <cfRule type="cellIs" priority="41" operator="greaterThan" dxfId="3" stopIfTrue="1">
      <formula>0.03</formula>
    </cfRule>
    <cfRule type="cellIs" priority="42" operator="lessThan" dxfId="2" stopIfTrue="1">
      <formula>-0.03</formula>
    </cfRule>
    <cfRule type="cellIs" priority="44" operator="greaterThan" dxfId="1" stopIfTrue="1">
      <formula>0</formula>
    </cfRule>
    <cfRule type="cellIs" priority="43" operator="lessThan" dxfId="0" stopIfTrue="1">
      <formula>0</formula>
    </cfRule>
  </conditionalFormatting>
  <conditionalFormatting sqref="Q144:Q167">
    <cfRule type="cellIs" priority="29" operator="greaterThan" dxfId="3" stopIfTrue="1">
      <formula>0.03</formula>
    </cfRule>
    <cfRule type="cellIs" priority="30" operator="lessThan" dxfId="2" stopIfTrue="1">
      <formula>-0.03</formula>
    </cfRule>
    <cfRule type="cellIs" priority="31" operator="greaterThan" dxfId="1" stopIfTrue="1">
      <formula>0</formula>
    </cfRule>
    <cfRule type="cellIs" priority="32" operator="lessThan" dxfId="0" stopIfTrue="1">
      <formula>0</formula>
    </cfRule>
  </conditionalFormatting>
  <conditionalFormatting sqref="R144 R147 R150 R153 R156 R159 R162 R165">
    <cfRule type="cellIs" priority="25" operator="greaterThan" dxfId="3" stopIfTrue="1">
      <formula>0.03</formula>
    </cfRule>
    <cfRule type="cellIs" priority="26" operator="lessThan" dxfId="2" stopIfTrue="1">
      <formula>-0.03</formula>
    </cfRule>
    <cfRule type="cellIs" priority="28" operator="greaterThan" dxfId="1" stopIfTrue="1">
      <formula>0</formula>
    </cfRule>
    <cfRule type="cellIs" priority="27" operator="lessThan" dxfId="0" stopIfTrue="1">
      <formula>0</formula>
    </cfRule>
  </conditionalFormatting>
  <conditionalFormatting sqref="Q172:Q195">
    <cfRule type="cellIs" priority="21" operator="greaterThan" dxfId="3" stopIfTrue="1">
      <formula>0.03</formula>
    </cfRule>
    <cfRule type="cellIs" priority="22" operator="lessThan" dxfId="2" stopIfTrue="1">
      <formula>-0.03</formula>
    </cfRule>
    <cfRule type="cellIs" priority="23" operator="greaterThan" dxfId="1" stopIfTrue="1">
      <formula>0</formula>
    </cfRule>
    <cfRule type="cellIs" priority="24" operator="lessThan" dxfId="0" stopIfTrue="1">
      <formula>0</formula>
    </cfRule>
  </conditionalFormatting>
  <conditionalFormatting sqref="R172 R175 R178 R181 R184 R187 R190 R193">
    <cfRule type="cellIs" priority="17" operator="greaterThan" dxfId="3" stopIfTrue="1">
      <formula>0.03</formula>
    </cfRule>
    <cfRule type="cellIs" priority="18" operator="lessThan" dxfId="2" stopIfTrue="1">
      <formula>-0.03</formula>
    </cfRule>
    <cfRule type="cellIs" priority="20" operator="greaterThan" dxfId="1" stopIfTrue="1">
      <formula>0</formula>
    </cfRule>
    <cfRule type="cellIs" priority="19" operator="lessThan" dxfId="0" stopIfTrue="1">
      <formula>0</formula>
    </cfRule>
  </conditionalFormatting>
  <conditionalFormatting sqref="Q200:Q223">
    <cfRule type="cellIs" priority="13" operator="greaterThan" dxfId="3" stopIfTrue="1">
      <formula>0.03</formula>
    </cfRule>
    <cfRule type="cellIs" priority="14" operator="lessThan" dxfId="2" stopIfTrue="1">
      <formula>-0.03</formula>
    </cfRule>
    <cfRule type="cellIs" priority="15" operator="greaterThan" dxfId="1" stopIfTrue="1">
      <formula>0</formula>
    </cfRule>
    <cfRule type="cellIs" priority="16" operator="lessThan" dxfId="0" stopIfTrue="1">
      <formula>0</formula>
    </cfRule>
  </conditionalFormatting>
  <conditionalFormatting sqref="R200 R203 R206 R209 R212 R215 R218 R221">
    <cfRule type="cellIs" priority="9" operator="greaterThan" dxfId="3" stopIfTrue="1">
      <formula>0.03</formula>
    </cfRule>
    <cfRule type="cellIs" priority="10" operator="lessThan" dxfId="2" stopIfTrue="1">
      <formula>-0.03</formula>
    </cfRule>
    <cfRule type="cellIs" priority="12" operator="greaterThan" dxfId="1" stopIfTrue="1">
      <formula>0</formula>
    </cfRule>
    <cfRule type="cellIs" priority="11" operator="lessThan" dxfId="0" stopIfTrue="1">
      <formula>0</formula>
    </cfRule>
  </conditionalFormatting>
  <conditionalFormatting sqref="Q228:Q251">
    <cfRule type="cellIs" priority="5" operator="greaterThan" dxfId="3" stopIfTrue="1">
      <formula>0.03</formula>
    </cfRule>
    <cfRule type="cellIs" priority="6" operator="lessThan" dxfId="2" stopIfTrue="1">
      <formula>-0.03</formula>
    </cfRule>
    <cfRule type="cellIs" priority="7" operator="greaterThan" dxfId="1" stopIfTrue="1">
      <formula>0</formula>
    </cfRule>
    <cfRule type="cellIs" priority="8" operator="lessThan" dxfId="0" stopIfTrue="1">
      <formula>0</formula>
    </cfRule>
  </conditionalFormatting>
  <conditionalFormatting sqref="R228 R231 R234 R237 R240 R243 R246 R249">
    <cfRule type="cellIs" priority="1" operator="greaterThan" dxfId="3" stopIfTrue="1">
      <formula>0.03</formula>
    </cfRule>
    <cfRule type="cellIs" priority="2" operator="lessThan" dxfId="2" stopIfTrue="1">
      <formula>-0.03</formula>
    </cfRule>
    <cfRule type="cellIs" priority="4" operator="greaterThan" dxfId="1" stopIfTrue="1">
      <formula>0</formula>
    </cfRule>
    <cfRule type="cellIs" priority="3" operator="lessThan" dxfId="0" stopIfTrue="1">
      <formula>0</formula>
    </cfRule>
  </conditionalFormatting>
  <pageMargins left="0.7" right="0.7" top="0.75" bottom="0.75" header="0.3" footer="0.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/>
  </sheetPr>
  <dimension ref="A1:CQ156"/>
  <sheetViews>
    <sheetView topLeftCell="A2" workbookViewId="0">
      <selection activeCell="C47" sqref="C47:C52"/>
    </sheetView>
  </sheetViews>
  <sheetFormatPr baseColWidth="10" defaultColWidth="8.83203125" defaultRowHeight="16"/>
  <cols>
    <col width="21.33203125" customWidth="1" style="241" min="2" max="2"/>
    <col width="9" customWidth="1" style="241" min="25" max="26"/>
    <col width="45.5" bestFit="1" customWidth="1" style="241" min="27" max="27"/>
    <col width="9" customWidth="1" style="241" min="28" max="28"/>
    <col width="18.6640625" bestFit="1" customWidth="1" style="241" min="29" max="29"/>
    <col width="9" customWidth="1" style="241" min="30" max="30"/>
    <col width="10.1640625" customWidth="1" style="67" min="31" max="46"/>
    <col width="13.83203125" bestFit="1" customWidth="1" style="67" min="47" max="47"/>
    <col width="10.1640625" customWidth="1" style="67" min="48" max="61"/>
  </cols>
  <sheetData>
    <row r="1" ht="16.5" customHeight="1" s="241">
      <c r="A1" t="inlineStr">
        <is>
          <t>Select the sequence from the dropbox below</t>
        </is>
      </c>
      <c r="AE1" s="67" t="n">
        <v>3</v>
      </c>
      <c r="AF1" s="67">
        <f>AE1+1</f>
        <v/>
      </c>
      <c r="AG1" s="67">
        <f>AF1+1</f>
        <v/>
      </c>
      <c r="AH1" s="67">
        <f>AG1+1</f>
        <v/>
      </c>
      <c r="AI1" s="67">
        <f>AH1+1</f>
        <v/>
      </c>
      <c r="AJ1" s="67">
        <f>AI1+1</f>
        <v/>
      </c>
      <c r="AK1" s="67">
        <f>AJ1+1</f>
        <v/>
      </c>
      <c r="AL1" s="67">
        <f>AK1+1</f>
        <v/>
      </c>
      <c r="AM1" s="67">
        <f>AL1+1</f>
        <v/>
      </c>
      <c r="AN1" s="67">
        <f>AM1+1</f>
        <v/>
      </c>
      <c r="AO1" s="67">
        <f>AN1+1</f>
        <v/>
      </c>
      <c r="AP1" s="67">
        <f>AO1+1</f>
        <v/>
      </c>
      <c r="AQ1" s="67">
        <f>AP1+1</f>
        <v/>
      </c>
      <c r="AR1" s="67">
        <f>AQ1+1</f>
        <v/>
      </c>
      <c r="AV1" s="67" t="n">
        <v>21</v>
      </c>
      <c r="AW1" s="67">
        <f>AV1+1</f>
        <v/>
      </c>
      <c r="AX1" s="67">
        <f>AW1+1</f>
        <v/>
      </c>
      <c r="AY1" s="67">
        <f>AX1+1</f>
        <v/>
      </c>
      <c r="AZ1" s="67">
        <f>AY1+1</f>
        <v/>
      </c>
      <c r="BA1" s="67">
        <f>AZ1+1</f>
        <v/>
      </c>
      <c r="BB1" s="67">
        <f>BA1+1</f>
        <v/>
      </c>
      <c r="BC1" s="67">
        <f>BB1+1</f>
        <v/>
      </c>
      <c r="BD1" s="67">
        <f>BC1+1</f>
        <v/>
      </c>
      <c r="BE1" s="67">
        <f>BD1+1</f>
        <v/>
      </c>
      <c r="BF1" s="67">
        <f>BE1+1</f>
        <v/>
      </c>
      <c r="BG1" s="67">
        <f>BF1+1</f>
        <v/>
      </c>
      <c r="BH1" s="67">
        <f>BG1+1</f>
        <v/>
      </c>
      <c r="BI1" s="67">
        <f>BH1+1</f>
        <v/>
      </c>
      <c r="BM1" t="n">
        <v>90</v>
      </c>
      <c r="BN1" s="67">
        <f>BM1+2</f>
        <v/>
      </c>
      <c r="BO1" s="67">
        <f>BN1+1</f>
        <v/>
      </c>
      <c r="BP1" s="67">
        <f>BO1+1</f>
        <v/>
      </c>
      <c r="BQ1" s="67">
        <f>BP1+1</f>
        <v/>
      </c>
      <c r="BR1" s="67">
        <f>BQ1+1</f>
        <v/>
      </c>
      <c r="BS1" s="67">
        <f>BR1+1</f>
        <v/>
      </c>
      <c r="BT1" s="67">
        <f>BS1+1</f>
        <v/>
      </c>
      <c r="BU1" s="67">
        <f>BT1+1</f>
        <v/>
      </c>
      <c r="BV1" s="67">
        <f>BU1+1</f>
        <v/>
      </c>
      <c r="BW1" s="67">
        <f>BV1+1</f>
        <v/>
      </c>
      <c r="BX1" s="67">
        <f>BW1+1</f>
        <v/>
      </c>
      <c r="BY1" s="67">
        <f>BX1+1</f>
        <v/>
      </c>
      <c r="BZ1" s="67">
        <f>BY1+1</f>
        <v/>
      </c>
      <c r="CD1" t="n">
        <v>130</v>
      </c>
      <c r="CE1" s="67">
        <f>CD1+2</f>
        <v/>
      </c>
      <c r="CF1" s="67">
        <f>CE1+1</f>
        <v/>
      </c>
      <c r="CG1" s="67">
        <f>CF1+1</f>
        <v/>
      </c>
      <c r="CH1" s="67">
        <f>CG1+1</f>
        <v/>
      </c>
      <c r="CI1" s="67">
        <f>CH1+1</f>
        <v/>
      </c>
      <c r="CJ1" s="67">
        <f>CI1+1</f>
        <v/>
      </c>
      <c r="CK1" s="67">
        <f>CJ1+1</f>
        <v/>
      </c>
      <c r="CL1" s="67">
        <f>CK1+1</f>
        <v/>
      </c>
      <c r="CM1" s="67">
        <f>CL1+1</f>
        <v/>
      </c>
      <c r="CN1" s="67">
        <f>CM1+1</f>
        <v/>
      </c>
      <c r="CO1" s="67">
        <f>CN1+1</f>
        <v/>
      </c>
      <c r="CP1" s="67">
        <f>CO1+1</f>
        <v/>
      </c>
      <c r="CQ1" s="67">
        <f>CP1+1</f>
        <v/>
      </c>
    </row>
    <row r="2" ht="16.5" customHeight="1" s="241">
      <c r="AE2" s="68" t="inlineStr">
        <is>
          <t>Convex Hull - Reference</t>
        </is>
      </c>
      <c r="AF2" s="68" t="n"/>
      <c r="AG2" s="68" t="n"/>
      <c r="AH2" s="68" t="n"/>
      <c r="AI2" s="68" t="n"/>
      <c r="AJ2" s="68" t="n"/>
      <c r="AK2" s="68" t="n"/>
      <c r="AL2" s="68" t="n"/>
      <c r="AM2" s="68" t="n"/>
      <c r="AN2" s="68" t="n"/>
      <c r="AO2" s="68" t="n"/>
      <c r="AP2" s="68" t="n"/>
      <c r="AQ2" s="68" t="n"/>
      <c r="AR2" s="68" t="n"/>
      <c r="AS2" s="68" t="n"/>
      <c r="AT2" s="68" t="n"/>
      <c r="AU2" s="68" t="n"/>
      <c r="AV2" s="68" t="inlineStr">
        <is>
          <t>Convex Hull - Test</t>
        </is>
      </c>
      <c r="BM2" s="68" t="inlineStr">
        <is>
          <t>Line 2 - Test</t>
        </is>
      </c>
      <c r="BN2" s="67" t="n"/>
      <c r="BO2" s="67" t="n"/>
      <c r="BP2" s="67" t="n"/>
      <c r="BQ2" s="67" t="n"/>
      <c r="BR2" s="67" t="n"/>
      <c r="BS2" s="67" t="n"/>
      <c r="BT2" s="67" t="n"/>
      <c r="BU2" s="67" t="n"/>
      <c r="BV2" s="67" t="n"/>
      <c r="BW2" s="67" t="n"/>
      <c r="BX2" s="67" t="n"/>
      <c r="BY2" s="67" t="n"/>
      <c r="BZ2" s="67" t="n"/>
      <c r="CD2" s="68" t="inlineStr">
        <is>
          <t>Line 2 - Test</t>
        </is>
      </c>
      <c r="CE2" s="67" t="n"/>
      <c r="CF2" s="67" t="n"/>
      <c r="CG2" s="67" t="n"/>
      <c r="CH2" s="67" t="n"/>
      <c r="CI2" s="67" t="n"/>
      <c r="CJ2" s="67" t="n"/>
      <c r="CK2" s="67" t="n"/>
      <c r="CL2" s="67" t="n"/>
      <c r="CM2" s="67" t="n"/>
      <c r="CN2" s="67" t="n"/>
      <c r="CO2" s="67" t="n"/>
      <c r="CP2" s="67" t="n"/>
      <c r="CQ2" s="67" t="n"/>
    </row>
    <row r="3" ht="16.5" customHeight="1" s="241">
      <c r="B3" s="240" t="inlineStr">
        <is>
          <t>Neon1224</t>
        </is>
      </c>
      <c r="AE3" s="232" t="inlineStr">
        <is>
          <t>bitrate</t>
        </is>
      </c>
      <c r="AF3" s="232" t="inlineStr">
        <is>
          <t>PSNR</t>
        </is>
      </c>
      <c r="AG3" s="233" t="n"/>
      <c r="AH3" s="234" t="n"/>
      <c r="AI3" s="70" t="n"/>
      <c r="AJ3" s="232" t="inlineStr">
        <is>
          <t>SSIM</t>
        </is>
      </c>
      <c r="AK3" s="232" t="inlineStr">
        <is>
          <t>MS-SSIM</t>
        </is>
      </c>
      <c r="AL3" s="232" t="inlineStr">
        <is>
          <t>VMAF</t>
        </is>
      </c>
      <c r="AM3" s="232" t="inlineStr">
        <is>
          <t>VMAF-neg</t>
        </is>
      </c>
      <c r="AN3" s="232" t="inlineStr">
        <is>
          <t>PSNR-HVS</t>
        </is>
      </c>
      <c r="AO3" s="232" t="inlineStr">
        <is>
          <t>DE2K</t>
        </is>
      </c>
      <c r="AP3" s="232" t="inlineStr">
        <is>
          <t>APSNR</t>
        </is>
      </c>
      <c r="AQ3" s="233" t="n"/>
      <c r="AR3" s="234" t="n"/>
      <c r="AS3" s="79" t="n"/>
      <c r="AT3" s="79" t="n"/>
      <c r="AU3" s="71" t="n"/>
      <c r="AV3" s="232" t="inlineStr">
        <is>
          <t>bitrate</t>
        </is>
      </c>
      <c r="AW3" s="232" t="inlineStr">
        <is>
          <t>PSNR</t>
        </is>
      </c>
      <c r="AX3" s="233" t="n"/>
      <c r="AY3" s="234" t="n"/>
      <c r="AZ3" s="70" t="n"/>
      <c r="BA3" s="232" t="inlineStr">
        <is>
          <t>SSIM</t>
        </is>
      </c>
      <c r="BB3" s="232" t="inlineStr">
        <is>
          <t>MS-SSIM</t>
        </is>
      </c>
      <c r="BC3" s="232" t="inlineStr">
        <is>
          <t>VMAF</t>
        </is>
      </c>
      <c r="BD3" s="232" t="inlineStr">
        <is>
          <t>VMAF-neg</t>
        </is>
      </c>
      <c r="BE3" s="232" t="inlineStr">
        <is>
          <t>PSNR-HVS</t>
        </is>
      </c>
      <c r="BF3" s="232" t="inlineStr">
        <is>
          <t>DE2K</t>
        </is>
      </c>
      <c r="BG3" s="232" t="inlineStr">
        <is>
          <t>APSNR</t>
        </is>
      </c>
      <c r="BH3" s="233" t="n"/>
      <c r="BI3" s="234" t="n"/>
      <c r="BM3" s="232" t="inlineStr">
        <is>
          <t>bitrate</t>
        </is>
      </c>
      <c r="BN3" s="232" t="inlineStr">
        <is>
          <t>PSNR</t>
        </is>
      </c>
      <c r="BO3" s="233" t="n"/>
      <c r="BP3" s="234" t="n"/>
      <c r="BQ3" s="70" t="n"/>
      <c r="BR3" s="232" t="inlineStr">
        <is>
          <t>SSIM</t>
        </is>
      </c>
      <c r="BS3" s="232" t="inlineStr">
        <is>
          <t>MS-SSIM</t>
        </is>
      </c>
      <c r="BT3" s="232" t="inlineStr">
        <is>
          <t>VMAF</t>
        </is>
      </c>
      <c r="BU3" s="232" t="inlineStr">
        <is>
          <t>VMAF-neg</t>
        </is>
      </c>
      <c r="BV3" s="232" t="inlineStr">
        <is>
          <t>PSNR-HVS</t>
        </is>
      </c>
      <c r="BW3" s="232" t="inlineStr">
        <is>
          <t>DE2K</t>
        </is>
      </c>
      <c r="BX3" s="232" t="inlineStr">
        <is>
          <t>APSNR</t>
        </is>
      </c>
      <c r="BY3" s="233" t="n"/>
      <c r="BZ3" s="234" t="n"/>
      <c r="CD3" s="232" t="inlineStr">
        <is>
          <t>bitrate</t>
        </is>
      </c>
      <c r="CE3" s="232" t="inlineStr">
        <is>
          <t>PSNR</t>
        </is>
      </c>
      <c r="CF3" s="233" t="n"/>
      <c r="CG3" s="234" t="n"/>
      <c r="CH3" s="70" t="n"/>
      <c r="CI3" s="232" t="inlineStr">
        <is>
          <t>SSIM</t>
        </is>
      </c>
      <c r="CJ3" s="232" t="inlineStr">
        <is>
          <t>MS-SSIM</t>
        </is>
      </c>
      <c r="CK3" s="232" t="inlineStr">
        <is>
          <t>VMAF</t>
        </is>
      </c>
      <c r="CL3" s="232" t="inlineStr">
        <is>
          <t>VMAF-neg</t>
        </is>
      </c>
      <c r="CM3" s="232" t="inlineStr">
        <is>
          <t>PSNR-HVS</t>
        </is>
      </c>
      <c r="CN3" s="232" t="inlineStr">
        <is>
          <t>DE2K</t>
        </is>
      </c>
      <c r="CO3" s="232" t="inlineStr">
        <is>
          <t>APSNR</t>
        </is>
      </c>
      <c r="CP3" s="233" t="n"/>
      <c r="CQ3" s="234" t="n"/>
    </row>
    <row r="4">
      <c r="AA4" s="78">
        <f>'Summary (Full)'!D72</f>
        <v/>
      </c>
      <c r="AE4" s="232" t="inlineStr">
        <is>
          <t>kbps</t>
        </is>
      </c>
      <c r="AF4" s="232" t="inlineStr">
        <is>
          <t>Y</t>
        </is>
      </c>
      <c r="AG4" s="232" t="inlineStr">
        <is>
          <t>U</t>
        </is>
      </c>
      <c r="AH4" s="232" t="inlineStr">
        <is>
          <t>V</t>
        </is>
      </c>
      <c r="AI4" s="232" t="inlineStr">
        <is>
          <t>YUV</t>
        </is>
      </c>
      <c r="AJ4" s="232" t="inlineStr">
        <is>
          <t>Y</t>
        </is>
      </c>
      <c r="AK4" s="232" t="inlineStr">
        <is>
          <t>Y</t>
        </is>
      </c>
      <c r="AL4" s="232" t="inlineStr">
        <is>
          <t>Y</t>
        </is>
      </c>
      <c r="AM4" s="232" t="inlineStr">
        <is>
          <t>Y</t>
        </is>
      </c>
      <c r="AN4" s="232" t="inlineStr">
        <is>
          <t>Y</t>
        </is>
      </c>
      <c r="AO4" s="232" t="inlineStr">
        <is>
          <t>Y</t>
        </is>
      </c>
      <c r="AP4" s="232" t="inlineStr">
        <is>
          <t>Y</t>
        </is>
      </c>
      <c r="AQ4" s="232" t="inlineStr">
        <is>
          <t>U</t>
        </is>
      </c>
      <c r="AR4" s="232" t="inlineStr">
        <is>
          <t>V</t>
        </is>
      </c>
      <c r="AS4" s="79" t="n"/>
      <c r="AT4" s="79" t="n"/>
      <c r="AV4" s="232" t="inlineStr">
        <is>
          <t>kbps</t>
        </is>
      </c>
      <c r="AW4" s="232" t="inlineStr">
        <is>
          <t>Y</t>
        </is>
      </c>
      <c r="AX4" s="232" t="inlineStr">
        <is>
          <t>U</t>
        </is>
      </c>
      <c r="AY4" s="232" t="inlineStr">
        <is>
          <t>V</t>
        </is>
      </c>
      <c r="AZ4" s="232" t="inlineStr">
        <is>
          <t>YUV</t>
        </is>
      </c>
      <c r="BA4" s="232" t="inlineStr">
        <is>
          <t>Y</t>
        </is>
      </c>
      <c r="BB4" s="232" t="inlineStr">
        <is>
          <t>Y</t>
        </is>
      </c>
      <c r="BC4" s="232" t="inlineStr">
        <is>
          <t>Y</t>
        </is>
      </c>
      <c r="BD4" s="232" t="inlineStr">
        <is>
          <t>Y</t>
        </is>
      </c>
      <c r="BE4" s="232" t="inlineStr">
        <is>
          <t>Y</t>
        </is>
      </c>
      <c r="BF4" s="232" t="inlineStr">
        <is>
          <t>Y</t>
        </is>
      </c>
      <c r="BG4" s="232" t="inlineStr">
        <is>
          <t>Y</t>
        </is>
      </c>
      <c r="BH4" s="232" t="inlineStr">
        <is>
          <t>U</t>
        </is>
      </c>
      <c r="BI4" s="232" t="inlineStr">
        <is>
          <t>V</t>
        </is>
      </c>
      <c r="BM4" s="232" t="inlineStr">
        <is>
          <t>kbps</t>
        </is>
      </c>
      <c r="BN4" s="232" t="inlineStr">
        <is>
          <t>Y</t>
        </is>
      </c>
      <c r="BO4" s="232" t="inlineStr">
        <is>
          <t>U</t>
        </is>
      </c>
      <c r="BP4" s="232" t="inlineStr">
        <is>
          <t>V</t>
        </is>
      </c>
      <c r="BQ4" s="232" t="inlineStr">
        <is>
          <t>YUV</t>
        </is>
      </c>
      <c r="BR4" s="232" t="inlineStr">
        <is>
          <t>Y</t>
        </is>
      </c>
      <c r="BS4" s="232" t="inlineStr">
        <is>
          <t>Y</t>
        </is>
      </c>
      <c r="BT4" s="232" t="inlineStr">
        <is>
          <t>Y</t>
        </is>
      </c>
      <c r="BU4" s="232" t="inlineStr">
        <is>
          <t>Y</t>
        </is>
      </c>
      <c r="BV4" s="232" t="inlineStr">
        <is>
          <t>Y</t>
        </is>
      </c>
      <c r="BW4" s="232" t="inlineStr">
        <is>
          <t>Y</t>
        </is>
      </c>
      <c r="BX4" s="232" t="inlineStr">
        <is>
          <t>Y</t>
        </is>
      </c>
      <c r="BY4" s="232" t="inlineStr">
        <is>
          <t>U</t>
        </is>
      </c>
      <c r="BZ4" s="232" t="inlineStr">
        <is>
          <t>V</t>
        </is>
      </c>
      <c r="CD4" s="232" t="inlineStr">
        <is>
          <t>kbps</t>
        </is>
      </c>
      <c r="CE4" s="232" t="inlineStr">
        <is>
          <t>Y</t>
        </is>
      </c>
      <c r="CF4" s="232" t="inlineStr">
        <is>
          <t>U</t>
        </is>
      </c>
      <c r="CG4" s="232" t="inlineStr">
        <is>
          <t>V</t>
        </is>
      </c>
      <c r="CH4" s="232" t="inlineStr">
        <is>
          <t>YUV</t>
        </is>
      </c>
      <c r="CI4" s="232" t="inlineStr">
        <is>
          <t>Y</t>
        </is>
      </c>
      <c r="CJ4" s="232" t="inlineStr">
        <is>
          <t>Y</t>
        </is>
      </c>
      <c r="CK4" s="232" t="inlineStr">
        <is>
          <t>Y</t>
        </is>
      </c>
      <c r="CL4" s="232" t="inlineStr">
        <is>
          <t>Y</t>
        </is>
      </c>
      <c r="CM4" s="232" t="inlineStr">
        <is>
          <t>Y</t>
        </is>
      </c>
      <c r="CN4" s="232" t="inlineStr">
        <is>
          <t>Y</t>
        </is>
      </c>
      <c r="CO4" s="232" t="inlineStr">
        <is>
          <t>Y</t>
        </is>
      </c>
      <c r="CP4" s="232" t="inlineStr">
        <is>
          <t>U</t>
        </is>
      </c>
      <c r="CQ4" s="232" t="inlineStr">
        <is>
          <t>V</t>
        </is>
      </c>
    </row>
    <row r="5">
      <c r="AA5" s="78">
        <f>'Summary (Full)'!D73</f>
        <v/>
      </c>
      <c r="AB5" s="237" t="inlineStr">
        <is>
          <t>3840x2160</t>
        </is>
      </c>
      <c r="AC5" s="235">
        <f>CONCATENATE(AB5," Reference")</f>
        <v/>
      </c>
      <c r="AD5" t="n">
        <v>5</v>
      </c>
      <c r="AE5" s="73">
        <f>INDIRECT("'"&amp;$B$3&amp;"'!"&amp;ADDRESS($AD5,AE$1))</f>
        <v/>
      </c>
      <c r="AF5" s="73">
        <f>INDIRECT("'"&amp;$B$3&amp;"'!"&amp;ADDRESS($AD5,AF$1))</f>
        <v/>
      </c>
      <c r="AG5" s="73">
        <f>INDIRECT("'"&amp;$B$3&amp;"'!"&amp;ADDRESS($AD5,AG$1))</f>
        <v/>
      </c>
      <c r="AH5" s="73">
        <f>INDIRECT("'"&amp;$B$3&amp;"'!"&amp;ADDRESS($AD5,AH$1))</f>
        <v/>
      </c>
      <c r="AI5" s="73">
        <f>INDIRECT("'"&amp;$B$3&amp;"'!"&amp;ADDRESS($AD5,AI$1))</f>
        <v/>
      </c>
      <c r="AJ5" s="73">
        <f>INDIRECT("'"&amp;$B$3&amp;"'!"&amp;ADDRESS($AD5,AJ$1))</f>
        <v/>
      </c>
      <c r="AK5" s="73">
        <f>INDIRECT("'"&amp;$B$3&amp;"'!"&amp;ADDRESS($AD5,AK$1))</f>
        <v/>
      </c>
      <c r="AL5" s="73">
        <f>INDIRECT("'"&amp;$B$3&amp;"'!"&amp;ADDRESS($AD5,AL$1))</f>
        <v/>
      </c>
      <c r="AM5" s="73">
        <f>INDIRECT("'"&amp;$B$3&amp;"'!"&amp;ADDRESS($AD5,AM$1))</f>
        <v/>
      </c>
      <c r="AN5" s="73">
        <f>INDIRECT("'"&amp;$B$3&amp;"'!"&amp;ADDRESS($AD5,AN$1))</f>
        <v/>
      </c>
      <c r="AO5" s="73">
        <f>INDIRECT("'"&amp;$B$3&amp;"'!"&amp;ADDRESS($AD5,AO$1))</f>
        <v/>
      </c>
      <c r="AP5" s="73">
        <f>INDIRECT("'"&amp;$B$3&amp;"'!"&amp;ADDRESS($AD5,AP$1))</f>
        <v/>
      </c>
      <c r="AQ5" s="73">
        <f>INDIRECT("'"&amp;$B$3&amp;"'!"&amp;ADDRESS($AD5,AQ$1))</f>
        <v/>
      </c>
      <c r="AR5" s="73">
        <f>INDIRECT("'"&amp;$B$3&amp;"'!"&amp;ADDRESS($AD5,AR$1))</f>
        <v/>
      </c>
      <c r="AU5" s="235">
        <f>CONCATENATE(AB5," Test")</f>
        <v/>
      </c>
      <c r="AV5" s="73">
        <f>INDIRECT("'"&amp;$B$3&amp;"'!"&amp;ADDRESS($AD5,AV$1))</f>
        <v/>
      </c>
      <c r="AW5" s="73">
        <f>INDIRECT("'"&amp;$B$3&amp;"'!"&amp;ADDRESS($AD5,AW$1))</f>
        <v/>
      </c>
      <c r="AX5" s="73">
        <f>INDIRECT("'"&amp;$B$3&amp;"'!"&amp;ADDRESS($AD5,AX$1))</f>
        <v/>
      </c>
      <c r="AY5" s="73">
        <f>INDIRECT("'"&amp;$B$3&amp;"'!"&amp;ADDRESS($AD5,AY$1))</f>
        <v/>
      </c>
      <c r="AZ5" s="73">
        <f>INDIRECT("'"&amp;$B$3&amp;"'!"&amp;ADDRESS($AD5,AZ$1))</f>
        <v/>
      </c>
      <c r="BA5" s="73">
        <f>INDIRECT("'"&amp;$B$3&amp;"'!"&amp;ADDRESS($AD5,BA$1))</f>
        <v/>
      </c>
      <c r="BB5" s="73">
        <f>INDIRECT("'"&amp;$B$3&amp;"'!"&amp;ADDRESS($AD5,BB$1))</f>
        <v/>
      </c>
      <c r="BC5" s="73">
        <f>INDIRECT("'"&amp;$B$3&amp;"'!"&amp;ADDRESS($AD5,BC$1))</f>
        <v/>
      </c>
      <c r="BD5" s="73">
        <f>INDIRECT("'"&amp;$B$3&amp;"'!"&amp;ADDRESS($AD5,BD$1))</f>
        <v/>
      </c>
      <c r="BE5" s="73">
        <f>INDIRECT("'"&amp;$B$3&amp;"'!"&amp;ADDRESS($AD5,BE$1))</f>
        <v/>
      </c>
      <c r="BF5" s="73">
        <f>INDIRECT("'"&amp;$B$3&amp;"'!"&amp;ADDRESS($AD5,BF$1))</f>
        <v/>
      </c>
      <c r="BG5" s="73">
        <f>INDIRECT("'"&amp;$B$3&amp;"'!"&amp;ADDRESS($AD5,BG$1))</f>
        <v/>
      </c>
      <c r="BH5" s="73">
        <f>INDIRECT("'"&amp;$B$3&amp;"'!"&amp;ADDRESS($AD5,BH$1))</f>
        <v/>
      </c>
      <c r="BI5" s="73">
        <f>INDIRECT("'"&amp;$B$3&amp;"'!"&amp;ADDRESS($AD5,BI$1))</f>
        <v/>
      </c>
      <c r="BM5" s="73">
        <f>IF(INDIRECT("'"&amp;$B$3&amp;"'!"&amp;ADDRESS($AD5,BM$1)),INDIRECT("'"&amp;$B$3&amp;"'!"&amp;ADDRESS($AD5,BM$1)),"")</f>
        <v/>
      </c>
      <c r="BN5" s="73">
        <f>IF(INDIRECT("'"&amp;$B$3&amp;"'!"&amp;ADDRESS($AD5,BN$1)),INDIRECT("'"&amp;$B$3&amp;"'!"&amp;ADDRESS($AD5,BN$1)),"")</f>
        <v/>
      </c>
      <c r="BO5" s="73">
        <f>IF(INDIRECT("'"&amp;$B$3&amp;"'!"&amp;ADDRESS($AD5,BO$1)),INDIRECT("'"&amp;$B$3&amp;"'!"&amp;ADDRESS($AD5,BO$1)),"")</f>
        <v/>
      </c>
      <c r="BP5" s="73">
        <f>IF(INDIRECT("'"&amp;$B$3&amp;"'!"&amp;ADDRESS($AD5,BP$1)),INDIRECT("'"&amp;$B$3&amp;"'!"&amp;ADDRESS($AD5,BP$1)),"")</f>
        <v/>
      </c>
      <c r="BQ5" s="73">
        <f>IF(INDIRECT("'"&amp;$B$3&amp;"'!"&amp;ADDRESS($AD5,BQ$1)),INDIRECT("'"&amp;$B$3&amp;"'!"&amp;ADDRESS($AD5,BQ$1)),"")</f>
        <v/>
      </c>
      <c r="BR5" s="73">
        <f>IF(INDIRECT("'"&amp;$B$3&amp;"'!"&amp;ADDRESS($AD5,BR$1)),INDIRECT("'"&amp;$B$3&amp;"'!"&amp;ADDRESS($AD5,BR$1)),"")</f>
        <v/>
      </c>
      <c r="BS5" s="73">
        <f>IF(INDIRECT("'"&amp;$B$3&amp;"'!"&amp;ADDRESS($AD5,BS$1)),INDIRECT("'"&amp;$B$3&amp;"'!"&amp;ADDRESS($AD5,BS$1)),"")</f>
        <v/>
      </c>
      <c r="BT5" s="73">
        <f>IF(INDIRECT("'"&amp;$B$3&amp;"'!"&amp;ADDRESS($AD5,BT$1)),INDIRECT("'"&amp;$B$3&amp;"'!"&amp;ADDRESS($AD5,BT$1)),"")</f>
        <v/>
      </c>
      <c r="BU5" s="73">
        <f>IF(INDIRECT("'"&amp;$B$3&amp;"'!"&amp;ADDRESS($AD5,BU$1)),INDIRECT("'"&amp;$B$3&amp;"'!"&amp;ADDRESS($AD5,BU$1)),"")</f>
        <v/>
      </c>
      <c r="BV5" s="73">
        <f>IF(INDIRECT("'"&amp;$B$3&amp;"'!"&amp;ADDRESS($AD5,BV$1)),INDIRECT("'"&amp;$B$3&amp;"'!"&amp;ADDRESS($AD5,BV$1)),"")</f>
        <v/>
      </c>
      <c r="BW5" s="73">
        <f>IF(INDIRECT("'"&amp;$B$3&amp;"'!"&amp;ADDRESS($AD5,BW$1)),INDIRECT("'"&amp;$B$3&amp;"'!"&amp;ADDRESS($AD5,BW$1)),"")</f>
        <v/>
      </c>
      <c r="BX5" s="73">
        <f>IF(INDIRECT("'"&amp;$B$3&amp;"'!"&amp;ADDRESS($AD5,BX$1)),INDIRECT("'"&amp;$B$3&amp;"'!"&amp;ADDRESS($AD5,BX$1)),"")</f>
        <v/>
      </c>
      <c r="BY5" s="73">
        <f>IF(INDIRECT("'"&amp;$B$3&amp;"'!"&amp;ADDRESS($AD5,BY$1)),INDIRECT("'"&amp;$B$3&amp;"'!"&amp;ADDRESS($AD5,BY$1)),"")</f>
        <v/>
      </c>
      <c r="BZ5" s="73">
        <f>IF(INDIRECT("'"&amp;$B$3&amp;"'!"&amp;ADDRESS($AD5,BZ$1)),INDIRECT("'"&amp;$B$3&amp;"'!"&amp;ADDRESS($AD5,BZ$1)),"")</f>
        <v/>
      </c>
      <c r="CD5" s="73">
        <f>IF(INDIRECT("'"&amp;$B$3&amp;"'!"&amp;ADDRESS($AD5,CD$1)),INDIRECT("'"&amp;$B$3&amp;"'!"&amp;ADDRESS($AD5,CD$1)),"")</f>
        <v/>
      </c>
      <c r="CE5" s="73">
        <f>IF(INDIRECT("'"&amp;$B$3&amp;"'!"&amp;ADDRESS($AD5,CE$1)),INDIRECT("'"&amp;$B$3&amp;"'!"&amp;ADDRESS($AD5,CE$1)),"")</f>
        <v/>
      </c>
      <c r="CF5" s="73">
        <f>IF(INDIRECT("'"&amp;$B$3&amp;"'!"&amp;ADDRESS($AD5,CF$1)),INDIRECT("'"&amp;$B$3&amp;"'!"&amp;ADDRESS($AD5,CF$1)),"")</f>
        <v/>
      </c>
      <c r="CG5" s="73">
        <f>IF(INDIRECT("'"&amp;$B$3&amp;"'!"&amp;ADDRESS($AD5,CG$1)),INDIRECT("'"&amp;$B$3&amp;"'!"&amp;ADDRESS($AD5,CG$1)),"")</f>
        <v/>
      </c>
      <c r="CH5" s="73">
        <f>IF(INDIRECT("'"&amp;$B$3&amp;"'!"&amp;ADDRESS($AD5,CH$1)),INDIRECT("'"&amp;$B$3&amp;"'!"&amp;ADDRESS($AD5,CH$1)),"")</f>
        <v/>
      </c>
      <c r="CI5" s="73">
        <f>IF(INDIRECT("'"&amp;$B$3&amp;"'!"&amp;ADDRESS($AD5,CI$1)),INDIRECT("'"&amp;$B$3&amp;"'!"&amp;ADDRESS($AD5,CI$1)),"")</f>
        <v/>
      </c>
      <c r="CJ5" s="73">
        <f>IF(INDIRECT("'"&amp;$B$3&amp;"'!"&amp;ADDRESS($AD5,CJ$1)),INDIRECT("'"&amp;$B$3&amp;"'!"&amp;ADDRESS($AD5,CJ$1)),"")</f>
        <v/>
      </c>
      <c r="CK5" s="73">
        <f>IF(INDIRECT("'"&amp;$B$3&amp;"'!"&amp;ADDRESS($AD5,CK$1)),INDIRECT("'"&amp;$B$3&amp;"'!"&amp;ADDRESS($AD5,CK$1)),"")</f>
        <v/>
      </c>
      <c r="CL5" s="73">
        <f>IF(INDIRECT("'"&amp;$B$3&amp;"'!"&amp;ADDRESS($AD5,CL$1)),INDIRECT("'"&amp;$B$3&amp;"'!"&amp;ADDRESS($AD5,CL$1)),"")</f>
        <v/>
      </c>
      <c r="CM5" s="73">
        <f>IF(INDIRECT("'"&amp;$B$3&amp;"'!"&amp;ADDRESS($AD5,CM$1)),INDIRECT("'"&amp;$B$3&amp;"'!"&amp;ADDRESS($AD5,CM$1)),"")</f>
        <v/>
      </c>
      <c r="CN5" s="73">
        <f>IF(INDIRECT("'"&amp;$B$3&amp;"'!"&amp;ADDRESS($AD5,CN$1)),INDIRECT("'"&amp;$B$3&amp;"'!"&amp;ADDRESS($AD5,CN$1)),"")</f>
        <v/>
      </c>
      <c r="CO5" s="73">
        <f>IF(INDIRECT("'"&amp;$B$3&amp;"'!"&amp;ADDRESS($AD5,CO$1)),INDIRECT("'"&amp;$B$3&amp;"'!"&amp;ADDRESS($AD5,CO$1)),"")</f>
        <v/>
      </c>
      <c r="CP5" s="73">
        <f>IF(INDIRECT("'"&amp;$B$3&amp;"'!"&amp;ADDRESS($AD5,CP$1)),INDIRECT("'"&amp;$B$3&amp;"'!"&amp;ADDRESS($AD5,CP$1)),"")</f>
        <v/>
      </c>
      <c r="CQ5" s="73">
        <f>IF(INDIRECT("'"&amp;$B$3&amp;"'!"&amp;ADDRESS($AD5,CQ$1)),INDIRECT("'"&amp;$B$3&amp;"'!"&amp;ADDRESS($AD5,CQ$1)),"")</f>
        <v/>
      </c>
    </row>
    <row r="6">
      <c r="AA6" s="78">
        <f>'Summary (Full)'!D74</f>
        <v/>
      </c>
      <c r="AB6" s="238" t="n"/>
      <c r="AC6" s="236" t="n"/>
      <c r="AD6">
        <f>AD5+1</f>
        <v/>
      </c>
      <c r="AE6" s="73">
        <f>INDIRECT("'"&amp;$B$3&amp;"'!"&amp;ADDRESS($AD6,AE$1))</f>
        <v/>
      </c>
      <c r="AF6" s="73">
        <f>INDIRECT("'"&amp;$B$3&amp;"'!"&amp;ADDRESS($AD6,AF$1))</f>
        <v/>
      </c>
      <c r="AG6" s="73">
        <f>INDIRECT("'"&amp;$B$3&amp;"'!"&amp;ADDRESS($AD6,AG$1))</f>
        <v/>
      </c>
      <c r="AH6" s="73">
        <f>INDIRECT("'"&amp;$B$3&amp;"'!"&amp;ADDRESS($AD6,AH$1))</f>
        <v/>
      </c>
      <c r="AI6" s="73">
        <f>INDIRECT("'"&amp;$B$3&amp;"'!"&amp;ADDRESS($AD6,AI$1))</f>
        <v/>
      </c>
      <c r="AJ6" s="73">
        <f>INDIRECT("'"&amp;$B$3&amp;"'!"&amp;ADDRESS($AD6,AJ$1))</f>
        <v/>
      </c>
      <c r="AK6" s="73">
        <f>INDIRECT("'"&amp;$B$3&amp;"'!"&amp;ADDRESS($AD6,AK$1))</f>
        <v/>
      </c>
      <c r="AL6" s="73">
        <f>INDIRECT("'"&amp;$B$3&amp;"'!"&amp;ADDRESS($AD6,AL$1))</f>
        <v/>
      </c>
      <c r="AM6" s="73">
        <f>INDIRECT("'"&amp;$B$3&amp;"'!"&amp;ADDRESS($AD6,AM$1))</f>
        <v/>
      </c>
      <c r="AN6" s="73">
        <f>INDIRECT("'"&amp;$B$3&amp;"'!"&amp;ADDRESS($AD6,AN$1))</f>
        <v/>
      </c>
      <c r="AO6" s="73">
        <f>INDIRECT("'"&amp;$B$3&amp;"'!"&amp;ADDRESS($AD6,AO$1))</f>
        <v/>
      </c>
      <c r="AP6" s="73">
        <f>INDIRECT("'"&amp;$B$3&amp;"'!"&amp;ADDRESS($AD6,AP$1))</f>
        <v/>
      </c>
      <c r="AQ6" s="73">
        <f>INDIRECT("'"&amp;$B$3&amp;"'!"&amp;ADDRESS($AD6,AQ$1))</f>
        <v/>
      </c>
      <c r="AR6" s="73">
        <f>INDIRECT("'"&amp;$B$3&amp;"'!"&amp;ADDRESS($AD6,AR$1))</f>
        <v/>
      </c>
      <c r="AU6" s="236" t="n"/>
      <c r="AV6" s="73">
        <f>INDIRECT("'"&amp;$B$3&amp;"'!"&amp;ADDRESS($AD6,AV$1))</f>
        <v/>
      </c>
      <c r="AW6" s="73">
        <f>INDIRECT("'"&amp;$B$3&amp;"'!"&amp;ADDRESS($AD6,AW$1))</f>
        <v/>
      </c>
      <c r="AX6" s="73">
        <f>INDIRECT("'"&amp;$B$3&amp;"'!"&amp;ADDRESS($AD6,AX$1))</f>
        <v/>
      </c>
      <c r="AY6" s="73">
        <f>INDIRECT("'"&amp;$B$3&amp;"'!"&amp;ADDRESS($AD6,AY$1))</f>
        <v/>
      </c>
      <c r="AZ6" s="73">
        <f>INDIRECT("'"&amp;$B$3&amp;"'!"&amp;ADDRESS($AD6,AZ$1))</f>
        <v/>
      </c>
      <c r="BA6" s="73">
        <f>INDIRECT("'"&amp;$B$3&amp;"'!"&amp;ADDRESS($AD6,BA$1))</f>
        <v/>
      </c>
      <c r="BB6" s="73">
        <f>INDIRECT("'"&amp;$B$3&amp;"'!"&amp;ADDRESS($AD6,BB$1))</f>
        <v/>
      </c>
      <c r="BC6" s="73">
        <f>INDIRECT("'"&amp;$B$3&amp;"'!"&amp;ADDRESS($AD6,BC$1))</f>
        <v/>
      </c>
      <c r="BD6" s="73">
        <f>INDIRECT("'"&amp;$B$3&amp;"'!"&amp;ADDRESS($AD6,BD$1))</f>
        <v/>
      </c>
      <c r="BE6" s="73">
        <f>INDIRECT("'"&amp;$B$3&amp;"'!"&amp;ADDRESS($AD6,BE$1))</f>
        <v/>
      </c>
      <c r="BF6" s="73">
        <f>INDIRECT("'"&amp;$B$3&amp;"'!"&amp;ADDRESS($AD6,BF$1))</f>
        <v/>
      </c>
      <c r="BG6" s="73">
        <f>INDIRECT("'"&amp;$B$3&amp;"'!"&amp;ADDRESS($AD6,BG$1))</f>
        <v/>
      </c>
      <c r="BH6" s="73">
        <f>INDIRECT("'"&amp;$B$3&amp;"'!"&amp;ADDRESS($AD6,BH$1))</f>
        <v/>
      </c>
      <c r="BI6" s="73">
        <f>INDIRECT("'"&amp;$B$3&amp;"'!"&amp;ADDRESS($AD6,BI$1))</f>
        <v/>
      </c>
      <c r="BM6" s="73">
        <f>IF(INDIRECT("'"&amp;$B$3&amp;"'!"&amp;ADDRESS($AD6,BM$1)),INDIRECT("'"&amp;$B$3&amp;"'!"&amp;ADDRESS($AD6,BM$1)),BM5)</f>
        <v/>
      </c>
      <c r="BN6" s="73">
        <f>IF(INDIRECT("'"&amp;$B$3&amp;"'!"&amp;ADDRESS($AD6,BN$1)),INDIRECT("'"&amp;$B$3&amp;"'!"&amp;ADDRESS($AD6,BN$1)),BN5)</f>
        <v/>
      </c>
      <c r="BO6" s="73">
        <f>IF(INDIRECT("'"&amp;$B$3&amp;"'!"&amp;ADDRESS($AD6,BO$1)),INDIRECT("'"&amp;$B$3&amp;"'!"&amp;ADDRESS($AD6,BO$1)),BO5)</f>
        <v/>
      </c>
      <c r="BP6" s="73">
        <f>IF(INDIRECT("'"&amp;$B$3&amp;"'!"&amp;ADDRESS($AD6,BP$1)),INDIRECT("'"&amp;$B$3&amp;"'!"&amp;ADDRESS($AD6,BP$1)),BP5)</f>
        <v/>
      </c>
      <c r="BQ6" s="73">
        <f>IF(INDIRECT("'"&amp;$B$3&amp;"'!"&amp;ADDRESS($AD6,BQ$1)),INDIRECT("'"&amp;$B$3&amp;"'!"&amp;ADDRESS($AD6,BQ$1)),BQ5)</f>
        <v/>
      </c>
      <c r="BR6" s="73">
        <f>IF(INDIRECT("'"&amp;$B$3&amp;"'!"&amp;ADDRESS($AD6,BR$1)),INDIRECT("'"&amp;$B$3&amp;"'!"&amp;ADDRESS($AD6,BR$1)),BR5)</f>
        <v/>
      </c>
      <c r="BS6" s="73">
        <f>IF(INDIRECT("'"&amp;$B$3&amp;"'!"&amp;ADDRESS($AD6,BS$1)),INDIRECT("'"&amp;$B$3&amp;"'!"&amp;ADDRESS($AD6,BS$1)),BS5)</f>
        <v/>
      </c>
      <c r="BT6" s="73">
        <f>IF(INDIRECT("'"&amp;$B$3&amp;"'!"&amp;ADDRESS($AD6,BT$1)),INDIRECT("'"&amp;$B$3&amp;"'!"&amp;ADDRESS($AD6,BT$1)),BT5)</f>
        <v/>
      </c>
      <c r="BU6" s="73">
        <f>IF(INDIRECT("'"&amp;$B$3&amp;"'!"&amp;ADDRESS($AD6,BU$1)),INDIRECT("'"&amp;$B$3&amp;"'!"&amp;ADDRESS($AD6,BU$1)),BU5)</f>
        <v/>
      </c>
      <c r="BV6" s="73">
        <f>IF(INDIRECT("'"&amp;$B$3&amp;"'!"&amp;ADDRESS($AD6,BV$1)),INDIRECT("'"&amp;$B$3&amp;"'!"&amp;ADDRESS($AD6,BV$1)),BV5)</f>
        <v/>
      </c>
      <c r="BW6" s="73">
        <f>IF(INDIRECT("'"&amp;$B$3&amp;"'!"&amp;ADDRESS($AD6,BW$1)),INDIRECT("'"&amp;$B$3&amp;"'!"&amp;ADDRESS($AD6,BW$1)),BW5)</f>
        <v/>
      </c>
      <c r="BX6" s="73">
        <f>IF(INDIRECT("'"&amp;$B$3&amp;"'!"&amp;ADDRESS($AD6,BX$1)),INDIRECT("'"&amp;$B$3&amp;"'!"&amp;ADDRESS($AD6,BX$1)),BX5)</f>
        <v/>
      </c>
      <c r="BY6" s="73">
        <f>IF(INDIRECT("'"&amp;$B$3&amp;"'!"&amp;ADDRESS($AD6,BY$1)),INDIRECT("'"&amp;$B$3&amp;"'!"&amp;ADDRESS($AD6,BY$1)),BY5)</f>
        <v/>
      </c>
      <c r="BZ6" s="73">
        <f>IF(INDIRECT("'"&amp;$B$3&amp;"'!"&amp;ADDRESS($AD6,BZ$1)),INDIRECT("'"&amp;$B$3&amp;"'!"&amp;ADDRESS($AD6,BZ$1)),BZ5)</f>
        <v/>
      </c>
      <c r="CD6" s="73">
        <f>IF(INDIRECT("'"&amp;$B$3&amp;"'!"&amp;ADDRESS($AD6,CD$1)),INDIRECT("'"&amp;$B$3&amp;"'!"&amp;ADDRESS($AD6,CD$1)),CD5)</f>
        <v/>
      </c>
      <c r="CE6" s="73">
        <f>IF(INDIRECT("'"&amp;$B$3&amp;"'!"&amp;ADDRESS($AD6,CE$1)),INDIRECT("'"&amp;$B$3&amp;"'!"&amp;ADDRESS($AD6,CE$1)),CE5)</f>
        <v/>
      </c>
      <c r="CF6" s="73">
        <f>IF(INDIRECT("'"&amp;$B$3&amp;"'!"&amp;ADDRESS($AD6,CF$1)),INDIRECT("'"&amp;$B$3&amp;"'!"&amp;ADDRESS($AD6,CF$1)),CF5)</f>
        <v/>
      </c>
      <c r="CG6" s="73">
        <f>IF(INDIRECT("'"&amp;$B$3&amp;"'!"&amp;ADDRESS($AD6,CG$1)),INDIRECT("'"&amp;$B$3&amp;"'!"&amp;ADDRESS($AD6,CG$1)),CG5)</f>
        <v/>
      </c>
      <c r="CH6" s="73">
        <f>IF(INDIRECT("'"&amp;$B$3&amp;"'!"&amp;ADDRESS($AD6,CH$1)),INDIRECT("'"&amp;$B$3&amp;"'!"&amp;ADDRESS($AD6,CH$1)),CH5)</f>
        <v/>
      </c>
      <c r="CI6" s="73">
        <f>IF(INDIRECT("'"&amp;$B$3&amp;"'!"&amp;ADDRESS($AD6,CI$1)),INDIRECT("'"&amp;$B$3&amp;"'!"&amp;ADDRESS($AD6,CI$1)),CI5)</f>
        <v/>
      </c>
      <c r="CJ6" s="73">
        <f>IF(INDIRECT("'"&amp;$B$3&amp;"'!"&amp;ADDRESS($AD6,CJ$1)),INDIRECT("'"&amp;$B$3&amp;"'!"&amp;ADDRESS($AD6,CJ$1)),CJ5)</f>
        <v/>
      </c>
      <c r="CK6" s="73">
        <f>IF(INDIRECT("'"&amp;$B$3&amp;"'!"&amp;ADDRESS($AD6,CK$1)),INDIRECT("'"&amp;$B$3&amp;"'!"&amp;ADDRESS($AD6,CK$1)),CK5)</f>
        <v/>
      </c>
      <c r="CL6" s="73">
        <f>IF(INDIRECT("'"&amp;$B$3&amp;"'!"&amp;ADDRESS($AD6,CL$1)),INDIRECT("'"&amp;$B$3&amp;"'!"&amp;ADDRESS($AD6,CL$1)),CL5)</f>
        <v/>
      </c>
      <c r="CM6" s="73">
        <f>IF(INDIRECT("'"&amp;$B$3&amp;"'!"&amp;ADDRESS($AD6,CM$1)),INDIRECT("'"&amp;$B$3&amp;"'!"&amp;ADDRESS($AD6,CM$1)),CM5)</f>
        <v/>
      </c>
      <c r="CN6" s="73">
        <f>IF(INDIRECT("'"&amp;$B$3&amp;"'!"&amp;ADDRESS($AD6,CN$1)),INDIRECT("'"&amp;$B$3&amp;"'!"&amp;ADDRESS($AD6,CN$1)),CN5)</f>
        <v/>
      </c>
      <c r="CO6" s="73">
        <f>IF(INDIRECT("'"&amp;$B$3&amp;"'!"&amp;ADDRESS($AD6,CO$1)),INDIRECT("'"&amp;$B$3&amp;"'!"&amp;ADDRESS($AD6,CO$1)),CO5)</f>
        <v/>
      </c>
      <c r="CP6" s="73">
        <f>IF(INDIRECT("'"&amp;$B$3&amp;"'!"&amp;ADDRESS($AD6,CP$1)),INDIRECT("'"&amp;$B$3&amp;"'!"&amp;ADDRESS($AD6,CP$1)),CP5)</f>
        <v/>
      </c>
      <c r="CQ6" s="73">
        <f>IF(INDIRECT("'"&amp;$B$3&amp;"'!"&amp;ADDRESS($AD6,CQ$1)),INDIRECT("'"&amp;$B$3&amp;"'!"&amp;ADDRESS($AD6,CQ$1)),CQ5)</f>
        <v/>
      </c>
    </row>
    <row r="7">
      <c r="AA7" s="78">
        <f>'Summary (Full)'!D75</f>
        <v/>
      </c>
      <c r="AB7" s="238" t="n"/>
      <c r="AC7" s="236" t="n"/>
      <c r="AD7">
        <f>AD6+1</f>
        <v/>
      </c>
      <c r="AE7" s="73">
        <f>INDIRECT("'"&amp;$B$3&amp;"'!"&amp;ADDRESS($AD7,AE$1))</f>
        <v/>
      </c>
      <c r="AF7" s="73">
        <f>INDIRECT("'"&amp;$B$3&amp;"'!"&amp;ADDRESS($AD7,AF$1))</f>
        <v/>
      </c>
      <c r="AG7" s="73">
        <f>INDIRECT("'"&amp;$B$3&amp;"'!"&amp;ADDRESS($AD7,AG$1))</f>
        <v/>
      </c>
      <c r="AH7" s="73">
        <f>INDIRECT("'"&amp;$B$3&amp;"'!"&amp;ADDRESS($AD7,AH$1))</f>
        <v/>
      </c>
      <c r="AI7" s="73">
        <f>INDIRECT("'"&amp;$B$3&amp;"'!"&amp;ADDRESS($AD7,AI$1))</f>
        <v/>
      </c>
      <c r="AJ7" s="73">
        <f>INDIRECT("'"&amp;$B$3&amp;"'!"&amp;ADDRESS($AD7,AJ$1))</f>
        <v/>
      </c>
      <c r="AK7" s="73">
        <f>INDIRECT("'"&amp;$B$3&amp;"'!"&amp;ADDRESS($AD7,AK$1))</f>
        <v/>
      </c>
      <c r="AL7" s="73">
        <f>INDIRECT("'"&amp;$B$3&amp;"'!"&amp;ADDRESS($AD7,AL$1))</f>
        <v/>
      </c>
      <c r="AM7" s="73">
        <f>INDIRECT("'"&amp;$B$3&amp;"'!"&amp;ADDRESS($AD7,AM$1))</f>
        <v/>
      </c>
      <c r="AN7" s="73">
        <f>INDIRECT("'"&amp;$B$3&amp;"'!"&amp;ADDRESS($AD7,AN$1))</f>
        <v/>
      </c>
      <c r="AO7" s="73">
        <f>INDIRECT("'"&amp;$B$3&amp;"'!"&amp;ADDRESS($AD7,AO$1))</f>
        <v/>
      </c>
      <c r="AP7" s="73">
        <f>INDIRECT("'"&amp;$B$3&amp;"'!"&amp;ADDRESS($AD7,AP$1))</f>
        <v/>
      </c>
      <c r="AQ7" s="73">
        <f>INDIRECT("'"&amp;$B$3&amp;"'!"&amp;ADDRESS($AD7,AQ$1))</f>
        <v/>
      </c>
      <c r="AR7" s="73">
        <f>INDIRECT("'"&amp;$B$3&amp;"'!"&amp;ADDRESS($AD7,AR$1))</f>
        <v/>
      </c>
      <c r="AU7" s="236" t="n"/>
      <c r="AV7" s="73">
        <f>INDIRECT("'"&amp;$B$3&amp;"'!"&amp;ADDRESS($AD7,AV$1))</f>
        <v/>
      </c>
      <c r="AW7" s="73">
        <f>INDIRECT("'"&amp;$B$3&amp;"'!"&amp;ADDRESS($AD7,AW$1))</f>
        <v/>
      </c>
      <c r="AX7" s="73">
        <f>INDIRECT("'"&amp;$B$3&amp;"'!"&amp;ADDRESS($AD7,AX$1))</f>
        <v/>
      </c>
      <c r="AY7" s="73">
        <f>INDIRECT("'"&amp;$B$3&amp;"'!"&amp;ADDRESS($AD7,AY$1))</f>
        <v/>
      </c>
      <c r="AZ7" s="73">
        <f>INDIRECT("'"&amp;$B$3&amp;"'!"&amp;ADDRESS($AD7,AZ$1))</f>
        <v/>
      </c>
      <c r="BA7" s="73">
        <f>INDIRECT("'"&amp;$B$3&amp;"'!"&amp;ADDRESS($AD7,BA$1))</f>
        <v/>
      </c>
      <c r="BB7" s="73">
        <f>INDIRECT("'"&amp;$B$3&amp;"'!"&amp;ADDRESS($AD7,BB$1))</f>
        <v/>
      </c>
      <c r="BC7" s="73">
        <f>INDIRECT("'"&amp;$B$3&amp;"'!"&amp;ADDRESS($AD7,BC$1))</f>
        <v/>
      </c>
      <c r="BD7" s="73">
        <f>INDIRECT("'"&amp;$B$3&amp;"'!"&amp;ADDRESS($AD7,BD$1))</f>
        <v/>
      </c>
      <c r="BE7" s="73">
        <f>INDIRECT("'"&amp;$B$3&amp;"'!"&amp;ADDRESS($AD7,BE$1))</f>
        <v/>
      </c>
      <c r="BF7" s="73">
        <f>INDIRECT("'"&amp;$B$3&amp;"'!"&amp;ADDRESS($AD7,BF$1))</f>
        <v/>
      </c>
      <c r="BG7" s="73">
        <f>INDIRECT("'"&amp;$B$3&amp;"'!"&amp;ADDRESS($AD7,BG$1))</f>
        <v/>
      </c>
      <c r="BH7" s="73">
        <f>INDIRECT("'"&amp;$B$3&amp;"'!"&amp;ADDRESS($AD7,BH$1))</f>
        <v/>
      </c>
      <c r="BI7" s="73">
        <f>INDIRECT("'"&amp;$B$3&amp;"'!"&amp;ADDRESS($AD7,BI$1))</f>
        <v/>
      </c>
      <c r="BM7" s="73">
        <f>IF(INDIRECT("'"&amp;$B$3&amp;"'!"&amp;ADDRESS($AD7,BM$1)),INDIRECT("'"&amp;$B$3&amp;"'!"&amp;ADDRESS($AD7,BM$1)),BM6)</f>
        <v/>
      </c>
      <c r="BN7" s="73">
        <f>IF(INDIRECT("'"&amp;$B$3&amp;"'!"&amp;ADDRESS($AD7,BN$1)),INDIRECT("'"&amp;$B$3&amp;"'!"&amp;ADDRESS($AD7,BN$1)),BN6)</f>
        <v/>
      </c>
      <c r="BO7" s="73">
        <f>IF(INDIRECT("'"&amp;$B$3&amp;"'!"&amp;ADDRESS($AD7,BO$1)),INDIRECT("'"&amp;$B$3&amp;"'!"&amp;ADDRESS($AD7,BO$1)),BO6)</f>
        <v/>
      </c>
      <c r="BP7" s="73">
        <f>IF(INDIRECT("'"&amp;$B$3&amp;"'!"&amp;ADDRESS($AD7,BP$1)),INDIRECT("'"&amp;$B$3&amp;"'!"&amp;ADDRESS($AD7,BP$1)),BP6)</f>
        <v/>
      </c>
      <c r="BQ7" s="73">
        <f>IF(INDIRECT("'"&amp;$B$3&amp;"'!"&amp;ADDRESS($AD7,BQ$1)),INDIRECT("'"&amp;$B$3&amp;"'!"&amp;ADDRESS($AD7,BQ$1)),BQ6)</f>
        <v/>
      </c>
      <c r="BR7" s="73">
        <f>IF(INDIRECT("'"&amp;$B$3&amp;"'!"&amp;ADDRESS($AD7,BR$1)),INDIRECT("'"&amp;$B$3&amp;"'!"&amp;ADDRESS($AD7,BR$1)),BR6)</f>
        <v/>
      </c>
      <c r="BS7" s="73">
        <f>IF(INDIRECT("'"&amp;$B$3&amp;"'!"&amp;ADDRESS($AD7,BS$1)),INDIRECT("'"&amp;$B$3&amp;"'!"&amp;ADDRESS($AD7,BS$1)),BS6)</f>
        <v/>
      </c>
      <c r="BT7" s="73">
        <f>IF(INDIRECT("'"&amp;$B$3&amp;"'!"&amp;ADDRESS($AD7,BT$1)),INDIRECT("'"&amp;$B$3&amp;"'!"&amp;ADDRESS($AD7,BT$1)),BT6)</f>
        <v/>
      </c>
      <c r="BU7" s="73">
        <f>IF(INDIRECT("'"&amp;$B$3&amp;"'!"&amp;ADDRESS($AD7,BU$1)),INDIRECT("'"&amp;$B$3&amp;"'!"&amp;ADDRESS($AD7,BU$1)),BU6)</f>
        <v/>
      </c>
      <c r="BV7" s="73">
        <f>IF(INDIRECT("'"&amp;$B$3&amp;"'!"&amp;ADDRESS($AD7,BV$1)),INDIRECT("'"&amp;$B$3&amp;"'!"&amp;ADDRESS($AD7,BV$1)),BV6)</f>
        <v/>
      </c>
      <c r="BW7" s="73">
        <f>IF(INDIRECT("'"&amp;$B$3&amp;"'!"&amp;ADDRESS($AD7,BW$1)),INDIRECT("'"&amp;$B$3&amp;"'!"&amp;ADDRESS($AD7,BW$1)),BW6)</f>
        <v/>
      </c>
      <c r="BX7" s="73">
        <f>IF(INDIRECT("'"&amp;$B$3&amp;"'!"&amp;ADDRESS($AD7,BX$1)),INDIRECT("'"&amp;$B$3&amp;"'!"&amp;ADDRESS($AD7,BX$1)),BX6)</f>
        <v/>
      </c>
      <c r="BY7" s="73">
        <f>IF(INDIRECT("'"&amp;$B$3&amp;"'!"&amp;ADDRESS($AD7,BY$1)),INDIRECT("'"&amp;$B$3&amp;"'!"&amp;ADDRESS($AD7,BY$1)),BY6)</f>
        <v/>
      </c>
      <c r="BZ7" s="73">
        <f>IF(INDIRECT("'"&amp;$B$3&amp;"'!"&amp;ADDRESS($AD7,BZ$1)),INDIRECT("'"&amp;$B$3&amp;"'!"&amp;ADDRESS($AD7,BZ$1)),BZ6)</f>
        <v/>
      </c>
      <c r="CD7" s="73">
        <f>IF(INDIRECT("'"&amp;$B$3&amp;"'!"&amp;ADDRESS($AD7,CD$1)),INDIRECT("'"&amp;$B$3&amp;"'!"&amp;ADDRESS($AD7,CD$1)),CD6)</f>
        <v/>
      </c>
      <c r="CE7" s="73">
        <f>IF(INDIRECT("'"&amp;$B$3&amp;"'!"&amp;ADDRESS($AD7,CE$1)),INDIRECT("'"&amp;$B$3&amp;"'!"&amp;ADDRESS($AD7,CE$1)),CE6)</f>
        <v/>
      </c>
      <c r="CF7" s="73">
        <f>IF(INDIRECT("'"&amp;$B$3&amp;"'!"&amp;ADDRESS($AD7,CF$1)),INDIRECT("'"&amp;$B$3&amp;"'!"&amp;ADDRESS($AD7,CF$1)),CF6)</f>
        <v/>
      </c>
      <c r="CG7" s="73">
        <f>IF(INDIRECT("'"&amp;$B$3&amp;"'!"&amp;ADDRESS($AD7,CG$1)),INDIRECT("'"&amp;$B$3&amp;"'!"&amp;ADDRESS($AD7,CG$1)),CG6)</f>
        <v/>
      </c>
      <c r="CH7" s="73">
        <f>IF(INDIRECT("'"&amp;$B$3&amp;"'!"&amp;ADDRESS($AD7,CH$1)),INDIRECT("'"&amp;$B$3&amp;"'!"&amp;ADDRESS($AD7,CH$1)),CH6)</f>
        <v/>
      </c>
      <c r="CI7" s="73">
        <f>IF(INDIRECT("'"&amp;$B$3&amp;"'!"&amp;ADDRESS($AD7,CI$1)),INDIRECT("'"&amp;$B$3&amp;"'!"&amp;ADDRESS($AD7,CI$1)),CI6)</f>
        <v/>
      </c>
      <c r="CJ7" s="73">
        <f>IF(INDIRECT("'"&amp;$B$3&amp;"'!"&amp;ADDRESS($AD7,CJ$1)),INDIRECT("'"&amp;$B$3&amp;"'!"&amp;ADDRESS($AD7,CJ$1)),CJ6)</f>
        <v/>
      </c>
      <c r="CK7" s="73">
        <f>IF(INDIRECT("'"&amp;$B$3&amp;"'!"&amp;ADDRESS($AD7,CK$1)),INDIRECT("'"&amp;$B$3&amp;"'!"&amp;ADDRESS($AD7,CK$1)),CK6)</f>
        <v/>
      </c>
      <c r="CL7" s="73">
        <f>IF(INDIRECT("'"&amp;$B$3&amp;"'!"&amp;ADDRESS($AD7,CL$1)),INDIRECT("'"&amp;$B$3&amp;"'!"&amp;ADDRESS($AD7,CL$1)),CL6)</f>
        <v/>
      </c>
      <c r="CM7" s="73">
        <f>IF(INDIRECT("'"&amp;$B$3&amp;"'!"&amp;ADDRESS($AD7,CM$1)),INDIRECT("'"&amp;$B$3&amp;"'!"&amp;ADDRESS($AD7,CM$1)),CM6)</f>
        <v/>
      </c>
      <c r="CN7" s="73">
        <f>IF(INDIRECT("'"&amp;$B$3&amp;"'!"&amp;ADDRESS($AD7,CN$1)),INDIRECT("'"&amp;$B$3&amp;"'!"&amp;ADDRESS($AD7,CN$1)),CN6)</f>
        <v/>
      </c>
      <c r="CO7" s="73">
        <f>IF(INDIRECT("'"&amp;$B$3&amp;"'!"&amp;ADDRESS($AD7,CO$1)),INDIRECT("'"&amp;$B$3&amp;"'!"&amp;ADDRESS($AD7,CO$1)),CO6)</f>
        <v/>
      </c>
      <c r="CP7" s="73">
        <f>IF(INDIRECT("'"&amp;$B$3&amp;"'!"&amp;ADDRESS($AD7,CP$1)),INDIRECT("'"&amp;$B$3&amp;"'!"&amp;ADDRESS($AD7,CP$1)),CP6)</f>
        <v/>
      </c>
      <c r="CQ7" s="73">
        <f>IF(INDIRECT("'"&amp;$B$3&amp;"'!"&amp;ADDRESS($AD7,CQ$1)),INDIRECT("'"&amp;$B$3&amp;"'!"&amp;ADDRESS($AD7,CQ$1)),CQ6)</f>
        <v/>
      </c>
    </row>
    <row r="8">
      <c r="AA8" s="78">
        <f>'Summary (Full)'!D76</f>
        <v/>
      </c>
      <c r="AB8" s="238" t="n"/>
      <c r="AC8" s="236" t="n"/>
      <c r="AD8">
        <f>AD7+1</f>
        <v/>
      </c>
      <c r="AE8" s="73">
        <f>INDIRECT("'"&amp;$B$3&amp;"'!"&amp;ADDRESS($AD8,AE$1))</f>
        <v/>
      </c>
      <c r="AF8" s="73">
        <f>INDIRECT("'"&amp;$B$3&amp;"'!"&amp;ADDRESS($AD8,AF$1))</f>
        <v/>
      </c>
      <c r="AG8" s="73">
        <f>INDIRECT("'"&amp;$B$3&amp;"'!"&amp;ADDRESS($AD8,AG$1))</f>
        <v/>
      </c>
      <c r="AH8" s="73">
        <f>INDIRECT("'"&amp;$B$3&amp;"'!"&amp;ADDRESS($AD8,AH$1))</f>
        <v/>
      </c>
      <c r="AI8" s="73">
        <f>INDIRECT("'"&amp;$B$3&amp;"'!"&amp;ADDRESS($AD8,AI$1))</f>
        <v/>
      </c>
      <c r="AJ8" s="73">
        <f>INDIRECT("'"&amp;$B$3&amp;"'!"&amp;ADDRESS($AD8,AJ$1))</f>
        <v/>
      </c>
      <c r="AK8" s="73">
        <f>INDIRECT("'"&amp;$B$3&amp;"'!"&amp;ADDRESS($AD8,AK$1))</f>
        <v/>
      </c>
      <c r="AL8" s="73">
        <f>INDIRECT("'"&amp;$B$3&amp;"'!"&amp;ADDRESS($AD8,AL$1))</f>
        <v/>
      </c>
      <c r="AM8" s="73">
        <f>INDIRECT("'"&amp;$B$3&amp;"'!"&amp;ADDRESS($AD8,AM$1))</f>
        <v/>
      </c>
      <c r="AN8" s="73">
        <f>INDIRECT("'"&amp;$B$3&amp;"'!"&amp;ADDRESS($AD8,AN$1))</f>
        <v/>
      </c>
      <c r="AO8" s="73">
        <f>INDIRECT("'"&amp;$B$3&amp;"'!"&amp;ADDRESS($AD8,AO$1))</f>
        <v/>
      </c>
      <c r="AP8" s="73">
        <f>INDIRECT("'"&amp;$B$3&amp;"'!"&amp;ADDRESS($AD8,AP$1))</f>
        <v/>
      </c>
      <c r="AQ8" s="73">
        <f>INDIRECT("'"&amp;$B$3&amp;"'!"&amp;ADDRESS($AD8,AQ$1))</f>
        <v/>
      </c>
      <c r="AR8" s="73">
        <f>INDIRECT("'"&amp;$B$3&amp;"'!"&amp;ADDRESS($AD8,AR$1))</f>
        <v/>
      </c>
      <c r="AU8" s="236" t="n"/>
      <c r="AV8" s="73">
        <f>INDIRECT("'"&amp;$B$3&amp;"'!"&amp;ADDRESS($AD8,AV$1))</f>
        <v/>
      </c>
      <c r="AW8" s="73">
        <f>INDIRECT("'"&amp;$B$3&amp;"'!"&amp;ADDRESS($AD8,AW$1))</f>
        <v/>
      </c>
      <c r="AX8" s="73">
        <f>INDIRECT("'"&amp;$B$3&amp;"'!"&amp;ADDRESS($AD8,AX$1))</f>
        <v/>
      </c>
      <c r="AY8" s="73">
        <f>INDIRECT("'"&amp;$B$3&amp;"'!"&amp;ADDRESS($AD8,AY$1))</f>
        <v/>
      </c>
      <c r="AZ8" s="73">
        <f>INDIRECT("'"&amp;$B$3&amp;"'!"&amp;ADDRESS($AD8,AZ$1))</f>
        <v/>
      </c>
      <c r="BA8" s="73">
        <f>INDIRECT("'"&amp;$B$3&amp;"'!"&amp;ADDRESS($AD8,BA$1))</f>
        <v/>
      </c>
      <c r="BB8" s="73">
        <f>INDIRECT("'"&amp;$B$3&amp;"'!"&amp;ADDRESS($AD8,BB$1))</f>
        <v/>
      </c>
      <c r="BC8" s="73">
        <f>INDIRECT("'"&amp;$B$3&amp;"'!"&amp;ADDRESS($AD8,BC$1))</f>
        <v/>
      </c>
      <c r="BD8" s="73">
        <f>INDIRECT("'"&amp;$B$3&amp;"'!"&amp;ADDRESS($AD8,BD$1))</f>
        <v/>
      </c>
      <c r="BE8" s="73">
        <f>INDIRECT("'"&amp;$B$3&amp;"'!"&amp;ADDRESS($AD8,BE$1))</f>
        <v/>
      </c>
      <c r="BF8" s="73">
        <f>INDIRECT("'"&amp;$B$3&amp;"'!"&amp;ADDRESS($AD8,BF$1))</f>
        <v/>
      </c>
      <c r="BG8" s="73">
        <f>INDIRECT("'"&amp;$B$3&amp;"'!"&amp;ADDRESS($AD8,BG$1))</f>
        <v/>
      </c>
      <c r="BH8" s="73">
        <f>INDIRECT("'"&amp;$B$3&amp;"'!"&amp;ADDRESS($AD8,BH$1))</f>
        <v/>
      </c>
      <c r="BI8" s="73">
        <f>INDIRECT("'"&amp;$B$3&amp;"'!"&amp;ADDRESS($AD8,BI$1))</f>
        <v/>
      </c>
      <c r="BM8" s="73">
        <f>IF(INDIRECT("'"&amp;$B$3&amp;"'!"&amp;ADDRESS($AD8,BM$1)),INDIRECT("'"&amp;$B$3&amp;"'!"&amp;ADDRESS($AD8,BM$1)),BM7)</f>
        <v/>
      </c>
      <c r="BN8" s="73">
        <f>IF(INDIRECT("'"&amp;$B$3&amp;"'!"&amp;ADDRESS($AD8,BN$1)),INDIRECT("'"&amp;$B$3&amp;"'!"&amp;ADDRESS($AD8,BN$1)),BN7)</f>
        <v/>
      </c>
      <c r="BO8" s="73">
        <f>IF(INDIRECT("'"&amp;$B$3&amp;"'!"&amp;ADDRESS($AD8,BO$1)),INDIRECT("'"&amp;$B$3&amp;"'!"&amp;ADDRESS($AD8,BO$1)),BO7)</f>
        <v/>
      </c>
      <c r="BP8" s="73">
        <f>IF(INDIRECT("'"&amp;$B$3&amp;"'!"&amp;ADDRESS($AD8,BP$1)),INDIRECT("'"&amp;$B$3&amp;"'!"&amp;ADDRESS($AD8,BP$1)),BP7)</f>
        <v/>
      </c>
      <c r="BQ8" s="73">
        <f>IF(INDIRECT("'"&amp;$B$3&amp;"'!"&amp;ADDRESS($AD8,BQ$1)),INDIRECT("'"&amp;$B$3&amp;"'!"&amp;ADDRESS($AD8,BQ$1)),BQ7)</f>
        <v/>
      </c>
      <c r="BR8" s="73">
        <f>IF(INDIRECT("'"&amp;$B$3&amp;"'!"&amp;ADDRESS($AD8,BR$1)),INDIRECT("'"&amp;$B$3&amp;"'!"&amp;ADDRESS($AD8,BR$1)),BR7)</f>
        <v/>
      </c>
      <c r="BS8" s="73">
        <f>IF(INDIRECT("'"&amp;$B$3&amp;"'!"&amp;ADDRESS($AD8,BS$1)),INDIRECT("'"&amp;$B$3&amp;"'!"&amp;ADDRESS($AD8,BS$1)),BS7)</f>
        <v/>
      </c>
      <c r="BT8" s="73">
        <f>IF(INDIRECT("'"&amp;$B$3&amp;"'!"&amp;ADDRESS($AD8,BT$1)),INDIRECT("'"&amp;$B$3&amp;"'!"&amp;ADDRESS($AD8,BT$1)),BT7)</f>
        <v/>
      </c>
      <c r="BU8" s="73">
        <f>IF(INDIRECT("'"&amp;$B$3&amp;"'!"&amp;ADDRESS($AD8,BU$1)),INDIRECT("'"&amp;$B$3&amp;"'!"&amp;ADDRESS($AD8,BU$1)),BU7)</f>
        <v/>
      </c>
      <c r="BV8" s="73">
        <f>IF(INDIRECT("'"&amp;$B$3&amp;"'!"&amp;ADDRESS($AD8,BV$1)),INDIRECT("'"&amp;$B$3&amp;"'!"&amp;ADDRESS($AD8,BV$1)),BV7)</f>
        <v/>
      </c>
      <c r="BW8" s="73">
        <f>IF(INDIRECT("'"&amp;$B$3&amp;"'!"&amp;ADDRESS($AD8,BW$1)),INDIRECT("'"&amp;$B$3&amp;"'!"&amp;ADDRESS($AD8,BW$1)),BW7)</f>
        <v/>
      </c>
      <c r="BX8" s="73">
        <f>IF(INDIRECT("'"&amp;$B$3&amp;"'!"&amp;ADDRESS($AD8,BX$1)),INDIRECT("'"&amp;$B$3&amp;"'!"&amp;ADDRESS($AD8,BX$1)),BX7)</f>
        <v/>
      </c>
      <c r="BY8" s="73">
        <f>IF(INDIRECT("'"&amp;$B$3&amp;"'!"&amp;ADDRESS($AD8,BY$1)),INDIRECT("'"&amp;$B$3&amp;"'!"&amp;ADDRESS($AD8,BY$1)),BY7)</f>
        <v/>
      </c>
      <c r="BZ8" s="73">
        <f>IF(INDIRECT("'"&amp;$B$3&amp;"'!"&amp;ADDRESS($AD8,BZ$1)),INDIRECT("'"&amp;$B$3&amp;"'!"&amp;ADDRESS($AD8,BZ$1)),BZ7)</f>
        <v/>
      </c>
      <c r="CD8" s="73">
        <f>IF(INDIRECT("'"&amp;$B$3&amp;"'!"&amp;ADDRESS($AD8,CD$1)),INDIRECT("'"&amp;$B$3&amp;"'!"&amp;ADDRESS($AD8,CD$1)),CD7)</f>
        <v/>
      </c>
      <c r="CE8" s="73">
        <f>IF(INDIRECT("'"&amp;$B$3&amp;"'!"&amp;ADDRESS($AD8,CE$1)),INDIRECT("'"&amp;$B$3&amp;"'!"&amp;ADDRESS($AD8,CE$1)),CE7)</f>
        <v/>
      </c>
      <c r="CF8" s="73">
        <f>IF(INDIRECT("'"&amp;$B$3&amp;"'!"&amp;ADDRESS($AD8,CF$1)),INDIRECT("'"&amp;$B$3&amp;"'!"&amp;ADDRESS($AD8,CF$1)),CF7)</f>
        <v/>
      </c>
      <c r="CG8" s="73">
        <f>IF(INDIRECT("'"&amp;$B$3&amp;"'!"&amp;ADDRESS($AD8,CG$1)),INDIRECT("'"&amp;$B$3&amp;"'!"&amp;ADDRESS($AD8,CG$1)),CG7)</f>
        <v/>
      </c>
      <c r="CH8" s="73">
        <f>IF(INDIRECT("'"&amp;$B$3&amp;"'!"&amp;ADDRESS($AD8,CH$1)),INDIRECT("'"&amp;$B$3&amp;"'!"&amp;ADDRESS($AD8,CH$1)),CH7)</f>
        <v/>
      </c>
      <c r="CI8" s="73">
        <f>IF(INDIRECT("'"&amp;$B$3&amp;"'!"&amp;ADDRESS($AD8,CI$1)),INDIRECT("'"&amp;$B$3&amp;"'!"&amp;ADDRESS($AD8,CI$1)),CI7)</f>
        <v/>
      </c>
      <c r="CJ8" s="73">
        <f>IF(INDIRECT("'"&amp;$B$3&amp;"'!"&amp;ADDRESS($AD8,CJ$1)),INDIRECT("'"&amp;$B$3&amp;"'!"&amp;ADDRESS($AD8,CJ$1)),CJ7)</f>
        <v/>
      </c>
      <c r="CK8" s="73">
        <f>IF(INDIRECT("'"&amp;$B$3&amp;"'!"&amp;ADDRESS($AD8,CK$1)),INDIRECT("'"&amp;$B$3&amp;"'!"&amp;ADDRESS($AD8,CK$1)),CK7)</f>
        <v/>
      </c>
      <c r="CL8" s="73">
        <f>IF(INDIRECT("'"&amp;$B$3&amp;"'!"&amp;ADDRESS($AD8,CL$1)),INDIRECT("'"&amp;$B$3&amp;"'!"&amp;ADDRESS($AD8,CL$1)),CL7)</f>
        <v/>
      </c>
      <c r="CM8" s="73">
        <f>IF(INDIRECT("'"&amp;$B$3&amp;"'!"&amp;ADDRESS($AD8,CM$1)),INDIRECT("'"&amp;$B$3&amp;"'!"&amp;ADDRESS($AD8,CM$1)),CM7)</f>
        <v/>
      </c>
      <c r="CN8" s="73">
        <f>IF(INDIRECT("'"&amp;$B$3&amp;"'!"&amp;ADDRESS($AD8,CN$1)),INDIRECT("'"&amp;$B$3&amp;"'!"&amp;ADDRESS($AD8,CN$1)),CN7)</f>
        <v/>
      </c>
      <c r="CO8" s="73">
        <f>IF(INDIRECT("'"&amp;$B$3&amp;"'!"&amp;ADDRESS($AD8,CO$1)),INDIRECT("'"&amp;$B$3&amp;"'!"&amp;ADDRESS($AD8,CO$1)),CO7)</f>
        <v/>
      </c>
      <c r="CP8" s="73">
        <f>IF(INDIRECT("'"&amp;$B$3&amp;"'!"&amp;ADDRESS($AD8,CP$1)),INDIRECT("'"&amp;$B$3&amp;"'!"&amp;ADDRESS($AD8,CP$1)),CP7)</f>
        <v/>
      </c>
      <c r="CQ8" s="73">
        <f>IF(INDIRECT("'"&amp;$B$3&amp;"'!"&amp;ADDRESS($AD8,CQ$1)),INDIRECT("'"&amp;$B$3&amp;"'!"&amp;ADDRESS($AD8,CQ$1)),CQ7)</f>
        <v/>
      </c>
    </row>
    <row r="9">
      <c r="AA9" s="78">
        <f>'Summary (Full)'!D77</f>
        <v/>
      </c>
      <c r="AB9" s="238" t="n"/>
      <c r="AC9" s="236" t="n"/>
      <c r="AD9">
        <f>AD8+1</f>
        <v/>
      </c>
      <c r="AE9" s="73">
        <f>INDIRECT("'"&amp;$B$3&amp;"'!"&amp;ADDRESS($AD9,AE$1))</f>
        <v/>
      </c>
      <c r="AF9" s="73">
        <f>INDIRECT("'"&amp;$B$3&amp;"'!"&amp;ADDRESS($AD9,AF$1))</f>
        <v/>
      </c>
      <c r="AG9" s="73">
        <f>INDIRECT("'"&amp;$B$3&amp;"'!"&amp;ADDRESS($AD9,AG$1))</f>
        <v/>
      </c>
      <c r="AH9" s="73">
        <f>INDIRECT("'"&amp;$B$3&amp;"'!"&amp;ADDRESS($AD9,AH$1))</f>
        <v/>
      </c>
      <c r="AI9" s="73">
        <f>INDIRECT("'"&amp;$B$3&amp;"'!"&amp;ADDRESS($AD9,AI$1))</f>
        <v/>
      </c>
      <c r="AJ9" s="73">
        <f>INDIRECT("'"&amp;$B$3&amp;"'!"&amp;ADDRESS($AD9,AJ$1))</f>
        <v/>
      </c>
      <c r="AK9" s="73">
        <f>INDIRECT("'"&amp;$B$3&amp;"'!"&amp;ADDRESS($AD9,AK$1))</f>
        <v/>
      </c>
      <c r="AL9" s="73">
        <f>INDIRECT("'"&amp;$B$3&amp;"'!"&amp;ADDRESS($AD9,AL$1))</f>
        <v/>
      </c>
      <c r="AM9" s="73">
        <f>INDIRECT("'"&amp;$B$3&amp;"'!"&amp;ADDRESS($AD9,AM$1))</f>
        <v/>
      </c>
      <c r="AN9" s="73">
        <f>INDIRECT("'"&amp;$B$3&amp;"'!"&amp;ADDRESS($AD9,AN$1))</f>
        <v/>
      </c>
      <c r="AO9" s="73">
        <f>INDIRECT("'"&amp;$B$3&amp;"'!"&amp;ADDRESS($AD9,AO$1))</f>
        <v/>
      </c>
      <c r="AP9" s="73">
        <f>INDIRECT("'"&amp;$B$3&amp;"'!"&amp;ADDRESS($AD9,AP$1))</f>
        <v/>
      </c>
      <c r="AQ9" s="73">
        <f>INDIRECT("'"&amp;$B$3&amp;"'!"&amp;ADDRESS($AD9,AQ$1))</f>
        <v/>
      </c>
      <c r="AR9" s="73">
        <f>INDIRECT("'"&amp;$B$3&amp;"'!"&amp;ADDRESS($AD9,AR$1))</f>
        <v/>
      </c>
      <c r="AU9" s="236" t="n"/>
      <c r="AV9" s="73">
        <f>INDIRECT("'"&amp;$B$3&amp;"'!"&amp;ADDRESS($AD9,AV$1))</f>
        <v/>
      </c>
      <c r="AW9" s="73">
        <f>INDIRECT("'"&amp;$B$3&amp;"'!"&amp;ADDRESS($AD9,AW$1))</f>
        <v/>
      </c>
      <c r="AX9" s="73">
        <f>INDIRECT("'"&amp;$B$3&amp;"'!"&amp;ADDRESS($AD9,AX$1))</f>
        <v/>
      </c>
      <c r="AY9" s="73">
        <f>INDIRECT("'"&amp;$B$3&amp;"'!"&amp;ADDRESS($AD9,AY$1))</f>
        <v/>
      </c>
      <c r="AZ9" s="73">
        <f>INDIRECT("'"&amp;$B$3&amp;"'!"&amp;ADDRESS($AD9,AZ$1))</f>
        <v/>
      </c>
      <c r="BA9" s="73">
        <f>INDIRECT("'"&amp;$B$3&amp;"'!"&amp;ADDRESS($AD9,BA$1))</f>
        <v/>
      </c>
      <c r="BB9" s="73">
        <f>INDIRECT("'"&amp;$B$3&amp;"'!"&amp;ADDRESS($AD9,BB$1))</f>
        <v/>
      </c>
      <c r="BC9" s="73">
        <f>INDIRECT("'"&amp;$B$3&amp;"'!"&amp;ADDRESS($AD9,BC$1))</f>
        <v/>
      </c>
      <c r="BD9" s="73">
        <f>INDIRECT("'"&amp;$B$3&amp;"'!"&amp;ADDRESS($AD9,BD$1))</f>
        <v/>
      </c>
      <c r="BE9" s="73">
        <f>INDIRECT("'"&amp;$B$3&amp;"'!"&amp;ADDRESS($AD9,BE$1))</f>
        <v/>
      </c>
      <c r="BF9" s="73">
        <f>INDIRECT("'"&amp;$B$3&amp;"'!"&amp;ADDRESS($AD9,BF$1))</f>
        <v/>
      </c>
      <c r="BG9" s="73">
        <f>INDIRECT("'"&amp;$B$3&amp;"'!"&amp;ADDRESS($AD9,BG$1))</f>
        <v/>
      </c>
      <c r="BH9" s="73">
        <f>INDIRECT("'"&amp;$B$3&amp;"'!"&amp;ADDRESS($AD9,BH$1))</f>
        <v/>
      </c>
      <c r="BI9" s="73">
        <f>INDIRECT("'"&amp;$B$3&amp;"'!"&amp;ADDRESS($AD9,BI$1))</f>
        <v/>
      </c>
      <c r="BM9" s="73">
        <f>IF(INDIRECT("'"&amp;$B$3&amp;"'!"&amp;ADDRESS($AD9,BM$1)),INDIRECT("'"&amp;$B$3&amp;"'!"&amp;ADDRESS($AD9,BM$1)),BM8)</f>
        <v/>
      </c>
      <c r="BN9" s="73">
        <f>IF(INDIRECT("'"&amp;$B$3&amp;"'!"&amp;ADDRESS($AD9,BN$1)),INDIRECT("'"&amp;$B$3&amp;"'!"&amp;ADDRESS($AD9,BN$1)),BN8)</f>
        <v/>
      </c>
      <c r="BO9" s="73">
        <f>IF(INDIRECT("'"&amp;$B$3&amp;"'!"&amp;ADDRESS($AD9,BO$1)),INDIRECT("'"&amp;$B$3&amp;"'!"&amp;ADDRESS($AD9,BO$1)),BO8)</f>
        <v/>
      </c>
      <c r="BP9" s="73">
        <f>IF(INDIRECT("'"&amp;$B$3&amp;"'!"&amp;ADDRESS($AD9,BP$1)),INDIRECT("'"&amp;$B$3&amp;"'!"&amp;ADDRESS($AD9,BP$1)),BP8)</f>
        <v/>
      </c>
      <c r="BQ9" s="73">
        <f>IF(INDIRECT("'"&amp;$B$3&amp;"'!"&amp;ADDRESS($AD9,BQ$1)),INDIRECT("'"&amp;$B$3&amp;"'!"&amp;ADDRESS($AD9,BQ$1)),BQ8)</f>
        <v/>
      </c>
      <c r="BR9" s="73">
        <f>IF(INDIRECT("'"&amp;$B$3&amp;"'!"&amp;ADDRESS($AD9,BR$1)),INDIRECT("'"&amp;$B$3&amp;"'!"&amp;ADDRESS($AD9,BR$1)),BR8)</f>
        <v/>
      </c>
      <c r="BS9" s="73">
        <f>IF(INDIRECT("'"&amp;$B$3&amp;"'!"&amp;ADDRESS($AD9,BS$1)),INDIRECT("'"&amp;$B$3&amp;"'!"&amp;ADDRESS($AD9,BS$1)),BS8)</f>
        <v/>
      </c>
      <c r="BT9" s="73">
        <f>IF(INDIRECT("'"&amp;$B$3&amp;"'!"&amp;ADDRESS($AD9,BT$1)),INDIRECT("'"&amp;$B$3&amp;"'!"&amp;ADDRESS($AD9,BT$1)),BT8)</f>
        <v/>
      </c>
      <c r="BU9" s="73">
        <f>IF(INDIRECT("'"&amp;$B$3&amp;"'!"&amp;ADDRESS($AD9,BU$1)),INDIRECT("'"&amp;$B$3&amp;"'!"&amp;ADDRESS($AD9,BU$1)),BU8)</f>
        <v/>
      </c>
      <c r="BV9" s="73">
        <f>IF(INDIRECT("'"&amp;$B$3&amp;"'!"&amp;ADDRESS($AD9,BV$1)),INDIRECT("'"&amp;$B$3&amp;"'!"&amp;ADDRESS($AD9,BV$1)),BV8)</f>
        <v/>
      </c>
      <c r="BW9" s="73">
        <f>IF(INDIRECT("'"&amp;$B$3&amp;"'!"&amp;ADDRESS($AD9,BW$1)),INDIRECT("'"&amp;$B$3&amp;"'!"&amp;ADDRESS($AD9,BW$1)),BW8)</f>
        <v/>
      </c>
      <c r="BX9" s="73">
        <f>IF(INDIRECT("'"&amp;$B$3&amp;"'!"&amp;ADDRESS($AD9,BX$1)),INDIRECT("'"&amp;$B$3&amp;"'!"&amp;ADDRESS($AD9,BX$1)),BX8)</f>
        <v/>
      </c>
      <c r="BY9" s="73">
        <f>IF(INDIRECT("'"&amp;$B$3&amp;"'!"&amp;ADDRESS($AD9,BY$1)),INDIRECT("'"&amp;$B$3&amp;"'!"&amp;ADDRESS($AD9,BY$1)),BY8)</f>
        <v/>
      </c>
      <c r="BZ9" s="73">
        <f>IF(INDIRECT("'"&amp;$B$3&amp;"'!"&amp;ADDRESS($AD9,BZ$1)),INDIRECT("'"&amp;$B$3&amp;"'!"&amp;ADDRESS($AD9,BZ$1)),BZ8)</f>
        <v/>
      </c>
      <c r="CD9" s="73">
        <f>IF(INDIRECT("'"&amp;$B$3&amp;"'!"&amp;ADDRESS($AD9,CD$1)),INDIRECT("'"&amp;$B$3&amp;"'!"&amp;ADDRESS($AD9,CD$1)),CD8)</f>
        <v/>
      </c>
      <c r="CE9" s="73">
        <f>IF(INDIRECT("'"&amp;$B$3&amp;"'!"&amp;ADDRESS($AD9,CE$1)),INDIRECT("'"&amp;$B$3&amp;"'!"&amp;ADDRESS($AD9,CE$1)),CE8)</f>
        <v/>
      </c>
      <c r="CF9" s="73">
        <f>IF(INDIRECT("'"&amp;$B$3&amp;"'!"&amp;ADDRESS($AD9,CF$1)),INDIRECT("'"&amp;$B$3&amp;"'!"&amp;ADDRESS($AD9,CF$1)),CF8)</f>
        <v/>
      </c>
      <c r="CG9" s="73">
        <f>IF(INDIRECT("'"&amp;$B$3&amp;"'!"&amp;ADDRESS($AD9,CG$1)),INDIRECT("'"&amp;$B$3&amp;"'!"&amp;ADDRESS($AD9,CG$1)),CG8)</f>
        <v/>
      </c>
      <c r="CH9" s="73">
        <f>IF(INDIRECT("'"&amp;$B$3&amp;"'!"&amp;ADDRESS($AD9,CH$1)),INDIRECT("'"&amp;$B$3&amp;"'!"&amp;ADDRESS($AD9,CH$1)),CH8)</f>
        <v/>
      </c>
      <c r="CI9" s="73">
        <f>IF(INDIRECT("'"&amp;$B$3&amp;"'!"&amp;ADDRESS($AD9,CI$1)),INDIRECT("'"&amp;$B$3&amp;"'!"&amp;ADDRESS($AD9,CI$1)),CI8)</f>
        <v/>
      </c>
      <c r="CJ9" s="73">
        <f>IF(INDIRECT("'"&amp;$B$3&amp;"'!"&amp;ADDRESS($AD9,CJ$1)),INDIRECT("'"&amp;$B$3&amp;"'!"&amp;ADDRESS($AD9,CJ$1)),CJ8)</f>
        <v/>
      </c>
      <c r="CK9" s="73">
        <f>IF(INDIRECT("'"&amp;$B$3&amp;"'!"&amp;ADDRESS($AD9,CK$1)),INDIRECT("'"&amp;$B$3&amp;"'!"&amp;ADDRESS($AD9,CK$1)),CK8)</f>
        <v/>
      </c>
      <c r="CL9" s="73">
        <f>IF(INDIRECT("'"&amp;$B$3&amp;"'!"&amp;ADDRESS($AD9,CL$1)),INDIRECT("'"&amp;$B$3&amp;"'!"&amp;ADDRESS($AD9,CL$1)),CL8)</f>
        <v/>
      </c>
      <c r="CM9" s="73">
        <f>IF(INDIRECT("'"&amp;$B$3&amp;"'!"&amp;ADDRESS($AD9,CM$1)),INDIRECT("'"&amp;$B$3&amp;"'!"&amp;ADDRESS($AD9,CM$1)),CM8)</f>
        <v/>
      </c>
      <c r="CN9" s="73">
        <f>IF(INDIRECT("'"&amp;$B$3&amp;"'!"&amp;ADDRESS($AD9,CN$1)),INDIRECT("'"&amp;$B$3&amp;"'!"&amp;ADDRESS($AD9,CN$1)),CN8)</f>
        <v/>
      </c>
      <c r="CO9" s="73">
        <f>IF(INDIRECT("'"&amp;$B$3&amp;"'!"&amp;ADDRESS($AD9,CO$1)),INDIRECT("'"&amp;$B$3&amp;"'!"&amp;ADDRESS($AD9,CO$1)),CO8)</f>
        <v/>
      </c>
      <c r="CP9" s="73">
        <f>IF(INDIRECT("'"&amp;$B$3&amp;"'!"&amp;ADDRESS($AD9,CP$1)),INDIRECT("'"&amp;$B$3&amp;"'!"&amp;ADDRESS($AD9,CP$1)),CP8)</f>
        <v/>
      </c>
      <c r="CQ9" s="73">
        <f>IF(INDIRECT("'"&amp;$B$3&amp;"'!"&amp;ADDRESS($AD9,CQ$1)),INDIRECT("'"&amp;$B$3&amp;"'!"&amp;ADDRESS($AD9,CQ$1)),CQ8)</f>
        <v/>
      </c>
    </row>
    <row r="10">
      <c r="AA10" s="78">
        <f>'Summary (Full)'!D78</f>
        <v/>
      </c>
      <c r="AB10" s="239" t="n"/>
      <c r="AC10" s="236" t="n"/>
      <c r="AD10">
        <f>AD9+1</f>
        <v/>
      </c>
      <c r="AE10" s="73">
        <f>INDIRECT("'"&amp;$B$3&amp;"'!"&amp;ADDRESS($AD10,AE$1))</f>
        <v/>
      </c>
      <c r="AF10" s="73">
        <f>INDIRECT("'"&amp;$B$3&amp;"'!"&amp;ADDRESS($AD10,AF$1))</f>
        <v/>
      </c>
      <c r="AG10" s="73">
        <f>INDIRECT("'"&amp;$B$3&amp;"'!"&amp;ADDRESS($AD10,AG$1))</f>
        <v/>
      </c>
      <c r="AH10" s="73">
        <f>INDIRECT("'"&amp;$B$3&amp;"'!"&amp;ADDRESS($AD10,AH$1))</f>
        <v/>
      </c>
      <c r="AI10" s="73">
        <f>INDIRECT("'"&amp;$B$3&amp;"'!"&amp;ADDRESS($AD10,AI$1))</f>
        <v/>
      </c>
      <c r="AJ10" s="73">
        <f>INDIRECT("'"&amp;$B$3&amp;"'!"&amp;ADDRESS($AD10,AJ$1))</f>
        <v/>
      </c>
      <c r="AK10" s="73">
        <f>INDIRECT("'"&amp;$B$3&amp;"'!"&amp;ADDRESS($AD10,AK$1))</f>
        <v/>
      </c>
      <c r="AL10" s="73">
        <f>INDIRECT("'"&amp;$B$3&amp;"'!"&amp;ADDRESS($AD10,AL$1))</f>
        <v/>
      </c>
      <c r="AM10" s="73">
        <f>INDIRECT("'"&amp;$B$3&amp;"'!"&amp;ADDRESS($AD10,AM$1))</f>
        <v/>
      </c>
      <c r="AN10" s="73">
        <f>INDIRECT("'"&amp;$B$3&amp;"'!"&amp;ADDRESS($AD10,AN$1))</f>
        <v/>
      </c>
      <c r="AO10" s="73">
        <f>INDIRECT("'"&amp;$B$3&amp;"'!"&amp;ADDRESS($AD10,AO$1))</f>
        <v/>
      </c>
      <c r="AP10" s="73">
        <f>INDIRECT("'"&amp;$B$3&amp;"'!"&amp;ADDRESS($AD10,AP$1))</f>
        <v/>
      </c>
      <c r="AQ10" s="73">
        <f>INDIRECT("'"&amp;$B$3&amp;"'!"&amp;ADDRESS($AD10,AQ$1))</f>
        <v/>
      </c>
      <c r="AR10" s="73">
        <f>INDIRECT("'"&amp;$B$3&amp;"'!"&amp;ADDRESS($AD10,AR$1))</f>
        <v/>
      </c>
      <c r="AU10" s="236" t="n"/>
      <c r="AV10" s="73">
        <f>INDIRECT("'"&amp;$B$3&amp;"'!"&amp;ADDRESS($AD10,AV$1))</f>
        <v/>
      </c>
      <c r="AW10" s="73">
        <f>INDIRECT("'"&amp;$B$3&amp;"'!"&amp;ADDRESS($AD10,AW$1))</f>
        <v/>
      </c>
      <c r="AX10" s="73">
        <f>INDIRECT("'"&amp;$B$3&amp;"'!"&amp;ADDRESS($AD10,AX$1))</f>
        <v/>
      </c>
      <c r="AY10" s="73">
        <f>INDIRECT("'"&amp;$B$3&amp;"'!"&amp;ADDRESS($AD10,AY$1))</f>
        <v/>
      </c>
      <c r="AZ10" s="73">
        <f>INDIRECT("'"&amp;$B$3&amp;"'!"&amp;ADDRESS($AD10,AZ$1))</f>
        <v/>
      </c>
      <c r="BA10" s="73">
        <f>INDIRECT("'"&amp;$B$3&amp;"'!"&amp;ADDRESS($AD10,BA$1))</f>
        <v/>
      </c>
      <c r="BB10" s="73">
        <f>INDIRECT("'"&amp;$B$3&amp;"'!"&amp;ADDRESS($AD10,BB$1))</f>
        <v/>
      </c>
      <c r="BC10" s="73">
        <f>INDIRECT("'"&amp;$B$3&amp;"'!"&amp;ADDRESS($AD10,BC$1))</f>
        <v/>
      </c>
      <c r="BD10" s="73">
        <f>INDIRECT("'"&amp;$B$3&amp;"'!"&amp;ADDRESS($AD10,BD$1))</f>
        <v/>
      </c>
      <c r="BE10" s="73">
        <f>INDIRECT("'"&amp;$B$3&amp;"'!"&amp;ADDRESS($AD10,BE$1))</f>
        <v/>
      </c>
      <c r="BF10" s="73">
        <f>INDIRECT("'"&amp;$B$3&amp;"'!"&amp;ADDRESS($AD10,BF$1))</f>
        <v/>
      </c>
      <c r="BG10" s="73">
        <f>INDIRECT("'"&amp;$B$3&amp;"'!"&amp;ADDRESS($AD10,BG$1))</f>
        <v/>
      </c>
      <c r="BH10" s="73">
        <f>INDIRECT("'"&amp;$B$3&amp;"'!"&amp;ADDRESS($AD10,BH$1))</f>
        <v/>
      </c>
      <c r="BI10" s="73">
        <f>INDIRECT("'"&amp;$B$3&amp;"'!"&amp;ADDRESS($AD10,BI$1))</f>
        <v/>
      </c>
      <c r="BM10" s="73">
        <f>IF(INDIRECT("'"&amp;$B$3&amp;"'!"&amp;ADDRESS($AD10,BM$1)),INDIRECT("'"&amp;$B$3&amp;"'!"&amp;ADDRESS($AD10,BM$1)),BM9)</f>
        <v/>
      </c>
      <c r="BN10" s="73">
        <f>IF(INDIRECT("'"&amp;$B$3&amp;"'!"&amp;ADDRESS($AD10,BN$1)),INDIRECT("'"&amp;$B$3&amp;"'!"&amp;ADDRESS($AD10,BN$1)),BN9)</f>
        <v/>
      </c>
      <c r="BO10" s="73">
        <f>IF(INDIRECT("'"&amp;$B$3&amp;"'!"&amp;ADDRESS($AD10,BO$1)),INDIRECT("'"&amp;$B$3&amp;"'!"&amp;ADDRESS($AD10,BO$1)),BO9)</f>
        <v/>
      </c>
      <c r="BP10" s="73">
        <f>IF(INDIRECT("'"&amp;$B$3&amp;"'!"&amp;ADDRESS($AD10,BP$1)),INDIRECT("'"&amp;$B$3&amp;"'!"&amp;ADDRESS($AD10,BP$1)),BP9)</f>
        <v/>
      </c>
      <c r="BQ10" s="73">
        <f>IF(INDIRECT("'"&amp;$B$3&amp;"'!"&amp;ADDRESS($AD10,BQ$1)),INDIRECT("'"&amp;$B$3&amp;"'!"&amp;ADDRESS($AD10,BQ$1)),BQ9)</f>
        <v/>
      </c>
      <c r="BR10" s="73">
        <f>IF(INDIRECT("'"&amp;$B$3&amp;"'!"&amp;ADDRESS($AD10,BR$1)),INDIRECT("'"&amp;$B$3&amp;"'!"&amp;ADDRESS($AD10,BR$1)),BR9)</f>
        <v/>
      </c>
      <c r="BS10" s="73">
        <f>IF(INDIRECT("'"&amp;$B$3&amp;"'!"&amp;ADDRESS($AD10,BS$1)),INDIRECT("'"&amp;$B$3&amp;"'!"&amp;ADDRESS($AD10,BS$1)),BS9)</f>
        <v/>
      </c>
      <c r="BT10" s="73">
        <f>IF(INDIRECT("'"&amp;$B$3&amp;"'!"&amp;ADDRESS($AD10,BT$1)),INDIRECT("'"&amp;$B$3&amp;"'!"&amp;ADDRESS($AD10,BT$1)),BT9)</f>
        <v/>
      </c>
      <c r="BU10" s="73">
        <f>IF(INDIRECT("'"&amp;$B$3&amp;"'!"&amp;ADDRESS($AD10,BU$1)),INDIRECT("'"&amp;$B$3&amp;"'!"&amp;ADDRESS($AD10,BU$1)),BU9)</f>
        <v/>
      </c>
      <c r="BV10" s="73">
        <f>IF(INDIRECT("'"&amp;$B$3&amp;"'!"&amp;ADDRESS($AD10,BV$1)),INDIRECT("'"&amp;$B$3&amp;"'!"&amp;ADDRESS($AD10,BV$1)),BV9)</f>
        <v/>
      </c>
      <c r="BW10" s="73">
        <f>IF(INDIRECT("'"&amp;$B$3&amp;"'!"&amp;ADDRESS($AD10,BW$1)),INDIRECT("'"&amp;$B$3&amp;"'!"&amp;ADDRESS($AD10,BW$1)),BW9)</f>
        <v/>
      </c>
      <c r="BX10" s="73">
        <f>IF(INDIRECT("'"&amp;$B$3&amp;"'!"&amp;ADDRESS($AD10,BX$1)),INDIRECT("'"&amp;$B$3&amp;"'!"&amp;ADDRESS($AD10,BX$1)),BX9)</f>
        <v/>
      </c>
      <c r="BY10" s="73">
        <f>IF(INDIRECT("'"&amp;$B$3&amp;"'!"&amp;ADDRESS($AD10,BY$1)),INDIRECT("'"&amp;$B$3&amp;"'!"&amp;ADDRESS($AD10,BY$1)),BY9)</f>
        <v/>
      </c>
      <c r="BZ10" s="73">
        <f>IF(INDIRECT("'"&amp;$B$3&amp;"'!"&amp;ADDRESS($AD10,BZ$1)),INDIRECT("'"&amp;$B$3&amp;"'!"&amp;ADDRESS($AD10,BZ$1)),BZ9)</f>
        <v/>
      </c>
      <c r="CD10" s="73">
        <f>IF(INDIRECT("'"&amp;$B$3&amp;"'!"&amp;ADDRESS($AD10,CD$1)),INDIRECT("'"&amp;$B$3&amp;"'!"&amp;ADDRESS($AD10,CD$1)),CD9)</f>
        <v/>
      </c>
      <c r="CE10" s="73">
        <f>IF(INDIRECT("'"&amp;$B$3&amp;"'!"&amp;ADDRESS($AD10,CE$1)),INDIRECT("'"&amp;$B$3&amp;"'!"&amp;ADDRESS($AD10,CE$1)),CE9)</f>
        <v/>
      </c>
      <c r="CF10" s="73">
        <f>IF(INDIRECT("'"&amp;$B$3&amp;"'!"&amp;ADDRESS($AD10,CF$1)),INDIRECT("'"&amp;$B$3&amp;"'!"&amp;ADDRESS($AD10,CF$1)),CF9)</f>
        <v/>
      </c>
      <c r="CG10" s="73">
        <f>IF(INDIRECT("'"&amp;$B$3&amp;"'!"&amp;ADDRESS($AD10,CG$1)),INDIRECT("'"&amp;$B$3&amp;"'!"&amp;ADDRESS($AD10,CG$1)),CG9)</f>
        <v/>
      </c>
      <c r="CH10" s="73">
        <f>IF(INDIRECT("'"&amp;$B$3&amp;"'!"&amp;ADDRESS($AD10,CH$1)),INDIRECT("'"&amp;$B$3&amp;"'!"&amp;ADDRESS($AD10,CH$1)),CH9)</f>
        <v/>
      </c>
      <c r="CI10" s="73">
        <f>IF(INDIRECT("'"&amp;$B$3&amp;"'!"&amp;ADDRESS($AD10,CI$1)),INDIRECT("'"&amp;$B$3&amp;"'!"&amp;ADDRESS($AD10,CI$1)),CI9)</f>
        <v/>
      </c>
      <c r="CJ10" s="73">
        <f>IF(INDIRECT("'"&amp;$B$3&amp;"'!"&amp;ADDRESS($AD10,CJ$1)),INDIRECT("'"&amp;$B$3&amp;"'!"&amp;ADDRESS($AD10,CJ$1)),CJ9)</f>
        <v/>
      </c>
      <c r="CK10" s="73">
        <f>IF(INDIRECT("'"&amp;$B$3&amp;"'!"&amp;ADDRESS($AD10,CK$1)),INDIRECT("'"&amp;$B$3&amp;"'!"&amp;ADDRESS($AD10,CK$1)),CK9)</f>
        <v/>
      </c>
      <c r="CL10" s="73">
        <f>IF(INDIRECT("'"&amp;$B$3&amp;"'!"&amp;ADDRESS($AD10,CL$1)),INDIRECT("'"&amp;$B$3&amp;"'!"&amp;ADDRESS($AD10,CL$1)),CL9)</f>
        <v/>
      </c>
      <c r="CM10" s="73">
        <f>IF(INDIRECT("'"&amp;$B$3&amp;"'!"&amp;ADDRESS($AD10,CM$1)),INDIRECT("'"&amp;$B$3&amp;"'!"&amp;ADDRESS($AD10,CM$1)),CM9)</f>
        <v/>
      </c>
      <c r="CN10" s="73">
        <f>IF(INDIRECT("'"&amp;$B$3&amp;"'!"&amp;ADDRESS($AD10,CN$1)),INDIRECT("'"&amp;$B$3&amp;"'!"&amp;ADDRESS($AD10,CN$1)),CN9)</f>
        <v/>
      </c>
      <c r="CO10" s="73">
        <f>IF(INDIRECT("'"&amp;$B$3&amp;"'!"&amp;ADDRESS($AD10,CO$1)),INDIRECT("'"&amp;$B$3&amp;"'!"&amp;ADDRESS($AD10,CO$1)),CO9)</f>
        <v/>
      </c>
      <c r="CP10" s="73">
        <f>IF(INDIRECT("'"&amp;$B$3&amp;"'!"&amp;ADDRESS($AD10,CP$1)),INDIRECT("'"&amp;$B$3&amp;"'!"&amp;ADDRESS($AD10,CP$1)),CP9)</f>
        <v/>
      </c>
      <c r="CQ10" s="73">
        <f>IF(INDIRECT("'"&amp;$B$3&amp;"'!"&amp;ADDRESS($AD10,CQ$1)),INDIRECT("'"&amp;$B$3&amp;"'!"&amp;ADDRESS($AD10,CQ$1)),CQ9)</f>
        <v/>
      </c>
    </row>
    <row r="11">
      <c r="AA11" s="78">
        <f>'Summary (Full)'!D79</f>
        <v/>
      </c>
      <c r="AB11" s="237" t="inlineStr">
        <is>
          <t>2560x1440</t>
        </is>
      </c>
      <c r="AC11" s="235">
        <f>CONCATENATE(AB11," Reference")</f>
        <v/>
      </c>
      <c r="AD11" t="n">
        <v>11</v>
      </c>
      <c r="AE11" s="73">
        <f>INDIRECT("'"&amp;$B$3&amp;"'!"&amp;ADDRESS($AD11,AE$1))</f>
        <v/>
      </c>
      <c r="AF11" s="73">
        <f>INDIRECT("'"&amp;$B$3&amp;"'!"&amp;ADDRESS($AD11,AF$1))</f>
        <v/>
      </c>
      <c r="AG11" s="73">
        <f>INDIRECT("'"&amp;$B$3&amp;"'!"&amp;ADDRESS($AD11,AG$1))</f>
        <v/>
      </c>
      <c r="AH11" s="73">
        <f>INDIRECT("'"&amp;$B$3&amp;"'!"&amp;ADDRESS($AD11,AH$1))</f>
        <v/>
      </c>
      <c r="AI11" s="73">
        <f>INDIRECT("'"&amp;$B$3&amp;"'!"&amp;ADDRESS($AD11,AI$1))</f>
        <v/>
      </c>
      <c r="AJ11" s="73">
        <f>INDIRECT("'"&amp;$B$3&amp;"'!"&amp;ADDRESS($AD11,AJ$1))</f>
        <v/>
      </c>
      <c r="AK11" s="73">
        <f>INDIRECT("'"&amp;$B$3&amp;"'!"&amp;ADDRESS($AD11,AK$1))</f>
        <v/>
      </c>
      <c r="AL11" s="73">
        <f>INDIRECT("'"&amp;$B$3&amp;"'!"&amp;ADDRESS($AD11,AL$1))</f>
        <v/>
      </c>
      <c r="AM11" s="73">
        <f>INDIRECT("'"&amp;$B$3&amp;"'!"&amp;ADDRESS($AD11,AM$1))</f>
        <v/>
      </c>
      <c r="AN11" s="73">
        <f>INDIRECT("'"&amp;$B$3&amp;"'!"&amp;ADDRESS($AD11,AN$1))</f>
        <v/>
      </c>
      <c r="AO11" s="73">
        <f>INDIRECT("'"&amp;$B$3&amp;"'!"&amp;ADDRESS($AD11,AO$1))</f>
        <v/>
      </c>
      <c r="AP11" s="73">
        <f>INDIRECT("'"&amp;$B$3&amp;"'!"&amp;ADDRESS($AD11,AP$1))</f>
        <v/>
      </c>
      <c r="AQ11" s="73">
        <f>INDIRECT("'"&amp;$B$3&amp;"'!"&amp;ADDRESS($AD11,AQ$1))</f>
        <v/>
      </c>
      <c r="AR11" s="73">
        <f>INDIRECT("'"&amp;$B$3&amp;"'!"&amp;ADDRESS($AD11,AR$1))</f>
        <v/>
      </c>
      <c r="AU11" s="235">
        <f>CONCATENATE(AB11," Test")</f>
        <v/>
      </c>
      <c r="AV11" s="73">
        <f>INDIRECT("'"&amp;$B$3&amp;"'!"&amp;ADDRESS($AD11,AV$1))</f>
        <v/>
      </c>
      <c r="AW11" s="73">
        <f>INDIRECT("'"&amp;$B$3&amp;"'!"&amp;ADDRESS($AD11,AW$1))</f>
        <v/>
      </c>
      <c r="AX11" s="73">
        <f>INDIRECT("'"&amp;$B$3&amp;"'!"&amp;ADDRESS($AD11,AX$1))</f>
        <v/>
      </c>
      <c r="AY11" s="73">
        <f>INDIRECT("'"&amp;$B$3&amp;"'!"&amp;ADDRESS($AD11,AY$1))</f>
        <v/>
      </c>
      <c r="AZ11" s="73">
        <f>INDIRECT("'"&amp;$B$3&amp;"'!"&amp;ADDRESS($AD11,AZ$1))</f>
        <v/>
      </c>
      <c r="BA11" s="73">
        <f>INDIRECT("'"&amp;$B$3&amp;"'!"&amp;ADDRESS($AD11,BA$1))</f>
        <v/>
      </c>
      <c r="BB11" s="73">
        <f>INDIRECT("'"&amp;$B$3&amp;"'!"&amp;ADDRESS($AD11,BB$1))</f>
        <v/>
      </c>
      <c r="BC11" s="73">
        <f>INDIRECT("'"&amp;$B$3&amp;"'!"&amp;ADDRESS($AD11,BC$1))</f>
        <v/>
      </c>
      <c r="BD11" s="73">
        <f>INDIRECT("'"&amp;$B$3&amp;"'!"&amp;ADDRESS($AD11,BD$1))</f>
        <v/>
      </c>
      <c r="BE11" s="73">
        <f>INDIRECT("'"&amp;$B$3&amp;"'!"&amp;ADDRESS($AD11,BE$1))</f>
        <v/>
      </c>
      <c r="BF11" s="73">
        <f>INDIRECT("'"&amp;$B$3&amp;"'!"&amp;ADDRESS($AD11,BF$1))</f>
        <v/>
      </c>
      <c r="BG11" s="73">
        <f>INDIRECT("'"&amp;$B$3&amp;"'!"&amp;ADDRESS($AD11,BG$1))</f>
        <v/>
      </c>
      <c r="BH11" s="73">
        <f>INDIRECT("'"&amp;$B$3&amp;"'!"&amp;ADDRESS($AD11,BH$1))</f>
        <v/>
      </c>
      <c r="BI11" s="73">
        <f>INDIRECT("'"&amp;$B$3&amp;"'!"&amp;ADDRESS($AD11,BI$1))</f>
        <v/>
      </c>
      <c r="BM11" s="73">
        <f>IF(INDIRECT("'"&amp;$B$3&amp;"'!"&amp;ADDRESS($AD11,BM$1)),INDIRECT("'"&amp;$B$3&amp;"'!"&amp;ADDRESS($AD11,BM$1)),BM10)</f>
        <v/>
      </c>
      <c r="BN11" s="73">
        <f>IF(INDIRECT("'"&amp;$B$3&amp;"'!"&amp;ADDRESS($AD11,BN$1)),INDIRECT("'"&amp;$B$3&amp;"'!"&amp;ADDRESS($AD11,BN$1)),BN10)</f>
        <v/>
      </c>
      <c r="BO11" s="73">
        <f>IF(INDIRECT("'"&amp;$B$3&amp;"'!"&amp;ADDRESS($AD11,BO$1)),INDIRECT("'"&amp;$B$3&amp;"'!"&amp;ADDRESS($AD11,BO$1)),BO10)</f>
        <v/>
      </c>
      <c r="BP11" s="73">
        <f>IF(INDIRECT("'"&amp;$B$3&amp;"'!"&amp;ADDRESS($AD11,BP$1)),INDIRECT("'"&amp;$B$3&amp;"'!"&amp;ADDRESS($AD11,BP$1)),BP10)</f>
        <v/>
      </c>
      <c r="BQ11" s="73">
        <f>IF(INDIRECT("'"&amp;$B$3&amp;"'!"&amp;ADDRESS($AD11,BQ$1)),INDIRECT("'"&amp;$B$3&amp;"'!"&amp;ADDRESS($AD11,BQ$1)),BQ10)</f>
        <v/>
      </c>
      <c r="BR11" s="73">
        <f>IF(INDIRECT("'"&amp;$B$3&amp;"'!"&amp;ADDRESS($AD11,BR$1)),INDIRECT("'"&amp;$B$3&amp;"'!"&amp;ADDRESS($AD11,BR$1)),BR10)</f>
        <v/>
      </c>
      <c r="BS11" s="73">
        <f>IF(INDIRECT("'"&amp;$B$3&amp;"'!"&amp;ADDRESS($AD11,BS$1)),INDIRECT("'"&amp;$B$3&amp;"'!"&amp;ADDRESS($AD11,BS$1)),BS10)</f>
        <v/>
      </c>
      <c r="BT11" s="73">
        <f>IF(INDIRECT("'"&amp;$B$3&amp;"'!"&amp;ADDRESS($AD11,BT$1)),INDIRECT("'"&amp;$B$3&amp;"'!"&amp;ADDRESS($AD11,BT$1)),BT10)</f>
        <v/>
      </c>
      <c r="BU11" s="73">
        <f>IF(INDIRECT("'"&amp;$B$3&amp;"'!"&amp;ADDRESS($AD11,BU$1)),INDIRECT("'"&amp;$B$3&amp;"'!"&amp;ADDRESS($AD11,BU$1)),BU10)</f>
        <v/>
      </c>
      <c r="BV11" s="73">
        <f>IF(INDIRECT("'"&amp;$B$3&amp;"'!"&amp;ADDRESS($AD11,BV$1)),INDIRECT("'"&amp;$B$3&amp;"'!"&amp;ADDRESS($AD11,BV$1)),BV10)</f>
        <v/>
      </c>
      <c r="BW11" s="73">
        <f>IF(INDIRECT("'"&amp;$B$3&amp;"'!"&amp;ADDRESS($AD11,BW$1)),INDIRECT("'"&amp;$B$3&amp;"'!"&amp;ADDRESS($AD11,BW$1)),BW10)</f>
        <v/>
      </c>
      <c r="BX11" s="73">
        <f>IF(INDIRECT("'"&amp;$B$3&amp;"'!"&amp;ADDRESS($AD11,BX$1)),INDIRECT("'"&amp;$B$3&amp;"'!"&amp;ADDRESS($AD11,BX$1)),BX10)</f>
        <v/>
      </c>
      <c r="BY11" s="73">
        <f>IF(INDIRECT("'"&amp;$B$3&amp;"'!"&amp;ADDRESS($AD11,BY$1)),INDIRECT("'"&amp;$B$3&amp;"'!"&amp;ADDRESS($AD11,BY$1)),BY10)</f>
        <v/>
      </c>
      <c r="BZ11" s="73">
        <f>IF(INDIRECT("'"&amp;$B$3&amp;"'!"&amp;ADDRESS($AD11,BZ$1)),INDIRECT("'"&amp;$B$3&amp;"'!"&amp;ADDRESS($AD11,BZ$1)),BZ10)</f>
        <v/>
      </c>
      <c r="CD11" s="73">
        <f>IF(INDIRECT("'"&amp;$B$3&amp;"'!"&amp;ADDRESS($AD11,CD$1)),INDIRECT("'"&amp;$B$3&amp;"'!"&amp;ADDRESS($AD11,CD$1)),CD10)</f>
        <v/>
      </c>
      <c r="CE11" s="73">
        <f>IF(INDIRECT("'"&amp;$B$3&amp;"'!"&amp;ADDRESS($AD11,CE$1)),INDIRECT("'"&amp;$B$3&amp;"'!"&amp;ADDRESS($AD11,CE$1)),CE10)</f>
        <v/>
      </c>
      <c r="CF11" s="73">
        <f>IF(INDIRECT("'"&amp;$B$3&amp;"'!"&amp;ADDRESS($AD11,CF$1)),INDIRECT("'"&amp;$B$3&amp;"'!"&amp;ADDRESS($AD11,CF$1)),CF10)</f>
        <v/>
      </c>
      <c r="CG11" s="73">
        <f>IF(INDIRECT("'"&amp;$B$3&amp;"'!"&amp;ADDRESS($AD11,CG$1)),INDIRECT("'"&amp;$B$3&amp;"'!"&amp;ADDRESS($AD11,CG$1)),CG10)</f>
        <v/>
      </c>
      <c r="CH11" s="73">
        <f>IF(INDIRECT("'"&amp;$B$3&amp;"'!"&amp;ADDRESS($AD11,CH$1)),INDIRECT("'"&amp;$B$3&amp;"'!"&amp;ADDRESS($AD11,CH$1)),CH10)</f>
        <v/>
      </c>
      <c r="CI11" s="73">
        <f>IF(INDIRECT("'"&amp;$B$3&amp;"'!"&amp;ADDRESS($AD11,CI$1)),INDIRECT("'"&amp;$B$3&amp;"'!"&amp;ADDRESS($AD11,CI$1)),CI10)</f>
        <v/>
      </c>
      <c r="CJ11" s="73">
        <f>IF(INDIRECT("'"&amp;$B$3&amp;"'!"&amp;ADDRESS($AD11,CJ$1)),INDIRECT("'"&amp;$B$3&amp;"'!"&amp;ADDRESS($AD11,CJ$1)),CJ10)</f>
        <v/>
      </c>
      <c r="CK11" s="73">
        <f>IF(INDIRECT("'"&amp;$B$3&amp;"'!"&amp;ADDRESS($AD11,CK$1)),INDIRECT("'"&amp;$B$3&amp;"'!"&amp;ADDRESS($AD11,CK$1)),CK10)</f>
        <v/>
      </c>
      <c r="CL11" s="73">
        <f>IF(INDIRECT("'"&amp;$B$3&amp;"'!"&amp;ADDRESS($AD11,CL$1)),INDIRECT("'"&amp;$B$3&amp;"'!"&amp;ADDRESS($AD11,CL$1)),CL10)</f>
        <v/>
      </c>
      <c r="CM11" s="73">
        <f>IF(INDIRECT("'"&amp;$B$3&amp;"'!"&amp;ADDRESS($AD11,CM$1)),INDIRECT("'"&amp;$B$3&amp;"'!"&amp;ADDRESS($AD11,CM$1)),CM10)</f>
        <v/>
      </c>
      <c r="CN11" s="73">
        <f>IF(INDIRECT("'"&amp;$B$3&amp;"'!"&amp;ADDRESS($AD11,CN$1)),INDIRECT("'"&amp;$B$3&amp;"'!"&amp;ADDRESS($AD11,CN$1)),CN10)</f>
        <v/>
      </c>
      <c r="CO11" s="73">
        <f>IF(INDIRECT("'"&amp;$B$3&amp;"'!"&amp;ADDRESS($AD11,CO$1)),INDIRECT("'"&amp;$B$3&amp;"'!"&amp;ADDRESS($AD11,CO$1)),CO10)</f>
        <v/>
      </c>
      <c r="CP11" s="73">
        <f>IF(INDIRECT("'"&amp;$B$3&amp;"'!"&amp;ADDRESS($AD11,CP$1)),INDIRECT("'"&amp;$B$3&amp;"'!"&amp;ADDRESS($AD11,CP$1)),CP10)</f>
        <v/>
      </c>
      <c r="CQ11" s="73">
        <f>IF(INDIRECT("'"&amp;$B$3&amp;"'!"&amp;ADDRESS($AD11,CQ$1)),INDIRECT("'"&amp;$B$3&amp;"'!"&amp;ADDRESS($AD11,CQ$1)),CQ10)</f>
        <v/>
      </c>
    </row>
    <row r="12">
      <c r="AA12" s="78" t="n"/>
      <c r="AB12" s="238" t="n"/>
      <c r="AC12" s="236" t="n"/>
      <c r="AD12" t="n">
        <v>12</v>
      </c>
      <c r="AE12" s="73">
        <f>INDIRECT("'"&amp;$B$3&amp;"'!"&amp;ADDRESS($AD12,AE$1))</f>
        <v/>
      </c>
      <c r="AF12" s="73">
        <f>INDIRECT("'"&amp;$B$3&amp;"'!"&amp;ADDRESS($AD12,AF$1))</f>
        <v/>
      </c>
      <c r="AG12" s="73">
        <f>INDIRECT("'"&amp;$B$3&amp;"'!"&amp;ADDRESS($AD12,AG$1))</f>
        <v/>
      </c>
      <c r="AH12" s="73">
        <f>INDIRECT("'"&amp;$B$3&amp;"'!"&amp;ADDRESS($AD12,AH$1))</f>
        <v/>
      </c>
      <c r="AI12" s="73">
        <f>INDIRECT("'"&amp;$B$3&amp;"'!"&amp;ADDRESS($AD12,AI$1))</f>
        <v/>
      </c>
      <c r="AJ12" s="73">
        <f>INDIRECT("'"&amp;$B$3&amp;"'!"&amp;ADDRESS($AD12,AJ$1))</f>
        <v/>
      </c>
      <c r="AK12" s="73">
        <f>INDIRECT("'"&amp;$B$3&amp;"'!"&amp;ADDRESS($AD12,AK$1))</f>
        <v/>
      </c>
      <c r="AL12" s="73">
        <f>INDIRECT("'"&amp;$B$3&amp;"'!"&amp;ADDRESS($AD12,AL$1))</f>
        <v/>
      </c>
      <c r="AM12" s="73">
        <f>INDIRECT("'"&amp;$B$3&amp;"'!"&amp;ADDRESS($AD12,AM$1))</f>
        <v/>
      </c>
      <c r="AN12" s="73">
        <f>INDIRECT("'"&amp;$B$3&amp;"'!"&amp;ADDRESS($AD12,AN$1))</f>
        <v/>
      </c>
      <c r="AO12" s="73">
        <f>INDIRECT("'"&amp;$B$3&amp;"'!"&amp;ADDRESS($AD12,AO$1))</f>
        <v/>
      </c>
      <c r="AP12" s="73">
        <f>INDIRECT("'"&amp;$B$3&amp;"'!"&amp;ADDRESS($AD12,AP$1))</f>
        <v/>
      </c>
      <c r="AQ12" s="73">
        <f>INDIRECT("'"&amp;$B$3&amp;"'!"&amp;ADDRESS($AD12,AQ$1))</f>
        <v/>
      </c>
      <c r="AR12" s="73">
        <f>INDIRECT("'"&amp;$B$3&amp;"'!"&amp;ADDRESS($AD12,AR$1))</f>
        <v/>
      </c>
      <c r="AU12" s="236" t="n"/>
      <c r="AV12" s="73">
        <f>INDIRECT("'"&amp;$B$3&amp;"'!"&amp;ADDRESS($AD12,AV$1))</f>
        <v/>
      </c>
      <c r="AW12" s="73">
        <f>INDIRECT("'"&amp;$B$3&amp;"'!"&amp;ADDRESS($AD12,AW$1))</f>
        <v/>
      </c>
      <c r="AX12" s="73">
        <f>INDIRECT("'"&amp;$B$3&amp;"'!"&amp;ADDRESS($AD12,AX$1))</f>
        <v/>
      </c>
      <c r="AY12" s="73">
        <f>INDIRECT("'"&amp;$B$3&amp;"'!"&amp;ADDRESS($AD12,AY$1))</f>
        <v/>
      </c>
      <c r="AZ12" s="73">
        <f>INDIRECT("'"&amp;$B$3&amp;"'!"&amp;ADDRESS($AD12,AZ$1))</f>
        <v/>
      </c>
      <c r="BA12" s="73">
        <f>INDIRECT("'"&amp;$B$3&amp;"'!"&amp;ADDRESS($AD12,BA$1))</f>
        <v/>
      </c>
      <c r="BB12" s="73">
        <f>INDIRECT("'"&amp;$B$3&amp;"'!"&amp;ADDRESS($AD12,BB$1))</f>
        <v/>
      </c>
      <c r="BC12" s="73">
        <f>INDIRECT("'"&amp;$B$3&amp;"'!"&amp;ADDRESS($AD12,BC$1))</f>
        <v/>
      </c>
      <c r="BD12" s="73">
        <f>INDIRECT("'"&amp;$B$3&amp;"'!"&amp;ADDRESS($AD12,BD$1))</f>
        <v/>
      </c>
      <c r="BE12" s="73">
        <f>INDIRECT("'"&amp;$B$3&amp;"'!"&amp;ADDRESS($AD12,BE$1))</f>
        <v/>
      </c>
      <c r="BF12" s="73">
        <f>INDIRECT("'"&amp;$B$3&amp;"'!"&amp;ADDRESS($AD12,BF$1))</f>
        <v/>
      </c>
      <c r="BG12" s="73">
        <f>INDIRECT("'"&amp;$B$3&amp;"'!"&amp;ADDRESS($AD12,BG$1))</f>
        <v/>
      </c>
      <c r="BH12" s="73">
        <f>INDIRECT("'"&amp;$B$3&amp;"'!"&amp;ADDRESS($AD12,BH$1))</f>
        <v/>
      </c>
      <c r="BI12" s="73">
        <f>INDIRECT("'"&amp;$B$3&amp;"'!"&amp;ADDRESS($AD12,BI$1))</f>
        <v/>
      </c>
      <c r="BM12" s="73">
        <f>IF(INDIRECT("'"&amp;$B$3&amp;"'!"&amp;ADDRESS($AD12,BM$1)),INDIRECT("'"&amp;$B$3&amp;"'!"&amp;ADDRESS($AD12,BM$1)),BM11)</f>
        <v/>
      </c>
      <c r="BN12" s="73">
        <f>IF(INDIRECT("'"&amp;$B$3&amp;"'!"&amp;ADDRESS($AD12,BN$1)),INDIRECT("'"&amp;$B$3&amp;"'!"&amp;ADDRESS($AD12,BN$1)),BN11)</f>
        <v/>
      </c>
      <c r="BO12" s="73">
        <f>IF(INDIRECT("'"&amp;$B$3&amp;"'!"&amp;ADDRESS($AD12,BO$1)),INDIRECT("'"&amp;$B$3&amp;"'!"&amp;ADDRESS($AD12,BO$1)),BO11)</f>
        <v/>
      </c>
      <c r="BP12" s="73">
        <f>IF(INDIRECT("'"&amp;$B$3&amp;"'!"&amp;ADDRESS($AD12,BP$1)),INDIRECT("'"&amp;$B$3&amp;"'!"&amp;ADDRESS($AD12,BP$1)),BP11)</f>
        <v/>
      </c>
      <c r="BQ12" s="73">
        <f>IF(INDIRECT("'"&amp;$B$3&amp;"'!"&amp;ADDRESS($AD12,BQ$1)),INDIRECT("'"&amp;$B$3&amp;"'!"&amp;ADDRESS($AD12,BQ$1)),BQ11)</f>
        <v/>
      </c>
      <c r="BR12" s="73">
        <f>IF(INDIRECT("'"&amp;$B$3&amp;"'!"&amp;ADDRESS($AD12,BR$1)),INDIRECT("'"&amp;$B$3&amp;"'!"&amp;ADDRESS($AD12,BR$1)),BR11)</f>
        <v/>
      </c>
      <c r="BS12" s="73">
        <f>IF(INDIRECT("'"&amp;$B$3&amp;"'!"&amp;ADDRESS($AD12,BS$1)),INDIRECT("'"&amp;$B$3&amp;"'!"&amp;ADDRESS($AD12,BS$1)),BS11)</f>
        <v/>
      </c>
      <c r="BT12" s="73">
        <f>IF(INDIRECT("'"&amp;$B$3&amp;"'!"&amp;ADDRESS($AD12,BT$1)),INDIRECT("'"&amp;$B$3&amp;"'!"&amp;ADDRESS($AD12,BT$1)),BT11)</f>
        <v/>
      </c>
      <c r="BU12" s="73">
        <f>IF(INDIRECT("'"&amp;$B$3&amp;"'!"&amp;ADDRESS($AD12,BU$1)),INDIRECT("'"&amp;$B$3&amp;"'!"&amp;ADDRESS($AD12,BU$1)),BU11)</f>
        <v/>
      </c>
      <c r="BV12" s="73">
        <f>IF(INDIRECT("'"&amp;$B$3&amp;"'!"&amp;ADDRESS($AD12,BV$1)),INDIRECT("'"&amp;$B$3&amp;"'!"&amp;ADDRESS($AD12,BV$1)),BV11)</f>
        <v/>
      </c>
      <c r="BW12" s="73">
        <f>IF(INDIRECT("'"&amp;$B$3&amp;"'!"&amp;ADDRESS($AD12,BW$1)),INDIRECT("'"&amp;$B$3&amp;"'!"&amp;ADDRESS($AD12,BW$1)),BW11)</f>
        <v/>
      </c>
      <c r="BX12" s="73">
        <f>IF(INDIRECT("'"&amp;$B$3&amp;"'!"&amp;ADDRESS($AD12,BX$1)),INDIRECT("'"&amp;$B$3&amp;"'!"&amp;ADDRESS($AD12,BX$1)),BX11)</f>
        <v/>
      </c>
      <c r="BY12" s="73">
        <f>IF(INDIRECT("'"&amp;$B$3&amp;"'!"&amp;ADDRESS($AD12,BY$1)),INDIRECT("'"&amp;$B$3&amp;"'!"&amp;ADDRESS($AD12,BY$1)),BY11)</f>
        <v/>
      </c>
      <c r="BZ12" s="73">
        <f>IF(INDIRECT("'"&amp;$B$3&amp;"'!"&amp;ADDRESS($AD12,BZ$1)),INDIRECT("'"&amp;$B$3&amp;"'!"&amp;ADDRESS($AD12,BZ$1)),BZ11)</f>
        <v/>
      </c>
      <c r="CD12" s="73">
        <f>IF(INDIRECT("'"&amp;$B$3&amp;"'!"&amp;ADDRESS($AD12,CD$1)),INDIRECT("'"&amp;$B$3&amp;"'!"&amp;ADDRESS($AD12,CD$1)),CD11)</f>
        <v/>
      </c>
      <c r="CE12" s="73">
        <f>IF(INDIRECT("'"&amp;$B$3&amp;"'!"&amp;ADDRESS($AD12,CE$1)),INDIRECT("'"&amp;$B$3&amp;"'!"&amp;ADDRESS($AD12,CE$1)),CE11)</f>
        <v/>
      </c>
      <c r="CF12" s="73">
        <f>IF(INDIRECT("'"&amp;$B$3&amp;"'!"&amp;ADDRESS($AD12,CF$1)),INDIRECT("'"&amp;$B$3&amp;"'!"&amp;ADDRESS($AD12,CF$1)),CF11)</f>
        <v/>
      </c>
      <c r="CG12" s="73">
        <f>IF(INDIRECT("'"&amp;$B$3&amp;"'!"&amp;ADDRESS($AD12,CG$1)),INDIRECT("'"&amp;$B$3&amp;"'!"&amp;ADDRESS($AD12,CG$1)),CG11)</f>
        <v/>
      </c>
      <c r="CH12" s="73">
        <f>IF(INDIRECT("'"&amp;$B$3&amp;"'!"&amp;ADDRESS($AD12,CH$1)),INDIRECT("'"&amp;$B$3&amp;"'!"&amp;ADDRESS($AD12,CH$1)),CH11)</f>
        <v/>
      </c>
      <c r="CI12" s="73">
        <f>IF(INDIRECT("'"&amp;$B$3&amp;"'!"&amp;ADDRESS($AD12,CI$1)),INDIRECT("'"&amp;$B$3&amp;"'!"&amp;ADDRESS($AD12,CI$1)),CI11)</f>
        <v/>
      </c>
      <c r="CJ12" s="73">
        <f>IF(INDIRECT("'"&amp;$B$3&amp;"'!"&amp;ADDRESS($AD12,CJ$1)),INDIRECT("'"&amp;$B$3&amp;"'!"&amp;ADDRESS($AD12,CJ$1)),CJ11)</f>
        <v/>
      </c>
      <c r="CK12" s="73">
        <f>IF(INDIRECT("'"&amp;$B$3&amp;"'!"&amp;ADDRESS($AD12,CK$1)),INDIRECT("'"&amp;$B$3&amp;"'!"&amp;ADDRESS($AD12,CK$1)),CK11)</f>
        <v/>
      </c>
      <c r="CL12" s="73">
        <f>IF(INDIRECT("'"&amp;$B$3&amp;"'!"&amp;ADDRESS($AD12,CL$1)),INDIRECT("'"&amp;$B$3&amp;"'!"&amp;ADDRESS($AD12,CL$1)),CL11)</f>
        <v/>
      </c>
      <c r="CM12" s="73">
        <f>IF(INDIRECT("'"&amp;$B$3&amp;"'!"&amp;ADDRESS($AD12,CM$1)),INDIRECT("'"&amp;$B$3&amp;"'!"&amp;ADDRESS($AD12,CM$1)),CM11)</f>
        <v/>
      </c>
      <c r="CN12" s="73">
        <f>IF(INDIRECT("'"&amp;$B$3&amp;"'!"&amp;ADDRESS($AD12,CN$1)),INDIRECT("'"&amp;$B$3&amp;"'!"&amp;ADDRESS($AD12,CN$1)),CN11)</f>
        <v/>
      </c>
      <c r="CO12" s="73">
        <f>IF(INDIRECT("'"&amp;$B$3&amp;"'!"&amp;ADDRESS($AD12,CO$1)),INDIRECT("'"&amp;$B$3&amp;"'!"&amp;ADDRESS($AD12,CO$1)),CO11)</f>
        <v/>
      </c>
      <c r="CP12" s="73">
        <f>IF(INDIRECT("'"&amp;$B$3&amp;"'!"&amp;ADDRESS($AD12,CP$1)),INDIRECT("'"&amp;$B$3&amp;"'!"&amp;ADDRESS($AD12,CP$1)),CP11)</f>
        <v/>
      </c>
      <c r="CQ12" s="73">
        <f>IF(INDIRECT("'"&amp;$B$3&amp;"'!"&amp;ADDRESS($AD12,CQ$1)),INDIRECT("'"&amp;$B$3&amp;"'!"&amp;ADDRESS($AD12,CQ$1)),CQ11)</f>
        <v/>
      </c>
    </row>
    <row r="13">
      <c r="AA13" s="72" t="n"/>
      <c r="AB13" s="238" t="n"/>
      <c r="AC13" s="236" t="n"/>
      <c r="AD13" t="n">
        <v>13</v>
      </c>
      <c r="AE13" s="73">
        <f>INDIRECT("'"&amp;$B$3&amp;"'!"&amp;ADDRESS($AD13,AE$1))</f>
        <v/>
      </c>
      <c r="AF13" s="73">
        <f>INDIRECT("'"&amp;$B$3&amp;"'!"&amp;ADDRESS($AD13,AF$1))</f>
        <v/>
      </c>
      <c r="AG13" s="73">
        <f>INDIRECT("'"&amp;$B$3&amp;"'!"&amp;ADDRESS($AD13,AG$1))</f>
        <v/>
      </c>
      <c r="AH13" s="73">
        <f>INDIRECT("'"&amp;$B$3&amp;"'!"&amp;ADDRESS($AD13,AH$1))</f>
        <v/>
      </c>
      <c r="AI13" s="73">
        <f>INDIRECT("'"&amp;$B$3&amp;"'!"&amp;ADDRESS($AD13,AI$1))</f>
        <v/>
      </c>
      <c r="AJ13" s="73">
        <f>INDIRECT("'"&amp;$B$3&amp;"'!"&amp;ADDRESS($AD13,AJ$1))</f>
        <v/>
      </c>
      <c r="AK13" s="73">
        <f>INDIRECT("'"&amp;$B$3&amp;"'!"&amp;ADDRESS($AD13,AK$1))</f>
        <v/>
      </c>
      <c r="AL13" s="73">
        <f>INDIRECT("'"&amp;$B$3&amp;"'!"&amp;ADDRESS($AD13,AL$1))</f>
        <v/>
      </c>
      <c r="AM13" s="73">
        <f>INDIRECT("'"&amp;$B$3&amp;"'!"&amp;ADDRESS($AD13,AM$1))</f>
        <v/>
      </c>
      <c r="AN13" s="73">
        <f>INDIRECT("'"&amp;$B$3&amp;"'!"&amp;ADDRESS($AD13,AN$1))</f>
        <v/>
      </c>
      <c r="AO13" s="73">
        <f>INDIRECT("'"&amp;$B$3&amp;"'!"&amp;ADDRESS($AD13,AO$1))</f>
        <v/>
      </c>
      <c r="AP13" s="73">
        <f>INDIRECT("'"&amp;$B$3&amp;"'!"&amp;ADDRESS($AD13,AP$1))</f>
        <v/>
      </c>
      <c r="AQ13" s="73">
        <f>INDIRECT("'"&amp;$B$3&amp;"'!"&amp;ADDRESS($AD13,AQ$1))</f>
        <v/>
      </c>
      <c r="AR13" s="73">
        <f>INDIRECT("'"&amp;$B$3&amp;"'!"&amp;ADDRESS($AD13,AR$1))</f>
        <v/>
      </c>
      <c r="AU13" s="236" t="n"/>
      <c r="AV13" s="73">
        <f>INDIRECT("'"&amp;$B$3&amp;"'!"&amp;ADDRESS($AD13,AV$1))</f>
        <v/>
      </c>
      <c r="AW13" s="73">
        <f>INDIRECT("'"&amp;$B$3&amp;"'!"&amp;ADDRESS($AD13,AW$1))</f>
        <v/>
      </c>
      <c r="AX13" s="73">
        <f>INDIRECT("'"&amp;$B$3&amp;"'!"&amp;ADDRESS($AD13,AX$1))</f>
        <v/>
      </c>
      <c r="AY13" s="73">
        <f>INDIRECT("'"&amp;$B$3&amp;"'!"&amp;ADDRESS($AD13,AY$1))</f>
        <v/>
      </c>
      <c r="AZ13" s="73">
        <f>INDIRECT("'"&amp;$B$3&amp;"'!"&amp;ADDRESS($AD13,AZ$1))</f>
        <v/>
      </c>
      <c r="BA13" s="73">
        <f>INDIRECT("'"&amp;$B$3&amp;"'!"&amp;ADDRESS($AD13,BA$1))</f>
        <v/>
      </c>
      <c r="BB13" s="73">
        <f>INDIRECT("'"&amp;$B$3&amp;"'!"&amp;ADDRESS($AD13,BB$1))</f>
        <v/>
      </c>
      <c r="BC13" s="73">
        <f>INDIRECT("'"&amp;$B$3&amp;"'!"&amp;ADDRESS($AD13,BC$1))</f>
        <v/>
      </c>
      <c r="BD13" s="73">
        <f>INDIRECT("'"&amp;$B$3&amp;"'!"&amp;ADDRESS($AD13,BD$1))</f>
        <v/>
      </c>
      <c r="BE13" s="73">
        <f>INDIRECT("'"&amp;$B$3&amp;"'!"&amp;ADDRESS($AD13,BE$1))</f>
        <v/>
      </c>
      <c r="BF13" s="73">
        <f>INDIRECT("'"&amp;$B$3&amp;"'!"&amp;ADDRESS($AD13,BF$1))</f>
        <v/>
      </c>
      <c r="BG13" s="73">
        <f>INDIRECT("'"&amp;$B$3&amp;"'!"&amp;ADDRESS($AD13,BG$1))</f>
        <v/>
      </c>
      <c r="BH13" s="73">
        <f>INDIRECT("'"&amp;$B$3&amp;"'!"&amp;ADDRESS($AD13,BH$1))</f>
        <v/>
      </c>
      <c r="BI13" s="73">
        <f>INDIRECT("'"&amp;$B$3&amp;"'!"&amp;ADDRESS($AD13,BI$1))</f>
        <v/>
      </c>
      <c r="BM13" s="73">
        <f>IF(INDIRECT("'"&amp;$B$3&amp;"'!"&amp;ADDRESS($AD13,BM$1)),INDIRECT("'"&amp;$B$3&amp;"'!"&amp;ADDRESS($AD13,BM$1)),BM12)</f>
        <v/>
      </c>
      <c r="BN13" s="73">
        <f>IF(INDIRECT("'"&amp;$B$3&amp;"'!"&amp;ADDRESS($AD13,BN$1)),INDIRECT("'"&amp;$B$3&amp;"'!"&amp;ADDRESS($AD13,BN$1)),BN12)</f>
        <v/>
      </c>
      <c r="BO13" s="73">
        <f>IF(INDIRECT("'"&amp;$B$3&amp;"'!"&amp;ADDRESS($AD13,BO$1)),INDIRECT("'"&amp;$B$3&amp;"'!"&amp;ADDRESS($AD13,BO$1)),BO12)</f>
        <v/>
      </c>
      <c r="BP13" s="73">
        <f>IF(INDIRECT("'"&amp;$B$3&amp;"'!"&amp;ADDRESS($AD13,BP$1)),INDIRECT("'"&amp;$B$3&amp;"'!"&amp;ADDRESS($AD13,BP$1)),BP12)</f>
        <v/>
      </c>
      <c r="BQ13" s="73">
        <f>IF(INDIRECT("'"&amp;$B$3&amp;"'!"&amp;ADDRESS($AD13,BQ$1)),INDIRECT("'"&amp;$B$3&amp;"'!"&amp;ADDRESS($AD13,BQ$1)),BQ12)</f>
        <v/>
      </c>
      <c r="BR13" s="73">
        <f>IF(INDIRECT("'"&amp;$B$3&amp;"'!"&amp;ADDRESS($AD13,BR$1)),INDIRECT("'"&amp;$B$3&amp;"'!"&amp;ADDRESS($AD13,BR$1)),BR12)</f>
        <v/>
      </c>
      <c r="BS13" s="73">
        <f>IF(INDIRECT("'"&amp;$B$3&amp;"'!"&amp;ADDRESS($AD13,BS$1)),INDIRECT("'"&amp;$B$3&amp;"'!"&amp;ADDRESS($AD13,BS$1)),BS12)</f>
        <v/>
      </c>
      <c r="BT13" s="73">
        <f>IF(INDIRECT("'"&amp;$B$3&amp;"'!"&amp;ADDRESS($AD13,BT$1)),INDIRECT("'"&amp;$B$3&amp;"'!"&amp;ADDRESS($AD13,BT$1)),BT12)</f>
        <v/>
      </c>
      <c r="BU13" s="73">
        <f>IF(INDIRECT("'"&amp;$B$3&amp;"'!"&amp;ADDRESS($AD13,BU$1)),INDIRECT("'"&amp;$B$3&amp;"'!"&amp;ADDRESS($AD13,BU$1)),BU12)</f>
        <v/>
      </c>
      <c r="BV13" s="73">
        <f>IF(INDIRECT("'"&amp;$B$3&amp;"'!"&amp;ADDRESS($AD13,BV$1)),INDIRECT("'"&amp;$B$3&amp;"'!"&amp;ADDRESS($AD13,BV$1)),BV12)</f>
        <v/>
      </c>
      <c r="BW13" s="73">
        <f>IF(INDIRECT("'"&amp;$B$3&amp;"'!"&amp;ADDRESS($AD13,BW$1)),INDIRECT("'"&amp;$B$3&amp;"'!"&amp;ADDRESS($AD13,BW$1)),BW12)</f>
        <v/>
      </c>
      <c r="BX13" s="73">
        <f>IF(INDIRECT("'"&amp;$B$3&amp;"'!"&amp;ADDRESS($AD13,BX$1)),INDIRECT("'"&amp;$B$3&amp;"'!"&amp;ADDRESS($AD13,BX$1)),BX12)</f>
        <v/>
      </c>
      <c r="BY13" s="73">
        <f>IF(INDIRECT("'"&amp;$B$3&amp;"'!"&amp;ADDRESS($AD13,BY$1)),INDIRECT("'"&amp;$B$3&amp;"'!"&amp;ADDRESS($AD13,BY$1)),BY12)</f>
        <v/>
      </c>
      <c r="BZ13" s="73">
        <f>IF(INDIRECT("'"&amp;$B$3&amp;"'!"&amp;ADDRESS($AD13,BZ$1)),INDIRECT("'"&amp;$B$3&amp;"'!"&amp;ADDRESS($AD13,BZ$1)),BZ12)</f>
        <v/>
      </c>
      <c r="CD13" s="73">
        <f>IF(INDIRECT("'"&amp;$B$3&amp;"'!"&amp;ADDRESS($AD13,CD$1)),INDIRECT("'"&amp;$B$3&amp;"'!"&amp;ADDRESS($AD13,CD$1)),CD12)</f>
        <v/>
      </c>
      <c r="CE13" s="73">
        <f>IF(INDIRECT("'"&amp;$B$3&amp;"'!"&amp;ADDRESS($AD13,CE$1)),INDIRECT("'"&amp;$B$3&amp;"'!"&amp;ADDRESS($AD13,CE$1)),CE12)</f>
        <v/>
      </c>
      <c r="CF13" s="73">
        <f>IF(INDIRECT("'"&amp;$B$3&amp;"'!"&amp;ADDRESS($AD13,CF$1)),INDIRECT("'"&amp;$B$3&amp;"'!"&amp;ADDRESS($AD13,CF$1)),CF12)</f>
        <v/>
      </c>
      <c r="CG13" s="73">
        <f>IF(INDIRECT("'"&amp;$B$3&amp;"'!"&amp;ADDRESS($AD13,CG$1)),INDIRECT("'"&amp;$B$3&amp;"'!"&amp;ADDRESS($AD13,CG$1)),CG12)</f>
        <v/>
      </c>
      <c r="CH13" s="73">
        <f>IF(INDIRECT("'"&amp;$B$3&amp;"'!"&amp;ADDRESS($AD13,CH$1)),INDIRECT("'"&amp;$B$3&amp;"'!"&amp;ADDRESS($AD13,CH$1)),CH12)</f>
        <v/>
      </c>
      <c r="CI13" s="73">
        <f>IF(INDIRECT("'"&amp;$B$3&amp;"'!"&amp;ADDRESS($AD13,CI$1)),INDIRECT("'"&amp;$B$3&amp;"'!"&amp;ADDRESS($AD13,CI$1)),CI12)</f>
        <v/>
      </c>
      <c r="CJ13" s="73">
        <f>IF(INDIRECT("'"&amp;$B$3&amp;"'!"&amp;ADDRESS($AD13,CJ$1)),INDIRECT("'"&amp;$B$3&amp;"'!"&amp;ADDRESS($AD13,CJ$1)),CJ12)</f>
        <v/>
      </c>
      <c r="CK13" s="73">
        <f>IF(INDIRECT("'"&amp;$B$3&amp;"'!"&amp;ADDRESS($AD13,CK$1)),INDIRECT("'"&amp;$B$3&amp;"'!"&amp;ADDRESS($AD13,CK$1)),CK12)</f>
        <v/>
      </c>
      <c r="CL13" s="73">
        <f>IF(INDIRECT("'"&amp;$B$3&amp;"'!"&amp;ADDRESS($AD13,CL$1)),INDIRECT("'"&amp;$B$3&amp;"'!"&amp;ADDRESS($AD13,CL$1)),CL12)</f>
        <v/>
      </c>
      <c r="CM13" s="73">
        <f>IF(INDIRECT("'"&amp;$B$3&amp;"'!"&amp;ADDRESS($AD13,CM$1)),INDIRECT("'"&amp;$B$3&amp;"'!"&amp;ADDRESS($AD13,CM$1)),CM12)</f>
        <v/>
      </c>
      <c r="CN13" s="73">
        <f>IF(INDIRECT("'"&amp;$B$3&amp;"'!"&amp;ADDRESS($AD13,CN$1)),INDIRECT("'"&amp;$B$3&amp;"'!"&amp;ADDRESS($AD13,CN$1)),CN12)</f>
        <v/>
      </c>
      <c r="CO13" s="73">
        <f>IF(INDIRECT("'"&amp;$B$3&amp;"'!"&amp;ADDRESS($AD13,CO$1)),INDIRECT("'"&amp;$B$3&amp;"'!"&amp;ADDRESS($AD13,CO$1)),CO12)</f>
        <v/>
      </c>
      <c r="CP13" s="73">
        <f>IF(INDIRECT("'"&amp;$B$3&amp;"'!"&amp;ADDRESS($AD13,CP$1)),INDIRECT("'"&amp;$B$3&amp;"'!"&amp;ADDRESS($AD13,CP$1)),CP12)</f>
        <v/>
      </c>
      <c r="CQ13" s="73">
        <f>IF(INDIRECT("'"&amp;$B$3&amp;"'!"&amp;ADDRESS($AD13,CQ$1)),INDIRECT("'"&amp;$B$3&amp;"'!"&amp;ADDRESS($AD13,CQ$1)),CQ12)</f>
        <v/>
      </c>
    </row>
    <row r="14">
      <c r="AA14" s="72" t="n"/>
      <c r="AB14" s="238" t="n"/>
      <c r="AC14" s="236" t="n"/>
      <c r="AD14" t="n">
        <v>14</v>
      </c>
      <c r="AE14" s="73">
        <f>INDIRECT("'"&amp;$B$3&amp;"'!"&amp;ADDRESS($AD14,AE$1))</f>
        <v/>
      </c>
      <c r="AF14" s="73">
        <f>INDIRECT("'"&amp;$B$3&amp;"'!"&amp;ADDRESS($AD14,AF$1))</f>
        <v/>
      </c>
      <c r="AG14" s="73">
        <f>INDIRECT("'"&amp;$B$3&amp;"'!"&amp;ADDRESS($AD14,AG$1))</f>
        <v/>
      </c>
      <c r="AH14" s="73">
        <f>INDIRECT("'"&amp;$B$3&amp;"'!"&amp;ADDRESS($AD14,AH$1))</f>
        <v/>
      </c>
      <c r="AI14" s="73">
        <f>INDIRECT("'"&amp;$B$3&amp;"'!"&amp;ADDRESS($AD14,AI$1))</f>
        <v/>
      </c>
      <c r="AJ14" s="73">
        <f>INDIRECT("'"&amp;$B$3&amp;"'!"&amp;ADDRESS($AD14,AJ$1))</f>
        <v/>
      </c>
      <c r="AK14" s="73">
        <f>INDIRECT("'"&amp;$B$3&amp;"'!"&amp;ADDRESS($AD14,AK$1))</f>
        <v/>
      </c>
      <c r="AL14" s="73">
        <f>INDIRECT("'"&amp;$B$3&amp;"'!"&amp;ADDRESS($AD14,AL$1))</f>
        <v/>
      </c>
      <c r="AM14" s="73">
        <f>INDIRECT("'"&amp;$B$3&amp;"'!"&amp;ADDRESS($AD14,AM$1))</f>
        <v/>
      </c>
      <c r="AN14" s="73">
        <f>INDIRECT("'"&amp;$B$3&amp;"'!"&amp;ADDRESS($AD14,AN$1))</f>
        <v/>
      </c>
      <c r="AO14" s="73">
        <f>INDIRECT("'"&amp;$B$3&amp;"'!"&amp;ADDRESS($AD14,AO$1))</f>
        <v/>
      </c>
      <c r="AP14" s="73">
        <f>INDIRECT("'"&amp;$B$3&amp;"'!"&amp;ADDRESS($AD14,AP$1))</f>
        <v/>
      </c>
      <c r="AQ14" s="73">
        <f>INDIRECT("'"&amp;$B$3&amp;"'!"&amp;ADDRESS($AD14,AQ$1))</f>
        <v/>
      </c>
      <c r="AR14" s="73">
        <f>INDIRECT("'"&amp;$B$3&amp;"'!"&amp;ADDRESS($AD14,AR$1))</f>
        <v/>
      </c>
      <c r="AU14" s="236" t="n"/>
      <c r="AV14" s="73">
        <f>INDIRECT("'"&amp;$B$3&amp;"'!"&amp;ADDRESS($AD14,AV$1))</f>
        <v/>
      </c>
      <c r="AW14" s="73">
        <f>INDIRECT("'"&amp;$B$3&amp;"'!"&amp;ADDRESS($AD14,AW$1))</f>
        <v/>
      </c>
      <c r="AX14" s="73">
        <f>INDIRECT("'"&amp;$B$3&amp;"'!"&amp;ADDRESS($AD14,AX$1))</f>
        <v/>
      </c>
      <c r="AY14" s="73">
        <f>INDIRECT("'"&amp;$B$3&amp;"'!"&amp;ADDRESS($AD14,AY$1))</f>
        <v/>
      </c>
      <c r="AZ14" s="73">
        <f>INDIRECT("'"&amp;$B$3&amp;"'!"&amp;ADDRESS($AD14,AZ$1))</f>
        <v/>
      </c>
      <c r="BA14" s="73">
        <f>INDIRECT("'"&amp;$B$3&amp;"'!"&amp;ADDRESS($AD14,BA$1))</f>
        <v/>
      </c>
      <c r="BB14" s="73">
        <f>INDIRECT("'"&amp;$B$3&amp;"'!"&amp;ADDRESS($AD14,BB$1))</f>
        <v/>
      </c>
      <c r="BC14" s="73">
        <f>INDIRECT("'"&amp;$B$3&amp;"'!"&amp;ADDRESS($AD14,BC$1))</f>
        <v/>
      </c>
      <c r="BD14" s="73">
        <f>INDIRECT("'"&amp;$B$3&amp;"'!"&amp;ADDRESS($AD14,BD$1))</f>
        <v/>
      </c>
      <c r="BE14" s="73">
        <f>INDIRECT("'"&amp;$B$3&amp;"'!"&amp;ADDRESS($AD14,BE$1))</f>
        <v/>
      </c>
      <c r="BF14" s="73">
        <f>INDIRECT("'"&amp;$B$3&amp;"'!"&amp;ADDRESS($AD14,BF$1))</f>
        <v/>
      </c>
      <c r="BG14" s="73">
        <f>INDIRECT("'"&amp;$B$3&amp;"'!"&amp;ADDRESS($AD14,BG$1))</f>
        <v/>
      </c>
      <c r="BH14" s="73">
        <f>INDIRECT("'"&amp;$B$3&amp;"'!"&amp;ADDRESS($AD14,BH$1))</f>
        <v/>
      </c>
      <c r="BI14" s="73">
        <f>INDIRECT("'"&amp;$B$3&amp;"'!"&amp;ADDRESS($AD14,BI$1))</f>
        <v/>
      </c>
      <c r="BM14" s="73">
        <f>IF(INDIRECT("'"&amp;$B$3&amp;"'!"&amp;ADDRESS($AD14,BM$1)),INDIRECT("'"&amp;$B$3&amp;"'!"&amp;ADDRESS($AD14,BM$1)),BM13)</f>
        <v/>
      </c>
      <c r="BN14" s="73">
        <f>IF(INDIRECT("'"&amp;$B$3&amp;"'!"&amp;ADDRESS($AD14,BN$1)),INDIRECT("'"&amp;$B$3&amp;"'!"&amp;ADDRESS($AD14,BN$1)),BN13)</f>
        <v/>
      </c>
      <c r="BO14" s="73">
        <f>IF(INDIRECT("'"&amp;$B$3&amp;"'!"&amp;ADDRESS($AD14,BO$1)),INDIRECT("'"&amp;$B$3&amp;"'!"&amp;ADDRESS($AD14,BO$1)),BO13)</f>
        <v/>
      </c>
      <c r="BP14" s="73">
        <f>IF(INDIRECT("'"&amp;$B$3&amp;"'!"&amp;ADDRESS($AD14,BP$1)),INDIRECT("'"&amp;$B$3&amp;"'!"&amp;ADDRESS($AD14,BP$1)),BP13)</f>
        <v/>
      </c>
      <c r="BQ14" s="73">
        <f>IF(INDIRECT("'"&amp;$B$3&amp;"'!"&amp;ADDRESS($AD14,BQ$1)),INDIRECT("'"&amp;$B$3&amp;"'!"&amp;ADDRESS($AD14,BQ$1)),BQ13)</f>
        <v/>
      </c>
      <c r="BR14" s="73">
        <f>IF(INDIRECT("'"&amp;$B$3&amp;"'!"&amp;ADDRESS($AD14,BR$1)),INDIRECT("'"&amp;$B$3&amp;"'!"&amp;ADDRESS($AD14,BR$1)),BR13)</f>
        <v/>
      </c>
      <c r="BS14" s="73">
        <f>IF(INDIRECT("'"&amp;$B$3&amp;"'!"&amp;ADDRESS($AD14,BS$1)),INDIRECT("'"&amp;$B$3&amp;"'!"&amp;ADDRESS($AD14,BS$1)),BS13)</f>
        <v/>
      </c>
      <c r="BT14" s="73">
        <f>IF(INDIRECT("'"&amp;$B$3&amp;"'!"&amp;ADDRESS($AD14,BT$1)),INDIRECT("'"&amp;$B$3&amp;"'!"&amp;ADDRESS($AD14,BT$1)),BT13)</f>
        <v/>
      </c>
      <c r="BU14" s="73">
        <f>IF(INDIRECT("'"&amp;$B$3&amp;"'!"&amp;ADDRESS($AD14,BU$1)),INDIRECT("'"&amp;$B$3&amp;"'!"&amp;ADDRESS($AD14,BU$1)),BU13)</f>
        <v/>
      </c>
      <c r="BV14" s="73">
        <f>IF(INDIRECT("'"&amp;$B$3&amp;"'!"&amp;ADDRESS($AD14,BV$1)),INDIRECT("'"&amp;$B$3&amp;"'!"&amp;ADDRESS($AD14,BV$1)),BV13)</f>
        <v/>
      </c>
      <c r="BW14" s="73">
        <f>IF(INDIRECT("'"&amp;$B$3&amp;"'!"&amp;ADDRESS($AD14,BW$1)),INDIRECT("'"&amp;$B$3&amp;"'!"&amp;ADDRESS($AD14,BW$1)),BW13)</f>
        <v/>
      </c>
      <c r="BX14" s="73">
        <f>IF(INDIRECT("'"&amp;$B$3&amp;"'!"&amp;ADDRESS($AD14,BX$1)),INDIRECT("'"&amp;$B$3&amp;"'!"&amp;ADDRESS($AD14,BX$1)),BX13)</f>
        <v/>
      </c>
      <c r="BY14" s="73">
        <f>IF(INDIRECT("'"&amp;$B$3&amp;"'!"&amp;ADDRESS($AD14,BY$1)),INDIRECT("'"&amp;$B$3&amp;"'!"&amp;ADDRESS($AD14,BY$1)),BY13)</f>
        <v/>
      </c>
      <c r="BZ14" s="73">
        <f>IF(INDIRECT("'"&amp;$B$3&amp;"'!"&amp;ADDRESS($AD14,BZ$1)),INDIRECT("'"&amp;$B$3&amp;"'!"&amp;ADDRESS($AD14,BZ$1)),BZ13)</f>
        <v/>
      </c>
      <c r="CD14" s="73">
        <f>IF(INDIRECT("'"&amp;$B$3&amp;"'!"&amp;ADDRESS($AD14,CD$1)),INDIRECT("'"&amp;$B$3&amp;"'!"&amp;ADDRESS($AD14,CD$1)),CD13)</f>
        <v/>
      </c>
      <c r="CE14" s="73">
        <f>IF(INDIRECT("'"&amp;$B$3&amp;"'!"&amp;ADDRESS($AD14,CE$1)),INDIRECT("'"&amp;$B$3&amp;"'!"&amp;ADDRESS($AD14,CE$1)),CE13)</f>
        <v/>
      </c>
      <c r="CF14" s="73">
        <f>IF(INDIRECT("'"&amp;$B$3&amp;"'!"&amp;ADDRESS($AD14,CF$1)),INDIRECT("'"&amp;$B$3&amp;"'!"&amp;ADDRESS($AD14,CF$1)),CF13)</f>
        <v/>
      </c>
      <c r="CG14" s="73">
        <f>IF(INDIRECT("'"&amp;$B$3&amp;"'!"&amp;ADDRESS($AD14,CG$1)),INDIRECT("'"&amp;$B$3&amp;"'!"&amp;ADDRESS($AD14,CG$1)),CG13)</f>
        <v/>
      </c>
      <c r="CH14" s="73">
        <f>IF(INDIRECT("'"&amp;$B$3&amp;"'!"&amp;ADDRESS($AD14,CH$1)),INDIRECT("'"&amp;$B$3&amp;"'!"&amp;ADDRESS($AD14,CH$1)),CH13)</f>
        <v/>
      </c>
      <c r="CI14" s="73">
        <f>IF(INDIRECT("'"&amp;$B$3&amp;"'!"&amp;ADDRESS($AD14,CI$1)),INDIRECT("'"&amp;$B$3&amp;"'!"&amp;ADDRESS($AD14,CI$1)),CI13)</f>
        <v/>
      </c>
      <c r="CJ14" s="73">
        <f>IF(INDIRECT("'"&amp;$B$3&amp;"'!"&amp;ADDRESS($AD14,CJ$1)),INDIRECT("'"&amp;$B$3&amp;"'!"&amp;ADDRESS($AD14,CJ$1)),CJ13)</f>
        <v/>
      </c>
      <c r="CK14" s="73">
        <f>IF(INDIRECT("'"&amp;$B$3&amp;"'!"&amp;ADDRESS($AD14,CK$1)),INDIRECT("'"&amp;$B$3&amp;"'!"&amp;ADDRESS($AD14,CK$1)),CK13)</f>
        <v/>
      </c>
      <c r="CL14" s="73">
        <f>IF(INDIRECT("'"&amp;$B$3&amp;"'!"&amp;ADDRESS($AD14,CL$1)),INDIRECT("'"&amp;$B$3&amp;"'!"&amp;ADDRESS($AD14,CL$1)),CL13)</f>
        <v/>
      </c>
      <c r="CM14" s="73">
        <f>IF(INDIRECT("'"&amp;$B$3&amp;"'!"&amp;ADDRESS($AD14,CM$1)),INDIRECT("'"&amp;$B$3&amp;"'!"&amp;ADDRESS($AD14,CM$1)),CM13)</f>
        <v/>
      </c>
      <c r="CN14" s="73">
        <f>IF(INDIRECT("'"&amp;$B$3&amp;"'!"&amp;ADDRESS($AD14,CN$1)),INDIRECT("'"&amp;$B$3&amp;"'!"&amp;ADDRESS($AD14,CN$1)),CN13)</f>
        <v/>
      </c>
      <c r="CO14" s="73">
        <f>IF(INDIRECT("'"&amp;$B$3&amp;"'!"&amp;ADDRESS($AD14,CO$1)),INDIRECT("'"&amp;$B$3&amp;"'!"&amp;ADDRESS($AD14,CO$1)),CO13)</f>
        <v/>
      </c>
      <c r="CP14" s="73">
        <f>IF(INDIRECT("'"&amp;$B$3&amp;"'!"&amp;ADDRESS($AD14,CP$1)),INDIRECT("'"&amp;$B$3&amp;"'!"&amp;ADDRESS($AD14,CP$1)),CP13)</f>
        <v/>
      </c>
      <c r="CQ14" s="73">
        <f>IF(INDIRECT("'"&amp;$B$3&amp;"'!"&amp;ADDRESS($AD14,CQ$1)),INDIRECT("'"&amp;$B$3&amp;"'!"&amp;ADDRESS($AD14,CQ$1)),CQ13)</f>
        <v/>
      </c>
    </row>
    <row r="15">
      <c r="AA15" s="72" t="n"/>
      <c r="AB15" s="238" t="n"/>
      <c r="AC15" s="236" t="n"/>
      <c r="AD15" t="n">
        <v>15</v>
      </c>
      <c r="AE15" s="73">
        <f>INDIRECT("'"&amp;$B$3&amp;"'!"&amp;ADDRESS($AD15,AE$1))</f>
        <v/>
      </c>
      <c r="AF15" s="73">
        <f>INDIRECT("'"&amp;$B$3&amp;"'!"&amp;ADDRESS($AD15,AF$1))</f>
        <v/>
      </c>
      <c r="AG15" s="73">
        <f>INDIRECT("'"&amp;$B$3&amp;"'!"&amp;ADDRESS($AD15,AG$1))</f>
        <v/>
      </c>
      <c r="AH15" s="73">
        <f>INDIRECT("'"&amp;$B$3&amp;"'!"&amp;ADDRESS($AD15,AH$1))</f>
        <v/>
      </c>
      <c r="AI15" s="73">
        <f>INDIRECT("'"&amp;$B$3&amp;"'!"&amp;ADDRESS($AD15,AI$1))</f>
        <v/>
      </c>
      <c r="AJ15" s="73">
        <f>INDIRECT("'"&amp;$B$3&amp;"'!"&amp;ADDRESS($AD15,AJ$1))</f>
        <v/>
      </c>
      <c r="AK15" s="73">
        <f>INDIRECT("'"&amp;$B$3&amp;"'!"&amp;ADDRESS($AD15,AK$1))</f>
        <v/>
      </c>
      <c r="AL15" s="73">
        <f>INDIRECT("'"&amp;$B$3&amp;"'!"&amp;ADDRESS($AD15,AL$1))</f>
        <v/>
      </c>
      <c r="AM15" s="73">
        <f>INDIRECT("'"&amp;$B$3&amp;"'!"&amp;ADDRESS($AD15,AM$1))</f>
        <v/>
      </c>
      <c r="AN15" s="73">
        <f>INDIRECT("'"&amp;$B$3&amp;"'!"&amp;ADDRESS($AD15,AN$1))</f>
        <v/>
      </c>
      <c r="AO15" s="73">
        <f>INDIRECT("'"&amp;$B$3&amp;"'!"&amp;ADDRESS($AD15,AO$1))</f>
        <v/>
      </c>
      <c r="AP15" s="73">
        <f>INDIRECT("'"&amp;$B$3&amp;"'!"&amp;ADDRESS($AD15,AP$1))</f>
        <v/>
      </c>
      <c r="AQ15" s="73">
        <f>INDIRECT("'"&amp;$B$3&amp;"'!"&amp;ADDRESS($AD15,AQ$1))</f>
        <v/>
      </c>
      <c r="AR15" s="73">
        <f>INDIRECT("'"&amp;$B$3&amp;"'!"&amp;ADDRESS($AD15,AR$1))</f>
        <v/>
      </c>
      <c r="AU15" s="236" t="n"/>
      <c r="AV15" s="73">
        <f>INDIRECT("'"&amp;$B$3&amp;"'!"&amp;ADDRESS($AD15,AV$1))</f>
        <v/>
      </c>
      <c r="AW15" s="73">
        <f>INDIRECT("'"&amp;$B$3&amp;"'!"&amp;ADDRESS($AD15,AW$1))</f>
        <v/>
      </c>
      <c r="AX15" s="73">
        <f>INDIRECT("'"&amp;$B$3&amp;"'!"&amp;ADDRESS($AD15,AX$1))</f>
        <v/>
      </c>
      <c r="AY15" s="73">
        <f>INDIRECT("'"&amp;$B$3&amp;"'!"&amp;ADDRESS($AD15,AY$1))</f>
        <v/>
      </c>
      <c r="AZ15" s="73">
        <f>INDIRECT("'"&amp;$B$3&amp;"'!"&amp;ADDRESS($AD15,AZ$1))</f>
        <v/>
      </c>
      <c r="BA15" s="73">
        <f>INDIRECT("'"&amp;$B$3&amp;"'!"&amp;ADDRESS($AD15,BA$1))</f>
        <v/>
      </c>
      <c r="BB15" s="73">
        <f>INDIRECT("'"&amp;$B$3&amp;"'!"&amp;ADDRESS($AD15,BB$1))</f>
        <v/>
      </c>
      <c r="BC15" s="73">
        <f>INDIRECT("'"&amp;$B$3&amp;"'!"&amp;ADDRESS($AD15,BC$1))</f>
        <v/>
      </c>
      <c r="BD15" s="73">
        <f>INDIRECT("'"&amp;$B$3&amp;"'!"&amp;ADDRESS($AD15,BD$1))</f>
        <v/>
      </c>
      <c r="BE15" s="73">
        <f>INDIRECT("'"&amp;$B$3&amp;"'!"&amp;ADDRESS($AD15,BE$1))</f>
        <v/>
      </c>
      <c r="BF15" s="73">
        <f>INDIRECT("'"&amp;$B$3&amp;"'!"&amp;ADDRESS($AD15,BF$1))</f>
        <v/>
      </c>
      <c r="BG15" s="73">
        <f>INDIRECT("'"&amp;$B$3&amp;"'!"&amp;ADDRESS($AD15,BG$1))</f>
        <v/>
      </c>
      <c r="BH15" s="73">
        <f>INDIRECT("'"&amp;$B$3&amp;"'!"&amp;ADDRESS($AD15,BH$1))</f>
        <v/>
      </c>
      <c r="BI15" s="73">
        <f>INDIRECT("'"&amp;$B$3&amp;"'!"&amp;ADDRESS($AD15,BI$1))</f>
        <v/>
      </c>
      <c r="BM15" s="73">
        <f>IF(INDIRECT("'"&amp;$B$3&amp;"'!"&amp;ADDRESS($AD15,BM$1)),INDIRECT("'"&amp;$B$3&amp;"'!"&amp;ADDRESS($AD15,BM$1)),BM14)</f>
        <v/>
      </c>
      <c r="BN15" s="73">
        <f>IF(INDIRECT("'"&amp;$B$3&amp;"'!"&amp;ADDRESS($AD15,BN$1)),INDIRECT("'"&amp;$B$3&amp;"'!"&amp;ADDRESS($AD15,BN$1)),BN14)</f>
        <v/>
      </c>
      <c r="BO15" s="73">
        <f>IF(INDIRECT("'"&amp;$B$3&amp;"'!"&amp;ADDRESS($AD15,BO$1)),INDIRECT("'"&amp;$B$3&amp;"'!"&amp;ADDRESS($AD15,BO$1)),BO14)</f>
        <v/>
      </c>
      <c r="BP15" s="73">
        <f>IF(INDIRECT("'"&amp;$B$3&amp;"'!"&amp;ADDRESS($AD15,BP$1)),INDIRECT("'"&amp;$B$3&amp;"'!"&amp;ADDRESS($AD15,BP$1)),BP14)</f>
        <v/>
      </c>
      <c r="BQ15" s="73">
        <f>IF(INDIRECT("'"&amp;$B$3&amp;"'!"&amp;ADDRESS($AD15,BQ$1)),INDIRECT("'"&amp;$B$3&amp;"'!"&amp;ADDRESS($AD15,BQ$1)),BQ14)</f>
        <v/>
      </c>
      <c r="BR15" s="73">
        <f>IF(INDIRECT("'"&amp;$B$3&amp;"'!"&amp;ADDRESS($AD15,BR$1)),INDIRECT("'"&amp;$B$3&amp;"'!"&amp;ADDRESS($AD15,BR$1)),BR14)</f>
        <v/>
      </c>
      <c r="BS15" s="73">
        <f>IF(INDIRECT("'"&amp;$B$3&amp;"'!"&amp;ADDRESS($AD15,BS$1)),INDIRECT("'"&amp;$B$3&amp;"'!"&amp;ADDRESS($AD15,BS$1)),BS14)</f>
        <v/>
      </c>
      <c r="BT15" s="73">
        <f>IF(INDIRECT("'"&amp;$B$3&amp;"'!"&amp;ADDRESS($AD15,BT$1)),INDIRECT("'"&amp;$B$3&amp;"'!"&amp;ADDRESS($AD15,BT$1)),BT14)</f>
        <v/>
      </c>
      <c r="BU15" s="73">
        <f>IF(INDIRECT("'"&amp;$B$3&amp;"'!"&amp;ADDRESS($AD15,BU$1)),INDIRECT("'"&amp;$B$3&amp;"'!"&amp;ADDRESS($AD15,BU$1)),BU14)</f>
        <v/>
      </c>
      <c r="BV15" s="73">
        <f>IF(INDIRECT("'"&amp;$B$3&amp;"'!"&amp;ADDRESS($AD15,BV$1)),INDIRECT("'"&amp;$B$3&amp;"'!"&amp;ADDRESS($AD15,BV$1)),BV14)</f>
        <v/>
      </c>
      <c r="BW15" s="73">
        <f>IF(INDIRECT("'"&amp;$B$3&amp;"'!"&amp;ADDRESS($AD15,BW$1)),INDIRECT("'"&amp;$B$3&amp;"'!"&amp;ADDRESS($AD15,BW$1)),BW14)</f>
        <v/>
      </c>
      <c r="BX15" s="73">
        <f>IF(INDIRECT("'"&amp;$B$3&amp;"'!"&amp;ADDRESS($AD15,BX$1)),INDIRECT("'"&amp;$B$3&amp;"'!"&amp;ADDRESS($AD15,BX$1)),BX14)</f>
        <v/>
      </c>
      <c r="BY15" s="73">
        <f>IF(INDIRECT("'"&amp;$B$3&amp;"'!"&amp;ADDRESS($AD15,BY$1)),INDIRECT("'"&amp;$B$3&amp;"'!"&amp;ADDRESS($AD15,BY$1)),BY14)</f>
        <v/>
      </c>
      <c r="BZ15" s="73">
        <f>IF(INDIRECT("'"&amp;$B$3&amp;"'!"&amp;ADDRESS($AD15,BZ$1)),INDIRECT("'"&amp;$B$3&amp;"'!"&amp;ADDRESS($AD15,BZ$1)),BZ14)</f>
        <v/>
      </c>
      <c r="CD15" s="73">
        <f>IF(INDIRECT("'"&amp;$B$3&amp;"'!"&amp;ADDRESS($AD15,CD$1)),INDIRECT("'"&amp;$B$3&amp;"'!"&amp;ADDRESS($AD15,CD$1)),CD14)</f>
        <v/>
      </c>
      <c r="CE15" s="73">
        <f>IF(INDIRECT("'"&amp;$B$3&amp;"'!"&amp;ADDRESS($AD15,CE$1)),INDIRECT("'"&amp;$B$3&amp;"'!"&amp;ADDRESS($AD15,CE$1)),CE14)</f>
        <v/>
      </c>
      <c r="CF15" s="73">
        <f>IF(INDIRECT("'"&amp;$B$3&amp;"'!"&amp;ADDRESS($AD15,CF$1)),INDIRECT("'"&amp;$B$3&amp;"'!"&amp;ADDRESS($AD15,CF$1)),CF14)</f>
        <v/>
      </c>
      <c r="CG15" s="73">
        <f>IF(INDIRECT("'"&amp;$B$3&amp;"'!"&amp;ADDRESS($AD15,CG$1)),INDIRECT("'"&amp;$B$3&amp;"'!"&amp;ADDRESS($AD15,CG$1)),CG14)</f>
        <v/>
      </c>
      <c r="CH15" s="73">
        <f>IF(INDIRECT("'"&amp;$B$3&amp;"'!"&amp;ADDRESS($AD15,CH$1)),INDIRECT("'"&amp;$B$3&amp;"'!"&amp;ADDRESS($AD15,CH$1)),CH14)</f>
        <v/>
      </c>
      <c r="CI15" s="73">
        <f>IF(INDIRECT("'"&amp;$B$3&amp;"'!"&amp;ADDRESS($AD15,CI$1)),INDIRECT("'"&amp;$B$3&amp;"'!"&amp;ADDRESS($AD15,CI$1)),CI14)</f>
        <v/>
      </c>
      <c r="CJ15" s="73">
        <f>IF(INDIRECT("'"&amp;$B$3&amp;"'!"&amp;ADDRESS($AD15,CJ$1)),INDIRECT("'"&amp;$B$3&amp;"'!"&amp;ADDRESS($AD15,CJ$1)),CJ14)</f>
        <v/>
      </c>
      <c r="CK15" s="73">
        <f>IF(INDIRECT("'"&amp;$B$3&amp;"'!"&amp;ADDRESS($AD15,CK$1)),INDIRECT("'"&amp;$B$3&amp;"'!"&amp;ADDRESS($AD15,CK$1)),CK14)</f>
        <v/>
      </c>
      <c r="CL15" s="73">
        <f>IF(INDIRECT("'"&amp;$B$3&amp;"'!"&amp;ADDRESS($AD15,CL$1)),INDIRECT("'"&amp;$B$3&amp;"'!"&amp;ADDRESS($AD15,CL$1)),CL14)</f>
        <v/>
      </c>
      <c r="CM15" s="73">
        <f>IF(INDIRECT("'"&amp;$B$3&amp;"'!"&amp;ADDRESS($AD15,CM$1)),INDIRECT("'"&amp;$B$3&amp;"'!"&amp;ADDRESS($AD15,CM$1)),CM14)</f>
        <v/>
      </c>
      <c r="CN15" s="73">
        <f>IF(INDIRECT("'"&amp;$B$3&amp;"'!"&amp;ADDRESS($AD15,CN$1)),INDIRECT("'"&amp;$B$3&amp;"'!"&amp;ADDRESS($AD15,CN$1)),CN14)</f>
        <v/>
      </c>
      <c r="CO15" s="73">
        <f>IF(INDIRECT("'"&amp;$B$3&amp;"'!"&amp;ADDRESS($AD15,CO$1)),INDIRECT("'"&amp;$B$3&amp;"'!"&amp;ADDRESS($AD15,CO$1)),CO14)</f>
        <v/>
      </c>
      <c r="CP15" s="73">
        <f>IF(INDIRECT("'"&amp;$B$3&amp;"'!"&amp;ADDRESS($AD15,CP$1)),INDIRECT("'"&amp;$B$3&amp;"'!"&amp;ADDRESS($AD15,CP$1)),CP14)</f>
        <v/>
      </c>
      <c r="CQ15" s="73">
        <f>IF(INDIRECT("'"&amp;$B$3&amp;"'!"&amp;ADDRESS($AD15,CQ$1)),INDIRECT("'"&amp;$B$3&amp;"'!"&amp;ADDRESS($AD15,CQ$1)),CQ14)</f>
        <v/>
      </c>
    </row>
    <row r="16">
      <c r="AA16" s="72" t="n"/>
      <c r="AB16" s="239" t="n"/>
      <c r="AC16" s="236" t="n"/>
      <c r="AD16" t="n">
        <v>16</v>
      </c>
      <c r="AE16" s="73">
        <f>INDIRECT("'"&amp;$B$3&amp;"'!"&amp;ADDRESS($AD16,AE$1))</f>
        <v/>
      </c>
      <c r="AF16" s="73">
        <f>INDIRECT("'"&amp;$B$3&amp;"'!"&amp;ADDRESS($AD16,AF$1))</f>
        <v/>
      </c>
      <c r="AG16" s="73">
        <f>INDIRECT("'"&amp;$B$3&amp;"'!"&amp;ADDRESS($AD16,AG$1))</f>
        <v/>
      </c>
      <c r="AH16" s="73">
        <f>INDIRECT("'"&amp;$B$3&amp;"'!"&amp;ADDRESS($AD16,AH$1))</f>
        <v/>
      </c>
      <c r="AI16" s="73">
        <f>INDIRECT("'"&amp;$B$3&amp;"'!"&amp;ADDRESS($AD16,AI$1))</f>
        <v/>
      </c>
      <c r="AJ16" s="73">
        <f>INDIRECT("'"&amp;$B$3&amp;"'!"&amp;ADDRESS($AD16,AJ$1))</f>
        <v/>
      </c>
      <c r="AK16" s="73">
        <f>INDIRECT("'"&amp;$B$3&amp;"'!"&amp;ADDRESS($AD16,AK$1))</f>
        <v/>
      </c>
      <c r="AL16" s="73">
        <f>INDIRECT("'"&amp;$B$3&amp;"'!"&amp;ADDRESS($AD16,AL$1))</f>
        <v/>
      </c>
      <c r="AM16" s="73">
        <f>INDIRECT("'"&amp;$B$3&amp;"'!"&amp;ADDRESS($AD16,AM$1))</f>
        <v/>
      </c>
      <c r="AN16" s="73">
        <f>INDIRECT("'"&amp;$B$3&amp;"'!"&amp;ADDRESS($AD16,AN$1))</f>
        <v/>
      </c>
      <c r="AO16" s="73">
        <f>INDIRECT("'"&amp;$B$3&amp;"'!"&amp;ADDRESS($AD16,AO$1))</f>
        <v/>
      </c>
      <c r="AP16" s="73">
        <f>INDIRECT("'"&amp;$B$3&amp;"'!"&amp;ADDRESS($AD16,AP$1))</f>
        <v/>
      </c>
      <c r="AQ16" s="73">
        <f>INDIRECT("'"&amp;$B$3&amp;"'!"&amp;ADDRESS($AD16,AQ$1))</f>
        <v/>
      </c>
      <c r="AR16" s="73">
        <f>INDIRECT("'"&amp;$B$3&amp;"'!"&amp;ADDRESS($AD16,AR$1))</f>
        <v/>
      </c>
      <c r="AU16" s="236" t="n"/>
      <c r="AV16" s="73">
        <f>INDIRECT("'"&amp;$B$3&amp;"'!"&amp;ADDRESS($AD16,AV$1))</f>
        <v/>
      </c>
      <c r="AW16" s="73">
        <f>INDIRECT("'"&amp;$B$3&amp;"'!"&amp;ADDRESS($AD16,AW$1))</f>
        <v/>
      </c>
      <c r="AX16" s="73">
        <f>INDIRECT("'"&amp;$B$3&amp;"'!"&amp;ADDRESS($AD16,AX$1))</f>
        <v/>
      </c>
      <c r="AY16" s="73">
        <f>INDIRECT("'"&amp;$B$3&amp;"'!"&amp;ADDRESS($AD16,AY$1))</f>
        <v/>
      </c>
      <c r="AZ16" s="73">
        <f>INDIRECT("'"&amp;$B$3&amp;"'!"&amp;ADDRESS($AD16,AZ$1))</f>
        <v/>
      </c>
      <c r="BA16" s="73">
        <f>INDIRECT("'"&amp;$B$3&amp;"'!"&amp;ADDRESS($AD16,BA$1))</f>
        <v/>
      </c>
      <c r="BB16" s="73">
        <f>INDIRECT("'"&amp;$B$3&amp;"'!"&amp;ADDRESS($AD16,BB$1))</f>
        <v/>
      </c>
      <c r="BC16" s="73">
        <f>INDIRECT("'"&amp;$B$3&amp;"'!"&amp;ADDRESS($AD16,BC$1))</f>
        <v/>
      </c>
      <c r="BD16" s="73">
        <f>INDIRECT("'"&amp;$B$3&amp;"'!"&amp;ADDRESS($AD16,BD$1))</f>
        <v/>
      </c>
      <c r="BE16" s="73">
        <f>INDIRECT("'"&amp;$B$3&amp;"'!"&amp;ADDRESS($AD16,BE$1))</f>
        <v/>
      </c>
      <c r="BF16" s="73">
        <f>INDIRECT("'"&amp;$B$3&amp;"'!"&amp;ADDRESS($AD16,BF$1))</f>
        <v/>
      </c>
      <c r="BG16" s="73">
        <f>INDIRECT("'"&amp;$B$3&amp;"'!"&amp;ADDRESS($AD16,BG$1))</f>
        <v/>
      </c>
      <c r="BH16" s="73">
        <f>INDIRECT("'"&amp;$B$3&amp;"'!"&amp;ADDRESS($AD16,BH$1))</f>
        <v/>
      </c>
      <c r="BI16" s="73">
        <f>INDIRECT("'"&amp;$B$3&amp;"'!"&amp;ADDRESS($AD16,BI$1))</f>
        <v/>
      </c>
      <c r="BM16" s="73">
        <f>IF(INDIRECT("'"&amp;$B$3&amp;"'!"&amp;ADDRESS($AD16,BM$1)),INDIRECT("'"&amp;$B$3&amp;"'!"&amp;ADDRESS($AD16,BM$1)),BM15)</f>
        <v/>
      </c>
      <c r="BN16" s="73">
        <f>IF(INDIRECT("'"&amp;$B$3&amp;"'!"&amp;ADDRESS($AD16,BN$1)),INDIRECT("'"&amp;$B$3&amp;"'!"&amp;ADDRESS($AD16,BN$1)),BN15)</f>
        <v/>
      </c>
      <c r="BO16" s="73">
        <f>IF(INDIRECT("'"&amp;$B$3&amp;"'!"&amp;ADDRESS($AD16,BO$1)),INDIRECT("'"&amp;$B$3&amp;"'!"&amp;ADDRESS($AD16,BO$1)),BO15)</f>
        <v/>
      </c>
      <c r="BP16" s="73">
        <f>IF(INDIRECT("'"&amp;$B$3&amp;"'!"&amp;ADDRESS($AD16,BP$1)),INDIRECT("'"&amp;$B$3&amp;"'!"&amp;ADDRESS($AD16,BP$1)),BP15)</f>
        <v/>
      </c>
      <c r="BQ16" s="73">
        <f>IF(INDIRECT("'"&amp;$B$3&amp;"'!"&amp;ADDRESS($AD16,BQ$1)),INDIRECT("'"&amp;$B$3&amp;"'!"&amp;ADDRESS($AD16,BQ$1)),BQ15)</f>
        <v/>
      </c>
      <c r="BR16" s="73">
        <f>IF(INDIRECT("'"&amp;$B$3&amp;"'!"&amp;ADDRESS($AD16,BR$1)),INDIRECT("'"&amp;$B$3&amp;"'!"&amp;ADDRESS($AD16,BR$1)),BR15)</f>
        <v/>
      </c>
      <c r="BS16" s="73">
        <f>IF(INDIRECT("'"&amp;$B$3&amp;"'!"&amp;ADDRESS($AD16,BS$1)),INDIRECT("'"&amp;$B$3&amp;"'!"&amp;ADDRESS($AD16,BS$1)),BS15)</f>
        <v/>
      </c>
      <c r="BT16" s="73">
        <f>IF(INDIRECT("'"&amp;$B$3&amp;"'!"&amp;ADDRESS($AD16,BT$1)),INDIRECT("'"&amp;$B$3&amp;"'!"&amp;ADDRESS($AD16,BT$1)),BT15)</f>
        <v/>
      </c>
      <c r="BU16" s="73">
        <f>IF(INDIRECT("'"&amp;$B$3&amp;"'!"&amp;ADDRESS($AD16,BU$1)),INDIRECT("'"&amp;$B$3&amp;"'!"&amp;ADDRESS($AD16,BU$1)),BU15)</f>
        <v/>
      </c>
      <c r="BV16" s="73">
        <f>IF(INDIRECT("'"&amp;$B$3&amp;"'!"&amp;ADDRESS($AD16,BV$1)),INDIRECT("'"&amp;$B$3&amp;"'!"&amp;ADDRESS($AD16,BV$1)),BV15)</f>
        <v/>
      </c>
      <c r="BW16" s="73">
        <f>IF(INDIRECT("'"&amp;$B$3&amp;"'!"&amp;ADDRESS($AD16,BW$1)),INDIRECT("'"&amp;$B$3&amp;"'!"&amp;ADDRESS($AD16,BW$1)),BW15)</f>
        <v/>
      </c>
      <c r="BX16" s="73">
        <f>IF(INDIRECT("'"&amp;$B$3&amp;"'!"&amp;ADDRESS($AD16,BX$1)),INDIRECT("'"&amp;$B$3&amp;"'!"&amp;ADDRESS($AD16,BX$1)),BX15)</f>
        <v/>
      </c>
      <c r="BY16" s="73">
        <f>IF(INDIRECT("'"&amp;$B$3&amp;"'!"&amp;ADDRESS($AD16,BY$1)),INDIRECT("'"&amp;$B$3&amp;"'!"&amp;ADDRESS($AD16,BY$1)),BY15)</f>
        <v/>
      </c>
      <c r="BZ16" s="73">
        <f>IF(INDIRECT("'"&amp;$B$3&amp;"'!"&amp;ADDRESS($AD16,BZ$1)),INDIRECT("'"&amp;$B$3&amp;"'!"&amp;ADDRESS($AD16,BZ$1)),BZ15)</f>
        <v/>
      </c>
      <c r="CD16" s="73">
        <f>IF(INDIRECT("'"&amp;$B$3&amp;"'!"&amp;ADDRESS($AD16,CD$1)),INDIRECT("'"&amp;$B$3&amp;"'!"&amp;ADDRESS($AD16,CD$1)),CD15)</f>
        <v/>
      </c>
      <c r="CE16" s="73">
        <f>IF(INDIRECT("'"&amp;$B$3&amp;"'!"&amp;ADDRESS($AD16,CE$1)),INDIRECT("'"&amp;$B$3&amp;"'!"&amp;ADDRESS($AD16,CE$1)),CE15)</f>
        <v/>
      </c>
      <c r="CF16" s="73">
        <f>IF(INDIRECT("'"&amp;$B$3&amp;"'!"&amp;ADDRESS($AD16,CF$1)),INDIRECT("'"&amp;$B$3&amp;"'!"&amp;ADDRESS($AD16,CF$1)),CF15)</f>
        <v/>
      </c>
      <c r="CG16" s="73">
        <f>IF(INDIRECT("'"&amp;$B$3&amp;"'!"&amp;ADDRESS($AD16,CG$1)),INDIRECT("'"&amp;$B$3&amp;"'!"&amp;ADDRESS($AD16,CG$1)),CG15)</f>
        <v/>
      </c>
      <c r="CH16" s="73">
        <f>IF(INDIRECT("'"&amp;$B$3&amp;"'!"&amp;ADDRESS($AD16,CH$1)),INDIRECT("'"&amp;$B$3&amp;"'!"&amp;ADDRESS($AD16,CH$1)),CH15)</f>
        <v/>
      </c>
      <c r="CI16" s="73">
        <f>IF(INDIRECT("'"&amp;$B$3&amp;"'!"&amp;ADDRESS($AD16,CI$1)),INDIRECT("'"&amp;$B$3&amp;"'!"&amp;ADDRESS($AD16,CI$1)),CI15)</f>
        <v/>
      </c>
      <c r="CJ16" s="73">
        <f>IF(INDIRECT("'"&amp;$B$3&amp;"'!"&amp;ADDRESS($AD16,CJ$1)),INDIRECT("'"&amp;$B$3&amp;"'!"&amp;ADDRESS($AD16,CJ$1)),CJ15)</f>
        <v/>
      </c>
      <c r="CK16" s="73">
        <f>IF(INDIRECT("'"&amp;$B$3&amp;"'!"&amp;ADDRESS($AD16,CK$1)),INDIRECT("'"&amp;$B$3&amp;"'!"&amp;ADDRESS($AD16,CK$1)),CK15)</f>
        <v/>
      </c>
      <c r="CL16" s="73">
        <f>IF(INDIRECT("'"&amp;$B$3&amp;"'!"&amp;ADDRESS($AD16,CL$1)),INDIRECT("'"&amp;$B$3&amp;"'!"&amp;ADDRESS($AD16,CL$1)),CL15)</f>
        <v/>
      </c>
      <c r="CM16" s="73">
        <f>IF(INDIRECT("'"&amp;$B$3&amp;"'!"&amp;ADDRESS($AD16,CM$1)),INDIRECT("'"&amp;$B$3&amp;"'!"&amp;ADDRESS($AD16,CM$1)),CM15)</f>
        <v/>
      </c>
      <c r="CN16" s="73">
        <f>IF(INDIRECT("'"&amp;$B$3&amp;"'!"&amp;ADDRESS($AD16,CN$1)),INDIRECT("'"&amp;$B$3&amp;"'!"&amp;ADDRESS($AD16,CN$1)),CN15)</f>
        <v/>
      </c>
      <c r="CO16" s="73">
        <f>IF(INDIRECT("'"&amp;$B$3&amp;"'!"&amp;ADDRESS($AD16,CO$1)),INDIRECT("'"&amp;$B$3&amp;"'!"&amp;ADDRESS($AD16,CO$1)),CO15)</f>
        <v/>
      </c>
      <c r="CP16" s="73">
        <f>IF(INDIRECT("'"&amp;$B$3&amp;"'!"&amp;ADDRESS($AD16,CP$1)),INDIRECT("'"&amp;$B$3&amp;"'!"&amp;ADDRESS($AD16,CP$1)),CP15)</f>
        <v/>
      </c>
      <c r="CQ16" s="73">
        <f>IF(INDIRECT("'"&amp;$B$3&amp;"'!"&amp;ADDRESS($AD16,CQ$1)),INDIRECT("'"&amp;$B$3&amp;"'!"&amp;ADDRESS($AD16,CQ$1)),CQ15)</f>
        <v/>
      </c>
    </row>
    <row r="17">
      <c r="AA17" s="72" t="n"/>
      <c r="AB17" s="237" t="inlineStr">
        <is>
          <t>1920x1080</t>
        </is>
      </c>
      <c r="AC17" s="235">
        <f>CONCATENATE(AB17," Reference")</f>
        <v/>
      </c>
      <c r="AD17" t="n">
        <v>17</v>
      </c>
      <c r="AE17" s="73">
        <f>INDIRECT("'"&amp;$B$3&amp;"'!"&amp;ADDRESS($AD17,AE$1))</f>
        <v/>
      </c>
      <c r="AF17" s="73">
        <f>INDIRECT("'"&amp;$B$3&amp;"'!"&amp;ADDRESS($AD17,AF$1))</f>
        <v/>
      </c>
      <c r="AG17" s="73">
        <f>INDIRECT("'"&amp;$B$3&amp;"'!"&amp;ADDRESS($AD17,AG$1))</f>
        <v/>
      </c>
      <c r="AH17" s="73">
        <f>INDIRECT("'"&amp;$B$3&amp;"'!"&amp;ADDRESS($AD17,AH$1))</f>
        <v/>
      </c>
      <c r="AI17" s="73">
        <f>INDIRECT("'"&amp;$B$3&amp;"'!"&amp;ADDRESS($AD17,AI$1))</f>
        <v/>
      </c>
      <c r="AJ17" s="73">
        <f>INDIRECT("'"&amp;$B$3&amp;"'!"&amp;ADDRESS($AD17,AJ$1))</f>
        <v/>
      </c>
      <c r="AK17" s="73">
        <f>INDIRECT("'"&amp;$B$3&amp;"'!"&amp;ADDRESS($AD17,AK$1))</f>
        <v/>
      </c>
      <c r="AL17" s="73">
        <f>INDIRECT("'"&amp;$B$3&amp;"'!"&amp;ADDRESS($AD17,AL$1))</f>
        <v/>
      </c>
      <c r="AM17" s="73">
        <f>INDIRECT("'"&amp;$B$3&amp;"'!"&amp;ADDRESS($AD17,AM$1))</f>
        <v/>
      </c>
      <c r="AN17" s="73">
        <f>INDIRECT("'"&amp;$B$3&amp;"'!"&amp;ADDRESS($AD17,AN$1))</f>
        <v/>
      </c>
      <c r="AO17" s="73">
        <f>INDIRECT("'"&amp;$B$3&amp;"'!"&amp;ADDRESS($AD17,AO$1))</f>
        <v/>
      </c>
      <c r="AP17" s="73">
        <f>INDIRECT("'"&amp;$B$3&amp;"'!"&amp;ADDRESS($AD17,AP$1))</f>
        <v/>
      </c>
      <c r="AQ17" s="73">
        <f>INDIRECT("'"&amp;$B$3&amp;"'!"&amp;ADDRESS($AD17,AQ$1))</f>
        <v/>
      </c>
      <c r="AR17" s="73">
        <f>INDIRECT("'"&amp;$B$3&amp;"'!"&amp;ADDRESS($AD17,AR$1))</f>
        <v/>
      </c>
      <c r="AU17" s="235">
        <f>CONCATENATE(AB17," Test")</f>
        <v/>
      </c>
      <c r="AV17" s="73">
        <f>INDIRECT("'"&amp;$B$3&amp;"'!"&amp;ADDRESS($AD17,AV$1))</f>
        <v/>
      </c>
      <c r="AW17" s="73">
        <f>INDIRECT("'"&amp;$B$3&amp;"'!"&amp;ADDRESS($AD17,AW$1))</f>
        <v/>
      </c>
      <c r="AX17" s="73">
        <f>INDIRECT("'"&amp;$B$3&amp;"'!"&amp;ADDRESS($AD17,AX$1))</f>
        <v/>
      </c>
      <c r="AY17" s="73">
        <f>INDIRECT("'"&amp;$B$3&amp;"'!"&amp;ADDRESS($AD17,AY$1))</f>
        <v/>
      </c>
      <c r="AZ17" s="73">
        <f>INDIRECT("'"&amp;$B$3&amp;"'!"&amp;ADDRESS($AD17,AZ$1))</f>
        <v/>
      </c>
      <c r="BA17" s="73">
        <f>INDIRECT("'"&amp;$B$3&amp;"'!"&amp;ADDRESS($AD17,BA$1))</f>
        <v/>
      </c>
      <c r="BB17" s="73">
        <f>INDIRECT("'"&amp;$B$3&amp;"'!"&amp;ADDRESS($AD17,BB$1))</f>
        <v/>
      </c>
      <c r="BC17" s="73">
        <f>INDIRECT("'"&amp;$B$3&amp;"'!"&amp;ADDRESS($AD17,BC$1))</f>
        <v/>
      </c>
      <c r="BD17" s="73">
        <f>INDIRECT("'"&amp;$B$3&amp;"'!"&amp;ADDRESS($AD17,BD$1))</f>
        <v/>
      </c>
      <c r="BE17" s="73">
        <f>INDIRECT("'"&amp;$B$3&amp;"'!"&amp;ADDRESS($AD17,BE$1))</f>
        <v/>
      </c>
      <c r="BF17" s="73">
        <f>INDIRECT("'"&amp;$B$3&amp;"'!"&amp;ADDRESS($AD17,BF$1))</f>
        <v/>
      </c>
      <c r="BG17" s="73">
        <f>INDIRECT("'"&amp;$B$3&amp;"'!"&amp;ADDRESS($AD17,BG$1))</f>
        <v/>
      </c>
      <c r="BH17" s="73">
        <f>INDIRECT("'"&amp;$B$3&amp;"'!"&amp;ADDRESS($AD17,BH$1))</f>
        <v/>
      </c>
      <c r="BI17" s="73">
        <f>INDIRECT("'"&amp;$B$3&amp;"'!"&amp;ADDRESS($AD17,BI$1))</f>
        <v/>
      </c>
      <c r="BM17" s="73">
        <f>IF(INDIRECT("'"&amp;$B$3&amp;"'!"&amp;ADDRESS($AD17,BM$1)),INDIRECT("'"&amp;$B$3&amp;"'!"&amp;ADDRESS($AD17,BM$1)),BM16)</f>
        <v/>
      </c>
      <c r="BN17" s="73">
        <f>IF(INDIRECT("'"&amp;$B$3&amp;"'!"&amp;ADDRESS($AD17,BN$1)),INDIRECT("'"&amp;$B$3&amp;"'!"&amp;ADDRESS($AD17,BN$1)),BN16)</f>
        <v/>
      </c>
      <c r="BO17" s="73">
        <f>IF(INDIRECT("'"&amp;$B$3&amp;"'!"&amp;ADDRESS($AD17,BO$1)),INDIRECT("'"&amp;$B$3&amp;"'!"&amp;ADDRESS($AD17,BO$1)),BO16)</f>
        <v/>
      </c>
      <c r="BP17" s="73">
        <f>IF(INDIRECT("'"&amp;$B$3&amp;"'!"&amp;ADDRESS($AD17,BP$1)),INDIRECT("'"&amp;$B$3&amp;"'!"&amp;ADDRESS($AD17,BP$1)),BP16)</f>
        <v/>
      </c>
      <c r="BQ17" s="73">
        <f>IF(INDIRECT("'"&amp;$B$3&amp;"'!"&amp;ADDRESS($AD17,BQ$1)),INDIRECT("'"&amp;$B$3&amp;"'!"&amp;ADDRESS($AD17,BQ$1)),BQ16)</f>
        <v/>
      </c>
      <c r="BR17" s="73">
        <f>IF(INDIRECT("'"&amp;$B$3&amp;"'!"&amp;ADDRESS($AD17,BR$1)),INDIRECT("'"&amp;$B$3&amp;"'!"&amp;ADDRESS($AD17,BR$1)),BR16)</f>
        <v/>
      </c>
      <c r="BS17" s="73">
        <f>IF(INDIRECT("'"&amp;$B$3&amp;"'!"&amp;ADDRESS($AD17,BS$1)),INDIRECT("'"&amp;$B$3&amp;"'!"&amp;ADDRESS($AD17,BS$1)),BS16)</f>
        <v/>
      </c>
      <c r="BT17" s="73">
        <f>IF(INDIRECT("'"&amp;$B$3&amp;"'!"&amp;ADDRESS($AD17,BT$1)),INDIRECT("'"&amp;$B$3&amp;"'!"&amp;ADDRESS($AD17,BT$1)),BT16)</f>
        <v/>
      </c>
      <c r="BU17" s="73">
        <f>IF(INDIRECT("'"&amp;$B$3&amp;"'!"&amp;ADDRESS($AD17,BU$1)),INDIRECT("'"&amp;$B$3&amp;"'!"&amp;ADDRESS($AD17,BU$1)),BU16)</f>
        <v/>
      </c>
      <c r="BV17" s="73">
        <f>IF(INDIRECT("'"&amp;$B$3&amp;"'!"&amp;ADDRESS($AD17,BV$1)),INDIRECT("'"&amp;$B$3&amp;"'!"&amp;ADDRESS($AD17,BV$1)),BV16)</f>
        <v/>
      </c>
      <c r="BW17" s="73">
        <f>IF(INDIRECT("'"&amp;$B$3&amp;"'!"&amp;ADDRESS($AD17,BW$1)),INDIRECT("'"&amp;$B$3&amp;"'!"&amp;ADDRESS($AD17,BW$1)),BW16)</f>
        <v/>
      </c>
      <c r="BX17" s="73">
        <f>IF(INDIRECT("'"&amp;$B$3&amp;"'!"&amp;ADDRESS($AD17,BX$1)),INDIRECT("'"&amp;$B$3&amp;"'!"&amp;ADDRESS($AD17,BX$1)),BX16)</f>
        <v/>
      </c>
      <c r="BY17" s="73">
        <f>IF(INDIRECT("'"&amp;$B$3&amp;"'!"&amp;ADDRESS($AD17,BY$1)),INDIRECT("'"&amp;$B$3&amp;"'!"&amp;ADDRESS($AD17,BY$1)),BY16)</f>
        <v/>
      </c>
      <c r="BZ17" s="73">
        <f>IF(INDIRECT("'"&amp;$B$3&amp;"'!"&amp;ADDRESS($AD17,BZ$1)),INDIRECT("'"&amp;$B$3&amp;"'!"&amp;ADDRESS($AD17,BZ$1)),BZ16)</f>
        <v/>
      </c>
      <c r="CD17" s="73">
        <f>IF(INDIRECT("'"&amp;$B$3&amp;"'!"&amp;ADDRESS($AD17,CD$1)),INDIRECT("'"&amp;$B$3&amp;"'!"&amp;ADDRESS($AD17,CD$1)),CD16)</f>
        <v/>
      </c>
      <c r="CE17" s="73">
        <f>IF(INDIRECT("'"&amp;$B$3&amp;"'!"&amp;ADDRESS($AD17,CE$1)),INDIRECT("'"&amp;$B$3&amp;"'!"&amp;ADDRESS($AD17,CE$1)),CE16)</f>
        <v/>
      </c>
      <c r="CF17" s="73">
        <f>IF(INDIRECT("'"&amp;$B$3&amp;"'!"&amp;ADDRESS($AD17,CF$1)),INDIRECT("'"&amp;$B$3&amp;"'!"&amp;ADDRESS($AD17,CF$1)),CF16)</f>
        <v/>
      </c>
      <c r="CG17" s="73">
        <f>IF(INDIRECT("'"&amp;$B$3&amp;"'!"&amp;ADDRESS($AD17,CG$1)),INDIRECT("'"&amp;$B$3&amp;"'!"&amp;ADDRESS($AD17,CG$1)),CG16)</f>
        <v/>
      </c>
      <c r="CH17" s="73">
        <f>IF(INDIRECT("'"&amp;$B$3&amp;"'!"&amp;ADDRESS($AD17,CH$1)),INDIRECT("'"&amp;$B$3&amp;"'!"&amp;ADDRESS($AD17,CH$1)),CH16)</f>
        <v/>
      </c>
      <c r="CI17" s="73">
        <f>IF(INDIRECT("'"&amp;$B$3&amp;"'!"&amp;ADDRESS($AD17,CI$1)),INDIRECT("'"&amp;$B$3&amp;"'!"&amp;ADDRESS($AD17,CI$1)),CI16)</f>
        <v/>
      </c>
      <c r="CJ17" s="73">
        <f>IF(INDIRECT("'"&amp;$B$3&amp;"'!"&amp;ADDRESS($AD17,CJ$1)),INDIRECT("'"&amp;$B$3&amp;"'!"&amp;ADDRESS($AD17,CJ$1)),CJ16)</f>
        <v/>
      </c>
      <c r="CK17" s="73">
        <f>IF(INDIRECT("'"&amp;$B$3&amp;"'!"&amp;ADDRESS($AD17,CK$1)),INDIRECT("'"&amp;$B$3&amp;"'!"&amp;ADDRESS($AD17,CK$1)),CK16)</f>
        <v/>
      </c>
      <c r="CL17" s="73">
        <f>IF(INDIRECT("'"&amp;$B$3&amp;"'!"&amp;ADDRESS($AD17,CL$1)),INDIRECT("'"&amp;$B$3&amp;"'!"&amp;ADDRESS($AD17,CL$1)),CL16)</f>
        <v/>
      </c>
      <c r="CM17" s="73">
        <f>IF(INDIRECT("'"&amp;$B$3&amp;"'!"&amp;ADDRESS($AD17,CM$1)),INDIRECT("'"&amp;$B$3&amp;"'!"&amp;ADDRESS($AD17,CM$1)),CM16)</f>
        <v/>
      </c>
      <c r="CN17" s="73">
        <f>IF(INDIRECT("'"&amp;$B$3&amp;"'!"&amp;ADDRESS($AD17,CN$1)),INDIRECT("'"&amp;$B$3&amp;"'!"&amp;ADDRESS($AD17,CN$1)),CN16)</f>
        <v/>
      </c>
      <c r="CO17" s="73">
        <f>IF(INDIRECT("'"&amp;$B$3&amp;"'!"&amp;ADDRESS($AD17,CO$1)),INDIRECT("'"&amp;$B$3&amp;"'!"&amp;ADDRESS($AD17,CO$1)),CO16)</f>
        <v/>
      </c>
      <c r="CP17" s="73">
        <f>IF(INDIRECT("'"&amp;$B$3&amp;"'!"&amp;ADDRESS($AD17,CP$1)),INDIRECT("'"&amp;$B$3&amp;"'!"&amp;ADDRESS($AD17,CP$1)),CP16)</f>
        <v/>
      </c>
      <c r="CQ17" s="73">
        <f>IF(INDIRECT("'"&amp;$B$3&amp;"'!"&amp;ADDRESS($AD17,CQ$1)),INDIRECT("'"&amp;$B$3&amp;"'!"&amp;ADDRESS($AD17,CQ$1)),CQ16)</f>
        <v/>
      </c>
    </row>
    <row r="18">
      <c r="AA18" s="72" t="n"/>
      <c r="AB18" s="238" t="n"/>
      <c r="AC18" s="236" t="n"/>
      <c r="AD18" t="n">
        <v>18</v>
      </c>
      <c r="AE18" s="73">
        <f>INDIRECT("'"&amp;$B$3&amp;"'!"&amp;ADDRESS($AD18,AE$1))</f>
        <v/>
      </c>
      <c r="AF18" s="73">
        <f>INDIRECT("'"&amp;$B$3&amp;"'!"&amp;ADDRESS($AD18,AF$1))</f>
        <v/>
      </c>
      <c r="AG18" s="73">
        <f>INDIRECT("'"&amp;$B$3&amp;"'!"&amp;ADDRESS($AD18,AG$1))</f>
        <v/>
      </c>
      <c r="AH18" s="73">
        <f>INDIRECT("'"&amp;$B$3&amp;"'!"&amp;ADDRESS($AD18,AH$1))</f>
        <v/>
      </c>
      <c r="AI18" s="73">
        <f>INDIRECT("'"&amp;$B$3&amp;"'!"&amp;ADDRESS($AD18,AI$1))</f>
        <v/>
      </c>
      <c r="AJ18" s="73">
        <f>INDIRECT("'"&amp;$B$3&amp;"'!"&amp;ADDRESS($AD18,AJ$1))</f>
        <v/>
      </c>
      <c r="AK18" s="73">
        <f>INDIRECT("'"&amp;$B$3&amp;"'!"&amp;ADDRESS($AD18,AK$1))</f>
        <v/>
      </c>
      <c r="AL18" s="73">
        <f>INDIRECT("'"&amp;$B$3&amp;"'!"&amp;ADDRESS($AD18,AL$1))</f>
        <v/>
      </c>
      <c r="AM18" s="73">
        <f>INDIRECT("'"&amp;$B$3&amp;"'!"&amp;ADDRESS($AD18,AM$1))</f>
        <v/>
      </c>
      <c r="AN18" s="73">
        <f>INDIRECT("'"&amp;$B$3&amp;"'!"&amp;ADDRESS($AD18,AN$1))</f>
        <v/>
      </c>
      <c r="AO18" s="73">
        <f>INDIRECT("'"&amp;$B$3&amp;"'!"&amp;ADDRESS($AD18,AO$1))</f>
        <v/>
      </c>
      <c r="AP18" s="73">
        <f>INDIRECT("'"&amp;$B$3&amp;"'!"&amp;ADDRESS($AD18,AP$1))</f>
        <v/>
      </c>
      <c r="AQ18" s="73">
        <f>INDIRECT("'"&amp;$B$3&amp;"'!"&amp;ADDRESS($AD18,AQ$1))</f>
        <v/>
      </c>
      <c r="AR18" s="73">
        <f>INDIRECT("'"&amp;$B$3&amp;"'!"&amp;ADDRESS($AD18,AR$1))</f>
        <v/>
      </c>
      <c r="AU18" s="236" t="n"/>
      <c r="AV18" s="73">
        <f>INDIRECT("'"&amp;$B$3&amp;"'!"&amp;ADDRESS($AD18,AV$1))</f>
        <v/>
      </c>
      <c r="AW18" s="73">
        <f>INDIRECT("'"&amp;$B$3&amp;"'!"&amp;ADDRESS($AD18,AW$1))</f>
        <v/>
      </c>
      <c r="AX18" s="73">
        <f>INDIRECT("'"&amp;$B$3&amp;"'!"&amp;ADDRESS($AD18,AX$1))</f>
        <v/>
      </c>
      <c r="AY18" s="73">
        <f>INDIRECT("'"&amp;$B$3&amp;"'!"&amp;ADDRESS($AD18,AY$1))</f>
        <v/>
      </c>
      <c r="AZ18" s="73">
        <f>INDIRECT("'"&amp;$B$3&amp;"'!"&amp;ADDRESS($AD18,AZ$1))</f>
        <v/>
      </c>
      <c r="BA18" s="73">
        <f>INDIRECT("'"&amp;$B$3&amp;"'!"&amp;ADDRESS($AD18,BA$1))</f>
        <v/>
      </c>
      <c r="BB18" s="73">
        <f>INDIRECT("'"&amp;$B$3&amp;"'!"&amp;ADDRESS($AD18,BB$1))</f>
        <v/>
      </c>
      <c r="BC18" s="73">
        <f>INDIRECT("'"&amp;$B$3&amp;"'!"&amp;ADDRESS($AD18,BC$1))</f>
        <v/>
      </c>
      <c r="BD18" s="73">
        <f>INDIRECT("'"&amp;$B$3&amp;"'!"&amp;ADDRESS($AD18,BD$1))</f>
        <v/>
      </c>
      <c r="BE18" s="73">
        <f>INDIRECT("'"&amp;$B$3&amp;"'!"&amp;ADDRESS($AD18,BE$1))</f>
        <v/>
      </c>
      <c r="BF18" s="73">
        <f>INDIRECT("'"&amp;$B$3&amp;"'!"&amp;ADDRESS($AD18,BF$1))</f>
        <v/>
      </c>
      <c r="BG18" s="73">
        <f>INDIRECT("'"&amp;$B$3&amp;"'!"&amp;ADDRESS($AD18,BG$1))</f>
        <v/>
      </c>
      <c r="BH18" s="73">
        <f>INDIRECT("'"&amp;$B$3&amp;"'!"&amp;ADDRESS($AD18,BH$1))</f>
        <v/>
      </c>
      <c r="BI18" s="73">
        <f>INDIRECT("'"&amp;$B$3&amp;"'!"&amp;ADDRESS($AD18,BI$1))</f>
        <v/>
      </c>
      <c r="BM18" s="73">
        <f>IF(INDIRECT("'"&amp;$B$3&amp;"'!"&amp;ADDRESS($AD18,BM$1)),INDIRECT("'"&amp;$B$3&amp;"'!"&amp;ADDRESS($AD18,BM$1)),BM17)</f>
        <v/>
      </c>
      <c r="BN18" s="73">
        <f>IF(INDIRECT("'"&amp;$B$3&amp;"'!"&amp;ADDRESS($AD18,BN$1)),INDIRECT("'"&amp;$B$3&amp;"'!"&amp;ADDRESS($AD18,BN$1)),BN17)</f>
        <v/>
      </c>
      <c r="BO18" s="73">
        <f>IF(INDIRECT("'"&amp;$B$3&amp;"'!"&amp;ADDRESS($AD18,BO$1)),INDIRECT("'"&amp;$B$3&amp;"'!"&amp;ADDRESS($AD18,BO$1)),BO17)</f>
        <v/>
      </c>
      <c r="BP18" s="73">
        <f>IF(INDIRECT("'"&amp;$B$3&amp;"'!"&amp;ADDRESS($AD18,BP$1)),INDIRECT("'"&amp;$B$3&amp;"'!"&amp;ADDRESS($AD18,BP$1)),BP17)</f>
        <v/>
      </c>
      <c r="BQ18" s="73">
        <f>IF(INDIRECT("'"&amp;$B$3&amp;"'!"&amp;ADDRESS($AD18,BQ$1)),INDIRECT("'"&amp;$B$3&amp;"'!"&amp;ADDRESS($AD18,BQ$1)),BQ17)</f>
        <v/>
      </c>
      <c r="BR18" s="73">
        <f>IF(INDIRECT("'"&amp;$B$3&amp;"'!"&amp;ADDRESS($AD18,BR$1)),INDIRECT("'"&amp;$B$3&amp;"'!"&amp;ADDRESS($AD18,BR$1)),BR17)</f>
        <v/>
      </c>
      <c r="BS18" s="73">
        <f>IF(INDIRECT("'"&amp;$B$3&amp;"'!"&amp;ADDRESS($AD18,BS$1)),INDIRECT("'"&amp;$B$3&amp;"'!"&amp;ADDRESS($AD18,BS$1)),BS17)</f>
        <v/>
      </c>
      <c r="BT18" s="73">
        <f>IF(INDIRECT("'"&amp;$B$3&amp;"'!"&amp;ADDRESS($AD18,BT$1)),INDIRECT("'"&amp;$B$3&amp;"'!"&amp;ADDRESS($AD18,BT$1)),BT17)</f>
        <v/>
      </c>
      <c r="BU18" s="73">
        <f>IF(INDIRECT("'"&amp;$B$3&amp;"'!"&amp;ADDRESS($AD18,BU$1)),INDIRECT("'"&amp;$B$3&amp;"'!"&amp;ADDRESS($AD18,BU$1)),BU17)</f>
        <v/>
      </c>
      <c r="BV18" s="73">
        <f>IF(INDIRECT("'"&amp;$B$3&amp;"'!"&amp;ADDRESS($AD18,BV$1)),INDIRECT("'"&amp;$B$3&amp;"'!"&amp;ADDRESS($AD18,BV$1)),BV17)</f>
        <v/>
      </c>
      <c r="BW18" s="73">
        <f>IF(INDIRECT("'"&amp;$B$3&amp;"'!"&amp;ADDRESS($AD18,BW$1)),INDIRECT("'"&amp;$B$3&amp;"'!"&amp;ADDRESS($AD18,BW$1)),BW17)</f>
        <v/>
      </c>
      <c r="BX18" s="73">
        <f>IF(INDIRECT("'"&amp;$B$3&amp;"'!"&amp;ADDRESS($AD18,BX$1)),INDIRECT("'"&amp;$B$3&amp;"'!"&amp;ADDRESS($AD18,BX$1)),BX17)</f>
        <v/>
      </c>
      <c r="BY18" s="73">
        <f>IF(INDIRECT("'"&amp;$B$3&amp;"'!"&amp;ADDRESS($AD18,BY$1)),INDIRECT("'"&amp;$B$3&amp;"'!"&amp;ADDRESS($AD18,BY$1)),BY17)</f>
        <v/>
      </c>
      <c r="BZ18" s="73">
        <f>IF(INDIRECT("'"&amp;$B$3&amp;"'!"&amp;ADDRESS($AD18,BZ$1)),INDIRECT("'"&amp;$B$3&amp;"'!"&amp;ADDRESS($AD18,BZ$1)),BZ17)</f>
        <v/>
      </c>
      <c r="CD18" s="73">
        <f>IF(INDIRECT("'"&amp;$B$3&amp;"'!"&amp;ADDRESS($AD18,CD$1)),INDIRECT("'"&amp;$B$3&amp;"'!"&amp;ADDRESS($AD18,CD$1)),CD17)</f>
        <v/>
      </c>
      <c r="CE18" s="73">
        <f>IF(INDIRECT("'"&amp;$B$3&amp;"'!"&amp;ADDRESS($AD18,CE$1)),INDIRECT("'"&amp;$B$3&amp;"'!"&amp;ADDRESS($AD18,CE$1)),CE17)</f>
        <v/>
      </c>
      <c r="CF18" s="73">
        <f>IF(INDIRECT("'"&amp;$B$3&amp;"'!"&amp;ADDRESS($AD18,CF$1)),INDIRECT("'"&amp;$B$3&amp;"'!"&amp;ADDRESS($AD18,CF$1)),CF17)</f>
        <v/>
      </c>
      <c r="CG18" s="73">
        <f>IF(INDIRECT("'"&amp;$B$3&amp;"'!"&amp;ADDRESS($AD18,CG$1)),INDIRECT("'"&amp;$B$3&amp;"'!"&amp;ADDRESS($AD18,CG$1)),CG17)</f>
        <v/>
      </c>
      <c r="CH18" s="73">
        <f>IF(INDIRECT("'"&amp;$B$3&amp;"'!"&amp;ADDRESS($AD18,CH$1)),INDIRECT("'"&amp;$B$3&amp;"'!"&amp;ADDRESS($AD18,CH$1)),CH17)</f>
        <v/>
      </c>
      <c r="CI18" s="73">
        <f>IF(INDIRECT("'"&amp;$B$3&amp;"'!"&amp;ADDRESS($AD18,CI$1)),INDIRECT("'"&amp;$B$3&amp;"'!"&amp;ADDRESS($AD18,CI$1)),CI17)</f>
        <v/>
      </c>
      <c r="CJ18" s="73">
        <f>IF(INDIRECT("'"&amp;$B$3&amp;"'!"&amp;ADDRESS($AD18,CJ$1)),INDIRECT("'"&amp;$B$3&amp;"'!"&amp;ADDRESS($AD18,CJ$1)),CJ17)</f>
        <v/>
      </c>
      <c r="CK18" s="73">
        <f>IF(INDIRECT("'"&amp;$B$3&amp;"'!"&amp;ADDRESS($AD18,CK$1)),INDIRECT("'"&amp;$B$3&amp;"'!"&amp;ADDRESS($AD18,CK$1)),CK17)</f>
        <v/>
      </c>
      <c r="CL18" s="73">
        <f>IF(INDIRECT("'"&amp;$B$3&amp;"'!"&amp;ADDRESS($AD18,CL$1)),INDIRECT("'"&amp;$B$3&amp;"'!"&amp;ADDRESS($AD18,CL$1)),CL17)</f>
        <v/>
      </c>
      <c r="CM18" s="73">
        <f>IF(INDIRECT("'"&amp;$B$3&amp;"'!"&amp;ADDRESS($AD18,CM$1)),INDIRECT("'"&amp;$B$3&amp;"'!"&amp;ADDRESS($AD18,CM$1)),CM17)</f>
        <v/>
      </c>
      <c r="CN18" s="73">
        <f>IF(INDIRECT("'"&amp;$B$3&amp;"'!"&amp;ADDRESS($AD18,CN$1)),INDIRECT("'"&amp;$B$3&amp;"'!"&amp;ADDRESS($AD18,CN$1)),CN17)</f>
        <v/>
      </c>
      <c r="CO18" s="73">
        <f>IF(INDIRECT("'"&amp;$B$3&amp;"'!"&amp;ADDRESS($AD18,CO$1)),INDIRECT("'"&amp;$B$3&amp;"'!"&amp;ADDRESS($AD18,CO$1)),CO17)</f>
        <v/>
      </c>
      <c r="CP18" s="73">
        <f>IF(INDIRECT("'"&amp;$B$3&amp;"'!"&amp;ADDRESS($AD18,CP$1)),INDIRECT("'"&amp;$B$3&amp;"'!"&amp;ADDRESS($AD18,CP$1)),CP17)</f>
        <v/>
      </c>
      <c r="CQ18" s="73">
        <f>IF(INDIRECT("'"&amp;$B$3&amp;"'!"&amp;ADDRESS($AD18,CQ$1)),INDIRECT("'"&amp;$B$3&amp;"'!"&amp;ADDRESS($AD18,CQ$1)),CQ17)</f>
        <v/>
      </c>
    </row>
    <row r="19">
      <c r="AA19" s="72" t="n"/>
      <c r="AB19" s="238" t="n"/>
      <c r="AC19" s="236" t="n"/>
      <c r="AD19" t="n">
        <v>19</v>
      </c>
      <c r="AE19" s="73">
        <f>INDIRECT("'"&amp;$B$3&amp;"'!"&amp;ADDRESS($AD19,AE$1))</f>
        <v/>
      </c>
      <c r="AF19" s="73">
        <f>INDIRECT("'"&amp;$B$3&amp;"'!"&amp;ADDRESS($AD19,AF$1))</f>
        <v/>
      </c>
      <c r="AG19" s="73">
        <f>INDIRECT("'"&amp;$B$3&amp;"'!"&amp;ADDRESS($AD19,AG$1))</f>
        <v/>
      </c>
      <c r="AH19" s="73">
        <f>INDIRECT("'"&amp;$B$3&amp;"'!"&amp;ADDRESS($AD19,AH$1))</f>
        <v/>
      </c>
      <c r="AI19" s="73">
        <f>INDIRECT("'"&amp;$B$3&amp;"'!"&amp;ADDRESS($AD19,AI$1))</f>
        <v/>
      </c>
      <c r="AJ19" s="73">
        <f>INDIRECT("'"&amp;$B$3&amp;"'!"&amp;ADDRESS($AD19,AJ$1))</f>
        <v/>
      </c>
      <c r="AK19" s="73">
        <f>INDIRECT("'"&amp;$B$3&amp;"'!"&amp;ADDRESS($AD19,AK$1))</f>
        <v/>
      </c>
      <c r="AL19" s="73">
        <f>INDIRECT("'"&amp;$B$3&amp;"'!"&amp;ADDRESS($AD19,AL$1))</f>
        <v/>
      </c>
      <c r="AM19" s="73">
        <f>INDIRECT("'"&amp;$B$3&amp;"'!"&amp;ADDRESS($AD19,AM$1))</f>
        <v/>
      </c>
      <c r="AN19" s="73">
        <f>INDIRECT("'"&amp;$B$3&amp;"'!"&amp;ADDRESS($AD19,AN$1))</f>
        <v/>
      </c>
      <c r="AO19" s="73">
        <f>INDIRECT("'"&amp;$B$3&amp;"'!"&amp;ADDRESS($AD19,AO$1))</f>
        <v/>
      </c>
      <c r="AP19" s="73">
        <f>INDIRECT("'"&amp;$B$3&amp;"'!"&amp;ADDRESS($AD19,AP$1))</f>
        <v/>
      </c>
      <c r="AQ19" s="73">
        <f>INDIRECT("'"&amp;$B$3&amp;"'!"&amp;ADDRESS($AD19,AQ$1))</f>
        <v/>
      </c>
      <c r="AR19" s="73">
        <f>INDIRECT("'"&amp;$B$3&amp;"'!"&amp;ADDRESS($AD19,AR$1))</f>
        <v/>
      </c>
      <c r="AU19" s="236" t="n"/>
      <c r="AV19" s="73">
        <f>INDIRECT("'"&amp;$B$3&amp;"'!"&amp;ADDRESS($AD19,AV$1))</f>
        <v/>
      </c>
      <c r="AW19" s="73">
        <f>INDIRECT("'"&amp;$B$3&amp;"'!"&amp;ADDRESS($AD19,AW$1))</f>
        <v/>
      </c>
      <c r="AX19" s="73">
        <f>INDIRECT("'"&amp;$B$3&amp;"'!"&amp;ADDRESS($AD19,AX$1))</f>
        <v/>
      </c>
      <c r="AY19" s="73">
        <f>INDIRECT("'"&amp;$B$3&amp;"'!"&amp;ADDRESS($AD19,AY$1))</f>
        <v/>
      </c>
      <c r="AZ19" s="73">
        <f>INDIRECT("'"&amp;$B$3&amp;"'!"&amp;ADDRESS($AD19,AZ$1))</f>
        <v/>
      </c>
      <c r="BA19" s="73">
        <f>INDIRECT("'"&amp;$B$3&amp;"'!"&amp;ADDRESS($AD19,BA$1))</f>
        <v/>
      </c>
      <c r="BB19" s="73">
        <f>INDIRECT("'"&amp;$B$3&amp;"'!"&amp;ADDRESS($AD19,BB$1))</f>
        <v/>
      </c>
      <c r="BC19" s="73">
        <f>INDIRECT("'"&amp;$B$3&amp;"'!"&amp;ADDRESS($AD19,BC$1))</f>
        <v/>
      </c>
      <c r="BD19" s="73">
        <f>INDIRECT("'"&amp;$B$3&amp;"'!"&amp;ADDRESS($AD19,BD$1))</f>
        <v/>
      </c>
      <c r="BE19" s="73">
        <f>INDIRECT("'"&amp;$B$3&amp;"'!"&amp;ADDRESS($AD19,BE$1))</f>
        <v/>
      </c>
      <c r="BF19" s="73">
        <f>INDIRECT("'"&amp;$B$3&amp;"'!"&amp;ADDRESS($AD19,BF$1))</f>
        <v/>
      </c>
      <c r="BG19" s="73">
        <f>INDIRECT("'"&amp;$B$3&amp;"'!"&amp;ADDRESS($AD19,BG$1))</f>
        <v/>
      </c>
      <c r="BH19" s="73">
        <f>INDIRECT("'"&amp;$B$3&amp;"'!"&amp;ADDRESS($AD19,BH$1))</f>
        <v/>
      </c>
      <c r="BI19" s="73">
        <f>INDIRECT("'"&amp;$B$3&amp;"'!"&amp;ADDRESS($AD19,BI$1))</f>
        <v/>
      </c>
      <c r="BM19" s="73">
        <f>IF(INDIRECT("'"&amp;$B$3&amp;"'!"&amp;ADDRESS($AD19,BM$1)),INDIRECT("'"&amp;$B$3&amp;"'!"&amp;ADDRESS($AD19,BM$1)),BM18)</f>
        <v/>
      </c>
      <c r="BN19" s="73">
        <f>IF(INDIRECT("'"&amp;$B$3&amp;"'!"&amp;ADDRESS($AD19,BN$1)),INDIRECT("'"&amp;$B$3&amp;"'!"&amp;ADDRESS($AD19,BN$1)),BN18)</f>
        <v/>
      </c>
      <c r="BO19" s="73">
        <f>IF(INDIRECT("'"&amp;$B$3&amp;"'!"&amp;ADDRESS($AD19,BO$1)),INDIRECT("'"&amp;$B$3&amp;"'!"&amp;ADDRESS($AD19,BO$1)),BO18)</f>
        <v/>
      </c>
      <c r="BP19" s="73">
        <f>IF(INDIRECT("'"&amp;$B$3&amp;"'!"&amp;ADDRESS($AD19,BP$1)),INDIRECT("'"&amp;$B$3&amp;"'!"&amp;ADDRESS($AD19,BP$1)),BP18)</f>
        <v/>
      </c>
      <c r="BQ19" s="73">
        <f>IF(INDIRECT("'"&amp;$B$3&amp;"'!"&amp;ADDRESS($AD19,BQ$1)),INDIRECT("'"&amp;$B$3&amp;"'!"&amp;ADDRESS($AD19,BQ$1)),BQ18)</f>
        <v/>
      </c>
      <c r="BR19" s="73">
        <f>IF(INDIRECT("'"&amp;$B$3&amp;"'!"&amp;ADDRESS($AD19,BR$1)),INDIRECT("'"&amp;$B$3&amp;"'!"&amp;ADDRESS($AD19,BR$1)),BR18)</f>
        <v/>
      </c>
      <c r="BS19" s="73">
        <f>IF(INDIRECT("'"&amp;$B$3&amp;"'!"&amp;ADDRESS($AD19,BS$1)),INDIRECT("'"&amp;$B$3&amp;"'!"&amp;ADDRESS($AD19,BS$1)),BS18)</f>
        <v/>
      </c>
      <c r="BT19" s="73">
        <f>IF(INDIRECT("'"&amp;$B$3&amp;"'!"&amp;ADDRESS($AD19,BT$1)),INDIRECT("'"&amp;$B$3&amp;"'!"&amp;ADDRESS($AD19,BT$1)),BT18)</f>
        <v/>
      </c>
      <c r="BU19" s="73">
        <f>IF(INDIRECT("'"&amp;$B$3&amp;"'!"&amp;ADDRESS($AD19,BU$1)),INDIRECT("'"&amp;$B$3&amp;"'!"&amp;ADDRESS($AD19,BU$1)),BU18)</f>
        <v/>
      </c>
      <c r="BV19" s="73">
        <f>IF(INDIRECT("'"&amp;$B$3&amp;"'!"&amp;ADDRESS($AD19,BV$1)),INDIRECT("'"&amp;$B$3&amp;"'!"&amp;ADDRESS($AD19,BV$1)),BV18)</f>
        <v/>
      </c>
      <c r="BW19" s="73">
        <f>IF(INDIRECT("'"&amp;$B$3&amp;"'!"&amp;ADDRESS($AD19,BW$1)),INDIRECT("'"&amp;$B$3&amp;"'!"&amp;ADDRESS($AD19,BW$1)),BW18)</f>
        <v/>
      </c>
      <c r="BX19" s="73">
        <f>IF(INDIRECT("'"&amp;$B$3&amp;"'!"&amp;ADDRESS($AD19,BX$1)),INDIRECT("'"&amp;$B$3&amp;"'!"&amp;ADDRESS($AD19,BX$1)),BX18)</f>
        <v/>
      </c>
      <c r="BY19" s="73">
        <f>IF(INDIRECT("'"&amp;$B$3&amp;"'!"&amp;ADDRESS($AD19,BY$1)),INDIRECT("'"&amp;$B$3&amp;"'!"&amp;ADDRESS($AD19,BY$1)),BY18)</f>
        <v/>
      </c>
      <c r="BZ19" s="73">
        <f>IF(INDIRECT("'"&amp;$B$3&amp;"'!"&amp;ADDRESS($AD19,BZ$1)),INDIRECT("'"&amp;$B$3&amp;"'!"&amp;ADDRESS($AD19,BZ$1)),BZ18)</f>
        <v/>
      </c>
      <c r="CD19" s="73">
        <f>IF(INDIRECT("'"&amp;$B$3&amp;"'!"&amp;ADDRESS($AD19,CD$1)),INDIRECT("'"&amp;$B$3&amp;"'!"&amp;ADDRESS($AD19,CD$1)),CD18)</f>
        <v/>
      </c>
      <c r="CE19" s="73">
        <f>IF(INDIRECT("'"&amp;$B$3&amp;"'!"&amp;ADDRESS($AD19,CE$1)),INDIRECT("'"&amp;$B$3&amp;"'!"&amp;ADDRESS($AD19,CE$1)),CE18)</f>
        <v/>
      </c>
      <c r="CF19" s="73">
        <f>IF(INDIRECT("'"&amp;$B$3&amp;"'!"&amp;ADDRESS($AD19,CF$1)),INDIRECT("'"&amp;$B$3&amp;"'!"&amp;ADDRESS($AD19,CF$1)),CF18)</f>
        <v/>
      </c>
      <c r="CG19" s="73">
        <f>IF(INDIRECT("'"&amp;$B$3&amp;"'!"&amp;ADDRESS($AD19,CG$1)),INDIRECT("'"&amp;$B$3&amp;"'!"&amp;ADDRESS($AD19,CG$1)),CG18)</f>
        <v/>
      </c>
      <c r="CH19" s="73">
        <f>IF(INDIRECT("'"&amp;$B$3&amp;"'!"&amp;ADDRESS($AD19,CH$1)),INDIRECT("'"&amp;$B$3&amp;"'!"&amp;ADDRESS($AD19,CH$1)),CH18)</f>
        <v/>
      </c>
      <c r="CI19" s="73">
        <f>IF(INDIRECT("'"&amp;$B$3&amp;"'!"&amp;ADDRESS($AD19,CI$1)),INDIRECT("'"&amp;$B$3&amp;"'!"&amp;ADDRESS($AD19,CI$1)),CI18)</f>
        <v/>
      </c>
      <c r="CJ19" s="73">
        <f>IF(INDIRECT("'"&amp;$B$3&amp;"'!"&amp;ADDRESS($AD19,CJ$1)),INDIRECT("'"&amp;$B$3&amp;"'!"&amp;ADDRESS($AD19,CJ$1)),CJ18)</f>
        <v/>
      </c>
      <c r="CK19" s="73">
        <f>IF(INDIRECT("'"&amp;$B$3&amp;"'!"&amp;ADDRESS($AD19,CK$1)),INDIRECT("'"&amp;$B$3&amp;"'!"&amp;ADDRESS($AD19,CK$1)),CK18)</f>
        <v/>
      </c>
      <c r="CL19" s="73">
        <f>IF(INDIRECT("'"&amp;$B$3&amp;"'!"&amp;ADDRESS($AD19,CL$1)),INDIRECT("'"&amp;$B$3&amp;"'!"&amp;ADDRESS($AD19,CL$1)),CL18)</f>
        <v/>
      </c>
      <c r="CM19" s="73">
        <f>IF(INDIRECT("'"&amp;$B$3&amp;"'!"&amp;ADDRESS($AD19,CM$1)),INDIRECT("'"&amp;$B$3&amp;"'!"&amp;ADDRESS($AD19,CM$1)),CM18)</f>
        <v/>
      </c>
      <c r="CN19" s="73">
        <f>IF(INDIRECT("'"&amp;$B$3&amp;"'!"&amp;ADDRESS($AD19,CN$1)),INDIRECT("'"&amp;$B$3&amp;"'!"&amp;ADDRESS($AD19,CN$1)),CN18)</f>
        <v/>
      </c>
      <c r="CO19" s="73">
        <f>IF(INDIRECT("'"&amp;$B$3&amp;"'!"&amp;ADDRESS($AD19,CO$1)),INDIRECT("'"&amp;$B$3&amp;"'!"&amp;ADDRESS($AD19,CO$1)),CO18)</f>
        <v/>
      </c>
      <c r="CP19" s="73">
        <f>IF(INDIRECT("'"&amp;$B$3&amp;"'!"&amp;ADDRESS($AD19,CP$1)),INDIRECT("'"&amp;$B$3&amp;"'!"&amp;ADDRESS($AD19,CP$1)),CP18)</f>
        <v/>
      </c>
      <c r="CQ19" s="73">
        <f>IF(INDIRECT("'"&amp;$B$3&amp;"'!"&amp;ADDRESS($AD19,CQ$1)),INDIRECT("'"&amp;$B$3&amp;"'!"&amp;ADDRESS($AD19,CQ$1)),CQ18)</f>
        <v/>
      </c>
    </row>
    <row r="20">
      <c r="AA20" s="72" t="n"/>
      <c r="AB20" s="238" t="n"/>
      <c r="AC20" s="236" t="n"/>
      <c r="AD20" t="n">
        <v>20</v>
      </c>
      <c r="AE20" s="73">
        <f>INDIRECT("'"&amp;$B$3&amp;"'!"&amp;ADDRESS($AD20,AE$1))</f>
        <v/>
      </c>
      <c r="AF20" s="73">
        <f>INDIRECT("'"&amp;$B$3&amp;"'!"&amp;ADDRESS($AD20,AF$1))</f>
        <v/>
      </c>
      <c r="AG20" s="73">
        <f>INDIRECT("'"&amp;$B$3&amp;"'!"&amp;ADDRESS($AD20,AG$1))</f>
        <v/>
      </c>
      <c r="AH20" s="73">
        <f>INDIRECT("'"&amp;$B$3&amp;"'!"&amp;ADDRESS($AD20,AH$1))</f>
        <v/>
      </c>
      <c r="AI20" s="73">
        <f>INDIRECT("'"&amp;$B$3&amp;"'!"&amp;ADDRESS($AD20,AI$1))</f>
        <v/>
      </c>
      <c r="AJ20" s="73">
        <f>INDIRECT("'"&amp;$B$3&amp;"'!"&amp;ADDRESS($AD20,AJ$1))</f>
        <v/>
      </c>
      <c r="AK20" s="73">
        <f>INDIRECT("'"&amp;$B$3&amp;"'!"&amp;ADDRESS($AD20,AK$1))</f>
        <v/>
      </c>
      <c r="AL20" s="73">
        <f>INDIRECT("'"&amp;$B$3&amp;"'!"&amp;ADDRESS($AD20,AL$1))</f>
        <v/>
      </c>
      <c r="AM20" s="73">
        <f>INDIRECT("'"&amp;$B$3&amp;"'!"&amp;ADDRESS($AD20,AM$1))</f>
        <v/>
      </c>
      <c r="AN20" s="73">
        <f>INDIRECT("'"&amp;$B$3&amp;"'!"&amp;ADDRESS($AD20,AN$1))</f>
        <v/>
      </c>
      <c r="AO20" s="73">
        <f>INDIRECT("'"&amp;$B$3&amp;"'!"&amp;ADDRESS($AD20,AO$1))</f>
        <v/>
      </c>
      <c r="AP20" s="73">
        <f>INDIRECT("'"&amp;$B$3&amp;"'!"&amp;ADDRESS($AD20,AP$1))</f>
        <v/>
      </c>
      <c r="AQ20" s="73">
        <f>INDIRECT("'"&amp;$B$3&amp;"'!"&amp;ADDRESS($AD20,AQ$1))</f>
        <v/>
      </c>
      <c r="AR20" s="73">
        <f>INDIRECT("'"&amp;$B$3&amp;"'!"&amp;ADDRESS($AD20,AR$1))</f>
        <v/>
      </c>
      <c r="AU20" s="236" t="n"/>
      <c r="AV20" s="73">
        <f>INDIRECT("'"&amp;$B$3&amp;"'!"&amp;ADDRESS($AD20,AV$1))</f>
        <v/>
      </c>
      <c r="AW20" s="73">
        <f>INDIRECT("'"&amp;$B$3&amp;"'!"&amp;ADDRESS($AD20,AW$1))</f>
        <v/>
      </c>
      <c r="AX20" s="73">
        <f>INDIRECT("'"&amp;$B$3&amp;"'!"&amp;ADDRESS($AD20,AX$1))</f>
        <v/>
      </c>
      <c r="AY20" s="73">
        <f>INDIRECT("'"&amp;$B$3&amp;"'!"&amp;ADDRESS($AD20,AY$1))</f>
        <v/>
      </c>
      <c r="AZ20" s="73">
        <f>INDIRECT("'"&amp;$B$3&amp;"'!"&amp;ADDRESS($AD20,AZ$1))</f>
        <v/>
      </c>
      <c r="BA20" s="73">
        <f>INDIRECT("'"&amp;$B$3&amp;"'!"&amp;ADDRESS($AD20,BA$1))</f>
        <v/>
      </c>
      <c r="BB20" s="73">
        <f>INDIRECT("'"&amp;$B$3&amp;"'!"&amp;ADDRESS($AD20,BB$1))</f>
        <v/>
      </c>
      <c r="BC20" s="73">
        <f>INDIRECT("'"&amp;$B$3&amp;"'!"&amp;ADDRESS($AD20,BC$1))</f>
        <v/>
      </c>
      <c r="BD20" s="73">
        <f>INDIRECT("'"&amp;$B$3&amp;"'!"&amp;ADDRESS($AD20,BD$1))</f>
        <v/>
      </c>
      <c r="BE20" s="73">
        <f>INDIRECT("'"&amp;$B$3&amp;"'!"&amp;ADDRESS($AD20,BE$1))</f>
        <v/>
      </c>
      <c r="BF20" s="73">
        <f>INDIRECT("'"&amp;$B$3&amp;"'!"&amp;ADDRESS($AD20,BF$1))</f>
        <v/>
      </c>
      <c r="BG20" s="73">
        <f>INDIRECT("'"&amp;$B$3&amp;"'!"&amp;ADDRESS($AD20,BG$1))</f>
        <v/>
      </c>
      <c r="BH20" s="73">
        <f>INDIRECT("'"&amp;$B$3&amp;"'!"&amp;ADDRESS($AD20,BH$1))</f>
        <v/>
      </c>
      <c r="BI20" s="73">
        <f>INDIRECT("'"&amp;$B$3&amp;"'!"&amp;ADDRESS($AD20,BI$1))</f>
        <v/>
      </c>
      <c r="BM20" s="73">
        <f>IF(INDIRECT("'"&amp;$B$3&amp;"'!"&amp;ADDRESS($AD20,BM$1)),INDIRECT("'"&amp;$B$3&amp;"'!"&amp;ADDRESS($AD20,BM$1)),BM19)</f>
        <v/>
      </c>
      <c r="BN20" s="73">
        <f>IF(INDIRECT("'"&amp;$B$3&amp;"'!"&amp;ADDRESS($AD20,BN$1)),INDIRECT("'"&amp;$B$3&amp;"'!"&amp;ADDRESS($AD20,BN$1)),BN19)</f>
        <v/>
      </c>
      <c r="BO20" s="73">
        <f>IF(INDIRECT("'"&amp;$B$3&amp;"'!"&amp;ADDRESS($AD20,BO$1)),INDIRECT("'"&amp;$B$3&amp;"'!"&amp;ADDRESS($AD20,BO$1)),BO19)</f>
        <v/>
      </c>
      <c r="BP20" s="73">
        <f>IF(INDIRECT("'"&amp;$B$3&amp;"'!"&amp;ADDRESS($AD20,BP$1)),INDIRECT("'"&amp;$B$3&amp;"'!"&amp;ADDRESS($AD20,BP$1)),BP19)</f>
        <v/>
      </c>
      <c r="BQ20" s="73">
        <f>IF(INDIRECT("'"&amp;$B$3&amp;"'!"&amp;ADDRESS($AD20,BQ$1)),INDIRECT("'"&amp;$B$3&amp;"'!"&amp;ADDRESS($AD20,BQ$1)),BQ19)</f>
        <v/>
      </c>
      <c r="BR20" s="73">
        <f>IF(INDIRECT("'"&amp;$B$3&amp;"'!"&amp;ADDRESS($AD20,BR$1)),INDIRECT("'"&amp;$B$3&amp;"'!"&amp;ADDRESS($AD20,BR$1)),BR19)</f>
        <v/>
      </c>
      <c r="BS20" s="73">
        <f>IF(INDIRECT("'"&amp;$B$3&amp;"'!"&amp;ADDRESS($AD20,BS$1)),INDIRECT("'"&amp;$B$3&amp;"'!"&amp;ADDRESS($AD20,BS$1)),BS19)</f>
        <v/>
      </c>
      <c r="BT20" s="73">
        <f>IF(INDIRECT("'"&amp;$B$3&amp;"'!"&amp;ADDRESS($AD20,BT$1)),INDIRECT("'"&amp;$B$3&amp;"'!"&amp;ADDRESS($AD20,BT$1)),BT19)</f>
        <v/>
      </c>
      <c r="BU20" s="73">
        <f>IF(INDIRECT("'"&amp;$B$3&amp;"'!"&amp;ADDRESS($AD20,BU$1)),INDIRECT("'"&amp;$B$3&amp;"'!"&amp;ADDRESS($AD20,BU$1)),BU19)</f>
        <v/>
      </c>
      <c r="BV20" s="73">
        <f>IF(INDIRECT("'"&amp;$B$3&amp;"'!"&amp;ADDRESS($AD20,BV$1)),INDIRECT("'"&amp;$B$3&amp;"'!"&amp;ADDRESS($AD20,BV$1)),BV19)</f>
        <v/>
      </c>
      <c r="BW20" s="73">
        <f>IF(INDIRECT("'"&amp;$B$3&amp;"'!"&amp;ADDRESS($AD20,BW$1)),INDIRECT("'"&amp;$B$3&amp;"'!"&amp;ADDRESS($AD20,BW$1)),BW19)</f>
        <v/>
      </c>
      <c r="BX20" s="73">
        <f>IF(INDIRECT("'"&amp;$B$3&amp;"'!"&amp;ADDRESS($AD20,BX$1)),INDIRECT("'"&amp;$B$3&amp;"'!"&amp;ADDRESS($AD20,BX$1)),BX19)</f>
        <v/>
      </c>
      <c r="BY20" s="73">
        <f>IF(INDIRECT("'"&amp;$B$3&amp;"'!"&amp;ADDRESS($AD20,BY$1)),INDIRECT("'"&amp;$B$3&amp;"'!"&amp;ADDRESS($AD20,BY$1)),BY19)</f>
        <v/>
      </c>
      <c r="BZ20" s="73">
        <f>IF(INDIRECT("'"&amp;$B$3&amp;"'!"&amp;ADDRESS($AD20,BZ$1)),INDIRECT("'"&amp;$B$3&amp;"'!"&amp;ADDRESS($AD20,BZ$1)),BZ19)</f>
        <v/>
      </c>
      <c r="CD20" s="73">
        <f>IF(INDIRECT("'"&amp;$B$3&amp;"'!"&amp;ADDRESS($AD20,CD$1)),INDIRECT("'"&amp;$B$3&amp;"'!"&amp;ADDRESS($AD20,CD$1)),CD19)</f>
        <v/>
      </c>
      <c r="CE20" s="73">
        <f>IF(INDIRECT("'"&amp;$B$3&amp;"'!"&amp;ADDRESS($AD20,CE$1)),INDIRECT("'"&amp;$B$3&amp;"'!"&amp;ADDRESS($AD20,CE$1)),CE19)</f>
        <v/>
      </c>
      <c r="CF20" s="73">
        <f>IF(INDIRECT("'"&amp;$B$3&amp;"'!"&amp;ADDRESS($AD20,CF$1)),INDIRECT("'"&amp;$B$3&amp;"'!"&amp;ADDRESS($AD20,CF$1)),CF19)</f>
        <v/>
      </c>
      <c r="CG20" s="73">
        <f>IF(INDIRECT("'"&amp;$B$3&amp;"'!"&amp;ADDRESS($AD20,CG$1)),INDIRECT("'"&amp;$B$3&amp;"'!"&amp;ADDRESS($AD20,CG$1)),CG19)</f>
        <v/>
      </c>
      <c r="CH20" s="73">
        <f>IF(INDIRECT("'"&amp;$B$3&amp;"'!"&amp;ADDRESS($AD20,CH$1)),INDIRECT("'"&amp;$B$3&amp;"'!"&amp;ADDRESS($AD20,CH$1)),CH19)</f>
        <v/>
      </c>
      <c r="CI20" s="73">
        <f>IF(INDIRECT("'"&amp;$B$3&amp;"'!"&amp;ADDRESS($AD20,CI$1)),INDIRECT("'"&amp;$B$3&amp;"'!"&amp;ADDRESS($AD20,CI$1)),CI19)</f>
        <v/>
      </c>
      <c r="CJ20" s="73">
        <f>IF(INDIRECT("'"&amp;$B$3&amp;"'!"&amp;ADDRESS($AD20,CJ$1)),INDIRECT("'"&amp;$B$3&amp;"'!"&amp;ADDRESS($AD20,CJ$1)),CJ19)</f>
        <v/>
      </c>
      <c r="CK20" s="73">
        <f>IF(INDIRECT("'"&amp;$B$3&amp;"'!"&amp;ADDRESS($AD20,CK$1)),INDIRECT("'"&amp;$B$3&amp;"'!"&amp;ADDRESS($AD20,CK$1)),CK19)</f>
        <v/>
      </c>
      <c r="CL20" s="73">
        <f>IF(INDIRECT("'"&amp;$B$3&amp;"'!"&amp;ADDRESS($AD20,CL$1)),INDIRECT("'"&amp;$B$3&amp;"'!"&amp;ADDRESS($AD20,CL$1)),CL19)</f>
        <v/>
      </c>
      <c r="CM20" s="73">
        <f>IF(INDIRECT("'"&amp;$B$3&amp;"'!"&amp;ADDRESS($AD20,CM$1)),INDIRECT("'"&amp;$B$3&amp;"'!"&amp;ADDRESS($AD20,CM$1)),CM19)</f>
        <v/>
      </c>
      <c r="CN20" s="73">
        <f>IF(INDIRECT("'"&amp;$B$3&amp;"'!"&amp;ADDRESS($AD20,CN$1)),INDIRECT("'"&amp;$B$3&amp;"'!"&amp;ADDRESS($AD20,CN$1)),CN19)</f>
        <v/>
      </c>
      <c r="CO20" s="73">
        <f>IF(INDIRECT("'"&amp;$B$3&amp;"'!"&amp;ADDRESS($AD20,CO$1)),INDIRECT("'"&amp;$B$3&amp;"'!"&amp;ADDRESS($AD20,CO$1)),CO19)</f>
        <v/>
      </c>
      <c r="CP20" s="73">
        <f>IF(INDIRECT("'"&amp;$B$3&amp;"'!"&amp;ADDRESS($AD20,CP$1)),INDIRECT("'"&amp;$B$3&amp;"'!"&amp;ADDRESS($AD20,CP$1)),CP19)</f>
        <v/>
      </c>
      <c r="CQ20" s="73">
        <f>IF(INDIRECT("'"&amp;$B$3&amp;"'!"&amp;ADDRESS($AD20,CQ$1)),INDIRECT("'"&amp;$B$3&amp;"'!"&amp;ADDRESS($AD20,CQ$1)),CQ19)</f>
        <v/>
      </c>
    </row>
    <row r="21">
      <c r="AA21" s="72" t="n"/>
      <c r="AB21" s="238" t="n"/>
      <c r="AC21" s="236" t="n"/>
      <c r="AD21" t="n">
        <v>21</v>
      </c>
      <c r="AE21" s="73">
        <f>INDIRECT("'"&amp;$B$3&amp;"'!"&amp;ADDRESS($AD21,AE$1))</f>
        <v/>
      </c>
      <c r="AF21" s="73">
        <f>INDIRECT("'"&amp;$B$3&amp;"'!"&amp;ADDRESS($AD21,AF$1))</f>
        <v/>
      </c>
      <c r="AG21" s="73">
        <f>INDIRECT("'"&amp;$B$3&amp;"'!"&amp;ADDRESS($AD21,AG$1))</f>
        <v/>
      </c>
      <c r="AH21" s="73">
        <f>INDIRECT("'"&amp;$B$3&amp;"'!"&amp;ADDRESS($AD21,AH$1))</f>
        <v/>
      </c>
      <c r="AI21" s="73">
        <f>INDIRECT("'"&amp;$B$3&amp;"'!"&amp;ADDRESS($AD21,AI$1))</f>
        <v/>
      </c>
      <c r="AJ21" s="73">
        <f>INDIRECT("'"&amp;$B$3&amp;"'!"&amp;ADDRESS($AD21,AJ$1))</f>
        <v/>
      </c>
      <c r="AK21" s="73">
        <f>INDIRECT("'"&amp;$B$3&amp;"'!"&amp;ADDRESS($AD21,AK$1))</f>
        <v/>
      </c>
      <c r="AL21" s="73">
        <f>INDIRECT("'"&amp;$B$3&amp;"'!"&amp;ADDRESS($AD21,AL$1))</f>
        <v/>
      </c>
      <c r="AM21" s="73">
        <f>INDIRECT("'"&amp;$B$3&amp;"'!"&amp;ADDRESS($AD21,AM$1))</f>
        <v/>
      </c>
      <c r="AN21" s="73">
        <f>INDIRECT("'"&amp;$B$3&amp;"'!"&amp;ADDRESS($AD21,AN$1))</f>
        <v/>
      </c>
      <c r="AO21" s="73">
        <f>INDIRECT("'"&amp;$B$3&amp;"'!"&amp;ADDRESS($AD21,AO$1))</f>
        <v/>
      </c>
      <c r="AP21" s="73">
        <f>INDIRECT("'"&amp;$B$3&amp;"'!"&amp;ADDRESS($AD21,AP$1))</f>
        <v/>
      </c>
      <c r="AQ21" s="73">
        <f>INDIRECT("'"&amp;$B$3&amp;"'!"&amp;ADDRESS($AD21,AQ$1))</f>
        <v/>
      </c>
      <c r="AR21" s="73">
        <f>INDIRECT("'"&amp;$B$3&amp;"'!"&amp;ADDRESS($AD21,AR$1))</f>
        <v/>
      </c>
      <c r="AU21" s="236" t="n"/>
      <c r="AV21" s="73">
        <f>INDIRECT("'"&amp;$B$3&amp;"'!"&amp;ADDRESS($AD21,AV$1))</f>
        <v/>
      </c>
      <c r="AW21" s="73">
        <f>INDIRECT("'"&amp;$B$3&amp;"'!"&amp;ADDRESS($AD21,AW$1))</f>
        <v/>
      </c>
      <c r="AX21" s="73">
        <f>INDIRECT("'"&amp;$B$3&amp;"'!"&amp;ADDRESS($AD21,AX$1))</f>
        <v/>
      </c>
      <c r="AY21" s="73">
        <f>INDIRECT("'"&amp;$B$3&amp;"'!"&amp;ADDRESS($AD21,AY$1))</f>
        <v/>
      </c>
      <c r="AZ21" s="73">
        <f>INDIRECT("'"&amp;$B$3&amp;"'!"&amp;ADDRESS($AD21,AZ$1))</f>
        <v/>
      </c>
      <c r="BA21" s="73">
        <f>INDIRECT("'"&amp;$B$3&amp;"'!"&amp;ADDRESS($AD21,BA$1))</f>
        <v/>
      </c>
      <c r="BB21" s="73">
        <f>INDIRECT("'"&amp;$B$3&amp;"'!"&amp;ADDRESS($AD21,BB$1))</f>
        <v/>
      </c>
      <c r="BC21" s="73">
        <f>INDIRECT("'"&amp;$B$3&amp;"'!"&amp;ADDRESS($AD21,BC$1))</f>
        <v/>
      </c>
      <c r="BD21" s="73">
        <f>INDIRECT("'"&amp;$B$3&amp;"'!"&amp;ADDRESS($AD21,BD$1))</f>
        <v/>
      </c>
      <c r="BE21" s="73">
        <f>INDIRECT("'"&amp;$B$3&amp;"'!"&amp;ADDRESS($AD21,BE$1))</f>
        <v/>
      </c>
      <c r="BF21" s="73">
        <f>INDIRECT("'"&amp;$B$3&amp;"'!"&amp;ADDRESS($AD21,BF$1))</f>
        <v/>
      </c>
      <c r="BG21" s="73">
        <f>INDIRECT("'"&amp;$B$3&amp;"'!"&amp;ADDRESS($AD21,BG$1))</f>
        <v/>
      </c>
      <c r="BH21" s="73">
        <f>INDIRECT("'"&amp;$B$3&amp;"'!"&amp;ADDRESS($AD21,BH$1))</f>
        <v/>
      </c>
      <c r="BI21" s="73">
        <f>INDIRECT("'"&amp;$B$3&amp;"'!"&amp;ADDRESS($AD21,BI$1))</f>
        <v/>
      </c>
      <c r="BM21" s="73">
        <f>IF(INDIRECT("'"&amp;$B$3&amp;"'!"&amp;ADDRESS($AD21,BM$1)),INDIRECT("'"&amp;$B$3&amp;"'!"&amp;ADDRESS($AD21,BM$1)),BM20)</f>
        <v/>
      </c>
      <c r="BN21" s="73">
        <f>IF(INDIRECT("'"&amp;$B$3&amp;"'!"&amp;ADDRESS($AD21,BN$1)),INDIRECT("'"&amp;$B$3&amp;"'!"&amp;ADDRESS($AD21,BN$1)),BN20)</f>
        <v/>
      </c>
      <c r="BO21" s="73">
        <f>IF(INDIRECT("'"&amp;$B$3&amp;"'!"&amp;ADDRESS($AD21,BO$1)),INDIRECT("'"&amp;$B$3&amp;"'!"&amp;ADDRESS($AD21,BO$1)),BO20)</f>
        <v/>
      </c>
      <c r="BP21" s="73">
        <f>IF(INDIRECT("'"&amp;$B$3&amp;"'!"&amp;ADDRESS($AD21,BP$1)),INDIRECT("'"&amp;$B$3&amp;"'!"&amp;ADDRESS($AD21,BP$1)),BP20)</f>
        <v/>
      </c>
      <c r="BQ21" s="73">
        <f>IF(INDIRECT("'"&amp;$B$3&amp;"'!"&amp;ADDRESS($AD21,BQ$1)),INDIRECT("'"&amp;$B$3&amp;"'!"&amp;ADDRESS($AD21,BQ$1)),BQ20)</f>
        <v/>
      </c>
      <c r="BR21" s="73">
        <f>IF(INDIRECT("'"&amp;$B$3&amp;"'!"&amp;ADDRESS($AD21,BR$1)),INDIRECT("'"&amp;$B$3&amp;"'!"&amp;ADDRESS($AD21,BR$1)),BR20)</f>
        <v/>
      </c>
      <c r="BS21" s="73">
        <f>IF(INDIRECT("'"&amp;$B$3&amp;"'!"&amp;ADDRESS($AD21,BS$1)),INDIRECT("'"&amp;$B$3&amp;"'!"&amp;ADDRESS($AD21,BS$1)),BS20)</f>
        <v/>
      </c>
      <c r="BT21" s="73">
        <f>IF(INDIRECT("'"&amp;$B$3&amp;"'!"&amp;ADDRESS($AD21,BT$1)),INDIRECT("'"&amp;$B$3&amp;"'!"&amp;ADDRESS($AD21,BT$1)),BT20)</f>
        <v/>
      </c>
      <c r="BU21" s="73">
        <f>IF(INDIRECT("'"&amp;$B$3&amp;"'!"&amp;ADDRESS($AD21,BU$1)),INDIRECT("'"&amp;$B$3&amp;"'!"&amp;ADDRESS($AD21,BU$1)),BU20)</f>
        <v/>
      </c>
      <c r="BV21" s="73">
        <f>IF(INDIRECT("'"&amp;$B$3&amp;"'!"&amp;ADDRESS($AD21,BV$1)),INDIRECT("'"&amp;$B$3&amp;"'!"&amp;ADDRESS($AD21,BV$1)),BV20)</f>
        <v/>
      </c>
      <c r="BW21" s="73">
        <f>IF(INDIRECT("'"&amp;$B$3&amp;"'!"&amp;ADDRESS($AD21,BW$1)),INDIRECT("'"&amp;$B$3&amp;"'!"&amp;ADDRESS($AD21,BW$1)),BW20)</f>
        <v/>
      </c>
      <c r="BX21" s="73">
        <f>IF(INDIRECT("'"&amp;$B$3&amp;"'!"&amp;ADDRESS($AD21,BX$1)),INDIRECT("'"&amp;$B$3&amp;"'!"&amp;ADDRESS($AD21,BX$1)),BX20)</f>
        <v/>
      </c>
      <c r="BY21" s="73">
        <f>IF(INDIRECT("'"&amp;$B$3&amp;"'!"&amp;ADDRESS($AD21,BY$1)),INDIRECT("'"&amp;$B$3&amp;"'!"&amp;ADDRESS($AD21,BY$1)),BY20)</f>
        <v/>
      </c>
      <c r="BZ21" s="73">
        <f>IF(INDIRECT("'"&amp;$B$3&amp;"'!"&amp;ADDRESS($AD21,BZ$1)),INDIRECT("'"&amp;$B$3&amp;"'!"&amp;ADDRESS($AD21,BZ$1)),BZ20)</f>
        <v/>
      </c>
      <c r="CD21" s="73">
        <f>IF(INDIRECT("'"&amp;$B$3&amp;"'!"&amp;ADDRESS($AD21,CD$1)),INDIRECT("'"&amp;$B$3&amp;"'!"&amp;ADDRESS($AD21,CD$1)),CD20)</f>
        <v/>
      </c>
      <c r="CE21" s="73">
        <f>IF(INDIRECT("'"&amp;$B$3&amp;"'!"&amp;ADDRESS($AD21,CE$1)),INDIRECT("'"&amp;$B$3&amp;"'!"&amp;ADDRESS($AD21,CE$1)),CE20)</f>
        <v/>
      </c>
      <c r="CF21" s="73">
        <f>IF(INDIRECT("'"&amp;$B$3&amp;"'!"&amp;ADDRESS($AD21,CF$1)),INDIRECT("'"&amp;$B$3&amp;"'!"&amp;ADDRESS($AD21,CF$1)),CF20)</f>
        <v/>
      </c>
      <c r="CG21" s="73">
        <f>IF(INDIRECT("'"&amp;$B$3&amp;"'!"&amp;ADDRESS($AD21,CG$1)),INDIRECT("'"&amp;$B$3&amp;"'!"&amp;ADDRESS($AD21,CG$1)),CG20)</f>
        <v/>
      </c>
      <c r="CH21" s="73">
        <f>IF(INDIRECT("'"&amp;$B$3&amp;"'!"&amp;ADDRESS($AD21,CH$1)),INDIRECT("'"&amp;$B$3&amp;"'!"&amp;ADDRESS($AD21,CH$1)),CH20)</f>
        <v/>
      </c>
      <c r="CI21" s="73">
        <f>IF(INDIRECT("'"&amp;$B$3&amp;"'!"&amp;ADDRESS($AD21,CI$1)),INDIRECT("'"&amp;$B$3&amp;"'!"&amp;ADDRESS($AD21,CI$1)),CI20)</f>
        <v/>
      </c>
      <c r="CJ21" s="73">
        <f>IF(INDIRECT("'"&amp;$B$3&amp;"'!"&amp;ADDRESS($AD21,CJ$1)),INDIRECT("'"&amp;$B$3&amp;"'!"&amp;ADDRESS($AD21,CJ$1)),CJ20)</f>
        <v/>
      </c>
      <c r="CK21" s="73">
        <f>IF(INDIRECT("'"&amp;$B$3&amp;"'!"&amp;ADDRESS($AD21,CK$1)),INDIRECT("'"&amp;$B$3&amp;"'!"&amp;ADDRESS($AD21,CK$1)),CK20)</f>
        <v/>
      </c>
      <c r="CL21" s="73">
        <f>IF(INDIRECT("'"&amp;$B$3&amp;"'!"&amp;ADDRESS($AD21,CL$1)),INDIRECT("'"&amp;$B$3&amp;"'!"&amp;ADDRESS($AD21,CL$1)),CL20)</f>
        <v/>
      </c>
      <c r="CM21" s="73">
        <f>IF(INDIRECT("'"&amp;$B$3&amp;"'!"&amp;ADDRESS($AD21,CM$1)),INDIRECT("'"&amp;$B$3&amp;"'!"&amp;ADDRESS($AD21,CM$1)),CM20)</f>
        <v/>
      </c>
      <c r="CN21" s="73">
        <f>IF(INDIRECT("'"&amp;$B$3&amp;"'!"&amp;ADDRESS($AD21,CN$1)),INDIRECT("'"&amp;$B$3&amp;"'!"&amp;ADDRESS($AD21,CN$1)),CN20)</f>
        <v/>
      </c>
      <c r="CO21" s="73">
        <f>IF(INDIRECT("'"&amp;$B$3&amp;"'!"&amp;ADDRESS($AD21,CO$1)),INDIRECT("'"&amp;$B$3&amp;"'!"&amp;ADDRESS($AD21,CO$1)),CO20)</f>
        <v/>
      </c>
      <c r="CP21" s="73">
        <f>IF(INDIRECT("'"&amp;$B$3&amp;"'!"&amp;ADDRESS($AD21,CP$1)),INDIRECT("'"&amp;$B$3&amp;"'!"&amp;ADDRESS($AD21,CP$1)),CP20)</f>
        <v/>
      </c>
      <c r="CQ21" s="73">
        <f>IF(INDIRECT("'"&amp;$B$3&amp;"'!"&amp;ADDRESS($AD21,CQ$1)),INDIRECT("'"&amp;$B$3&amp;"'!"&amp;ADDRESS($AD21,CQ$1)),CQ20)</f>
        <v/>
      </c>
    </row>
    <row r="22">
      <c r="AA22" s="72" t="n"/>
      <c r="AB22" s="239" t="n"/>
      <c r="AC22" s="236" t="n"/>
      <c r="AD22" t="n">
        <v>22</v>
      </c>
      <c r="AE22" s="73">
        <f>INDIRECT("'"&amp;$B$3&amp;"'!"&amp;ADDRESS($AD22,AE$1))</f>
        <v/>
      </c>
      <c r="AF22" s="73">
        <f>INDIRECT("'"&amp;$B$3&amp;"'!"&amp;ADDRESS($AD22,AF$1))</f>
        <v/>
      </c>
      <c r="AG22" s="73">
        <f>INDIRECT("'"&amp;$B$3&amp;"'!"&amp;ADDRESS($AD22,AG$1))</f>
        <v/>
      </c>
      <c r="AH22" s="73">
        <f>INDIRECT("'"&amp;$B$3&amp;"'!"&amp;ADDRESS($AD22,AH$1))</f>
        <v/>
      </c>
      <c r="AI22" s="73">
        <f>INDIRECT("'"&amp;$B$3&amp;"'!"&amp;ADDRESS($AD22,AI$1))</f>
        <v/>
      </c>
      <c r="AJ22" s="73">
        <f>INDIRECT("'"&amp;$B$3&amp;"'!"&amp;ADDRESS($AD22,AJ$1))</f>
        <v/>
      </c>
      <c r="AK22" s="73">
        <f>INDIRECT("'"&amp;$B$3&amp;"'!"&amp;ADDRESS($AD22,AK$1))</f>
        <v/>
      </c>
      <c r="AL22" s="73">
        <f>INDIRECT("'"&amp;$B$3&amp;"'!"&amp;ADDRESS($AD22,AL$1))</f>
        <v/>
      </c>
      <c r="AM22" s="73">
        <f>INDIRECT("'"&amp;$B$3&amp;"'!"&amp;ADDRESS($AD22,AM$1))</f>
        <v/>
      </c>
      <c r="AN22" s="73">
        <f>INDIRECT("'"&amp;$B$3&amp;"'!"&amp;ADDRESS($AD22,AN$1))</f>
        <v/>
      </c>
      <c r="AO22" s="73">
        <f>INDIRECT("'"&amp;$B$3&amp;"'!"&amp;ADDRESS($AD22,AO$1))</f>
        <v/>
      </c>
      <c r="AP22" s="73">
        <f>INDIRECT("'"&amp;$B$3&amp;"'!"&amp;ADDRESS($AD22,AP$1))</f>
        <v/>
      </c>
      <c r="AQ22" s="73">
        <f>INDIRECT("'"&amp;$B$3&amp;"'!"&amp;ADDRESS($AD22,AQ$1))</f>
        <v/>
      </c>
      <c r="AR22" s="73">
        <f>INDIRECT("'"&amp;$B$3&amp;"'!"&amp;ADDRESS($AD22,AR$1))</f>
        <v/>
      </c>
      <c r="AU22" s="236" t="n"/>
      <c r="AV22" s="73">
        <f>INDIRECT("'"&amp;$B$3&amp;"'!"&amp;ADDRESS($AD22,AV$1))</f>
        <v/>
      </c>
      <c r="AW22" s="73">
        <f>INDIRECT("'"&amp;$B$3&amp;"'!"&amp;ADDRESS($AD22,AW$1))</f>
        <v/>
      </c>
      <c r="AX22" s="73">
        <f>INDIRECT("'"&amp;$B$3&amp;"'!"&amp;ADDRESS($AD22,AX$1))</f>
        <v/>
      </c>
      <c r="AY22" s="73">
        <f>INDIRECT("'"&amp;$B$3&amp;"'!"&amp;ADDRESS($AD22,AY$1))</f>
        <v/>
      </c>
      <c r="AZ22" s="73">
        <f>INDIRECT("'"&amp;$B$3&amp;"'!"&amp;ADDRESS($AD22,AZ$1))</f>
        <v/>
      </c>
      <c r="BA22" s="73">
        <f>INDIRECT("'"&amp;$B$3&amp;"'!"&amp;ADDRESS($AD22,BA$1))</f>
        <v/>
      </c>
      <c r="BB22" s="73">
        <f>INDIRECT("'"&amp;$B$3&amp;"'!"&amp;ADDRESS($AD22,BB$1))</f>
        <v/>
      </c>
      <c r="BC22" s="73">
        <f>INDIRECT("'"&amp;$B$3&amp;"'!"&amp;ADDRESS($AD22,BC$1))</f>
        <v/>
      </c>
      <c r="BD22" s="73">
        <f>INDIRECT("'"&amp;$B$3&amp;"'!"&amp;ADDRESS($AD22,BD$1))</f>
        <v/>
      </c>
      <c r="BE22" s="73">
        <f>INDIRECT("'"&amp;$B$3&amp;"'!"&amp;ADDRESS($AD22,BE$1))</f>
        <v/>
      </c>
      <c r="BF22" s="73">
        <f>INDIRECT("'"&amp;$B$3&amp;"'!"&amp;ADDRESS($AD22,BF$1))</f>
        <v/>
      </c>
      <c r="BG22" s="73">
        <f>INDIRECT("'"&amp;$B$3&amp;"'!"&amp;ADDRESS($AD22,BG$1))</f>
        <v/>
      </c>
      <c r="BH22" s="73">
        <f>INDIRECT("'"&amp;$B$3&amp;"'!"&amp;ADDRESS($AD22,BH$1))</f>
        <v/>
      </c>
      <c r="BI22" s="73">
        <f>INDIRECT("'"&amp;$B$3&amp;"'!"&amp;ADDRESS($AD22,BI$1))</f>
        <v/>
      </c>
      <c r="BM22" s="73">
        <f>IF(INDIRECT("'"&amp;$B$3&amp;"'!"&amp;ADDRESS($AD22,BM$1)),INDIRECT("'"&amp;$B$3&amp;"'!"&amp;ADDRESS($AD22,BM$1)),BM21)</f>
        <v/>
      </c>
      <c r="BN22" s="73">
        <f>IF(INDIRECT("'"&amp;$B$3&amp;"'!"&amp;ADDRESS($AD22,BN$1)),INDIRECT("'"&amp;$B$3&amp;"'!"&amp;ADDRESS($AD22,BN$1)),BN21)</f>
        <v/>
      </c>
      <c r="BO22" s="73">
        <f>IF(INDIRECT("'"&amp;$B$3&amp;"'!"&amp;ADDRESS($AD22,BO$1)),INDIRECT("'"&amp;$B$3&amp;"'!"&amp;ADDRESS($AD22,BO$1)),BO21)</f>
        <v/>
      </c>
      <c r="BP22" s="73">
        <f>IF(INDIRECT("'"&amp;$B$3&amp;"'!"&amp;ADDRESS($AD22,BP$1)),INDIRECT("'"&amp;$B$3&amp;"'!"&amp;ADDRESS($AD22,BP$1)),BP21)</f>
        <v/>
      </c>
      <c r="BQ22" s="73">
        <f>IF(INDIRECT("'"&amp;$B$3&amp;"'!"&amp;ADDRESS($AD22,BQ$1)),INDIRECT("'"&amp;$B$3&amp;"'!"&amp;ADDRESS($AD22,BQ$1)),BQ21)</f>
        <v/>
      </c>
      <c r="BR22" s="73">
        <f>IF(INDIRECT("'"&amp;$B$3&amp;"'!"&amp;ADDRESS($AD22,BR$1)),INDIRECT("'"&amp;$B$3&amp;"'!"&amp;ADDRESS($AD22,BR$1)),BR21)</f>
        <v/>
      </c>
      <c r="BS22" s="73">
        <f>IF(INDIRECT("'"&amp;$B$3&amp;"'!"&amp;ADDRESS($AD22,BS$1)),INDIRECT("'"&amp;$B$3&amp;"'!"&amp;ADDRESS($AD22,BS$1)),BS21)</f>
        <v/>
      </c>
      <c r="BT22" s="73">
        <f>IF(INDIRECT("'"&amp;$B$3&amp;"'!"&amp;ADDRESS($AD22,BT$1)),INDIRECT("'"&amp;$B$3&amp;"'!"&amp;ADDRESS($AD22,BT$1)),BT21)</f>
        <v/>
      </c>
      <c r="BU22" s="73">
        <f>IF(INDIRECT("'"&amp;$B$3&amp;"'!"&amp;ADDRESS($AD22,BU$1)),INDIRECT("'"&amp;$B$3&amp;"'!"&amp;ADDRESS($AD22,BU$1)),BU21)</f>
        <v/>
      </c>
      <c r="BV22" s="73">
        <f>IF(INDIRECT("'"&amp;$B$3&amp;"'!"&amp;ADDRESS($AD22,BV$1)),INDIRECT("'"&amp;$B$3&amp;"'!"&amp;ADDRESS($AD22,BV$1)),BV21)</f>
        <v/>
      </c>
      <c r="BW22" s="73">
        <f>IF(INDIRECT("'"&amp;$B$3&amp;"'!"&amp;ADDRESS($AD22,BW$1)),INDIRECT("'"&amp;$B$3&amp;"'!"&amp;ADDRESS($AD22,BW$1)),BW21)</f>
        <v/>
      </c>
      <c r="BX22" s="73">
        <f>IF(INDIRECT("'"&amp;$B$3&amp;"'!"&amp;ADDRESS($AD22,BX$1)),INDIRECT("'"&amp;$B$3&amp;"'!"&amp;ADDRESS($AD22,BX$1)),BX21)</f>
        <v/>
      </c>
      <c r="BY22" s="73">
        <f>IF(INDIRECT("'"&amp;$B$3&amp;"'!"&amp;ADDRESS($AD22,BY$1)),INDIRECT("'"&amp;$B$3&amp;"'!"&amp;ADDRESS($AD22,BY$1)),BY21)</f>
        <v/>
      </c>
      <c r="BZ22" s="73">
        <f>IF(INDIRECT("'"&amp;$B$3&amp;"'!"&amp;ADDRESS($AD22,BZ$1)),INDIRECT("'"&amp;$B$3&amp;"'!"&amp;ADDRESS($AD22,BZ$1)),BZ21)</f>
        <v/>
      </c>
      <c r="CD22" s="73">
        <f>IF(INDIRECT("'"&amp;$B$3&amp;"'!"&amp;ADDRESS($AD22,CD$1)),INDIRECT("'"&amp;$B$3&amp;"'!"&amp;ADDRESS($AD22,CD$1)),CD21)</f>
        <v/>
      </c>
      <c r="CE22" s="73">
        <f>IF(INDIRECT("'"&amp;$B$3&amp;"'!"&amp;ADDRESS($AD22,CE$1)),INDIRECT("'"&amp;$B$3&amp;"'!"&amp;ADDRESS($AD22,CE$1)),CE21)</f>
        <v/>
      </c>
      <c r="CF22" s="73">
        <f>IF(INDIRECT("'"&amp;$B$3&amp;"'!"&amp;ADDRESS($AD22,CF$1)),INDIRECT("'"&amp;$B$3&amp;"'!"&amp;ADDRESS($AD22,CF$1)),CF21)</f>
        <v/>
      </c>
      <c r="CG22" s="73">
        <f>IF(INDIRECT("'"&amp;$B$3&amp;"'!"&amp;ADDRESS($AD22,CG$1)),INDIRECT("'"&amp;$B$3&amp;"'!"&amp;ADDRESS($AD22,CG$1)),CG21)</f>
        <v/>
      </c>
      <c r="CH22" s="73">
        <f>IF(INDIRECT("'"&amp;$B$3&amp;"'!"&amp;ADDRESS($AD22,CH$1)),INDIRECT("'"&amp;$B$3&amp;"'!"&amp;ADDRESS($AD22,CH$1)),CH21)</f>
        <v/>
      </c>
      <c r="CI22" s="73">
        <f>IF(INDIRECT("'"&amp;$B$3&amp;"'!"&amp;ADDRESS($AD22,CI$1)),INDIRECT("'"&amp;$B$3&amp;"'!"&amp;ADDRESS($AD22,CI$1)),CI21)</f>
        <v/>
      </c>
      <c r="CJ22" s="73">
        <f>IF(INDIRECT("'"&amp;$B$3&amp;"'!"&amp;ADDRESS($AD22,CJ$1)),INDIRECT("'"&amp;$B$3&amp;"'!"&amp;ADDRESS($AD22,CJ$1)),CJ21)</f>
        <v/>
      </c>
      <c r="CK22" s="73">
        <f>IF(INDIRECT("'"&amp;$B$3&amp;"'!"&amp;ADDRESS($AD22,CK$1)),INDIRECT("'"&amp;$B$3&amp;"'!"&amp;ADDRESS($AD22,CK$1)),CK21)</f>
        <v/>
      </c>
      <c r="CL22" s="73">
        <f>IF(INDIRECT("'"&amp;$B$3&amp;"'!"&amp;ADDRESS($AD22,CL$1)),INDIRECT("'"&amp;$B$3&amp;"'!"&amp;ADDRESS($AD22,CL$1)),CL21)</f>
        <v/>
      </c>
      <c r="CM22" s="73">
        <f>IF(INDIRECT("'"&amp;$B$3&amp;"'!"&amp;ADDRESS($AD22,CM$1)),INDIRECT("'"&amp;$B$3&amp;"'!"&amp;ADDRESS($AD22,CM$1)),CM21)</f>
        <v/>
      </c>
      <c r="CN22" s="73">
        <f>IF(INDIRECT("'"&amp;$B$3&amp;"'!"&amp;ADDRESS($AD22,CN$1)),INDIRECT("'"&amp;$B$3&amp;"'!"&amp;ADDRESS($AD22,CN$1)),CN21)</f>
        <v/>
      </c>
      <c r="CO22" s="73">
        <f>IF(INDIRECT("'"&amp;$B$3&amp;"'!"&amp;ADDRESS($AD22,CO$1)),INDIRECT("'"&amp;$B$3&amp;"'!"&amp;ADDRESS($AD22,CO$1)),CO21)</f>
        <v/>
      </c>
      <c r="CP22" s="73">
        <f>IF(INDIRECT("'"&amp;$B$3&amp;"'!"&amp;ADDRESS($AD22,CP$1)),INDIRECT("'"&amp;$B$3&amp;"'!"&amp;ADDRESS($AD22,CP$1)),CP21)</f>
        <v/>
      </c>
      <c r="CQ22" s="73">
        <f>IF(INDIRECT("'"&amp;$B$3&amp;"'!"&amp;ADDRESS($AD22,CQ$1)),INDIRECT("'"&amp;$B$3&amp;"'!"&amp;ADDRESS($AD22,CQ$1)),CQ21)</f>
        <v/>
      </c>
    </row>
    <row r="23">
      <c r="AA23" s="72" t="n"/>
      <c r="AB23" s="242" t="inlineStr">
        <is>
          <t>1280x720</t>
        </is>
      </c>
      <c r="AC23" s="235">
        <f>CONCATENATE(AB23," Reference")</f>
        <v/>
      </c>
      <c r="AD23" t="n">
        <v>23</v>
      </c>
      <c r="AE23" s="73">
        <f>INDIRECT("'"&amp;$B$3&amp;"'!"&amp;ADDRESS($AD23,AE$1))</f>
        <v/>
      </c>
      <c r="AF23" s="73">
        <f>INDIRECT("'"&amp;$B$3&amp;"'!"&amp;ADDRESS($AD23,AF$1))</f>
        <v/>
      </c>
      <c r="AG23" s="73">
        <f>INDIRECT("'"&amp;$B$3&amp;"'!"&amp;ADDRESS($AD23,AG$1))</f>
        <v/>
      </c>
      <c r="AH23" s="73">
        <f>INDIRECT("'"&amp;$B$3&amp;"'!"&amp;ADDRESS($AD23,AH$1))</f>
        <v/>
      </c>
      <c r="AI23" s="73">
        <f>INDIRECT("'"&amp;$B$3&amp;"'!"&amp;ADDRESS($AD23,AI$1))</f>
        <v/>
      </c>
      <c r="AJ23" s="73">
        <f>INDIRECT("'"&amp;$B$3&amp;"'!"&amp;ADDRESS($AD23,AJ$1))</f>
        <v/>
      </c>
      <c r="AK23" s="73">
        <f>INDIRECT("'"&amp;$B$3&amp;"'!"&amp;ADDRESS($AD23,AK$1))</f>
        <v/>
      </c>
      <c r="AL23" s="73">
        <f>INDIRECT("'"&amp;$B$3&amp;"'!"&amp;ADDRESS($AD23,AL$1))</f>
        <v/>
      </c>
      <c r="AM23" s="73">
        <f>INDIRECT("'"&amp;$B$3&amp;"'!"&amp;ADDRESS($AD23,AM$1))</f>
        <v/>
      </c>
      <c r="AN23" s="73">
        <f>INDIRECT("'"&amp;$B$3&amp;"'!"&amp;ADDRESS($AD23,AN$1))</f>
        <v/>
      </c>
      <c r="AO23" s="73">
        <f>INDIRECT("'"&amp;$B$3&amp;"'!"&amp;ADDRESS($AD23,AO$1))</f>
        <v/>
      </c>
      <c r="AP23" s="73">
        <f>INDIRECT("'"&amp;$B$3&amp;"'!"&amp;ADDRESS($AD23,AP$1))</f>
        <v/>
      </c>
      <c r="AQ23" s="73">
        <f>INDIRECT("'"&amp;$B$3&amp;"'!"&amp;ADDRESS($AD23,AQ$1))</f>
        <v/>
      </c>
      <c r="AR23" s="73">
        <f>INDIRECT("'"&amp;$B$3&amp;"'!"&amp;ADDRESS($AD23,AR$1))</f>
        <v/>
      </c>
      <c r="AU23" s="235">
        <f>CONCATENATE(AB23," Test")</f>
        <v/>
      </c>
      <c r="AV23" s="73">
        <f>INDIRECT("'"&amp;$B$3&amp;"'!"&amp;ADDRESS($AD23,AV$1))</f>
        <v/>
      </c>
      <c r="AW23" s="73">
        <f>INDIRECT("'"&amp;$B$3&amp;"'!"&amp;ADDRESS($AD23,AW$1))</f>
        <v/>
      </c>
      <c r="AX23" s="73">
        <f>INDIRECT("'"&amp;$B$3&amp;"'!"&amp;ADDRESS($AD23,AX$1))</f>
        <v/>
      </c>
      <c r="AY23" s="73">
        <f>INDIRECT("'"&amp;$B$3&amp;"'!"&amp;ADDRESS($AD23,AY$1))</f>
        <v/>
      </c>
      <c r="AZ23" s="73">
        <f>INDIRECT("'"&amp;$B$3&amp;"'!"&amp;ADDRESS($AD23,AZ$1))</f>
        <v/>
      </c>
      <c r="BA23" s="73">
        <f>INDIRECT("'"&amp;$B$3&amp;"'!"&amp;ADDRESS($AD23,BA$1))</f>
        <v/>
      </c>
      <c r="BB23" s="73">
        <f>INDIRECT("'"&amp;$B$3&amp;"'!"&amp;ADDRESS($AD23,BB$1))</f>
        <v/>
      </c>
      <c r="BC23" s="73">
        <f>INDIRECT("'"&amp;$B$3&amp;"'!"&amp;ADDRESS($AD23,BC$1))</f>
        <v/>
      </c>
      <c r="BD23" s="73">
        <f>INDIRECT("'"&amp;$B$3&amp;"'!"&amp;ADDRESS($AD23,BD$1))</f>
        <v/>
      </c>
      <c r="BE23" s="73">
        <f>INDIRECT("'"&amp;$B$3&amp;"'!"&amp;ADDRESS($AD23,BE$1))</f>
        <v/>
      </c>
      <c r="BF23" s="73">
        <f>INDIRECT("'"&amp;$B$3&amp;"'!"&amp;ADDRESS($AD23,BF$1))</f>
        <v/>
      </c>
      <c r="BG23" s="73">
        <f>INDIRECT("'"&amp;$B$3&amp;"'!"&amp;ADDRESS($AD23,BG$1))</f>
        <v/>
      </c>
      <c r="BH23" s="73">
        <f>INDIRECT("'"&amp;$B$3&amp;"'!"&amp;ADDRESS($AD23,BH$1))</f>
        <v/>
      </c>
      <c r="BI23" s="73">
        <f>INDIRECT("'"&amp;$B$3&amp;"'!"&amp;ADDRESS($AD23,BI$1))</f>
        <v/>
      </c>
      <c r="BM23" s="73">
        <f>IF(INDIRECT("'"&amp;$B$3&amp;"'!"&amp;ADDRESS($AD23,BM$1)),INDIRECT("'"&amp;$B$3&amp;"'!"&amp;ADDRESS($AD23,BM$1)),BM22)</f>
        <v/>
      </c>
      <c r="BN23" s="73">
        <f>IF(INDIRECT("'"&amp;$B$3&amp;"'!"&amp;ADDRESS($AD23,BN$1)),INDIRECT("'"&amp;$B$3&amp;"'!"&amp;ADDRESS($AD23,BN$1)),BN22)</f>
        <v/>
      </c>
      <c r="BO23" s="73">
        <f>IF(INDIRECT("'"&amp;$B$3&amp;"'!"&amp;ADDRESS($AD23,BO$1)),INDIRECT("'"&amp;$B$3&amp;"'!"&amp;ADDRESS($AD23,BO$1)),BO22)</f>
        <v/>
      </c>
      <c r="BP23" s="73">
        <f>IF(INDIRECT("'"&amp;$B$3&amp;"'!"&amp;ADDRESS($AD23,BP$1)),INDIRECT("'"&amp;$B$3&amp;"'!"&amp;ADDRESS($AD23,BP$1)),BP22)</f>
        <v/>
      </c>
      <c r="BQ23" s="73">
        <f>IF(INDIRECT("'"&amp;$B$3&amp;"'!"&amp;ADDRESS($AD23,BQ$1)),INDIRECT("'"&amp;$B$3&amp;"'!"&amp;ADDRESS($AD23,BQ$1)),BQ22)</f>
        <v/>
      </c>
      <c r="BR23" s="73">
        <f>IF(INDIRECT("'"&amp;$B$3&amp;"'!"&amp;ADDRESS($AD23,BR$1)),INDIRECT("'"&amp;$B$3&amp;"'!"&amp;ADDRESS($AD23,BR$1)),BR22)</f>
        <v/>
      </c>
      <c r="BS23" s="73">
        <f>IF(INDIRECT("'"&amp;$B$3&amp;"'!"&amp;ADDRESS($AD23,BS$1)),INDIRECT("'"&amp;$B$3&amp;"'!"&amp;ADDRESS($AD23,BS$1)),BS22)</f>
        <v/>
      </c>
      <c r="BT23" s="73">
        <f>IF(INDIRECT("'"&amp;$B$3&amp;"'!"&amp;ADDRESS($AD23,BT$1)),INDIRECT("'"&amp;$B$3&amp;"'!"&amp;ADDRESS($AD23,BT$1)),BT22)</f>
        <v/>
      </c>
      <c r="BU23" s="73">
        <f>IF(INDIRECT("'"&amp;$B$3&amp;"'!"&amp;ADDRESS($AD23,BU$1)),INDIRECT("'"&amp;$B$3&amp;"'!"&amp;ADDRESS($AD23,BU$1)),BU22)</f>
        <v/>
      </c>
      <c r="BV23" s="73">
        <f>IF(INDIRECT("'"&amp;$B$3&amp;"'!"&amp;ADDRESS($AD23,BV$1)),INDIRECT("'"&amp;$B$3&amp;"'!"&amp;ADDRESS($AD23,BV$1)),BV22)</f>
        <v/>
      </c>
      <c r="BW23" s="73">
        <f>IF(INDIRECT("'"&amp;$B$3&amp;"'!"&amp;ADDRESS($AD23,BW$1)),INDIRECT("'"&amp;$B$3&amp;"'!"&amp;ADDRESS($AD23,BW$1)),BW22)</f>
        <v/>
      </c>
      <c r="BX23" s="73">
        <f>IF(INDIRECT("'"&amp;$B$3&amp;"'!"&amp;ADDRESS($AD23,BX$1)),INDIRECT("'"&amp;$B$3&amp;"'!"&amp;ADDRESS($AD23,BX$1)),BX22)</f>
        <v/>
      </c>
      <c r="BY23" s="73">
        <f>IF(INDIRECT("'"&amp;$B$3&amp;"'!"&amp;ADDRESS($AD23,BY$1)),INDIRECT("'"&amp;$B$3&amp;"'!"&amp;ADDRESS($AD23,BY$1)),BY22)</f>
        <v/>
      </c>
      <c r="BZ23" s="73">
        <f>IF(INDIRECT("'"&amp;$B$3&amp;"'!"&amp;ADDRESS($AD23,BZ$1)),INDIRECT("'"&amp;$B$3&amp;"'!"&amp;ADDRESS($AD23,BZ$1)),BZ22)</f>
        <v/>
      </c>
      <c r="CD23" s="73">
        <f>IF(INDIRECT("'"&amp;$B$3&amp;"'!"&amp;ADDRESS($AD23,CD$1)),INDIRECT("'"&amp;$B$3&amp;"'!"&amp;ADDRESS($AD23,CD$1)),CD22)</f>
        <v/>
      </c>
      <c r="CE23" s="73">
        <f>IF(INDIRECT("'"&amp;$B$3&amp;"'!"&amp;ADDRESS($AD23,CE$1)),INDIRECT("'"&amp;$B$3&amp;"'!"&amp;ADDRESS($AD23,CE$1)),CE22)</f>
        <v/>
      </c>
      <c r="CF23" s="73">
        <f>IF(INDIRECT("'"&amp;$B$3&amp;"'!"&amp;ADDRESS($AD23,CF$1)),INDIRECT("'"&amp;$B$3&amp;"'!"&amp;ADDRESS($AD23,CF$1)),CF22)</f>
        <v/>
      </c>
      <c r="CG23" s="73">
        <f>IF(INDIRECT("'"&amp;$B$3&amp;"'!"&amp;ADDRESS($AD23,CG$1)),INDIRECT("'"&amp;$B$3&amp;"'!"&amp;ADDRESS($AD23,CG$1)),CG22)</f>
        <v/>
      </c>
      <c r="CH23" s="73">
        <f>IF(INDIRECT("'"&amp;$B$3&amp;"'!"&amp;ADDRESS($AD23,CH$1)),INDIRECT("'"&amp;$B$3&amp;"'!"&amp;ADDRESS($AD23,CH$1)),CH22)</f>
        <v/>
      </c>
      <c r="CI23" s="73">
        <f>IF(INDIRECT("'"&amp;$B$3&amp;"'!"&amp;ADDRESS($AD23,CI$1)),INDIRECT("'"&amp;$B$3&amp;"'!"&amp;ADDRESS($AD23,CI$1)),CI22)</f>
        <v/>
      </c>
      <c r="CJ23" s="73">
        <f>IF(INDIRECT("'"&amp;$B$3&amp;"'!"&amp;ADDRESS($AD23,CJ$1)),INDIRECT("'"&amp;$B$3&amp;"'!"&amp;ADDRESS($AD23,CJ$1)),CJ22)</f>
        <v/>
      </c>
      <c r="CK23" s="73">
        <f>IF(INDIRECT("'"&amp;$B$3&amp;"'!"&amp;ADDRESS($AD23,CK$1)),INDIRECT("'"&amp;$B$3&amp;"'!"&amp;ADDRESS($AD23,CK$1)),CK22)</f>
        <v/>
      </c>
      <c r="CL23" s="73">
        <f>IF(INDIRECT("'"&amp;$B$3&amp;"'!"&amp;ADDRESS($AD23,CL$1)),INDIRECT("'"&amp;$B$3&amp;"'!"&amp;ADDRESS($AD23,CL$1)),CL22)</f>
        <v/>
      </c>
      <c r="CM23" s="73">
        <f>IF(INDIRECT("'"&amp;$B$3&amp;"'!"&amp;ADDRESS($AD23,CM$1)),INDIRECT("'"&amp;$B$3&amp;"'!"&amp;ADDRESS($AD23,CM$1)),CM22)</f>
        <v/>
      </c>
      <c r="CN23" s="73">
        <f>IF(INDIRECT("'"&amp;$B$3&amp;"'!"&amp;ADDRESS($AD23,CN$1)),INDIRECT("'"&amp;$B$3&amp;"'!"&amp;ADDRESS($AD23,CN$1)),CN22)</f>
        <v/>
      </c>
      <c r="CO23" s="73">
        <f>IF(INDIRECT("'"&amp;$B$3&amp;"'!"&amp;ADDRESS($AD23,CO$1)),INDIRECT("'"&amp;$B$3&amp;"'!"&amp;ADDRESS($AD23,CO$1)),CO22)</f>
        <v/>
      </c>
      <c r="CP23" s="73">
        <f>IF(INDIRECT("'"&amp;$B$3&amp;"'!"&amp;ADDRESS($AD23,CP$1)),INDIRECT("'"&amp;$B$3&amp;"'!"&amp;ADDRESS($AD23,CP$1)),CP22)</f>
        <v/>
      </c>
      <c r="CQ23" s="73">
        <f>IF(INDIRECT("'"&amp;$B$3&amp;"'!"&amp;ADDRESS($AD23,CQ$1)),INDIRECT("'"&amp;$B$3&amp;"'!"&amp;ADDRESS($AD23,CQ$1)),CQ22)</f>
        <v/>
      </c>
    </row>
    <row r="24">
      <c r="AA24" s="72" t="n"/>
      <c r="AB24" s="238" t="n"/>
      <c r="AC24" s="236" t="n"/>
      <c r="AD24" t="n">
        <v>24</v>
      </c>
      <c r="AE24" s="73">
        <f>INDIRECT("'"&amp;$B$3&amp;"'!"&amp;ADDRESS($AD24,AE$1))</f>
        <v/>
      </c>
      <c r="AF24" s="73">
        <f>INDIRECT("'"&amp;$B$3&amp;"'!"&amp;ADDRESS($AD24,AF$1))</f>
        <v/>
      </c>
      <c r="AG24" s="73">
        <f>INDIRECT("'"&amp;$B$3&amp;"'!"&amp;ADDRESS($AD24,AG$1))</f>
        <v/>
      </c>
      <c r="AH24" s="73">
        <f>INDIRECT("'"&amp;$B$3&amp;"'!"&amp;ADDRESS($AD24,AH$1))</f>
        <v/>
      </c>
      <c r="AI24" s="73">
        <f>INDIRECT("'"&amp;$B$3&amp;"'!"&amp;ADDRESS($AD24,AI$1))</f>
        <v/>
      </c>
      <c r="AJ24" s="73">
        <f>INDIRECT("'"&amp;$B$3&amp;"'!"&amp;ADDRESS($AD24,AJ$1))</f>
        <v/>
      </c>
      <c r="AK24" s="73">
        <f>INDIRECT("'"&amp;$B$3&amp;"'!"&amp;ADDRESS($AD24,AK$1))</f>
        <v/>
      </c>
      <c r="AL24" s="73">
        <f>INDIRECT("'"&amp;$B$3&amp;"'!"&amp;ADDRESS($AD24,AL$1))</f>
        <v/>
      </c>
      <c r="AM24" s="73">
        <f>INDIRECT("'"&amp;$B$3&amp;"'!"&amp;ADDRESS($AD24,AM$1))</f>
        <v/>
      </c>
      <c r="AN24" s="73">
        <f>INDIRECT("'"&amp;$B$3&amp;"'!"&amp;ADDRESS($AD24,AN$1))</f>
        <v/>
      </c>
      <c r="AO24" s="73">
        <f>INDIRECT("'"&amp;$B$3&amp;"'!"&amp;ADDRESS($AD24,AO$1))</f>
        <v/>
      </c>
      <c r="AP24" s="73">
        <f>INDIRECT("'"&amp;$B$3&amp;"'!"&amp;ADDRESS($AD24,AP$1))</f>
        <v/>
      </c>
      <c r="AQ24" s="73">
        <f>INDIRECT("'"&amp;$B$3&amp;"'!"&amp;ADDRESS($AD24,AQ$1))</f>
        <v/>
      </c>
      <c r="AR24" s="73">
        <f>INDIRECT("'"&amp;$B$3&amp;"'!"&amp;ADDRESS($AD24,AR$1))</f>
        <v/>
      </c>
      <c r="AU24" s="236" t="n"/>
      <c r="AV24" s="73">
        <f>INDIRECT("'"&amp;$B$3&amp;"'!"&amp;ADDRESS($AD24,AV$1))</f>
        <v/>
      </c>
      <c r="AW24" s="73">
        <f>INDIRECT("'"&amp;$B$3&amp;"'!"&amp;ADDRESS($AD24,AW$1))</f>
        <v/>
      </c>
      <c r="AX24" s="73">
        <f>INDIRECT("'"&amp;$B$3&amp;"'!"&amp;ADDRESS($AD24,AX$1))</f>
        <v/>
      </c>
      <c r="AY24" s="73">
        <f>INDIRECT("'"&amp;$B$3&amp;"'!"&amp;ADDRESS($AD24,AY$1))</f>
        <v/>
      </c>
      <c r="AZ24" s="73">
        <f>INDIRECT("'"&amp;$B$3&amp;"'!"&amp;ADDRESS($AD24,AZ$1))</f>
        <v/>
      </c>
      <c r="BA24" s="73">
        <f>INDIRECT("'"&amp;$B$3&amp;"'!"&amp;ADDRESS($AD24,BA$1))</f>
        <v/>
      </c>
      <c r="BB24" s="73">
        <f>INDIRECT("'"&amp;$B$3&amp;"'!"&amp;ADDRESS($AD24,BB$1))</f>
        <v/>
      </c>
      <c r="BC24" s="73">
        <f>INDIRECT("'"&amp;$B$3&amp;"'!"&amp;ADDRESS($AD24,BC$1))</f>
        <v/>
      </c>
      <c r="BD24" s="73">
        <f>INDIRECT("'"&amp;$B$3&amp;"'!"&amp;ADDRESS($AD24,BD$1))</f>
        <v/>
      </c>
      <c r="BE24" s="73">
        <f>INDIRECT("'"&amp;$B$3&amp;"'!"&amp;ADDRESS($AD24,BE$1))</f>
        <v/>
      </c>
      <c r="BF24" s="73">
        <f>INDIRECT("'"&amp;$B$3&amp;"'!"&amp;ADDRESS($AD24,BF$1))</f>
        <v/>
      </c>
      <c r="BG24" s="73">
        <f>INDIRECT("'"&amp;$B$3&amp;"'!"&amp;ADDRESS($AD24,BG$1))</f>
        <v/>
      </c>
      <c r="BH24" s="73">
        <f>INDIRECT("'"&amp;$B$3&amp;"'!"&amp;ADDRESS($AD24,BH$1))</f>
        <v/>
      </c>
      <c r="BI24" s="73">
        <f>INDIRECT("'"&amp;$B$3&amp;"'!"&amp;ADDRESS($AD24,BI$1))</f>
        <v/>
      </c>
      <c r="BM24" s="73">
        <f>IF(INDIRECT("'"&amp;$B$3&amp;"'!"&amp;ADDRESS($AD24,BM$1)),INDIRECT("'"&amp;$B$3&amp;"'!"&amp;ADDRESS($AD24,BM$1)),BM23)</f>
        <v/>
      </c>
      <c r="BN24" s="73">
        <f>IF(INDIRECT("'"&amp;$B$3&amp;"'!"&amp;ADDRESS($AD24,BN$1)),INDIRECT("'"&amp;$B$3&amp;"'!"&amp;ADDRESS($AD24,BN$1)),BN23)</f>
        <v/>
      </c>
      <c r="BO24" s="73">
        <f>IF(INDIRECT("'"&amp;$B$3&amp;"'!"&amp;ADDRESS($AD24,BO$1)),INDIRECT("'"&amp;$B$3&amp;"'!"&amp;ADDRESS($AD24,BO$1)),BO23)</f>
        <v/>
      </c>
      <c r="BP24" s="73">
        <f>IF(INDIRECT("'"&amp;$B$3&amp;"'!"&amp;ADDRESS($AD24,BP$1)),INDIRECT("'"&amp;$B$3&amp;"'!"&amp;ADDRESS($AD24,BP$1)),BP23)</f>
        <v/>
      </c>
      <c r="BQ24" s="73">
        <f>IF(INDIRECT("'"&amp;$B$3&amp;"'!"&amp;ADDRESS($AD24,BQ$1)),INDIRECT("'"&amp;$B$3&amp;"'!"&amp;ADDRESS($AD24,BQ$1)),BQ23)</f>
        <v/>
      </c>
      <c r="BR24" s="73">
        <f>IF(INDIRECT("'"&amp;$B$3&amp;"'!"&amp;ADDRESS($AD24,BR$1)),INDIRECT("'"&amp;$B$3&amp;"'!"&amp;ADDRESS($AD24,BR$1)),BR23)</f>
        <v/>
      </c>
      <c r="BS24" s="73">
        <f>IF(INDIRECT("'"&amp;$B$3&amp;"'!"&amp;ADDRESS($AD24,BS$1)),INDIRECT("'"&amp;$B$3&amp;"'!"&amp;ADDRESS($AD24,BS$1)),BS23)</f>
        <v/>
      </c>
      <c r="BT24" s="73">
        <f>IF(INDIRECT("'"&amp;$B$3&amp;"'!"&amp;ADDRESS($AD24,BT$1)),INDIRECT("'"&amp;$B$3&amp;"'!"&amp;ADDRESS($AD24,BT$1)),BT23)</f>
        <v/>
      </c>
      <c r="BU24" s="73">
        <f>IF(INDIRECT("'"&amp;$B$3&amp;"'!"&amp;ADDRESS($AD24,BU$1)),INDIRECT("'"&amp;$B$3&amp;"'!"&amp;ADDRESS($AD24,BU$1)),BU23)</f>
        <v/>
      </c>
      <c r="BV24" s="73">
        <f>IF(INDIRECT("'"&amp;$B$3&amp;"'!"&amp;ADDRESS($AD24,BV$1)),INDIRECT("'"&amp;$B$3&amp;"'!"&amp;ADDRESS($AD24,BV$1)),BV23)</f>
        <v/>
      </c>
      <c r="BW24" s="73">
        <f>IF(INDIRECT("'"&amp;$B$3&amp;"'!"&amp;ADDRESS($AD24,BW$1)),INDIRECT("'"&amp;$B$3&amp;"'!"&amp;ADDRESS($AD24,BW$1)),BW23)</f>
        <v/>
      </c>
      <c r="BX24" s="73">
        <f>IF(INDIRECT("'"&amp;$B$3&amp;"'!"&amp;ADDRESS($AD24,BX$1)),INDIRECT("'"&amp;$B$3&amp;"'!"&amp;ADDRESS($AD24,BX$1)),BX23)</f>
        <v/>
      </c>
      <c r="BY24" s="73">
        <f>IF(INDIRECT("'"&amp;$B$3&amp;"'!"&amp;ADDRESS($AD24,BY$1)),INDIRECT("'"&amp;$B$3&amp;"'!"&amp;ADDRESS($AD24,BY$1)),BY23)</f>
        <v/>
      </c>
      <c r="BZ24" s="73">
        <f>IF(INDIRECT("'"&amp;$B$3&amp;"'!"&amp;ADDRESS($AD24,BZ$1)),INDIRECT("'"&amp;$B$3&amp;"'!"&amp;ADDRESS($AD24,BZ$1)),BZ23)</f>
        <v/>
      </c>
      <c r="CD24" s="73">
        <f>IF(INDIRECT("'"&amp;$B$3&amp;"'!"&amp;ADDRESS($AD24,CD$1)),INDIRECT("'"&amp;$B$3&amp;"'!"&amp;ADDRESS($AD24,CD$1)),CD23)</f>
        <v/>
      </c>
      <c r="CE24" s="73">
        <f>IF(INDIRECT("'"&amp;$B$3&amp;"'!"&amp;ADDRESS($AD24,CE$1)),INDIRECT("'"&amp;$B$3&amp;"'!"&amp;ADDRESS($AD24,CE$1)),CE23)</f>
        <v/>
      </c>
      <c r="CF24" s="73">
        <f>IF(INDIRECT("'"&amp;$B$3&amp;"'!"&amp;ADDRESS($AD24,CF$1)),INDIRECT("'"&amp;$B$3&amp;"'!"&amp;ADDRESS($AD24,CF$1)),CF23)</f>
        <v/>
      </c>
      <c r="CG24" s="73">
        <f>IF(INDIRECT("'"&amp;$B$3&amp;"'!"&amp;ADDRESS($AD24,CG$1)),INDIRECT("'"&amp;$B$3&amp;"'!"&amp;ADDRESS($AD24,CG$1)),CG23)</f>
        <v/>
      </c>
      <c r="CH24" s="73">
        <f>IF(INDIRECT("'"&amp;$B$3&amp;"'!"&amp;ADDRESS($AD24,CH$1)),INDIRECT("'"&amp;$B$3&amp;"'!"&amp;ADDRESS($AD24,CH$1)),CH23)</f>
        <v/>
      </c>
      <c r="CI24" s="73">
        <f>IF(INDIRECT("'"&amp;$B$3&amp;"'!"&amp;ADDRESS($AD24,CI$1)),INDIRECT("'"&amp;$B$3&amp;"'!"&amp;ADDRESS($AD24,CI$1)),CI23)</f>
        <v/>
      </c>
      <c r="CJ24" s="73">
        <f>IF(INDIRECT("'"&amp;$B$3&amp;"'!"&amp;ADDRESS($AD24,CJ$1)),INDIRECT("'"&amp;$B$3&amp;"'!"&amp;ADDRESS($AD24,CJ$1)),CJ23)</f>
        <v/>
      </c>
      <c r="CK24" s="73">
        <f>IF(INDIRECT("'"&amp;$B$3&amp;"'!"&amp;ADDRESS($AD24,CK$1)),INDIRECT("'"&amp;$B$3&amp;"'!"&amp;ADDRESS($AD24,CK$1)),CK23)</f>
        <v/>
      </c>
      <c r="CL24" s="73">
        <f>IF(INDIRECT("'"&amp;$B$3&amp;"'!"&amp;ADDRESS($AD24,CL$1)),INDIRECT("'"&amp;$B$3&amp;"'!"&amp;ADDRESS($AD24,CL$1)),CL23)</f>
        <v/>
      </c>
      <c r="CM24" s="73">
        <f>IF(INDIRECT("'"&amp;$B$3&amp;"'!"&amp;ADDRESS($AD24,CM$1)),INDIRECT("'"&amp;$B$3&amp;"'!"&amp;ADDRESS($AD24,CM$1)),CM23)</f>
        <v/>
      </c>
      <c r="CN24" s="73">
        <f>IF(INDIRECT("'"&amp;$B$3&amp;"'!"&amp;ADDRESS($AD24,CN$1)),INDIRECT("'"&amp;$B$3&amp;"'!"&amp;ADDRESS($AD24,CN$1)),CN23)</f>
        <v/>
      </c>
      <c r="CO24" s="73">
        <f>IF(INDIRECT("'"&amp;$B$3&amp;"'!"&amp;ADDRESS($AD24,CO$1)),INDIRECT("'"&amp;$B$3&amp;"'!"&amp;ADDRESS($AD24,CO$1)),CO23)</f>
        <v/>
      </c>
      <c r="CP24" s="73">
        <f>IF(INDIRECT("'"&amp;$B$3&amp;"'!"&amp;ADDRESS($AD24,CP$1)),INDIRECT("'"&amp;$B$3&amp;"'!"&amp;ADDRESS($AD24,CP$1)),CP23)</f>
        <v/>
      </c>
      <c r="CQ24" s="73">
        <f>IF(INDIRECT("'"&amp;$B$3&amp;"'!"&amp;ADDRESS($AD24,CQ$1)),INDIRECT("'"&amp;$B$3&amp;"'!"&amp;ADDRESS($AD24,CQ$1)),CQ23)</f>
        <v/>
      </c>
    </row>
    <row r="25">
      <c r="AA25" s="72" t="n"/>
      <c r="AB25" s="238" t="n"/>
      <c r="AC25" s="236" t="n"/>
      <c r="AD25" t="n">
        <v>25</v>
      </c>
      <c r="AE25" s="73">
        <f>INDIRECT("'"&amp;$B$3&amp;"'!"&amp;ADDRESS($AD25,AE$1))</f>
        <v/>
      </c>
      <c r="AF25" s="73">
        <f>INDIRECT("'"&amp;$B$3&amp;"'!"&amp;ADDRESS($AD25,AF$1))</f>
        <v/>
      </c>
      <c r="AG25" s="73">
        <f>INDIRECT("'"&amp;$B$3&amp;"'!"&amp;ADDRESS($AD25,AG$1))</f>
        <v/>
      </c>
      <c r="AH25" s="73">
        <f>INDIRECT("'"&amp;$B$3&amp;"'!"&amp;ADDRESS($AD25,AH$1))</f>
        <v/>
      </c>
      <c r="AI25" s="73">
        <f>INDIRECT("'"&amp;$B$3&amp;"'!"&amp;ADDRESS($AD25,AI$1))</f>
        <v/>
      </c>
      <c r="AJ25" s="73">
        <f>INDIRECT("'"&amp;$B$3&amp;"'!"&amp;ADDRESS($AD25,AJ$1))</f>
        <v/>
      </c>
      <c r="AK25" s="73">
        <f>INDIRECT("'"&amp;$B$3&amp;"'!"&amp;ADDRESS($AD25,AK$1))</f>
        <v/>
      </c>
      <c r="AL25" s="73">
        <f>INDIRECT("'"&amp;$B$3&amp;"'!"&amp;ADDRESS($AD25,AL$1))</f>
        <v/>
      </c>
      <c r="AM25" s="73">
        <f>INDIRECT("'"&amp;$B$3&amp;"'!"&amp;ADDRESS($AD25,AM$1))</f>
        <v/>
      </c>
      <c r="AN25" s="73">
        <f>INDIRECT("'"&amp;$B$3&amp;"'!"&amp;ADDRESS($AD25,AN$1))</f>
        <v/>
      </c>
      <c r="AO25" s="73">
        <f>INDIRECT("'"&amp;$B$3&amp;"'!"&amp;ADDRESS($AD25,AO$1))</f>
        <v/>
      </c>
      <c r="AP25" s="73">
        <f>INDIRECT("'"&amp;$B$3&amp;"'!"&amp;ADDRESS($AD25,AP$1))</f>
        <v/>
      </c>
      <c r="AQ25" s="73">
        <f>INDIRECT("'"&amp;$B$3&amp;"'!"&amp;ADDRESS($AD25,AQ$1))</f>
        <v/>
      </c>
      <c r="AR25" s="73">
        <f>INDIRECT("'"&amp;$B$3&amp;"'!"&amp;ADDRESS($AD25,AR$1))</f>
        <v/>
      </c>
      <c r="AU25" s="236" t="n"/>
      <c r="AV25" s="73">
        <f>INDIRECT("'"&amp;$B$3&amp;"'!"&amp;ADDRESS($AD25,AV$1))</f>
        <v/>
      </c>
      <c r="AW25" s="73">
        <f>INDIRECT("'"&amp;$B$3&amp;"'!"&amp;ADDRESS($AD25,AW$1))</f>
        <v/>
      </c>
      <c r="AX25" s="73">
        <f>INDIRECT("'"&amp;$B$3&amp;"'!"&amp;ADDRESS($AD25,AX$1))</f>
        <v/>
      </c>
      <c r="AY25" s="73">
        <f>INDIRECT("'"&amp;$B$3&amp;"'!"&amp;ADDRESS($AD25,AY$1))</f>
        <v/>
      </c>
      <c r="AZ25" s="73">
        <f>INDIRECT("'"&amp;$B$3&amp;"'!"&amp;ADDRESS($AD25,AZ$1))</f>
        <v/>
      </c>
      <c r="BA25" s="73">
        <f>INDIRECT("'"&amp;$B$3&amp;"'!"&amp;ADDRESS($AD25,BA$1))</f>
        <v/>
      </c>
      <c r="BB25" s="73">
        <f>INDIRECT("'"&amp;$B$3&amp;"'!"&amp;ADDRESS($AD25,BB$1))</f>
        <v/>
      </c>
      <c r="BC25" s="73">
        <f>INDIRECT("'"&amp;$B$3&amp;"'!"&amp;ADDRESS($AD25,BC$1))</f>
        <v/>
      </c>
      <c r="BD25" s="73">
        <f>INDIRECT("'"&amp;$B$3&amp;"'!"&amp;ADDRESS($AD25,BD$1))</f>
        <v/>
      </c>
      <c r="BE25" s="73">
        <f>INDIRECT("'"&amp;$B$3&amp;"'!"&amp;ADDRESS($AD25,BE$1))</f>
        <v/>
      </c>
      <c r="BF25" s="73">
        <f>INDIRECT("'"&amp;$B$3&amp;"'!"&amp;ADDRESS($AD25,BF$1))</f>
        <v/>
      </c>
      <c r="BG25" s="73">
        <f>INDIRECT("'"&amp;$B$3&amp;"'!"&amp;ADDRESS($AD25,BG$1))</f>
        <v/>
      </c>
      <c r="BH25" s="73">
        <f>INDIRECT("'"&amp;$B$3&amp;"'!"&amp;ADDRESS($AD25,BH$1))</f>
        <v/>
      </c>
      <c r="BI25" s="73">
        <f>INDIRECT("'"&amp;$B$3&amp;"'!"&amp;ADDRESS($AD25,BI$1))</f>
        <v/>
      </c>
      <c r="BM25" s="73">
        <f>IF(INDIRECT("'"&amp;$B$3&amp;"'!"&amp;ADDRESS($AD25,BM$1)),INDIRECT("'"&amp;$B$3&amp;"'!"&amp;ADDRESS($AD25,BM$1)),BM24)</f>
        <v/>
      </c>
      <c r="BN25" s="73">
        <f>IF(INDIRECT("'"&amp;$B$3&amp;"'!"&amp;ADDRESS($AD25,BN$1)),INDIRECT("'"&amp;$B$3&amp;"'!"&amp;ADDRESS($AD25,BN$1)),BN24)</f>
        <v/>
      </c>
      <c r="BO25" s="73">
        <f>IF(INDIRECT("'"&amp;$B$3&amp;"'!"&amp;ADDRESS($AD25,BO$1)),INDIRECT("'"&amp;$B$3&amp;"'!"&amp;ADDRESS($AD25,BO$1)),BO24)</f>
        <v/>
      </c>
      <c r="BP25" s="73">
        <f>IF(INDIRECT("'"&amp;$B$3&amp;"'!"&amp;ADDRESS($AD25,BP$1)),INDIRECT("'"&amp;$B$3&amp;"'!"&amp;ADDRESS($AD25,BP$1)),BP24)</f>
        <v/>
      </c>
      <c r="BQ25" s="73">
        <f>IF(INDIRECT("'"&amp;$B$3&amp;"'!"&amp;ADDRESS($AD25,BQ$1)),INDIRECT("'"&amp;$B$3&amp;"'!"&amp;ADDRESS($AD25,BQ$1)),BQ24)</f>
        <v/>
      </c>
      <c r="BR25" s="73">
        <f>IF(INDIRECT("'"&amp;$B$3&amp;"'!"&amp;ADDRESS($AD25,BR$1)),INDIRECT("'"&amp;$B$3&amp;"'!"&amp;ADDRESS($AD25,BR$1)),BR24)</f>
        <v/>
      </c>
      <c r="BS25" s="73">
        <f>IF(INDIRECT("'"&amp;$B$3&amp;"'!"&amp;ADDRESS($AD25,BS$1)),INDIRECT("'"&amp;$B$3&amp;"'!"&amp;ADDRESS($AD25,BS$1)),BS24)</f>
        <v/>
      </c>
      <c r="BT25" s="73">
        <f>IF(INDIRECT("'"&amp;$B$3&amp;"'!"&amp;ADDRESS($AD25,BT$1)),INDIRECT("'"&amp;$B$3&amp;"'!"&amp;ADDRESS($AD25,BT$1)),BT24)</f>
        <v/>
      </c>
      <c r="BU25" s="73">
        <f>IF(INDIRECT("'"&amp;$B$3&amp;"'!"&amp;ADDRESS($AD25,BU$1)),INDIRECT("'"&amp;$B$3&amp;"'!"&amp;ADDRESS($AD25,BU$1)),BU24)</f>
        <v/>
      </c>
      <c r="BV25" s="73">
        <f>IF(INDIRECT("'"&amp;$B$3&amp;"'!"&amp;ADDRESS($AD25,BV$1)),INDIRECT("'"&amp;$B$3&amp;"'!"&amp;ADDRESS($AD25,BV$1)),BV24)</f>
        <v/>
      </c>
      <c r="BW25" s="73">
        <f>IF(INDIRECT("'"&amp;$B$3&amp;"'!"&amp;ADDRESS($AD25,BW$1)),INDIRECT("'"&amp;$B$3&amp;"'!"&amp;ADDRESS($AD25,BW$1)),BW24)</f>
        <v/>
      </c>
      <c r="BX25" s="73">
        <f>IF(INDIRECT("'"&amp;$B$3&amp;"'!"&amp;ADDRESS($AD25,BX$1)),INDIRECT("'"&amp;$B$3&amp;"'!"&amp;ADDRESS($AD25,BX$1)),BX24)</f>
        <v/>
      </c>
      <c r="BY25" s="73">
        <f>IF(INDIRECT("'"&amp;$B$3&amp;"'!"&amp;ADDRESS($AD25,BY$1)),INDIRECT("'"&amp;$B$3&amp;"'!"&amp;ADDRESS($AD25,BY$1)),BY24)</f>
        <v/>
      </c>
      <c r="BZ25" s="73">
        <f>IF(INDIRECT("'"&amp;$B$3&amp;"'!"&amp;ADDRESS($AD25,BZ$1)),INDIRECT("'"&amp;$B$3&amp;"'!"&amp;ADDRESS($AD25,BZ$1)),BZ24)</f>
        <v/>
      </c>
      <c r="CD25" s="73">
        <f>IF(INDIRECT("'"&amp;$B$3&amp;"'!"&amp;ADDRESS($AD25,CD$1)),INDIRECT("'"&amp;$B$3&amp;"'!"&amp;ADDRESS($AD25,CD$1)),CD24)</f>
        <v/>
      </c>
      <c r="CE25" s="73">
        <f>IF(INDIRECT("'"&amp;$B$3&amp;"'!"&amp;ADDRESS($AD25,CE$1)),INDIRECT("'"&amp;$B$3&amp;"'!"&amp;ADDRESS($AD25,CE$1)),CE24)</f>
        <v/>
      </c>
      <c r="CF25" s="73">
        <f>IF(INDIRECT("'"&amp;$B$3&amp;"'!"&amp;ADDRESS($AD25,CF$1)),INDIRECT("'"&amp;$B$3&amp;"'!"&amp;ADDRESS($AD25,CF$1)),CF24)</f>
        <v/>
      </c>
      <c r="CG25" s="73">
        <f>IF(INDIRECT("'"&amp;$B$3&amp;"'!"&amp;ADDRESS($AD25,CG$1)),INDIRECT("'"&amp;$B$3&amp;"'!"&amp;ADDRESS($AD25,CG$1)),CG24)</f>
        <v/>
      </c>
      <c r="CH25" s="73">
        <f>IF(INDIRECT("'"&amp;$B$3&amp;"'!"&amp;ADDRESS($AD25,CH$1)),INDIRECT("'"&amp;$B$3&amp;"'!"&amp;ADDRESS($AD25,CH$1)),CH24)</f>
        <v/>
      </c>
      <c r="CI25" s="73">
        <f>IF(INDIRECT("'"&amp;$B$3&amp;"'!"&amp;ADDRESS($AD25,CI$1)),INDIRECT("'"&amp;$B$3&amp;"'!"&amp;ADDRESS($AD25,CI$1)),CI24)</f>
        <v/>
      </c>
      <c r="CJ25" s="73">
        <f>IF(INDIRECT("'"&amp;$B$3&amp;"'!"&amp;ADDRESS($AD25,CJ$1)),INDIRECT("'"&amp;$B$3&amp;"'!"&amp;ADDRESS($AD25,CJ$1)),CJ24)</f>
        <v/>
      </c>
      <c r="CK25" s="73">
        <f>IF(INDIRECT("'"&amp;$B$3&amp;"'!"&amp;ADDRESS($AD25,CK$1)),INDIRECT("'"&amp;$B$3&amp;"'!"&amp;ADDRESS($AD25,CK$1)),CK24)</f>
        <v/>
      </c>
      <c r="CL25" s="73">
        <f>IF(INDIRECT("'"&amp;$B$3&amp;"'!"&amp;ADDRESS($AD25,CL$1)),INDIRECT("'"&amp;$B$3&amp;"'!"&amp;ADDRESS($AD25,CL$1)),CL24)</f>
        <v/>
      </c>
      <c r="CM25" s="73">
        <f>IF(INDIRECT("'"&amp;$B$3&amp;"'!"&amp;ADDRESS($AD25,CM$1)),INDIRECT("'"&amp;$B$3&amp;"'!"&amp;ADDRESS($AD25,CM$1)),CM24)</f>
        <v/>
      </c>
      <c r="CN25" s="73">
        <f>IF(INDIRECT("'"&amp;$B$3&amp;"'!"&amp;ADDRESS($AD25,CN$1)),INDIRECT("'"&amp;$B$3&amp;"'!"&amp;ADDRESS($AD25,CN$1)),CN24)</f>
        <v/>
      </c>
      <c r="CO25" s="73">
        <f>IF(INDIRECT("'"&amp;$B$3&amp;"'!"&amp;ADDRESS($AD25,CO$1)),INDIRECT("'"&amp;$B$3&amp;"'!"&amp;ADDRESS($AD25,CO$1)),CO24)</f>
        <v/>
      </c>
      <c r="CP25" s="73">
        <f>IF(INDIRECT("'"&amp;$B$3&amp;"'!"&amp;ADDRESS($AD25,CP$1)),INDIRECT("'"&amp;$B$3&amp;"'!"&amp;ADDRESS($AD25,CP$1)),CP24)</f>
        <v/>
      </c>
      <c r="CQ25" s="73">
        <f>IF(INDIRECT("'"&amp;$B$3&amp;"'!"&amp;ADDRESS($AD25,CQ$1)),INDIRECT("'"&amp;$B$3&amp;"'!"&amp;ADDRESS($AD25,CQ$1)),CQ24)</f>
        <v/>
      </c>
    </row>
    <row r="26">
      <c r="AA26" s="72" t="n"/>
      <c r="AB26" s="238" t="n"/>
      <c r="AC26" s="236" t="n"/>
      <c r="AD26" t="n">
        <v>26</v>
      </c>
      <c r="AE26" s="73">
        <f>INDIRECT("'"&amp;$B$3&amp;"'!"&amp;ADDRESS($AD26,AE$1))</f>
        <v/>
      </c>
      <c r="AF26" s="73">
        <f>INDIRECT("'"&amp;$B$3&amp;"'!"&amp;ADDRESS($AD26,AF$1))</f>
        <v/>
      </c>
      <c r="AG26" s="73">
        <f>INDIRECT("'"&amp;$B$3&amp;"'!"&amp;ADDRESS($AD26,AG$1))</f>
        <v/>
      </c>
      <c r="AH26" s="73">
        <f>INDIRECT("'"&amp;$B$3&amp;"'!"&amp;ADDRESS($AD26,AH$1))</f>
        <v/>
      </c>
      <c r="AI26" s="73">
        <f>INDIRECT("'"&amp;$B$3&amp;"'!"&amp;ADDRESS($AD26,AI$1))</f>
        <v/>
      </c>
      <c r="AJ26" s="73">
        <f>INDIRECT("'"&amp;$B$3&amp;"'!"&amp;ADDRESS($AD26,AJ$1))</f>
        <v/>
      </c>
      <c r="AK26" s="73">
        <f>INDIRECT("'"&amp;$B$3&amp;"'!"&amp;ADDRESS($AD26,AK$1))</f>
        <v/>
      </c>
      <c r="AL26" s="73">
        <f>INDIRECT("'"&amp;$B$3&amp;"'!"&amp;ADDRESS($AD26,AL$1))</f>
        <v/>
      </c>
      <c r="AM26" s="73">
        <f>INDIRECT("'"&amp;$B$3&amp;"'!"&amp;ADDRESS($AD26,AM$1))</f>
        <v/>
      </c>
      <c r="AN26" s="73">
        <f>INDIRECT("'"&amp;$B$3&amp;"'!"&amp;ADDRESS($AD26,AN$1))</f>
        <v/>
      </c>
      <c r="AO26" s="73">
        <f>INDIRECT("'"&amp;$B$3&amp;"'!"&amp;ADDRESS($AD26,AO$1))</f>
        <v/>
      </c>
      <c r="AP26" s="73">
        <f>INDIRECT("'"&amp;$B$3&amp;"'!"&amp;ADDRESS($AD26,AP$1))</f>
        <v/>
      </c>
      <c r="AQ26" s="73">
        <f>INDIRECT("'"&amp;$B$3&amp;"'!"&amp;ADDRESS($AD26,AQ$1))</f>
        <v/>
      </c>
      <c r="AR26" s="73">
        <f>INDIRECT("'"&amp;$B$3&amp;"'!"&amp;ADDRESS($AD26,AR$1))</f>
        <v/>
      </c>
      <c r="AU26" s="236" t="n"/>
      <c r="AV26" s="73">
        <f>INDIRECT("'"&amp;$B$3&amp;"'!"&amp;ADDRESS($AD26,AV$1))</f>
        <v/>
      </c>
      <c r="AW26" s="73">
        <f>INDIRECT("'"&amp;$B$3&amp;"'!"&amp;ADDRESS($AD26,AW$1))</f>
        <v/>
      </c>
      <c r="AX26" s="73">
        <f>INDIRECT("'"&amp;$B$3&amp;"'!"&amp;ADDRESS($AD26,AX$1))</f>
        <v/>
      </c>
      <c r="AY26" s="73">
        <f>INDIRECT("'"&amp;$B$3&amp;"'!"&amp;ADDRESS($AD26,AY$1))</f>
        <v/>
      </c>
      <c r="AZ26" s="73">
        <f>INDIRECT("'"&amp;$B$3&amp;"'!"&amp;ADDRESS($AD26,AZ$1))</f>
        <v/>
      </c>
      <c r="BA26" s="73">
        <f>INDIRECT("'"&amp;$B$3&amp;"'!"&amp;ADDRESS($AD26,BA$1))</f>
        <v/>
      </c>
      <c r="BB26" s="73">
        <f>INDIRECT("'"&amp;$B$3&amp;"'!"&amp;ADDRESS($AD26,BB$1))</f>
        <v/>
      </c>
      <c r="BC26" s="73">
        <f>INDIRECT("'"&amp;$B$3&amp;"'!"&amp;ADDRESS($AD26,BC$1))</f>
        <v/>
      </c>
      <c r="BD26" s="73">
        <f>INDIRECT("'"&amp;$B$3&amp;"'!"&amp;ADDRESS($AD26,BD$1))</f>
        <v/>
      </c>
      <c r="BE26" s="73">
        <f>INDIRECT("'"&amp;$B$3&amp;"'!"&amp;ADDRESS($AD26,BE$1))</f>
        <v/>
      </c>
      <c r="BF26" s="73">
        <f>INDIRECT("'"&amp;$B$3&amp;"'!"&amp;ADDRESS($AD26,BF$1))</f>
        <v/>
      </c>
      <c r="BG26" s="73">
        <f>INDIRECT("'"&amp;$B$3&amp;"'!"&amp;ADDRESS($AD26,BG$1))</f>
        <v/>
      </c>
      <c r="BH26" s="73">
        <f>INDIRECT("'"&amp;$B$3&amp;"'!"&amp;ADDRESS($AD26,BH$1))</f>
        <v/>
      </c>
      <c r="BI26" s="73">
        <f>INDIRECT("'"&amp;$B$3&amp;"'!"&amp;ADDRESS($AD26,BI$1))</f>
        <v/>
      </c>
      <c r="BM26" s="73">
        <f>IF(INDIRECT("'"&amp;$B$3&amp;"'!"&amp;ADDRESS($AD26,BM$1)),INDIRECT("'"&amp;$B$3&amp;"'!"&amp;ADDRESS($AD26,BM$1)),BM25)</f>
        <v/>
      </c>
      <c r="BN26" s="73">
        <f>IF(INDIRECT("'"&amp;$B$3&amp;"'!"&amp;ADDRESS($AD26,BN$1)),INDIRECT("'"&amp;$B$3&amp;"'!"&amp;ADDRESS($AD26,BN$1)),BN25)</f>
        <v/>
      </c>
      <c r="BO26" s="73">
        <f>IF(INDIRECT("'"&amp;$B$3&amp;"'!"&amp;ADDRESS($AD26,BO$1)),INDIRECT("'"&amp;$B$3&amp;"'!"&amp;ADDRESS($AD26,BO$1)),BO25)</f>
        <v/>
      </c>
      <c r="BP26" s="73">
        <f>IF(INDIRECT("'"&amp;$B$3&amp;"'!"&amp;ADDRESS($AD26,BP$1)),INDIRECT("'"&amp;$B$3&amp;"'!"&amp;ADDRESS($AD26,BP$1)),BP25)</f>
        <v/>
      </c>
      <c r="BQ26" s="73">
        <f>IF(INDIRECT("'"&amp;$B$3&amp;"'!"&amp;ADDRESS($AD26,BQ$1)),INDIRECT("'"&amp;$B$3&amp;"'!"&amp;ADDRESS($AD26,BQ$1)),BQ25)</f>
        <v/>
      </c>
      <c r="BR26" s="73">
        <f>IF(INDIRECT("'"&amp;$B$3&amp;"'!"&amp;ADDRESS($AD26,BR$1)),INDIRECT("'"&amp;$B$3&amp;"'!"&amp;ADDRESS($AD26,BR$1)),BR25)</f>
        <v/>
      </c>
      <c r="BS26" s="73">
        <f>IF(INDIRECT("'"&amp;$B$3&amp;"'!"&amp;ADDRESS($AD26,BS$1)),INDIRECT("'"&amp;$B$3&amp;"'!"&amp;ADDRESS($AD26,BS$1)),BS25)</f>
        <v/>
      </c>
      <c r="BT26" s="73">
        <f>IF(INDIRECT("'"&amp;$B$3&amp;"'!"&amp;ADDRESS($AD26,BT$1)),INDIRECT("'"&amp;$B$3&amp;"'!"&amp;ADDRESS($AD26,BT$1)),BT25)</f>
        <v/>
      </c>
      <c r="BU26" s="73">
        <f>IF(INDIRECT("'"&amp;$B$3&amp;"'!"&amp;ADDRESS($AD26,BU$1)),INDIRECT("'"&amp;$B$3&amp;"'!"&amp;ADDRESS($AD26,BU$1)),BU25)</f>
        <v/>
      </c>
      <c r="BV26" s="73">
        <f>IF(INDIRECT("'"&amp;$B$3&amp;"'!"&amp;ADDRESS($AD26,BV$1)),INDIRECT("'"&amp;$B$3&amp;"'!"&amp;ADDRESS($AD26,BV$1)),BV25)</f>
        <v/>
      </c>
      <c r="BW26" s="73">
        <f>IF(INDIRECT("'"&amp;$B$3&amp;"'!"&amp;ADDRESS($AD26,BW$1)),INDIRECT("'"&amp;$B$3&amp;"'!"&amp;ADDRESS($AD26,BW$1)),BW25)</f>
        <v/>
      </c>
      <c r="BX26" s="73">
        <f>IF(INDIRECT("'"&amp;$B$3&amp;"'!"&amp;ADDRESS($AD26,BX$1)),INDIRECT("'"&amp;$B$3&amp;"'!"&amp;ADDRESS($AD26,BX$1)),BX25)</f>
        <v/>
      </c>
      <c r="BY26" s="73">
        <f>IF(INDIRECT("'"&amp;$B$3&amp;"'!"&amp;ADDRESS($AD26,BY$1)),INDIRECT("'"&amp;$B$3&amp;"'!"&amp;ADDRESS($AD26,BY$1)),BY25)</f>
        <v/>
      </c>
      <c r="BZ26" s="73">
        <f>IF(INDIRECT("'"&amp;$B$3&amp;"'!"&amp;ADDRESS($AD26,BZ$1)),INDIRECT("'"&amp;$B$3&amp;"'!"&amp;ADDRESS($AD26,BZ$1)),BZ25)</f>
        <v/>
      </c>
      <c r="CD26" s="73">
        <f>IF(INDIRECT("'"&amp;$B$3&amp;"'!"&amp;ADDRESS($AD26,CD$1)),INDIRECT("'"&amp;$B$3&amp;"'!"&amp;ADDRESS($AD26,CD$1)),CD25)</f>
        <v/>
      </c>
      <c r="CE26" s="73">
        <f>IF(INDIRECT("'"&amp;$B$3&amp;"'!"&amp;ADDRESS($AD26,CE$1)),INDIRECT("'"&amp;$B$3&amp;"'!"&amp;ADDRESS($AD26,CE$1)),CE25)</f>
        <v/>
      </c>
      <c r="CF26" s="73">
        <f>IF(INDIRECT("'"&amp;$B$3&amp;"'!"&amp;ADDRESS($AD26,CF$1)),INDIRECT("'"&amp;$B$3&amp;"'!"&amp;ADDRESS($AD26,CF$1)),CF25)</f>
        <v/>
      </c>
      <c r="CG26" s="73">
        <f>IF(INDIRECT("'"&amp;$B$3&amp;"'!"&amp;ADDRESS($AD26,CG$1)),INDIRECT("'"&amp;$B$3&amp;"'!"&amp;ADDRESS($AD26,CG$1)),CG25)</f>
        <v/>
      </c>
      <c r="CH26" s="73">
        <f>IF(INDIRECT("'"&amp;$B$3&amp;"'!"&amp;ADDRESS($AD26,CH$1)),INDIRECT("'"&amp;$B$3&amp;"'!"&amp;ADDRESS($AD26,CH$1)),CH25)</f>
        <v/>
      </c>
      <c r="CI26" s="73">
        <f>IF(INDIRECT("'"&amp;$B$3&amp;"'!"&amp;ADDRESS($AD26,CI$1)),INDIRECT("'"&amp;$B$3&amp;"'!"&amp;ADDRESS($AD26,CI$1)),CI25)</f>
        <v/>
      </c>
      <c r="CJ26" s="73">
        <f>IF(INDIRECT("'"&amp;$B$3&amp;"'!"&amp;ADDRESS($AD26,CJ$1)),INDIRECT("'"&amp;$B$3&amp;"'!"&amp;ADDRESS($AD26,CJ$1)),CJ25)</f>
        <v/>
      </c>
      <c r="CK26" s="73">
        <f>IF(INDIRECT("'"&amp;$B$3&amp;"'!"&amp;ADDRESS($AD26,CK$1)),INDIRECT("'"&amp;$B$3&amp;"'!"&amp;ADDRESS($AD26,CK$1)),CK25)</f>
        <v/>
      </c>
      <c r="CL26" s="73">
        <f>IF(INDIRECT("'"&amp;$B$3&amp;"'!"&amp;ADDRESS($AD26,CL$1)),INDIRECT("'"&amp;$B$3&amp;"'!"&amp;ADDRESS($AD26,CL$1)),CL25)</f>
        <v/>
      </c>
      <c r="CM26" s="73">
        <f>IF(INDIRECT("'"&amp;$B$3&amp;"'!"&amp;ADDRESS($AD26,CM$1)),INDIRECT("'"&amp;$B$3&amp;"'!"&amp;ADDRESS($AD26,CM$1)),CM25)</f>
        <v/>
      </c>
      <c r="CN26" s="73">
        <f>IF(INDIRECT("'"&amp;$B$3&amp;"'!"&amp;ADDRESS($AD26,CN$1)),INDIRECT("'"&amp;$B$3&amp;"'!"&amp;ADDRESS($AD26,CN$1)),CN25)</f>
        <v/>
      </c>
      <c r="CO26" s="73">
        <f>IF(INDIRECT("'"&amp;$B$3&amp;"'!"&amp;ADDRESS($AD26,CO$1)),INDIRECT("'"&amp;$B$3&amp;"'!"&amp;ADDRESS($AD26,CO$1)),CO25)</f>
        <v/>
      </c>
      <c r="CP26" s="73">
        <f>IF(INDIRECT("'"&amp;$B$3&amp;"'!"&amp;ADDRESS($AD26,CP$1)),INDIRECT("'"&amp;$B$3&amp;"'!"&amp;ADDRESS($AD26,CP$1)),CP25)</f>
        <v/>
      </c>
      <c r="CQ26" s="73">
        <f>IF(INDIRECT("'"&amp;$B$3&amp;"'!"&amp;ADDRESS($AD26,CQ$1)),INDIRECT("'"&amp;$B$3&amp;"'!"&amp;ADDRESS($AD26,CQ$1)),CQ25)</f>
        <v/>
      </c>
    </row>
    <row r="27">
      <c r="AA27" s="72" t="n"/>
      <c r="AB27" s="238" t="n"/>
      <c r="AC27" s="236" t="n"/>
      <c r="AD27" t="n">
        <v>27</v>
      </c>
      <c r="AE27" s="73">
        <f>INDIRECT("'"&amp;$B$3&amp;"'!"&amp;ADDRESS($AD27,AE$1))</f>
        <v/>
      </c>
      <c r="AF27" s="73">
        <f>INDIRECT("'"&amp;$B$3&amp;"'!"&amp;ADDRESS($AD27,AF$1))</f>
        <v/>
      </c>
      <c r="AG27" s="73">
        <f>INDIRECT("'"&amp;$B$3&amp;"'!"&amp;ADDRESS($AD27,AG$1))</f>
        <v/>
      </c>
      <c r="AH27" s="73">
        <f>INDIRECT("'"&amp;$B$3&amp;"'!"&amp;ADDRESS($AD27,AH$1))</f>
        <v/>
      </c>
      <c r="AI27" s="73">
        <f>INDIRECT("'"&amp;$B$3&amp;"'!"&amp;ADDRESS($AD27,AI$1))</f>
        <v/>
      </c>
      <c r="AJ27" s="73">
        <f>INDIRECT("'"&amp;$B$3&amp;"'!"&amp;ADDRESS($AD27,AJ$1))</f>
        <v/>
      </c>
      <c r="AK27" s="73">
        <f>INDIRECT("'"&amp;$B$3&amp;"'!"&amp;ADDRESS($AD27,AK$1))</f>
        <v/>
      </c>
      <c r="AL27" s="73">
        <f>INDIRECT("'"&amp;$B$3&amp;"'!"&amp;ADDRESS($AD27,AL$1))</f>
        <v/>
      </c>
      <c r="AM27" s="73">
        <f>INDIRECT("'"&amp;$B$3&amp;"'!"&amp;ADDRESS($AD27,AM$1))</f>
        <v/>
      </c>
      <c r="AN27" s="73">
        <f>INDIRECT("'"&amp;$B$3&amp;"'!"&amp;ADDRESS($AD27,AN$1))</f>
        <v/>
      </c>
      <c r="AO27" s="73">
        <f>INDIRECT("'"&amp;$B$3&amp;"'!"&amp;ADDRESS($AD27,AO$1))</f>
        <v/>
      </c>
      <c r="AP27" s="73">
        <f>INDIRECT("'"&amp;$B$3&amp;"'!"&amp;ADDRESS($AD27,AP$1))</f>
        <v/>
      </c>
      <c r="AQ27" s="73">
        <f>INDIRECT("'"&amp;$B$3&amp;"'!"&amp;ADDRESS($AD27,AQ$1))</f>
        <v/>
      </c>
      <c r="AR27" s="73">
        <f>INDIRECT("'"&amp;$B$3&amp;"'!"&amp;ADDRESS($AD27,AR$1))</f>
        <v/>
      </c>
      <c r="AU27" s="236" t="n"/>
      <c r="AV27" s="73">
        <f>INDIRECT("'"&amp;$B$3&amp;"'!"&amp;ADDRESS($AD27,AV$1))</f>
        <v/>
      </c>
      <c r="AW27" s="73">
        <f>INDIRECT("'"&amp;$B$3&amp;"'!"&amp;ADDRESS($AD27,AW$1))</f>
        <v/>
      </c>
      <c r="AX27" s="73">
        <f>INDIRECT("'"&amp;$B$3&amp;"'!"&amp;ADDRESS($AD27,AX$1))</f>
        <v/>
      </c>
      <c r="AY27" s="73">
        <f>INDIRECT("'"&amp;$B$3&amp;"'!"&amp;ADDRESS($AD27,AY$1))</f>
        <v/>
      </c>
      <c r="AZ27" s="73">
        <f>INDIRECT("'"&amp;$B$3&amp;"'!"&amp;ADDRESS($AD27,AZ$1))</f>
        <v/>
      </c>
      <c r="BA27" s="73">
        <f>INDIRECT("'"&amp;$B$3&amp;"'!"&amp;ADDRESS($AD27,BA$1))</f>
        <v/>
      </c>
      <c r="BB27" s="73">
        <f>INDIRECT("'"&amp;$B$3&amp;"'!"&amp;ADDRESS($AD27,BB$1))</f>
        <v/>
      </c>
      <c r="BC27" s="73">
        <f>INDIRECT("'"&amp;$B$3&amp;"'!"&amp;ADDRESS($AD27,BC$1))</f>
        <v/>
      </c>
      <c r="BD27" s="73">
        <f>INDIRECT("'"&amp;$B$3&amp;"'!"&amp;ADDRESS($AD27,BD$1))</f>
        <v/>
      </c>
      <c r="BE27" s="73">
        <f>INDIRECT("'"&amp;$B$3&amp;"'!"&amp;ADDRESS($AD27,BE$1))</f>
        <v/>
      </c>
      <c r="BF27" s="73">
        <f>INDIRECT("'"&amp;$B$3&amp;"'!"&amp;ADDRESS($AD27,BF$1))</f>
        <v/>
      </c>
      <c r="BG27" s="73">
        <f>INDIRECT("'"&amp;$B$3&amp;"'!"&amp;ADDRESS($AD27,BG$1))</f>
        <v/>
      </c>
      <c r="BH27" s="73">
        <f>INDIRECT("'"&amp;$B$3&amp;"'!"&amp;ADDRESS($AD27,BH$1))</f>
        <v/>
      </c>
      <c r="BI27" s="73">
        <f>INDIRECT("'"&amp;$B$3&amp;"'!"&amp;ADDRESS($AD27,BI$1))</f>
        <v/>
      </c>
      <c r="BM27" s="73">
        <f>IF(INDIRECT("'"&amp;$B$3&amp;"'!"&amp;ADDRESS($AD27,BM$1)),INDIRECT("'"&amp;$B$3&amp;"'!"&amp;ADDRESS($AD27,BM$1)),BM26)</f>
        <v/>
      </c>
      <c r="BN27" s="73">
        <f>IF(INDIRECT("'"&amp;$B$3&amp;"'!"&amp;ADDRESS($AD27,BN$1)),INDIRECT("'"&amp;$B$3&amp;"'!"&amp;ADDRESS($AD27,BN$1)),BN26)</f>
        <v/>
      </c>
      <c r="BO27" s="73">
        <f>IF(INDIRECT("'"&amp;$B$3&amp;"'!"&amp;ADDRESS($AD27,BO$1)),INDIRECT("'"&amp;$B$3&amp;"'!"&amp;ADDRESS($AD27,BO$1)),BO26)</f>
        <v/>
      </c>
      <c r="BP27" s="73">
        <f>IF(INDIRECT("'"&amp;$B$3&amp;"'!"&amp;ADDRESS($AD27,BP$1)),INDIRECT("'"&amp;$B$3&amp;"'!"&amp;ADDRESS($AD27,BP$1)),BP26)</f>
        <v/>
      </c>
      <c r="BQ27" s="73">
        <f>IF(INDIRECT("'"&amp;$B$3&amp;"'!"&amp;ADDRESS($AD27,BQ$1)),INDIRECT("'"&amp;$B$3&amp;"'!"&amp;ADDRESS($AD27,BQ$1)),BQ26)</f>
        <v/>
      </c>
      <c r="BR27" s="73">
        <f>IF(INDIRECT("'"&amp;$B$3&amp;"'!"&amp;ADDRESS($AD27,BR$1)),INDIRECT("'"&amp;$B$3&amp;"'!"&amp;ADDRESS($AD27,BR$1)),BR26)</f>
        <v/>
      </c>
      <c r="BS27" s="73">
        <f>IF(INDIRECT("'"&amp;$B$3&amp;"'!"&amp;ADDRESS($AD27,BS$1)),INDIRECT("'"&amp;$B$3&amp;"'!"&amp;ADDRESS($AD27,BS$1)),BS26)</f>
        <v/>
      </c>
      <c r="BT27" s="73">
        <f>IF(INDIRECT("'"&amp;$B$3&amp;"'!"&amp;ADDRESS($AD27,BT$1)),INDIRECT("'"&amp;$B$3&amp;"'!"&amp;ADDRESS($AD27,BT$1)),BT26)</f>
        <v/>
      </c>
      <c r="BU27" s="73">
        <f>IF(INDIRECT("'"&amp;$B$3&amp;"'!"&amp;ADDRESS($AD27,BU$1)),INDIRECT("'"&amp;$B$3&amp;"'!"&amp;ADDRESS($AD27,BU$1)),BU26)</f>
        <v/>
      </c>
      <c r="BV27" s="73">
        <f>IF(INDIRECT("'"&amp;$B$3&amp;"'!"&amp;ADDRESS($AD27,BV$1)),INDIRECT("'"&amp;$B$3&amp;"'!"&amp;ADDRESS($AD27,BV$1)),BV26)</f>
        <v/>
      </c>
      <c r="BW27" s="73">
        <f>IF(INDIRECT("'"&amp;$B$3&amp;"'!"&amp;ADDRESS($AD27,BW$1)),INDIRECT("'"&amp;$B$3&amp;"'!"&amp;ADDRESS($AD27,BW$1)),BW26)</f>
        <v/>
      </c>
      <c r="BX27" s="73">
        <f>IF(INDIRECT("'"&amp;$B$3&amp;"'!"&amp;ADDRESS($AD27,BX$1)),INDIRECT("'"&amp;$B$3&amp;"'!"&amp;ADDRESS($AD27,BX$1)),BX26)</f>
        <v/>
      </c>
      <c r="BY27" s="73">
        <f>IF(INDIRECT("'"&amp;$B$3&amp;"'!"&amp;ADDRESS($AD27,BY$1)),INDIRECT("'"&amp;$B$3&amp;"'!"&amp;ADDRESS($AD27,BY$1)),BY26)</f>
        <v/>
      </c>
      <c r="BZ27" s="73">
        <f>IF(INDIRECT("'"&amp;$B$3&amp;"'!"&amp;ADDRESS($AD27,BZ$1)),INDIRECT("'"&amp;$B$3&amp;"'!"&amp;ADDRESS($AD27,BZ$1)),BZ26)</f>
        <v/>
      </c>
      <c r="CD27" s="73">
        <f>IF(INDIRECT("'"&amp;$B$3&amp;"'!"&amp;ADDRESS($AD27,CD$1)),INDIRECT("'"&amp;$B$3&amp;"'!"&amp;ADDRESS($AD27,CD$1)),CD26)</f>
        <v/>
      </c>
      <c r="CE27" s="73">
        <f>IF(INDIRECT("'"&amp;$B$3&amp;"'!"&amp;ADDRESS($AD27,CE$1)),INDIRECT("'"&amp;$B$3&amp;"'!"&amp;ADDRESS($AD27,CE$1)),CE26)</f>
        <v/>
      </c>
      <c r="CF27" s="73">
        <f>IF(INDIRECT("'"&amp;$B$3&amp;"'!"&amp;ADDRESS($AD27,CF$1)),INDIRECT("'"&amp;$B$3&amp;"'!"&amp;ADDRESS($AD27,CF$1)),CF26)</f>
        <v/>
      </c>
      <c r="CG27" s="73">
        <f>IF(INDIRECT("'"&amp;$B$3&amp;"'!"&amp;ADDRESS($AD27,CG$1)),INDIRECT("'"&amp;$B$3&amp;"'!"&amp;ADDRESS($AD27,CG$1)),CG26)</f>
        <v/>
      </c>
      <c r="CH27" s="73">
        <f>IF(INDIRECT("'"&amp;$B$3&amp;"'!"&amp;ADDRESS($AD27,CH$1)),INDIRECT("'"&amp;$B$3&amp;"'!"&amp;ADDRESS($AD27,CH$1)),CH26)</f>
        <v/>
      </c>
      <c r="CI27" s="73">
        <f>IF(INDIRECT("'"&amp;$B$3&amp;"'!"&amp;ADDRESS($AD27,CI$1)),INDIRECT("'"&amp;$B$3&amp;"'!"&amp;ADDRESS($AD27,CI$1)),CI26)</f>
        <v/>
      </c>
      <c r="CJ27" s="73">
        <f>IF(INDIRECT("'"&amp;$B$3&amp;"'!"&amp;ADDRESS($AD27,CJ$1)),INDIRECT("'"&amp;$B$3&amp;"'!"&amp;ADDRESS($AD27,CJ$1)),CJ26)</f>
        <v/>
      </c>
      <c r="CK27" s="73">
        <f>IF(INDIRECT("'"&amp;$B$3&amp;"'!"&amp;ADDRESS($AD27,CK$1)),INDIRECT("'"&amp;$B$3&amp;"'!"&amp;ADDRESS($AD27,CK$1)),CK26)</f>
        <v/>
      </c>
      <c r="CL27" s="73">
        <f>IF(INDIRECT("'"&amp;$B$3&amp;"'!"&amp;ADDRESS($AD27,CL$1)),INDIRECT("'"&amp;$B$3&amp;"'!"&amp;ADDRESS($AD27,CL$1)),CL26)</f>
        <v/>
      </c>
      <c r="CM27" s="73">
        <f>IF(INDIRECT("'"&amp;$B$3&amp;"'!"&amp;ADDRESS($AD27,CM$1)),INDIRECT("'"&amp;$B$3&amp;"'!"&amp;ADDRESS($AD27,CM$1)),CM26)</f>
        <v/>
      </c>
      <c r="CN27" s="73">
        <f>IF(INDIRECT("'"&amp;$B$3&amp;"'!"&amp;ADDRESS($AD27,CN$1)),INDIRECT("'"&amp;$B$3&amp;"'!"&amp;ADDRESS($AD27,CN$1)),CN26)</f>
        <v/>
      </c>
      <c r="CO27" s="73">
        <f>IF(INDIRECT("'"&amp;$B$3&amp;"'!"&amp;ADDRESS($AD27,CO$1)),INDIRECT("'"&amp;$B$3&amp;"'!"&amp;ADDRESS($AD27,CO$1)),CO26)</f>
        <v/>
      </c>
      <c r="CP27" s="73">
        <f>IF(INDIRECT("'"&amp;$B$3&amp;"'!"&amp;ADDRESS($AD27,CP$1)),INDIRECT("'"&amp;$B$3&amp;"'!"&amp;ADDRESS($AD27,CP$1)),CP26)</f>
        <v/>
      </c>
      <c r="CQ27" s="73">
        <f>IF(INDIRECT("'"&amp;$B$3&amp;"'!"&amp;ADDRESS($AD27,CQ$1)),INDIRECT("'"&amp;$B$3&amp;"'!"&amp;ADDRESS($AD27,CQ$1)),CQ26)</f>
        <v/>
      </c>
    </row>
    <row r="28">
      <c r="AA28" s="72" t="n"/>
      <c r="AB28" s="239" t="n"/>
      <c r="AC28" s="236" t="n"/>
      <c r="AD28" t="n">
        <v>28</v>
      </c>
      <c r="AE28" s="73">
        <f>INDIRECT("'"&amp;$B$3&amp;"'!"&amp;ADDRESS($AD28,AE$1))</f>
        <v/>
      </c>
      <c r="AF28" s="73">
        <f>INDIRECT("'"&amp;$B$3&amp;"'!"&amp;ADDRESS($AD28,AF$1))</f>
        <v/>
      </c>
      <c r="AG28" s="73">
        <f>INDIRECT("'"&amp;$B$3&amp;"'!"&amp;ADDRESS($AD28,AG$1))</f>
        <v/>
      </c>
      <c r="AH28" s="73">
        <f>INDIRECT("'"&amp;$B$3&amp;"'!"&amp;ADDRESS($AD28,AH$1))</f>
        <v/>
      </c>
      <c r="AI28" s="73">
        <f>INDIRECT("'"&amp;$B$3&amp;"'!"&amp;ADDRESS($AD28,AI$1))</f>
        <v/>
      </c>
      <c r="AJ28" s="73">
        <f>INDIRECT("'"&amp;$B$3&amp;"'!"&amp;ADDRESS($AD28,AJ$1))</f>
        <v/>
      </c>
      <c r="AK28" s="73">
        <f>INDIRECT("'"&amp;$B$3&amp;"'!"&amp;ADDRESS($AD28,AK$1))</f>
        <v/>
      </c>
      <c r="AL28" s="73">
        <f>INDIRECT("'"&amp;$B$3&amp;"'!"&amp;ADDRESS($AD28,AL$1))</f>
        <v/>
      </c>
      <c r="AM28" s="73">
        <f>INDIRECT("'"&amp;$B$3&amp;"'!"&amp;ADDRESS($AD28,AM$1))</f>
        <v/>
      </c>
      <c r="AN28" s="73">
        <f>INDIRECT("'"&amp;$B$3&amp;"'!"&amp;ADDRESS($AD28,AN$1))</f>
        <v/>
      </c>
      <c r="AO28" s="73">
        <f>INDIRECT("'"&amp;$B$3&amp;"'!"&amp;ADDRESS($AD28,AO$1))</f>
        <v/>
      </c>
      <c r="AP28" s="73">
        <f>INDIRECT("'"&amp;$B$3&amp;"'!"&amp;ADDRESS($AD28,AP$1))</f>
        <v/>
      </c>
      <c r="AQ28" s="73">
        <f>INDIRECT("'"&amp;$B$3&amp;"'!"&amp;ADDRESS($AD28,AQ$1))</f>
        <v/>
      </c>
      <c r="AR28" s="73">
        <f>INDIRECT("'"&amp;$B$3&amp;"'!"&amp;ADDRESS($AD28,AR$1))</f>
        <v/>
      </c>
      <c r="AU28" s="236" t="n"/>
      <c r="AV28" s="73">
        <f>INDIRECT("'"&amp;$B$3&amp;"'!"&amp;ADDRESS($AD28,AV$1))</f>
        <v/>
      </c>
      <c r="AW28" s="73">
        <f>INDIRECT("'"&amp;$B$3&amp;"'!"&amp;ADDRESS($AD28,AW$1))</f>
        <v/>
      </c>
      <c r="AX28" s="73">
        <f>INDIRECT("'"&amp;$B$3&amp;"'!"&amp;ADDRESS($AD28,AX$1))</f>
        <v/>
      </c>
      <c r="AY28" s="73">
        <f>INDIRECT("'"&amp;$B$3&amp;"'!"&amp;ADDRESS($AD28,AY$1))</f>
        <v/>
      </c>
      <c r="AZ28" s="73">
        <f>INDIRECT("'"&amp;$B$3&amp;"'!"&amp;ADDRESS($AD28,AZ$1))</f>
        <v/>
      </c>
      <c r="BA28" s="73">
        <f>INDIRECT("'"&amp;$B$3&amp;"'!"&amp;ADDRESS($AD28,BA$1))</f>
        <v/>
      </c>
      <c r="BB28" s="73">
        <f>INDIRECT("'"&amp;$B$3&amp;"'!"&amp;ADDRESS($AD28,BB$1))</f>
        <v/>
      </c>
      <c r="BC28" s="73">
        <f>INDIRECT("'"&amp;$B$3&amp;"'!"&amp;ADDRESS($AD28,BC$1))</f>
        <v/>
      </c>
      <c r="BD28" s="73">
        <f>INDIRECT("'"&amp;$B$3&amp;"'!"&amp;ADDRESS($AD28,BD$1))</f>
        <v/>
      </c>
      <c r="BE28" s="73">
        <f>INDIRECT("'"&amp;$B$3&amp;"'!"&amp;ADDRESS($AD28,BE$1))</f>
        <v/>
      </c>
      <c r="BF28" s="73">
        <f>INDIRECT("'"&amp;$B$3&amp;"'!"&amp;ADDRESS($AD28,BF$1))</f>
        <v/>
      </c>
      <c r="BG28" s="73">
        <f>INDIRECT("'"&amp;$B$3&amp;"'!"&amp;ADDRESS($AD28,BG$1))</f>
        <v/>
      </c>
      <c r="BH28" s="73">
        <f>INDIRECT("'"&amp;$B$3&amp;"'!"&amp;ADDRESS($AD28,BH$1))</f>
        <v/>
      </c>
      <c r="BI28" s="73">
        <f>INDIRECT("'"&amp;$B$3&amp;"'!"&amp;ADDRESS($AD28,BI$1))</f>
        <v/>
      </c>
      <c r="BM28" s="73">
        <f>IF(INDIRECT("'"&amp;$B$3&amp;"'!"&amp;ADDRESS($AD28,BM$1)),INDIRECT("'"&amp;$B$3&amp;"'!"&amp;ADDRESS($AD28,BM$1)),BM27)</f>
        <v/>
      </c>
      <c r="BN28" s="73">
        <f>IF(INDIRECT("'"&amp;$B$3&amp;"'!"&amp;ADDRESS($AD28,BN$1)),INDIRECT("'"&amp;$B$3&amp;"'!"&amp;ADDRESS($AD28,BN$1)),BN27)</f>
        <v/>
      </c>
      <c r="BO28" s="73">
        <f>IF(INDIRECT("'"&amp;$B$3&amp;"'!"&amp;ADDRESS($AD28,BO$1)),INDIRECT("'"&amp;$B$3&amp;"'!"&amp;ADDRESS($AD28,BO$1)),BO27)</f>
        <v/>
      </c>
      <c r="BP28" s="73">
        <f>IF(INDIRECT("'"&amp;$B$3&amp;"'!"&amp;ADDRESS($AD28,BP$1)),INDIRECT("'"&amp;$B$3&amp;"'!"&amp;ADDRESS($AD28,BP$1)),BP27)</f>
        <v/>
      </c>
      <c r="BQ28" s="73">
        <f>IF(INDIRECT("'"&amp;$B$3&amp;"'!"&amp;ADDRESS($AD28,BQ$1)),INDIRECT("'"&amp;$B$3&amp;"'!"&amp;ADDRESS($AD28,BQ$1)),BQ27)</f>
        <v/>
      </c>
      <c r="BR28" s="73">
        <f>IF(INDIRECT("'"&amp;$B$3&amp;"'!"&amp;ADDRESS($AD28,BR$1)),INDIRECT("'"&amp;$B$3&amp;"'!"&amp;ADDRESS($AD28,BR$1)),BR27)</f>
        <v/>
      </c>
      <c r="BS28" s="73">
        <f>IF(INDIRECT("'"&amp;$B$3&amp;"'!"&amp;ADDRESS($AD28,BS$1)),INDIRECT("'"&amp;$B$3&amp;"'!"&amp;ADDRESS($AD28,BS$1)),BS27)</f>
        <v/>
      </c>
      <c r="BT28" s="73">
        <f>IF(INDIRECT("'"&amp;$B$3&amp;"'!"&amp;ADDRESS($AD28,BT$1)),INDIRECT("'"&amp;$B$3&amp;"'!"&amp;ADDRESS($AD28,BT$1)),BT27)</f>
        <v/>
      </c>
      <c r="BU28" s="73">
        <f>IF(INDIRECT("'"&amp;$B$3&amp;"'!"&amp;ADDRESS($AD28,BU$1)),INDIRECT("'"&amp;$B$3&amp;"'!"&amp;ADDRESS($AD28,BU$1)),BU27)</f>
        <v/>
      </c>
      <c r="BV28" s="73">
        <f>IF(INDIRECT("'"&amp;$B$3&amp;"'!"&amp;ADDRESS($AD28,BV$1)),INDIRECT("'"&amp;$B$3&amp;"'!"&amp;ADDRESS($AD28,BV$1)),BV27)</f>
        <v/>
      </c>
      <c r="BW28" s="73">
        <f>IF(INDIRECT("'"&amp;$B$3&amp;"'!"&amp;ADDRESS($AD28,BW$1)),INDIRECT("'"&amp;$B$3&amp;"'!"&amp;ADDRESS($AD28,BW$1)),BW27)</f>
        <v/>
      </c>
      <c r="BX28" s="73">
        <f>IF(INDIRECT("'"&amp;$B$3&amp;"'!"&amp;ADDRESS($AD28,BX$1)),INDIRECT("'"&amp;$B$3&amp;"'!"&amp;ADDRESS($AD28,BX$1)),BX27)</f>
        <v/>
      </c>
      <c r="BY28" s="73">
        <f>IF(INDIRECT("'"&amp;$B$3&amp;"'!"&amp;ADDRESS($AD28,BY$1)),INDIRECT("'"&amp;$B$3&amp;"'!"&amp;ADDRESS($AD28,BY$1)),BY27)</f>
        <v/>
      </c>
      <c r="BZ28" s="73">
        <f>IF(INDIRECT("'"&amp;$B$3&amp;"'!"&amp;ADDRESS($AD28,BZ$1)),INDIRECT("'"&amp;$B$3&amp;"'!"&amp;ADDRESS($AD28,BZ$1)),BZ27)</f>
        <v/>
      </c>
      <c r="CD28" s="73">
        <f>IF(INDIRECT("'"&amp;$B$3&amp;"'!"&amp;ADDRESS($AD28,CD$1)),INDIRECT("'"&amp;$B$3&amp;"'!"&amp;ADDRESS($AD28,CD$1)),CD27)</f>
        <v/>
      </c>
      <c r="CE28" s="73">
        <f>IF(INDIRECT("'"&amp;$B$3&amp;"'!"&amp;ADDRESS($AD28,CE$1)),INDIRECT("'"&amp;$B$3&amp;"'!"&amp;ADDRESS($AD28,CE$1)),CE27)</f>
        <v/>
      </c>
      <c r="CF28" s="73">
        <f>IF(INDIRECT("'"&amp;$B$3&amp;"'!"&amp;ADDRESS($AD28,CF$1)),INDIRECT("'"&amp;$B$3&amp;"'!"&amp;ADDRESS($AD28,CF$1)),CF27)</f>
        <v/>
      </c>
      <c r="CG28" s="73">
        <f>IF(INDIRECT("'"&amp;$B$3&amp;"'!"&amp;ADDRESS($AD28,CG$1)),INDIRECT("'"&amp;$B$3&amp;"'!"&amp;ADDRESS($AD28,CG$1)),CG27)</f>
        <v/>
      </c>
      <c r="CH28" s="73">
        <f>IF(INDIRECT("'"&amp;$B$3&amp;"'!"&amp;ADDRESS($AD28,CH$1)),INDIRECT("'"&amp;$B$3&amp;"'!"&amp;ADDRESS($AD28,CH$1)),CH27)</f>
        <v/>
      </c>
      <c r="CI28" s="73">
        <f>IF(INDIRECT("'"&amp;$B$3&amp;"'!"&amp;ADDRESS($AD28,CI$1)),INDIRECT("'"&amp;$B$3&amp;"'!"&amp;ADDRESS($AD28,CI$1)),CI27)</f>
        <v/>
      </c>
      <c r="CJ28" s="73">
        <f>IF(INDIRECT("'"&amp;$B$3&amp;"'!"&amp;ADDRESS($AD28,CJ$1)),INDIRECT("'"&amp;$B$3&amp;"'!"&amp;ADDRESS($AD28,CJ$1)),CJ27)</f>
        <v/>
      </c>
      <c r="CK28" s="73">
        <f>IF(INDIRECT("'"&amp;$B$3&amp;"'!"&amp;ADDRESS($AD28,CK$1)),INDIRECT("'"&amp;$B$3&amp;"'!"&amp;ADDRESS($AD28,CK$1)),CK27)</f>
        <v/>
      </c>
      <c r="CL28" s="73">
        <f>IF(INDIRECT("'"&amp;$B$3&amp;"'!"&amp;ADDRESS($AD28,CL$1)),INDIRECT("'"&amp;$B$3&amp;"'!"&amp;ADDRESS($AD28,CL$1)),CL27)</f>
        <v/>
      </c>
      <c r="CM28" s="73">
        <f>IF(INDIRECT("'"&amp;$B$3&amp;"'!"&amp;ADDRESS($AD28,CM$1)),INDIRECT("'"&amp;$B$3&amp;"'!"&amp;ADDRESS($AD28,CM$1)),CM27)</f>
        <v/>
      </c>
      <c r="CN28" s="73">
        <f>IF(INDIRECT("'"&amp;$B$3&amp;"'!"&amp;ADDRESS($AD28,CN$1)),INDIRECT("'"&amp;$B$3&amp;"'!"&amp;ADDRESS($AD28,CN$1)),CN27)</f>
        <v/>
      </c>
      <c r="CO28" s="73">
        <f>IF(INDIRECT("'"&amp;$B$3&amp;"'!"&amp;ADDRESS($AD28,CO$1)),INDIRECT("'"&amp;$B$3&amp;"'!"&amp;ADDRESS($AD28,CO$1)),CO27)</f>
        <v/>
      </c>
      <c r="CP28" s="73">
        <f>IF(INDIRECT("'"&amp;$B$3&amp;"'!"&amp;ADDRESS($AD28,CP$1)),INDIRECT("'"&amp;$B$3&amp;"'!"&amp;ADDRESS($AD28,CP$1)),CP27)</f>
        <v/>
      </c>
      <c r="CQ28" s="73">
        <f>IF(INDIRECT("'"&amp;$B$3&amp;"'!"&amp;ADDRESS($AD28,CQ$1)),INDIRECT("'"&amp;$B$3&amp;"'!"&amp;ADDRESS($AD28,CQ$1)),CQ27)</f>
        <v/>
      </c>
    </row>
    <row r="29">
      <c r="AA29" s="72" t="n"/>
      <c r="AB29" s="242" t="inlineStr">
        <is>
          <t>960x540</t>
        </is>
      </c>
      <c r="AC29" s="235">
        <f>CONCATENATE(AB29," Reference")</f>
        <v/>
      </c>
      <c r="AD29" t="n">
        <v>29</v>
      </c>
      <c r="AE29" s="73">
        <f>INDIRECT("'"&amp;$B$3&amp;"'!"&amp;ADDRESS($AD29,AE$1))</f>
        <v/>
      </c>
      <c r="AF29" s="73">
        <f>INDIRECT("'"&amp;$B$3&amp;"'!"&amp;ADDRESS($AD29,AF$1))</f>
        <v/>
      </c>
      <c r="AG29" s="73">
        <f>INDIRECT("'"&amp;$B$3&amp;"'!"&amp;ADDRESS($AD29,AG$1))</f>
        <v/>
      </c>
      <c r="AH29" s="73">
        <f>INDIRECT("'"&amp;$B$3&amp;"'!"&amp;ADDRESS($AD29,AH$1))</f>
        <v/>
      </c>
      <c r="AI29" s="73">
        <f>INDIRECT("'"&amp;$B$3&amp;"'!"&amp;ADDRESS($AD29,AI$1))</f>
        <v/>
      </c>
      <c r="AJ29" s="73">
        <f>INDIRECT("'"&amp;$B$3&amp;"'!"&amp;ADDRESS($AD29,AJ$1))</f>
        <v/>
      </c>
      <c r="AK29" s="73">
        <f>INDIRECT("'"&amp;$B$3&amp;"'!"&amp;ADDRESS($AD29,AK$1))</f>
        <v/>
      </c>
      <c r="AL29" s="73">
        <f>INDIRECT("'"&amp;$B$3&amp;"'!"&amp;ADDRESS($AD29,AL$1))</f>
        <v/>
      </c>
      <c r="AM29" s="73">
        <f>INDIRECT("'"&amp;$B$3&amp;"'!"&amp;ADDRESS($AD29,AM$1))</f>
        <v/>
      </c>
      <c r="AN29" s="73">
        <f>INDIRECT("'"&amp;$B$3&amp;"'!"&amp;ADDRESS($AD29,AN$1))</f>
        <v/>
      </c>
      <c r="AO29" s="73">
        <f>INDIRECT("'"&amp;$B$3&amp;"'!"&amp;ADDRESS($AD29,AO$1))</f>
        <v/>
      </c>
      <c r="AP29" s="73">
        <f>INDIRECT("'"&amp;$B$3&amp;"'!"&amp;ADDRESS($AD29,AP$1))</f>
        <v/>
      </c>
      <c r="AQ29" s="73">
        <f>INDIRECT("'"&amp;$B$3&amp;"'!"&amp;ADDRESS($AD29,AQ$1))</f>
        <v/>
      </c>
      <c r="AR29" s="73">
        <f>INDIRECT("'"&amp;$B$3&amp;"'!"&amp;ADDRESS($AD29,AR$1))</f>
        <v/>
      </c>
      <c r="AU29" s="235">
        <f>CONCATENATE(AB29," Test")</f>
        <v/>
      </c>
      <c r="AV29" s="73">
        <f>INDIRECT("'"&amp;$B$3&amp;"'!"&amp;ADDRESS($AD29,AV$1))</f>
        <v/>
      </c>
      <c r="AW29" s="73">
        <f>INDIRECT("'"&amp;$B$3&amp;"'!"&amp;ADDRESS($AD29,AW$1))</f>
        <v/>
      </c>
      <c r="AX29" s="73">
        <f>INDIRECT("'"&amp;$B$3&amp;"'!"&amp;ADDRESS($AD29,AX$1))</f>
        <v/>
      </c>
      <c r="AY29" s="73">
        <f>INDIRECT("'"&amp;$B$3&amp;"'!"&amp;ADDRESS($AD29,AY$1))</f>
        <v/>
      </c>
      <c r="AZ29" s="73">
        <f>INDIRECT("'"&amp;$B$3&amp;"'!"&amp;ADDRESS($AD29,AZ$1))</f>
        <v/>
      </c>
      <c r="BA29" s="73">
        <f>INDIRECT("'"&amp;$B$3&amp;"'!"&amp;ADDRESS($AD29,BA$1))</f>
        <v/>
      </c>
      <c r="BB29" s="73">
        <f>INDIRECT("'"&amp;$B$3&amp;"'!"&amp;ADDRESS($AD29,BB$1))</f>
        <v/>
      </c>
      <c r="BC29" s="73">
        <f>INDIRECT("'"&amp;$B$3&amp;"'!"&amp;ADDRESS($AD29,BC$1))</f>
        <v/>
      </c>
      <c r="BD29" s="73">
        <f>INDIRECT("'"&amp;$B$3&amp;"'!"&amp;ADDRESS($AD29,BD$1))</f>
        <v/>
      </c>
      <c r="BE29" s="73">
        <f>INDIRECT("'"&amp;$B$3&amp;"'!"&amp;ADDRESS($AD29,BE$1))</f>
        <v/>
      </c>
      <c r="BF29" s="73">
        <f>INDIRECT("'"&amp;$B$3&amp;"'!"&amp;ADDRESS($AD29,BF$1))</f>
        <v/>
      </c>
      <c r="BG29" s="73">
        <f>INDIRECT("'"&amp;$B$3&amp;"'!"&amp;ADDRESS($AD29,BG$1))</f>
        <v/>
      </c>
      <c r="BH29" s="73">
        <f>INDIRECT("'"&amp;$B$3&amp;"'!"&amp;ADDRESS($AD29,BH$1))</f>
        <v/>
      </c>
      <c r="BI29" s="73">
        <f>INDIRECT("'"&amp;$B$3&amp;"'!"&amp;ADDRESS($AD29,BI$1))</f>
        <v/>
      </c>
      <c r="BM29" s="73">
        <f>IF(INDIRECT("'"&amp;$B$3&amp;"'!"&amp;ADDRESS($AD29,BM$1)),INDIRECT("'"&amp;$B$3&amp;"'!"&amp;ADDRESS($AD29,BM$1)),BM28)</f>
        <v/>
      </c>
      <c r="BN29" s="73">
        <f>IF(INDIRECT("'"&amp;$B$3&amp;"'!"&amp;ADDRESS($AD29,BN$1)),INDIRECT("'"&amp;$B$3&amp;"'!"&amp;ADDRESS($AD29,BN$1)),BN28)</f>
        <v/>
      </c>
      <c r="BO29" s="73">
        <f>IF(INDIRECT("'"&amp;$B$3&amp;"'!"&amp;ADDRESS($AD29,BO$1)),INDIRECT("'"&amp;$B$3&amp;"'!"&amp;ADDRESS($AD29,BO$1)),BO28)</f>
        <v/>
      </c>
      <c r="BP29" s="73">
        <f>IF(INDIRECT("'"&amp;$B$3&amp;"'!"&amp;ADDRESS($AD29,BP$1)),INDIRECT("'"&amp;$B$3&amp;"'!"&amp;ADDRESS($AD29,BP$1)),BP28)</f>
        <v/>
      </c>
      <c r="BQ29" s="73">
        <f>IF(INDIRECT("'"&amp;$B$3&amp;"'!"&amp;ADDRESS($AD29,BQ$1)),INDIRECT("'"&amp;$B$3&amp;"'!"&amp;ADDRESS($AD29,BQ$1)),BQ28)</f>
        <v/>
      </c>
      <c r="BR29" s="73">
        <f>IF(INDIRECT("'"&amp;$B$3&amp;"'!"&amp;ADDRESS($AD29,BR$1)),INDIRECT("'"&amp;$B$3&amp;"'!"&amp;ADDRESS($AD29,BR$1)),BR28)</f>
        <v/>
      </c>
      <c r="BS29" s="73">
        <f>IF(INDIRECT("'"&amp;$B$3&amp;"'!"&amp;ADDRESS($AD29,BS$1)),INDIRECT("'"&amp;$B$3&amp;"'!"&amp;ADDRESS($AD29,BS$1)),BS28)</f>
        <v/>
      </c>
      <c r="BT29" s="73">
        <f>IF(INDIRECT("'"&amp;$B$3&amp;"'!"&amp;ADDRESS($AD29,BT$1)),INDIRECT("'"&amp;$B$3&amp;"'!"&amp;ADDRESS($AD29,BT$1)),BT28)</f>
        <v/>
      </c>
      <c r="BU29" s="73">
        <f>IF(INDIRECT("'"&amp;$B$3&amp;"'!"&amp;ADDRESS($AD29,BU$1)),INDIRECT("'"&amp;$B$3&amp;"'!"&amp;ADDRESS($AD29,BU$1)),BU28)</f>
        <v/>
      </c>
      <c r="BV29" s="73">
        <f>IF(INDIRECT("'"&amp;$B$3&amp;"'!"&amp;ADDRESS($AD29,BV$1)),INDIRECT("'"&amp;$B$3&amp;"'!"&amp;ADDRESS($AD29,BV$1)),BV28)</f>
        <v/>
      </c>
      <c r="BW29" s="73">
        <f>IF(INDIRECT("'"&amp;$B$3&amp;"'!"&amp;ADDRESS($AD29,BW$1)),INDIRECT("'"&amp;$B$3&amp;"'!"&amp;ADDRESS($AD29,BW$1)),BW28)</f>
        <v/>
      </c>
      <c r="BX29" s="73">
        <f>IF(INDIRECT("'"&amp;$B$3&amp;"'!"&amp;ADDRESS($AD29,BX$1)),INDIRECT("'"&amp;$B$3&amp;"'!"&amp;ADDRESS($AD29,BX$1)),BX28)</f>
        <v/>
      </c>
      <c r="BY29" s="73">
        <f>IF(INDIRECT("'"&amp;$B$3&amp;"'!"&amp;ADDRESS($AD29,BY$1)),INDIRECT("'"&amp;$B$3&amp;"'!"&amp;ADDRESS($AD29,BY$1)),BY28)</f>
        <v/>
      </c>
      <c r="BZ29" s="73">
        <f>IF(INDIRECT("'"&amp;$B$3&amp;"'!"&amp;ADDRESS($AD29,BZ$1)),INDIRECT("'"&amp;$B$3&amp;"'!"&amp;ADDRESS($AD29,BZ$1)),BZ28)</f>
        <v/>
      </c>
      <c r="CD29" s="73">
        <f>IF(INDIRECT("'"&amp;$B$3&amp;"'!"&amp;ADDRESS($AD29,CD$1)),INDIRECT("'"&amp;$B$3&amp;"'!"&amp;ADDRESS($AD29,CD$1)),CD28)</f>
        <v/>
      </c>
      <c r="CE29" s="73">
        <f>IF(INDIRECT("'"&amp;$B$3&amp;"'!"&amp;ADDRESS($AD29,CE$1)),INDIRECT("'"&amp;$B$3&amp;"'!"&amp;ADDRESS($AD29,CE$1)),CE28)</f>
        <v/>
      </c>
      <c r="CF29" s="73">
        <f>IF(INDIRECT("'"&amp;$B$3&amp;"'!"&amp;ADDRESS($AD29,CF$1)),INDIRECT("'"&amp;$B$3&amp;"'!"&amp;ADDRESS($AD29,CF$1)),CF28)</f>
        <v/>
      </c>
      <c r="CG29" s="73">
        <f>IF(INDIRECT("'"&amp;$B$3&amp;"'!"&amp;ADDRESS($AD29,CG$1)),INDIRECT("'"&amp;$B$3&amp;"'!"&amp;ADDRESS($AD29,CG$1)),CG28)</f>
        <v/>
      </c>
      <c r="CH29" s="73">
        <f>IF(INDIRECT("'"&amp;$B$3&amp;"'!"&amp;ADDRESS($AD29,CH$1)),INDIRECT("'"&amp;$B$3&amp;"'!"&amp;ADDRESS($AD29,CH$1)),CH28)</f>
        <v/>
      </c>
      <c r="CI29" s="73">
        <f>IF(INDIRECT("'"&amp;$B$3&amp;"'!"&amp;ADDRESS($AD29,CI$1)),INDIRECT("'"&amp;$B$3&amp;"'!"&amp;ADDRESS($AD29,CI$1)),CI28)</f>
        <v/>
      </c>
      <c r="CJ29" s="73">
        <f>IF(INDIRECT("'"&amp;$B$3&amp;"'!"&amp;ADDRESS($AD29,CJ$1)),INDIRECT("'"&amp;$B$3&amp;"'!"&amp;ADDRESS($AD29,CJ$1)),CJ28)</f>
        <v/>
      </c>
      <c r="CK29" s="73">
        <f>IF(INDIRECT("'"&amp;$B$3&amp;"'!"&amp;ADDRESS($AD29,CK$1)),INDIRECT("'"&amp;$B$3&amp;"'!"&amp;ADDRESS($AD29,CK$1)),CK28)</f>
        <v/>
      </c>
      <c r="CL29" s="73">
        <f>IF(INDIRECT("'"&amp;$B$3&amp;"'!"&amp;ADDRESS($AD29,CL$1)),INDIRECT("'"&amp;$B$3&amp;"'!"&amp;ADDRESS($AD29,CL$1)),CL28)</f>
        <v/>
      </c>
      <c r="CM29" s="73">
        <f>IF(INDIRECT("'"&amp;$B$3&amp;"'!"&amp;ADDRESS($AD29,CM$1)),INDIRECT("'"&amp;$B$3&amp;"'!"&amp;ADDRESS($AD29,CM$1)),CM28)</f>
        <v/>
      </c>
      <c r="CN29" s="73">
        <f>IF(INDIRECT("'"&amp;$B$3&amp;"'!"&amp;ADDRESS($AD29,CN$1)),INDIRECT("'"&amp;$B$3&amp;"'!"&amp;ADDRESS($AD29,CN$1)),CN28)</f>
        <v/>
      </c>
      <c r="CO29" s="73">
        <f>IF(INDIRECT("'"&amp;$B$3&amp;"'!"&amp;ADDRESS($AD29,CO$1)),INDIRECT("'"&amp;$B$3&amp;"'!"&amp;ADDRESS($AD29,CO$1)),CO28)</f>
        <v/>
      </c>
      <c r="CP29" s="73">
        <f>IF(INDIRECT("'"&amp;$B$3&amp;"'!"&amp;ADDRESS($AD29,CP$1)),INDIRECT("'"&amp;$B$3&amp;"'!"&amp;ADDRESS($AD29,CP$1)),CP28)</f>
        <v/>
      </c>
      <c r="CQ29" s="73">
        <f>IF(INDIRECT("'"&amp;$B$3&amp;"'!"&amp;ADDRESS($AD29,CQ$1)),INDIRECT("'"&amp;$B$3&amp;"'!"&amp;ADDRESS($AD29,CQ$1)),CQ28)</f>
        <v/>
      </c>
    </row>
    <row r="30">
      <c r="AA30" s="72" t="n"/>
      <c r="AB30" s="238" t="n"/>
      <c r="AC30" s="236" t="n"/>
      <c r="AD30" t="n">
        <v>30</v>
      </c>
      <c r="AE30" s="73">
        <f>INDIRECT("'"&amp;$B$3&amp;"'!"&amp;ADDRESS($AD30,AE$1))</f>
        <v/>
      </c>
      <c r="AF30" s="73">
        <f>INDIRECT("'"&amp;$B$3&amp;"'!"&amp;ADDRESS($AD30,AF$1))</f>
        <v/>
      </c>
      <c r="AG30" s="73">
        <f>INDIRECT("'"&amp;$B$3&amp;"'!"&amp;ADDRESS($AD30,AG$1))</f>
        <v/>
      </c>
      <c r="AH30" s="73">
        <f>INDIRECT("'"&amp;$B$3&amp;"'!"&amp;ADDRESS($AD30,AH$1))</f>
        <v/>
      </c>
      <c r="AI30" s="73">
        <f>INDIRECT("'"&amp;$B$3&amp;"'!"&amp;ADDRESS($AD30,AI$1))</f>
        <v/>
      </c>
      <c r="AJ30" s="73">
        <f>INDIRECT("'"&amp;$B$3&amp;"'!"&amp;ADDRESS($AD30,AJ$1))</f>
        <v/>
      </c>
      <c r="AK30" s="73">
        <f>INDIRECT("'"&amp;$B$3&amp;"'!"&amp;ADDRESS($AD30,AK$1))</f>
        <v/>
      </c>
      <c r="AL30" s="73">
        <f>INDIRECT("'"&amp;$B$3&amp;"'!"&amp;ADDRESS($AD30,AL$1))</f>
        <v/>
      </c>
      <c r="AM30" s="73">
        <f>INDIRECT("'"&amp;$B$3&amp;"'!"&amp;ADDRESS($AD30,AM$1))</f>
        <v/>
      </c>
      <c r="AN30" s="73">
        <f>INDIRECT("'"&amp;$B$3&amp;"'!"&amp;ADDRESS($AD30,AN$1))</f>
        <v/>
      </c>
      <c r="AO30" s="73">
        <f>INDIRECT("'"&amp;$B$3&amp;"'!"&amp;ADDRESS($AD30,AO$1))</f>
        <v/>
      </c>
      <c r="AP30" s="73">
        <f>INDIRECT("'"&amp;$B$3&amp;"'!"&amp;ADDRESS($AD30,AP$1))</f>
        <v/>
      </c>
      <c r="AQ30" s="73">
        <f>INDIRECT("'"&amp;$B$3&amp;"'!"&amp;ADDRESS($AD30,AQ$1))</f>
        <v/>
      </c>
      <c r="AR30" s="73">
        <f>INDIRECT("'"&amp;$B$3&amp;"'!"&amp;ADDRESS($AD30,AR$1))</f>
        <v/>
      </c>
      <c r="AU30" s="236" t="n"/>
      <c r="AV30" s="73">
        <f>INDIRECT("'"&amp;$B$3&amp;"'!"&amp;ADDRESS($AD30,AV$1))</f>
        <v/>
      </c>
      <c r="AW30" s="73">
        <f>INDIRECT("'"&amp;$B$3&amp;"'!"&amp;ADDRESS($AD30,AW$1))</f>
        <v/>
      </c>
      <c r="AX30" s="73">
        <f>INDIRECT("'"&amp;$B$3&amp;"'!"&amp;ADDRESS($AD30,AX$1))</f>
        <v/>
      </c>
      <c r="AY30" s="73">
        <f>INDIRECT("'"&amp;$B$3&amp;"'!"&amp;ADDRESS($AD30,AY$1))</f>
        <v/>
      </c>
      <c r="AZ30" s="73">
        <f>INDIRECT("'"&amp;$B$3&amp;"'!"&amp;ADDRESS($AD30,AZ$1))</f>
        <v/>
      </c>
      <c r="BA30" s="73">
        <f>INDIRECT("'"&amp;$B$3&amp;"'!"&amp;ADDRESS($AD30,BA$1))</f>
        <v/>
      </c>
      <c r="BB30" s="73">
        <f>INDIRECT("'"&amp;$B$3&amp;"'!"&amp;ADDRESS($AD30,BB$1))</f>
        <v/>
      </c>
      <c r="BC30" s="73">
        <f>INDIRECT("'"&amp;$B$3&amp;"'!"&amp;ADDRESS($AD30,BC$1))</f>
        <v/>
      </c>
      <c r="BD30" s="73">
        <f>INDIRECT("'"&amp;$B$3&amp;"'!"&amp;ADDRESS($AD30,BD$1))</f>
        <v/>
      </c>
      <c r="BE30" s="73">
        <f>INDIRECT("'"&amp;$B$3&amp;"'!"&amp;ADDRESS($AD30,BE$1))</f>
        <v/>
      </c>
      <c r="BF30" s="73">
        <f>INDIRECT("'"&amp;$B$3&amp;"'!"&amp;ADDRESS($AD30,BF$1))</f>
        <v/>
      </c>
      <c r="BG30" s="73">
        <f>INDIRECT("'"&amp;$B$3&amp;"'!"&amp;ADDRESS($AD30,BG$1))</f>
        <v/>
      </c>
      <c r="BH30" s="73">
        <f>INDIRECT("'"&amp;$B$3&amp;"'!"&amp;ADDRESS($AD30,BH$1))</f>
        <v/>
      </c>
      <c r="BI30" s="73">
        <f>INDIRECT("'"&amp;$B$3&amp;"'!"&amp;ADDRESS($AD30,BI$1))</f>
        <v/>
      </c>
      <c r="BM30" s="73">
        <f>IF(INDIRECT("'"&amp;$B$3&amp;"'!"&amp;ADDRESS($AD30,BM$1)),INDIRECT("'"&amp;$B$3&amp;"'!"&amp;ADDRESS($AD30,BM$1)),BM29)</f>
        <v/>
      </c>
      <c r="BN30" s="73">
        <f>IF(INDIRECT("'"&amp;$B$3&amp;"'!"&amp;ADDRESS($AD30,BN$1)),INDIRECT("'"&amp;$B$3&amp;"'!"&amp;ADDRESS($AD30,BN$1)),BN29)</f>
        <v/>
      </c>
      <c r="BO30" s="73">
        <f>IF(INDIRECT("'"&amp;$B$3&amp;"'!"&amp;ADDRESS($AD30,BO$1)),INDIRECT("'"&amp;$B$3&amp;"'!"&amp;ADDRESS($AD30,BO$1)),BO29)</f>
        <v/>
      </c>
      <c r="BP30" s="73">
        <f>IF(INDIRECT("'"&amp;$B$3&amp;"'!"&amp;ADDRESS($AD30,BP$1)),INDIRECT("'"&amp;$B$3&amp;"'!"&amp;ADDRESS($AD30,BP$1)),BP29)</f>
        <v/>
      </c>
      <c r="BQ30" s="73">
        <f>IF(INDIRECT("'"&amp;$B$3&amp;"'!"&amp;ADDRESS($AD30,BQ$1)),INDIRECT("'"&amp;$B$3&amp;"'!"&amp;ADDRESS($AD30,BQ$1)),BQ29)</f>
        <v/>
      </c>
      <c r="BR30" s="73">
        <f>IF(INDIRECT("'"&amp;$B$3&amp;"'!"&amp;ADDRESS($AD30,BR$1)),INDIRECT("'"&amp;$B$3&amp;"'!"&amp;ADDRESS($AD30,BR$1)),BR29)</f>
        <v/>
      </c>
      <c r="BS30" s="73">
        <f>IF(INDIRECT("'"&amp;$B$3&amp;"'!"&amp;ADDRESS($AD30,BS$1)),INDIRECT("'"&amp;$B$3&amp;"'!"&amp;ADDRESS($AD30,BS$1)),BS29)</f>
        <v/>
      </c>
      <c r="BT30" s="73">
        <f>IF(INDIRECT("'"&amp;$B$3&amp;"'!"&amp;ADDRESS($AD30,BT$1)),INDIRECT("'"&amp;$B$3&amp;"'!"&amp;ADDRESS($AD30,BT$1)),BT29)</f>
        <v/>
      </c>
      <c r="BU30" s="73">
        <f>IF(INDIRECT("'"&amp;$B$3&amp;"'!"&amp;ADDRESS($AD30,BU$1)),INDIRECT("'"&amp;$B$3&amp;"'!"&amp;ADDRESS($AD30,BU$1)),BU29)</f>
        <v/>
      </c>
      <c r="BV30" s="73">
        <f>IF(INDIRECT("'"&amp;$B$3&amp;"'!"&amp;ADDRESS($AD30,BV$1)),INDIRECT("'"&amp;$B$3&amp;"'!"&amp;ADDRESS($AD30,BV$1)),BV29)</f>
        <v/>
      </c>
      <c r="BW30" s="73">
        <f>IF(INDIRECT("'"&amp;$B$3&amp;"'!"&amp;ADDRESS($AD30,BW$1)),INDIRECT("'"&amp;$B$3&amp;"'!"&amp;ADDRESS($AD30,BW$1)),BW29)</f>
        <v/>
      </c>
      <c r="BX30" s="73">
        <f>IF(INDIRECT("'"&amp;$B$3&amp;"'!"&amp;ADDRESS($AD30,BX$1)),INDIRECT("'"&amp;$B$3&amp;"'!"&amp;ADDRESS($AD30,BX$1)),BX29)</f>
        <v/>
      </c>
      <c r="BY30" s="73">
        <f>IF(INDIRECT("'"&amp;$B$3&amp;"'!"&amp;ADDRESS($AD30,BY$1)),INDIRECT("'"&amp;$B$3&amp;"'!"&amp;ADDRESS($AD30,BY$1)),BY29)</f>
        <v/>
      </c>
      <c r="BZ30" s="73">
        <f>IF(INDIRECT("'"&amp;$B$3&amp;"'!"&amp;ADDRESS($AD30,BZ$1)),INDIRECT("'"&amp;$B$3&amp;"'!"&amp;ADDRESS($AD30,BZ$1)),BZ29)</f>
        <v/>
      </c>
      <c r="CD30" s="73">
        <f>IF(INDIRECT("'"&amp;$B$3&amp;"'!"&amp;ADDRESS($AD30,CD$1)),INDIRECT("'"&amp;$B$3&amp;"'!"&amp;ADDRESS($AD30,CD$1)),CD29)</f>
        <v/>
      </c>
      <c r="CE30" s="73">
        <f>IF(INDIRECT("'"&amp;$B$3&amp;"'!"&amp;ADDRESS($AD30,CE$1)),INDIRECT("'"&amp;$B$3&amp;"'!"&amp;ADDRESS($AD30,CE$1)),CE29)</f>
        <v/>
      </c>
      <c r="CF30" s="73">
        <f>IF(INDIRECT("'"&amp;$B$3&amp;"'!"&amp;ADDRESS($AD30,CF$1)),INDIRECT("'"&amp;$B$3&amp;"'!"&amp;ADDRESS($AD30,CF$1)),CF29)</f>
        <v/>
      </c>
      <c r="CG30" s="73">
        <f>IF(INDIRECT("'"&amp;$B$3&amp;"'!"&amp;ADDRESS($AD30,CG$1)),INDIRECT("'"&amp;$B$3&amp;"'!"&amp;ADDRESS($AD30,CG$1)),CG29)</f>
        <v/>
      </c>
      <c r="CH30" s="73">
        <f>IF(INDIRECT("'"&amp;$B$3&amp;"'!"&amp;ADDRESS($AD30,CH$1)),INDIRECT("'"&amp;$B$3&amp;"'!"&amp;ADDRESS($AD30,CH$1)),CH29)</f>
        <v/>
      </c>
      <c r="CI30" s="73">
        <f>IF(INDIRECT("'"&amp;$B$3&amp;"'!"&amp;ADDRESS($AD30,CI$1)),INDIRECT("'"&amp;$B$3&amp;"'!"&amp;ADDRESS($AD30,CI$1)),CI29)</f>
        <v/>
      </c>
      <c r="CJ30" s="73">
        <f>IF(INDIRECT("'"&amp;$B$3&amp;"'!"&amp;ADDRESS($AD30,CJ$1)),INDIRECT("'"&amp;$B$3&amp;"'!"&amp;ADDRESS($AD30,CJ$1)),CJ29)</f>
        <v/>
      </c>
      <c r="CK30" s="73">
        <f>IF(INDIRECT("'"&amp;$B$3&amp;"'!"&amp;ADDRESS($AD30,CK$1)),INDIRECT("'"&amp;$B$3&amp;"'!"&amp;ADDRESS($AD30,CK$1)),CK29)</f>
        <v/>
      </c>
      <c r="CL30" s="73">
        <f>IF(INDIRECT("'"&amp;$B$3&amp;"'!"&amp;ADDRESS($AD30,CL$1)),INDIRECT("'"&amp;$B$3&amp;"'!"&amp;ADDRESS($AD30,CL$1)),CL29)</f>
        <v/>
      </c>
      <c r="CM30" s="73">
        <f>IF(INDIRECT("'"&amp;$B$3&amp;"'!"&amp;ADDRESS($AD30,CM$1)),INDIRECT("'"&amp;$B$3&amp;"'!"&amp;ADDRESS($AD30,CM$1)),CM29)</f>
        <v/>
      </c>
      <c r="CN30" s="73">
        <f>IF(INDIRECT("'"&amp;$B$3&amp;"'!"&amp;ADDRESS($AD30,CN$1)),INDIRECT("'"&amp;$B$3&amp;"'!"&amp;ADDRESS($AD30,CN$1)),CN29)</f>
        <v/>
      </c>
      <c r="CO30" s="73">
        <f>IF(INDIRECT("'"&amp;$B$3&amp;"'!"&amp;ADDRESS($AD30,CO$1)),INDIRECT("'"&amp;$B$3&amp;"'!"&amp;ADDRESS($AD30,CO$1)),CO29)</f>
        <v/>
      </c>
      <c r="CP30" s="73">
        <f>IF(INDIRECT("'"&amp;$B$3&amp;"'!"&amp;ADDRESS($AD30,CP$1)),INDIRECT("'"&amp;$B$3&amp;"'!"&amp;ADDRESS($AD30,CP$1)),CP29)</f>
        <v/>
      </c>
      <c r="CQ30" s="73">
        <f>IF(INDIRECT("'"&amp;$B$3&amp;"'!"&amp;ADDRESS($AD30,CQ$1)),INDIRECT("'"&amp;$B$3&amp;"'!"&amp;ADDRESS($AD30,CQ$1)),CQ29)</f>
        <v/>
      </c>
    </row>
    <row r="31">
      <c r="AA31" s="72" t="n"/>
      <c r="AB31" s="238" t="n"/>
      <c r="AC31" s="236" t="n"/>
      <c r="AD31" t="n">
        <v>31</v>
      </c>
      <c r="AE31" s="73">
        <f>INDIRECT("'"&amp;$B$3&amp;"'!"&amp;ADDRESS($AD31,AE$1))</f>
        <v/>
      </c>
      <c r="AF31" s="73">
        <f>INDIRECT("'"&amp;$B$3&amp;"'!"&amp;ADDRESS($AD31,AF$1))</f>
        <v/>
      </c>
      <c r="AG31" s="73">
        <f>INDIRECT("'"&amp;$B$3&amp;"'!"&amp;ADDRESS($AD31,AG$1))</f>
        <v/>
      </c>
      <c r="AH31" s="73">
        <f>INDIRECT("'"&amp;$B$3&amp;"'!"&amp;ADDRESS($AD31,AH$1))</f>
        <v/>
      </c>
      <c r="AI31" s="73">
        <f>INDIRECT("'"&amp;$B$3&amp;"'!"&amp;ADDRESS($AD31,AI$1))</f>
        <v/>
      </c>
      <c r="AJ31" s="73">
        <f>INDIRECT("'"&amp;$B$3&amp;"'!"&amp;ADDRESS($AD31,AJ$1))</f>
        <v/>
      </c>
      <c r="AK31" s="73">
        <f>INDIRECT("'"&amp;$B$3&amp;"'!"&amp;ADDRESS($AD31,AK$1))</f>
        <v/>
      </c>
      <c r="AL31" s="73">
        <f>INDIRECT("'"&amp;$B$3&amp;"'!"&amp;ADDRESS($AD31,AL$1))</f>
        <v/>
      </c>
      <c r="AM31" s="73">
        <f>INDIRECT("'"&amp;$B$3&amp;"'!"&amp;ADDRESS($AD31,AM$1))</f>
        <v/>
      </c>
      <c r="AN31" s="73">
        <f>INDIRECT("'"&amp;$B$3&amp;"'!"&amp;ADDRESS($AD31,AN$1))</f>
        <v/>
      </c>
      <c r="AO31" s="73">
        <f>INDIRECT("'"&amp;$B$3&amp;"'!"&amp;ADDRESS($AD31,AO$1))</f>
        <v/>
      </c>
      <c r="AP31" s="73">
        <f>INDIRECT("'"&amp;$B$3&amp;"'!"&amp;ADDRESS($AD31,AP$1))</f>
        <v/>
      </c>
      <c r="AQ31" s="73">
        <f>INDIRECT("'"&amp;$B$3&amp;"'!"&amp;ADDRESS($AD31,AQ$1))</f>
        <v/>
      </c>
      <c r="AR31" s="73">
        <f>INDIRECT("'"&amp;$B$3&amp;"'!"&amp;ADDRESS($AD31,AR$1))</f>
        <v/>
      </c>
      <c r="AU31" s="236" t="n"/>
      <c r="AV31" s="73">
        <f>INDIRECT("'"&amp;$B$3&amp;"'!"&amp;ADDRESS($AD31,AV$1))</f>
        <v/>
      </c>
      <c r="AW31" s="73">
        <f>INDIRECT("'"&amp;$B$3&amp;"'!"&amp;ADDRESS($AD31,AW$1))</f>
        <v/>
      </c>
      <c r="AX31" s="73">
        <f>INDIRECT("'"&amp;$B$3&amp;"'!"&amp;ADDRESS($AD31,AX$1))</f>
        <v/>
      </c>
      <c r="AY31" s="73">
        <f>INDIRECT("'"&amp;$B$3&amp;"'!"&amp;ADDRESS($AD31,AY$1))</f>
        <v/>
      </c>
      <c r="AZ31" s="73">
        <f>INDIRECT("'"&amp;$B$3&amp;"'!"&amp;ADDRESS($AD31,AZ$1))</f>
        <v/>
      </c>
      <c r="BA31" s="73">
        <f>INDIRECT("'"&amp;$B$3&amp;"'!"&amp;ADDRESS($AD31,BA$1))</f>
        <v/>
      </c>
      <c r="BB31" s="73">
        <f>INDIRECT("'"&amp;$B$3&amp;"'!"&amp;ADDRESS($AD31,BB$1))</f>
        <v/>
      </c>
      <c r="BC31" s="73">
        <f>INDIRECT("'"&amp;$B$3&amp;"'!"&amp;ADDRESS($AD31,BC$1))</f>
        <v/>
      </c>
      <c r="BD31" s="73">
        <f>INDIRECT("'"&amp;$B$3&amp;"'!"&amp;ADDRESS($AD31,BD$1))</f>
        <v/>
      </c>
      <c r="BE31" s="73">
        <f>INDIRECT("'"&amp;$B$3&amp;"'!"&amp;ADDRESS($AD31,BE$1))</f>
        <v/>
      </c>
      <c r="BF31" s="73">
        <f>INDIRECT("'"&amp;$B$3&amp;"'!"&amp;ADDRESS($AD31,BF$1))</f>
        <v/>
      </c>
      <c r="BG31" s="73">
        <f>INDIRECT("'"&amp;$B$3&amp;"'!"&amp;ADDRESS($AD31,BG$1))</f>
        <v/>
      </c>
      <c r="BH31" s="73">
        <f>INDIRECT("'"&amp;$B$3&amp;"'!"&amp;ADDRESS($AD31,BH$1))</f>
        <v/>
      </c>
      <c r="BI31" s="73">
        <f>INDIRECT("'"&amp;$B$3&amp;"'!"&amp;ADDRESS($AD31,BI$1))</f>
        <v/>
      </c>
      <c r="BM31" s="73">
        <f>IF(INDIRECT("'"&amp;$B$3&amp;"'!"&amp;ADDRESS($AD31,BM$1)),INDIRECT("'"&amp;$B$3&amp;"'!"&amp;ADDRESS($AD31,BM$1)),BM30)</f>
        <v/>
      </c>
      <c r="BN31" s="73">
        <f>IF(INDIRECT("'"&amp;$B$3&amp;"'!"&amp;ADDRESS($AD31,BN$1)),INDIRECT("'"&amp;$B$3&amp;"'!"&amp;ADDRESS($AD31,BN$1)),BN30)</f>
        <v/>
      </c>
      <c r="BO31" s="73">
        <f>IF(INDIRECT("'"&amp;$B$3&amp;"'!"&amp;ADDRESS($AD31,BO$1)),INDIRECT("'"&amp;$B$3&amp;"'!"&amp;ADDRESS($AD31,BO$1)),BO30)</f>
        <v/>
      </c>
      <c r="BP31" s="73">
        <f>IF(INDIRECT("'"&amp;$B$3&amp;"'!"&amp;ADDRESS($AD31,BP$1)),INDIRECT("'"&amp;$B$3&amp;"'!"&amp;ADDRESS($AD31,BP$1)),BP30)</f>
        <v/>
      </c>
      <c r="BQ31" s="73">
        <f>IF(INDIRECT("'"&amp;$B$3&amp;"'!"&amp;ADDRESS($AD31,BQ$1)),INDIRECT("'"&amp;$B$3&amp;"'!"&amp;ADDRESS($AD31,BQ$1)),BQ30)</f>
        <v/>
      </c>
      <c r="BR31" s="73">
        <f>IF(INDIRECT("'"&amp;$B$3&amp;"'!"&amp;ADDRESS($AD31,BR$1)),INDIRECT("'"&amp;$B$3&amp;"'!"&amp;ADDRESS($AD31,BR$1)),BR30)</f>
        <v/>
      </c>
      <c r="BS31" s="73">
        <f>IF(INDIRECT("'"&amp;$B$3&amp;"'!"&amp;ADDRESS($AD31,BS$1)),INDIRECT("'"&amp;$B$3&amp;"'!"&amp;ADDRESS($AD31,BS$1)),BS30)</f>
        <v/>
      </c>
      <c r="BT31" s="73">
        <f>IF(INDIRECT("'"&amp;$B$3&amp;"'!"&amp;ADDRESS($AD31,BT$1)),INDIRECT("'"&amp;$B$3&amp;"'!"&amp;ADDRESS($AD31,BT$1)),BT30)</f>
        <v/>
      </c>
      <c r="BU31" s="73">
        <f>IF(INDIRECT("'"&amp;$B$3&amp;"'!"&amp;ADDRESS($AD31,BU$1)),INDIRECT("'"&amp;$B$3&amp;"'!"&amp;ADDRESS($AD31,BU$1)),BU30)</f>
        <v/>
      </c>
      <c r="BV31" s="73">
        <f>IF(INDIRECT("'"&amp;$B$3&amp;"'!"&amp;ADDRESS($AD31,BV$1)),INDIRECT("'"&amp;$B$3&amp;"'!"&amp;ADDRESS($AD31,BV$1)),BV30)</f>
        <v/>
      </c>
      <c r="BW31" s="73">
        <f>IF(INDIRECT("'"&amp;$B$3&amp;"'!"&amp;ADDRESS($AD31,BW$1)),INDIRECT("'"&amp;$B$3&amp;"'!"&amp;ADDRESS($AD31,BW$1)),BW30)</f>
        <v/>
      </c>
      <c r="BX31" s="73">
        <f>IF(INDIRECT("'"&amp;$B$3&amp;"'!"&amp;ADDRESS($AD31,BX$1)),INDIRECT("'"&amp;$B$3&amp;"'!"&amp;ADDRESS($AD31,BX$1)),BX30)</f>
        <v/>
      </c>
      <c r="BY31" s="73">
        <f>IF(INDIRECT("'"&amp;$B$3&amp;"'!"&amp;ADDRESS($AD31,BY$1)),INDIRECT("'"&amp;$B$3&amp;"'!"&amp;ADDRESS($AD31,BY$1)),BY30)</f>
        <v/>
      </c>
      <c r="BZ31" s="73">
        <f>IF(INDIRECT("'"&amp;$B$3&amp;"'!"&amp;ADDRESS($AD31,BZ$1)),INDIRECT("'"&amp;$B$3&amp;"'!"&amp;ADDRESS($AD31,BZ$1)),BZ30)</f>
        <v/>
      </c>
      <c r="CD31" s="73">
        <f>IF(INDIRECT("'"&amp;$B$3&amp;"'!"&amp;ADDRESS($AD31,CD$1)),INDIRECT("'"&amp;$B$3&amp;"'!"&amp;ADDRESS($AD31,CD$1)),CD30)</f>
        <v/>
      </c>
      <c r="CE31" s="73">
        <f>IF(INDIRECT("'"&amp;$B$3&amp;"'!"&amp;ADDRESS($AD31,CE$1)),INDIRECT("'"&amp;$B$3&amp;"'!"&amp;ADDRESS($AD31,CE$1)),CE30)</f>
        <v/>
      </c>
      <c r="CF31" s="73">
        <f>IF(INDIRECT("'"&amp;$B$3&amp;"'!"&amp;ADDRESS($AD31,CF$1)),INDIRECT("'"&amp;$B$3&amp;"'!"&amp;ADDRESS($AD31,CF$1)),CF30)</f>
        <v/>
      </c>
      <c r="CG31" s="73">
        <f>IF(INDIRECT("'"&amp;$B$3&amp;"'!"&amp;ADDRESS($AD31,CG$1)),INDIRECT("'"&amp;$B$3&amp;"'!"&amp;ADDRESS($AD31,CG$1)),CG30)</f>
        <v/>
      </c>
      <c r="CH31" s="73">
        <f>IF(INDIRECT("'"&amp;$B$3&amp;"'!"&amp;ADDRESS($AD31,CH$1)),INDIRECT("'"&amp;$B$3&amp;"'!"&amp;ADDRESS($AD31,CH$1)),CH30)</f>
        <v/>
      </c>
      <c r="CI31" s="73">
        <f>IF(INDIRECT("'"&amp;$B$3&amp;"'!"&amp;ADDRESS($AD31,CI$1)),INDIRECT("'"&amp;$B$3&amp;"'!"&amp;ADDRESS($AD31,CI$1)),CI30)</f>
        <v/>
      </c>
      <c r="CJ31" s="73">
        <f>IF(INDIRECT("'"&amp;$B$3&amp;"'!"&amp;ADDRESS($AD31,CJ$1)),INDIRECT("'"&amp;$B$3&amp;"'!"&amp;ADDRESS($AD31,CJ$1)),CJ30)</f>
        <v/>
      </c>
      <c r="CK31" s="73">
        <f>IF(INDIRECT("'"&amp;$B$3&amp;"'!"&amp;ADDRESS($AD31,CK$1)),INDIRECT("'"&amp;$B$3&amp;"'!"&amp;ADDRESS($AD31,CK$1)),CK30)</f>
        <v/>
      </c>
      <c r="CL31" s="73">
        <f>IF(INDIRECT("'"&amp;$B$3&amp;"'!"&amp;ADDRESS($AD31,CL$1)),INDIRECT("'"&amp;$B$3&amp;"'!"&amp;ADDRESS($AD31,CL$1)),CL30)</f>
        <v/>
      </c>
      <c r="CM31" s="73">
        <f>IF(INDIRECT("'"&amp;$B$3&amp;"'!"&amp;ADDRESS($AD31,CM$1)),INDIRECT("'"&amp;$B$3&amp;"'!"&amp;ADDRESS($AD31,CM$1)),CM30)</f>
        <v/>
      </c>
      <c r="CN31" s="73">
        <f>IF(INDIRECT("'"&amp;$B$3&amp;"'!"&amp;ADDRESS($AD31,CN$1)),INDIRECT("'"&amp;$B$3&amp;"'!"&amp;ADDRESS($AD31,CN$1)),CN30)</f>
        <v/>
      </c>
      <c r="CO31" s="73">
        <f>IF(INDIRECT("'"&amp;$B$3&amp;"'!"&amp;ADDRESS($AD31,CO$1)),INDIRECT("'"&amp;$B$3&amp;"'!"&amp;ADDRESS($AD31,CO$1)),CO30)</f>
        <v/>
      </c>
      <c r="CP31" s="73">
        <f>IF(INDIRECT("'"&amp;$B$3&amp;"'!"&amp;ADDRESS($AD31,CP$1)),INDIRECT("'"&amp;$B$3&amp;"'!"&amp;ADDRESS($AD31,CP$1)),CP30)</f>
        <v/>
      </c>
      <c r="CQ31" s="73">
        <f>IF(INDIRECT("'"&amp;$B$3&amp;"'!"&amp;ADDRESS($AD31,CQ$1)),INDIRECT("'"&amp;$B$3&amp;"'!"&amp;ADDRESS($AD31,CQ$1)),CQ30)</f>
        <v/>
      </c>
    </row>
    <row r="32">
      <c r="AA32" s="72" t="n"/>
      <c r="AB32" s="238" t="n"/>
      <c r="AC32" s="236" t="n"/>
      <c r="AD32" t="n">
        <v>32</v>
      </c>
      <c r="AE32" s="73">
        <f>INDIRECT("'"&amp;$B$3&amp;"'!"&amp;ADDRESS($AD32,AE$1))</f>
        <v/>
      </c>
      <c r="AF32" s="73">
        <f>INDIRECT("'"&amp;$B$3&amp;"'!"&amp;ADDRESS($AD32,AF$1))</f>
        <v/>
      </c>
      <c r="AG32" s="73">
        <f>INDIRECT("'"&amp;$B$3&amp;"'!"&amp;ADDRESS($AD32,AG$1))</f>
        <v/>
      </c>
      <c r="AH32" s="73">
        <f>INDIRECT("'"&amp;$B$3&amp;"'!"&amp;ADDRESS($AD32,AH$1))</f>
        <v/>
      </c>
      <c r="AI32" s="73">
        <f>INDIRECT("'"&amp;$B$3&amp;"'!"&amp;ADDRESS($AD32,AI$1))</f>
        <v/>
      </c>
      <c r="AJ32" s="73">
        <f>INDIRECT("'"&amp;$B$3&amp;"'!"&amp;ADDRESS($AD32,AJ$1))</f>
        <v/>
      </c>
      <c r="AK32" s="73">
        <f>INDIRECT("'"&amp;$B$3&amp;"'!"&amp;ADDRESS($AD32,AK$1))</f>
        <v/>
      </c>
      <c r="AL32" s="73">
        <f>INDIRECT("'"&amp;$B$3&amp;"'!"&amp;ADDRESS($AD32,AL$1))</f>
        <v/>
      </c>
      <c r="AM32" s="73">
        <f>INDIRECT("'"&amp;$B$3&amp;"'!"&amp;ADDRESS($AD32,AM$1))</f>
        <v/>
      </c>
      <c r="AN32" s="73">
        <f>INDIRECT("'"&amp;$B$3&amp;"'!"&amp;ADDRESS($AD32,AN$1))</f>
        <v/>
      </c>
      <c r="AO32" s="73">
        <f>INDIRECT("'"&amp;$B$3&amp;"'!"&amp;ADDRESS($AD32,AO$1))</f>
        <v/>
      </c>
      <c r="AP32" s="73">
        <f>INDIRECT("'"&amp;$B$3&amp;"'!"&amp;ADDRESS($AD32,AP$1))</f>
        <v/>
      </c>
      <c r="AQ32" s="73">
        <f>INDIRECT("'"&amp;$B$3&amp;"'!"&amp;ADDRESS($AD32,AQ$1))</f>
        <v/>
      </c>
      <c r="AR32" s="73">
        <f>INDIRECT("'"&amp;$B$3&amp;"'!"&amp;ADDRESS($AD32,AR$1))</f>
        <v/>
      </c>
      <c r="AU32" s="236" t="n"/>
      <c r="AV32" s="73">
        <f>INDIRECT("'"&amp;$B$3&amp;"'!"&amp;ADDRESS($AD32,AV$1))</f>
        <v/>
      </c>
      <c r="AW32" s="73">
        <f>INDIRECT("'"&amp;$B$3&amp;"'!"&amp;ADDRESS($AD32,AW$1))</f>
        <v/>
      </c>
      <c r="AX32" s="73">
        <f>INDIRECT("'"&amp;$B$3&amp;"'!"&amp;ADDRESS($AD32,AX$1))</f>
        <v/>
      </c>
      <c r="AY32" s="73">
        <f>INDIRECT("'"&amp;$B$3&amp;"'!"&amp;ADDRESS($AD32,AY$1))</f>
        <v/>
      </c>
      <c r="AZ32" s="73">
        <f>INDIRECT("'"&amp;$B$3&amp;"'!"&amp;ADDRESS($AD32,AZ$1))</f>
        <v/>
      </c>
      <c r="BA32" s="73">
        <f>INDIRECT("'"&amp;$B$3&amp;"'!"&amp;ADDRESS($AD32,BA$1))</f>
        <v/>
      </c>
      <c r="BB32" s="73">
        <f>INDIRECT("'"&amp;$B$3&amp;"'!"&amp;ADDRESS($AD32,BB$1))</f>
        <v/>
      </c>
      <c r="BC32" s="73">
        <f>INDIRECT("'"&amp;$B$3&amp;"'!"&amp;ADDRESS($AD32,BC$1))</f>
        <v/>
      </c>
      <c r="BD32" s="73">
        <f>INDIRECT("'"&amp;$B$3&amp;"'!"&amp;ADDRESS($AD32,BD$1))</f>
        <v/>
      </c>
      <c r="BE32" s="73">
        <f>INDIRECT("'"&amp;$B$3&amp;"'!"&amp;ADDRESS($AD32,BE$1))</f>
        <v/>
      </c>
      <c r="BF32" s="73">
        <f>INDIRECT("'"&amp;$B$3&amp;"'!"&amp;ADDRESS($AD32,BF$1))</f>
        <v/>
      </c>
      <c r="BG32" s="73">
        <f>INDIRECT("'"&amp;$B$3&amp;"'!"&amp;ADDRESS($AD32,BG$1))</f>
        <v/>
      </c>
      <c r="BH32" s="73">
        <f>INDIRECT("'"&amp;$B$3&amp;"'!"&amp;ADDRESS($AD32,BH$1))</f>
        <v/>
      </c>
      <c r="BI32" s="73">
        <f>INDIRECT("'"&amp;$B$3&amp;"'!"&amp;ADDRESS($AD32,BI$1))</f>
        <v/>
      </c>
      <c r="BM32" s="73">
        <f>IF(INDIRECT("'"&amp;$B$3&amp;"'!"&amp;ADDRESS($AD32,BM$1)),INDIRECT("'"&amp;$B$3&amp;"'!"&amp;ADDRESS($AD32,BM$1)),BM31)</f>
        <v/>
      </c>
      <c r="BN32" s="73">
        <f>IF(INDIRECT("'"&amp;$B$3&amp;"'!"&amp;ADDRESS($AD32,BN$1)),INDIRECT("'"&amp;$B$3&amp;"'!"&amp;ADDRESS($AD32,BN$1)),BN31)</f>
        <v/>
      </c>
      <c r="BO32" s="73">
        <f>IF(INDIRECT("'"&amp;$B$3&amp;"'!"&amp;ADDRESS($AD32,BO$1)),INDIRECT("'"&amp;$B$3&amp;"'!"&amp;ADDRESS($AD32,BO$1)),BO31)</f>
        <v/>
      </c>
      <c r="BP32" s="73">
        <f>IF(INDIRECT("'"&amp;$B$3&amp;"'!"&amp;ADDRESS($AD32,BP$1)),INDIRECT("'"&amp;$B$3&amp;"'!"&amp;ADDRESS($AD32,BP$1)),BP31)</f>
        <v/>
      </c>
      <c r="BQ32" s="73">
        <f>IF(INDIRECT("'"&amp;$B$3&amp;"'!"&amp;ADDRESS($AD32,BQ$1)),INDIRECT("'"&amp;$B$3&amp;"'!"&amp;ADDRESS($AD32,BQ$1)),BQ31)</f>
        <v/>
      </c>
      <c r="BR32" s="73">
        <f>IF(INDIRECT("'"&amp;$B$3&amp;"'!"&amp;ADDRESS($AD32,BR$1)),INDIRECT("'"&amp;$B$3&amp;"'!"&amp;ADDRESS($AD32,BR$1)),BR31)</f>
        <v/>
      </c>
      <c r="BS32" s="73">
        <f>IF(INDIRECT("'"&amp;$B$3&amp;"'!"&amp;ADDRESS($AD32,BS$1)),INDIRECT("'"&amp;$B$3&amp;"'!"&amp;ADDRESS($AD32,BS$1)),BS31)</f>
        <v/>
      </c>
      <c r="BT32" s="73">
        <f>IF(INDIRECT("'"&amp;$B$3&amp;"'!"&amp;ADDRESS($AD32,BT$1)),INDIRECT("'"&amp;$B$3&amp;"'!"&amp;ADDRESS($AD32,BT$1)),BT31)</f>
        <v/>
      </c>
      <c r="BU32" s="73">
        <f>IF(INDIRECT("'"&amp;$B$3&amp;"'!"&amp;ADDRESS($AD32,BU$1)),INDIRECT("'"&amp;$B$3&amp;"'!"&amp;ADDRESS($AD32,BU$1)),BU31)</f>
        <v/>
      </c>
      <c r="BV32" s="73">
        <f>IF(INDIRECT("'"&amp;$B$3&amp;"'!"&amp;ADDRESS($AD32,BV$1)),INDIRECT("'"&amp;$B$3&amp;"'!"&amp;ADDRESS($AD32,BV$1)),BV31)</f>
        <v/>
      </c>
      <c r="BW32" s="73">
        <f>IF(INDIRECT("'"&amp;$B$3&amp;"'!"&amp;ADDRESS($AD32,BW$1)),INDIRECT("'"&amp;$B$3&amp;"'!"&amp;ADDRESS($AD32,BW$1)),BW31)</f>
        <v/>
      </c>
      <c r="BX32" s="73">
        <f>IF(INDIRECT("'"&amp;$B$3&amp;"'!"&amp;ADDRESS($AD32,BX$1)),INDIRECT("'"&amp;$B$3&amp;"'!"&amp;ADDRESS($AD32,BX$1)),BX31)</f>
        <v/>
      </c>
      <c r="BY32" s="73">
        <f>IF(INDIRECT("'"&amp;$B$3&amp;"'!"&amp;ADDRESS($AD32,BY$1)),INDIRECT("'"&amp;$B$3&amp;"'!"&amp;ADDRESS($AD32,BY$1)),BY31)</f>
        <v/>
      </c>
      <c r="BZ32" s="73">
        <f>IF(INDIRECT("'"&amp;$B$3&amp;"'!"&amp;ADDRESS($AD32,BZ$1)),INDIRECT("'"&amp;$B$3&amp;"'!"&amp;ADDRESS($AD32,BZ$1)),BZ31)</f>
        <v/>
      </c>
      <c r="CD32" s="73">
        <f>IF(INDIRECT("'"&amp;$B$3&amp;"'!"&amp;ADDRESS($AD32,CD$1)),INDIRECT("'"&amp;$B$3&amp;"'!"&amp;ADDRESS($AD32,CD$1)),CD31)</f>
        <v/>
      </c>
      <c r="CE32" s="73">
        <f>IF(INDIRECT("'"&amp;$B$3&amp;"'!"&amp;ADDRESS($AD32,CE$1)),INDIRECT("'"&amp;$B$3&amp;"'!"&amp;ADDRESS($AD32,CE$1)),CE31)</f>
        <v/>
      </c>
      <c r="CF32" s="73">
        <f>IF(INDIRECT("'"&amp;$B$3&amp;"'!"&amp;ADDRESS($AD32,CF$1)),INDIRECT("'"&amp;$B$3&amp;"'!"&amp;ADDRESS($AD32,CF$1)),CF31)</f>
        <v/>
      </c>
      <c r="CG32" s="73">
        <f>IF(INDIRECT("'"&amp;$B$3&amp;"'!"&amp;ADDRESS($AD32,CG$1)),INDIRECT("'"&amp;$B$3&amp;"'!"&amp;ADDRESS($AD32,CG$1)),CG31)</f>
        <v/>
      </c>
      <c r="CH32" s="73">
        <f>IF(INDIRECT("'"&amp;$B$3&amp;"'!"&amp;ADDRESS($AD32,CH$1)),INDIRECT("'"&amp;$B$3&amp;"'!"&amp;ADDRESS($AD32,CH$1)),CH31)</f>
        <v/>
      </c>
      <c r="CI32" s="73">
        <f>IF(INDIRECT("'"&amp;$B$3&amp;"'!"&amp;ADDRESS($AD32,CI$1)),INDIRECT("'"&amp;$B$3&amp;"'!"&amp;ADDRESS($AD32,CI$1)),CI31)</f>
        <v/>
      </c>
      <c r="CJ32" s="73">
        <f>IF(INDIRECT("'"&amp;$B$3&amp;"'!"&amp;ADDRESS($AD32,CJ$1)),INDIRECT("'"&amp;$B$3&amp;"'!"&amp;ADDRESS($AD32,CJ$1)),CJ31)</f>
        <v/>
      </c>
      <c r="CK32" s="73">
        <f>IF(INDIRECT("'"&amp;$B$3&amp;"'!"&amp;ADDRESS($AD32,CK$1)),INDIRECT("'"&amp;$B$3&amp;"'!"&amp;ADDRESS($AD32,CK$1)),CK31)</f>
        <v/>
      </c>
      <c r="CL32" s="73">
        <f>IF(INDIRECT("'"&amp;$B$3&amp;"'!"&amp;ADDRESS($AD32,CL$1)),INDIRECT("'"&amp;$B$3&amp;"'!"&amp;ADDRESS($AD32,CL$1)),CL31)</f>
        <v/>
      </c>
      <c r="CM32" s="73">
        <f>IF(INDIRECT("'"&amp;$B$3&amp;"'!"&amp;ADDRESS($AD32,CM$1)),INDIRECT("'"&amp;$B$3&amp;"'!"&amp;ADDRESS($AD32,CM$1)),CM31)</f>
        <v/>
      </c>
      <c r="CN32" s="73">
        <f>IF(INDIRECT("'"&amp;$B$3&amp;"'!"&amp;ADDRESS($AD32,CN$1)),INDIRECT("'"&amp;$B$3&amp;"'!"&amp;ADDRESS($AD32,CN$1)),CN31)</f>
        <v/>
      </c>
      <c r="CO32" s="73">
        <f>IF(INDIRECT("'"&amp;$B$3&amp;"'!"&amp;ADDRESS($AD32,CO$1)),INDIRECT("'"&amp;$B$3&amp;"'!"&amp;ADDRESS($AD32,CO$1)),CO31)</f>
        <v/>
      </c>
      <c r="CP32" s="73">
        <f>IF(INDIRECT("'"&amp;$B$3&amp;"'!"&amp;ADDRESS($AD32,CP$1)),INDIRECT("'"&amp;$B$3&amp;"'!"&amp;ADDRESS($AD32,CP$1)),CP31)</f>
        <v/>
      </c>
      <c r="CQ32" s="73">
        <f>IF(INDIRECT("'"&amp;$B$3&amp;"'!"&amp;ADDRESS($AD32,CQ$1)),INDIRECT("'"&amp;$B$3&amp;"'!"&amp;ADDRESS($AD32,CQ$1)),CQ31)</f>
        <v/>
      </c>
    </row>
    <row r="33">
      <c r="AA33" s="72" t="n"/>
      <c r="AB33" s="238" t="n"/>
      <c r="AC33" s="236" t="n"/>
      <c r="AD33" t="n">
        <v>33</v>
      </c>
      <c r="AE33" s="73">
        <f>INDIRECT("'"&amp;$B$3&amp;"'!"&amp;ADDRESS($AD33,AE$1))</f>
        <v/>
      </c>
      <c r="AF33" s="73">
        <f>INDIRECT("'"&amp;$B$3&amp;"'!"&amp;ADDRESS($AD33,AF$1))</f>
        <v/>
      </c>
      <c r="AG33" s="73">
        <f>INDIRECT("'"&amp;$B$3&amp;"'!"&amp;ADDRESS($AD33,AG$1))</f>
        <v/>
      </c>
      <c r="AH33" s="73">
        <f>INDIRECT("'"&amp;$B$3&amp;"'!"&amp;ADDRESS($AD33,AH$1))</f>
        <v/>
      </c>
      <c r="AI33" s="73">
        <f>INDIRECT("'"&amp;$B$3&amp;"'!"&amp;ADDRESS($AD33,AI$1))</f>
        <v/>
      </c>
      <c r="AJ33" s="73">
        <f>INDIRECT("'"&amp;$B$3&amp;"'!"&amp;ADDRESS($AD33,AJ$1))</f>
        <v/>
      </c>
      <c r="AK33" s="73">
        <f>INDIRECT("'"&amp;$B$3&amp;"'!"&amp;ADDRESS($AD33,AK$1))</f>
        <v/>
      </c>
      <c r="AL33" s="73">
        <f>INDIRECT("'"&amp;$B$3&amp;"'!"&amp;ADDRESS($AD33,AL$1))</f>
        <v/>
      </c>
      <c r="AM33" s="73">
        <f>INDIRECT("'"&amp;$B$3&amp;"'!"&amp;ADDRESS($AD33,AM$1))</f>
        <v/>
      </c>
      <c r="AN33" s="73">
        <f>INDIRECT("'"&amp;$B$3&amp;"'!"&amp;ADDRESS($AD33,AN$1))</f>
        <v/>
      </c>
      <c r="AO33" s="73">
        <f>INDIRECT("'"&amp;$B$3&amp;"'!"&amp;ADDRESS($AD33,AO$1))</f>
        <v/>
      </c>
      <c r="AP33" s="73">
        <f>INDIRECT("'"&amp;$B$3&amp;"'!"&amp;ADDRESS($AD33,AP$1))</f>
        <v/>
      </c>
      <c r="AQ33" s="73">
        <f>INDIRECT("'"&amp;$B$3&amp;"'!"&amp;ADDRESS($AD33,AQ$1))</f>
        <v/>
      </c>
      <c r="AR33" s="73">
        <f>INDIRECT("'"&amp;$B$3&amp;"'!"&amp;ADDRESS($AD33,AR$1))</f>
        <v/>
      </c>
      <c r="AU33" s="236" t="n"/>
      <c r="AV33" s="73">
        <f>INDIRECT("'"&amp;$B$3&amp;"'!"&amp;ADDRESS($AD33,AV$1))</f>
        <v/>
      </c>
      <c r="AW33" s="73">
        <f>INDIRECT("'"&amp;$B$3&amp;"'!"&amp;ADDRESS($AD33,AW$1))</f>
        <v/>
      </c>
      <c r="AX33" s="73">
        <f>INDIRECT("'"&amp;$B$3&amp;"'!"&amp;ADDRESS($AD33,AX$1))</f>
        <v/>
      </c>
      <c r="AY33" s="73">
        <f>INDIRECT("'"&amp;$B$3&amp;"'!"&amp;ADDRESS($AD33,AY$1))</f>
        <v/>
      </c>
      <c r="AZ33" s="73">
        <f>INDIRECT("'"&amp;$B$3&amp;"'!"&amp;ADDRESS($AD33,AZ$1))</f>
        <v/>
      </c>
      <c r="BA33" s="73">
        <f>INDIRECT("'"&amp;$B$3&amp;"'!"&amp;ADDRESS($AD33,BA$1))</f>
        <v/>
      </c>
      <c r="BB33" s="73">
        <f>INDIRECT("'"&amp;$B$3&amp;"'!"&amp;ADDRESS($AD33,BB$1))</f>
        <v/>
      </c>
      <c r="BC33" s="73">
        <f>INDIRECT("'"&amp;$B$3&amp;"'!"&amp;ADDRESS($AD33,BC$1))</f>
        <v/>
      </c>
      <c r="BD33" s="73">
        <f>INDIRECT("'"&amp;$B$3&amp;"'!"&amp;ADDRESS($AD33,BD$1))</f>
        <v/>
      </c>
      <c r="BE33" s="73">
        <f>INDIRECT("'"&amp;$B$3&amp;"'!"&amp;ADDRESS($AD33,BE$1))</f>
        <v/>
      </c>
      <c r="BF33" s="73">
        <f>INDIRECT("'"&amp;$B$3&amp;"'!"&amp;ADDRESS($AD33,BF$1))</f>
        <v/>
      </c>
      <c r="BG33" s="73">
        <f>INDIRECT("'"&amp;$B$3&amp;"'!"&amp;ADDRESS($AD33,BG$1))</f>
        <v/>
      </c>
      <c r="BH33" s="73">
        <f>INDIRECT("'"&amp;$B$3&amp;"'!"&amp;ADDRESS($AD33,BH$1))</f>
        <v/>
      </c>
      <c r="BI33" s="73">
        <f>INDIRECT("'"&amp;$B$3&amp;"'!"&amp;ADDRESS($AD33,BI$1))</f>
        <v/>
      </c>
      <c r="BM33" s="73">
        <f>IF(INDIRECT("'"&amp;$B$3&amp;"'!"&amp;ADDRESS($AD33,BM$1)),INDIRECT("'"&amp;$B$3&amp;"'!"&amp;ADDRESS($AD33,BM$1)),BM32)</f>
        <v/>
      </c>
      <c r="BN33" s="73">
        <f>IF(INDIRECT("'"&amp;$B$3&amp;"'!"&amp;ADDRESS($AD33,BN$1)),INDIRECT("'"&amp;$B$3&amp;"'!"&amp;ADDRESS($AD33,BN$1)),BN32)</f>
        <v/>
      </c>
      <c r="BO33" s="73">
        <f>IF(INDIRECT("'"&amp;$B$3&amp;"'!"&amp;ADDRESS($AD33,BO$1)),INDIRECT("'"&amp;$B$3&amp;"'!"&amp;ADDRESS($AD33,BO$1)),BO32)</f>
        <v/>
      </c>
      <c r="BP33" s="73">
        <f>IF(INDIRECT("'"&amp;$B$3&amp;"'!"&amp;ADDRESS($AD33,BP$1)),INDIRECT("'"&amp;$B$3&amp;"'!"&amp;ADDRESS($AD33,BP$1)),BP32)</f>
        <v/>
      </c>
      <c r="BQ33" s="73">
        <f>IF(INDIRECT("'"&amp;$B$3&amp;"'!"&amp;ADDRESS($AD33,BQ$1)),INDIRECT("'"&amp;$B$3&amp;"'!"&amp;ADDRESS($AD33,BQ$1)),BQ32)</f>
        <v/>
      </c>
      <c r="BR33" s="73">
        <f>IF(INDIRECT("'"&amp;$B$3&amp;"'!"&amp;ADDRESS($AD33,BR$1)),INDIRECT("'"&amp;$B$3&amp;"'!"&amp;ADDRESS($AD33,BR$1)),BR32)</f>
        <v/>
      </c>
      <c r="BS33" s="73">
        <f>IF(INDIRECT("'"&amp;$B$3&amp;"'!"&amp;ADDRESS($AD33,BS$1)),INDIRECT("'"&amp;$B$3&amp;"'!"&amp;ADDRESS($AD33,BS$1)),BS32)</f>
        <v/>
      </c>
      <c r="BT33" s="73">
        <f>IF(INDIRECT("'"&amp;$B$3&amp;"'!"&amp;ADDRESS($AD33,BT$1)),INDIRECT("'"&amp;$B$3&amp;"'!"&amp;ADDRESS($AD33,BT$1)),BT32)</f>
        <v/>
      </c>
      <c r="BU33" s="73">
        <f>IF(INDIRECT("'"&amp;$B$3&amp;"'!"&amp;ADDRESS($AD33,BU$1)),INDIRECT("'"&amp;$B$3&amp;"'!"&amp;ADDRESS($AD33,BU$1)),BU32)</f>
        <v/>
      </c>
      <c r="BV33" s="73">
        <f>IF(INDIRECT("'"&amp;$B$3&amp;"'!"&amp;ADDRESS($AD33,BV$1)),INDIRECT("'"&amp;$B$3&amp;"'!"&amp;ADDRESS($AD33,BV$1)),BV32)</f>
        <v/>
      </c>
      <c r="BW33" s="73">
        <f>IF(INDIRECT("'"&amp;$B$3&amp;"'!"&amp;ADDRESS($AD33,BW$1)),INDIRECT("'"&amp;$B$3&amp;"'!"&amp;ADDRESS($AD33,BW$1)),BW32)</f>
        <v/>
      </c>
      <c r="BX33" s="73">
        <f>IF(INDIRECT("'"&amp;$B$3&amp;"'!"&amp;ADDRESS($AD33,BX$1)),INDIRECT("'"&amp;$B$3&amp;"'!"&amp;ADDRESS($AD33,BX$1)),BX32)</f>
        <v/>
      </c>
      <c r="BY33" s="73">
        <f>IF(INDIRECT("'"&amp;$B$3&amp;"'!"&amp;ADDRESS($AD33,BY$1)),INDIRECT("'"&amp;$B$3&amp;"'!"&amp;ADDRESS($AD33,BY$1)),BY32)</f>
        <v/>
      </c>
      <c r="BZ33" s="73">
        <f>IF(INDIRECT("'"&amp;$B$3&amp;"'!"&amp;ADDRESS($AD33,BZ$1)),INDIRECT("'"&amp;$B$3&amp;"'!"&amp;ADDRESS($AD33,BZ$1)),BZ32)</f>
        <v/>
      </c>
      <c r="CD33" s="73">
        <f>IF(INDIRECT("'"&amp;$B$3&amp;"'!"&amp;ADDRESS($AD33,CD$1)),INDIRECT("'"&amp;$B$3&amp;"'!"&amp;ADDRESS($AD33,CD$1)),CD32)</f>
        <v/>
      </c>
      <c r="CE33" s="73">
        <f>IF(INDIRECT("'"&amp;$B$3&amp;"'!"&amp;ADDRESS($AD33,CE$1)),INDIRECT("'"&amp;$B$3&amp;"'!"&amp;ADDRESS($AD33,CE$1)),CE32)</f>
        <v/>
      </c>
      <c r="CF33" s="73">
        <f>IF(INDIRECT("'"&amp;$B$3&amp;"'!"&amp;ADDRESS($AD33,CF$1)),INDIRECT("'"&amp;$B$3&amp;"'!"&amp;ADDRESS($AD33,CF$1)),CF32)</f>
        <v/>
      </c>
      <c r="CG33" s="73">
        <f>IF(INDIRECT("'"&amp;$B$3&amp;"'!"&amp;ADDRESS($AD33,CG$1)),INDIRECT("'"&amp;$B$3&amp;"'!"&amp;ADDRESS($AD33,CG$1)),CG32)</f>
        <v/>
      </c>
      <c r="CH33" s="73">
        <f>IF(INDIRECT("'"&amp;$B$3&amp;"'!"&amp;ADDRESS($AD33,CH$1)),INDIRECT("'"&amp;$B$3&amp;"'!"&amp;ADDRESS($AD33,CH$1)),CH32)</f>
        <v/>
      </c>
      <c r="CI33" s="73">
        <f>IF(INDIRECT("'"&amp;$B$3&amp;"'!"&amp;ADDRESS($AD33,CI$1)),INDIRECT("'"&amp;$B$3&amp;"'!"&amp;ADDRESS($AD33,CI$1)),CI32)</f>
        <v/>
      </c>
      <c r="CJ33" s="73">
        <f>IF(INDIRECT("'"&amp;$B$3&amp;"'!"&amp;ADDRESS($AD33,CJ$1)),INDIRECT("'"&amp;$B$3&amp;"'!"&amp;ADDRESS($AD33,CJ$1)),CJ32)</f>
        <v/>
      </c>
      <c r="CK33" s="73">
        <f>IF(INDIRECT("'"&amp;$B$3&amp;"'!"&amp;ADDRESS($AD33,CK$1)),INDIRECT("'"&amp;$B$3&amp;"'!"&amp;ADDRESS($AD33,CK$1)),CK32)</f>
        <v/>
      </c>
      <c r="CL33" s="73">
        <f>IF(INDIRECT("'"&amp;$B$3&amp;"'!"&amp;ADDRESS($AD33,CL$1)),INDIRECT("'"&amp;$B$3&amp;"'!"&amp;ADDRESS($AD33,CL$1)),CL32)</f>
        <v/>
      </c>
      <c r="CM33" s="73">
        <f>IF(INDIRECT("'"&amp;$B$3&amp;"'!"&amp;ADDRESS($AD33,CM$1)),INDIRECT("'"&amp;$B$3&amp;"'!"&amp;ADDRESS($AD33,CM$1)),CM32)</f>
        <v/>
      </c>
      <c r="CN33" s="73">
        <f>IF(INDIRECT("'"&amp;$B$3&amp;"'!"&amp;ADDRESS($AD33,CN$1)),INDIRECT("'"&amp;$B$3&amp;"'!"&amp;ADDRESS($AD33,CN$1)),CN32)</f>
        <v/>
      </c>
      <c r="CO33" s="73">
        <f>IF(INDIRECT("'"&amp;$B$3&amp;"'!"&amp;ADDRESS($AD33,CO$1)),INDIRECT("'"&amp;$B$3&amp;"'!"&amp;ADDRESS($AD33,CO$1)),CO32)</f>
        <v/>
      </c>
      <c r="CP33" s="73">
        <f>IF(INDIRECT("'"&amp;$B$3&amp;"'!"&amp;ADDRESS($AD33,CP$1)),INDIRECT("'"&amp;$B$3&amp;"'!"&amp;ADDRESS($AD33,CP$1)),CP32)</f>
        <v/>
      </c>
      <c r="CQ33" s="73">
        <f>IF(INDIRECT("'"&amp;$B$3&amp;"'!"&amp;ADDRESS($AD33,CQ$1)),INDIRECT("'"&amp;$B$3&amp;"'!"&amp;ADDRESS($AD33,CQ$1)),CQ32)</f>
        <v/>
      </c>
    </row>
    <row r="34">
      <c r="AA34" s="72" t="n"/>
      <c r="AB34" s="239" t="n"/>
      <c r="AC34" s="236" t="n"/>
      <c r="AD34" t="n">
        <v>34</v>
      </c>
      <c r="AE34" s="73">
        <f>INDIRECT("'"&amp;$B$3&amp;"'!"&amp;ADDRESS($AD34,AE$1))</f>
        <v/>
      </c>
      <c r="AF34" s="73">
        <f>INDIRECT("'"&amp;$B$3&amp;"'!"&amp;ADDRESS($AD34,AF$1))</f>
        <v/>
      </c>
      <c r="AG34" s="73">
        <f>INDIRECT("'"&amp;$B$3&amp;"'!"&amp;ADDRESS($AD34,AG$1))</f>
        <v/>
      </c>
      <c r="AH34" s="73">
        <f>INDIRECT("'"&amp;$B$3&amp;"'!"&amp;ADDRESS($AD34,AH$1))</f>
        <v/>
      </c>
      <c r="AI34" s="73">
        <f>INDIRECT("'"&amp;$B$3&amp;"'!"&amp;ADDRESS($AD34,AI$1))</f>
        <v/>
      </c>
      <c r="AJ34" s="73">
        <f>INDIRECT("'"&amp;$B$3&amp;"'!"&amp;ADDRESS($AD34,AJ$1))</f>
        <v/>
      </c>
      <c r="AK34" s="73">
        <f>INDIRECT("'"&amp;$B$3&amp;"'!"&amp;ADDRESS($AD34,AK$1))</f>
        <v/>
      </c>
      <c r="AL34" s="73">
        <f>INDIRECT("'"&amp;$B$3&amp;"'!"&amp;ADDRESS($AD34,AL$1))</f>
        <v/>
      </c>
      <c r="AM34" s="73">
        <f>INDIRECT("'"&amp;$B$3&amp;"'!"&amp;ADDRESS($AD34,AM$1))</f>
        <v/>
      </c>
      <c r="AN34" s="73">
        <f>INDIRECT("'"&amp;$B$3&amp;"'!"&amp;ADDRESS($AD34,AN$1))</f>
        <v/>
      </c>
      <c r="AO34" s="73">
        <f>INDIRECT("'"&amp;$B$3&amp;"'!"&amp;ADDRESS($AD34,AO$1))</f>
        <v/>
      </c>
      <c r="AP34" s="73">
        <f>INDIRECT("'"&amp;$B$3&amp;"'!"&amp;ADDRESS($AD34,AP$1))</f>
        <v/>
      </c>
      <c r="AQ34" s="73">
        <f>INDIRECT("'"&amp;$B$3&amp;"'!"&amp;ADDRESS($AD34,AQ$1))</f>
        <v/>
      </c>
      <c r="AR34" s="73">
        <f>INDIRECT("'"&amp;$B$3&amp;"'!"&amp;ADDRESS($AD34,AR$1))</f>
        <v/>
      </c>
      <c r="AU34" s="236" t="n"/>
      <c r="AV34" s="73">
        <f>INDIRECT("'"&amp;$B$3&amp;"'!"&amp;ADDRESS($AD34,AV$1))</f>
        <v/>
      </c>
      <c r="AW34" s="73">
        <f>INDIRECT("'"&amp;$B$3&amp;"'!"&amp;ADDRESS($AD34,AW$1))</f>
        <v/>
      </c>
      <c r="AX34" s="73">
        <f>INDIRECT("'"&amp;$B$3&amp;"'!"&amp;ADDRESS($AD34,AX$1))</f>
        <v/>
      </c>
      <c r="AY34" s="73">
        <f>INDIRECT("'"&amp;$B$3&amp;"'!"&amp;ADDRESS($AD34,AY$1))</f>
        <v/>
      </c>
      <c r="AZ34" s="73">
        <f>INDIRECT("'"&amp;$B$3&amp;"'!"&amp;ADDRESS($AD34,AZ$1))</f>
        <v/>
      </c>
      <c r="BA34" s="73">
        <f>INDIRECT("'"&amp;$B$3&amp;"'!"&amp;ADDRESS($AD34,BA$1))</f>
        <v/>
      </c>
      <c r="BB34" s="73">
        <f>INDIRECT("'"&amp;$B$3&amp;"'!"&amp;ADDRESS($AD34,BB$1))</f>
        <v/>
      </c>
      <c r="BC34" s="73">
        <f>INDIRECT("'"&amp;$B$3&amp;"'!"&amp;ADDRESS($AD34,BC$1))</f>
        <v/>
      </c>
      <c r="BD34" s="73">
        <f>INDIRECT("'"&amp;$B$3&amp;"'!"&amp;ADDRESS($AD34,BD$1))</f>
        <v/>
      </c>
      <c r="BE34" s="73">
        <f>INDIRECT("'"&amp;$B$3&amp;"'!"&amp;ADDRESS($AD34,BE$1))</f>
        <v/>
      </c>
      <c r="BF34" s="73">
        <f>INDIRECT("'"&amp;$B$3&amp;"'!"&amp;ADDRESS($AD34,BF$1))</f>
        <v/>
      </c>
      <c r="BG34" s="73">
        <f>INDIRECT("'"&amp;$B$3&amp;"'!"&amp;ADDRESS($AD34,BG$1))</f>
        <v/>
      </c>
      <c r="BH34" s="73">
        <f>INDIRECT("'"&amp;$B$3&amp;"'!"&amp;ADDRESS($AD34,BH$1))</f>
        <v/>
      </c>
      <c r="BI34" s="73">
        <f>INDIRECT("'"&amp;$B$3&amp;"'!"&amp;ADDRESS($AD34,BI$1))</f>
        <v/>
      </c>
      <c r="BM34" s="73">
        <f>IF(INDIRECT("'"&amp;$B$3&amp;"'!"&amp;ADDRESS($AD34,BM$1)),INDIRECT("'"&amp;$B$3&amp;"'!"&amp;ADDRESS($AD34,BM$1)),BM33)</f>
        <v/>
      </c>
      <c r="BN34" s="73">
        <f>IF(INDIRECT("'"&amp;$B$3&amp;"'!"&amp;ADDRESS($AD34,BN$1)),INDIRECT("'"&amp;$B$3&amp;"'!"&amp;ADDRESS($AD34,BN$1)),BN33)</f>
        <v/>
      </c>
      <c r="BO34" s="73">
        <f>IF(INDIRECT("'"&amp;$B$3&amp;"'!"&amp;ADDRESS($AD34,BO$1)),INDIRECT("'"&amp;$B$3&amp;"'!"&amp;ADDRESS($AD34,BO$1)),BO33)</f>
        <v/>
      </c>
      <c r="BP34" s="73">
        <f>IF(INDIRECT("'"&amp;$B$3&amp;"'!"&amp;ADDRESS($AD34,BP$1)),INDIRECT("'"&amp;$B$3&amp;"'!"&amp;ADDRESS($AD34,BP$1)),BP33)</f>
        <v/>
      </c>
      <c r="BQ34" s="73">
        <f>IF(INDIRECT("'"&amp;$B$3&amp;"'!"&amp;ADDRESS($AD34,BQ$1)),INDIRECT("'"&amp;$B$3&amp;"'!"&amp;ADDRESS($AD34,BQ$1)),BQ33)</f>
        <v/>
      </c>
      <c r="BR34" s="73">
        <f>IF(INDIRECT("'"&amp;$B$3&amp;"'!"&amp;ADDRESS($AD34,BR$1)),INDIRECT("'"&amp;$B$3&amp;"'!"&amp;ADDRESS($AD34,BR$1)),BR33)</f>
        <v/>
      </c>
      <c r="BS34" s="73">
        <f>IF(INDIRECT("'"&amp;$B$3&amp;"'!"&amp;ADDRESS($AD34,BS$1)),INDIRECT("'"&amp;$B$3&amp;"'!"&amp;ADDRESS($AD34,BS$1)),BS33)</f>
        <v/>
      </c>
      <c r="BT34" s="73">
        <f>IF(INDIRECT("'"&amp;$B$3&amp;"'!"&amp;ADDRESS($AD34,BT$1)),INDIRECT("'"&amp;$B$3&amp;"'!"&amp;ADDRESS($AD34,BT$1)),BT33)</f>
        <v/>
      </c>
      <c r="BU34" s="73">
        <f>IF(INDIRECT("'"&amp;$B$3&amp;"'!"&amp;ADDRESS($AD34,BU$1)),INDIRECT("'"&amp;$B$3&amp;"'!"&amp;ADDRESS($AD34,BU$1)),BU33)</f>
        <v/>
      </c>
      <c r="BV34" s="73">
        <f>IF(INDIRECT("'"&amp;$B$3&amp;"'!"&amp;ADDRESS($AD34,BV$1)),INDIRECT("'"&amp;$B$3&amp;"'!"&amp;ADDRESS($AD34,BV$1)),BV33)</f>
        <v/>
      </c>
      <c r="BW34" s="73">
        <f>IF(INDIRECT("'"&amp;$B$3&amp;"'!"&amp;ADDRESS($AD34,BW$1)),INDIRECT("'"&amp;$B$3&amp;"'!"&amp;ADDRESS($AD34,BW$1)),BW33)</f>
        <v/>
      </c>
      <c r="BX34" s="73">
        <f>IF(INDIRECT("'"&amp;$B$3&amp;"'!"&amp;ADDRESS($AD34,BX$1)),INDIRECT("'"&amp;$B$3&amp;"'!"&amp;ADDRESS($AD34,BX$1)),BX33)</f>
        <v/>
      </c>
      <c r="BY34" s="73">
        <f>IF(INDIRECT("'"&amp;$B$3&amp;"'!"&amp;ADDRESS($AD34,BY$1)),INDIRECT("'"&amp;$B$3&amp;"'!"&amp;ADDRESS($AD34,BY$1)),BY33)</f>
        <v/>
      </c>
      <c r="BZ34" s="73">
        <f>IF(INDIRECT("'"&amp;$B$3&amp;"'!"&amp;ADDRESS($AD34,BZ$1)),INDIRECT("'"&amp;$B$3&amp;"'!"&amp;ADDRESS($AD34,BZ$1)),BZ33)</f>
        <v/>
      </c>
      <c r="CD34" s="73">
        <f>IF(INDIRECT("'"&amp;$B$3&amp;"'!"&amp;ADDRESS($AD34,CD$1)),INDIRECT("'"&amp;$B$3&amp;"'!"&amp;ADDRESS($AD34,CD$1)),CD33)</f>
        <v/>
      </c>
      <c r="CE34" s="73">
        <f>IF(INDIRECT("'"&amp;$B$3&amp;"'!"&amp;ADDRESS($AD34,CE$1)),INDIRECT("'"&amp;$B$3&amp;"'!"&amp;ADDRESS($AD34,CE$1)),CE33)</f>
        <v/>
      </c>
      <c r="CF34" s="73">
        <f>IF(INDIRECT("'"&amp;$B$3&amp;"'!"&amp;ADDRESS($AD34,CF$1)),INDIRECT("'"&amp;$B$3&amp;"'!"&amp;ADDRESS($AD34,CF$1)),CF33)</f>
        <v/>
      </c>
      <c r="CG34" s="73">
        <f>IF(INDIRECT("'"&amp;$B$3&amp;"'!"&amp;ADDRESS($AD34,CG$1)),INDIRECT("'"&amp;$B$3&amp;"'!"&amp;ADDRESS($AD34,CG$1)),CG33)</f>
        <v/>
      </c>
      <c r="CH34" s="73">
        <f>IF(INDIRECT("'"&amp;$B$3&amp;"'!"&amp;ADDRESS($AD34,CH$1)),INDIRECT("'"&amp;$B$3&amp;"'!"&amp;ADDRESS($AD34,CH$1)),CH33)</f>
        <v/>
      </c>
      <c r="CI34" s="73">
        <f>IF(INDIRECT("'"&amp;$B$3&amp;"'!"&amp;ADDRESS($AD34,CI$1)),INDIRECT("'"&amp;$B$3&amp;"'!"&amp;ADDRESS($AD34,CI$1)),CI33)</f>
        <v/>
      </c>
      <c r="CJ34" s="73">
        <f>IF(INDIRECT("'"&amp;$B$3&amp;"'!"&amp;ADDRESS($AD34,CJ$1)),INDIRECT("'"&amp;$B$3&amp;"'!"&amp;ADDRESS($AD34,CJ$1)),CJ33)</f>
        <v/>
      </c>
      <c r="CK34" s="73">
        <f>IF(INDIRECT("'"&amp;$B$3&amp;"'!"&amp;ADDRESS($AD34,CK$1)),INDIRECT("'"&amp;$B$3&amp;"'!"&amp;ADDRESS($AD34,CK$1)),CK33)</f>
        <v/>
      </c>
      <c r="CL34" s="73">
        <f>IF(INDIRECT("'"&amp;$B$3&amp;"'!"&amp;ADDRESS($AD34,CL$1)),INDIRECT("'"&amp;$B$3&amp;"'!"&amp;ADDRESS($AD34,CL$1)),CL33)</f>
        <v/>
      </c>
      <c r="CM34" s="73">
        <f>IF(INDIRECT("'"&amp;$B$3&amp;"'!"&amp;ADDRESS($AD34,CM$1)),INDIRECT("'"&amp;$B$3&amp;"'!"&amp;ADDRESS($AD34,CM$1)),CM33)</f>
        <v/>
      </c>
      <c r="CN34" s="73">
        <f>IF(INDIRECT("'"&amp;$B$3&amp;"'!"&amp;ADDRESS($AD34,CN$1)),INDIRECT("'"&amp;$B$3&amp;"'!"&amp;ADDRESS($AD34,CN$1)),CN33)</f>
        <v/>
      </c>
      <c r="CO34" s="73">
        <f>IF(INDIRECT("'"&amp;$B$3&amp;"'!"&amp;ADDRESS($AD34,CO$1)),INDIRECT("'"&amp;$B$3&amp;"'!"&amp;ADDRESS($AD34,CO$1)),CO33)</f>
        <v/>
      </c>
      <c r="CP34" s="73">
        <f>IF(INDIRECT("'"&amp;$B$3&amp;"'!"&amp;ADDRESS($AD34,CP$1)),INDIRECT("'"&amp;$B$3&amp;"'!"&amp;ADDRESS($AD34,CP$1)),CP33)</f>
        <v/>
      </c>
      <c r="CQ34" s="73">
        <f>IF(INDIRECT("'"&amp;$B$3&amp;"'!"&amp;ADDRESS($AD34,CQ$1)),INDIRECT("'"&amp;$B$3&amp;"'!"&amp;ADDRESS($AD34,CQ$1)),CQ33)</f>
        <v/>
      </c>
    </row>
    <row r="35">
      <c r="AA35" s="72" t="n"/>
      <c r="AB35" s="242" t="inlineStr">
        <is>
          <t>640x360</t>
        </is>
      </c>
      <c r="AC35" s="235">
        <f>CONCATENATE(AB35," Reference")</f>
        <v/>
      </c>
      <c r="AD35" t="n">
        <v>35</v>
      </c>
      <c r="AE35" s="73">
        <f>INDIRECT("'"&amp;$B$3&amp;"'!"&amp;ADDRESS($AD35,AE$1))</f>
        <v/>
      </c>
      <c r="AF35" s="73">
        <f>INDIRECT("'"&amp;$B$3&amp;"'!"&amp;ADDRESS($AD35,AF$1))</f>
        <v/>
      </c>
      <c r="AG35" s="73">
        <f>INDIRECT("'"&amp;$B$3&amp;"'!"&amp;ADDRESS($AD35,AG$1))</f>
        <v/>
      </c>
      <c r="AH35" s="73">
        <f>INDIRECT("'"&amp;$B$3&amp;"'!"&amp;ADDRESS($AD35,AH$1))</f>
        <v/>
      </c>
      <c r="AI35" s="73">
        <f>INDIRECT("'"&amp;$B$3&amp;"'!"&amp;ADDRESS($AD35,AI$1))</f>
        <v/>
      </c>
      <c r="AJ35" s="73">
        <f>INDIRECT("'"&amp;$B$3&amp;"'!"&amp;ADDRESS($AD35,AJ$1))</f>
        <v/>
      </c>
      <c r="AK35" s="73">
        <f>INDIRECT("'"&amp;$B$3&amp;"'!"&amp;ADDRESS($AD35,AK$1))</f>
        <v/>
      </c>
      <c r="AL35" s="73">
        <f>INDIRECT("'"&amp;$B$3&amp;"'!"&amp;ADDRESS($AD35,AL$1))</f>
        <v/>
      </c>
      <c r="AM35" s="73">
        <f>INDIRECT("'"&amp;$B$3&amp;"'!"&amp;ADDRESS($AD35,AM$1))</f>
        <v/>
      </c>
      <c r="AN35" s="73">
        <f>INDIRECT("'"&amp;$B$3&amp;"'!"&amp;ADDRESS($AD35,AN$1))</f>
        <v/>
      </c>
      <c r="AO35" s="73">
        <f>INDIRECT("'"&amp;$B$3&amp;"'!"&amp;ADDRESS($AD35,AO$1))</f>
        <v/>
      </c>
      <c r="AP35" s="73">
        <f>INDIRECT("'"&amp;$B$3&amp;"'!"&amp;ADDRESS($AD35,AP$1))</f>
        <v/>
      </c>
      <c r="AQ35" s="73">
        <f>INDIRECT("'"&amp;$B$3&amp;"'!"&amp;ADDRESS($AD35,AQ$1))</f>
        <v/>
      </c>
      <c r="AR35" s="73">
        <f>INDIRECT("'"&amp;$B$3&amp;"'!"&amp;ADDRESS($AD35,AR$1))</f>
        <v/>
      </c>
      <c r="AU35" s="235">
        <f>CONCATENATE(AB35," Test")</f>
        <v/>
      </c>
      <c r="AV35" s="73">
        <f>INDIRECT("'"&amp;$B$3&amp;"'!"&amp;ADDRESS($AD35,AV$1))</f>
        <v/>
      </c>
      <c r="AW35" s="73">
        <f>INDIRECT("'"&amp;$B$3&amp;"'!"&amp;ADDRESS($AD35,AW$1))</f>
        <v/>
      </c>
      <c r="AX35" s="73">
        <f>INDIRECT("'"&amp;$B$3&amp;"'!"&amp;ADDRESS($AD35,AX$1))</f>
        <v/>
      </c>
      <c r="AY35" s="73">
        <f>INDIRECT("'"&amp;$B$3&amp;"'!"&amp;ADDRESS($AD35,AY$1))</f>
        <v/>
      </c>
      <c r="AZ35" s="73">
        <f>INDIRECT("'"&amp;$B$3&amp;"'!"&amp;ADDRESS($AD35,AZ$1))</f>
        <v/>
      </c>
      <c r="BA35" s="73">
        <f>INDIRECT("'"&amp;$B$3&amp;"'!"&amp;ADDRESS($AD35,BA$1))</f>
        <v/>
      </c>
      <c r="BB35" s="73">
        <f>INDIRECT("'"&amp;$B$3&amp;"'!"&amp;ADDRESS($AD35,BB$1))</f>
        <v/>
      </c>
      <c r="BC35" s="73">
        <f>INDIRECT("'"&amp;$B$3&amp;"'!"&amp;ADDRESS($AD35,BC$1))</f>
        <v/>
      </c>
      <c r="BD35" s="73">
        <f>INDIRECT("'"&amp;$B$3&amp;"'!"&amp;ADDRESS($AD35,BD$1))</f>
        <v/>
      </c>
      <c r="BE35" s="73">
        <f>INDIRECT("'"&amp;$B$3&amp;"'!"&amp;ADDRESS($AD35,BE$1))</f>
        <v/>
      </c>
      <c r="BF35" s="73">
        <f>INDIRECT("'"&amp;$B$3&amp;"'!"&amp;ADDRESS($AD35,BF$1))</f>
        <v/>
      </c>
      <c r="BG35" s="73">
        <f>INDIRECT("'"&amp;$B$3&amp;"'!"&amp;ADDRESS($AD35,BG$1))</f>
        <v/>
      </c>
      <c r="BH35" s="73">
        <f>INDIRECT("'"&amp;$B$3&amp;"'!"&amp;ADDRESS($AD35,BH$1))</f>
        <v/>
      </c>
      <c r="BI35" s="73">
        <f>INDIRECT("'"&amp;$B$3&amp;"'!"&amp;ADDRESS($AD35,BI$1))</f>
        <v/>
      </c>
      <c r="BM35" s="73">
        <f>IF(INDIRECT("'"&amp;$B$3&amp;"'!"&amp;ADDRESS($AD35,BM$1)),INDIRECT("'"&amp;$B$3&amp;"'!"&amp;ADDRESS($AD35,BM$1)),BM34)</f>
        <v/>
      </c>
      <c r="BN35" s="73">
        <f>IF(INDIRECT("'"&amp;$B$3&amp;"'!"&amp;ADDRESS($AD35,BN$1)),INDIRECT("'"&amp;$B$3&amp;"'!"&amp;ADDRESS($AD35,BN$1)),BN34)</f>
        <v/>
      </c>
      <c r="BO35" s="73">
        <f>IF(INDIRECT("'"&amp;$B$3&amp;"'!"&amp;ADDRESS($AD35,BO$1)),INDIRECT("'"&amp;$B$3&amp;"'!"&amp;ADDRESS($AD35,BO$1)),BO34)</f>
        <v/>
      </c>
      <c r="BP35" s="73">
        <f>IF(INDIRECT("'"&amp;$B$3&amp;"'!"&amp;ADDRESS($AD35,BP$1)),INDIRECT("'"&amp;$B$3&amp;"'!"&amp;ADDRESS($AD35,BP$1)),BP34)</f>
        <v/>
      </c>
      <c r="BQ35" s="73">
        <f>IF(INDIRECT("'"&amp;$B$3&amp;"'!"&amp;ADDRESS($AD35,BQ$1)),INDIRECT("'"&amp;$B$3&amp;"'!"&amp;ADDRESS($AD35,BQ$1)),BQ34)</f>
        <v/>
      </c>
      <c r="BR35" s="73">
        <f>IF(INDIRECT("'"&amp;$B$3&amp;"'!"&amp;ADDRESS($AD35,BR$1)),INDIRECT("'"&amp;$B$3&amp;"'!"&amp;ADDRESS($AD35,BR$1)),BR34)</f>
        <v/>
      </c>
      <c r="BS35" s="73">
        <f>IF(INDIRECT("'"&amp;$B$3&amp;"'!"&amp;ADDRESS($AD35,BS$1)),INDIRECT("'"&amp;$B$3&amp;"'!"&amp;ADDRESS($AD35,BS$1)),BS34)</f>
        <v/>
      </c>
      <c r="BT35" s="73">
        <f>IF(INDIRECT("'"&amp;$B$3&amp;"'!"&amp;ADDRESS($AD35,BT$1)),INDIRECT("'"&amp;$B$3&amp;"'!"&amp;ADDRESS($AD35,BT$1)),BT34)</f>
        <v/>
      </c>
      <c r="BU35" s="73">
        <f>IF(INDIRECT("'"&amp;$B$3&amp;"'!"&amp;ADDRESS($AD35,BU$1)),INDIRECT("'"&amp;$B$3&amp;"'!"&amp;ADDRESS($AD35,BU$1)),BU34)</f>
        <v/>
      </c>
      <c r="BV35" s="73">
        <f>IF(INDIRECT("'"&amp;$B$3&amp;"'!"&amp;ADDRESS($AD35,BV$1)),INDIRECT("'"&amp;$B$3&amp;"'!"&amp;ADDRESS($AD35,BV$1)),BV34)</f>
        <v/>
      </c>
      <c r="BW35" s="73">
        <f>IF(INDIRECT("'"&amp;$B$3&amp;"'!"&amp;ADDRESS($AD35,BW$1)),INDIRECT("'"&amp;$B$3&amp;"'!"&amp;ADDRESS($AD35,BW$1)),BW34)</f>
        <v/>
      </c>
      <c r="BX35" s="73">
        <f>IF(INDIRECT("'"&amp;$B$3&amp;"'!"&amp;ADDRESS($AD35,BX$1)),INDIRECT("'"&amp;$B$3&amp;"'!"&amp;ADDRESS($AD35,BX$1)),BX34)</f>
        <v/>
      </c>
      <c r="BY35" s="73">
        <f>IF(INDIRECT("'"&amp;$B$3&amp;"'!"&amp;ADDRESS($AD35,BY$1)),INDIRECT("'"&amp;$B$3&amp;"'!"&amp;ADDRESS($AD35,BY$1)),BY34)</f>
        <v/>
      </c>
      <c r="BZ35" s="73">
        <f>IF(INDIRECT("'"&amp;$B$3&amp;"'!"&amp;ADDRESS($AD35,BZ$1)),INDIRECT("'"&amp;$B$3&amp;"'!"&amp;ADDRESS($AD35,BZ$1)),BZ34)</f>
        <v/>
      </c>
      <c r="CD35" s="73">
        <f>IF(INDIRECT("'"&amp;$B$3&amp;"'!"&amp;ADDRESS($AD35,CD$1)),INDIRECT("'"&amp;$B$3&amp;"'!"&amp;ADDRESS($AD35,CD$1)),CD34)</f>
        <v/>
      </c>
      <c r="CE35" s="73">
        <f>IF(INDIRECT("'"&amp;$B$3&amp;"'!"&amp;ADDRESS($AD35,CE$1)),INDIRECT("'"&amp;$B$3&amp;"'!"&amp;ADDRESS($AD35,CE$1)),CE34)</f>
        <v/>
      </c>
      <c r="CF35" s="73">
        <f>IF(INDIRECT("'"&amp;$B$3&amp;"'!"&amp;ADDRESS($AD35,CF$1)),INDIRECT("'"&amp;$B$3&amp;"'!"&amp;ADDRESS($AD35,CF$1)),CF34)</f>
        <v/>
      </c>
      <c r="CG35" s="73">
        <f>IF(INDIRECT("'"&amp;$B$3&amp;"'!"&amp;ADDRESS($AD35,CG$1)),INDIRECT("'"&amp;$B$3&amp;"'!"&amp;ADDRESS($AD35,CG$1)),CG34)</f>
        <v/>
      </c>
      <c r="CH35" s="73">
        <f>IF(INDIRECT("'"&amp;$B$3&amp;"'!"&amp;ADDRESS($AD35,CH$1)),INDIRECT("'"&amp;$B$3&amp;"'!"&amp;ADDRESS($AD35,CH$1)),CH34)</f>
        <v/>
      </c>
      <c r="CI35" s="73">
        <f>IF(INDIRECT("'"&amp;$B$3&amp;"'!"&amp;ADDRESS($AD35,CI$1)),INDIRECT("'"&amp;$B$3&amp;"'!"&amp;ADDRESS($AD35,CI$1)),CI34)</f>
        <v/>
      </c>
      <c r="CJ35" s="73">
        <f>IF(INDIRECT("'"&amp;$B$3&amp;"'!"&amp;ADDRESS($AD35,CJ$1)),INDIRECT("'"&amp;$B$3&amp;"'!"&amp;ADDRESS($AD35,CJ$1)),CJ34)</f>
        <v/>
      </c>
      <c r="CK35" s="73">
        <f>IF(INDIRECT("'"&amp;$B$3&amp;"'!"&amp;ADDRESS($AD35,CK$1)),INDIRECT("'"&amp;$B$3&amp;"'!"&amp;ADDRESS($AD35,CK$1)),CK34)</f>
        <v/>
      </c>
      <c r="CL35" s="73">
        <f>IF(INDIRECT("'"&amp;$B$3&amp;"'!"&amp;ADDRESS($AD35,CL$1)),INDIRECT("'"&amp;$B$3&amp;"'!"&amp;ADDRESS($AD35,CL$1)),CL34)</f>
        <v/>
      </c>
      <c r="CM35" s="73">
        <f>IF(INDIRECT("'"&amp;$B$3&amp;"'!"&amp;ADDRESS($AD35,CM$1)),INDIRECT("'"&amp;$B$3&amp;"'!"&amp;ADDRESS($AD35,CM$1)),CM34)</f>
        <v/>
      </c>
      <c r="CN35" s="73">
        <f>IF(INDIRECT("'"&amp;$B$3&amp;"'!"&amp;ADDRESS($AD35,CN$1)),INDIRECT("'"&amp;$B$3&amp;"'!"&amp;ADDRESS($AD35,CN$1)),CN34)</f>
        <v/>
      </c>
      <c r="CO35" s="73">
        <f>IF(INDIRECT("'"&amp;$B$3&amp;"'!"&amp;ADDRESS($AD35,CO$1)),INDIRECT("'"&amp;$B$3&amp;"'!"&amp;ADDRESS($AD35,CO$1)),CO34)</f>
        <v/>
      </c>
      <c r="CP35" s="73">
        <f>IF(INDIRECT("'"&amp;$B$3&amp;"'!"&amp;ADDRESS($AD35,CP$1)),INDIRECT("'"&amp;$B$3&amp;"'!"&amp;ADDRESS($AD35,CP$1)),CP34)</f>
        <v/>
      </c>
      <c r="CQ35" s="73">
        <f>IF(INDIRECT("'"&amp;$B$3&amp;"'!"&amp;ADDRESS($AD35,CQ$1)),INDIRECT("'"&amp;$B$3&amp;"'!"&amp;ADDRESS($AD35,CQ$1)),CQ34)</f>
        <v/>
      </c>
    </row>
    <row r="36">
      <c r="AA36" s="72" t="n"/>
      <c r="AB36" s="238" t="n"/>
      <c r="AC36" s="236" t="n"/>
      <c r="AD36" t="n">
        <v>36</v>
      </c>
      <c r="AE36" s="73">
        <f>INDIRECT("'"&amp;$B$3&amp;"'!"&amp;ADDRESS($AD36,AE$1))</f>
        <v/>
      </c>
      <c r="AF36" s="73">
        <f>INDIRECT("'"&amp;$B$3&amp;"'!"&amp;ADDRESS($AD36,AF$1))</f>
        <v/>
      </c>
      <c r="AG36" s="73">
        <f>INDIRECT("'"&amp;$B$3&amp;"'!"&amp;ADDRESS($AD36,AG$1))</f>
        <v/>
      </c>
      <c r="AH36" s="73">
        <f>INDIRECT("'"&amp;$B$3&amp;"'!"&amp;ADDRESS($AD36,AH$1))</f>
        <v/>
      </c>
      <c r="AI36" s="73">
        <f>INDIRECT("'"&amp;$B$3&amp;"'!"&amp;ADDRESS($AD36,AI$1))</f>
        <v/>
      </c>
      <c r="AJ36" s="73">
        <f>INDIRECT("'"&amp;$B$3&amp;"'!"&amp;ADDRESS($AD36,AJ$1))</f>
        <v/>
      </c>
      <c r="AK36" s="73">
        <f>INDIRECT("'"&amp;$B$3&amp;"'!"&amp;ADDRESS($AD36,AK$1))</f>
        <v/>
      </c>
      <c r="AL36" s="73">
        <f>INDIRECT("'"&amp;$B$3&amp;"'!"&amp;ADDRESS($AD36,AL$1))</f>
        <v/>
      </c>
      <c r="AM36" s="73">
        <f>INDIRECT("'"&amp;$B$3&amp;"'!"&amp;ADDRESS($AD36,AM$1))</f>
        <v/>
      </c>
      <c r="AN36" s="73">
        <f>INDIRECT("'"&amp;$B$3&amp;"'!"&amp;ADDRESS($AD36,AN$1))</f>
        <v/>
      </c>
      <c r="AO36" s="73">
        <f>INDIRECT("'"&amp;$B$3&amp;"'!"&amp;ADDRESS($AD36,AO$1))</f>
        <v/>
      </c>
      <c r="AP36" s="73">
        <f>INDIRECT("'"&amp;$B$3&amp;"'!"&amp;ADDRESS($AD36,AP$1))</f>
        <v/>
      </c>
      <c r="AQ36" s="73">
        <f>INDIRECT("'"&amp;$B$3&amp;"'!"&amp;ADDRESS($AD36,AQ$1))</f>
        <v/>
      </c>
      <c r="AR36" s="73">
        <f>INDIRECT("'"&amp;$B$3&amp;"'!"&amp;ADDRESS($AD36,AR$1))</f>
        <v/>
      </c>
      <c r="AU36" s="236" t="n"/>
      <c r="AV36" s="73">
        <f>INDIRECT("'"&amp;$B$3&amp;"'!"&amp;ADDRESS($AD36,AV$1))</f>
        <v/>
      </c>
      <c r="AW36" s="73">
        <f>INDIRECT("'"&amp;$B$3&amp;"'!"&amp;ADDRESS($AD36,AW$1))</f>
        <v/>
      </c>
      <c r="AX36" s="73">
        <f>INDIRECT("'"&amp;$B$3&amp;"'!"&amp;ADDRESS($AD36,AX$1))</f>
        <v/>
      </c>
      <c r="AY36" s="73">
        <f>INDIRECT("'"&amp;$B$3&amp;"'!"&amp;ADDRESS($AD36,AY$1))</f>
        <v/>
      </c>
      <c r="AZ36" s="73">
        <f>INDIRECT("'"&amp;$B$3&amp;"'!"&amp;ADDRESS($AD36,AZ$1))</f>
        <v/>
      </c>
      <c r="BA36" s="73">
        <f>INDIRECT("'"&amp;$B$3&amp;"'!"&amp;ADDRESS($AD36,BA$1))</f>
        <v/>
      </c>
      <c r="BB36" s="73">
        <f>INDIRECT("'"&amp;$B$3&amp;"'!"&amp;ADDRESS($AD36,BB$1))</f>
        <v/>
      </c>
      <c r="BC36" s="73">
        <f>INDIRECT("'"&amp;$B$3&amp;"'!"&amp;ADDRESS($AD36,BC$1))</f>
        <v/>
      </c>
      <c r="BD36" s="73">
        <f>INDIRECT("'"&amp;$B$3&amp;"'!"&amp;ADDRESS($AD36,BD$1))</f>
        <v/>
      </c>
      <c r="BE36" s="73">
        <f>INDIRECT("'"&amp;$B$3&amp;"'!"&amp;ADDRESS($AD36,BE$1))</f>
        <v/>
      </c>
      <c r="BF36" s="73">
        <f>INDIRECT("'"&amp;$B$3&amp;"'!"&amp;ADDRESS($AD36,BF$1))</f>
        <v/>
      </c>
      <c r="BG36" s="73">
        <f>INDIRECT("'"&amp;$B$3&amp;"'!"&amp;ADDRESS($AD36,BG$1))</f>
        <v/>
      </c>
      <c r="BH36" s="73">
        <f>INDIRECT("'"&amp;$B$3&amp;"'!"&amp;ADDRESS($AD36,BH$1))</f>
        <v/>
      </c>
      <c r="BI36" s="73">
        <f>INDIRECT("'"&amp;$B$3&amp;"'!"&amp;ADDRESS($AD36,BI$1))</f>
        <v/>
      </c>
      <c r="BM36" s="73">
        <f>IF(INDIRECT("'"&amp;$B$3&amp;"'!"&amp;ADDRESS($AD36,BM$1)),INDIRECT("'"&amp;$B$3&amp;"'!"&amp;ADDRESS($AD36,BM$1)),BM35)</f>
        <v/>
      </c>
      <c r="BN36" s="73">
        <f>IF(INDIRECT("'"&amp;$B$3&amp;"'!"&amp;ADDRESS($AD36,BN$1)),INDIRECT("'"&amp;$B$3&amp;"'!"&amp;ADDRESS($AD36,BN$1)),BN35)</f>
        <v/>
      </c>
      <c r="BO36" s="73">
        <f>IF(INDIRECT("'"&amp;$B$3&amp;"'!"&amp;ADDRESS($AD36,BO$1)),INDIRECT("'"&amp;$B$3&amp;"'!"&amp;ADDRESS($AD36,BO$1)),BO35)</f>
        <v/>
      </c>
      <c r="BP36" s="73">
        <f>IF(INDIRECT("'"&amp;$B$3&amp;"'!"&amp;ADDRESS($AD36,BP$1)),INDIRECT("'"&amp;$B$3&amp;"'!"&amp;ADDRESS($AD36,BP$1)),BP35)</f>
        <v/>
      </c>
      <c r="BQ36" s="73">
        <f>IF(INDIRECT("'"&amp;$B$3&amp;"'!"&amp;ADDRESS($AD36,BQ$1)),INDIRECT("'"&amp;$B$3&amp;"'!"&amp;ADDRESS($AD36,BQ$1)),BQ35)</f>
        <v/>
      </c>
      <c r="BR36" s="73">
        <f>IF(INDIRECT("'"&amp;$B$3&amp;"'!"&amp;ADDRESS($AD36,BR$1)),INDIRECT("'"&amp;$B$3&amp;"'!"&amp;ADDRESS($AD36,BR$1)),BR35)</f>
        <v/>
      </c>
      <c r="BS36" s="73">
        <f>IF(INDIRECT("'"&amp;$B$3&amp;"'!"&amp;ADDRESS($AD36,BS$1)),INDIRECT("'"&amp;$B$3&amp;"'!"&amp;ADDRESS($AD36,BS$1)),BS35)</f>
        <v/>
      </c>
      <c r="BT36" s="73">
        <f>IF(INDIRECT("'"&amp;$B$3&amp;"'!"&amp;ADDRESS($AD36,BT$1)),INDIRECT("'"&amp;$B$3&amp;"'!"&amp;ADDRESS($AD36,BT$1)),BT35)</f>
        <v/>
      </c>
      <c r="BU36" s="73">
        <f>IF(INDIRECT("'"&amp;$B$3&amp;"'!"&amp;ADDRESS($AD36,BU$1)),INDIRECT("'"&amp;$B$3&amp;"'!"&amp;ADDRESS($AD36,BU$1)),BU35)</f>
        <v/>
      </c>
      <c r="BV36" s="73">
        <f>IF(INDIRECT("'"&amp;$B$3&amp;"'!"&amp;ADDRESS($AD36,BV$1)),INDIRECT("'"&amp;$B$3&amp;"'!"&amp;ADDRESS($AD36,BV$1)),BV35)</f>
        <v/>
      </c>
      <c r="BW36" s="73">
        <f>IF(INDIRECT("'"&amp;$B$3&amp;"'!"&amp;ADDRESS($AD36,BW$1)),INDIRECT("'"&amp;$B$3&amp;"'!"&amp;ADDRESS($AD36,BW$1)),BW35)</f>
        <v/>
      </c>
      <c r="BX36" s="73">
        <f>IF(INDIRECT("'"&amp;$B$3&amp;"'!"&amp;ADDRESS($AD36,BX$1)),INDIRECT("'"&amp;$B$3&amp;"'!"&amp;ADDRESS($AD36,BX$1)),BX35)</f>
        <v/>
      </c>
      <c r="BY36" s="73">
        <f>IF(INDIRECT("'"&amp;$B$3&amp;"'!"&amp;ADDRESS($AD36,BY$1)),INDIRECT("'"&amp;$B$3&amp;"'!"&amp;ADDRESS($AD36,BY$1)),BY35)</f>
        <v/>
      </c>
      <c r="BZ36" s="73">
        <f>IF(INDIRECT("'"&amp;$B$3&amp;"'!"&amp;ADDRESS($AD36,BZ$1)),INDIRECT("'"&amp;$B$3&amp;"'!"&amp;ADDRESS($AD36,BZ$1)),BZ35)</f>
        <v/>
      </c>
      <c r="CD36" s="73">
        <f>IF(INDIRECT("'"&amp;$B$3&amp;"'!"&amp;ADDRESS($AD36,CD$1)),INDIRECT("'"&amp;$B$3&amp;"'!"&amp;ADDRESS($AD36,CD$1)),CD35)</f>
        <v/>
      </c>
      <c r="CE36" s="73">
        <f>IF(INDIRECT("'"&amp;$B$3&amp;"'!"&amp;ADDRESS($AD36,CE$1)),INDIRECT("'"&amp;$B$3&amp;"'!"&amp;ADDRESS($AD36,CE$1)),CE35)</f>
        <v/>
      </c>
      <c r="CF36" s="73">
        <f>IF(INDIRECT("'"&amp;$B$3&amp;"'!"&amp;ADDRESS($AD36,CF$1)),INDIRECT("'"&amp;$B$3&amp;"'!"&amp;ADDRESS($AD36,CF$1)),CF35)</f>
        <v/>
      </c>
      <c r="CG36" s="73">
        <f>IF(INDIRECT("'"&amp;$B$3&amp;"'!"&amp;ADDRESS($AD36,CG$1)),INDIRECT("'"&amp;$B$3&amp;"'!"&amp;ADDRESS($AD36,CG$1)),CG35)</f>
        <v/>
      </c>
      <c r="CH36" s="73">
        <f>IF(INDIRECT("'"&amp;$B$3&amp;"'!"&amp;ADDRESS($AD36,CH$1)),INDIRECT("'"&amp;$B$3&amp;"'!"&amp;ADDRESS($AD36,CH$1)),CH35)</f>
        <v/>
      </c>
      <c r="CI36" s="73">
        <f>IF(INDIRECT("'"&amp;$B$3&amp;"'!"&amp;ADDRESS($AD36,CI$1)),INDIRECT("'"&amp;$B$3&amp;"'!"&amp;ADDRESS($AD36,CI$1)),CI35)</f>
        <v/>
      </c>
      <c r="CJ36" s="73">
        <f>IF(INDIRECT("'"&amp;$B$3&amp;"'!"&amp;ADDRESS($AD36,CJ$1)),INDIRECT("'"&amp;$B$3&amp;"'!"&amp;ADDRESS($AD36,CJ$1)),CJ35)</f>
        <v/>
      </c>
      <c r="CK36" s="73">
        <f>IF(INDIRECT("'"&amp;$B$3&amp;"'!"&amp;ADDRESS($AD36,CK$1)),INDIRECT("'"&amp;$B$3&amp;"'!"&amp;ADDRESS($AD36,CK$1)),CK35)</f>
        <v/>
      </c>
      <c r="CL36" s="73">
        <f>IF(INDIRECT("'"&amp;$B$3&amp;"'!"&amp;ADDRESS($AD36,CL$1)),INDIRECT("'"&amp;$B$3&amp;"'!"&amp;ADDRESS($AD36,CL$1)),CL35)</f>
        <v/>
      </c>
      <c r="CM36" s="73">
        <f>IF(INDIRECT("'"&amp;$B$3&amp;"'!"&amp;ADDRESS($AD36,CM$1)),INDIRECT("'"&amp;$B$3&amp;"'!"&amp;ADDRESS($AD36,CM$1)),CM35)</f>
        <v/>
      </c>
      <c r="CN36" s="73">
        <f>IF(INDIRECT("'"&amp;$B$3&amp;"'!"&amp;ADDRESS($AD36,CN$1)),INDIRECT("'"&amp;$B$3&amp;"'!"&amp;ADDRESS($AD36,CN$1)),CN35)</f>
        <v/>
      </c>
      <c r="CO36" s="73">
        <f>IF(INDIRECT("'"&amp;$B$3&amp;"'!"&amp;ADDRESS($AD36,CO$1)),INDIRECT("'"&amp;$B$3&amp;"'!"&amp;ADDRESS($AD36,CO$1)),CO35)</f>
        <v/>
      </c>
      <c r="CP36" s="73">
        <f>IF(INDIRECT("'"&amp;$B$3&amp;"'!"&amp;ADDRESS($AD36,CP$1)),INDIRECT("'"&amp;$B$3&amp;"'!"&amp;ADDRESS($AD36,CP$1)),CP35)</f>
        <v/>
      </c>
      <c r="CQ36" s="73">
        <f>IF(INDIRECT("'"&amp;$B$3&amp;"'!"&amp;ADDRESS($AD36,CQ$1)),INDIRECT("'"&amp;$B$3&amp;"'!"&amp;ADDRESS($AD36,CQ$1)),CQ35)</f>
        <v/>
      </c>
    </row>
    <row r="37">
      <c r="AA37" s="72" t="n"/>
      <c r="AB37" s="238" t="n"/>
      <c r="AC37" s="236" t="n"/>
      <c r="AD37" t="n">
        <v>37</v>
      </c>
      <c r="AE37" s="73">
        <f>INDIRECT("'"&amp;$B$3&amp;"'!"&amp;ADDRESS($AD37,AE$1))</f>
        <v/>
      </c>
      <c r="AF37" s="73">
        <f>INDIRECT("'"&amp;$B$3&amp;"'!"&amp;ADDRESS($AD37,AF$1))</f>
        <v/>
      </c>
      <c r="AG37" s="73">
        <f>INDIRECT("'"&amp;$B$3&amp;"'!"&amp;ADDRESS($AD37,AG$1))</f>
        <v/>
      </c>
      <c r="AH37" s="73">
        <f>INDIRECT("'"&amp;$B$3&amp;"'!"&amp;ADDRESS($AD37,AH$1))</f>
        <v/>
      </c>
      <c r="AI37" s="73">
        <f>INDIRECT("'"&amp;$B$3&amp;"'!"&amp;ADDRESS($AD37,AI$1))</f>
        <v/>
      </c>
      <c r="AJ37" s="73">
        <f>INDIRECT("'"&amp;$B$3&amp;"'!"&amp;ADDRESS($AD37,AJ$1))</f>
        <v/>
      </c>
      <c r="AK37" s="73">
        <f>INDIRECT("'"&amp;$B$3&amp;"'!"&amp;ADDRESS($AD37,AK$1))</f>
        <v/>
      </c>
      <c r="AL37" s="73">
        <f>INDIRECT("'"&amp;$B$3&amp;"'!"&amp;ADDRESS($AD37,AL$1))</f>
        <v/>
      </c>
      <c r="AM37" s="73">
        <f>INDIRECT("'"&amp;$B$3&amp;"'!"&amp;ADDRESS($AD37,AM$1))</f>
        <v/>
      </c>
      <c r="AN37" s="73">
        <f>INDIRECT("'"&amp;$B$3&amp;"'!"&amp;ADDRESS($AD37,AN$1))</f>
        <v/>
      </c>
      <c r="AO37" s="73">
        <f>INDIRECT("'"&amp;$B$3&amp;"'!"&amp;ADDRESS($AD37,AO$1))</f>
        <v/>
      </c>
      <c r="AP37" s="73">
        <f>INDIRECT("'"&amp;$B$3&amp;"'!"&amp;ADDRESS($AD37,AP$1))</f>
        <v/>
      </c>
      <c r="AQ37" s="73">
        <f>INDIRECT("'"&amp;$B$3&amp;"'!"&amp;ADDRESS($AD37,AQ$1))</f>
        <v/>
      </c>
      <c r="AR37" s="73">
        <f>INDIRECT("'"&amp;$B$3&amp;"'!"&amp;ADDRESS($AD37,AR$1))</f>
        <v/>
      </c>
      <c r="AU37" s="236" t="n"/>
      <c r="AV37" s="73">
        <f>INDIRECT("'"&amp;$B$3&amp;"'!"&amp;ADDRESS($AD37,AV$1))</f>
        <v/>
      </c>
      <c r="AW37" s="73">
        <f>INDIRECT("'"&amp;$B$3&amp;"'!"&amp;ADDRESS($AD37,AW$1))</f>
        <v/>
      </c>
      <c r="AX37" s="73">
        <f>INDIRECT("'"&amp;$B$3&amp;"'!"&amp;ADDRESS($AD37,AX$1))</f>
        <v/>
      </c>
      <c r="AY37" s="73">
        <f>INDIRECT("'"&amp;$B$3&amp;"'!"&amp;ADDRESS($AD37,AY$1))</f>
        <v/>
      </c>
      <c r="AZ37" s="73">
        <f>INDIRECT("'"&amp;$B$3&amp;"'!"&amp;ADDRESS($AD37,AZ$1))</f>
        <v/>
      </c>
      <c r="BA37" s="73">
        <f>INDIRECT("'"&amp;$B$3&amp;"'!"&amp;ADDRESS($AD37,BA$1))</f>
        <v/>
      </c>
      <c r="BB37" s="73">
        <f>INDIRECT("'"&amp;$B$3&amp;"'!"&amp;ADDRESS($AD37,BB$1))</f>
        <v/>
      </c>
      <c r="BC37" s="73">
        <f>INDIRECT("'"&amp;$B$3&amp;"'!"&amp;ADDRESS($AD37,BC$1))</f>
        <v/>
      </c>
      <c r="BD37" s="73">
        <f>INDIRECT("'"&amp;$B$3&amp;"'!"&amp;ADDRESS($AD37,BD$1))</f>
        <v/>
      </c>
      <c r="BE37" s="73">
        <f>INDIRECT("'"&amp;$B$3&amp;"'!"&amp;ADDRESS($AD37,BE$1))</f>
        <v/>
      </c>
      <c r="BF37" s="73">
        <f>INDIRECT("'"&amp;$B$3&amp;"'!"&amp;ADDRESS($AD37,BF$1))</f>
        <v/>
      </c>
      <c r="BG37" s="73">
        <f>INDIRECT("'"&amp;$B$3&amp;"'!"&amp;ADDRESS($AD37,BG$1))</f>
        <v/>
      </c>
      <c r="BH37" s="73">
        <f>INDIRECT("'"&amp;$B$3&amp;"'!"&amp;ADDRESS($AD37,BH$1))</f>
        <v/>
      </c>
      <c r="BI37" s="73">
        <f>INDIRECT("'"&amp;$B$3&amp;"'!"&amp;ADDRESS($AD37,BI$1))</f>
        <v/>
      </c>
      <c r="BM37" s="73">
        <f>IF(INDIRECT("'"&amp;$B$3&amp;"'!"&amp;ADDRESS($AD37,BM$1)),INDIRECT("'"&amp;$B$3&amp;"'!"&amp;ADDRESS($AD37,BM$1)),BM36)</f>
        <v/>
      </c>
      <c r="BN37" s="73">
        <f>IF(INDIRECT("'"&amp;$B$3&amp;"'!"&amp;ADDRESS($AD37,BN$1)),INDIRECT("'"&amp;$B$3&amp;"'!"&amp;ADDRESS($AD37,BN$1)),BN36)</f>
        <v/>
      </c>
      <c r="BO37" s="73">
        <f>IF(INDIRECT("'"&amp;$B$3&amp;"'!"&amp;ADDRESS($AD37,BO$1)),INDIRECT("'"&amp;$B$3&amp;"'!"&amp;ADDRESS($AD37,BO$1)),BO36)</f>
        <v/>
      </c>
      <c r="BP37" s="73">
        <f>IF(INDIRECT("'"&amp;$B$3&amp;"'!"&amp;ADDRESS($AD37,BP$1)),INDIRECT("'"&amp;$B$3&amp;"'!"&amp;ADDRESS($AD37,BP$1)),BP36)</f>
        <v/>
      </c>
      <c r="BQ37" s="73">
        <f>IF(INDIRECT("'"&amp;$B$3&amp;"'!"&amp;ADDRESS($AD37,BQ$1)),INDIRECT("'"&amp;$B$3&amp;"'!"&amp;ADDRESS($AD37,BQ$1)),BQ36)</f>
        <v/>
      </c>
      <c r="BR37" s="73">
        <f>IF(INDIRECT("'"&amp;$B$3&amp;"'!"&amp;ADDRESS($AD37,BR$1)),INDIRECT("'"&amp;$B$3&amp;"'!"&amp;ADDRESS($AD37,BR$1)),BR36)</f>
        <v/>
      </c>
      <c r="BS37" s="73">
        <f>IF(INDIRECT("'"&amp;$B$3&amp;"'!"&amp;ADDRESS($AD37,BS$1)),INDIRECT("'"&amp;$B$3&amp;"'!"&amp;ADDRESS($AD37,BS$1)),BS36)</f>
        <v/>
      </c>
      <c r="BT37" s="73">
        <f>IF(INDIRECT("'"&amp;$B$3&amp;"'!"&amp;ADDRESS($AD37,BT$1)),INDIRECT("'"&amp;$B$3&amp;"'!"&amp;ADDRESS($AD37,BT$1)),BT36)</f>
        <v/>
      </c>
      <c r="BU37" s="73">
        <f>IF(INDIRECT("'"&amp;$B$3&amp;"'!"&amp;ADDRESS($AD37,BU$1)),INDIRECT("'"&amp;$B$3&amp;"'!"&amp;ADDRESS($AD37,BU$1)),BU36)</f>
        <v/>
      </c>
      <c r="BV37" s="73">
        <f>IF(INDIRECT("'"&amp;$B$3&amp;"'!"&amp;ADDRESS($AD37,BV$1)),INDIRECT("'"&amp;$B$3&amp;"'!"&amp;ADDRESS($AD37,BV$1)),BV36)</f>
        <v/>
      </c>
      <c r="BW37" s="73">
        <f>IF(INDIRECT("'"&amp;$B$3&amp;"'!"&amp;ADDRESS($AD37,BW$1)),INDIRECT("'"&amp;$B$3&amp;"'!"&amp;ADDRESS($AD37,BW$1)),BW36)</f>
        <v/>
      </c>
      <c r="BX37" s="73">
        <f>IF(INDIRECT("'"&amp;$B$3&amp;"'!"&amp;ADDRESS($AD37,BX$1)),INDIRECT("'"&amp;$B$3&amp;"'!"&amp;ADDRESS($AD37,BX$1)),BX36)</f>
        <v/>
      </c>
      <c r="BY37" s="73">
        <f>IF(INDIRECT("'"&amp;$B$3&amp;"'!"&amp;ADDRESS($AD37,BY$1)),INDIRECT("'"&amp;$B$3&amp;"'!"&amp;ADDRESS($AD37,BY$1)),BY36)</f>
        <v/>
      </c>
      <c r="BZ37" s="73">
        <f>IF(INDIRECT("'"&amp;$B$3&amp;"'!"&amp;ADDRESS($AD37,BZ$1)),INDIRECT("'"&amp;$B$3&amp;"'!"&amp;ADDRESS($AD37,BZ$1)),BZ36)</f>
        <v/>
      </c>
      <c r="CD37" s="73">
        <f>IF(INDIRECT("'"&amp;$B$3&amp;"'!"&amp;ADDRESS($AD37,CD$1)),INDIRECT("'"&amp;$B$3&amp;"'!"&amp;ADDRESS($AD37,CD$1)),CD36)</f>
        <v/>
      </c>
      <c r="CE37" s="73">
        <f>IF(INDIRECT("'"&amp;$B$3&amp;"'!"&amp;ADDRESS($AD37,CE$1)),INDIRECT("'"&amp;$B$3&amp;"'!"&amp;ADDRESS($AD37,CE$1)),CE36)</f>
        <v/>
      </c>
      <c r="CF37" s="73">
        <f>IF(INDIRECT("'"&amp;$B$3&amp;"'!"&amp;ADDRESS($AD37,CF$1)),INDIRECT("'"&amp;$B$3&amp;"'!"&amp;ADDRESS($AD37,CF$1)),CF36)</f>
        <v/>
      </c>
      <c r="CG37" s="73">
        <f>IF(INDIRECT("'"&amp;$B$3&amp;"'!"&amp;ADDRESS($AD37,CG$1)),INDIRECT("'"&amp;$B$3&amp;"'!"&amp;ADDRESS($AD37,CG$1)),CG36)</f>
        <v/>
      </c>
      <c r="CH37" s="73">
        <f>IF(INDIRECT("'"&amp;$B$3&amp;"'!"&amp;ADDRESS($AD37,CH$1)),INDIRECT("'"&amp;$B$3&amp;"'!"&amp;ADDRESS($AD37,CH$1)),CH36)</f>
        <v/>
      </c>
      <c r="CI37" s="73">
        <f>IF(INDIRECT("'"&amp;$B$3&amp;"'!"&amp;ADDRESS($AD37,CI$1)),INDIRECT("'"&amp;$B$3&amp;"'!"&amp;ADDRESS($AD37,CI$1)),CI36)</f>
        <v/>
      </c>
      <c r="CJ37" s="73">
        <f>IF(INDIRECT("'"&amp;$B$3&amp;"'!"&amp;ADDRESS($AD37,CJ$1)),INDIRECT("'"&amp;$B$3&amp;"'!"&amp;ADDRESS($AD37,CJ$1)),CJ36)</f>
        <v/>
      </c>
      <c r="CK37" s="73">
        <f>IF(INDIRECT("'"&amp;$B$3&amp;"'!"&amp;ADDRESS($AD37,CK$1)),INDIRECT("'"&amp;$B$3&amp;"'!"&amp;ADDRESS($AD37,CK$1)),CK36)</f>
        <v/>
      </c>
      <c r="CL37" s="73">
        <f>IF(INDIRECT("'"&amp;$B$3&amp;"'!"&amp;ADDRESS($AD37,CL$1)),INDIRECT("'"&amp;$B$3&amp;"'!"&amp;ADDRESS($AD37,CL$1)),CL36)</f>
        <v/>
      </c>
      <c r="CM37" s="73">
        <f>IF(INDIRECT("'"&amp;$B$3&amp;"'!"&amp;ADDRESS($AD37,CM$1)),INDIRECT("'"&amp;$B$3&amp;"'!"&amp;ADDRESS($AD37,CM$1)),CM36)</f>
        <v/>
      </c>
      <c r="CN37" s="73">
        <f>IF(INDIRECT("'"&amp;$B$3&amp;"'!"&amp;ADDRESS($AD37,CN$1)),INDIRECT("'"&amp;$B$3&amp;"'!"&amp;ADDRESS($AD37,CN$1)),CN36)</f>
        <v/>
      </c>
      <c r="CO37" s="73">
        <f>IF(INDIRECT("'"&amp;$B$3&amp;"'!"&amp;ADDRESS($AD37,CO$1)),INDIRECT("'"&amp;$B$3&amp;"'!"&amp;ADDRESS($AD37,CO$1)),CO36)</f>
        <v/>
      </c>
      <c r="CP37" s="73">
        <f>IF(INDIRECT("'"&amp;$B$3&amp;"'!"&amp;ADDRESS($AD37,CP$1)),INDIRECT("'"&amp;$B$3&amp;"'!"&amp;ADDRESS($AD37,CP$1)),CP36)</f>
        <v/>
      </c>
      <c r="CQ37" s="73">
        <f>IF(INDIRECT("'"&amp;$B$3&amp;"'!"&amp;ADDRESS($AD37,CQ$1)),INDIRECT("'"&amp;$B$3&amp;"'!"&amp;ADDRESS($AD37,CQ$1)),CQ36)</f>
        <v/>
      </c>
    </row>
    <row r="38">
      <c r="AA38" s="72" t="n"/>
      <c r="AB38" s="238" t="n"/>
      <c r="AC38" s="236" t="n"/>
      <c r="AD38" t="n">
        <v>38</v>
      </c>
      <c r="AE38" s="73">
        <f>INDIRECT("'"&amp;$B$3&amp;"'!"&amp;ADDRESS($AD38,AE$1))</f>
        <v/>
      </c>
      <c r="AF38" s="73">
        <f>INDIRECT("'"&amp;$B$3&amp;"'!"&amp;ADDRESS($AD38,AF$1))</f>
        <v/>
      </c>
      <c r="AG38" s="73">
        <f>INDIRECT("'"&amp;$B$3&amp;"'!"&amp;ADDRESS($AD38,AG$1))</f>
        <v/>
      </c>
      <c r="AH38" s="73">
        <f>INDIRECT("'"&amp;$B$3&amp;"'!"&amp;ADDRESS($AD38,AH$1))</f>
        <v/>
      </c>
      <c r="AI38" s="73">
        <f>INDIRECT("'"&amp;$B$3&amp;"'!"&amp;ADDRESS($AD38,AI$1))</f>
        <v/>
      </c>
      <c r="AJ38" s="73">
        <f>INDIRECT("'"&amp;$B$3&amp;"'!"&amp;ADDRESS($AD38,AJ$1))</f>
        <v/>
      </c>
      <c r="AK38" s="73">
        <f>INDIRECT("'"&amp;$B$3&amp;"'!"&amp;ADDRESS($AD38,AK$1))</f>
        <v/>
      </c>
      <c r="AL38" s="73">
        <f>INDIRECT("'"&amp;$B$3&amp;"'!"&amp;ADDRESS($AD38,AL$1))</f>
        <v/>
      </c>
      <c r="AM38" s="73">
        <f>INDIRECT("'"&amp;$B$3&amp;"'!"&amp;ADDRESS($AD38,AM$1))</f>
        <v/>
      </c>
      <c r="AN38" s="73">
        <f>INDIRECT("'"&amp;$B$3&amp;"'!"&amp;ADDRESS($AD38,AN$1))</f>
        <v/>
      </c>
      <c r="AO38" s="73">
        <f>INDIRECT("'"&amp;$B$3&amp;"'!"&amp;ADDRESS($AD38,AO$1))</f>
        <v/>
      </c>
      <c r="AP38" s="73">
        <f>INDIRECT("'"&amp;$B$3&amp;"'!"&amp;ADDRESS($AD38,AP$1))</f>
        <v/>
      </c>
      <c r="AQ38" s="73">
        <f>INDIRECT("'"&amp;$B$3&amp;"'!"&amp;ADDRESS($AD38,AQ$1))</f>
        <v/>
      </c>
      <c r="AR38" s="73">
        <f>INDIRECT("'"&amp;$B$3&amp;"'!"&amp;ADDRESS($AD38,AR$1))</f>
        <v/>
      </c>
      <c r="AU38" s="236" t="n"/>
      <c r="AV38" s="73">
        <f>INDIRECT("'"&amp;$B$3&amp;"'!"&amp;ADDRESS($AD38,AV$1))</f>
        <v/>
      </c>
      <c r="AW38" s="73">
        <f>INDIRECT("'"&amp;$B$3&amp;"'!"&amp;ADDRESS($AD38,AW$1))</f>
        <v/>
      </c>
      <c r="AX38" s="73">
        <f>INDIRECT("'"&amp;$B$3&amp;"'!"&amp;ADDRESS($AD38,AX$1))</f>
        <v/>
      </c>
      <c r="AY38" s="73">
        <f>INDIRECT("'"&amp;$B$3&amp;"'!"&amp;ADDRESS($AD38,AY$1))</f>
        <v/>
      </c>
      <c r="AZ38" s="73">
        <f>INDIRECT("'"&amp;$B$3&amp;"'!"&amp;ADDRESS($AD38,AZ$1))</f>
        <v/>
      </c>
      <c r="BA38" s="73">
        <f>INDIRECT("'"&amp;$B$3&amp;"'!"&amp;ADDRESS($AD38,BA$1))</f>
        <v/>
      </c>
      <c r="BB38" s="73">
        <f>INDIRECT("'"&amp;$B$3&amp;"'!"&amp;ADDRESS($AD38,BB$1))</f>
        <v/>
      </c>
      <c r="BC38" s="73">
        <f>INDIRECT("'"&amp;$B$3&amp;"'!"&amp;ADDRESS($AD38,BC$1))</f>
        <v/>
      </c>
      <c r="BD38" s="73">
        <f>INDIRECT("'"&amp;$B$3&amp;"'!"&amp;ADDRESS($AD38,BD$1))</f>
        <v/>
      </c>
      <c r="BE38" s="73">
        <f>INDIRECT("'"&amp;$B$3&amp;"'!"&amp;ADDRESS($AD38,BE$1))</f>
        <v/>
      </c>
      <c r="BF38" s="73">
        <f>INDIRECT("'"&amp;$B$3&amp;"'!"&amp;ADDRESS($AD38,BF$1))</f>
        <v/>
      </c>
      <c r="BG38" s="73">
        <f>INDIRECT("'"&amp;$B$3&amp;"'!"&amp;ADDRESS($AD38,BG$1))</f>
        <v/>
      </c>
      <c r="BH38" s="73">
        <f>INDIRECT("'"&amp;$B$3&amp;"'!"&amp;ADDRESS($AD38,BH$1))</f>
        <v/>
      </c>
      <c r="BI38" s="73">
        <f>INDIRECT("'"&amp;$B$3&amp;"'!"&amp;ADDRESS($AD38,BI$1))</f>
        <v/>
      </c>
      <c r="BM38" s="73">
        <f>IF(INDIRECT("'"&amp;$B$3&amp;"'!"&amp;ADDRESS($AD38,BM$1)),INDIRECT("'"&amp;$B$3&amp;"'!"&amp;ADDRESS($AD38,BM$1)),BM37)</f>
        <v/>
      </c>
      <c r="BN38" s="73">
        <f>IF(INDIRECT("'"&amp;$B$3&amp;"'!"&amp;ADDRESS($AD38,BN$1)),INDIRECT("'"&amp;$B$3&amp;"'!"&amp;ADDRESS($AD38,BN$1)),BN37)</f>
        <v/>
      </c>
      <c r="BO38" s="73">
        <f>IF(INDIRECT("'"&amp;$B$3&amp;"'!"&amp;ADDRESS($AD38,BO$1)),INDIRECT("'"&amp;$B$3&amp;"'!"&amp;ADDRESS($AD38,BO$1)),BO37)</f>
        <v/>
      </c>
      <c r="BP38" s="73">
        <f>IF(INDIRECT("'"&amp;$B$3&amp;"'!"&amp;ADDRESS($AD38,BP$1)),INDIRECT("'"&amp;$B$3&amp;"'!"&amp;ADDRESS($AD38,BP$1)),BP37)</f>
        <v/>
      </c>
      <c r="BQ38" s="73">
        <f>IF(INDIRECT("'"&amp;$B$3&amp;"'!"&amp;ADDRESS($AD38,BQ$1)),INDIRECT("'"&amp;$B$3&amp;"'!"&amp;ADDRESS($AD38,BQ$1)),BQ37)</f>
        <v/>
      </c>
      <c r="BR38" s="73">
        <f>IF(INDIRECT("'"&amp;$B$3&amp;"'!"&amp;ADDRESS($AD38,BR$1)),INDIRECT("'"&amp;$B$3&amp;"'!"&amp;ADDRESS($AD38,BR$1)),BR37)</f>
        <v/>
      </c>
      <c r="BS38" s="73">
        <f>IF(INDIRECT("'"&amp;$B$3&amp;"'!"&amp;ADDRESS($AD38,BS$1)),INDIRECT("'"&amp;$B$3&amp;"'!"&amp;ADDRESS($AD38,BS$1)),BS37)</f>
        <v/>
      </c>
      <c r="BT38" s="73">
        <f>IF(INDIRECT("'"&amp;$B$3&amp;"'!"&amp;ADDRESS($AD38,BT$1)),INDIRECT("'"&amp;$B$3&amp;"'!"&amp;ADDRESS($AD38,BT$1)),BT37)</f>
        <v/>
      </c>
      <c r="BU38" s="73">
        <f>IF(INDIRECT("'"&amp;$B$3&amp;"'!"&amp;ADDRESS($AD38,BU$1)),INDIRECT("'"&amp;$B$3&amp;"'!"&amp;ADDRESS($AD38,BU$1)),BU37)</f>
        <v/>
      </c>
      <c r="BV38" s="73">
        <f>IF(INDIRECT("'"&amp;$B$3&amp;"'!"&amp;ADDRESS($AD38,BV$1)),INDIRECT("'"&amp;$B$3&amp;"'!"&amp;ADDRESS($AD38,BV$1)),BV37)</f>
        <v/>
      </c>
      <c r="BW38" s="73">
        <f>IF(INDIRECT("'"&amp;$B$3&amp;"'!"&amp;ADDRESS($AD38,BW$1)),INDIRECT("'"&amp;$B$3&amp;"'!"&amp;ADDRESS($AD38,BW$1)),BW37)</f>
        <v/>
      </c>
      <c r="BX38" s="73">
        <f>IF(INDIRECT("'"&amp;$B$3&amp;"'!"&amp;ADDRESS($AD38,BX$1)),INDIRECT("'"&amp;$B$3&amp;"'!"&amp;ADDRESS($AD38,BX$1)),BX37)</f>
        <v/>
      </c>
      <c r="BY38" s="73">
        <f>IF(INDIRECT("'"&amp;$B$3&amp;"'!"&amp;ADDRESS($AD38,BY$1)),INDIRECT("'"&amp;$B$3&amp;"'!"&amp;ADDRESS($AD38,BY$1)),BY37)</f>
        <v/>
      </c>
      <c r="BZ38" s="73">
        <f>IF(INDIRECT("'"&amp;$B$3&amp;"'!"&amp;ADDRESS($AD38,BZ$1)),INDIRECT("'"&amp;$B$3&amp;"'!"&amp;ADDRESS($AD38,BZ$1)),BZ37)</f>
        <v/>
      </c>
      <c r="CD38" s="73">
        <f>IF(INDIRECT("'"&amp;$B$3&amp;"'!"&amp;ADDRESS($AD38,CD$1)),INDIRECT("'"&amp;$B$3&amp;"'!"&amp;ADDRESS($AD38,CD$1)),CD37)</f>
        <v/>
      </c>
      <c r="CE38" s="73">
        <f>IF(INDIRECT("'"&amp;$B$3&amp;"'!"&amp;ADDRESS($AD38,CE$1)),INDIRECT("'"&amp;$B$3&amp;"'!"&amp;ADDRESS($AD38,CE$1)),CE37)</f>
        <v/>
      </c>
      <c r="CF38" s="73">
        <f>IF(INDIRECT("'"&amp;$B$3&amp;"'!"&amp;ADDRESS($AD38,CF$1)),INDIRECT("'"&amp;$B$3&amp;"'!"&amp;ADDRESS($AD38,CF$1)),CF37)</f>
        <v/>
      </c>
      <c r="CG38" s="73">
        <f>IF(INDIRECT("'"&amp;$B$3&amp;"'!"&amp;ADDRESS($AD38,CG$1)),INDIRECT("'"&amp;$B$3&amp;"'!"&amp;ADDRESS($AD38,CG$1)),CG37)</f>
        <v/>
      </c>
      <c r="CH38" s="73">
        <f>IF(INDIRECT("'"&amp;$B$3&amp;"'!"&amp;ADDRESS($AD38,CH$1)),INDIRECT("'"&amp;$B$3&amp;"'!"&amp;ADDRESS($AD38,CH$1)),CH37)</f>
        <v/>
      </c>
      <c r="CI38" s="73">
        <f>IF(INDIRECT("'"&amp;$B$3&amp;"'!"&amp;ADDRESS($AD38,CI$1)),INDIRECT("'"&amp;$B$3&amp;"'!"&amp;ADDRESS($AD38,CI$1)),CI37)</f>
        <v/>
      </c>
      <c r="CJ38" s="73">
        <f>IF(INDIRECT("'"&amp;$B$3&amp;"'!"&amp;ADDRESS($AD38,CJ$1)),INDIRECT("'"&amp;$B$3&amp;"'!"&amp;ADDRESS($AD38,CJ$1)),CJ37)</f>
        <v/>
      </c>
      <c r="CK38" s="73">
        <f>IF(INDIRECT("'"&amp;$B$3&amp;"'!"&amp;ADDRESS($AD38,CK$1)),INDIRECT("'"&amp;$B$3&amp;"'!"&amp;ADDRESS($AD38,CK$1)),CK37)</f>
        <v/>
      </c>
      <c r="CL38" s="73">
        <f>IF(INDIRECT("'"&amp;$B$3&amp;"'!"&amp;ADDRESS($AD38,CL$1)),INDIRECT("'"&amp;$B$3&amp;"'!"&amp;ADDRESS($AD38,CL$1)),CL37)</f>
        <v/>
      </c>
      <c r="CM38" s="73">
        <f>IF(INDIRECT("'"&amp;$B$3&amp;"'!"&amp;ADDRESS($AD38,CM$1)),INDIRECT("'"&amp;$B$3&amp;"'!"&amp;ADDRESS($AD38,CM$1)),CM37)</f>
        <v/>
      </c>
      <c r="CN38" s="73">
        <f>IF(INDIRECT("'"&amp;$B$3&amp;"'!"&amp;ADDRESS($AD38,CN$1)),INDIRECT("'"&amp;$B$3&amp;"'!"&amp;ADDRESS($AD38,CN$1)),CN37)</f>
        <v/>
      </c>
      <c r="CO38" s="73">
        <f>IF(INDIRECT("'"&amp;$B$3&amp;"'!"&amp;ADDRESS($AD38,CO$1)),INDIRECT("'"&amp;$B$3&amp;"'!"&amp;ADDRESS($AD38,CO$1)),CO37)</f>
        <v/>
      </c>
      <c r="CP38" s="73">
        <f>IF(INDIRECT("'"&amp;$B$3&amp;"'!"&amp;ADDRESS($AD38,CP$1)),INDIRECT("'"&amp;$B$3&amp;"'!"&amp;ADDRESS($AD38,CP$1)),CP37)</f>
        <v/>
      </c>
      <c r="CQ38" s="73">
        <f>IF(INDIRECT("'"&amp;$B$3&amp;"'!"&amp;ADDRESS($AD38,CQ$1)),INDIRECT("'"&amp;$B$3&amp;"'!"&amp;ADDRESS($AD38,CQ$1)),CQ37)</f>
        <v/>
      </c>
    </row>
    <row r="39">
      <c r="AA39" s="72" t="n"/>
      <c r="AB39" s="238" t="n"/>
      <c r="AC39" s="236" t="n"/>
      <c r="AD39" t="n">
        <v>39</v>
      </c>
      <c r="AE39" s="73">
        <f>INDIRECT("'"&amp;$B$3&amp;"'!"&amp;ADDRESS($AD39,AE$1))</f>
        <v/>
      </c>
      <c r="AF39" s="73">
        <f>INDIRECT("'"&amp;$B$3&amp;"'!"&amp;ADDRESS($AD39,AF$1))</f>
        <v/>
      </c>
      <c r="AG39" s="73">
        <f>INDIRECT("'"&amp;$B$3&amp;"'!"&amp;ADDRESS($AD39,AG$1))</f>
        <v/>
      </c>
      <c r="AH39" s="73">
        <f>INDIRECT("'"&amp;$B$3&amp;"'!"&amp;ADDRESS($AD39,AH$1))</f>
        <v/>
      </c>
      <c r="AI39" s="73">
        <f>INDIRECT("'"&amp;$B$3&amp;"'!"&amp;ADDRESS($AD39,AI$1))</f>
        <v/>
      </c>
      <c r="AJ39" s="73">
        <f>INDIRECT("'"&amp;$B$3&amp;"'!"&amp;ADDRESS($AD39,AJ$1))</f>
        <v/>
      </c>
      <c r="AK39" s="73">
        <f>INDIRECT("'"&amp;$B$3&amp;"'!"&amp;ADDRESS($AD39,AK$1))</f>
        <v/>
      </c>
      <c r="AL39" s="73">
        <f>INDIRECT("'"&amp;$B$3&amp;"'!"&amp;ADDRESS($AD39,AL$1))</f>
        <v/>
      </c>
      <c r="AM39" s="73">
        <f>INDIRECT("'"&amp;$B$3&amp;"'!"&amp;ADDRESS($AD39,AM$1))</f>
        <v/>
      </c>
      <c r="AN39" s="73">
        <f>INDIRECT("'"&amp;$B$3&amp;"'!"&amp;ADDRESS($AD39,AN$1))</f>
        <v/>
      </c>
      <c r="AO39" s="73">
        <f>INDIRECT("'"&amp;$B$3&amp;"'!"&amp;ADDRESS($AD39,AO$1))</f>
        <v/>
      </c>
      <c r="AP39" s="73">
        <f>INDIRECT("'"&amp;$B$3&amp;"'!"&amp;ADDRESS($AD39,AP$1))</f>
        <v/>
      </c>
      <c r="AQ39" s="73">
        <f>INDIRECT("'"&amp;$B$3&amp;"'!"&amp;ADDRESS($AD39,AQ$1))</f>
        <v/>
      </c>
      <c r="AR39" s="73">
        <f>INDIRECT("'"&amp;$B$3&amp;"'!"&amp;ADDRESS($AD39,AR$1))</f>
        <v/>
      </c>
      <c r="AS39" s="74" t="n"/>
      <c r="AT39" s="74" t="n"/>
      <c r="AU39" s="236" t="n"/>
      <c r="AV39" s="73">
        <f>INDIRECT("'"&amp;$B$3&amp;"'!"&amp;ADDRESS($AD39,AV$1))</f>
        <v/>
      </c>
      <c r="AW39" s="73">
        <f>INDIRECT("'"&amp;$B$3&amp;"'!"&amp;ADDRESS($AD39,AW$1))</f>
        <v/>
      </c>
      <c r="AX39" s="73">
        <f>INDIRECT("'"&amp;$B$3&amp;"'!"&amp;ADDRESS($AD39,AX$1))</f>
        <v/>
      </c>
      <c r="AY39" s="73">
        <f>INDIRECT("'"&amp;$B$3&amp;"'!"&amp;ADDRESS($AD39,AY$1))</f>
        <v/>
      </c>
      <c r="AZ39" s="73">
        <f>INDIRECT("'"&amp;$B$3&amp;"'!"&amp;ADDRESS($AD39,AZ$1))</f>
        <v/>
      </c>
      <c r="BA39" s="73">
        <f>INDIRECT("'"&amp;$B$3&amp;"'!"&amp;ADDRESS($AD39,BA$1))</f>
        <v/>
      </c>
      <c r="BB39" s="73">
        <f>INDIRECT("'"&amp;$B$3&amp;"'!"&amp;ADDRESS($AD39,BB$1))</f>
        <v/>
      </c>
      <c r="BC39" s="73">
        <f>INDIRECT("'"&amp;$B$3&amp;"'!"&amp;ADDRESS($AD39,BC$1))</f>
        <v/>
      </c>
      <c r="BD39" s="73">
        <f>INDIRECT("'"&amp;$B$3&amp;"'!"&amp;ADDRESS($AD39,BD$1))</f>
        <v/>
      </c>
      <c r="BE39" s="73">
        <f>INDIRECT("'"&amp;$B$3&amp;"'!"&amp;ADDRESS($AD39,BE$1))</f>
        <v/>
      </c>
      <c r="BF39" s="73">
        <f>INDIRECT("'"&amp;$B$3&amp;"'!"&amp;ADDRESS($AD39,BF$1))</f>
        <v/>
      </c>
      <c r="BG39" s="73">
        <f>INDIRECT("'"&amp;$B$3&amp;"'!"&amp;ADDRESS($AD39,BG$1))</f>
        <v/>
      </c>
      <c r="BH39" s="73">
        <f>INDIRECT("'"&amp;$B$3&amp;"'!"&amp;ADDRESS($AD39,BH$1))</f>
        <v/>
      </c>
      <c r="BI39" s="73">
        <f>INDIRECT("'"&amp;$B$3&amp;"'!"&amp;ADDRESS($AD39,BI$1))</f>
        <v/>
      </c>
      <c r="BM39" s="73">
        <f>IF(INDIRECT("'"&amp;$B$3&amp;"'!"&amp;ADDRESS($AD39,BM$1)),INDIRECT("'"&amp;$B$3&amp;"'!"&amp;ADDRESS($AD39,BM$1)),BM38)</f>
        <v/>
      </c>
      <c r="BN39" s="73">
        <f>IF(INDIRECT("'"&amp;$B$3&amp;"'!"&amp;ADDRESS($AD39,BN$1)),INDIRECT("'"&amp;$B$3&amp;"'!"&amp;ADDRESS($AD39,BN$1)),BN38)</f>
        <v/>
      </c>
      <c r="BO39" s="73">
        <f>IF(INDIRECT("'"&amp;$B$3&amp;"'!"&amp;ADDRESS($AD39,BO$1)),INDIRECT("'"&amp;$B$3&amp;"'!"&amp;ADDRESS($AD39,BO$1)),BO38)</f>
        <v/>
      </c>
      <c r="BP39" s="73">
        <f>IF(INDIRECT("'"&amp;$B$3&amp;"'!"&amp;ADDRESS($AD39,BP$1)),INDIRECT("'"&amp;$B$3&amp;"'!"&amp;ADDRESS($AD39,BP$1)),BP38)</f>
        <v/>
      </c>
      <c r="BQ39" s="73">
        <f>IF(INDIRECT("'"&amp;$B$3&amp;"'!"&amp;ADDRESS($AD39,BQ$1)),INDIRECT("'"&amp;$B$3&amp;"'!"&amp;ADDRESS($AD39,BQ$1)),BQ38)</f>
        <v/>
      </c>
      <c r="BR39" s="73">
        <f>IF(INDIRECT("'"&amp;$B$3&amp;"'!"&amp;ADDRESS($AD39,BR$1)),INDIRECT("'"&amp;$B$3&amp;"'!"&amp;ADDRESS($AD39,BR$1)),BR38)</f>
        <v/>
      </c>
      <c r="BS39" s="73">
        <f>IF(INDIRECT("'"&amp;$B$3&amp;"'!"&amp;ADDRESS($AD39,BS$1)),INDIRECT("'"&amp;$B$3&amp;"'!"&amp;ADDRESS($AD39,BS$1)),BS38)</f>
        <v/>
      </c>
      <c r="BT39" s="73">
        <f>IF(INDIRECT("'"&amp;$B$3&amp;"'!"&amp;ADDRESS($AD39,BT$1)),INDIRECT("'"&amp;$B$3&amp;"'!"&amp;ADDRESS($AD39,BT$1)),BT38)</f>
        <v/>
      </c>
      <c r="BU39" s="73">
        <f>IF(INDIRECT("'"&amp;$B$3&amp;"'!"&amp;ADDRESS($AD39,BU$1)),INDIRECT("'"&amp;$B$3&amp;"'!"&amp;ADDRESS($AD39,BU$1)),BU38)</f>
        <v/>
      </c>
      <c r="BV39" s="73">
        <f>IF(INDIRECT("'"&amp;$B$3&amp;"'!"&amp;ADDRESS($AD39,BV$1)),INDIRECT("'"&amp;$B$3&amp;"'!"&amp;ADDRESS($AD39,BV$1)),BV38)</f>
        <v/>
      </c>
      <c r="BW39" s="73">
        <f>IF(INDIRECT("'"&amp;$B$3&amp;"'!"&amp;ADDRESS($AD39,BW$1)),INDIRECT("'"&amp;$B$3&amp;"'!"&amp;ADDRESS($AD39,BW$1)),BW38)</f>
        <v/>
      </c>
      <c r="BX39" s="73">
        <f>IF(INDIRECT("'"&amp;$B$3&amp;"'!"&amp;ADDRESS($AD39,BX$1)),INDIRECT("'"&amp;$B$3&amp;"'!"&amp;ADDRESS($AD39,BX$1)),BX38)</f>
        <v/>
      </c>
      <c r="BY39" s="73">
        <f>IF(INDIRECT("'"&amp;$B$3&amp;"'!"&amp;ADDRESS($AD39,BY$1)),INDIRECT("'"&amp;$B$3&amp;"'!"&amp;ADDRESS($AD39,BY$1)),BY38)</f>
        <v/>
      </c>
      <c r="BZ39" s="73">
        <f>IF(INDIRECT("'"&amp;$B$3&amp;"'!"&amp;ADDRESS($AD39,BZ$1)),INDIRECT("'"&amp;$B$3&amp;"'!"&amp;ADDRESS($AD39,BZ$1)),BZ38)</f>
        <v/>
      </c>
      <c r="CD39" s="73">
        <f>IF(INDIRECT("'"&amp;$B$3&amp;"'!"&amp;ADDRESS($AD39,CD$1)),INDIRECT("'"&amp;$B$3&amp;"'!"&amp;ADDRESS($AD39,CD$1)),CD38)</f>
        <v/>
      </c>
      <c r="CE39" s="73">
        <f>IF(INDIRECT("'"&amp;$B$3&amp;"'!"&amp;ADDRESS($AD39,CE$1)),INDIRECT("'"&amp;$B$3&amp;"'!"&amp;ADDRESS($AD39,CE$1)),CE38)</f>
        <v/>
      </c>
      <c r="CF39" s="73">
        <f>IF(INDIRECT("'"&amp;$B$3&amp;"'!"&amp;ADDRESS($AD39,CF$1)),INDIRECT("'"&amp;$B$3&amp;"'!"&amp;ADDRESS($AD39,CF$1)),CF38)</f>
        <v/>
      </c>
      <c r="CG39" s="73">
        <f>IF(INDIRECT("'"&amp;$B$3&amp;"'!"&amp;ADDRESS($AD39,CG$1)),INDIRECT("'"&amp;$B$3&amp;"'!"&amp;ADDRESS($AD39,CG$1)),CG38)</f>
        <v/>
      </c>
      <c r="CH39" s="73">
        <f>IF(INDIRECT("'"&amp;$B$3&amp;"'!"&amp;ADDRESS($AD39,CH$1)),INDIRECT("'"&amp;$B$3&amp;"'!"&amp;ADDRESS($AD39,CH$1)),CH38)</f>
        <v/>
      </c>
      <c r="CI39" s="73">
        <f>IF(INDIRECT("'"&amp;$B$3&amp;"'!"&amp;ADDRESS($AD39,CI$1)),INDIRECT("'"&amp;$B$3&amp;"'!"&amp;ADDRESS($AD39,CI$1)),CI38)</f>
        <v/>
      </c>
      <c r="CJ39" s="73">
        <f>IF(INDIRECT("'"&amp;$B$3&amp;"'!"&amp;ADDRESS($AD39,CJ$1)),INDIRECT("'"&amp;$B$3&amp;"'!"&amp;ADDRESS($AD39,CJ$1)),CJ38)</f>
        <v/>
      </c>
      <c r="CK39" s="73">
        <f>IF(INDIRECT("'"&amp;$B$3&amp;"'!"&amp;ADDRESS($AD39,CK$1)),INDIRECT("'"&amp;$B$3&amp;"'!"&amp;ADDRESS($AD39,CK$1)),CK38)</f>
        <v/>
      </c>
      <c r="CL39" s="73">
        <f>IF(INDIRECT("'"&amp;$B$3&amp;"'!"&amp;ADDRESS($AD39,CL$1)),INDIRECT("'"&amp;$B$3&amp;"'!"&amp;ADDRESS($AD39,CL$1)),CL38)</f>
        <v/>
      </c>
      <c r="CM39" s="73">
        <f>IF(INDIRECT("'"&amp;$B$3&amp;"'!"&amp;ADDRESS($AD39,CM$1)),INDIRECT("'"&amp;$B$3&amp;"'!"&amp;ADDRESS($AD39,CM$1)),CM38)</f>
        <v/>
      </c>
      <c r="CN39" s="73">
        <f>IF(INDIRECT("'"&amp;$B$3&amp;"'!"&amp;ADDRESS($AD39,CN$1)),INDIRECT("'"&amp;$B$3&amp;"'!"&amp;ADDRESS($AD39,CN$1)),CN38)</f>
        <v/>
      </c>
      <c r="CO39" s="73">
        <f>IF(INDIRECT("'"&amp;$B$3&amp;"'!"&amp;ADDRESS($AD39,CO$1)),INDIRECT("'"&amp;$B$3&amp;"'!"&amp;ADDRESS($AD39,CO$1)),CO38)</f>
        <v/>
      </c>
      <c r="CP39" s="73">
        <f>IF(INDIRECT("'"&amp;$B$3&amp;"'!"&amp;ADDRESS($AD39,CP$1)),INDIRECT("'"&amp;$B$3&amp;"'!"&amp;ADDRESS($AD39,CP$1)),CP38)</f>
        <v/>
      </c>
      <c r="CQ39" s="73">
        <f>IF(INDIRECT("'"&amp;$B$3&amp;"'!"&amp;ADDRESS($AD39,CQ$1)),INDIRECT("'"&amp;$B$3&amp;"'!"&amp;ADDRESS($AD39,CQ$1)),CQ38)</f>
        <v/>
      </c>
    </row>
    <row r="40">
      <c r="AA40" s="72" t="n"/>
      <c r="AB40" s="239" t="n"/>
      <c r="AC40" s="236" t="n"/>
      <c r="AD40" t="n">
        <v>40</v>
      </c>
      <c r="AE40" s="73">
        <f>INDIRECT("'"&amp;$B$3&amp;"'!"&amp;ADDRESS($AD40,AE$1))</f>
        <v/>
      </c>
      <c r="AF40" s="73">
        <f>INDIRECT("'"&amp;$B$3&amp;"'!"&amp;ADDRESS($AD40,AF$1))</f>
        <v/>
      </c>
      <c r="AG40" s="73">
        <f>INDIRECT("'"&amp;$B$3&amp;"'!"&amp;ADDRESS($AD40,AG$1))</f>
        <v/>
      </c>
      <c r="AH40" s="73">
        <f>INDIRECT("'"&amp;$B$3&amp;"'!"&amp;ADDRESS($AD40,AH$1))</f>
        <v/>
      </c>
      <c r="AI40" s="73">
        <f>INDIRECT("'"&amp;$B$3&amp;"'!"&amp;ADDRESS($AD40,AI$1))</f>
        <v/>
      </c>
      <c r="AJ40" s="73">
        <f>INDIRECT("'"&amp;$B$3&amp;"'!"&amp;ADDRESS($AD40,AJ$1))</f>
        <v/>
      </c>
      <c r="AK40" s="73">
        <f>INDIRECT("'"&amp;$B$3&amp;"'!"&amp;ADDRESS($AD40,AK$1))</f>
        <v/>
      </c>
      <c r="AL40" s="73">
        <f>INDIRECT("'"&amp;$B$3&amp;"'!"&amp;ADDRESS($AD40,AL$1))</f>
        <v/>
      </c>
      <c r="AM40" s="73">
        <f>INDIRECT("'"&amp;$B$3&amp;"'!"&amp;ADDRESS($AD40,AM$1))</f>
        <v/>
      </c>
      <c r="AN40" s="73">
        <f>INDIRECT("'"&amp;$B$3&amp;"'!"&amp;ADDRESS($AD40,AN$1))</f>
        <v/>
      </c>
      <c r="AO40" s="73">
        <f>INDIRECT("'"&amp;$B$3&amp;"'!"&amp;ADDRESS($AD40,AO$1))</f>
        <v/>
      </c>
      <c r="AP40" s="73">
        <f>INDIRECT("'"&amp;$B$3&amp;"'!"&amp;ADDRESS($AD40,AP$1))</f>
        <v/>
      </c>
      <c r="AQ40" s="73">
        <f>INDIRECT("'"&amp;$B$3&amp;"'!"&amp;ADDRESS($AD40,AQ$1))</f>
        <v/>
      </c>
      <c r="AR40" s="73">
        <f>INDIRECT("'"&amp;$B$3&amp;"'!"&amp;ADDRESS($AD40,AR$1))</f>
        <v/>
      </c>
      <c r="AS40" s="74" t="n"/>
      <c r="AT40" s="74" t="n"/>
      <c r="AU40" s="236" t="n"/>
      <c r="AV40" s="73">
        <f>INDIRECT("'"&amp;$B$3&amp;"'!"&amp;ADDRESS($AD40,AV$1))</f>
        <v/>
      </c>
      <c r="AW40" s="73">
        <f>INDIRECT("'"&amp;$B$3&amp;"'!"&amp;ADDRESS($AD40,AW$1))</f>
        <v/>
      </c>
      <c r="AX40" s="73">
        <f>INDIRECT("'"&amp;$B$3&amp;"'!"&amp;ADDRESS($AD40,AX$1))</f>
        <v/>
      </c>
      <c r="AY40" s="73">
        <f>INDIRECT("'"&amp;$B$3&amp;"'!"&amp;ADDRESS($AD40,AY$1))</f>
        <v/>
      </c>
      <c r="AZ40" s="73">
        <f>INDIRECT("'"&amp;$B$3&amp;"'!"&amp;ADDRESS($AD40,AZ$1))</f>
        <v/>
      </c>
      <c r="BA40" s="73">
        <f>INDIRECT("'"&amp;$B$3&amp;"'!"&amp;ADDRESS($AD40,BA$1))</f>
        <v/>
      </c>
      <c r="BB40" s="73">
        <f>INDIRECT("'"&amp;$B$3&amp;"'!"&amp;ADDRESS($AD40,BB$1))</f>
        <v/>
      </c>
      <c r="BC40" s="73">
        <f>INDIRECT("'"&amp;$B$3&amp;"'!"&amp;ADDRESS($AD40,BC$1))</f>
        <v/>
      </c>
      <c r="BD40" s="73">
        <f>INDIRECT("'"&amp;$B$3&amp;"'!"&amp;ADDRESS($AD40,BD$1))</f>
        <v/>
      </c>
      <c r="BE40" s="73">
        <f>INDIRECT("'"&amp;$B$3&amp;"'!"&amp;ADDRESS($AD40,BE$1))</f>
        <v/>
      </c>
      <c r="BF40" s="73">
        <f>INDIRECT("'"&amp;$B$3&amp;"'!"&amp;ADDRESS($AD40,BF$1))</f>
        <v/>
      </c>
      <c r="BG40" s="73">
        <f>INDIRECT("'"&amp;$B$3&amp;"'!"&amp;ADDRESS($AD40,BG$1))</f>
        <v/>
      </c>
      <c r="BH40" s="73">
        <f>INDIRECT("'"&amp;$B$3&amp;"'!"&amp;ADDRESS($AD40,BH$1))</f>
        <v/>
      </c>
      <c r="BI40" s="73">
        <f>INDIRECT("'"&amp;$B$3&amp;"'!"&amp;ADDRESS($AD40,BI$1))</f>
        <v/>
      </c>
      <c r="BM40" s="73">
        <f>IF(INDIRECT("'"&amp;$B$3&amp;"'!"&amp;ADDRESS($AD40,BM$1)),INDIRECT("'"&amp;$B$3&amp;"'!"&amp;ADDRESS($AD40,BM$1)),BM39)</f>
        <v/>
      </c>
      <c r="BN40" s="73">
        <f>IF(INDIRECT("'"&amp;$B$3&amp;"'!"&amp;ADDRESS($AD40,BN$1)),INDIRECT("'"&amp;$B$3&amp;"'!"&amp;ADDRESS($AD40,BN$1)),BN39)</f>
        <v/>
      </c>
      <c r="BO40" s="73">
        <f>IF(INDIRECT("'"&amp;$B$3&amp;"'!"&amp;ADDRESS($AD40,BO$1)),INDIRECT("'"&amp;$B$3&amp;"'!"&amp;ADDRESS($AD40,BO$1)),BO39)</f>
        <v/>
      </c>
      <c r="BP40" s="73">
        <f>IF(INDIRECT("'"&amp;$B$3&amp;"'!"&amp;ADDRESS($AD40,BP$1)),INDIRECT("'"&amp;$B$3&amp;"'!"&amp;ADDRESS($AD40,BP$1)),BP39)</f>
        <v/>
      </c>
      <c r="BQ40" s="73">
        <f>IF(INDIRECT("'"&amp;$B$3&amp;"'!"&amp;ADDRESS($AD40,BQ$1)),INDIRECT("'"&amp;$B$3&amp;"'!"&amp;ADDRESS($AD40,BQ$1)),BQ39)</f>
        <v/>
      </c>
      <c r="BR40" s="73">
        <f>IF(INDIRECT("'"&amp;$B$3&amp;"'!"&amp;ADDRESS($AD40,BR$1)),INDIRECT("'"&amp;$B$3&amp;"'!"&amp;ADDRESS($AD40,BR$1)),BR39)</f>
        <v/>
      </c>
      <c r="BS40" s="73">
        <f>IF(INDIRECT("'"&amp;$B$3&amp;"'!"&amp;ADDRESS($AD40,BS$1)),INDIRECT("'"&amp;$B$3&amp;"'!"&amp;ADDRESS($AD40,BS$1)),BS39)</f>
        <v/>
      </c>
      <c r="BT40" s="73">
        <f>IF(INDIRECT("'"&amp;$B$3&amp;"'!"&amp;ADDRESS($AD40,BT$1)),INDIRECT("'"&amp;$B$3&amp;"'!"&amp;ADDRESS($AD40,BT$1)),BT39)</f>
        <v/>
      </c>
      <c r="BU40" s="73">
        <f>IF(INDIRECT("'"&amp;$B$3&amp;"'!"&amp;ADDRESS($AD40,BU$1)),INDIRECT("'"&amp;$B$3&amp;"'!"&amp;ADDRESS($AD40,BU$1)),BU39)</f>
        <v/>
      </c>
      <c r="BV40" s="73">
        <f>IF(INDIRECT("'"&amp;$B$3&amp;"'!"&amp;ADDRESS($AD40,BV$1)),INDIRECT("'"&amp;$B$3&amp;"'!"&amp;ADDRESS($AD40,BV$1)),BV39)</f>
        <v/>
      </c>
      <c r="BW40" s="73">
        <f>IF(INDIRECT("'"&amp;$B$3&amp;"'!"&amp;ADDRESS($AD40,BW$1)),INDIRECT("'"&amp;$B$3&amp;"'!"&amp;ADDRESS($AD40,BW$1)),BW39)</f>
        <v/>
      </c>
      <c r="BX40" s="73">
        <f>IF(INDIRECT("'"&amp;$B$3&amp;"'!"&amp;ADDRESS($AD40,BX$1)),INDIRECT("'"&amp;$B$3&amp;"'!"&amp;ADDRESS($AD40,BX$1)),BX39)</f>
        <v/>
      </c>
      <c r="BY40" s="73">
        <f>IF(INDIRECT("'"&amp;$B$3&amp;"'!"&amp;ADDRESS($AD40,BY$1)),INDIRECT("'"&amp;$B$3&amp;"'!"&amp;ADDRESS($AD40,BY$1)),BY39)</f>
        <v/>
      </c>
      <c r="BZ40" s="73">
        <f>IF(INDIRECT("'"&amp;$B$3&amp;"'!"&amp;ADDRESS($AD40,BZ$1)),INDIRECT("'"&amp;$B$3&amp;"'!"&amp;ADDRESS($AD40,BZ$1)),BZ39)</f>
        <v/>
      </c>
      <c r="CD40" s="73">
        <f>IF(INDIRECT("'"&amp;$B$3&amp;"'!"&amp;ADDRESS($AD40,CD$1)),INDIRECT("'"&amp;$B$3&amp;"'!"&amp;ADDRESS($AD40,CD$1)),CD39)</f>
        <v/>
      </c>
      <c r="CE40" s="73">
        <f>IF(INDIRECT("'"&amp;$B$3&amp;"'!"&amp;ADDRESS($AD40,CE$1)),INDIRECT("'"&amp;$B$3&amp;"'!"&amp;ADDRESS($AD40,CE$1)),CE39)</f>
        <v/>
      </c>
      <c r="CF40" s="73">
        <f>IF(INDIRECT("'"&amp;$B$3&amp;"'!"&amp;ADDRESS($AD40,CF$1)),INDIRECT("'"&amp;$B$3&amp;"'!"&amp;ADDRESS($AD40,CF$1)),CF39)</f>
        <v/>
      </c>
      <c r="CG40" s="73">
        <f>IF(INDIRECT("'"&amp;$B$3&amp;"'!"&amp;ADDRESS($AD40,CG$1)),INDIRECT("'"&amp;$B$3&amp;"'!"&amp;ADDRESS($AD40,CG$1)),CG39)</f>
        <v/>
      </c>
      <c r="CH40" s="73">
        <f>IF(INDIRECT("'"&amp;$B$3&amp;"'!"&amp;ADDRESS($AD40,CH$1)),INDIRECT("'"&amp;$B$3&amp;"'!"&amp;ADDRESS($AD40,CH$1)),CH39)</f>
        <v/>
      </c>
      <c r="CI40" s="73">
        <f>IF(INDIRECT("'"&amp;$B$3&amp;"'!"&amp;ADDRESS($AD40,CI$1)),INDIRECT("'"&amp;$B$3&amp;"'!"&amp;ADDRESS($AD40,CI$1)),CI39)</f>
        <v/>
      </c>
      <c r="CJ40" s="73">
        <f>IF(INDIRECT("'"&amp;$B$3&amp;"'!"&amp;ADDRESS($AD40,CJ$1)),INDIRECT("'"&amp;$B$3&amp;"'!"&amp;ADDRESS($AD40,CJ$1)),CJ39)</f>
        <v/>
      </c>
      <c r="CK40" s="73">
        <f>IF(INDIRECT("'"&amp;$B$3&amp;"'!"&amp;ADDRESS($AD40,CK$1)),INDIRECT("'"&amp;$B$3&amp;"'!"&amp;ADDRESS($AD40,CK$1)),CK39)</f>
        <v/>
      </c>
      <c r="CL40" s="73">
        <f>IF(INDIRECT("'"&amp;$B$3&amp;"'!"&amp;ADDRESS($AD40,CL$1)),INDIRECT("'"&amp;$B$3&amp;"'!"&amp;ADDRESS($AD40,CL$1)),CL39)</f>
        <v/>
      </c>
      <c r="CM40" s="73">
        <f>IF(INDIRECT("'"&amp;$B$3&amp;"'!"&amp;ADDRESS($AD40,CM$1)),INDIRECT("'"&amp;$B$3&amp;"'!"&amp;ADDRESS($AD40,CM$1)),CM39)</f>
        <v/>
      </c>
      <c r="CN40" s="73">
        <f>IF(INDIRECT("'"&amp;$B$3&amp;"'!"&amp;ADDRESS($AD40,CN$1)),INDIRECT("'"&amp;$B$3&amp;"'!"&amp;ADDRESS($AD40,CN$1)),CN39)</f>
        <v/>
      </c>
      <c r="CO40" s="73">
        <f>IF(INDIRECT("'"&amp;$B$3&amp;"'!"&amp;ADDRESS($AD40,CO$1)),INDIRECT("'"&amp;$B$3&amp;"'!"&amp;ADDRESS($AD40,CO$1)),CO39)</f>
        <v/>
      </c>
      <c r="CP40" s="73">
        <f>IF(INDIRECT("'"&amp;$B$3&amp;"'!"&amp;ADDRESS($AD40,CP$1)),INDIRECT("'"&amp;$B$3&amp;"'!"&amp;ADDRESS($AD40,CP$1)),CP39)</f>
        <v/>
      </c>
      <c r="CQ40" s="73">
        <f>IF(INDIRECT("'"&amp;$B$3&amp;"'!"&amp;ADDRESS($AD40,CQ$1)),INDIRECT("'"&amp;$B$3&amp;"'!"&amp;ADDRESS($AD40,CQ$1)),CQ39)</f>
        <v/>
      </c>
    </row>
    <row r="41">
      <c r="AA41" s="72" t="n"/>
      <c r="AD41" t="n">
        <v>41</v>
      </c>
      <c r="AS41" s="75" t="n"/>
      <c r="AT41" s="75" t="n"/>
      <c r="BM41" s="73">
        <f>IF(INDIRECT("'"&amp;$B$3&amp;"'!"&amp;ADDRESS($AD41,BM$1)),INDIRECT("'"&amp;$B$3&amp;"'!"&amp;ADDRESS($AD41,BM$1)),BM40)</f>
        <v/>
      </c>
      <c r="BN41" s="73">
        <f>IF(INDIRECT("'"&amp;$B$3&amp;"'!"&amp;ADDRESS($AD41,BN$1)),INDIRECT("'"&amp;$B$3&amp;"'!"&amp;ADDRESS($AD41,BN$1)),BN40)</f>
        <v/>
      </c>
      <c r="BO41" s="73">
        <f>IF(INDIRECT("'"&amp;$B$3&amp;"'!"&amp;ADDRESS($AD41,BO$1)),INDIRECT("'"&amp;$B$3&amp;"'!"&amp;ADDRESS($AD41,BO$1)),BO40)</f>
        <v/>
      </c>
      <c r="BP41" s="73">
        <f>IF(INDIRECT("'"&amp;$B$3&amp;"'!"&amp;ADDRESS($AD41,BP$1)),INDIRECT("'"&amp;$B$3&amp;"'!"&amp;ADDRESS($AD41,BP$1)),BP40)</f>
        <v/>
      </c>
      <c r="BQ41" s="73">
        <f>IF(INDIRECT("'"&amp;$B$3&amp;"'!"&amp;ADDRESS($AD41,BQ$1)),INDIRECT("'"&amp;$B$3&amp;"'!"&amp;ADDRESS($AD41,BQ$1)),BQ40)</f>
        <v/>
      </c>
      <c r="BR41" s="73">
        <f>IF(INDIRECT("'"&amp;$B$3&amp;"'!"&amp;ADDRESS($AD41,BR$1)),INDIRECT("'"&amp;$B$3&amp;"'!"&amp;ADDRESS($AD41,BR$1)),BR40)</f>
        <v/>
      </c>
      <c r="BS41" s="73">
        <f>IF(INDIRECT("'"&amp;$B$3&amp;"'!"&amp;ADDRESS($AD41,BS$1)),INDIRECT("'"&amp;$B$3&amp;"'!"&amp;ADDRESS($AD41,BS$1)),BS40)</f>
        <v/>
      </c>
      <c r="BT41" s="73">
        <f>IF(INDIRECT("'"&amp;$B$3&amp;"'!"&amp;ADDRESS($AD41,BT$1)),INDIRECT("'"&amp;$B$3&amp;"'!"&amp;ADDRESS($AD41,BT$1)),BT40)</f>
        <v/>
      </c>
      <c r="BU41" s="73">
        <f>IF(INDIRECT("'"&amp;$B$3&amp;"'!"&amp;ADDRESS($AD41,BU$1)),INDIRECT("'"&amp;$B$3&amp;"'!"&amp;ADDRESS($AD41,BU$1)),BU40)</f>
        <v/>
      </c>
      <c r="BV41" s="73">
        <f>IF(INDIRECT("'"&amp;$B$3&amp;"'!"&amp;ADDRESS($AD41,BV$1)),INDIRECT("'"&amp;$B$3&amp;"'!"&amp;ADDRESS($AD41,BV$1)),BV40)</f>
        <v/>
      </c>
      <c r="BW41" s="73">
        <f>IF(INDIRECT("'"&amp;$B$3&amp;"'!"&amp;ADDRESS($AD41,BW$1)),INDIRECT("'"&amp;$B$3&amp;"'!"&amp;ADDRESS($AD41,BW$1)),BW40)</f>
        <v/>
      </c>
      <c r="BX41" s="73">
        <f>IF(INDIRECT("'"&amp;$B$3&amp;"'!"&amp;ADDRESS($AD41,BX$1)),INDIRECT("'"&amp;$B$3&amp;"'!"&amp;ADDRESS($AD41,BX$1)),BX40)</f>
        <v/>
      </c>
      <c r="BY41" s="73">
        <f>IF(INDIRECT("'"&amp;$B$3&amp;"'!"&amp;ADDRESS($AD41,BY$1)),INDIRECT("'"&amp;$B$3&amp;"'!"&amp;ADDRESS($AD41,BY$1)),BY40)</f>
        <v/>
      </c>
      <c r="BZ41" s="73">
        <f>IF(INDIRECT("'"&amp;$B$3&amp;"'!"&amp;ADDRESS($AD41,BZ$1)),INDIRECT("'"&amp;$B$3&amp;"'!"&amp;ADDRESS($AD41,BZ$1)),BZ40)</f>
        <v/>
      </c>
      <c r="CD41" s="73">
        <f>IF(INDIRECT("'"&amp;$B$3&amp;"'!"&amp;ADDRESS($AD41,CD$1)),INDIRECT("'"&amp;$B$3&amp;"'!"&amp;ADDRESS($AD41,CD$1)),CD40)</f>
        <v/>
      </c>
      <c r="CE41" s="73">
        <f>IF(INDIRECT("'"&amp;$B$3&amp;"'!"&amp;ADDRESS($AD41,CE$1)),INDIRECT("'"&amp;$B$3&amp;"'!"&amp;ADDRESS($AD41,CE$1)),CE40)</f>
        <v/>
      </c>
      <c r="CF41" s="73">
        <f>IF(INDIRECT("'"&amp;$B$3&amp;"'!"&amp;ADDRESS($AD41,CF$1)),INDIRECT("'"&amp;$B$3&amp;"'!"&amp;ADDRESS($AD41,CF$1)),CF40)</f>
        <v/>
      </c>
      <c r="CG41" s="73">
        <f>IF(INDIRECT("'"&amp;$B$3&amp;"'!"&amp;ADDRESS($AD41,CG$1)),INDIRECT("'"&amp;$B$3&amp;"'!"&amp;ADDRESS($AD41,CG$1)),CG40)</f>
        <v/>
      </c>
      <c r="CH41" s="73">
        <f>IF(INDIRECT("'"&amp;$B$3&amp;"'!"&amp;ADDRESS($AD41,CH$1)),INDIRECT("'"&amp;$B$3&amp;"'!"&amp;ADDRESS($AD41,CH$1)),CH40)</f>
        <v/>
      </c>
      <c r="CI41" s="73">
        <f>IF(INDIRECT("'"&amp;$B$3&amp;"'!"&amp;ADDRESS($AD41,CI$1)),INDIRECT("'"&amp;$B$3&amp;"'!"&amp;ADDRESS($AD41,CI$1)),CI40)</f>
        <v/>
      </c>
      <c r="CJ41" s="73">
        <f>IF(INDIRECT("'"&amp;$B$3&amp;"'!"&amp;ADDRESS($AD41,CJ$1)),INDIRECT("'"&amp;$B$3&amp;"'!"&amp;ADDRESS($AD41,CJ$1)),CJ40)</f>
        <v/>
      </c>
      <c r="CK41" s="73">
        <f>IF(INDIRECT("'"&amp;$B$3&amp;"'!"&amp;ADDRESS($AD41,CK$1)),INDIRECT("'"&amp;$B$3&amp;"'!"&amp;ADDRESS($AD41,CK$1)),CK40)</f>
        <v/>
      </c>
      <c r="CL41" s="73">
        <f>IF(INDIRECT("'"&amp;$B$3&amp;"'!"&amp;ADDRESS($AD41,CL$1)),INDIRECT("'"&amp;$B$3&amp;"'!"&amp;ADDRESS($AD41,CL$1)),CL40)</f>
        <v/>
      </c>
      <c r="CM41" s="73">
        <f>IF(INDIRECT("'"&amp;$B$3&amp;"'!"&amp;ADDRESS($AD41,CM$1)),INDIRECT("'"&amp;$B$3&amp;"'!"&amp;ADDRESS($AD41,CM$1)),CM40)</f>
        <v/>
      </c>
      <c r="CN41" s="73">
        <f>IF(INDIRECT("'"&amp;$B$3&amp;"'!"&amp;ADDRESS($AD41,CN$1)),INDIRECT("'"&amp;$B$3&amp;"'!"&amp;ADDRESS($AD41,CN$1)),CN40)</f>
        <v/>
      </c>
      <c r="CO41" s="73">
        <f>IF(INDIRECT("'"&amp;$B$3&amp;"'!"&amp;ADDRESS($AD41,CO$1)),INDIRECT("'"&amp;$B$3&amp;"'!"&amp;ADDRESS($AD41,CO$1)),CO40)</f>
        <v/>
      </c>
      <c r="CP41" s="73">
        <f>IF(INDIRECT("'"&amp;$B$3&amp;"'!"&amp;ADDRESS($AD41,CP$1)),INDIRECT("'"&amp;$B$3&amp;"'!"&amp;ADDRESS($AD41,CP$1)),CP40)</f>
        <v/>
      </c>
      <c r="CQ41" s="73">
        <f>IF(INDIRECT("'"&amp;$B$3&amp;"'!"&amp;ADDRESS($AD41,CQ$1)),INDIRECT("'"&amp;$B$3&amp;"'!"&amp;ADDRESS($AD41,CQ$1)),CQ40)</f>
        <v/>
      </c>
    </row>
    <row r="42">
      <c r="AA42" s="72" t="n"/>
      <c r="AD42" t="n">
        <v>42</v>
      </c>
      <c r="AS42" s="76" t="n"/>
      <c r="AT42" s="76" t="n"/>
      <c r="AU42" s="74" t="n"/>
      <c r="BM42" s="73">
        <f>IF(INDIRECT("'"&amp;$B$3&amp;"'!"&amp;ADDRESS($AD42,BM$1)),INDIRECT("'"&amp;$B$3&amp;"'!"&amp;ADDRESS($AD42,BM$1)),BM41)</f>
        <v/>
      </c>
      <c r="BN42" s="73">
        <f>IF(INDIRECT("'"&amp;$B$3&amp;"'!"&amp;ADDRESS($AD42,BN$1)),INDIRECT("'"&amp;$B$3&amp;"'!"&amp;ADDRESS($AD42,BN$1)),BN41)</f>
        <v/>
      </c>
      <c r="BO42" s="73">
        <f>IF(INDIRECT("'"&amp;$B$3&amp;"'!"&amp;ADDRESS($AD42,BO$1)),INDIRECT("'"&amp;$B$3&amp;"'!"&amp;ADDRESS($AD42,BO$1)),BO41)</f>
        <v/>
      </c>
      <c r="BP42" s="73">
        <f>IF(INDIRECT("'"&amp;$B$3&amp;"'!"&amp;ADDRESS($AD42,BP$1)),INDIRECT("'"&amp;$B$3&amp;"'!"&amp;ADDRESS($AD42,BP$1)),BP41)</f>
        <v/>
      </c>
      <c r="BQ42" s="73">
        <f>IF(INDIRECT("'"&amp;$B$3&amp;"'!"&amp;ADDRESS($AD42,BQ$1)),INDIRECT("'"&amp;$B$3&amp;"'!"&amp;ADDRESS($AD42,BQ$1)),BQ41)</f>
        <v/>
      </c>
      <c r="BR42" s="73">
        <f>IF(INDIRECT("'"&amp;$B$3&amp;"'!"&amp;ADDRESS($AD42,BR$1)),INDIRECT("'"&amp;$B$3&amp;"'!"&amp;ADDRESS($AD42,BR$1)),BR41)</f>
        <v/>
      </c>
      <c r="BS42" s="73">
        <f>IF(INDIRECT("'"&amp;$B$3&amp;"'!"&amp;ADDRESS($AD42,BS$1)),INDIRECT("'"&amp;$B$3&amp;"'!"&amp;ADDRESS($AD42,BS$1)),BS41)</f>
        <v/>
      </c>
      <c r="BT42" s="73">
        <f>IF(INDIRECT("'"&amp;$B$3&amp;"'!"&amp;ADDRESS($AD42,BT$1)),INDIRECT("'"&amp;$B$3&amp;"'!"&amp;ADDRESS($AD42,BT$1)),BT41)</f>
        <v/>
      </c>
      <c r="BU42" s="73">
        <f>IF(INDIRECT("'"&amp;$B$3&amp;"'!"&amp;ADDRESS($AD42,BU$1)),INDIRECT("'"&amp;$B$3&amp;"'!"&amp;ADDRESS($AD42,BU$1)),BU41)</f>
        <v/>
      </c>
      <c r="BV42" s="73">
        <f>IF(INDIRECT("'"&amp;$B$3&amp;"'!"&amp;ADDRESS($AD42,BV$1)),INDIRECT("'"&amp;$B$3&amp;"'!"&amp;ADDRESS($AD42,BV$1)),BV41)</f>
        <v/>
      </c>
      <c r="BW42" s="73">
        <f>IF(INDIRECT("'"&amp;$B$3&amp;"'!"&amp;ADDRESS($AD42,BW$1)),INDIRECT("'"&amp;$B$3&amp;"'!"&amp;ADDRESS($AD42,BW$1)),BW41)</f>
        <v/>
      </c>
      <c r="BX42" s="73">
        <f>IF(INDIRECT("'"&amp;$B$3&amp;"'!"&amp;ADDRESS($AD42,BX$1)),INDIRECT("'"&amp;$B$3&amp;"'!"&amp;ADDRESS($AD42,BX$1)),BX41)</f>
        <v/>
      </c>
      <c r="BY42" s="73">
        <f>IF(INDIRECT("'"&amp;$B$3&amp;"'!"&amp;ADDRESS($AD42,BY$1)),INDIRECT("'"&amp;$B$3&amp;"'!"&amp;ADDRESS($AD42,BY$1)),BY41)</f>
        <v/>
      </c>
      <c r="BZ42" s="73">
        <f>IF(INDIRECT("'"&amp;$B$3&amp;"'!"&amp;ADDRESS($AD42,BZ$1)),INDIRECT("'"&amp;$B$3&amp;"'!"&amp;ADDRESS($AD42,BZ$1)),BZ41)</f>
        <v/>
      </c>
      <c r="CD42" s="73">
        <f>IF(INDIRECT("'"&amp;$B$3&amp;"'!"&amp;ADDRESS($AD42,CD$1)),INDIRECT("'"&amp;$B$3&amp;"'!"&amp;ADDRESS($AD42,CD$1)),CD41)</f>
        <v/>
      </c>
      <c r="CE42" s="73">
        <f>IF(INDIRECT("'"&amp;$B$3&amp;"'!"&amp;ADDRESS($AD42,CE$1)),INDIRECT("'"&amp;$B$3&amp;"'!"&amp;ADDRESS($AD42,CE$1)),CE41)</f>
        <v/>
      </c>
      <c r="CF42" s="73">
        <f>IF(INDIRECT("'"&amp;$B$3&amp;"'!"&amp;ADDRESS($AD42,CF$1)),INDIRECT("'"&amp;$B$3&amp;"'!"&amp;ADDRESS($AD42,CF$1)),CF41)</f>
        <v/>
      </c>
      <c r="CG42" s="73">
        <f>IF(INDIRECT("'"&amp;$B$3&amp;"'!"&amp;ADDRESS($AD42,CG$1)),INDIRECT("'"&amp;$B$3&amp;"'!"&amp;ADDRESS($AD42,CG$1)),CG41)</f>
        <v/>
      </c>
      <c r="CH42" s="73">
        <f>IF(INDIRECT("'"&amp;$B$3&amp;"'!"&amp;ADDRESS($AD42,CH$1)),INDIRECT("'"&amp;$B$3&amp;"'!"&amp;ADDRESS($AD42,CH$1)),CH41)</f>
        <v/>
      </c>
      <c r="CI42" s="73">
        <f>IF(INDIRECT("'"&amp;$B$3&amp;"'!"&amp;ADDRESS($AD42,CI$1)),INDIRECT("'"&amp;$B$3&amp;"'!"&amp;ADDRESS($AD42,CI$1)),CI41)</f>
        <v/>
      </c>
      <c r="CJ42" s="73">
        <f>IF(INDIRECT("'"&amp;$B$3&amp;"'!"&amp;ADDRESS($AD42,CJ$1)),INDIRECT("'"&amp;$B$3&amp;"'!"&amp;ADDRESS($AD42,CJ$1)),CJ41)</f>
        <v/>
      </c>
      <c r="CK42" s="73">
        <f>IF(INDIRECT("'"&amp;$B$3&amp;"'!"&amp;ADDRESS($AD42,CK$1)),INDIRECT("'"&amp;$B$3&amp;"'!"&amp;ADDRESS($AD42,CK$1)),CK41)</f>
        <v/>
      </c>
      <c r="CL42" s="73">
        <f>IF(INDIRECT("'"&amp;$B$3&amp;"'!"&amp;ADDRESS($AD42,CL$1)),INDIRECT("'"&amp;$B$3&amp;"'!"&amp;ADDRESS($AD42,CL$1)),CL41)</f>
        <v/>
      </c>
      <c r="CM42" s="73">
        <f>IF(INDIRECT("'"&amp;$B$3&amp;"'!"&amp;ADDRESS($AD42,CM$1)),INDIRECT("'"&amp;$B$3&amp;"'!"&amp;ADDRESS($AD42,CM$1)),CM41)</f>
        <v/>
      </c>
      <c r="CN42" s="73">
        <f>IF(INDIRECT("'"&amp;$B$3&amp;"'!"&amp;ADDRESS($AD42,CN$1)),INDIRECT("'"&amp;$B$3&amp;"'!"&amp;ADDRESS($AD42,CN$1)),CN41)</f>
        <v/>
      </c>
      <c r="CO42" s="73">
        <f>IF(INDIRECT("'"&amp;$B$3&amp;"'!"&amp;ADDRESS($AD42,CO$1)),INDIRECT("'"&amp;$B$3&amp;"'!"&amp;ADDRESS($AD42,CO$1)),CO41)</f>
        <v/>
      </c>
      <c r="CP42" s="73">
        <f>IF(INDIRECT("'"&amp;$B$3&amp;"'!"&amp;ADDRESS($AD42,CP$1)),INDIRECT("'"&amp;$B$3&amp;"'!"&amp;ADDRESS($AD42,CP$1)),CP41)</f>
        <v/>
      </c>
      <c r="CQ42" s="73">
        <f>IF(INDIRECT("'"&amp;$B$3&amp;"'!"&amp;ADDRESS($AD42,CQ$1)),INDIRECT("'"&amp;$B$3&amp;"'!"&amp;ADDRESS($AD42,CQ$1)),CQ41)</f>
        <v/>
      </c>
    </row>
    <row r="43">
      <c r="AA43" s="72" t="n"/>
      <c r="AD43" t="n">
        <v>43</v>
      </c>
      <c r="AS43" s="76" t="n"/>
      <c r="AT43" s="76" t="n"/>
      <c r="AU43" s="74" t="n"/>
      <c r="BM43" s="73">
        <f>IF(INDIRECT("'"&amp;$B$3&amp;"'!"&amp;ADDRESS($AD43,BM$1)),INDIRECT("'"&amp;$B$3&amp;"'!"&amp;ADDRESS($AD43,BM$1)),BM42)</f>
        <v/>
      </c>
      <c r="BN43" s="73">
        <f>IF(INDIRECT("'"&amp;$B$3&amp;"'!"&amp;ADDRESS($AD43,BN$1)),INDIRECT("'"&amp;$B$3&amp;"'!"&amp;ADDRESS($AD43,BN$1)),BN42)</f>
        <v/>
      </c>
      <c r="BO43" s="73">
        <f>IF(INDIRECT("'"&amp;$B$3&amp;"'!"&amp;ADDRESS($AD43,BO$1)),INDIRECT("'"&amp;$B$3&amp;"'!"&amp;ADDRESS($AD43,BO$1)),BO42)</f>
        <v/>
      </c>
      <c r="BP43" s="73">
        <f>IF(INDIRECT("'"&amp;$B$3&amp;"'!"&amp;ADDRESS($AD43,BP$1)),INDIRECT("'"&amp;$B$3&amp;"'!"&amp;ADDRESS($AD43,BP$1)),BP42)</f>
        <v/>
      </c>
      <c r="BQ43" s="73">
        <f>IF(INDIRECT("'"&amp;$B$3&amp;"'!"&amp;ADDRESS($AD43,BQ$1)),INDIRECT("'"&amp;$B$3&amp;"'!"&amp;ADDRESS($AD43,BQ$1)),BQ42)</f>
        <v/>
      </c>
      <c r="BR43" s="73">
        <f>IF(INDIRECT("'"&amp;$B$3&amp;"'!"&amp;ADDRESS($AD43,BR$1)),INDIRECT("'"&amp;$B$3&amp;"'!"&amp;ADDRESS($AD43,BR$1)),BR42)</f>
        <v/>
      </c>
      <c r="BS43" s="73">
        <f>IF(INDIRECT("'"&amp;$B$3&amp;"'!"&amp;ADDRESS($AD43,BS$1)),INDIRECT("'"&amp;$B$3&amp;"'!"&amp;ADDRESS($AD43,BS$1)),BS42)</f>
        <v/>
      </c>
      <c r="BT43" s="73">
        <f>IF(INDIRECT("'"&amp;$B$3&amp;"'!"&amp;ADDRESS($AD43,BT$1)),INDIRECT("'"&amp;$B$3&amp;"'!"&amp;ADDRESS($AD43,BT$1)),BT42)</f>
        <v/>
      </c>
      <c r="BU43" s="73">
        <f>IF(INDIRECT("'"&amp;$B$3&amp;"'!"&amp;ADDRESS($AD43,BU$1)),INDIRECT("'"&amp;$B$3&amp;"'!"&amp;ADDRESS($AD43,BU$1)),BU42)</f>
        <v/>
      </c>
      <c r="BV43" s="73">
        <f>IF(INDIRECT("'"&amp;$B$3&amp;"'!"&amp;ADDRESS($AD43,BV$1)),INDIRECT("'"&amp;$B$3&amp;"'!"&amp;ADDRESS($AD43,BV$1)),BV42)</f>
        <v/>
      </c>
      <c r="BW43" s="73">
        <f>IF(INDIRECT("'"&amp;$B$3&amp;"'!"&amp;ADDRESS($AD43,BW$1)),INDIRECT("'"&amp;$B$3&amp;"'!"&amp;ADDRESS($AD43,BW$1)),BW42)</f>
        <v/>
      </c>
      <c r="BX43" s="73">
        <f>IF(INDIRECT("'"&amp;$B$3&amp;"'!"&amp;ADDRESS($AD43,BX$1)),INDIRECT("'"&amp;$B$3&amp;"'!"&amp;ADDRESS($AD43,BX$1)),BX42)</f>
        <v/>
      </c>
      <c r="BY43" s="73">
        <f>IF(INDIRECT("'"&amp;$B$3&amp;"'!"&amp;ADDRESS($AD43,BY$1)),INDIRECT("'"&amp;$B$3&amp;"'!"&amp;ADDRESS($AD43,BY$1)),BY42)</f>
        <v/>
      </c>
      <c r="BZ43" s="73">
        <f>IF(INDIRECT("'"&amp;$B$3&amp;"'!"&amp;ADDRESS($AD43,BZ$1)),INDIRECT("'"&amp;$B$3&amp;"'!"&amp;ADDRESS($AD43,BZ$1)),BZ42)</f>
        <v/>
      </c>
      <c r="CD43" s="73">
        <f>IF(INDIRECT("'"&amp;$B$3&amp;"'!"&amp;ADDRESS($AD43,CD$1)),INDIRECT("'"&amp;$B$3&amp;"'!"&amp;ADDRESS($AD43,CD$1)),CD42)</f>
        <v/>
      </c>
      <c r="CE43" s="73">
        <f>IF(INDIRECT("'"&amp;$B$3&amp;"'!"&amp;ADDRESS($AD43,CE$1)),INDIRECT("'"&amp;$B$3&amp;"'!"&amp;ADDRESS($AD43,CE$1)),CE42)</f>
        <v/>
      </c>
      <c r="CF43" s="73">
        <f>IF(INDIRECT("'"&amp;$B$3&amp;"'!"&amp;ADDRESS($AD43,CF$1)),INDIRECT("'"&amp;$B$3&amp;"'!"&amp;ADDRESS($AD43,CF$1)),CF42)</f>
        <v/>
      </c>
      <c r="CG43" s="73">
        <f>IF(INDIRECT("'"&amp;$B$3&amp;"'!"&amp;ADDRESS($AD43,CG$1)),INDIRECT("'"&amp;$B$3&amp;"'!"&amp;ADDRESS($AD43,CG$1)),CG42)</f>
        <v/>
      </c>
      <c r="CH43" s="73">
        <f>IF(INDIRECT("'"&amp;$B$3&amp;"'!"&amp;ADDRESS($AD43,CH$1)),INDIRECT("'"&amp;$B$3&amp;"'!"&amp;ADDRESS($AD43,CH$1)),CH42)</f>
        <v/>
      </c>
      <c r="CI43" s="73">
        <f>IF(INDIRECT("'"&amp;$B$3&amp;"'!"&amp;ADDRESS($AD43,CI$1)),INDIRECT("'"&amp;$B$3&amp;"'!"&amp;ADDRESS($AD43,CI$1)),CI42)</f>
        <v/>
      </c>
      <c r="CJ43" s="73">
        <f>IF(INDIRECT("'"&amp;$B$3&amp;"'!"&amp;ADDRESS($AD43,CJ$1)),INDIRECT("'"&amp;$B$3&amp;"'!"&amp;ADDRESS($AD43,CJ$1)),CJ42)</f>
        <v/>
      </c>
      <c r="CK43" s="73">
        <f>IF(INDIRECT("'"&amp;$B$3&amp;"'!"&amp;ADDRESS($AD43,CK$1)),INDIRECT("'"&amp;$B$3&amp;"'!"&amp;ADDRESS($AD43,CK$1)),CK42)</f>
        <v/>
      </c>
      <c r="CL43" s="73">
        <f>IF(INDIRECT("'"&amp;$B$3&amp;"'!"&amp;ADDRESS($AD43,CL$1)),INDIRECT("'"&amp;$B$3&amp;"'!"&amp;ADDRESS($AD43,CL$1)),CL42)</f>
        <v/>
      </c>
      <c r="CM43" s="73">
        <f>IF(INDIRECT("'"&amp;$B$3&amp;"'!"&amp;ADDRESS($AD43,CM$1)),INDIRECT("'"&amp;$B$3&amp;"'!"&amp;ADDRESS($AD43,CM$1)),CM42)</f>
        <v/>
      </c>
      <c r="CN43" s="73">
        <f>IF(INDIRECT("'"&amp;$B$3&amp;"'!"&amp;ADDRESS($AD43,CN$1)),INDIRECT("'"&amp;$B$3&amp;"'!"&amp;ADDRESS($AD43,CN$1)),CN42)</f>
        <v/>
      </c>
      <c r="CO43" s="73">
        <f>IF(INDIRECT("'"&amp;$B$3&amp;"'!"&amp;ADDRESS($AD43,CO$1)),INDIRECT("'"&amp;$B$3&amp;"'!"&amp;ADDRESS($AD43,CO$1)),CO42)</f>
        <v/>
      </c>
      <c r="CP43" s="73">
        <f>IF(INDIRECT("'"&amp;$B$3&amp;"'!"&amp;ADDRESS($AD43,CP$1)),INDIRECT("'"&amp;$B$3&amp;"'!"&amp;ADDRESS($AD43,CP$1)),CP42)</f>
        <v/>
      </c>
      <c r="CQ43" s="73">
        <f>IF(INDIRECT("'"&amp;$B$3&amp;"'!"&amp;ADDRESS($AD43,CQ$1)),INDIRECT("'"&amp;$B$3&amp;"'!"&amp;ADDRESS($AD43,CQ$1)),CQ42)</f>
        <v/>
      </c>
    </row>
    <row r="44">
      <c r="AA44" s="72" t="n"/>
      <c r="AD44" t="n">
        <v>44</v>
      </c>
      <c r="AU44" s="75" t="n"/>
      <c r="BM44" s="73">
        <f>IF(INDIRECT("'"&amp;$B$3&amp;"'!"&amp;ADDRESS($AD44,BM$1)),INDIRECT("'"&amp;$B$3&amp;"'!"&amp;ADDRESS($AD44,BM$1)),BM43)</f>
        <v/>
      </c>
      <c r="BN44" s="73">
        <f>IF(INDIRECT("'"&amp;$B$3&amp;"'!"&amp;ADDRESS($AD44,BN$1)),INDIRECT("'"&amp;$B$3&amp;"'!"&amp;ADDRESS($AD44,BN$1)),BN43)</f>
        <v/>
      </c>
      <c r="BO44" s="73">
        <f>IF(INDIRECT("'"&amp;$B$3&amp;"'!"&amp;ADDRESS($AD44,BO$1)),INDIRECT("'"&amp;$B$3&amp;"'!"&amp;ADDRESS($AD44,BO$1)),BO43)</f>
        <v/>
      </c>
      <c r="BP44" s="73">
        <f>IF(INDIRECT("'"&amp;$B$3&amp;"'!"&amp;ADDRESS($AD44,BP$1)),INDIRECT("'"&amp;$B$3&amp;"'!"&amp;ADDRESS($AD44,BP$1)),BP43)</f>
        <v/>
      </c>
      <c r="BQ44" s="73">
        <f>IF(INDIRECT("'"&amp;$B$3&amp;"'!"&amp;ADDRESS($AD44,BQ$1)),INDIRECT("'"&amp;$B$3&amp;"'!"&amp;ADDRESS($AD44,BQ$1)),BQ43)</f>
        <v/>
      </c>
      <c r="BR44" s="73">
        <f>IF(INDIRECT("'"&amp;$B$3&amp;"'!"&amp;ADDRESS($AD44,BR$1)),INDIRECT("'"&amp;$B$3&amp;"'!"&amp;ADDRESS($AD44,BR$1)),BR43)</f>
        <v/>
      </c>
      <c r="BS44" s="73">
        <f>IF(INDIRECT("'"&amp;$B$3&amp;"'!"&amp;ADDRESS($AD44,BS$1)),INDIRECT("'"&amp;$B$3&amp;"'!"&amp;ADDRESS($AD44,BS$1)),BS43)</f>
        <v/>
      </c>
      <c r="BT44" s="73">
        <f>IF(INDIRECT("'"&amp;$B$3&amp;"'!"&amp;ADDRESS($AD44,BT$1)),INDIRECT("'"&amp;$B$3&amp;"'!"&amp;ADDRESS($AD44,BT$1)),BT43)</f>
        <v/>
      </c>
      <c r="BU44" s="73">
        <f>IF(INDIRECT("'"&amp;$B$3&amp;"'!"&amp;ADDRESS($AD44,BU$1)),INDIRECT("'"&amp;$B$3&amp;"'!"&amp;ADDRESS($AD44,BU$1)),BU43)</f>
        <v/>
      </c>
      <c r="BV44" s="73">
        <f>IF(INDIRECT("'"&amp;$B$3&amp;"'!"&amp;ADDRESS($AD44,BV$1)),INDIRECT("'"&amp;$B$3&amp;"'!"&amp;ADDRESS($AD44,BV$1)),BV43)</f>
        <v/>
      </c>
      <c r="BW44" s="73">
        <f>IF(INDIRECT("'"&amp;$B$3&amp;"'!"&amp;ADDRESS($AD44,BW$1)),INDIRECT("'"&amp;$B$3&amp;"'!"&amp;ADDRESS($AD44,BW$1)),BW43)</f>
        <v/>
      </c>
      <c r="BX44" s="73">
        <f>IF(INDIRECT("'"&amp;$B$3&amp;"'!"&amp;ADDRESS($AD44,BX$1)),INDIRECT("'"&amp;$B$3&amp;"'!"&amp;ADDRESS($AD44,BX$1)),BX43)</f>
        <v/>
      </c>
      <c r="BY44" s="73">
        <f>IF(INDIRECT("'"&amp;$B$3&amp;"'!"&amp;ADDRESS($AD44,BY$1)),INDIRECT("'"&amp;$B$3&amp;"'!"&amp;ADDRESS($AD44,BY$1)),BY43)</f>
        <v/>
      </c>
      <c r="BZ44" s="73">
        <f>IF(INDIRECT("'"&amp;$B$3&amp;"'!"&amp;ADDRESS($AD44,BZ$1)),INDIRECT("'"&amp;$B$3&amp;"'!"&amp;ADDRESS($AD44,BZ$1)),BZ43)</f>
        <v/>
      </c>
      <c r="CD44" s="73">
        <f>IF(INDIRECT("'"&amp;$B$3&amp;"'!"&amp;ADDRESS($AD44,CD$1)),INDIRECT("'"&amp;$B$3&amp;"'!"&amp;ADDRESS($AD44,CD$1)),CD43)</f>
        <v/>
      </c>
      <c r="CE44" s="73">
        <f>IF(INDIRECT("'"&amp;$B$3&amp;"'!"&amp;ADDRESS($AD44,CE$1)),INDIRECT("'"&amp;$B$3&amp;"'!"&amp;ADDRESS($AD44,CE$1)),CE43)</f>
        <v/>
      </c>
      <c r="CF44" s="73">
        <f>IF(INDIRECT("'"&amp;$B$3&amp;"'!"&amp;ADDRESS($AD44,CF$1)),INDIRECT("'"&amp;$B$3&amp;"'!"&amp;ADDRESS($AD44,CF$1)),CF43)</f>
        <v/>
      </c>
      <c r="CG44" s="73">
        <f>IF(INDIRECT("'"&amp;$B$3&amp;"'!"&amp;ADDRESS($AD44,CG$1)),INDIRECT("'"&amp;$B$3&amp;"'!"&amp;ADDRESS($AD44,CG$1)),CG43)</f>
        <v/>
      </c>
      <c r="CH44" s="73">
        <f>IF(INDIRECT("'"&amp;$B$3&amp;"'!"&amp;ADDRESS($AD44,CH$1)),INDIRECT("'"&amp;$B$3&amp;"'!"&amp;ADDRESS($AD44,CH$1)),CH43)</f>
        <v/>
      </c>
      <c r="CI44" s="73">
        <f>IF(INDIRECT("'"&amp;$B$3&amp;"'!"&amp;ADDRESS($AD44,CI$1)),INDIRECT("'"&amp;$B$3&amp;"'!"&amp;ADDRESS($AD44,CI$1)),CI43)</f>
        <v/>
      </c>
      <c r="CJ44" s="73">
        <f>IF(INDIRECT("'"&amp;$B$3&amp;"'!"&amp;ADDRESS($AD44,CJ$1)),INDIRECT("'"&amp;$B$3&amp;"'!"&amp;ADDRESS($AD44,CJ$1)),CJ43)</f>
        <v/>
      </c>
      <c r="CK44" s="73">
        <f>IF(INDIRECT("'"&amp;$B$3&amp;"'!"&amp;ADDRESS($AD44,CK$1)),INDIRECT("'"&amp;$B$3&amp;"'!"&amp;ADDRESS($AD44,CK$1)),CK43)</f>
        <v/>
      </c>
      <c r="CL44" s="73">
        <f>IF(INDIRECT("'"&amp;$B$3&amp;"'!"&amp;ADDRESS($AD44,CL$1)),INDIRECT("'"&amp;$B$3&amp;"'!"&amp;ADDRESS($AD44,CL$1)),CL43)</f>
        <v/>
      </c>
      <c r="CM44" s="73">
        <f>IF(INDIRECT("'"&amp;$B$3&amp;"'!"&amp;ADDRESS($AD44,CM$1)),INDIRECT("'"&amp;$B$3&amp;"'!"&amp;ADDRESS($AD44,CM$1)),CM43)</f>
        <v/>
      </c>
      <c r="CN44" s="73">
        <f>IF(INDIRECT("'"&amp;$B$3&amp;"'!"&amp;ADDRESS($AD44,CN$1)),INDIRECT("'"&amp;$B$3&amp;"'!"&amp;ADDRESS($AD44,CN$1)),CN43)</f>
        <v/>
      </c>
      <c r="CO44" s="73">
        <f>IF(INDIRECT("'"&amp;$B$3&amp;"'!"&amp;ADDRESS($AD44,CO$1)),INDIRECT("'"&amp;$B$3&amp;"'!"&amp;ADDRESS($AD44,CO$1)),CO43)</f>
        <v/>
      </c>
      <c r="CP44" s="73">
        <f>IF(INDIRECT("'"&amp;$B$3&amp;"'!"&amp;ADDRESS($AD44,CP$1)),INDIRECT("'"&amp;$B$3&amp;"'!"&amp;ADDRESS($AD44,CP$1)),CP43)</f>
        <v/>
      </c>
      <c r="CQ44" s="73">
        <f>IF(INDIRECT("'"&amp;$B$3&amp;"'!"&amp;ADDRESS($AD44,CQ$1)),INDIRECT("'"&amp;$B$3&amp;"'!"&amp;ADDRESS($AD44,CQ$1)),CQ43)</f>
        <v/>
      </c>
    </row>
    <row r="45">
      <c r="AA45" s="72" t="n"/>
      <c r="AD45" t="n">
        <v>45</v>
      </c>
      <c r="AU45" s="76" t="n"/>
      <c r="BM45" s="73">
        <f>IF(INDIRECT("'"&amp;$B$3&amp;"'!"&amp;ADDRESS($AD45,BM$1)),INDIRECT("'"&amp;$B$3&amp;"'!"&amp;ADDRESS($AD45,BM$1)),BM44)</f>
        <v/>
      </c>
      <c r="BN45" s="73">
        <f>IF(INDIRECT("'"&amp;$B$3&amp;"'!"&amp;ADDRESS($AD45,BN$1)),INDIRECT("'"&amp;$B$3&amp;"'!"&amp;ADDRESS($AD45,BN$1)),BN44)</f>
        <v/>
      </c>
      <c r="BO45" s="73">
        <f>IF(INDIRECT("'"&amp;$B$3&amp;"'!"&amp;ADDRESS($AD45,BO$1)),INDIRECT("'"&amp;$B$3&amp;"'!"&amp;ADDRESS($AD45,BO$1)),BO44)</f>
        <v/>
      </c>
      <c r="BP45" s="73">
        <f>IF(INDIRECT("'"&amp;$B$3&amp;"'!"&amp;ADDRESS($AD45,BP$1)),INDIRECT("'"&amp;$B$3&amp;"'!"&amp;ADDRESS($AD45,BP$1)),BP44)</f>
        <v/>
      </c>
      <c r="BQ45" s="73">
        <f>IF(INDIRECT("'"&amp;$B$3&amp;"'!"&amp;ADDRESS($AD45,BQ$1)),INDIRECT("'"&amp;$B$3&amp;"'!"&amp;ADDRESS($AD45,BQ$1)),BQ44)</f>
        <v/>
      </c>
      <c r="BR45" s="73">
        <f>IF(INDIRECT("'"&amp;$B$3&amp;"'!"&amp;ADDRESS($AD45,BR$1)),INDIRECT("'"&amp;$B$3&amp;"'!"&amp;ADDRESS($AD45,BR$1)),BR44)</f>
        <v/>
      </c>
      <c r="BS45" s="73">
        <f>IF(INDIRECT("'"&amp;$B$3&amp;"'!"&amp;ADDRESS($AD45,BS$1)),INDIRECT("'"&amp;$B$3&amp;"'!"&amp;ADDRESS($AD45,BS$1)),BS44)</f>
        <v/>
      </c>
      <c r="BT45" s="73">
        <f>IF(INDIRECT("'"&amp;$B$3&amp;"'!"&amp;ADDRESS($AD45,BT$1)),INDIRECT("'"&amp;$B$3&amp;"'!"&amp;ADDRESS($AD45,BT$1)),BT44)</f>
        <v/>
      </c>
      <c r="BU45" s="73">
        <f>IF(INDIRECT("'"&amp;$B$3&amp;"'!"&amp;ADDRESS($AD45,BU$1)),INDIRECT("'"&amp;$B$3&amp;"'!"&amp;ADDRESS($AD45,BU$1)),BU44)</f>
        <v/>
      </c>
      <c r="BV45" s="73">
        <f>IF(INDIRECT("'"&amp;$B$3&amp;"'!"&amp;ADDRESS($AD45,BV$1)),INDIRECT("'"&amp;$B$3&amp;"'!"&amp;ADDRESS($AD45,BV$1)),BV44)</f>
        <v/>
      </c>
      <c r="BW45" s="73">
        <f>IF(INDIRECT("'"&amp;$B$3&amp;"'!"&amp;ADDRESS($AD45,BW$1)),INDIRECT("'"&amp;$B$3&amp;"'!"&amp;ADDRESS($AD45,BW$1)),BW44)</f>
        <v/>
      </c>
      <c r="BX45" s="73">
        <f>IF(INDIRECT("'"&amp;$B$3&amp;"'!"&amp;ADDRESS($AD45,BX$1)),INDIRECT("'"&amp;$B$3&amp;"'!"&amp;ADDRESS($AD45,BX$1)),BX44)</f>
        <v/>
      </c>
      <c r="BY45" s="73">
        <f>IF(INDIRECT("'"&amp;$B$3&amp;"'!"&amp;ADDRESS($AD45,BY$1)),INDIRECT("'"&amp;$B$3&amp;"'!"&amp;ADDRESS($AD45,BY$1)),BY44)</f>
        <v/>
      </c>
      <c r="BZ45" s="73">
        <f>IF(INDIRECT("'"&amp;$B$3&amp;"'!"&amp;ADDRESS($AD45,BZ$1)),INDIRECT("'"&amp;$B$3&amp;"'!"&amp;ADDRESS($AD45,BZ$1)),BZ44)</f>
        <v/>
      </c>
      <c r="CD45" s="73">
        <f>IF(INDIRECT("'"&amp;$B$3&amp;"'!"&amp;ADDRESS($AD45,CD$1)),INDIRECT("'"&amp;$B$3&amp;"'!"&amp;ADDRESS($AD45,CD$1)),CD44)</f>
        <v/>
      </c>
      <c r="CE45" s="73">
        <f>IF(INDIRECT("'"&amp;$B$3&amp;"'!"&amp;ADDRESS($AD45,CE$1)),INDIRECT("'"&amp;$B$3&amp;"'!"&amp;ADDRESS($AD45,CE$1)),CE44)</f>
        <v/>
      </c>
      <c r="CF45" s="73">
        <f>IF(INDIRECT("'"&amp;$B$3&amp;"'!"&amp;ADDRESS($AD45,CF$1)),INDIRECT("'"&amp;$B$3&amp;"'!"&amp;ADDRESS($AD45,CF$1)),CF44)</f>
        <v/>
      </c>
      <c r="CG45" s="73">
        <f>IF(INDIRECT("'"&amp;$B$3&amp;"'!"&amp;ADDRESS($AD45,CG$1)),INDIRECT("'"&amp;$B$3&amp;"'!"&amp;ADDRESS($AD45,CG$1)),CG44)</f>
        <v/>
      </c>
      <c r="CH45" s="73">
        <f>IF(INDIRECT("'"&amp;$B$3&amp;"'!"&amp;ADDRESS($AD45,CH$1)),INDIRECT("'"&amp;$B$3&amp;"'!"&amp;ADDRESS($AD45,CH$1)),CH44)</f>
        <v/>
      </c>
      <c r="CI45" s="73">
        <f>IF(INDIRECT("'"&amp;$B$3&amp;"'!"&amp;ADDRESS($AD45,CI$1)),INDIRECT("'"&amp;$B$3&amp;"'!"&amp;ADDRESS($AD45,CI$1)),CI44)</f>
        <v/>
      </c>
      <c r="CJ45" s="73">
        <f>IF(INDIRECT("'"&amp;$B$3&amp;"'!"&amp;ADDRESS($AD45,CJ$1)),INDIRECT("'"&amp;$B$3&amp;"'!"&amp;ADDRESS($AD45,CJ$1)),CJ44)</f>
        <v/>
      </c>
      <c r="CK45" s="73">
        <f>IF(INDIRECT("'"&amp;$B$3&amp;"'!"&amp;ADDRESS($AD45,CK$1)),INDIRECT("'"&amp;$B$3&amp;"'!"&amp;ADDRESS($AD45,CK$1)),CK44)</f>
        <v/>
      </c>
      <c r="CL45" s="73">
        <f>IF(INDIRECT("'"&amp;$B$3&amp;"'!"&amp;ADDRESS($AD45,CL$1)),INDIRECT("'"&amp;$B$3&amp;"'!"&amp;ADDRESS($AD45,CL$1)),CL44)</f>
        <v/>
      </c>
      <c r="CM45" s="73">
        <f>IF(INDIRECT("'"&amp;$B$3&amp;"'!"&amp;ADDRESS($AD45,CM$1)),INDIRECT("'"&amp;$B$3&amp;"'!"&amp;ADDRESS($AD45,CM$1)),CM44)</f>
        <v/>
      </c>
      <c r="CN45" s="73">
        <f>IF(INDIRECT("'"&amp;$B$3&amp;"'!"&amp;ADDRESS($AD45,CN$1)),INDIRECT("'"&amp;$B$3&amp;"'!"&amp;ADDRESS($AD45,CN$1)),CN44)</f>
        <v/>
      </c>
      <c r="CO45" s="73">
        <f>IF(INDIRECT("'"&amp;$B$3&amp;"'!"&amp;ADDRESS($AD45,CO$1)),INDIRECT("'"&amp;$B$3&amp;"'!"&amp;ADDRESS($AD45,CO$1)),CO44)</f>
        <v/>
      </c>
      <c r="CP45" s="73">
        <f>IF(INDIRECT("'"&amp;$B$3&amp;"'!"&amp;ADDRESS($AD45,CP$1)),INDIRECT("'"&amp;$B$3&amp;"'!"&amp;ADDRESS($AD45,CP$1)),CP44)</f>
        <v/>
      </c>
      <c r="CQ45" s="73">
        <f>IF(INDIRECT("'"&amp;$B$3&amp;"'!"&amp;ADDRESS($AD45,CQ$1)),INDIRECT("'"&amp;$B$3&amp;"'!"&amp;ADDRESS($AD45,CQ$1)),CQ44)</f>
        <v/>
      </c>
    </row>
    <row r="46">
      <c r="AA46" s="72" t="n"/>
      <c r="AD46" t="n">
        <v>46</v>
      </c>
      <c r="AE46" s="68">
        <f>"Sequence: "&amp;B3 &amp; "     Coding Conditions: " &amp; A3</f>
        <v/>
      </c>
      <c r="AU46" s="76" t="n"/>
      <c r="BM46" s="73">
        <f>IF(INDIRECT("'"&amp;$B$3&amp;"'!"&amp;ADDRESS($AD46,BM$1)),INDIRECT("'"&amp;$B$3&amp;"'!"&amp;ADDRESS($AD46,BM$1)),BM45)</f>
        <v/>
      </c>
      <c r="BN46" s="73">
        <f>IF(INDIRECT("'"&amp;$B$3&amp;"'!"&amp;ADDRESS($AD46,BN$1)),INDIRECT("'"&amp;$B$3&amp;"'!"&amp;ADDRESS($AD46,BN$1)),BN45)</f>
        <v/>
      </c>
      <c r="BO46" s="73">
        <f>IF(INDIRECT("'"&amp;$B$3&amp;"'!"&amp;ADDRESS($AD46,BO$1)),INDIRECT("'"&amp;$B$3&amp;"'!"&amp;ADDRESS($AD46,BO$1)),BO45)</f>
        <v/>
      </c>
      <c r="BP46" s="73">
        <f>IF(INDIRECT("'"&amp;$B$3&amp;"'!"&amp;ADDRESS($AD46,BP$1)),INDIRECT("'"&amp;$B$3&amp;"'!"&amp;ADDRESS($AD46,BP$1)),BP45)</f>
        <v/>
      </c>
      <c r="BQ46" s="73">
        <f>IF(INDIRECT("'"&amp;$B$3&amp;"'!"&amp;ADDRESS($AD46,BQ$1)),INDIRECT("'"&amp;$B$3&amp;"'!"&amp;ADDRESS($AD46,BQ$1)),BQ45)</f>
        <v/>
      </c>
      <c r="BR46" s="73">
        <f>IF(INDIRECT("'"&amp;$B$3&amp;"'!"&amp;ADDRESS($AD46,BR$1)),INDIRECT("'"&amp;$B$3&amp;"'!"&amp;ADDRESS($AD46,BR$1)),BR45)</f>
        <v/>
      </c>
      <c r="BS46" s="73">
        <f>IF(INDIRECT("'"&amp;$B$3&amp;"'!"&amp;ADDRESS($AD46,BS$1)),INDIRECT("'"&amp;$B$3&amp;"'!"&amp;ADDRESS($AD46,BS$1)),BS45)</f>
        <v/>
      </c>
      <c r="BT46" s="73">
        <f>IF(INDIRECT("'"&amp;$B$3&amp;"'!"&amp;ADDRESS($AD46,BT$1)),INDIRECT("'"&amp;$B$3&amp;"'!"&amp;ADDRESS($AD46,BT$1)),BT45)</f>
        <v/>
      </c>
      <c r="BU46" s="73">
        <f>IF(INDIRECT("'"&amp;$B$3&amp;"'!"&amp;ADDRESS($AD46,BU$1)),INDIRECT("'"&amp;$B$3&amp;"'!"&amp;ADDRESS($AD46,BU$1)),BU45)</f>
        <v/>
      </c>
      <c r="BV46" s="73">
        <f>IF(INDIRECT("'"&amp;$B$3&amp;"'!"&amp;ADDRESS($AD46,BV$1)),INDIRECT("'"&amp;$B$3&amp;"'!"&amp;ADDRESS($AD46,BV$1)),BV45)</f>
        <v/>
      </c>
      <c r="BW46" s="73">
        <f>IF(INDIRECT("'"&amp;$B$3&amp;"'!"&amp;ADDRESS($AD46,BW$1)),INDIRECT("'"&amp;$B$3&amp;"'!"&amp;ADDRESS($AD46,BW$1)),BW45)</f>
        <v/>
      </c>
      <c r="BX46" s="73">
        <f>IF(INDIRECT("'"&amp;$B$3&amp;"'!"&amp;ADDRESS($AD46,BX$1)),INDIRECT("'"&amp;$B$3&amp;"'!"&amp;ADDRESS($AD46,BX$1)),BX45)</f>
        <v/>
      </c>
      <c r="BY46" s="73">
        <f>IF(INDIRECT("'"&amp;$B$3&amp;"'!"&amp;ADDRESS($AD46,BY$1)),INDIRECT("'"&amp;$B$3&amp;"'!"&amp;ADDRESS($AD46,BY$1)),BY45)</f>
        <v/>
      </c>
      <c r="BZ46" s="73">
        <f>IF(INDIRECT("'"&amp;$B$3&amp;"'!"&amp;ADDRESS($AD46,BZ$1)),INDIRECT("'"&amp;$B$3&amp;"'!"&amp;ADDRESS($AD46,BZ$1)),BZ45)</f>
        <v/>
      </c>
      <c r="CD46" s="73">
        <f>IF(INDIRECT("'"&amp;$B$3&amp;"'!"&amp;ADDRESS($AD46,CD$1)),INDIRECT("'"&amp;$B$3&amp;"'!"&amp;ADDRESS($AD46,CD$1)),CD45)</f>
        <v/>
      </c>
      <c r="CE46" s="73">
        <f>IF(INDIRECT("'"&amp;$B$3&amp;"'!"&amp;ADDRESS($AD46,CE$1)),INDIRECT("'"&amp;$B$3&amp;"'!"&amp;ADDRESS($AD46,CE$1)),CE45)</f>
        <v/>
      </c>
      <c r="CF46" s="73">
        <f>IF(INDIRECT("'"&amp;$B$3&amp;"'!"&amp;ADDRESS($AD46,CF$1)),INDIRECT("'"&amp;$B$3&amp;"'!"&amp;ADDRESS($AD46,CF$1)),CF45)</f>
        <v/>
      </c>
      <c r="CG46" s="73">
        <f>IF(INDIRECT("'"&amp;$B$3&amp;"'!"&amp;ADDRESS($AD46,CG$1)),INDIRECT("'"&amp;$B$3&amp;"'!"&amp;ADDRESS($AD46,CG$1)),CG45)</f>
        <v/>
      </c>
      <c r="CH46" s="73">
        <f>IF(INDIRECT("'"&amp;$B$3&amp;"'!"&amp;ADDRESS($AD46,CH$1)),INDIRECT("'"&amp;$B$3&amp;"'!"&amp;ADDRESS($AD46,CH$1)),CH45)</f>
        <v/>
      </c>
      <c r="CI46" s="73">
        <f>IF(INDIRECT("'"&amp;$B$3&amp;"'!"&amp;ADDRESS($AD46,CI$1)),INDIRECT("'"&amp;$B$3&amp;"'!"&amp;ADDRESS($AD46,CI$1)),CI45)</f>
        <v/>
      </c>
      <c r="CJ46" s="73">
        <f>IF(INDIRECT("'"&amp;$B$3&amp;"'!"&amp;ADDRESS($AD46,CJ$1)),INDIRECT("'"&amp;$B$3&amp;"'!"&amp;ADDRESS($AD46,CJ$1)),CJ45)</f>
        <v/>
      </c>
      <c r="CK46" s="73">
        <f>IF(INDIRECT("'"&amp;$B$3&amp;"'!"&amp;ADDRESS($AD46,CK$1)),INDIRECT("'"&amp;$B$3&amp;"'!"&amp;ADDRESS($AD46,CK$1)),CK45)</f>
        <v/>
      </c>
      <c r="CL46" s="73">
        <f>IF(INDIRECT("'"&amp;$B$3&amp;"'!"&amp;ADDRESS($AD46,CL$1)),INDIRECT("'"&amp;$B$3&amp;"'!"&amp;ADDRESS($AD46,CL$1)),CL45)</f>
        <v/>
      </c>
      <c r="CM46" s="73">
        <f>IF(INDIRECT("'"&amp;$B$3&amp;"'!"&amp;ADDRESS($AD46,CM$1)),INDIRECT("'"&amp;$B$3&amp;"'!"&amp;ADDRESS($AD46,CM$1)),CM45)</f>
        <v/>
      </c>
      <c r="CN46" s="73">
        <f>IF(INDIRECT("'"&amp;$B$3&amp;"'!"&amp;ADDRESS($AD46,CN$1)),INDIRECT("'"&amp;$B$3&amp;"'!"&amp;ADDRESS($AD46,CN$1)),CN45)</f>
        <v/>
      </c>
      <c r="CO46" s="73">
        <f>IF(INDIRECT("'"&amp;$B$3&amp;"'!"&amp;ADDRESS($AD46,CO$1)),INDIRECT("'"&amp;$B$3&amp;"'!"&amp;ADDRESS($AD46,CO$1)),CO45)</f>
        <v/>
      </c>
      <c r="CP46" s="73">
        <f>IF(INDIRECT("'"&amp;$B$3&amp;"'!"&amp;ADDRESS($AD46,CP$1)),INDIRECT("'"&amp;$B$3&amp;"'!"&amp;ADDRESS($AD46,CP$1)),CP45)</f>
        <v/>
      </c>
      <c r="CQ46" s="73">
        <f>IF(INDIRECT("'"&amp;$B$3&amp;"'!"&amp;ADDRESS($AD46,CQ$1)),INDIRECT("'"&amp;$B$3&amp;"'!"&amp;ADDRESS($AD46,CQ$1)),CQ45)</f>
        <v/>
      </c>
    </row>
    <row r="47">
      <c r="AA47" s="72" t="n"/>
      <c r="AD47" t="n">
        <v>47</v>
      </c>
      <c r="BM47" s="73">
        <f>IF(INDIRECT("'"&amp;$B$3&amp;"'!"&amp;ADDRESS($AD47,BM$1)),INDIRECT("'"&amp;$B$3&amp;"'!"&amp;ADDRESS($AD47,BM$1)),BM46)</f>
        <v/>
      </c>
      <c r="BN47" s="73">
        <f>IF(INDIRECT("'"&amp;$B$3&amp;"'!"&amp;ADDRESS($AD47,BN$1)),INDIRECT("'"&amp;$B$3&amp;"'!"&amp;ADDRESS($AD47,BN$1)),BN46)</f>
        <v/>
      </c>
      <c r="BO47" s="73">
        <f>IF(INDIRECT("'"&amp;$B$3&amp;"'!"&amp;ADDRESS($AD47,BO$1)),INDIRECT("'"&amp;$B$3&amp;"'!"&amp;ADDRESS($AD47,BO$1)),BO46)</f>
        <v/>
      </c>
      <c r="BP47" s="73">
        <f>IF(INDIRECT("'"&amp;$B$3&amp;"'!"&amp;ADDRESS($AD47,BP$1)),INDIRECT("'"&amp;$B$3&amp;"'!"&amp;ADDRESS($AD47,BP$1)),BP46)</f>
        <v/>
      </c>
      <c r="BQ47" s="73">
        <f>IF(INDIRECT("'"&amp;$B$3&amp;"'!"&amp;ADDRESS($AD47,BQ$1)),INDIRECT("'"&amp;$B$3&amp;"'!"&amp;ADDRESS($AD47,BQ$1)),BQ46)</f>
        <v/>
      </c>
      <c r="BR47" s="73">
        <f>IF(INDIRECT("'"&amp;$B$3&amp;"'!"&amp;ADDRESS($AD47,BR$1)),INDIRECT("'"&amp;$B$3&amp;"'!"&amp;ADDRESS($AD47,BR$1)),BR46)</f>
        <v/>
      </c>
      <c r="BS47" s="73">
        <f>IF(INDIRECT("'"&amp;$B$3&amp;"'!"&amp;ADDRESS($AD47,BS$1)),INDIRECT("'"&amp;$B$3&amp;"'!"&amp;ADDRESS($AD47,BS$1)),BS46)</f>
        <v/>
      </c>
      <c r="BT47" s="73">
        <f>IF(INDIRECT("'"&amp;$B$3&amp;"'!"&amp;ADDRESS($AD47,BT$1)),INDIRECT("'"&amp;$B$3&amp;"'!"&amp;ADDRESS($AD47,BT$1)),BT46)</f>
        <v/>
      </c>
      <c r="BU47" s="73">
        <f>IF(INDIRECT("'"&amp;$B$3&amp;"'!"&amp;ADDRESS($AD47,BU$1)),INDIRECT("'"&amp;$B$3&amp;"'!"&amp;ADDRESS($AD47,BU$1)),BU46)</f>
        <v/>
      </c>
      <c r="BV47" s="73">
        <f>IF(INDIRECT("'"&amp;$B$3&amp;"'!"&amp;ADDRESS($AD47,BV$1)),INDIRECT("'"&amp;$B$3&amp;"'!"&amp;ADDRESS($AD47,BV$1)),BV46)</f>
        <v/>
      </c>
      <c r="BW47" s="73">
        <f>IF(INDIRECT("'"&amp;$B$3&amp;"'!"&amp;ADDRESS($AD47,BW$1)),INDIRECT("'"&amp;$B$3&amp;"'!"&amp;ADDRESS($AD47,BW$1)),BW46)</f>
        <v/>
      </c>
      <c r="BX47" s="73">
        <f>IF(INDIRECT("'"&amp;$B$3&amp;"'!"&amp;ADDRESS($AD47,BX$1)),INDIRECT("'"&amp;$B$3&amp;"'!"&amp;ADDRESS($AD47,BX$1)),BX46)</f>
        <v/>
      </c>
      <c r="BY47" s="73">
        <f>IF(INDIRECT("'"&amp;$B$3&amp;"'!"&amp;ADDRESS($AD47,BY$1)),INDIRECT("'"&amp;$B$3&amp;"'!"&amp;ADDRESS($AD47,BY$1)),BY46)</f>
        <v/>
      </c>
      <c r="BZ47" s="73">
        <f>IF(INDIRECT("'"&amp;$B$3&amp;"'!"&amp;ADDRESS($AD47,BZ$1)),INDIRECT("'"&amp;$B$3&amp;"'!"&amp;ADDRESS($AD47,BZ$1)),BZ46)</f>
        <v/>
      </c>
      <c r="CD47" s="73">
        <f>IF(INDIRECT("'"&amp;$B$3&amp;"'!"&amp;ADDRESS($AD47,CD$1)),INDIRECT("'"&amp;$B$3&amp;"'!"&amp;ADDRESS($AD47,CD$1)),CD46)</f>
        <v/>
      </c>
      <c r="CE47" s="73">
        <f>IF(INDIRECT("'"&amp;$B$3&amp;"'!"&amp;ADDRESS($AD47,CE$1)),INDIRECT("'"&amp;$B$3&amp;"'!"&amp;ADDRESS($AD47,CE$1)),CE46)</f>
        <v/>
      </c>
      <c r="CF47" s="73">
        <f>IF(INDIRECT("'"&amp;$B$3&amp;"'!"&amp;ADDRESS($AD47,CF$1)),INDIRECT("'"&amp;$B$3&amp;"'!"&amp;ADDRESS($AD47,CF$1)),CF46)</f>
        <v/>
      </c>
      <c r="CG47" s="73">
        <f>IF(INDIRECT("'"&amp;$B$3&amp;"'!"&amp;ADDRESS($AD47,CG$1)),INDIRECT("'"&amp;$B$3&amp;"'!"&amp;ADDRESS($AD47,CG$1)),CG46)</f>
        <v/>
      </c>
      <c r="CH47" s="73">
        <f>IF(INDIRECT("'"&amp;$B$3&amp;"'!"&amp;ADDRESS($AD47,CH$1)),INDIRECT("'"&amp;$B$3&amp;"'!"&amp;ADDRESS($AD47,CH$1)),CH46)</f>
        <v/>
      </c>
      <c r="CI47" s="73">
        <f>IF(INDIRECT("'"&amp;$B$3&amp;"'!"&amp;ADDRESS($AD47,CI$1)),INDIRECT("'"&amp;$B$3&amp;"'!"&amp;ADDRESS($AD47,CI$1)),CI46)</f>
        <v/>
      </c>
      <c r="CJ47" s="73">
        <f>IF(INDIRECT("'"&amp;$B$3&amp;"'!"&amp;ADDRESS($AD47,CJ$1)),INDIRECT("'"&amp;$B$3&amp;"'!"&amp;ADDRESS($AD47,CJ$1)),CJ46)</f>
        <v/>
      </c>
      <c r="CK47" s="73">
        <f>IF(INDIRECT("'"&amp;$B$3&amp;"'!"&amp;ADDRESS($AD47,CK$1)),INDIRECT("'"&amp;$B$3&amp;"'!"&amp;ADDRESS($AD47,CK$1)),CK46)</f>
        <v/>
      </c>
      <c r="CL47" s="73">
        <f>IF(INDIRECT("'"&amp;$B$3&amp;"'!"&amp;ADDRESS($AD47,CL$1)),INDIRECT("'"&amp;$B$3&amp;"'!"&amp;ADDRESS($AD47,CL$1)),CL46)</f>
        <v/>
      </c>
      <c r="CM47" s="73">
        <f>IF(INDIRECT("'"&amp;$B$3&amp;"'!"&amp;ADDRESS($AD47,CM$1)),INDIRECT("'"&amp;$B$3&amp;"'!"&amp;ADDRESS($AD47,CM$1)),CM46)</f>
        <v/>
      </c>
      <c r="CN47" s="73">
        <f>IF(INDIRECT("'"&amp;$B$3&amp;"'!"&amp;ADDRESS($AD47,CN$1)),INDIRECT("'"&amp;$B$3&amp;"'!"&amp;ADDRESS($AD47,CN$1)),CN46)</f>
        <v/>
      </c>
      <c r="CO47" s="73">
        <f>IF(INDIRECT("'"&amp;$B$3&amp;"'!"&amp;ADDRESS($AD47,CO$1)),INDIRECT("'"&amp;$B$3&amp;"'!"&amp;ADDRESS($AD47,CO$1)),CO46)</f>
        <v/>
      </c>
      <c r="CP47" s="73">
        <f>IF(INDIRECT("'"&amp;$B$3&amp;"'!"&amp;ADDRESS($AD47,CP$1)),INDIRECT("'"&amp;$B$3&amp;"'!"&amp;ADDRESS($AD47,CP$1)),CP46)</f>
        <v/>
      </c>
      <c r="CQ47" s="73">
        <f>IF(INDIRECT("'"&amp;$B$3&amp;"'!"&amp;ADDRESS($AD47,CQ$1)),INDIRECT("'"&amp;$B$3&amp;"'!"&amp;ADDRESS($AD47,CQ$1)),CQ46)</f>
        <v/>
      </c>
    </row>
    <row r="48">
      <c r="AA48" s="72" t="n"/>
      <c r="AD48" t="n">
        <v>48</v>
      </c>
      <c r="BM48" s="73">
        <f>IF(INDIRECT("'"&amp;$B$3&amp;"'!"&amp;ADDRESS($AD48,BM$1)),INDIRECT("'"&amp;$B$3&amp;"'!"&amp;ADDRESS($AD48,BM$1)),BM47)</f>
        <v/>
      </c>
      <c r="BN48" s="73">
        <f>IF(INDIRECT("'"&amp;$B$3&amp;"'!"&amp;ADDRESS($AD48,BN$1)),INDIRECT("'"&amp;$B$3&amp;"'!"&amp;ADDRESS($AD48,BN$1)),BN47)</f>
        <v/>
      </c>
      <c r="BO48" s="73">
        <f>IF(INDIRECT("'"&amp;$B$3&amp;"'!"&amp;ADDRESS($AD48,BO$1)),INDIRECT("'"&amp;$B$3&amp;"'!"&amp;ADDRESS($AD48,BO$1)),BO47)</f>
        <v/>
      </c>
      <c r="BP48" s="73">
        <f>IF(INDIRECT("'"&amp;$B$3&amp;"'!"&amp;ADDRESS($AD48,BP$1)),INDIRECT("'"&amp;$B$3&amp;"'!"&amp;ADDRESS($AD48,BP$1)),BP47)</f>
        <v/>
      </c>
      <c r="BQ48" s="73">
        <f>IF(INDIRECT("'"&amp;$B$3&amp;"'!"&amp;ADDRESS($AD48,BQ$1)),INDIRECT("'"&amp;$B$3&amp;"'!"&amp;ADDRESS($AD48,BQ$1)),BQ47)</f>
        <v/>
      </c>
      <c r="BR48" s="73">
        <f>IF(INDIRECT("'"&amp;$B$3&amp;"'!"&amp;ADDRESS($AD48,BR$1)),INDIRECT("'"&amp;$B$3&amp;"'!"&amp;ADDRESS($AD48,BR$1)),BR47)</f>
        <v/>
      </c>
      <c r="BS48" s="73">
        <f>IF(INDIRECT("'"&amp;$B$3&amp;"'!"&amp;ADDRESS($AD48,BS$1)),INDIRECT("'"&amp;$B$3&amp;"'!"&amp;ADDRESS($AD48,BS$1)),BS47)</f>
        <v/>
      </c>
      <c r="BT48" s="73">
        <f>IF(INDIRECT("'"&amp;$B$3&amp;"'!"&amp;ADDRESS($AD48,BT$1)),INDIRECT("'"&amp;$B$3&amp;"'!"&amp;ADDRESS($AD48,BT$1)),BT47)</f>
        <v/>
      </c>
      <c r="BU48" s="73">
        <f>IF(INDIRECT("'"&amp;$B$3&amp;"'!"&amp;ADDRESS($AD48,BU$1)),INDIRECT("'"&amp;$B$3&amp;"'!"&amp;ADDRESS($AD48,BU$1)),BU47)</f>
        <v/>
      </c>
      <c r="BV48" s="73">
        <f>IF(INDIRECT("'"&amp;$B$3&amp;"'!"&amp;ADDRESS($AD48,BV$1)),INDIRECT("'"&amp;$B$3&amp;"'!"&amp;ADDRESS($AD48,BV$1)),BV47)</f>
        <v/>
      </c>
      <c r="BW48" s="73">
        <f>IF(INDIRECT("'"&amp;$B$3&amp;"'!"&amp;ADDRESS($AD48,BW$1)),INDIRECT("'"&amp;$B$3&amp;"'!"&amp;ADDRESS($AD48,BW$1)),BW47)</f>
        <v/>
      </c>
      <c r="BX48" s="73">
        <f>IF(INDIRECT("'"&amp;$B$3&amp;"'!"&amp;ADDRESS($AD48,BX$1)),INDIRECT("'"&amp;$B$3&amp;"'!"&amp;ADDRESS($AD48,BX$1)),BX47)</f>
        <v/>
      </c>
      <c r="BY48" s="73">
        <f>IF(INDIRECT("'"&amp;$B$3&amp;"'!"&amp;ADDRESS($AD48,BY$1)),INDIRECT("'"&amp;$B$3&amp;"'!"&amp;ADDRESS($AD48,BY$1)),BY47)</f>
        <v/>
      </c>
      <c r="BZ48" s="73">
        <f>IF(INDIRECT("'"&amp;$B$3&amp;"'!"&amp;ADDRESS($AD48,BZ$1)),INDIRECT("'"&amp;$B$3&amp;"'!"&amp;ADDRESS($AD48,BZ$1)),BZ47)</f>
        <v/>
      </c>
      <c r="CD48" s="73">
        <f>IF(INDIRECT("'"&amp;$B$3&amp;"'!"&amp;ADDRESS($AD48,CD$1)),INDIRECT("'"&amp;$B$3&amp;"'!"&amp;ADDRESS($AD48,CD$1)),CD47)</f>
        <v/>
      </c>
      <c r="CE48" s="73">
        <f>IF(INDIRECT("'"&amp;$B$3&amp;"'!"&amp;ADDRESS($AD48,CE$1)),INDIRECT("'"&amp;$B$3&amp;"'!"&amp;ADDRESS($AD48,CE$1)),CE47)</f>
        <v/>
      </c>
      <c r="CF48" s="73">
        <f>IF(INDIRECT("'"&amp;$B$3&amp;"'!"&amp;ADDRESS($AD48,CF$1)),INDIRECT("'"&amp;$B$3&amp;"'!"&amp;ADDRESS($AD48,CF$1)),CF47)</f>
        <v/>
      </c>
      <c r="CG48" s="73">
        <f>IF(INDIRECT("'"&amp;$B$3&amp;"'!"&amp;ADDRESS($AD48,CG$1)),INDIRECT("'"&amp;$B$3&amp;"'!"&amp;ADDRESS($AD48,CG$1)),CG47)</f>
        <v/>
      </c>
      <c r="CH48" s="73">
        <f>IF(INDIRECT("'"&amp;$B$3&amp;"'!"&amp;ADDRESS($AD48,CH$1)),INDIRECT("'"&amp;$B$3&amp;"'!"&amp;ADDRESS($AD48,CH$1)),CH47)</f>
        <v/>
      </c>
      <c r="CI48" s="73">
        <f>IF(INDIRECT("'"&amp;$B$3&amp;"'!"&amp;ADDRESS($AD48,CI$1)),INDIRECT("'"&amp;$B$3&amp;"'!"&amp;ADDRESS($AD48,CI$1)),CI47)</f>
        <v/>
      </c>
      <c r="CJ48" s="73">
        <f>IF(INDIRECT("'"&amp;$B$3&amp;"'!"&amp;ADDRESS($AD48,CJ$1)),INDIRECT("'"&amp;$B$3&amp;"'!"&amp;ADDRESS($AD48,CJ$1)),CJ47)</f>
        <v/>
      </c>
      <c r="CK48" s="73">
        <f>IF(INDIRECT("'"&amp;$B$3&amp;"'!"&amp;ADDRESS($AD48,CK$1)),INDIRECT("'"&amp;$B$3&amp;"'!"&amp;ADDRESS($AD48,CK$1)),CK47)</f>
        <v/>
      </c>
      <c r="CL48" s="73">
        <f>IF(INDIRECT("'"&amp;$B$3&amp;"'!"&amp;ADDRESS($AD48,CL$1)),INDIRECT("'"&amp;$B$3&amp;"'!"&amp;ADDRESS($AD48,CL$1)),CL47)</f>
        <v/>
      </c>
      <c r="CM48" s="73">
        <f>IF(INDIRECT("'"&amp;$B$3&amp;"'!"&amp;ADDRESS($AD48,CM$1)),INDIRECT("'"&amp;$B$3&amp;"'!"&amp;ADDRESS($AD48,CM$1)),CM47)</f>
        <v/>
      </c>
      <c r="CN48" s="73">
        <f>IF(INDIRECT("'"&amp;$B$3&amp;"'!"&amp;ADDRESS($AD48,CN$1)),INDIRECT("'"&amp;$B$3&amp;"'!"&amp;ADDRESS($AD48,CN$1)),CN47)</f>
        <v/>
      </c>
      <c r="CO48" s="73">
        <f>IF(INDIRECT("'"&amp;$B$3&amp;"'!"&amp;ADDRESS($AD48,CO$1)),INDIRECT("'"&amp;$B$3&amp;"'!"&amp;ADDRESS($AD48,CO$1)),CO47)</f>
        <v/>
      </c>
      <c r="CP48" s="73">
        <f>IF(INDIRECT("'"&amp;$B$3&amp;"'!"&amp;ADDRESS($AD48,CP$1)),INDIRECT("'"&amp;$B$3&amp;"'!"&amp;ADDRESS($AD48,CP$1)),CP47)</f>
        <v/>
      </c>
      <c r="CQ48" s="73">
        <f>IF(INDIRECT("'"&amp;$B$3&amp;"'!"&amp;ADDRESS($AD48,CQ$1)),INDIRECT("'"&amp;$B$3&amp;"'!"&amp;ADDRESS($AD48,CQ$1)),CQ47)</f>
        <v/>
      </c>
    </row>
    <row r="49">
      <c r="AA49" s="72" t="n"/>
      <c r="AD49" t="n">
        <v>49</v>
      </c>
      <c r="AE49" s="67" t="inlineStr">
        <is>
          <t>rate</t>
        </is>
      </c>
      <c r="AF49" s="67" t="inlineStr">
        <is>
          <t>y</t>
        </is>
      </c>
      <c r="AG49" s="67" t="inlineStr">
        <is>
          <t>u</t>
        </is>
      </c>
      <c r="AH49" s="67" t="inlineStr">
        <is>
          <t>v</t>
        </is>
      </c>
      <c r="AI49" s="67" t="inlineStr">
        <is>
          <t>yuv</t>
        </is>
      </c>
      <c r="BM49" s="73">
        <f>IF(INDIRECT("'"&amp;$B$3&amp;"'!"&amp;ADDRESS($AD49,BM$1)),INDIRECT("'"&amp;$B$3&amp;"'!"&amp;ADDRESS($AD49,BM$1)),BM48)</f>
        <v/>
      </c>
      <c r="BN49" s="73">
        <f>IF(INDIRECT("'"&amp;$B$3&amp;"'!"&amp;ADDRESS($AD49,BN$1)),INDIRECT("'"&amp;$B$3&amp;"'!"&amp;ADDRESS($AD49,BN$1)),BN48)</f>
        <v/>
      </c>
      <c r="BO49" s="73">
        <f>IF(INDIRECT("'"&amp;$B$3&amp;"'!"&amp;ADDRESS($AD49,BO$1)),INDIRECT("'"&amp;$B$3&amp;"'!"&amp;ADDRESS($AD49,BO$1)),BO48)</f>
        <v/>
      </c>
      <c r="BP49" s="73">
        <f>IF(INDIRECT("'"&amp;$B$3&amp;"'!"&amp;ADDRESS($AD49,BP$1)),INDIRECT("'"&amp;$B$3&amp;"'!"&amp;ADDRESS($AD49,BP$1)),BP48)</f>
        <v/>
      </c>
      <c r="BQ49" s="73">
        <f>IF(INDIRECT("'"&amp;$B$3&amp;"'!"&amp;ADDRESS($AD49,BQ$1)),INDIRECT("'"&amp;$B$3&amp;"'!"&amp;ADDRESS($AD49,BQ$1)),BQ48)</f>
        <v/>
      </c>
      <c r="BR49" s="73">
        <f>IF(INDIRECT("'"&amp;$B$3&amp;"'!"&amp;ADDRESS($AD49,BR$1)),INDIRECT("'"&amp;$B$3&amp;"'!"&amp;ADDRESS($AD49,BR$1)),BR48)</f>
        <v/>
      </c>
      <c r="BS49" s="73">
        <f>IF(INDIRECT("'"&amp;$B$3&amp;"'!"&amp;ADDRESS($AD49,BS$1)),INDIRECT("'"&amp;$B$3&amp;"'!"&amp;ADDRESS($AD49,BS$1)),BS48)</f>
        <v/>
      </c>
      <c r="BT49" s="73">
        <f>IF(INDIRECT("'"&amp;$B$3&amp;"'!"&amp;ADDRESS($AD49,BT$1)),INDIRECT("'"&amp;$B$3&amp;"'!"&amp;ADDRESS($AD49,BT$1)),BT48)</f>
        <v/>
      </c>
      <c r="BU49" s="73">
        <f>IF(INDIRECT("'"&amp;$B$3&amp;"'!"&amp;ADDRESS($AD49,BU$1)),INDIRECT("'"&amp;$B$3&amp;"'!"&amp;ADDRESS($AD49,BU$1)),BU48)</f>
        <v/>
      </c>
      <c r="BV49" s="73">
        <f>IF(INDIRECT("'"&amp;$B$3&amp;"'!"&amp;ADDRESS($AD49,BV$1)),INDIRECT("'"&amp;$B$3&amp;"'!"&amp;ADDRESS($AD49,BV$1)),BV48)</f>
        <v/>
      </c>
      <c r="BW49" s="73">
        <f>IF(INDIRECT("'"&amp;$B$3&amp;"'!"&amp;ADDRESS($AD49,BW$1)),INDIRECT("'"&amp;$B$3&amp;"'!"&amp;ADDRESS($AD49,BW$1)),BW48)</f>
        <v/>
      </c>
      <c r="BX49" s="73">
        <f>IF(INDIRECT("'"&amp;$B$3&amp;"'!"&amp;ADDRESS($AD49,BX$1)),INDIRECT("'"&amp;$B$3&amp;"'!"&amp;ADDRESS($AD49,BX$1)),BX48)</f>
        <v/>
      </c>
      <c r="BY49" s="73">
        <f>IF(INDIRECT("'"&amp;$B$3&amp;"'!"&amp;ADDRESS($AD49,BY$1)),INDIRECT("'"&amp;$B$3&amp;"'!"&amp;ADDRESS($AD49,BY$1)),BY48)</f>
        <v/>
      </c>
      <c r="BZ49" s="73">
        <f>IF(INDIRECT("'"&amp;$B$3&amp;"'!"&amp;ADDRESS($AD49,BZ$1)),INDIRECT("'"&amp;$B$3&amp;"'!"&amp;ADDRESS($AD49,BZ$1)),BZ48)</f>
        <v/>
      </c>
      <c r="CD49" s="73">
        <f>IF(INDIRECT("'"&amp;$B$3&amp;"'!"&amp;ADDRESS($AD49,CD$1)),INDIRECT("'"&amp;$B$3&amp;"'!"&amp;ADDRESS($AD49,CD$1)),CD48)</f>
        <v/>
      </c>
      <c r="CE49" s="73">
        <f>IF(INDIRECT("'"&amp;$B$3&amp;"'!"&amp;ADDRESS($AD49,CE$1)),INDIRECT("'"&amp;$B$3&amp;"'!"&amp;ADDRESS($AD49,CE$1)),CE48)</f>
        <v/>
      </c>
      <c r="CF49" s="73">
        <f>IF(INDIRECT("'"&amp;$B$3&amp;"'!"&amp;ADDRESS($AD49,CF$1)),INDIRECT("'"&amp;$B$3&amp;"'!"&amp;ADDRESS($AD49,CF$1)),CF48)</f>
        <v/>
      </c>
      <c r="CG49" s="73">
        <f>IF(INDIRECT("'"&amp;$B$3&amp;"'!"&amp;ADDRESS($AD49,CG$1)),INDIRECT("'"&amp;$B$3&amp;"'!"&amp;ADDRESS($AD49,CG$1)),CG48)</f>
        <v/>
      </c>
      <c r="CH49" s="73">
        <f>IF(INDIRECT("'"&amp;$B$3&amp;"'!"&amp;ADDRESS($AD49,CH$1)),INDIRECT("'"&amp;$B$3&amp;"'!"&amp;ADDRESS($AD49,CH$1)),CH48)</f>
        <v/>
      </c>
      <c r="CI49" s="73">
        <f>IF(INDIRECT("'"&amp;$B$3&amp;"'!"&amp;ADDRESS($AD49,CI$1)),INDIRECT("'"&amp;$B$3&amp;"'!"&amp;ADDRESS($AD49,CI$1)),CI48)</f>
        <v/>
      </c>
      <c r="CJ49" s="73">
        <f>IF(INDIRECT("'"&amp;$B$3&amp;"'!"&amp;ADDRESS($AD49,CJ$1)),INDIRECT("'"&amp;$B$3&amp;"'!"&amp;ADDRESS($AD49,CJ$1)),CJ48)</f>
        <v/>
      </c>
      <c r="CK49" s="73">
        <f>IF(INDIRECT("'"&amp;$B$3&amp;"'!"&amp;ADDRESS($AD49,CK$1)),INDIRECT("'"&amp;$B$3&amp;"'!"&amp;ADDRESS($AD49,CK$1)),CK48)</f>
        <v/>
      </c>
      <c r="CL49" s="73">
        <f>IF(INDIRECT("'"&amp;$B$3&amp;"'!"&amp;ADDRESS($AD49,CL$1)),INDIRECT("'"&amp;$B$3&amp;"'!"&amp;ADDRESS($AD49,CL$1)),CL48)</f>
        <v/>
      </c>
      <c r="CM49" s="73">
        <f>IF(INDIRECT("'"&amp;$B$3&amp;"'!"&amp;ADDRESS($AD49,CM$1)),INDIRECT("'"&amp;$B$3&amp;"'!"&amp;ADDRESS($AD49,CM$1)),CM48)</f>
        <v/>
      </c>
      <c r="CN49" s="73">
        <f>IF(INDIRECT("'"&amp;$B$3&amp;"'!"&amp;ADDRESS($AD49,CN$1)),INDIRECT("'"&amp;$B$3&amp;"'!"&amp;ADDRESS($AD49,CN$1)),CN48)</f>
        <v/>
      </c>
      <c r="CO49" s="73">
        <f>IF(INDIRECT("'"&amp;$B$3&amp;"'!"&amp;ADDRESS($AD49,CO$1)),INDIRECT("'"&amp;$B$3&amp;"'!"&amp;ADDRESS($AD49,CO$1)),CO48)</f>
        <v/>
      </c>
      <c r="CP49" s="73">
        <f>IF(INDIRECT("'"&amp;$B$3&amp;"'!"&amp;ADDRESS($AD49,CP$1)),INDIRECT("'"&amp;$B$3&amp;"'!"&amp;ADDRESS($AD49,CP$1)),CP48)</f>
        <v/>
      </c>
      <c r="CQ49" s="73">
        <f>IF(INDIRECT("'"&amp;$B$3&amp;"'!"&amp;ADDRESS($AD49,CQ$1)),INDIRECT("'"&amp;$B$3&amp;"'!"&amp;ADDRESS($AD49,CQ$1)),CQ48)</f>
        <v/>
      </c>
    </row>
    <row r="50">
      <c r="AA50" s="72" t="n"/>
      <c r="AD50" t="n">
        <v>50</v>
      </c>
      <c r="AE50" s="74">
        <f>MAX(AE5:AE40,AV5:AV40)</f>
        <v/>
      </c>
      <c r="AF50" s="74">
        <f>MAX(AF5:AF40,AW5:AW40)</f>
        <v/>
      </c>
      <c r="AG50" s="74">
        <f>MAX(AG5:AG40,AX5:AX40)</f>
        <v/>
      </c>
      <c r="AH50" s="74">
        <f>MAX(AH5:AH40,AY5:AY40)</f>
        <v/>
      </c>
      <c r="AI50" s="74">
        <f>MAX(AI5:AI40,AZ5:AZ40)</f>
        <v/>
      </c>
      <c r="AJ50" s="74">
        <f>MAX(AJ5:AJ40,BA5:BA40)</f>
        <v/>
      </c>
      <c r="AK50" s="74">
        <f>MAX(AK5:AK40,BB5:BB40)</f>
        <v/>
      </c>
      <c r="AL50" s="74">
        <f>MAX(AL5:AL40,BC5:BC40)</f>
        <v/>
      </c>
      <c r="AM50" s="74">
        <f>MAX(AM5:AM40,BD5:BD40)</f>
        <v/>
      </c>
      <c r="AN50" s="74">
        <f>MAX(AN5:AN40,BE5:BE40)</f>
        <v/>
      </c>
      <c r="AO50" s="74">
        <f>MAX(AO5:AO40,BF5:BF40)</f>
        <v/>
      </c>
      <c r="AP50" s="74">
        <f>MAX(AP5:AP40,BG5:BG40)</f>
        <v/>
      </c>
      <c r="AQ50" s="74">
        <f>MAX(AQ5:AQ40,BH5:BH40)</f>
        <v/>
      </c>
      <c r="AR50" s="74">
        <f>MAX(AR5:AR40,BI5:BI40)</f>
        <v/>
      </c>
      <c r="BM50" s="73">
        <f>IF(INDIRECT("'"&amp;$B$3&amp;"'!"&amp;ADDRESS($AD50,BM$1)),INDIRECT("'"&amp;$B$3&amp;"'!"&amp;ADDRESS($AD50,BM$1)),BM49)</f>
        <v/>
      </c>
      <c r="BN50" s="73">
        <f>IF(INDIRECT("'"&amp;$B$3&amp;"'!"&amp;ADDRESS($AD50,BN$1)),INDIRECT("'"&amp;$B$3&amp;"'!"&amp;ADDRESS($AD50,BN$1)),BN49)</f>
        <v/>
      </c>
      <c r="BO50" s="73">
        <f>IF(INDIRECT("'"&amp;$B$3&amp;"'!"&amp;ADDRESS($AD50,BO$1)),INDIRECT("'"&amp;$B$3&amp;"'!"&amp;ADDRESS($AD50,BO$1)),BO49)</f>
        <v/>
      </c>
      <c r="BP50" s="73">
        <f>IF(INDIRECT("'"&amp;$B$3&amp;"'!"&amp;ADDRESS($AD50,BP$1)),INDIRECT("'"&amp;$B$3&amp;"'!"&amp;ADDRESS($AD50,BP$1)),BP49)</f>
        <v/>
      </c>
      <c r="BQ50" s="73">
        <f>IF(INDIRECT("'"&amp;$B$3&amp;"'!"&amp;ADDRESS($AD50,BQ$1)),INDIRECT("'"&amp;$B$3&amp;"'!"&amp;ADDRESS($AD50,BQ$1)),BQ49)</f>
        <v/>
      </c>
      <c r="BR50" s="73">
        <f>IF(INDIRECT("'"&amp;$B$3&amp;"'!"&amp;ADDRESS($AD50,BR$1)),INDIRECT("'"&amp;$B$3&amp;"'!"&amp;ADDRESS($AD50,BR$1)),BR49)</f>
        <v/>
      </c>
      <c r="BS50" s="73">
        <f>IF(INDIRECT("'"&amp;$B$3&amp;"'!"&amp;ADDRESS($AD50,BS$1)),INDIRECT("'"&amp;$B$3&amp;"'!"&amp;ADDRESS($AD50,BS$1)),BS49)</f>
        <v/>
      </c>
      <c r="BT50" s="73">
        <f>IF(INDIRECT("'"&amp;$B$3&amp;"'!"&amp;ADDRESS($AD50,BT$1)),INDIRECT("'"&amp;$B$3&amp;"'!"&amp;ADDRESS($AD50,BT$1)),BT49)</f>
        <v/>
      </c>
      <c r="BU50" s="73">
        <f>IF(INDIRECT("'"&amp;$B$3&amp;"'!"&amp;ADDRESS($AD50,BU$1)),INDIRECT("'"&amp;$B$3&amp;"'!"&amp;ADDRESS($AD50,BU$1)),BU49)</f>
        <v/>
      </c>
      <c r="BV50" s="73">
        <f>IF(INDIRECT("'"&amp;$B$3&amp;"'!"&amp;ADDRESS($AD50,BV$1)),INDIRECT("'"&amp;$B$3&amp;"'!"&amp;ADDRESS($AD50,BV$1)),BV49)</f>
        <v/>
      </c>
      <c r="BW50" s="73">
        <f>IF(INDIRECT("'"&amp;$B$3&amp;"'!"&amp;ADDRESS($AD50,BW$1)),INDIRECT("'"&amp;$B$3&amp;"'!"&amp;ADDRESS($AD50,BW$1)),BW49)</f>
        <v/>
      </c>
      <c r="BX50" s="73">
        <f>IF(INDIRECT("'"&amp;$B$3&amp;"'!"&amp;ADDRESS($AD50,BX$1)),INDIRECT("'"&amp;$B$3&amp;"'!"&amp;ADDRESS($AD50,BX$1)),BX49)</f>
        <v/>
      </c>
      <c r="BY50" s="73">
        <f>IF(INDIRECT("'"&amp;$B$3&amp;"'!"&amp;ADDRESS($AD50,BY$1)),INDIRECT("'"&amp;$B$3&amp;"'!"&amp;ADDRESS($AD50,BY$1)),BY49)</f>
        <v/>
      </c>
      <c r="BZ50" s="73">
        <f>IF(INDIRECT("'"&amp;$B$3&amp;"'!"&amp;ADDRESS($AD50,BZ$1)),INDIRECT("'"&amp;$B$3&amp;"'!"&amp;ADDRESS($AD50,BZ$1)),BZ49)</f>
        <v/>
      </c>
      <c r="CD50" s="73">
        <f>IF(INDIRECT("'"&amp;$B$3&amp;"'!"&amp;ADDRESS($AD50,CD$1)),INDIRECT("'"&amp;$B$3&amp;"'!"&amp;ADDRESS($AD50,CD$1)),CD49)</f>
        <v/>
      </c>
      <c r="CE50" s="73">
        <f>IF(INDIRECT("'"&amp;$B$3&amp;"'!"&amp;ADDRESS($AD50,CE$1)),INDIRECT("'"&amp;$B$3&amp;"'!"&amp;ADDRESS($AD50,CE$1)),CE49)</f>
        <v/>
      </c>
      <c r="CF50" s="73">
        <f>IF(INDIRECT("'"&amp;$B$3&amp;"'!"&amp;ADDRESS($AD50,CF$1)),INDIRECT("'"&amp;$B$3&amp;"'!"&amp;ADDRESS($AD50,CF$1)),CF49)</f>
        <v/>
      </c>
      <c r="CG50" s="73">
        <f>IF(INDIRECT("'"&amp;$B$3&amp;"'!"&amp;ADDRESS($AD50,CG$1)),INDIRECT("'"&amp;$B$3&amp;"'!"&amp;ADDRESS($AD50,CG$1)),CG49)</f>
        <v/>
      </c>
      <c r="CH50" s="73">
        <f>IF(INDIRECT("'"&amp;$B$3&amp;"'!"&amp;ADDRESS($AD50,CH$1)),INDIRECT("'"&amp;$B$3&amp;"'!"&amp;ADDRESS($AD50,CH$1)),CH49)</f>
        <v/>
      </c>
      <c r="CI50" s="73">
        <f>IF(INDIRECT("'"&amp;$B$3&amp;"'!"&amp;ADDRESS($AD50,CI$1)),INDIRECT("'"&amp;$B$3&amp;"'!"&amp;ADDRESS($AD50,CI$1)),CI49)</f>
        <v/>
      </c>
      <c r="CJ50" s="73">
        <f>IF(INDIRECT("'"&amp;$B$3&amp;"'!"&amp;ADDRESS($AD50,CJ$1)),INDIRECT("'"&amp;$B$3&amp;"'!"&amp;ADDRESS($AD50,CJ$1)),CJ49)</f>
        <v/>
      </c>
      <c r="CK50" s="73">
        <f>IF(INDIRECT("'"&amp;$B$3&amp;"'!"&amp;ADDRESS($AD50,CK$1)),INDIRECT("'"&amp;$B$3&amp;"'!"&amp;ADDRESS($AD50,CK$1)),CK49)</f>
        <v/>
      </c>
      <c r="CL50" s="73">
        <f>IF(INDIRECT("'"&amp;$B$3&amp;"'!"&amp;ADDRESS($AD50,CL$1)),INDIRECT("'"&amp;$B$3&amp;"'!"&amp;ADDRESS($AD50,CL$1)),CL49)</f>
        <v/>
      </c>
      <c r="CM50" s="73">
        <f>IF(INDIRECT("'"&amp;$B$3&amp;"'!"&amp;ADDRESS($AD50,CM$1)),INDIRECT("'"&amp;$B$3&amp;"'!"&amp;ADDRESS($AD50,CM$1)),CM49)</f>
        <v/>
      </c>
      <c r="CN50" s="73">
        <f>IF(INDIRECT("'"&amp;$B$3&amp;"'!"&amp;ADDRESS($AD50,CN$1)),INDIRECT("'"&amp;$B$3&amp;"'!"&amp;ADDRESS($AD50,CN$1)),CN49)</f>
        <v/>
      </c>
      <c r="CO50" s="73">
        <f>IF(INDIRECT("'"&amp;$B$3&amp;"'!"&amp;ADDRESS($AD50,CO$1)),INDIRECT("'"&amp;$B$3&amp;"'!"&amp;ADDRESS($AD50,CO$1)),CO49)</f>
        <v/>
      </c>
      <c r="CP50" s="73">
        <f>IF(INDIRECT("'"&amp;$B$3&amp;"'!"&amp;ADDRESS($AD50,CP$1)),INDIRECT("'"&amp;$B$3&amp;"'!"&amp;ADDRESS($AD50,CP$1)),CP49)</f>
        <v/>
      </c>
      <c r="CQ50" s="73">
        <f>IF(INDIRECT("'"&amp;$B$3&amp;"'!"&amp;ADDRESS($AD50,CQ$1)),INDIRECT("'"&amp;$B$3&amp;"'!"&amp;ADDRESS($AD50,CQ$1)),CQ49)</f>
        <v/>
      </c>
    </row>
    <row r="51">
      <c r="AA51" s="72" t="n"/>
      <c r="AD51" t="n">
        <v>51</v>
      </c>
      <c r="AE51" s="74">
        <f>MIN(AE5:AE40,AV5:AV40)</f>
        <v/>
      </c>
      <c r="AF51" s="74">
        <f>MIN(AF5:AF40,AW5:AW40)</f>
        <v/>
      </c>
      <c r="AG51" s="74">
        <f>MIN(AG5:AG40,AX5:AX40)</f>
        <v/>
      </c>
      <c r="AH51" s="74">
        <f>MIN(AH5:AH40,AY5:AY40)</f>
        <v/>
      </c>
      <c r="AI51" s="74">
        <f>MIN(AI5:AI40,AZ5:AZ40)</f>
        <v/>
      </c>
      <c r="AJ51" s="74">
        <f>MIN(AJ5:AJ40,BA5:BA40)</f>
        <v/>
      </c>
      <c r="AK51" s="74">
        <f>MIN(AK5:AK40,BB5:BB40)</f>
        <v/>
      </c>
      <c r="AL51" s="74">
        <f>MIN(AL5:AL40,BC5:BC40)</f>
        <v/>
      </c>
      <c r="AM51" s="74">
        <f>MIN(AM5:AM40,BD5:BD40)</f>
        <v/>
      </c>
      <c r="AN51" s="74">
        <f>MIN(AN5:AN40,BE5:BE40)</f>
        <v/>
      </c>
      <c r="AO51" s="74">
        <f>MIN(AO5:AO40,BF5:BF40)</f>
        <v/>
      </c>
      <c r="AP51" s="74">
        <f>MIN(AP5:AP40,BG5:BG40)</f>
        <v/>
      </c>
      <c r="AQ51" s="74">
        <f>MIN(AQ5:AQ40,BH5:BH40)</f>
        <v/>
      </c>
      <c r="AR51" s="74">
        <f>MIN(AR5:AR40,BI5:BI40)</f>
        <v/>
      </c>
      <c r="BM51" s="73">
        <f>IF(INDIRECT("'"&amp;$B$3&amp;"'!"&amp;ADDRESS($AD51,BM$1)),INDIRECT("'"&amp;$B$3&amp;"'!"&amp;ADDRESS($AD51,BM$1)),BM50)</f>
        <v/>
      </c>
      <c r="BN51" s="73">
        <f>IF(INDIRECT("'"&amp;$B$3&amp;"'!"&amp;ADDRESS($AD51,BN$1)),INDIRECT("'"&amp;$B$3&amp;"'!"&amp;ADDRESS($AD51,BN$1)),BN50)</f>
        <v/>
      </c>
      <c r="BO51" s="73">
        <f>IF(INDIRECT("'"&amp;$B$3&amp;"'!"&amp;ADDRESS($AD51,BO$1)),INDIRECT("'"&amp;$B$3&amp;"'!"&amp;ADDRESS($AD51,BO$1)),BO50)</f>
        <v/>
      </c>
      <c r="BP51" s="73">
        <f>IF(INDIRECT("'"&amp;$B$3&amp;"'!"&amp;ADDRESS($AD51,BP$1)),INDIRECT("'"&amp;$B$3&amp;"'!"&amp;ADDRESS($AD51,BP$1)),BP50)</f>
        <v/>
      </c>
      <c r="BQ51" s="73">
        <f>IF(INDIRECT("'"&amp;$B$3&amp;"'!"&amp;ADDRESS($AD51,BQ$1)),INDIRECT("'"&amp;$B$3&amp;"'!"&amp;ADDRESS($AD51,BQ$1)),BQ50)</f>
        <v/>
      </c>
      <c r="BR51" s="73">
        <f>IF(INDIRECT("'"&amp;$B$3&amp;"'!"&amp;ADDRESS($AD51,BR$1)),INDIRECT("'"&amp;$B$3&amp;"'!"&amp;ADDRESS($AD51,BR$1)),BR50)</f>
        <v/>
      </c>
      <c r="BS51" s="73">
        <f>IF(INDIRECT("'"&amp;$B$3&amp;"'!"&amp;ADDRESS($AD51,BS$1)),INDIRECT("'"&amp;$B$3&amp;"'!"&amp;ADDRESS($AD51,BS$1)),BS50)</f>
        <v/>
      </c>
      <c r="BT51" s="73">
        <f>IF(INDIRECT("'"&amp;$B$3&amp;"'!"&amp;ADDRESS($AD51,BT$1)),INDIRECT("'"&amp;$B$3&amp;"'!"&amp;ADDRESS($AD51,BT$1)),BT50)</f>
        <v/>
      </c>
      <c r="BU51" s="73">
        <f>IF(INDIRECT("'"&amp;$B$3&amp;"'!"&amp;ADDRESS($AD51,BU$1)),INDIRECT("'"&amp;$B$3&amp;"'!"&amp;ADDRESS($AD51,BU$1)),BU50)</f>
        <v/>
      </c>
      <c r="BV51" s="73">
        <f>IF(INDIRECT("'"&amp;$B$3&amp;"'!"&amp;ADDRESS($AD51,BV$1)),INDIRECT("'"&amp;$B$3&amp;"'!"&amp;ADDRESS($AD51,BV$1)),BV50)</f>
        <v/>
      </c>
      <c r="BW51" s="73">
        <f>IF(INDIRECT("'"&amp;$B$3&amp;"'!"&amp;ADDRESS($AD51,BW$1)),INDIRECT("'"&amp;$B$3&amp;"'!"&amp;ADDRESS($AD51,BW$1)),BW50)</f>
        <v/>
      </c>
      <c r="BX51" s="73">
        <f>IF(INDIRECT("'"&amp;$B$3&amp;"'!"&amp;ADDRESS($AD51,BX$1)),INDIRECT("'"&amp;$B$3&amp;"'!"&amp;ADDRESS($AD51,BX$1)),BX50)</f>
        <v/>
      </c>
      <c r="BY51" s="73">
        <f>IF(INDIRECT("'"&amp;$B$3&amp;"'!"&amp;ADDRESS($AD51,BY$1)),INDIRECT("'"&amp;$B$3&amp;"'!"&amp;ADDRESS($AD51,BY$1)),BY50)</f>
        <v/>
      </c>
      <c r="BZ51" s="73">
        <f>IF(INDIRECT("'"&amp;$B$3&amp;"'!"&amp;ADDRESS($AD51,BZ$1)),INDIRECT("'"&amp;$B$3&amp;"'!"&amp;ADDRESS($AD51,BZ$1)),BZ50)</f>
        <v/>
      </c>
      <c r="CD51" s="73">
        <f>IF(INDIRECT("'"&amp;$B$3&amp;"'!"&amp;ADDRESS($AD51,CD$1)),INDIRECT("'"&amp;$B$3&amp;"'!"&amp;ADDRESS($AD51,CD$1)),CD50)</f>
        <v/>
      </c>
      <c r="CE51" s="73">
        <f>IF(INDIRECT("'"&amp;$B$3&amp;"'!"&amp;ADDRESS($AD51,CE$1)),INDIRECT("'"&amp;$B$3&amp;"'!"&amp;ADDRESS($AD51,CE$1)),CE50)</f>
        <v/>
      </c>
      <c r="CF51" s="73">
        <f>IF(INDIRECT("'"&amp;$B$3&amp;"'!"&amp;ADDRESS($AD51,CF$1)),INDIRECT("'"&amp;$B$3&amp;"'!"&amp;ADDRESS($AD51,CF$1)),CF50)</f>
        <v/>
      </c>
      <c r="CG51" s="73">
        <f>IF(INDIRECT("'"&amp;$B$3&amp;"'!"&amp;ADDRESS($AD51,CG$1)),INDIRECT("'"&amp;$B$3&amp;"'!"&amp;ADDRESS($AD51,CG$1)),CG50)</f>
        <v/>
      </c>
      <c r="CH51" s="73">
        <f>IF(INDIRECT("'"&amp;$B$3&amp;"'!"&amp;ADDRESS($AD51,CH$1)),INDIRECT("'"&amp;$B$3&amp;"'!"&amp;ADDRESS($AD51,CH$1)),CH50)</f>
        <v/>
      </c>
      <c r="CI51" s="73">
        <f>IF(INDIRECT("'"&amp;$B$3&amp;"'!"&amp;ADDRESS($AD51,CI$1)),INDIRECT("'"&amp;$B$3&amp;"'!"&amp;ADDRESS($AD51,CI$1)),CI50)</f>
        <v/>
      </c>
      <c r="CJ51" s="73">
        <f>IF(INDIRECT("'"&amp;$B$3&amp;"'!"&amp;ADDRESS($AD51,CJ$1)),INDIRECT("'"&amp;$B$3&amp;"'!"&amp;ADDRESS($AD51,CJ$1)),CJ50)</f>
        <v/>
      </c>
      <c r="CK51" s="73">
        <f>IF(INDIRECT("'"&amp;$B$3&amp;"'!"&amp;ADDRESS($AD51,CK$1)),INDIRECT("'"&amp;$B$3&amp;"'!"&amp;ADDRESS($AD51,CK$1)),CK50)</f>
        <v/>
      </c>
      <c r="CL51" s="73">
        <f>IF(INDIRECT("'"&amp;$B$3&amp;"'!"&amp;ADDRESS($AD51,CL$1)),INDIRECT("'"&amp;$B$3&amp;"'!"&amp;ADDRESS($AD51,CL$1)),CL50)</f>
        <v/>
      </c>
      <c r="CM51" s="73">
        <f>IF(INDIRECT("'"&amp;$B$3&amp;"'!"&amp;ADDRESS($AD51,CM$1)),INDIRECT("'"&amp;$B$3&amp;"'!"&amp;ADDRESS($AD51,CM$1)),CM50)</f>
        <v/>
      </c>
      <c r="CN51" s="73">
        <f>IF(INDIRECT("'"&amp;$B$3&amp;"'!"&amp;ADDRESS($AD51,CN$1)),INDIRECT("'"&amp;$B$3&amp;"'!"&amp;ADDRESS($AD51,CN$1)),CN50)</f>
        <v/>
      </c>
      <c r="CO51" s="73">
        <f>IF(INDIRECT("'"&amp;$B$3&amp;"'!"&amp;ADDRESS($AD51,CO$1)),INDIRECT("'"&amp;$B$3&amp;"'!"&amp;ADDRESS($AD51,CO$1)),CO50)</f>
        <v/>
      </c>
      <c r="CP51" s="73">
        <f>IF(INDIRECT("'"&amp;$B$3&amp;"'!"&amp;ADDRESS($AD51,CP$1)),INDIRECT("'"&amp;$B$3&amp;"'!"&amp;ADDRESS($AD51,CP$1)),CP50)</f>
        <v/>
      </c>
      <c r="CQ51" s="73">
        <f>IF(INDIRECT("'"&amp;$B$3&amp;"'!"&amp;ADDRESS($AD51,CQ$1)),INDIRECT("'"&amp;$B$3&amp;"'!"&amp;ADDRESS($AD51,CQ$1)),CQ50)</f>
        <v/>
      </c>
    </row>
    <row r="52">
      <c r="AA52" s="72" t="n"/>
      <c r="AD52" t="n">
        <v>52</v>
      </c>
      <c r="AE52" s="75" t="n"/>
      <c r="AF52" s="75" t="n"/>
      <c r="AG52" s="75" t="n"/>
      <c r="AH52" s="75" t="n"/>
      <c r="AI52" s="75" t="n"/>
      <c r="AJ52" s="75" t="n"/>
      <c r="AK52" s="75" t="n"/>
      <c r="AL52" s="75" t="n"/>
      <c r="AM52" s="75" t="n"/>
      <c r="AN52" s="75" t="n"/>
      <c r="AO52" s="75" t="n"/>
      <c r="AP52" s="75" t="n"/>
      <c r="AQ52" s="75" t="n"/>
      <c r="AR52" s="75" t="n"/>
      <c r="BM52" s="73">
        <f>IF(INDIRECT("'"&amp;$B$3&amp;"'!"&amp;ADDRESS($AD52,BM$1)),INDIRECT("'"&amp;$B$3&amp;"'!"&amp;ADDRESS($AD52,BM$1)),BM51)</f>
        <v/>
      </c>
      <c r="BN52" s="73">
        <f>IF(INDIRECT("'"&amp;$B$3&amp;"'!"&amp;ADDRESS($AD52,BN$1)),INDIRECT("'"&amp;$B$3&amp;"'!"&amp;ADDRESS($AD52,BN$1)),BN51)</f>
        <v/>
      </c>
      <c r="BO52" s="73">
        <f>IF(INDIRECT("'"&amp;$B$3&amp;"'!"&amp;ADDRESS($AD52,BO$1)),INDIRECT("'"&amp;$B$3&amp;"'!"&amp;ADDRESS($AD52,BO$1)),BO51)</f>
        <v/>
      </c>
      <c r="BP52" s="73">
        <f>IF(INDIRECT("'"&amp;$B$3&amp;"'!"&amp;ADDRESS($AD52,BP$1)),INDIRECT("'"&amp;$B$3&amp;"'!"&amp;ADDRESS($AD52,BP$1)),BP51)</f>
        <v/>
      </c>
      <c r="BQ52" s="73">
        <f>IF(INDIRECT("'"&amp;$B$3&amp;"'!"&amp;ADDRESS($AD52,BQ$1)),INDIRECT("'"&amp;$B$3&amp;"'!"&amp;ADDRESS($AD52,BQ$1)),BQ51)</f>
        <v/>
      </c>
      <c r="BR52" s="73">
        <f>IF(INDIRECT("'"&amp;$B$3&amp;"'!"&amp;ADDRESS($AD52,BR$1)),INDIRECT("'"&amp;$B$3&amp;"'!"&amp;ADDRESS($AD52,BR$1)),BR51)</f>
        <v/>
      </c>
      <c r="BS52" s="73">
        <f>IF(INDIRECT("'"&amp;$B$3&amp;"'!"&amp;ADDRESS($AD52,BS$1)),INDIRECT("'"&amp;$B$3&amp;"'!"&amp;ADDRESS($AD52,BS$1)),BS51)</f>
        <v/>
      </c>
      <c r="BT52" s="73">
        <f>IF(INDIRECT("'"&amp;$B$3&amp;"'!"&amp;ADDRESS($AD52,BT$1)),INDIRECT("'"&amp;$B$3&amp;"'!"&amp;ADDRESS($AD52,BT$1)),BT51)</f>
        <v/>
      </c>
      <c r="BU52" s="73">
        <f>IF(INDIRECT("'"&amp;$B$3&amp;"'!"&amp;ADDRESS($AD52,BU$1)),INDIRECT("'"&amp;$B$3&amp;"'!"&amp;ADDRESS($AD52,BU$1)),BU51)</f>
        <v/>
      </c>
      <c r="BV52" s="73">
        <f>IF(INDIRECT("'"&amp;$B$3&amp;"'!"&amp;ADDRESS($AD52,BV$1)),INDIRECT("'"&amp;$B$3&amp;"'!"&amp;ADDRESS($AD52,BV$1)),BV51)</f>
        <v/>
      </c>
      <c r="BW52" s="73">
        <f>IF(INDIRECT("'"&amp;$B$3&amp;"'!"&amp;ADDRESS($AD52,BW$1)),INDIRECT("'"&amp;$B$3&amp;"'!"&amp;ADDRESS($AD52,BW$1)),BW51)</f>
        <v/>
      </c>
      <c r="BX52" s="73">
        <f>IF(INDIRECT("'"&amp;$B$3&amp;"'!"&amp;ADDRESS($AD52,BX$1)),INDIRECT("'"&amp;$B$3&amp;"'!"&amp;ADDRESS($AD52,BX$1)),BX51)</f>
        <v/>
      </c>
      <c r="BY52" s="73">
        <f>IF(INDIRECT("'"&amp;$B$3&amp;"'!"&amp;ADDRESS($AD52,BY$1)),INDIRECT("'"&amp;$B$3&amp;"'!"&amp;ADDRESS($AD52,BY$1)),BY51)</f>
        <v/>
      </c>
      <c r="BZ52" s="73">
        <f>IF(INDIRECT("'"&amp;$B$3&amp;"'!"&amp;ADDRESS($AD52,BZ$1)),INDIRECT("'"&amp;$B$3&amp;"'!"&amp;ADDRESS($AD52,BZ$1)),BZ51)</f>
        <v/>
      </c>
      <c r="CD52" s="73">
        <f>IF(INDIRECT("'"&amp;$B$3&amp;"'!"&amp;ADDRESS($AD52,CD$1)),INDIRECT("'"&amp;$B$3&amp;"'!"&amp;ADDRESS($AD52,CD$1)),CD51)</f>
        <v/>
      </c>
      <c r="CE52" s="73">
        <f>IF(INDIRECT("'"&amp;$B$3&amp;"'!"&amp;ADDRESS($AD52,CE$1)),INDIRECT("'"&amp;$B$3&amp;"'!"&amp;ADDRESS($AD52,CE$1)),CE51)</f>
        <v/>
      </c>
      <c r="CF52" s="73">
        <f>IF(INDIRECT("'"&amp;$B$3&amp;"'!"&amp;ADDRESS($AD52,CF$1)),INDIRECT("'"&amp;$B$3&amp;"'!"&amp;ADDRESS($AD52,CF$1)),CF51)</f>
        <v/>
      </c>
      <c r="CG52" s="73">
        <f>IF(INDIRECT("'"&amp;$B$3&amp;"'!"&amp;ADDRESS($AD52,CG$1)),INDIRECT("'"&amp;$B$3&amp;"'!"&amp;ADDRESS($AD52,CG$1)),CG51)</f>
        <v/>
      </c>
      <c r="CH52" s="73">
        <f>IF(INDIRECT("'"&amp;$B$3&amp;"'!"&amp;ADDRESS($AD52,CH$1)),INDIRECT("'"&amp;$B$3&amp;"'!"&amp;ADDRESS($AD52,CH$1)),CH51)</f>
        <v/>
      </c>
      <c r="CI52" s="73">
        <f>IF(INDIRECT("'"&amp;$B$3&amp;"'!"&amp;ADDRESS($AD52,CI$1)),INDIRECT("'"&amp;$B$3&amp;"'!"&amp;ADDRESS($AD52,CI$1)),CI51)</f>
        <v/>
      </c>
      <c r="CJ52" s="73">
        <f>IF(INDIRECT("'"&amp;$B$3&amp;"'!"&amp;ADDRESS($AD52,CJ$1)),INDIRECT("'"&amp;$B$3&amp;"'!"&amp;ADDRESS($AD52,CJ$1)),CJ51)</f>
        <v/>
      </c>
      <c r="CK52" s="73">
        <f>IF(INDIRECT("'"&amp;$B$3&amp;"'!"&amp;ADDRESS($AD52,CK$1)),INDIRECT("'"&amp;$B$3&amp;"'!"&amp;ADDRESS($AD52,CK$1)),CK51)</f>
        <v/>
      </c>
      <c r="CL52" s="73">
        <f>IF(INDIRECT("'"&amp;$B$3&amp;"'!"&amp;ADDRESS($AD52,CL$1)),INDIRECT("'"&amp;$B$3&amp;"'!"&amp;ADDRESS($AD52,CL$1)),CL51)</f>
        <v/>
      </c>
      <c r="CM52" s="73">
        <f>IF(INDIRECT("'"&amp;$B$3&amp;"'!"&amp;ADDRESS($AD52,CM$1)),INDIRECT("'"&amp;$B$3&amp;"'!"&amp;ADDRESS($AD52,CM$1)),CM51)</f>
        <v/>
      </c>
      <c r="CN52" s="73">
        <f>IF(INDIRECT("'"&amp;$B$3&amp;"'!"&amp;ADDRESS($AD52,CN$1)),INDIRECT("'"&amp;$B$3&amp;"'!"&amp;ADDRESS($AD52,CN$1)),CN51)</f>
        <v/>
      </c>
      <c r="CO52" s="73">
        <f>IF(INDIRECT("'"&amp;$B$3&amp;"'!"&amp;ADDRESS($AD52,CO$1)),INDIRECT("'"&amp;$B$3&amp;"'!"&amp;ADDRESS($AD52,CO$1)),CO51)</f>
        <v/>
      </c>
      <c r="CP52" s="73">
        <f>IF(INDIRECT("'"&amp;$B$3&amp;"'!"&amp;ADDRESS($AD52,CP$1)),INDIRECT("'"&amp;$B$3&amp;"'!"&amp;ADDRESS($AD52,CP$1)),CP51)</f>
        <v/>
      </c>
      <c r="CQ52" s="73">
        <f>IF(INDIRECT("'"&amp;$B$3&amp;"'!"&amp;ADDRESS($AD52,CQ$1)),INDIRECT("'"&amp;$B$3&amp;"'!"&amp;ADDRESS($AD52,CQ$1)),CQ51)</f>
        <v/>
      </c>
    </row>
    <row r="53">
      <c r="AA53" s="72" t="n"/>
      <c r="AD53" t="n">
        <v>53</v>
      </c>
      <c r="AE53" s="75">
        <f>POWER(10,CEILING(LOG(AE50+1),1))</f>
        <v/>
      </c>
      <c r="AF53" s="76">
        <f>CEILING(AF50+0.25,0.5)</f>
        <v/>
      </c>
      <c r="AG53" s="76">
        <f>CEILING(AG50+0.25,0.5)</f>
        <v/>
      </c>
      <c r="AH53" s="76">
        <f>CEILING(AH50+0.25,0.5)</f>
        <v/>
      </c>
      <c r="AI53" s="76">
        <f>CEILING(AI50+0.25,0.5)</f>
        <v/>
      </c>
      <c r="AJ53" s="76">
        <f>CEILING(AJ50+0.25,0.5)</f>
        <v/>
      </c>
      <c r="AK53" s="76">
        <f>CEILING(AK50+0.25,0.5)</f>
        <v/>
      </c>
      <c r="AL53" s="76">
        <f>CEILING(AL50+0.25,0.5)</f>
        <v/>
      </c>
      <c r="AM53" s="76">
        <f>CEILING(AM50+0.25,0.5)</f>
        <v/>
      </c>
      <c r="AN53" s="76">
        <f>CEILING(AN50+0.25,0.5)</f>
        <v/>
      </c>
      <c r="AO53" s="76">
        <f>CEILING(AO50+0.25,0.5)</f>
        <v/>
      </c>
      <c r="AP53" s="76">
        <f>CEILING(AP50+0.25,0.5)</f>
        <v/>
      </c>
      <c r="AQ53" s="76">
        <f>CEILING(AQ50+0.25,0.5)</f>
        <v/>
      </c>
      <c r="AR53" s="76">
        <f>CEILING(AR50+0.25,0.5)</f>
        <v/>
      </c>
      <c r="BM53" s="73">
        <f>IF(INDIRECT("'"&amp;$B$3&amp;"'!"&amp;ADDRESS($AD53,BM$1)),INDIRECT("'"&amp;$B$3&amp;"'!"&amp;ADDRESS($AD53,BM$1)),BM52)</f>
        <v/>
      </c>
      <c r="BN53" s="73">
        <f>IF(INDIRECT("'"&amp;$B$3&amp;"'!"&amp;ADDRESS($AD53,BN$1)),INDIRECT("'"&amp;$B$3&amp;"'!"&amp;ADDRESS($AD53,BN$1)),BN52)</f>
        <v/>
      </c>
      <c r="BO53" s="73">
        <f>IF(INDIRECT("'"&amp;$B$3&amp;"'!"&amp;ADDRESS($AD53,BO$1)),INDIRECT("'"&amp;$B$3&amp;"'!"&amp;ADDRESS($AD53,BO$1)),BO52)</f>
        <v/>
      </c>
      <c r="BP53" s="73">
        <f>IF(INDIRECT("'"&amp;$B$3&amp;"'!"&amp;ADDRESS($AD53,BP$1)),INDIRECT("'"&amp;$B$3&amp;"'!"&amp;ADDRESS($AD53,BP$1)),BP52)</f>
        <v/>
      </c>
      <c r="BQ53" s="73">
        <f>IF(INDIRECT("'"&amp;$B$3&amp;"'!"&amp;ADDRESS($AD53,BQ$1)),INDIRECT("'"&amp;$B$3&amp;"'!"&amp;ADDRESS($AD53,BQ$1)),BQ52)</f>
        <v/>
      </c>
      <c r="BR53" s="73">
        <f>IF(INDIRECT("'"&amp;$B$3&amp;"'!"&amp;ADDRESS($AD53,BR$1)),INDIRECT("'"&amp;$B$3&amp;"'!"&amp;ADDRESS($AD53,BR$1)),BR52)</f>
        <v/>
      </c>
      <c r="BS53" s="73">
        <f>IF(INDIRECT("'"&amp;$B$3&amp;"'!"&amp;ADDRESS($AD53,BS$1)),INDIRECT("'"&amp;$B$3&amp;"'!"&amp;ADDRESS($AD53,BS$1)),BS52)</f>
        <v/>
      </c>
      <c r="BT53" s="73">
        <f>IF(INDIRECT("'"&amp;$B$3&amp;"'!"&amp;ADDRESS($AD53,BT$1)),INDIRECT("'"&amp;$B$3&amp;"'!"&amp;ADDRESS($AD53,BT$1)),BT52)</f>
        <v/>
      </c>
      <c r="BU53" s="73">
        <f>IF(INDIRECT("'"&amp;$B$3&amp;"'!"&amp;ADDRESS($AD53,BU$1)),INDIRECT("'"&amp;$B$3&amp;"'!"&amp;ADDRESS($AD53,BU$1)),BU52)</f>
        <v/>
      </c>
      <c r="BV53" s="73">
        <f>IF(INDIRECT("'"&amp;$B$3&amp;"'!"&amp;ADDRESS($AD53,BV$1)),INDIRECT("'"&amp;$B$3&amp;"'!"&amp;ADDRESS($AD53,BV$1)),BV52)</f>
        <v/>
      </c>
      <c r="BW53" s="73">
        <f>IF(INDIRECT("'"&amp;$B$3&amp;"'!"&amp;ADDRESS($AD53,BW$1)),INDIRECT("'"&amp;$B$3&amp;"'!"&amp;ADDRESS($AD53,BW$1)),BW52)</f>
        <v/>
      </c>
      <c r="BX53" s="73">
        <f>IF(INDIRECT("'"&amp;$B$3&amp;"'!"&amp;ADDRESS($AD53,BX$1)),INDIRECT("'"&amp;$B$3&amp;"'!"&amp;ADDRESS($AD53,BX$1)),BX52)</f>
        <v/>
      </c>
      <c r="BY53" s="73">
        <f>IF(INDIRECT("'"&amp;$B$3&amp;"'!"&amp;ADDRESS($AD53,BY$1)),INDIRECT("'"&amp;$B$3&amp;"'!"&amp;ADDRESS($AD53,BY$1)),BY52)</f>
        <v/>
      </c>
      <c r="BZ53" s="73">
        <f>IF(INDIRECT("'"&amp;$B$3&amp;"'!"&amp;ADDRESS($AD53,BZ$1)),INDIRECT("'"&amp;$B$3&amp;"'!"&amp;ADDRESS($AD53,BZ$1)),BZ52)</f>
        <v/>
      </c>
      <c r="CD53" s="73">
        <f>IF(INDIRECT("'"&amp;$B$3&amp;"'!"&amp;ADDRESS($AD53,CD$1)),INDIRECT("'"&amp;$B$3&amp;"'!"&amp;ADDRESS($AD53,CD$1)),CD52)</f>
        <v/>
      </c>
      <c r="CE53" s="73">
        <f>IF(INDIRECT("'"&amp;$B$3&amp;"'!"&amp;ADDRESS($AD53,CE$1)),INDIRECT("'"&amp;$B$3&amp;"'!"&amp;ADDRESS($AD53,CE$1)),CE52)</f>
        <v/>
      </c>
      <c r="CF53" s="73">
        <f>IF(INDIRECT("'"&amp;$B$3&amp;"'!"&amp;ADDRESS($AD53,CF$1)),INDIRECT("'"&amp;$B$3&amp;"'!"&amp;ADDRESS($AD53,CF$1)),CF52)</f>
        <v/>
      </c>
      <c r="CG53" s="73">
        <f>IF(INDIRECT("'"&amp;$B$3&amp;"'!"&amp;ADDRESS($AD53,CG$1)),INDIRECT("'"&amp;$B$3&amp;"'!"&amp;ADDRESS($AD53,CG$1)),CG52)</f>
        <v/>
      </c>
      <c r="CH53" s="73">
        <f>IF(INDIRECT("'"&amp;$B$3&amp;"'!"&amp;ADDRESS($AD53,CH$1)),INDIRECT("'"&amp;$B$3&amp;"'!"&amp;ADDRESS($AD53,CH$1)),CH52)</f>
        <v/>
      </c>
      <c r="CI53" s="73">
        <f>IF(INDIRECT("'"&amp;$B$3&amp;"'!"&amp;ADDRESS($AD53,CI$1)),INDIRECT("'"&amp;$B$3&amp;"'!"&amp;ADDRESS($AD53,CI$1)),CI52)</f>
        <v/>
      </c>
      <c r="CJ53" s="73">
        <f>IF(INDIRECT("'"&amp;$B$3&amp;"'!"&amp;ADDRESS($AD53,CJ$1)),INDIRECT("'"&amp;$B$3&amp;"'!"&amp;ADDRESS($AD53,CJ$1)),CJ52)</f>
        <v/>
      </c>
      <c r="CK53" s="73">
        <f>IF(INDIRECT("'"&amp;$B$3&amp;"'!"&amp;ADDRESS($AD53,CK$1)),INDIRECT("'"&amp;$B$3&amp;"'!"&amp;ADDRESS($AD53,CK$1)),CK52)</f>
        <v/>
      </c>
      <c r="CL53" s="73">
        <f>IF(INDIRECT("'"&amp;$B$3&amp;"'!"&amp;ADDRESS($AD53,CL$1)),INDIRECT("'"&amp;$B$3&amp;"'!"&amp;ADDRESS($AD53,CL$1)),CL52)</f>
        <v/>
      </c>
      <c r="CM53" s="73">
        <f>IF(INDIRECT("'"&amp;$B$3&amp;"'!"&amp;ADDRESS($AD53,CM$1)),INDIRECT("'"&amp;$B$3&amp;"'!"&amp;ADDRESS($AD53,CM$1)),CM52)</f>
        <v/>
      </c>
      <c r="CN53" s="73">
        <f>IF(INDIRECT("'"&amp;$B$3&amp;"'!"&amp;ADDRESS($AD53,CN$1)),INDIRECT("'"&amp;$B$3&amp;"'!"&amp;ADDRESS($AD53,CN$1)),CN52)</f>
        <v/>
      </c>
      <c r="CO53" s="73">
        <f>IF(INDIRECT("'"&amp;$B$3&amp;"'!"&amp;ADDRESS($AD53,CO$1)),INDIRECT("'"&amp;$B$3&amp;"'!"&amp;ADDRESS($AD53,CO$1)),CO52)</f>
        <v/>
      </c>
      <c r="CP53" s="73">
        <f>IF(INDIRECT("'"&amp;$B$3&amp;"'!"&amp;ADDRESS($AD53,CP$1)),INDIRECT("'"&amp;$B$3&amp;"'!"&amp;ADDRESS($AD53,CP$1)),CP52)</f>
        <v/>
      </c>
      <c r="CQ53" s="73">
        <f>IF(INDIRECT("'"&amp;$B$3&amp;"'!"&amp;ADDRESS($AD53,CQ$1)),INDIRECT("'"&amp;$B$3&amp;"'!"&amp;ADDRESS($AD53,CQ$1)),CQ52)</f>
        <v/>
      </c>
    </row>
    <row r="54">
      <c r="AA54" s="72" t="n"/>
      <c r="AD54" t="n">
        <v>54</v>
      </c>
      <c r="AE54" s="75">
        <f>POWER(10,FLOOR(LOG(AE51+10),1))</f>
        <v/>
      </c>
      <c r="AF54" s="76">
        <f>FLOOR(AF51-0.25,0.5)</f>
        <v/>
      </c>
      <c r="AG54" s="76">
        <f>FLOOR(AG51-0.25,0.5)</f>
        <v/>
      </c>
      <c r="AH54" s="76">
        <f>FLOOR(AH51-0.25,0.5)</f>
        <v/>
      </c>
      <c r="AI54" s="76">
        <f>FLOOR(AI51-0.25,0.5)</f>
        <v/>
      </c>
      <c r="AJ54" s="76">
        <f>FLOOR(AJ51-0.25,0.5)</f>
        <v/>
      </c>
      <c r="AK54" s="76">
        <f>FLOOR(AK51-0.25,0.5)</f>
        <v/>
      </c>
      <c r="AL54" s="76">
        <f>FLOOR(AL51-0.25,0.5)</f>
        <v/>
      </c>
      <c r="AM54" s="76">
        <f>FLOOR(AM51-0.25,0.5)</f>
        <v/>
      </c>
      <c r="AN54" s="76">
        <f>FLOOR(AN51-0.25,0.5)</f>
        <v/>
      </c>
      <c r="AO54" s="76">
        <f>FLOOR(AO51-0.25,0.5)</f>
        <v/>
      </c>
      <c r="AP54" s="76">
        <f>FLOOR(AP51-0.25,0.5)</f>
        <v/>
      </c>
      <c r="AQ54" s="76">
        <f>FLOOR(AQ51-0.25,0.5)</f>
        <v/>
      </c>
      <c r="AR54" s="76">
        <f>FLOOR(AR51-0.25,0.5)</f>
        <v/>
      </c>
      <c r="BM54" s="73">
        <f>IF(INDIRECT("'"&amp;$B$3&amp;"'!"&amp;ADDRESS($AD54,BM$1)),INDIRECT("'"&amp;$B$3&amp;"'!"&amp;ADDRESS($AD54,BM$1)),BM53)</f>
        <v/>
      </c>
      <c r="BN54" s="73">
        <f>IF(INDIRECT("'"&amp;$B$3&amp;"'!"&amp;ADDRESS($AD54,BN$1)),INDIRECT("'"&amp;$B$3&amp;"'!"&amp;ADDRESS($AD54,BN$1)),BN53)</f>
        <v/>
      </c>
      <c r="BO54" s="73">
        <f>IF(INDIRECT("'"&amp;$B$3&amp;"'!"&amp;ADDRESS($AD54,BO$1)),INDIRECT("'"&amp;$B$3&amp;"'!"&amp;ADDRESS($AD54,BO$1)),BO53)</f>
        <v/>
      </c>
      <c r="BP54" s="73">
        <f>IF(INDIRECT("'"&amp;$B$3&amp;"'!"&amp;ADDRESS($AD54,BP$1)),INDIRECT("'"&amp;$B$3&amp;"'!"&amp;ADDRESS($AD54,BP$1)),BP53)</f>
        <v/>
      </c>
      <c r="BQ54" s="73">
        <f>IF(INDIRECT("'"&amp;$B$3&amp;"'!"&amp;ADDRESS($AD54,BQ$1)),INDIRECT("'"&amp;$B$3&amp;"'!"&amp;ADDRESS($AD54,BQ$1)),BQ53)</f>
        <v/>
      </c>
      <c r="BR54" s="73">
        <f>IF(INDIRECT("'"&amp;$B$3&amp;"'!"&amp;ADDRESS($AD54,BR$1)),INDIRECT("'"&amp;$B$3&amp;"'!"&amp;ADDRESS($AD54,BR$1)),BR53)</f>
        <v/>
      </c>
      <c r="BS54" s="73">
        <f>IF(INDIRECT("'"&amp;$B$3&amp;"'!"&amp;ADDRESS($AD54,BS$1)),INDIRECT("'"&amp;$B$3&amp;"'!"&amp;ADDRESS($AD54,BS$1)),BS53)</f>
        <v/>
      </c>
      <c r="BT54" s="73">
        <f>IF(INDIRECT("'"&amp;$B$3&amp;"'!"&amp;ADDRESS($AD54,BT$1)),INDIRECT("'"&amp;$B$3&amp;"'!"&amp;ADDRESS($AD54,BT$1)),BT53)</f>
        <v/>
      </c>
      <c r="BU54" s="73">
        <f>IF(INDIRECT("'"&amp;$B$3&amp;"'!"&amp;ADDRESS($AD54,BU$1)),INDIRECT("'"&amp;$B$3&amp;"'!"&amp;ADDRESS($AD54,BU$1)),BU53)</f>
        <v/>
      </c>
      <c r="BV54" s="73">
        <f>IF(INDIRECT("'"&amp;$B$3&amp;"'!"&amp;ADDRESS($AD54,BV$1)),INDIRECT("'"&amp;$B$3&amp;"'!"&amp;ADDRESS($AD54,BV$1)),BV53)</f>
        <v/>
      </c>
      <c r="BW54" s="73">
        <f>IF(INDIRECT("'"&amp;$B$3&amp;"'!"&amp;ADDRESS($AD54,BW$1)),INDIRECT("'"&amp;$B$3&amp;"'!"&amp;ADDRESS($AD54,BW$1)),BW53)</f>
        <v/>
      </c>
      <c r="BX54" s="73">
        <f>IF(INDIRECT("'"&amp;$B$3&amp;"'!"&amp;ADDRESS($AD54,BX$1)),INDIRECT("'"&amp;$B$3&amp;"'!"&amp;ADDRESS($AD54,BX$1)),BX53)</f>
        <v/>
      </c>
      <c r="BY54" s="73">
        <f>IF(INDIRECT("'"&amp;$B$3&amp;"'!"&amp;ADDRESS($AD54,BY$1)),INDIRECT("'"&amp;$B$3&amp;"'!"&amp;ADDRESS($AD54,BY$1)),BY53)</f>
        <v/>
      </c>
      <c r="BZ54" s="73">
        <f>IF(INDIRECT("'"&amp;$B$3&amp;"'!"&amp;ADDRESS($AD54,BZ$1)),INDIRECT("'"&amp;$B$3&amp;"'!"&amp;ADDRESS($AD54,BZ$1)),BZ53)</f>
        <v/>
      </c>
      <c r="CD54" s="73">
        <f>IF(INDIRECT("'"&amp;$B$3&amp;"'!"&amp;ADDRESS($AD54,CD$1)),INDIRECT("'"&amp;$B$3&amp;"'!"&amp;ADDRESS($AD54,CD$1)),CD53)</f>
        <v/>
      </c>
      <c r="CE54" s="73">
        <f>IF(INDIRECT("'"&amp;$B$3&amp;"'!"&amp;ADDRESS($AD54,CE$1)),INDIRECT("'"&amp;$B$3&amp;"'!"&amp;ADDRESS($AD54,CE$1)),CE53)</f>
        <v/>
      </c>
      <c r="CF54" s="73">
        <f>IF(INDIRECT("'"&amp;$B$3&amp;"'!"&amp;ADDRESS($AD54,CF$1)),INDIRECT("'"&amp;$B$3&amp;"'!"&amp;ADDRESS($AD54,CF$1)),CF53)</f>
        <v/>
      </c>
      <c r="CG54" s="73">
        <f>IF(INDIRECT("'"&amp;$B$3&amp;"'!"&amp;ADDRESS($AD54,CG$1)),INDIRECT("'"&amp;$B$3&amp;"'!"&amp;ADDRESS($AD54,CG$1)),CG53)</f>
        <v/>
      </c>
      <c r="CH54" s="73">
        <f>IF(INDIRECT("'"&amp;$B$3&amp;"'!"&amp;ADDRESS($AD54,CH$1)),INDIRECT("'"&amp;$B$3&amp;"'!"&amp;ADDRESS($AD54,CH$1)),CH53)</f>
        <v/>
      </c>
      <c r="CI54" s="73">
        <f>IF(INDIRECT("'"&amp;$B$3&amp;"'!"&amp;ADDRESS($AD54,CI$1)),INDIRECT("'"&amp;$B$3&amp;"'!"&amp;ADDRESS($AD54,CI$1)),CI53)</f>
        <v/>
      </c>
      <c r="CJ54" s="73">
        <f>IF(INDIRECT("'"&amp;$B$3&amp;"'!"&amp;ADDRESS($AD54,CJ$1)),INDIRECT("'"&amp;$B$3&amp;"'!"&amp;ADDRESS($AD54,CJ$1)),CJ53)</f>
        <v/>
      </c>
      <c r="CK54" s="73">
        <f>IF(INDIRECT("'"&amp;$B$3&amp;"'!"&amp;ADDRESS($AD54,CK$1)),INDIRECT("'"&amp;$B$3&amp;"'!"&amp;ADDRESS($AD54,CK$1)),CK53)</f>
        <v/>
      </c>
      <c r="CL54" s="73">
        <f>IF(INDIRECT("'"&amp;$B$3&amp;"'!"&amp;ADDRESS($AD54,CL$1)),INDIRECT("'"&amp;$B$3&amp;"'!"&amp;ADDRESS($AD54,CL$1)),CL53)</f>
        <v/>
      </c>
      <c r="CM54" s="73">
        <f>IF(INDIRECT("'"&amp;$B$3&amp;"'!"&amp;ADDRESS($AD54,CM$1)),INDIRECT("'"&amp;$B$3&amp;"'!"&amp;ADDRESS($AD54,CM$1)),CM53)</f>
        <v/>
      </c>
      <c r="CN54" s="73">
        <f>IF(INDIRECT("'"&amp;$B$3&amp;"'!"&amp;ADDRESS($AD54,CN$1)),INDIRECT("'"&amp;$B$3&amp;"'!"&amp;ADDRESS($AD54,CN$1)),CN53)</f>
        <v/>
      </c>
      <c r="CO54" s="73">
        <f>IF(INDIRECT("'"&amp;$B$3&amp;"'!"&amp;ADDRESS($AD54,CO$1)),INDIRECT("'"&amp;$B$3&amp;"'!"&amp;ADDRESS($AD54,CO$1)),CO53)</f>
        <v/>
      </c>
      <c r="CP54" s="73">
        <f>IF(INDIRECT("'"&amp;$B$3&amp;"'!"&amp;ADDRESS($AD54,CP$1)),INDIRECT("'"&amp;$B$3&amp;"'!"&amp;ADDRESS($AD54,CP$1)),CP53)</f>
        <v/>
      </c>
      <c r="CQ54" s="73">
        <f>IF(INDIRECT("'"&amp;$B$3&amp;"'!"&amp;ADDRESS($AD54,CQ$1)),INDIRECT("'"&amp;$B$3&amp;"'!"&amp;ADDRESS($AD54,CQ$1)),CQ53)</f>
        <v/>
      </c>
    </row>
    <row r="55">
      <c r="AA55" s="72" t="n"/>
      <c r="AD55" t="n">
        <v>55</v>
      </c>
      <c r="BM55" s="73">
        <f>IF(INDIRECT("'"&amp;$B$3&amp;"'!"&amp;ADDRESS($AD55,BM$1)),INDIRECT("'"&amp;$B$3&amp;"'!"&amp;ADDRESS($AD55,BM$1)),BM54)</f>
        <v/>
      </c>
      <c r="BN55" s="73">
        <f>IF(INDIRECT("'"&amp;$B$3&amp;"'!"&amp;ADDRESS($AD55,BN$1)),INDIRECT("'"&amp;$B$3&amp;"'!"&amp;ADDRESS($AD55,BN$1)),BN54)</f>
        <v/>
      </c>
      <c r="BO55" s="73">
        <f>IF(INDIRECT("'"&amp;$B$3&amp;"'!"&amp;ADDRESS($AD55,BO$1)),INDIRECT("'"&amp;$B$3&amp;"'!"&amp;ADDRESS($AD55,BO$1)),BO54)</f>
        <v/>
      </c>
      <c r="BP55" s="73">
        <f>IF(INDIRECT("'"&amp;$B$3&amp;"'!"&amp;ADDRESS($AD55,BP$1)),INDIRECT("'"&amp;$B$3&amp;"'!"&amp;ADDRESS($AD55,BP$1)),BP54)</f>
        <v/>
      </c>
      <c r="BQ55" s="73">
        <f>IF(INDIRECT("'"&amp;$B$3&amp;"'!"&amp;ADDRESS($AD55,BQ$1)),INDIRECT("'"&amp;$B$3&amp;"'!"&amp;ADDRESS($AD55,BQ$1)),BQ54)</f>
        <v/>
      </c>
      <c r="BR55" s="73">
        <f>IF(INDIRECT("'"&amp;$B$3&amp;"'!"&amp;ADDRESS($AD55,BR$1)),INDIRECT("'"&amp;$B$3&amp;"'!"&amp;ADDRESS($AD55,BR$1)),BR54)</f>
        <v/>
      </c>
      <c r="BS55" s="73">
        <f>IF(INDIRECT("'"&amp;$B$3&amp;"'!"&amp;ADDRESS($AD55,BS$1)),INDIRECT("'"&amp;$B$3&amp;"'!"&amp;ADDRESS($AD55,BS$1)),BS54)</f>
        <v/>
      </c>
      <c r="BT55" s="73">
        <f>IF(INDIRECT("'"&amp;$B$3&amp;"'!"&amp;ADDRESS($AD55,BT$1)),INDIRECT("'"&amp;$B$3&amp;"'!"&amp;ADDRESS($AD55,BT$1)),BT54)</f>
        <v/>
      </c>
      <c r="BU55" s="73">
        <f>IF(INDIRECT("'"&amp;$B$3&amp;"'!"&amp;ADDRESS($AD55,BU$1)),INDIRECT("'"&amp;$B$3&amp;"'!"&amp;ADDRESS($AD55,BU$1)),BU54)</f>
        <v/>
      </c>
      <c r="BV55" s="73">
        <f>IF(INDIRECT("'"&amp;$B$3&amp;"'!"&amp;ADDRESS($AD55,BV$1)),INDIRECT("'"&amp;$B$3&amp;"'!"&amp;ADDRESS($AD55,BV$1)),BV54)</f>
        <v/>
      </c>
      <c r="BW55" s="73">
        <f>IF(INDIRECT("'"&amp;$B$3&amp;"'!"&amp;ADDRESS($AD55,BW$1)),INDIRECT("'"&amp;$B$3&amp;"'!"&amp;ADDRESS($AD55,BW$1)),BW54)</f>
        <v/>
      </c>
      <c r="BX55" s="73">
        <f>IF(INDIRECT("'"&amp;$B$3&amp;"'!"&amp;ADDRESS($AD55,BX$1)),INDIRECT("'"&amp;$B$3&amp;"'!"&amp;ADDRESS($AD55,BX$1)),BX54)</f>
        <v/>
      </c>
      <c r="BY55" s="73">
        <f>IF(INDIRECT("'"&amp;$B$3&amp;"'!"&amp;ADDRESS($AD55,BY$1)),INDIRECT("'"&amp;$B$3&amp;"'!"&amp;ADDRESS($AD55,BY$1)),BY54)</f>
        <v/>
      </c>
      <c r="BZ55" s="73">
        <f>IF(INDIRECT("'"&amp;$B$3&amp;"'!"&amp;ADDRESS($AD55,BZ$1)),INDIRECT("'"&amp;$B$3&amp;"'!"&amp;ADDRESS($AD55,BZ$1)),BZ54)</f>
        <v/>
      </c>
      <c r="CD55" s="73">
        <f>IF(INDIRECT("'"&amp;$B$3&amp;"'!"&amp;ADDRESS($AD55,CD$1)),INDIRECT("'"&amp;$B$3&amp;"'!"&amp;ADDRESS($AD55,CD$1)),CD54)</f>
        <v/>
      </c>
      <c r="CE55" s="73">
        <f>IF(INDIRECT("'"&amp;$B$3&amp;"'!"&amp;ADDRESS($AD55,CE$1)),INDIRECT("'"&amp;$B$3&amp;"'!"&amp;ADDRESS($AD55,CE$1)),CE54)</f>
        <v/>
      </c>
      <c r="CF55" s="73">
        <f>IF(INDIRECT("'"&amp;$B$3&amp;"'!"&amp;ADDRESS($AD55,CF$1)),INDIRECT("'"&amp;$B$3&amp;"'!"&amp;ADDRESS($AD55,CF$1)),CF54)</f>
        <v/>
      </c>
      <c r="CG55" s="73">
        <f>IF(INDIRECT("'"&amp;$B$3&amp;"'!"&amp;ADDRESS($AD55,CG$1)),INDIRECT("'"&amp;$B$3&amp;"'!"&amp;ADDRESS($AD55,CG$1)),CG54)</f>
        <v/>
      </c>
      <c r="CH55" s="73">
        <f>IF(INDIRECT("'"&amp;$B$3&amp;"'!"&amp;ADDRESS($AD55,CH$1)),INDIRECT("'"&amp;$B$3&amp;"'!"&amp;ADDRESS($AD55,CH$1)),CH54)</f>
        <v/>
      </c>
      <c r="CI55" s="73">
        <f>IF(INDIRECT("'"&amp;$B$3&amp;"'!"&amp;ADDRESS($AD55,CI$1)),INDIRECT("'"&amp;$B$3&amp;"'!"&amp;ADDRESS($AD55,CI$1)),CI54)</f>
        <v/>
      </c>
      <c r="CJ55" s="73">
        <f>IF(INDIRECT("'"&amp;$B$3&amp;"'!"&amp;ADDRESS($AD55,CJ$1)),INDIRECT("'"&amp;$B$3&amp;"'!"&amp;ADDRESS($AD55,CJ$1)),CJ54)</f>
        <v/>
      </c>
      <c r="CK55" s="73">
        <f>IF(INDIRECT("'"&amp;$B$3&amp;"'!"&amp;ADDRESS($AD55,CK$1)),INDIRECT("'"&amp;$B$3&amp;"'!"&amp;ADDRESS($AD55,CK$1)),CK54)</f>
        <v/>
      </c>
      <c r="CL55" s="73">
        <f>IF(INDIRECT("'"&amp;$B$3&amp;"'!"&amp;ADDRESS($AD55,CL$1)),INDIRECT("'"&amp;$B$3&amp;"'!"&amp;ADDRESS($AD55,CL$1)),CL54)</f>
        <v/>
      </c>
      <c r="CM55" s="73">
        <f>IF(INDIRECT("'"&amp;$B$3&amp;"'!"&amp;ADDRESS($AD55,CM$1)),INDIRECT("'"&amp;$B$3&amp;"'!"&amp;ADDRESS($AD55,CM$1)),CM54)</f>
        <v/>
      </c>
      <c r="CN55" s="73">
        <f>IF(INDIRECT("'"&amp;$B$3&amp;"'!"&amp;ADDRESS($AD55,CN$1)),INDIRECT("'"&amp;$B$3&amp;"'!"&amp;ADDRESS($AD55,CN$1)),CN54)</f>
        <v/>
      </c>
      <c r="CO55" s="73">
        <f>IF(INDIRECT("'"&amp;$B$3&amp;"'!"&amp;ADDRESS($AD55,CO$1)),INDIRECT("'"&amp;$B$3&amp;"'!"&amp;ADDRESS($AD55,CO$1)),CO54)</f>
        <v/>
      </c>
      <c r="CP55" s="73">
        <f>IF(INDIRECT("'"&amp;$B$3&amp;"'!"&amp;ADDRESS($AD55,CP$1)),INDIRECT("'"&amp;$B$3&amp;"'!"&amp;ADDRESS($AD55,CP$1)),CP54)</f>
        <v/>
      </c>
      <c r="CQ55" s="73">
        <f>IF(INDIRECT("'"&amp;$B$3&amp;"'!"&amp;ADDRESS($AD55,CQ$1)),INDIRECT("'"&amp;$B$3&amp;"'!"&amp;ADDRESS($AD55,CQ$1)),CQ54)</f>
        <v/>
      </c>
    </row>
    <row r="56">
      <c r="AA56" s="72" t="n"/>
      <c r="AD56" t="n">
        <v>56</v>
      </c>
      <c r="AE56" s="67">
        <f>CEILING(AE50*110%/100,1)*100</f>
        <v/>
      </c>
      <c r="BM56" s="73">
        <f>IF(INDIRECT("'"&amp;$B$3&amp;"'!"&amp;ADDRESS($AD56,BM$1)),INDIRECT("'"&amp;$B$3&amp;"'!"&amp;ADDRESS($AD56,BM$1)),BM55)</f>
        <v/>
      </c>
      <c r="BN56" s="73">
        <f>IF(INDIRECT("'"&amp;$B$3&amp;"'!"&amp;ADDRESS($AD56,BN$1)),INDIRECT("'"&amp;$B$3&amp;"'!"&amp;ADDRESS($AD56,BN$1)),BN55)</f>
        <v/>
      </c>
      <c r="BO56" s="73">
        <f>IF(INDIRECT("'"&amp;$B$3&amp;"'!"&amp;ADDRESS($AD56,BO$1)),INDIRECT("'"&amp;$B$3&amp;"'!"&amp;ADDRESS($AD56,BO$1)),BO55)</f>
        <v/>
      </c>
      <c r="BP56" s="73">
        <f>IF(INDIRECT("'"&amp;$B$3&amp;"'!"&amp;ADDRESS($AD56,BP$1)),INDIRECT("'"&amp;$B$3&amp;"'!"&amp;ADDRESS($AD56,BP$1)),BP55)</f>
        <v/>
      </c>
      <c r="BQ56" s="73">
        <f>IF(INDIRECT("'"&amp;$B$3&amp;"'!"&amp;ADDRESS($AD56,BQ$1)),INDIRECT("'"&amp;$B$3&amp;"'!"&amp;ADDRESS($AD56,BQ$1)),BQ55)</f>
        <v/>
      </c>
      <c r="BR56" s="73">
        <f>IF(INDIRECT("'"&amp;$B$3&amp;"'!"&amp;ADDRESS($AD56,BR$1)),INDIRECT("'"&amp;$B$3&amp;"'!"&amp;ADDRESS($AD56,BR$1)),BR55)</f>
        <v/>
      </c>
      <c r="BS56" s="73">
        <f>IF(INDIRECT("'"&amp;$B$3&amp;"'!"&amp;ADDRESS($AD56,BS$1)),INDIRECT("'"&amp;$B$3&amp;"'!"&amp;ADDRESS($AD56,BS$1)),BS55)</f>
        <v/>
      </c>
      <c r="BT56" s="73">
        <f>IF(INDIRECT("'"&amp;$B$3&amp;"'!"&amp;ADDRESS($AD56,BT$1)),INDIRECT("'"&amp;$B$3&amp;"'!"&amp;ADDRESS($AD56,BT$1)),BT55)</f>
        <v/>
      </c>
      <c r="BU56" s="73">
        <f>IF(INDIRECT("'"&amp;$B$3&amp;"'!"&amp;ADDRESS($AD56,BU$1)),INDIRECT("'"&amp;$B$3&amp;"'!"&amp;ADDRESS($AD56,BU$1)),BU55)</f>
        <v/>
      </c>
      <c r="BV56" s="73">
        <f>IF(INDIRECT("'"&amp;$B$3&amp;"'!"&amp;ADDRESS($AD56,BV$1)),INDIRECT("'"&amp;$B$3&amp;"'!"&amp;ADDRESS($AD56,BV$1)),BV55)</f>
        <v/>
      </c>
      <c r="BW56" s="73">
        <f>IF(INDIRECT("'"&amp;$B$3&amp;"'!"&amp;ADDRESS($AD56,BW$1)),INDIRECT("'"&amp;$B$3&amp;"'!"&amp;ADDRESS($AD56,BW$1)),BW55)</f>
        <v/>
      </c>
      <c r="BX56" s="73">
        <f>IF(INDIRECT("'"&amp;$B$3&amp;"'!"&amp;ADDRESS($AD56,BX$1)),INDIRECT("'"&amp;$B$3&amp;"'!"&amp;ADDRESS($AD56,BX$1)),BX55)</f>
        <v/>
      </c>
      <c r="BY56" s="73">
        <f>IF(INDIRECT("'"&amp;$B$3&amp;"'!"&amp;ADDRESS($AD56,BY$1)),INDIRECT("'"&amp;$B$3&amp;"'!"&amp;ADDRESS($AD56,BY$1)),BY55)</f>
        <v/>
      </c>
      <c r="BZ56" s="73">
        <f>IF(INDIRECT("'"&amp;$B$3&amp;"'!"&amp;ADDRESS($AD56,BZ$1)),INDIRECT("'"&amp;$B$3&amp;"'!"&amp;ADDRESS($AD56,BZ$1)),BZ55)</f>
        <v/>
      </c>
      <c r="CD56" s="73">
        <f>IF(INDIRECT("'"&amp;$B$3&amp;"'!"&amp;ADDRESS($AD56,CD$1)),INDIRECT("'"&amp;$B$3&amp;"'!"&amp;ADDRESS($AD56,CD$1)),CD55)</f>
        <v/>
      </c>
      <c r="CE56" s="73">
        <f>IF(INDIRECT("'"&amp;$B$3&amp;"'!"&amp;ADDRESS($AD56,CE$1)),INDIRECT("'"&amp;$B$3&amp;"'!"&amp;ADDRESS($AD56,CE$1)),CE55)</f>
        <v/>
      </c>
      <c r="CF56" s="73">
        <f>IF(INDIRECT("'"&amp;$B$3&amp;"'!"&amp;ADDRESS($AD56,CF$1)),INDIRECT("'"&amp;$B$3&amp;"'!"&amp;ADDRESS($AD56,CF$1)),CF55)</f>
        <v/>
      </c>
      <c r="CG56" s="73">
        <f>IF(INDIRECT("'"&amp;$B$3&amp;"'!"&amp;ADDRESS($AD56,CG$1)),INDIRECT("'"&amp;$B$3&amp;"'!"&amp;ADDRESS($AD56,CG$1)),CG55)</f>
        <v/>
      </c>
      <c r="CH56" s="73">
        <f>IF(INDIRECT("'"&amp;$B$3&amp;"'!"&amp;ADDRESS($AD56,CH$1)),INDIRECT("'"&amp;$B$3&amp;"'!"&amp;ADDRESS($AD56,CH$1)),CH55)</f>
        <v/>
      </c>
      <c r="CI56" s="73">
        <f>IF(INDIRECT("'"&amp;$B$3&amp;"'!"&amp;ADDRESS($AD56,CI$1)),INDIRECT("'"&amp;$B$3&amp;"'!"&amp;ADDRESS($AD56,CI$1)),CI55)</f>
        <v/>
      </c>
      <c r="CJ56" s="73">
        <f>IF(INDIRECT("'"&amp;$B$3&amp;"'!"&amp;ADDRESS($AD56,CJ$1)),INDIRECT("'"&amp;$B$3&amp;"'!"&amp;ADDRESS($AD56,CJ$1)),CJ55)</f>
        <v/>
      </c>
      <c r="CK56" s="73">
        <f>IF(INDIRECT("'"&amp;$B$3&amp;"'!"&amp;ADDRESS($AD56,CK$1)),INDIRECT("'"&amp;$B$3&amp;"'!"&amp;ADDRESS($AD56,CK$1)),CK55)</f>
        <v/>
      </c>
      <c r="CL56" s="73">
        <f>IF(INDIRECT("'"&amp;$B$3&amp;"'!"&amp;ADDRESS($AD56,CL$1)),INDIRECT("'"&amp;$B$3&amp;"'!"&amp;ADDRESS($AD56,CL$1)),CL55)</f>
        <v/>
      </c>
      <c r="CM56" s="73">
        <f>IF(INDIRECT("'"&amp;$B$3&amp;"'!"&amp;ADDRESS($AD56,CM$1)),INDIRECT("'"&amp;$B$3&amp;"'!"&amp;ADDRESS($AD56,CM$1)),CM55)</f>
        <v/>
      </c>
      <c r="CN56" s="73">
        <f>IF(INDIRECT("'"&amp;$B$3&amp;"'!"&amp;ADDRESS($AD56,CN$1)),INDIRECT("'"&amp;$B$3&amp;"'!"&amp;ADDRESS($AD56,CN$1)),CN55)</f>
        <v/>
      </c>
      <c r="CO56" s="73">
        <f>IF(INDIRECT("'"&amp;$B$3&amp;"'!"&amp;ADDRESS($AD56,CO$1)),INDIRECT("'"&amp;$B$3&amp;"'!"&amp;ADDRESS($AD56,CO$1)),CO55)</f>
        <v/>
      </c>
      <c r="CP56" s="73">
        <f>IF(INDIRECT("'"&amp;$B$3&amp;"'!"&amp;ADDRESS($AD56,CP$1)),INDIRECT("'"&amp;$B$3&amp;"'!"&amp;ADDRESS($AD56,CP$1)),CP55)</f>
        <v/>
      </c>
      <c r="CQ56" s="73">
        <f>IF(INDIRECT("'"&amp;$B$3&amp;"'!"&amp;ADDRESS($AD56,CQ$1)),INDIRECT("'"&amp;$B$3&amp;"'!"&amp;ADDRESS($AD56,CQ$1)),CQ55)</f>
        <v/>
      </c>
    </row>
    <row r="57">
      <c r="AA57" s="72" t="n"/>
      <c r="AD57" t="n">
        <v>57</v>
      </c>
      <c r="AE57" s="67" t="n">
        <v>0</v>
      </c>
      <c r="BM57" s="73">
        <f>IF(INDIRECT("'"&amp;$B$3&amp;"'!"&amp;ADDRESS($AD57,BM$1)),INDIRECT("'"&amp;$B$3&amp;"'!"&amp;ADDRESS($AD57,BM$1)),BM56)</f>
        <v/>
      </c>
      <c r="BN57" s="73">
        <f>IF(INDIRECT("'"&amp;$B$3&amp;"'!"&amp;ADDRESS($AD57,BN$1)),INDIRECT("'"&amp;$B$3&amp;"'!"&amp;ADDRESS($AD57,BN$1)),BN56)</f>
        <v/>
      </c>
      <c r="BO57" s="73">
        <f>IF(INDIRECT("'"&amp;$B$3&amp;"'!"&amp;ADDRESS($AD57,BO$1)),INDIRECT("'"&amp;$B$3&amp;"'!"&amp;ADDRESS($AD57,BO$1)),BO56)</f>
        <v/>
      </c>
      <c r="BP57" s="73">
        <f>IF(INDIRECT("'"&amp;$B$3&amp;"'!"&amp;ADDRESS($AD57,BP$1)),INDIRECT("'"&amp;$B$3&amp;"'!"&amp;ADDRESS($AD57,BP$1)),BP56)</f>
        <v/>
      </c>
      <c r="BQ57" s="73">
        <f>IF(INDIRECT("'"&amp;$B$3&amp;"'!"&amp;ADDRESS($AD57,BQ$1)),INDIRECT("'"&amp;$B$3&amp;"'!"&amp;ADDRESS($AD57,BQ$1)),BQ56)</f>
        <v/>
      </c>
      <c r="BR57" s="73">
        <f>IF(INDIRECT("'"&amp;$B$3&amp;"'!"&amp;ADDRESS($AD57,BR$1)),INDIRECT("'"&amp;$B$3&amp;"'!"&amp;ADDRESS($AD57,BR$1)),BR56)</f>
        <v/>
      </c>
      <c r="BS57" s="73">
        <f>IF(INDIRECT("'"&amp;$B$3&amp;"'!"&amp;ADDRESS($AD57,BS$1)),INDIRECT("'"&amp;$B$3&amp;"'!"&amp;ADDRESS($AD57,BS$1)),BS56)</f>
        <v/>
      </c>
      <c r="BT57" s="73">
        <f>IF(INDIRECT("'"&amp;$B$3&amp;"'!"&amp;ADDRESS($AD57,BT$1)),INDIRECT("'"&amp;$B$3&amp;"'!"&amp;ADDRESS($AD57,BT$1)),BT56)</f>
        <v/>
      </c>
      <c r="BU57" s="73">
        <f>IF(INDIRECT("'"&amp;$B$3&amp;"'!"&amp;ADDRESS($AD57,BU$1)),INDIRECT("'"&amp;$B$3&amp;"'!"&amp;ADDRESS($AD57,BU$1)),BU56)</f>
        <v/>
      </c>
      <c r="BV57" s="73">
        <f>IF(INDIRECT("'"&amp;$B$3&amp;"'!"&amp;ADDRESS($AD57,BV$1)),INDIRECT("'"&amp;$B$3&amp;"'!"&amp;ADDRESS($AD57,BV$1)),BV56)</f>
        <v/>
      </c>
      <c r="BW57" s="73">
        <f>IF(INDIRECT("'"&amp;$B$3&amp;"'!"&amp;ADDRESS($AD57,BW$1)),INDIRECT("'"&amp;$B$3&amp;"'!"&amp;ADDRESS($AD57,BW$1)),BW56)</f>
        <v/>
      </c>
      <c r="BX57" s="73">
        <f>IF(INDIRECT("'"&amp;$B$3&amp;"'!"&amp;ADDRESS($AD57,BX$1)),INDIRECT("'"&amp;$B$3&amp;"'!"&amp;ADDRESS($AD57,BX$1)),BX56)</f>
        <v/>
      </c>
      <c r="BY57" s="73">
        <f>IF(INDIRECT("'"&amp;$B$3&amp;"'!"&amp;ADDRESS($AD57,BY$1)),INDIRECT("'"&amp;$B$3&amp;"'!"&amp;ADDRESS($AD57,BY$1)),BY56)</f>
        <v/>
      </c>
      <c r="BZ57" s="73">
        <f>IF(INDIRECT("'"&amp;$B$3&amp;"'!"&amp;ADDRESS($AD57,BZ$1)),INDIRECT("'"&amp;$B$3&amp;"'!"&amp;ADDRESS($AD57,BZ$1)),BZ56)</f>
        <v/>
      </c>
      <c r="CD57" s="73">
        <f>IF(INDIRECT("'"&amp;$B$3&amp;"'!"&amp;ADDRESS($AD57,CD$1)),INDIRECT("'"&amp;$B$3&amp;"'!"&amp;ADDRESS($AD57,CD$1)),CD56)</f>
        <v/>
      </c>
      <c r="CE57" s="73">
        <f>IF(INDIRECT("'"&amp;$B$3&amp;"'!"&amp;ADDRESS($AD57,CE$1)),INDIRECT("'"&amp;$B$3&amp;"'!"&amp;ADDRESS($AD57,CE$1)),CE56)</f>
        <v/>
      </c>
      <c r="CF57" s="73">
        <f>IF(INDIRECT("'"&amp;$B$3&amp;"'!"&amp;ADDRESS($AD57,CF$1)),INDIRECT("'"&amp;$B$3&amp;"'!"&amp;ADDRESS($AD57,CF$1)),CF56)</f>
        <v/>
      </c>
      <c r="CG57" s="73">
        <f>IF(INDIRECT("'"&amp;$B$3&amp;"'!"&amp;ADDRESS($AD57,CG$1)),INDIRECT("'"&amp;$B$3&amp;"'!"&amp;ADDRESS($AD57,CG$1)),CG56)</f>
        <v/>
      </c>
      <c r="CH57" s="73">
        <f>IF(INDIRECT("'"&amp;$B$3&amp;"'!"&amp;ADDRESS($AD57,CH$1)),INDIRECT("'"&amp;$B$3&amp;"'!"&amp;ADDRESS($AD57,CH$1)),CH56)</f>
        <v/>
      </c>
      <c r="CI57" s="73">
        <f>IF(INDIRECT("'"&amp;$B$3&amp;"'!"&amp;ADDRESS($AD57,CI$1)),INDIRECT("'"&amp;$B$3&amp;"'!"&amp;ADDRESS($AD57,CI$1)),CI56)</f>
        <v/>
      </c>
      <c r="CJ57" s="73">
        <f>IF(INDIRECT("'"&amp;$B$3&amp;"'!"&amp;ADDRESS($AD57,CJ$1)),INDIRECT("'"&amp;$B$3&amp;"'!"&amp;ADDRESS($AD57,CJ$1)),CJ56)</f>
        <v/>
      </c>
      <c r="CK57" s="73">
        <f>IF(INDIRECT("'"&amp;$B$3&amp;"'!"&amp;ADDRESS($AD57,CK$1)),INDIRECT("'"&amp;$B$3&amp;"'!"&amp;ADDRESS($AD57,CK$1)),CK56)</f>
        <v/>
      </c>
      <c r="CL57" s="73">
        <f>IF(INDIRECT("'"&amp;$B$3&amp;"'!"&amp;ADDRESS($AD57,CL$1)),INDIRECT("'"&amp;$B$3&amp;"'!"&amp;ADDRESS($AD57,CL$1)),CL56)</f>
        <v/>
      </c>
      <c r="CM57" s="73">
        <f>IF(INDIRECT("'"&amp;$B$3&amp;"'!"&amp;ADDRESS($AD57,CM$1)),INDIRECT("'"&amp;$B$3&amp;"'!"&amp;ADDRESS($AD57,CM$1)),CM56)</f>
        <v/>
      </c>
      <c r="CN57" s="73">
        <f>IF(INDIRECT("'"&amp;$B$3&amp;"'!"&amp;ADDRESS($AD57,CN$1)),INDIRECT("'"&amp;$B$3&amp;"'!"&amp;ADDRESS($AD57,CN$1)),CN56)</f>
        <v/>
      </c>
      <c r="CO57" s="73">
        <f>IF(INDIRECT("'"&amp;$B$3&amp;"'!"&amp;ADDRESS($AD57,CO$1)),INDIRECT("'"&amp;$B$3&amp;"'!"&amp;ADDRESS($AD57,CO$1)),CO56)</f>
        <v/>
      </c>
      <c r="CP57" s="73">
        <f>IF(INDIRECT("'"&amp;$B$3&amp;"'!"&amp;ADDRESS($AD57,CP$1)),INDIRECT("'"&amp;$B$3&amp;"'!"&amp;ADDRESS($AD57,CP$1)),CP56)</f>
        <v/>
      </c>
      <c r="CQ57" s="73">
        <f>IF(INDIRECT("'"&amp;$B$3&amp;"'!"&amp;ADDRESS($AD57,CQ$1)),INDIRECT("'"&amp;$B$3&amp;"'!"&amp;ADDRESS($AD57,CQ$1)),CQ56)</f>
        <v/>
      </c>
    </row>
    <row r="58">
      <c r="AA58" s="72" t="n"/>
      <c r="AD58" t="n">
        <v>58</v>
      </c>
      <c r="BM58" s="73">
        <f>IF(INDIRECT("'"&amp;$B$3&amp;"'!"&amp;ADDRESS($AD58,BM$1)),INDIRECT("'"&amp;$B$3&amp;"'!"&amp;ADDRESS($AD58,BM$1)),BM57)</f>
        <v/>
      </c>
      <c r="BN58" s="73">
        <f>IF(INDIRECT("'"&amp;$B$3&amp;"'!"&amp;ADDRESS($AD58,BN$1)),INDIRECT("'"&amp;$B$3&amp;"'!"&amp;ADDRESS($AD58,BN$1)),BN57)</f>
        <v/>
      </c>
      <c r="BO58" s="73">
        <f>IF(INDIRECT("'"&amp;$B$3&amp;"'!"&amp;ADDRESS($AD58,BO$1)),INDIRECT("'"&amp;$B$3&amp;"'!"&amp;ADDRESS($AD58,BO$1)),BO57)</f>
        <v/>
      </c>
      <c r="BP58" s="73">
        <f>IF(INDIRECT("'"&amp;$B$3&amp;"'!"&amp;ADDRESS($AD58,BP$1)),INDIRECT("'"&amp;$B$3&amp;"'!"&amp;ADDRESS($AD58,BP$1)),BP57)</f>
        <v/>
      </c>
      <c r="BQ58" s="73">
        <f>IF(INDIRECT("'"&amp;$B$3&amp;"'!"&amp;ADDRESS($AD58,BQ$1)),INDIRECT("'"&amp;$B$3&amp;"'!"&amp;ADDRESS($AD58,BQ$1)),BQ57)</f>
        <v/>
      </c>
      <c r="BR58" s="73">
        <f>IF(INDIRECT("'"&amp;$B$3&amp;"'!"&amp;ADDRESS($AD58,BR$1)),INDIRECT("'"&amp;$B$3&amp;"'!"&amp;ADDRESS($AD58,BR$1)),BR57)</f>
        <v/>
      </c>
      <c r="BS58" s="73">
        <f>IF(INDIRECT("'"&amp;$B$3&amp;"'!"&amp;ADDRESS($AD58,BS$1)),INDIRECT("'"&amp;$B$3&amp;"'!"&amp;ADDRESS($AD58,BS$1)),BS57)</f>
        <v/>
      </c>
      <c r="BT58" s="73">
        <f>IF(INDIRECT("'"&amp;$B$3&amp;"'!"&amp;ADDRESS($AD58,BT$1)),INDIRECT("'"&amp;$B$3&amp;"'!"&amp;ADDRESS($AD58,BT$1)),BT57)</f>
        <v/>
      </c>
      <c r="BU58" s="73">
        <f>IF(INDIRECT("'"&amp;$B$3&amp;"'!"&amp;ADDRESS($AD58,BU$1)),INDIRECT("'"&amp;$B$3&amp;"'!"&amp;ADDRESS($AD58,BU$1)),BU57)</f>
        <v/>
      </c>
      <c r="BV58" s="73">
        <f>IF(INDIRECT("'"&amp;$B$3&amp;"'!"&amp;ADDRESS($AD58,BV$1)),INDIRECT("'"&amp;$B$3&amp;"'!"&amp;ADDRESS($AD58,BV$1)),BV57)</f>
        <v/>
      </c>
      <c r="BW58" s="73">
        <f>IF(INDIRECT("'"&amp;$B$3&amp;"'!"&amp;ADDRESS($AD58,BW$1)),INDIRECT("'"&amp;$B$3&amp;"'!"&amp;ADDRESS($AD58,BW$1)),BW57)</f>
        <v/>
      </c>
      <c r="BX58" s="73">
        <f>IF(INDIRECT("'"&amp;$B$3&amp;"'!"&amp;ADDRESS($AD58,BX$1)),INDIRECT("'"&amp;$B$3&amp;"'!"&amp;ADDRESS($AD58,BX$1)),BX57)</f>
        <v/>
      </c>
      <c r="BY58" s="73">
        <f>IF(INDIRECT("'"&amp;$B$3&amp;"'!"&amp;ADDRESS($AD58,BY$1)),INDIRECT("'"&amp;$B$3&amp;"'!"&amp;ADDRESS($AD58,BY$1)),BY57)</f>
        <v/>
      </c>
      <c r="BZ58" s="73">
        <f>IF(INDIRECT("'"&amp;$B$3&amp;"'!"&amp;ADDRESS($AD58,BZ$1)),INDIRECT("'"&amp;$B$3&amp;"'!"&amp;ADDRESS($AD58,BZ$1)),BZ57)</f>
        <v/>
      </c>
      <c r="CD58" s="73">
        <f>IF(INDIRECT("'"&amp;$B$3&amp;"'!"&amp;ADDRESS($AD58,CD$1)),INDIRECT("'"&amp;$B$3&amp;"'!"&amp;ADDRESS($AD58,CD$1)),CD57)</f>
        <v/>
      </c>
      <c r="CE58" s="73">
        <f>IF(INDIRECT("'"&amp;$B$3&amp;"'!"&amp;ADDRESS($AD58,CE$1)),INDIRECT("'"&amp;$B$3&amp;"'!"&amp;ADDRESS($AD58,CE$1)),CE57)</f>
        <v/>
      </c>
      <c r="CF58" s="73">
        <f>IF(INDIRECT("'"&amp;$B$3&amp;"'!"&amp;ADDRESS($AD58,CF$1)),INDIRECT("'"&amp;$B$3&amp;"'!"&amp;ADDRESS($AD58,CF$1)),CF57)</f>
        <v/>
      </c>
      <c r="CG58" s="73">
        <f>IF(INDIRECT("'"&amp;$B$3&amp;"'!"&amp;ADDRESS($AD58,CG$1)),INDIRECT("'"&amp;$B$3&amp;"'!"&amp;ADDRESS($AD58,CG$1)),CG57)</f>
        <v/>
      </c>
      <c r="CH58" s="73">
        <f>IF(INDIRECT("'"&amp;$B$3&amp;"'!"&amp;ADDRESS($AD58,CH$1)),INDIRECT("'"&amp;$B$3&amp;"'!"&amp;ADDRESS($AD58,CH$1)),CH57)</f>
        <v/>
      </c>
      <c r="CI58" s="73">
        <f>IF(INDIRECT("'"&amp;$B$3&amp;"'!"&amp;ADDRESS($AD58,CI$1)),INDIRECT("'"&amp;$B$3&amp;"'!"&amp;ADDRESS($AD58,CI$1)),CI57)</f>
        <v/>
      </c>
      <c r="CJ58" s="73">
        <f>IF(INDIRECT("'"&amp;$B$3&amp;"'!"&amp;ADDRESS($AD58,CJ$1)),INDIRECT("'"&amp;$B$3&amp;"'!"&amp;ADDRESS($AD58,CJ$1)),CJ57)</f>
        <v/>
      </c>
      <c r="CK58" s="73">
        <f>IF(INDIRECT("'"&amp;$B$3&amp;"'!"&amp;ADDRESS($AD58,CK$1)),INDIRECT("'"&amp;$B$3&amp;"'!"&amp;ADDRESS($AD58,CK$1)),CK57)</f>
        <v/>
      </c>
      <c r="CL58" s="73">
        <f>IF(INDIRECT("'"&amp;$B$3&amp;"'!"&amp;ADDRESS($AD58,CL$1)),INDIRECT("'"&amp;$B$3&amp;"'!"&amp;ADDRESS($AD58,CL$1)),CL57)</f>
        <v/>
      </c>
      <c r="CM58" s="73">
        <f>IF(INDIRECT("'"&amp;$B$3&amp;"'!"&amp;ADDRESS($AD58,CM$1)),INDIRECT("'"&amp;$B$3&amp;"'!"&amp;ADDRESS($AD58,CM$1)),CM57)</f>
        <v/>
      </c>
      <c r="CN58" s="73">
        <f>IF(INDIRECT("'"&amp;$B$3&amp;"'!"&amp;ADDRESS($AD58,CN$1)),INDIRECT("'"&amp;$B$3&amp;"'!"&amp;ADDRESS($AD58,CN$1)),CN57)</f>
        <v/>
      </c>
      <c r="CO58" s="73">
        <f>IF(INDIRECT("'"&amp;$B$3&amp;"'!"&amp;ADDRESS($AD58,CO$1)),INDIRECT("'"&amp;$B$3&amp;"'!"&amp;ADDRESS($AD58,CO$1)),CO57)</f>
        <v/>
      </c>
      <c r="CP58" s="73">
        <f>IF(INDIRECT("'"&amp;$B$3&amp;"'!"&amp;ADDRESS($AD58,CP$1)),INDIRECT("'"&amp;$B$3&amp;"'!"&amp;ADDRESS($AD58,CP$1)),CP57)</f>
        <v/>
      </c>
      <c r="CQ58" s="73">
        <f>IF(INDIRECT("'"&amp;$B$3&amp;"'!"&amp;ADDRESS($AD58,CQ$1)),INDIRECT("'"&amp;$B$3&amp;"'!"&amp;ADDRESS($AD58,CQ$1)),CQ57)</f>
        <v/>
      </c>
    </row>
    <row r="59">
      <c r="AA59" s="72" t="n"/>
      <c r="AD59" t="n">
        <v>59</v>
      </c>
      <c r="BM59" s="73">
        <f>IF(INDIRECT("'"&amp;$B$3&amp;"'!"&amp;ADDRESS($AD59,BM$1)),INDIRECT("'"&amp;$B$3&amp;"'!"&amp;ADDRESS($AD59,BM$1)),BM58)</f>
        <v/>
      </c>
      <c r="BN59" s="73">
        <f>IF(INDIRECT("'"&amp;$B$3&amp;"'!"&amp;ADDRESS($AD59,BN$1)),INDIRECT("'"&amp;$B$3&amp;"'!"&amp;ADDRESS($AD59,BN$1)),BN58)</f>
        <v/>
      </c>
      <c r="BO59" s="73">
        <f>IF(INDIRECT("'"&amp;$B$3&amp;"'!"&amp;ADDRESS($AD59,BO$1)),INDIRECT("'"&amp;$B$3&amp;"'!"&amp;ADDRESS($AD59,BO$1)),BO58)</f>
        <v/>
      </c>
      <c r="BP59" s="73">
        <f>IF(INDIRECT("'"&amp;$B$3&amp;"'!"&amp;ADDRESS($AD59,BP$1)),INDIRECT("'"&amp;$B$3&amp;"'!"&amp;ADDRESS($AD59,BP$1)),BP58)</f>
        <v/>
      </c>
      <c r="BQ59" s="73">
        <f>IF(INDIRECT("'"&amp;$B$3&amp;"'!"&amp;ADDRESS($AD59,BQ$1)),INDIRECT("'"&amp;$B$3&amp;"'!"&amp;ADDRESS($AD59,BQ$1)),BQ58)</f>
        <v/>
      </c>
      <c r="BR59" s="73">
        <f>IF(INDIRECT("'"&amp;$B$3&amp;"'!"&amp;ADDRESS($AD59,BR$1)),INDIRECT("'"&amp;$B$3&amp;"'!"&amp;ADDRESS($AD59,BR$1)),BR58)</f>
        <v/>
      </c>
      <c r="BS59" s="73">
        <f>IF(INDIRECT("'"&amp;$B$3&amp;"'!"&amp;ADDRESS($AD59,BS$1)),INDIRECT("'"&amp;$B$3&amp;"'!"&amp;ADDRESS($AD59,BS$1)),BS58)</f>
        <v/>
      </c>
      <c r="BT59" s="73">
        <f>IF(INDIRECT("'"&amp;$B$3&amp;"'!"&amp;ADDRESS($AD59,BT$1)),INDIRECT("'"&amp;$B$3&amp;"'!"&amp;ADDRESS($AD59,BT$1)),BT58)</f>
        <v/>
      </c>
      <c r="BU59" s="73">
        <f>IF(INDIRECT("'"&amp;$B$3&amp;"'!"&amp;ADDRESS($AD59,BU$1)),INDIRECT("'"&amp;$B$3&amp;"'!"&amp;ADDRESS($AD59,BU$1)),BU58)</f>
        <v/>
      </c>
      <c r="BV59" s="73">
        <f>IF(INDIRECT("'"&amp;$B$3&amp;"'!"&amp;ADDRESS($AD59,BV$1)),INDIRECT("'"&amp;$B$3&amp;"'!"&amp;ADDRESS($AD59,BV$1)),BV58)</f>
        <v/>
      </c>
      <c r="BW59" s="73">
        <f>IF(INDIRECT("'"&amp;$B$3&amp;"'!"&amp;ADDRESS($AD59,BW$1)),INDIRECT("'"&amp;$B$3&amp;"'!"&amp;ADDRESS($AD59,BW$1)),BW58)</f>
        <v/>
      </c>
      <c r="BX59" s="73">
        <f>IF(INDIRECT("'"&amp;$B$3&amp;"'!"&amp;ADDRESS($AD59,BX$1)),INDIRECT("'"&amp;$B$3&amp;"'!"&amp;ADDRESS($AD59,BX$1)),BX58)</f>
        <v/>
      </c>
      <c r="BY59" s="73">
        <f>IF(INDIRECT("'"&amp;$B$3&amp;"'!"&amp;ADDRESS($AD59,BY$1)),INDIRECT("'"&amp;$B$3&amp;"'!"&amp;ADDRESS($AD59,BY$1)),BY58)</f>
        <v/>
      </c>
      <c r="BZ59" s="73">
        <f>IF(INDIRECT("'"&amp;$B$3&amp;"'!"&amp;ADDRESS($AD59,BZ$1)),INDIRECT("'"&amp;$B$3&amp;"'!"&amp;ADDRESS($AD59,BZ$1)),BZ58)</f>
        <v/>
      </c>
      <c r="CD59" s="73">
        <f>IF(INDIRECT("'"&amp;$B$3&amp;"'!"&amp;ADDRESS($AD59,CD$1)),INDIRECT("'"&amp;$B$3&amp;"'!"&amp;ADDRESS($AD59,CD$1)),CD58)</f>
        <v/>
      </c>
      <c r="CE59" s="73">
        <f>IF(INDIRECT("'"&amp;$B$3&amp;"'!"&amp;ADDRESS($AD59,CE$1)),INDIRECT("'"&amp;$B$3&amp;"'!"&amp;ADDRESS($AD59,CE$1)),CE58)</f>
        <v/>
      </c>
      <c r="CF59" s="73">
        <f>IF(INDIRECT("'"&amp;$B$3&amp;"'!"&amp;ADDRESS($AD59,CF$1)),INDIRECT("'"&amp;$B$3&amp;"'!"&amp;ADDRESS($AD59,CF$1)),CF58)</f>
        <v/>
      </c>
      <c r="CG59" s="73">
        <f>IF(INDIRECT("'"&amp;$B$3&amp;"'!"&amp;ADDRESS($AD59,CG$1)),INDIRECT("'"&amp;$B$3&amp;"'!"&amp;ADDRESS($AD59,CG$1)),CG58)</f>
        <v/>
      </c>
      <c r="CH59" s="73">
        <f>IF(INDIRECT("'"&amp;$B$3&amp;"'!"&amp;ADDRESS($AD59,CH$1)),INDIRECT("'"&amp;$B$3&amp;"'!"&amp;ADDRESS($AD59,CH$1)),CH58)</f>
        <v/>
      </c>
      <c r="CI59" s="73">
        <f>IF(INDIRECT("'"&amp;$B$3&amp;"'!"&amp;ADDRESS($AD59,CI$1)),INDIRECT("'"&amp;$B$3&amp;"'!"&amp;ADDRESS($AD59,CI$1)),CI58)</f>
        <v/>
      </c>
      <c r="CJ59" s="73">
        <f>IF(INDIRECT("'"&amp;$B$3&amp;"'!"&amp;ADDRESS($AD59,CJ$1)),INDIRECT("'"&amp;$B$3&amp;"'!"&amp;ADDRESS($AD59,CJ$1)),CJ58)</f>
        <v/>
      </c>
      <c r="CK59" s="73">
        <f>IF(INDIRECT("'"&amp;$B$3&amp;"'!"&amp;ADDRESS($AD59,CK$1)),INDIRECT("'"&amp;$B$3&amp;"'!"&amp;ADDRESS($AD59,CK$1)),CK58)</f>
        <v/>
      </c>
      <c r="CL59" s="73">
        <f>IF(INDIRECT("'"&amp;$B$3&amp;"'!"&amp;ADDRESS($AD59,CL$1)),INDIRECT("'"&amp;$B$3&amp;"'!"&amp;ADDRESS($AD59,CL$1)),CL58)</f>
        <v/>
      </c>
      <c r="CM59" s="73">
        <f>IF(INDIRECT("'"&amp;$B$3&amp;"'!"&amp;ADDRESS($AD59,CM$1)),INDIRECT("'"&amp;$B$3&amp;"'!"&amp;ADDRESS($AD59,CM$1)),CM58)</f>
        <v/>
      </c>
      <c r="CN59" s="73">
        <f>IF(INDIRECT("'"&amp;$B$3&amp;"'!"&amp;ADDRESS($AD59,CN$1)),INDIRECT("'"&amp;$B$3&amp;"'!"&amp;ADDRESS($AD59,CN$1)),CN58)</f>
        <v/>
      </c>
      <c r="CO59" s="73">
        <f>IF(INDIRECT("'"&amp;$B$3&amp;"'!"&amp;ADDRESS($AD59,CO$1)),INDIRECT("'"&amp;$B$3&amp;"'!"&amp;ADDRESS($AD59,CO$1)),CO58)</f>
        <v/>
      </c>
      <c r="CP59" s="73">
        <f>IF(INDIRECT("'"&amp;$B$3&amp;"'!"&amp;ADDRESS($AD59,CP$1)),INDIRECT("'"&amp;$B$3&amp;"'!"&amp;ADDRESS($AD59,CP$1)),CP58)</f>
        <v/>
      </c>
      <c r="CQ59" s="73">
        <f>IF(INDIRECT("'"&amp;$B$3&amp;"'!"&amp;ADDRESS($AD59,CQ$1)),INDIRECT("'"&amp;$B$3&amp;"'!"&amp;ADDRESS($AD59,CQ$1)),CQ58)</f>
        <v/>
      </c>
    </row>
    <row r="60">
      <c r="AA60" s="72" t="n"/>
      <c r="AD60" t="n">
        <v>60</v>
      </c>
      <c r="BM60" s="73">
        <f>IF(INDIRECT("'"&amp;$B$3&amp;"'!"&amp;ADDRESS($AD60,BM$1)),INDIRECT("'"&amp;$B$3&amp;"'!"&amp;ADDRESS($AD60,BM$1)),BM59)</f>
        <v/>
      </c>
      <c r="BN60" s="73">
        <f>IF(INDIRECT("'"&amp;$B$3&amp;"'!"&amp;ADDRESS($AD60,BN$1)),INDIRECT("'"&amp;$B$3&amp;"'!"&amp;ADDRESS($AD60,BN$1)),BN59)</f>
        <v/>
      </c>
      <c r="BO60" s="73">
        <f>IF(INDIRECT("'"&amp;$B$3&amp;"'!"&amp;ADDRESS($AD60,BO$1)),INDIRECT("'"&amp;$B$3&amp;"'!"&amp;ADDRESS($AD60,BO$1)),BO59)</f>
        <v/>
      </c>
      <c r="BP60" s="73">
        <f>IF(INDIRECT("'"&amp;$B$3&amp;"'!"&amp;ADDRESS($AD60,BP$1)),INDIRECT("'"&amp;$B$3&amp;"'!"&amp;ADDRESS($AD60,BP$1)),BP59)</f>
        <v/>
      </c>
      <c r="BQ60" s="73">
        <f>IF(INDIRECT("'"&amp;$B$3&amp;"'!"&amp;ADDRESS($AD60,BQ$1)),INDIRECT("'"&amp;$B$3&amp;"'!"&amp;ADDRESS($AD60,BQ$1)),BQ59)</f>
        <v/>
      </c>
      <c r="BR60" s="73">
        <f>IF(INDIRECT("'"&amp;$B$3&amp;"'!"&amp;ADDRESS($AD60,BR$1)),INDIRECT("'"&amp;$B$3&amp;"'!"&amp;ADDRESS($AD60,BR$1)),BR59)</f>
        <v/>
      </c>
      <c r="BS60" s="73">
        <f>IF(INDIRECT("'"&amp;$B$3&amp;"'!"&amp;ADDRESS($AD60,BS$1)),INDIRECT("'"&amp;$B$3&amp;"'!"&amp;ADDRESS($AD60,BS$1)),BS59)</f>
        <v/>
      </c>
      <c r="BT60" s="73">
        <f>IF(INDIRECT("'"&amp;$B$3&amp;"'!"&amp;ADDRESS($AD60,BT$1)),INDIRECT("'"&amp;$B$3&amp;"'!"&amp;ADDRESS($AD60,BT$1)),BT59)</f>
        <v/>
      </c>
      <c r="BU60" s="73">
        <f>IF(INDIRECT("'"&amp;$B$3&amp;"'!"&amp;ADDRESS($AD60,BU$1)),INDIRECT("'"&amp;$B$3&amp;"'!"&amp;ADDRESS($AD60,BU$1)),BU59)</f>
        <v/>
      </c>
      <c r="BV60" s="73">
        <f>IF(INDIRECT("'"&amp;$B$3&amp;"'!"&amp;ADDRESS($AD60,BV$1)),INDIRECT("'"&amp;$B$3&amp;"'!"&amp;ADDRESS($AD60,BV$1)),BV59)</f>
        <v/>
      </c>
      <c r="BW60" s="73">
        <f>IF(INDIRECT("'"&amp;$B$3&amp;"'!"&amp;ADDRESS($AD60,BW$1)),INDIRECT("'"&amp;$B$3&amp;"'!"&amp;ADDRESS($AD60,BW$1)),BW59)</f>
        <v/>
      </c>
      <c r="BX60" s="73">
        <f>IF(INDIRECT("'"&amp;$B$3&amp;"'!"&amp;ADDRESS($AD60,BX$1)),INDIRECT("'"&amp;$B$3&amp;"'!"&amp;ADDRESS($AD60,BX$1)),BX59)</f>
        <v/>
      </c>
      <c r="BY60" s="73">
        <f>IF(INDIRECT("'"&amp;$B$3&amp;"'!"&amp;ADDRESS($AD60,BY$1)),INDIRECT("'"&amp;$B$3&amp;"'!"&amp;ADDRESS($AD60,BY$1)),BY59)</f>
        <v/>
      </c>
      <c r="BZ60" s="73">
        <f>IF(INDIRECT("'"&amp;$B$3&amp;"'!"&amp;ADDRESS($AD60,BZ$1)),INDIRECT("'"&amp;$B$3&amp;"'!"&amp;ADDRESS($AD60,BZ$1)),BZ59)</f>
        <v/>
      </c>
      <c r="CD60" s="73">
        <f>IF(INDIRECT("'"&amp;$B$3&amp;"'!"&amp;ADDRESS($AD60,CD$1)),INDIRECT("'"&amp;$B$3&amp;"'!"&amp;ADDRESS($AD60,CD$1)),CD59)</f>
        <v/>
      </c>
      <c r="CE60" s="73">
        <f>IF(INDIRECT("'"&amp;$B$3&amp;"'!"&amp;ADDRESS($AD60,CE$1)),INDIRECT("'"&amp;$B$3&amp;"'!"&amp;ADDRESS($AD60,CE$1)),CE59)</f>
        <v/>
      </c>
      <c r="CF60" s="73">
        <f>IF(INDIRECT("'"&amp;$B$3&amp;"'!"&amp;ADDRESS($AD60,CF$1)),INDIRECT("'"&amp;$B$3&amp;"'!"&amp;ADDRESS($AD60,CF$1)),CF59)</f>
        <v/>
      </c>
      <c r="CG60" s="73">
        <f>IF(INDIRECT("'"&amp;$B$3&amp;"'!"&amp;ADDRESS($AD60,CG$1)),INDIRECT("'"&amp;$B$3&amp;"'!"&amp;ADDRESS($AD60,CG$1)),CG59)</f>
        <v/>
      </c>
      <c r="CH60" s="73">
        <f>IF(INDIRECT("'"&amp;$B$3&amp;"'!"&amp;ADDRESS($AD60,CH$1)),INDIRECT("'"&amp;$B$3&amp;"'!"&amp;ADDRESS($AD60,CH$1)),CH59)</f>
        <v/>
      </c>
      <c r="CI60" s="73">
        <f>IF(INDIRECT("'"&amp;$B$3&amp;"'!"&amp;ADDRESS($AD60,CI$1)),INDIRECT("'"&amp;$B$3&amp;"'!"&amp;ADDRESS($AD60,CI$1)),CI59)</f>
        <v/>
      </c>
      <c r="CJ60" s="73">
        <f>IF(INDIRECT("'"&amp;$B$3&amp;"'!"&amp;ADDRESS($AD60,CJ$1)),INDIRECT("'"&amp;$B$3&amp;"'!"&amp;ADDRESS($AD60,CJ$1)),CJ59)</f>
        <v/>
      </c>
      <c r="CK60" s="73">
        <f>IF(INDIRECT("'"&amp;$B$3&amp;"'!"&amp;ADDRESS($AD60,CK$1)),INDIRECT("'"&amp;$B$3&amp;"'!"&amp;ADDRESS($AD60,CK$1)),CK59)</f>
        <v/>
      </c>
      <c r="CL60" s="73">
        <f>IF(INDIRECT("'"&amp;$B$3&amp;"'!"&amp;ADDRESS($AD60,CL$1)),INDIRECT("'"&amp;$B$3&amp;"'!"&amp;ADDRESS($AD60,CL$1)),CL59)</f>
        <v/>
      </c>
      <c r="CM60" s="73">
        <f>IF(INDIRECT("'"&amp;$B$3&amp;"'!"&amp;ADDRESS($AD60,CM$1)),INDIRECT("'"&amp;$B$3&amp;"'!"&amp;ADDRESS($AD60,CM$1)),CM59)</f>
        <v/>
      </c>
      <c r="CN60" s="73">
        <f>IF(INDIRECT("'"&amp;$B$3&amp;"'!"&amp;ADDRESS($AD60,CN$1)),INDIRECT("'"&amp;$B$3&amp;"'!"&amp;ADDRESS($AD60,CN$1)),CN59)</f>
        <v/>
      </c>
      <c r="CO60" s="73">
        <f>IF(INDIRECT("'"&amp;$B$3&amp;"'!"&amp;ADDRESS($AD60,CO$1)),INDIRECT("'"&amp;$B$3&amp;"'!"&amp;ADDRESS($AD60,CO$1)),CO59)</f>
        <v/>
      </c>
      <c r="CP60" s="73">
        <f>IF(INDIRECT("'"&amp;$B$3&amp;"'!"&amp;ADDRESS($AD60,CP$1)),INDIRECT("'"&amp;$B$3&amp;"'!"&amp;ADDRESS($AD60,CP$1)),CP59)</f>
        <v/>
      </c>
      <c r="CQ60" s="73">
        <f>IF(INDIRECT("'"&amp;$B$3&amp;"'!"&amp;ADDRESS($AD60,CQ$1)),INDIRECT("'"&amp;$B$3&amp;"'!"&amp;ADDRESS($AD60,CQ$1)),CQ59)</f>
        <v/>
      </c>
    </row>
    <row r="61">
      <c r="AA61" s="72" t="n"/>
      <c r="AD61" t="n">
        <v>61</v>
      </c>
      <c r="BM61" s="73">
        <f>IF(INDIRECT("'"&amp;$B$3&amp;"'!"&amp;ADDRESS($AD61,BM$1)),INDIRECT("'"&amp;$B$3&amp;"'!"&amp;ADDRESS($AD61,BM$1)),BM60)</f>
        <v/>
      </c>
      <c r="BN61" s="73">
        <f>IF(INDIRECT("'"&amp;$B$3&amp;"'!"&amp;ADDRESS($AD61,BN$1)),INDIRECT("'"&amp;$B$3&amp;"'!"&amp;ADDRESS($AD61,BN$1)),BN60)</f>
        <v/>
      </c>
      <c r="BO61" s="73">
        <f>IF(INDIRECT("'"&amp;$B$3&amp;"'!"&amp;ADDRESS($AD61,BO$1)),INDIRECT("'"&amp;$B$3&amp;"'!"&amp;ADDRESS($AD61,BO$1)),BO60)</f>
        <v/>
      </c>
      <c r="BP61" s="73">
        <f>IF(INDIRECT("'"&amp;$B$3&amp;"'!"&amp;ADDRESS($AD61,BP$1)),INDIRECT("'"&amp;$B$3&amp;"'!"&amp;ADDRESS($AD61,BP$1)),BP60)</f>
        <v/>
      </c>
      <c r="BQ61" s="73">
        <f>IF(INDIRECT("'"&amp;$B$3&amp;"'!"&amp;ADDRESS($AD61,BQ$1)),INDIRECT("'"&amp;$B$3&amp;"'!"&amp;ADDRESS($AD61,BQ$1)),BQ60)</f>
        <v/>
      </c>
      <c r="BR61" s="73">
        <f>IF(INDIRECT("'"&amp;$B$3&amp;"'!"&amp;ADDRESS($AD61,BR$1)),INDIRECT("'"&amp;$B$3&amp;"'!"&amp;ADDRESS($AD61,BR$1)),BR60)</f>
        <v/>
      </c>
      <c r="BS61" s="73">
        <f>IF(INDIRECT("'"&amp;$B$3&amp;"'!"&amp;ADDRESS($AD61,BS$1)),INDIRECT("'"&amp;$B$3&amp;"'!"&amp;ADDRESS($AD61,BS$1)),BS60)</f>
        <v/>
      </c>
      <c r="BT61" s="73">
        <f>IF(INDIRECT("'"&amp;$B$3&amp;"'!"&amp;ADDRESS($AD61,BT$1)),INDIRECT("'"&amp;$B$3&amp;"'!"&amp;ADDRESS($AD61,BT$1)),BT60)</f>
        <v/>
      </c>
      <c r="BU61" s="73">
        <f>IF(INDIRECT("'"&amp;$B$3&amp;"'!"&amp;ADDRESS($AD61,BU$1)),INDIRECT("'"&amp;$B$3&amp;"'!"&amp;ADDRESS($AD61,BU$1)),BU60)</f>
        <v/>
      </c>
      <c r="BV61" s="73">
        <f>IF(INDIRECT("'"&amp;$B$3&amp;"'!"&amp;ADDRESS($AD61,BV$1)),INDIRECT("'"&amp;$B$3&amp;"'!"&amp;ADDRESS($AD61,BV$1)),BV60)</f>
        <v/>
      </c>
      <c r="BW61" s="73">
        <f>IF(INDIRECT("'"&amp;$B$3&amp;"'!"&amp;ADDRESS($AD61,BW$1)),INDIRECT("'"&amp;$B$3&amp;"'!"&amp;ADDRESS($AD61,BW$1)),BW60)</f>
        <v/>
      </c>
      <c r="BX61" s="73">
        <f>IF(INDIRECT("'"&amp;$B$3&amp;"'!"&amp;ADDRESS($AD61,BX$1)),INDIRECT("'"&amp;$B$3&amp;"'!"&amp;ADDRESS($AD61,BX$1)),BX60)</f>
        <v/>
      </c>
      <c r="BY61" s="73">
        <f>IF(INDIRECT("'"&amp;$B$3&amp;"'!"&amp;ADDRESS($AD61,BY$1)),INDIRECT("'"&amp;$B$3&amp;"'!"&amp;ADDRESS($AD61,BY$1)),BY60)</f>
        <v/>
      </c>
      <c r="BZ61" s="73">
        <f>IF(INDIRECT("'"&amp;$B$3&amp;"'!"&amp;ADDRESS($AD61,BZ$1)),INDIRECT("'"&amp;$B$3&amp;"'!"&amp;ADDRESS($AD61,BZ$1)),BZ60)</f>
        <v/>
      </c>
      <c r="CD61" s="73">
        <f>IF(INDIRECT("'"&amp;$B$3&amp;"'!"&amp;ADDRESS($AD61,CD$1)),INDIRECT("'"&amp;$B$3&amp;"'!"&amp;ADDRESS($AD61,CD$1)),CD60)</f>
        <v/>
      </c>
      <c r="CE61" s="73">
        <f>IF(INDIRECT("'"&amp;$B$3&amp;"'!"&amp;ADDRESS($AD61,CE$1)),INDIRECT("'"&amp;$B$3&amp;"'!"&amp;ADDRESS($AD61,CE$1)),CE60)</f>
        <v/>
      </c>
      <c r="CF61" s="73">
        <f>IF(INDIRECT("'"&amp;$B$3&amp;"'!"&amp;ADDRESS($AD61,CF$1)),INDIRECT("'"&amp;$B$3&amp;"'!"&amp;ADDRESS($AD61,CF$1)),CF60)</f>
        <v/>
      </c>
      <c r="CG61" s="73">
        <f>IF(INDIRECT("'"&amp;$B$3&amp;"'!"&amp;ADDRESS($AD61,CG$1)),INDIRECT("'"&amp;$B$3&amp;"'!"&amp;ADDRESS($AD61,CG$1)),CG60)</f>
        <v/>
      </c>
      <c r="CH61" s="73">
        <f>IF(INDIRECT("'"&amp;$B$3&amp;"'!"&amp;ADDRESS($AD61,CH$1)),INDIRECT("'"&amp;$B$3&amp;"'!"&amp;ADDRESS($AD61,CH$1)),CH60)</f>
        <v/>
      </c>
      <c r="CI61" s="73">
        <f>IF(INDIRECT("'"&amp;$B$3&amp;"'!"&amp;ADDRESS($AD61,CI$1)),INDIRECT("'"&amp;$B$3&amp;"'!"&amp;ADDRESS($AD61,CI$1)),CI60)</f>
        <v/>
      </c>
      <c r="CJ61" s="73">
        <f>IF(INDIRECT("'"&amp;$B$3&amp;"'!"&amp;ADDRESS($AD61,CJ$1)),INDIRECT("'"&amp;$B$3&amp;"'!"&amp;ADDRESS($AD61,CJ$1)),CJ60)</f>
        <v/>
      </c>
      <c r="CK61" s="73">
        <f>IF(INDIRECT("'"&amp;$B$3&amp;"'!"&amp;ADDRESS($AD61,CK$1)),INDIRECT("'"&amp;$B$3&amp;"'!"&amp;ADDRESS($AD61,CK$1)),CK60)</f>
        <v/>
      </c>
      <c r="CL61" s="73">
        <f>IF(INDIRECT("'"&amp;$B$3&amp;"'!"&amp;ADDRESS($AD61,CL$1)),INDIRECT("'"&amp;$B$3&amp;"'!"&amp;ADDRESS($AD61,CL$1)),CL60)</f>
        <v/>
      </c>
      <c r="CM61" s="73">
        <f>IF(INDIRECT("'"&amp;$B$3&amp;"'!"&amp;ADDRESS($AD61,CM$1)),INDIRECT("'"&amp;$B$3&amp;"'!"&amp;ADDRESS($AD61,CM$1)),CM60)</f>
        <v/>
      </c>
      <c r="CN61" s="73">
        <f>IF(INDIRECT("'"&amp;$B$3&amp;"'!"&amp;ADDRESS($AD61,CN$1)),INDIRECT("'"&amp;$B$3&amp;"'!"&amp;ADDRESS($AD61,CN$1)),CN60)</f>
        <v/>
      </c>
      <c r="CO61" s="73">
        <f>IF(INDIRECT("'"&amp;$B$3&amp;"'!"&amp;ADDRESS($AD61,CO$1)),INDIRECT("'"&amp;$B$3&amp;"'!"&amp;ADDRESS($AD61,CO$1)),CO60)</f>
        <v/>
      </c>
      <c r="CP61" s="73">
        <f>IF(INDIRECT("'"&amp;$B$3&amp;"'!"&amp;ADDRESS($AD61,CP$1)),INDIRECT("'"&amp;$B$3&amp;"'!"&amp;ADDRESS($AD61,CP$1)),CP60)</f>
        <v/>
      </c>
      <c r="CQ61" s="73">
        <f>IF(INDIRECT("'"&amp;$B$3&amp;"'!"&amp;ADDRESS($AD61,CQ$1)),INDIRECT("'"&amp;$B$3&amp;"'!"&amp;ADDRESS($AD61,CQ$1)),CQ60)</f>
        <v/>
      </c>
    </row>
    <row r="62">
      <c r="AA62" s="72" t="n"/>
      <c r="AD62" t="n">
        <v>62</v>
      </c>
      <c r="BM62" s="73">
        <f>IF(INDIRECT("'"&amp;$B$3&amp;"'!"&amp;ADDRESS($AD62,BM$1)),INDIRECT("'"&amp;$B$3&amp;"'!"&amp;ADDRESS($AD62,BM$1)),BM61)</f>
        <v/>
      </c>
      <c r="BN62" s="73">
        <f>IF(INDIRECT("'"&amp;$B$3&amp;"'!"&amp;ADDRESS($AD62,BN$1)),INDIRECT("'"&amp;$B$3&amp;"'!"&amp;ADDRESS($AD62,BN$1)),BN61)</f>
        <v/>
      </c>
      <c r="BO62" s="73">
        <f>IF(INDIRECT("'"&amp;$B$3&amp;"'!"&amp;ADDRESS($AD62,BO$1)),INDIRECT("'"&amp;$B$3&amp;"'!"&amp;ADDRESS($AD62,BO$1)),BO61)</f>
        <v/>
      </c>
      <c r="BP62" s="73">
        <f>IF(INDIRECT("'"&amp;$B$3&amp;"'!"&amp;ADDRESS($AD62,BP$1)),INDIRECT("'"&amp;$B$3&amp;"'!"&amp;ADDRESS($AD62,BP$1)),BP61)</f>
        <v/>
      </c>
      <c r="BQ62" s="73">
        <f>IF(INDIRECT("'"&amp;$B$3&amp;"'!"&amp;ADDRESS($AD62,BQ$1)),INDIRECT("'"&amp;$B$3&amp;"'!"&amp;ADDRESS($AD62,BQ$1)),BQ61)</f>
        <v/>
      </c>
      <c r="BR62" s="73">
        <f>IF(INDIRECT("'"&amp;$B$3&amp;"'!"&amp;ADDRESS($AD62,BR$1)),INDIRECT("'"&amp;$B$3&amp;"'!"&amp;ADDRESS($AD62,BR$1)),BR61)</f>
        <v/>
      </c>
      <c r="BS62" s="73">
        <f>IF(INDIRECT("'"&amp;$B$3&amp;"'!"&amp;ADDRESS($AD62,BS$1)),INDIRECT("'"&amp;$B$3&amp;"'!"&amp;ADDRESS($AD62,BS$1)),BS61)</f>
        <v/>
      </c>
      <c r="BT62" s="73">
        <f>IF(INDIRECT("'"&amp;$B$3&amp;"'!"&amp;ADDRESS($AD62,BT$1)),INDIRECT("'"&amp;$B$3&amp;"'!"&amp;ADDRESS($AD62,BT$1)),BT61)</f>
        <v/>
      </c>
      <c r="BU62" s="73">
        <f>IF(INDIRECT("'"&amp;$B$3&amp;"'!"&amp;ADDRESS($AD62,BU$1)),INDIRECT("'"&amp;$B$3&amp;"'!"&amp;ADDRESS($AD62,BU$1)),BU61)</f>
        <v/>
      </c>
      <c r="BV62" s="73">
        <f>IF(INDIRECT("'"&amp;$B$3&amp;"'!"&amp;ADDRESS($AD62,BV$1)),INDIRECT("'"&amp;$B$3&amp;"'!"&amp;ADDRESS($AD62,BV$1)),BV61)</f>
        <v/>
      </c>
      <c r="BW62" s="73">
        <f>IF(INDIRECT("'"&amp;$B$3&amp;"'!"&amp;ADDRESS($AD62,BW$1)),INDIRECT("'"&amp;$B$3&amp;"'!"&amp;ADDRESS($AD62,BW$1)),BW61)</f>
        <v/>
      </c>
      <c r="BX62" s="73">
        <f>IF(INDIRECT("'"&amp;$B$3&amp;"'!"&amp;ADDRESS($AD62,BX$1)),INDIRECT("'"&amp;$B$3&amp;"'!"&amp;ADDRESS($AD62,BX$1)),BX61)</f>
        <v/>
      </c>
      <c r="BY62" s="73">
        <f>IF(INDIRECT("'"&amp;$B$3&amp;"'!"&amp;ADDRESS($AD62,BY$1)),INDIRECT("'"&amp;$B$3&amp;"'!"&amp;ADDRESS($AD62,BY$1)),BY61)</f>
        <v/>
      </c>
      <c r="BZ62" s="73">
        <f>IF(INDIRECT("'"&amp;$B$3&amp;"'!"&amp;ADDRESS($AD62,BZ$1)),INDIRECT("'"&amp;$B$3&amp;"'!"&amp;ADDRESS($AD62,BZ$1)),BZ61)</f>
        <v/>
      </c>
      <c r="CD62" s="73">
        <f>IF(INDIRECT("'"&amp;$B$3&amp;"'!"&amp;ADDRESS($AD62,CD$1)),INDIRECT("'"&amp;$B$3&amp;"'!"&amp;ADDRESS($AD62,CD$1)),CD61)</f>
        <v/>
      </c>
      <c r="CE62" s="73">
        <f>IF(INDIRECT("'"&amp;$B$3&amp;"'!"&amp;ADDRESS($AD62,CE$1)),INDIRECT("'"&amp;$B$3&amp;"'!"&amp;ADDRESS($AD62,CE$1)),CE61)</f>
        <v/>
      </c>
      <c r="CF62" s="73">
        <f>IF(INDIRECT("'"&amp;$B$3&amp;"'!"&amp;ADDRESS($AD62,CF$1)),INDIRECT("'"&amp;$B$3&amp;"'!"&amp;ADDRESS($AD62,CF$1)),CF61)</f>
        <v/>
      </c>
      <c r="CG62" s="73">
        <f>IF(INDIRECT("'"&amp;$B$3&amp;"'!"&amp;ADDRESS($AD62,CG$1)),INDIRECT("'"&amp;$B$3&amp;"'!"&amp;ADDRESS($AD62,CG$1)),CG61)</f>
        <v/>
      </c>
      <c r="CH62" s="73">
        <f>IF(INDIRECT("'"&amp;$B$3&amp;"'!"&amp;ADDRESS($AD62,CH$1)),INDIRECT("'"&amp;$B$3&amp;"'!"&amp;ADDRESS($AD62,CH$1)),CH61)</f>
        <v/>
      </c>
      <c r="CI62" s="73">
        <f>IF(INDIRECT("'"&amp;$B$3&amp;"'!"&amp;ADDRESS($AD62,CI$1)),INDIRECT("'"&amp;$B$3&amp;"'!"&amp;ADDRESS($AD62,CI$1)),CI61)</f>
        <v/>
      </c>
      <c r="CJ62" s="73">
        <f>IF(INDIRECT("'"&amp;$B$3&amp;"'!"&amp;ADDRESS($AD62,CJ$1)),INDIRECT("'"&amp;$B$3&amp;"'!"&amp;ADDRESS($AD62,CJ$1)),CJ61)</f>
        <v/>
      </c>
      <c r="CK62" s="73">
        <f>IF(INDIRECT("'"&amp;$B$3&amp;"'!"&amp;ADDRESS($AD62,CK$1)),INDIRECT("'"&amp;$B$3&amp;"'!"&amp;ADDRESS($AD62,CK$1)),CK61)</f>
        <v/>
      </c>
      <c r="CL62" s="73">
        <f>IF(INDIRECT("'"&amp;$B$3&amp;"'!"&amp;ADDRESS($AD62,CL$1)),INDIRECT("'"&amp;$B$3&amp;"'!"&amp;ADDRESS($AD62,CL$1)),CL61)</f>
        <v/>
      </c>
      <c r="CM62" s="73">
        <f>IF(INDIRECT("'"&amp;$B$3&amp;"'!"&amp;ADDRESS($AD62,CM$1)),INDIRECT("'"&amp;$B$3&amp;"'!"&amp;ADDRESS($AD62,CM$1)),CM61)</f>
        <v/>
      </c>
      <c r="CN62" s="73">
        <f>IF(INDIRECT("'"&amp;$B$3&amp;"'!"&amp;ADDRESS($AD62,CN$1)),INDIRECT("'"&amp;$B$3&amp;"'!"&amp;ADDRESS($AD62,CN$1)),CN61)</f>
        <v/>
      </c>
      <c r="CO62" s="73">
        <f>IF(INDIRECT("'"&amp;$B$3&amp;"'!"&amp;ADDRESS($AD62,CO$1)),INDIRECT("'"&amp;$B$3&amp;"'!"&amp;ADDRESS($AD62,CO$1)),CO61)</f>
        <v/>
      </c>
      <c r="CP62" s="73">
        <f>IF(INDIRECT("'"&amp;$B$3&amp;"'!"&amp;ADDRESS($AD62,CP$1)),INDIRECT("'"&amp;$B$3&amp;"'!"&amp;ADDRESS($AD62,CP$1)),CP61)</f>
        <v/>
      </c>
      <c r="CQ62" s="73">
        <f>IF(INDIRECT("'"&amp;$B$3&amp;"'!"&amp;ADDRESS($AD62,CQ$1)),INDIRECT("'"&amp;$B$3&amp;"'!"&amp;ADDRESS($AD62,CQ$1)),CQ61)</f>
        <v/>
      </c>
    </row>
    <row r="63">
      <c r="AA63" s="72" t="n"/>
      <c r="AD63" t="n">
        <v>63</v>
      </c>
      <c r="BM63" s="73">
        <f>IF(INDIRECT("'"&amp;$B$3&amp;"'!"&amp;ADDRESS($AD63,BM$1)),INDIRECT("'"&amp;$B$3&amp;"'!"&amp;ADDRESS($AD63,BM$1)),BM62)</f>
        <v/>
      </c>
      <c r="BN63" s="73">
        <f>IF(INDIRECT("'"&amp;$B$3&amp;"'!"&amp;ADDRESS($AD63,BN$1)),INDIRECT("'"&amp;$B$3&amp;"'!"&amp;ADDRESS($AD63,BN$1)),BN62)</f>
        <v/>
      </c>
      <c r="BO63" s="73">
        <f>IF(INDIRECT("'"&amp;$B$3&amp;"'!"&amp;ADDRESS($AD63,BO$1)),INDIRECT("'"&amp;$B$3&amp;"'!"&amp;ADDRESS($AD63,BO$1)),BO62)</f>
        <v/>
      </c>
      <c r="BP63" s="73">
        <f>IF(INDIRECT("'"&amp;$B$3&amp;"'!"&amp;ADDRESS($AD63,BP$1)),INDIRECT("'"&amp;$B$3&amp;"'!"&amp;ADDRESS($AD63,BP$1)),BP62)</f>
        <v/>
      </c>
      <c r="BQ63" s="73">
        <f>IF(INDIRECT("'"&amp;$B$3&amp;"'!"&amp;ADDRESS($AD63,BQ$1)),INDIRECT("'"&amp;$B$3&amp;"'!"&amp;ADDRESS($AD63,BQ$1)),BQ62)</f>
        <v/>
      </c>
      <c r="BR63" s="73">
        <f>IF(INDIRECT("'"&amp;$B$3&amp;"'!"&amp;ADDRESS($AD63,BR$1)),INDIRECT("'"&amp;$B$3&amp;"'!"&amp;ADDRESS($AD63,BR$1)),BR62)</f>
        <v/>
      </c>
      <c r="BS63" s="73">
        <f>IF(INDIRECT("'"&amp;$B$3&amp;"'!"&amp;ADDRESS($AD63,BS$1)),INDIRECT("'"&amp;$B$3&amp;"'!"&amp;ADDRESS($AD63,BS$1)),BS62)</f>
        <v/>
      </c>
      <c r="BT63" s="73">
        <f>IF(INDIRECT("'"&amp;$B$3&amp;"'!"&amp;ADDRESS($AD63,BT$1)),INDIRECT("'"&amp;$B$3&amp;"'!"&amp;ADDRESS($AD63,BT$1)),BT62)</f>
        <v/>
      </c>
      <c r="BU63" s="73">
        <f>IF(INDIRECT("'"&amp;$B$3&amp;"'!"&amp;ADDRESS($AD63,BU$1)),INDIRECT("'"&amp;$B$3&amp;"'!"&amp;ADDRESS($AD63,BU$1)),BU62)</f>
        <v/>
      </c>
      <c r="BV63" s="73">
        <f>IF(INDIRECT("'"&amp;$B$3&amp;"'!"&amp;ADDRESS($AD63,BV$1)),INDIRECT("'"&amp;$B$3&amp;"'!"&amp;ADDRESS($AD63,BV$1)),BV62)</f>
        <v/>
      </c>
      <c r="BW63" s="73">
        <f>IF(INDIRECT("'"&amp;$B$3&amp;"'!"&amp;ADDRESS($AD63,BW$1)),INDIRECT("'"&amp;$B$3&amp;"'!"&amp;ADDRESS($AD63,BW$1)),BW62)</f>
        <v/>
      </c>
      <c r="BX63" s="73">
        <f>IF(INDIRECT("'"&amp;$B$3&amp;"'!"&amp;ADDRESS($AD63,BX$1)),INDIRECT("'"&amp;$B$3&amp;"'!"&amp;ADDRESS($AD63,BX$1)),BX62)</f>
        <v/>
      </c>
      <c r="BY63" s="73">
        <f>IF(INDIRECT("'"&amp;$B$3&amp;"'!"&amp;ADDRESS($AD63,BY$1)),INDIRECT("'"&amp;$B$3&amp;"'!"&amp;ADDRESS($AD63,BY$1)),BY62)</f>
        <v/>
      </c>
      <c r="BZ63" s="73">
        <f>IF(INDIRECT("'"&amp;$B$3&amp;"'!"&amp;ADDRESS($AD63,BZ$1)),INDIRECT("'"&amp;$B$3&amp;"'!"&amp;ADDRESS($AD63,BZ$1)),BZ62)</f>
        <v/>
      </c>
      <c r="CD63" s="73">
        <f>IF(INDIRECT("'"&amp;$B$3&amp;"'!"&amp;ADDRESS($AD63,CD$1)),INDIRECT("'"&amp;$B$3&amp;"'!"&amp;ADDRESS($AD63,CD$1)),CD62)</f>
        <v/>
      </c>
      <c r="CE63" s="73">
        <f>IF(INDIRECT("'"&amp;$B$3&amp;"'!"&amp;ADDRESS($AD63,CE$1)),INDIRECT("'"&amp;$B$3&amp;"'!"&amp;ADDRESS($AD63,CE$1)),CE62)</f>
        <v/>
      </c>
      <c r="CF63" s="73">
        <f>IF(INDIRECT("'"&amp;$B$3&amp;"'!"&amp;ADDRESS($AD63,CF$1)),INDIRECT("'"&amp;$B$3&amp;"'!"&amp;ADDRESS($AD63,CF$1)),CF62)</f>
        <v/>
      </c>
      <c r="CG63" s="73">
        <f>IF(INDIRECT("'"&amp;$B$3&amp;"'!"&amp;ADDRESS($AD63,CG$1)),INDIRECT("'"&amp;$B$3&amp;"'!"&amp;ADDRESS($AD63,CG$1)),CG62)</f>
        <v/>
      </c>
      <c r="CH63" s="73">
        <f>IF(INDIRECT("'"&amp;$B$3&amp;"'!"&amp;ADDRESS($AD63,CH$1)),INDIRECT("'"&amp;$B$3&amp;"'!"&amp;ADDRESS($AD63,CH$1)),CH62)</f>
        <v/>
      </c>
      <c r="CI63" s="73">
        <f>IF(INDIRECT("'"&amp;$B$3&amp;"'!"&amp;ADDRESS($AD63,CI$1)),INDIRECT("'"&amp;$B$3&amp;"'!"&amp;ADDRESS($AD63,CI$1)),CI62)</f>
        <v/>
      </c>
      <c r="CJ63" s="73">
        <f>IF(INDIRECT("'"&amp;$B$3&amp;"'!"&amp;ADDRESS($AD63,CJ$1)),INDIRECT("'"&amp;$B$3&amp;"'!"&amp;ADDRESS($AD63,CJ$1)),CJ62)</f>
        <v/>
      </c>
      <c r="CK63" s="73">
        <f>IF(INDIRECT("'"&amp;$B$3&amp;"'!"&amp;ADDRESS($AD63,CK$1)),INDIRECT("'"&amp;$B$3&amp;"'!"&amp;ADDRESS($AD63,CK$1)),CK62)</f>
        <v/>
      </c>
      <c r="CL63" s="73">
        <f>IF(INDIRECT("'"&amp;$B$3&amp;"'!"&amp;ADDRESS($AD63,CL$1)),INDIRECT("'"&amp;$B$3&amp;"'!"&amp;ADDRESS($AD63,CL$1)),CL62)</f>
        <v/>
      </c>
      <c r="CM63" s="73">
        <f>IF(INDIRECT("'"&amp;$B$3&amp;"'!"&amp;ADDRESS($AD63,CM$1)),INDIRECT("'"&amp;$B$3&amp;"'!"&amp;ADDRESS($AD63,CM$1)),CM62)</f>
        <v/>
      </c>
      <c r="CN63" s="73">
        <f>IF(INDIRECT("'"&amp;$B$3&amp;"'!"&amp;ADDRESS($AD63,CN$1)),INDIRECT("'"&amp;$B$3&amp;"'!"&amp;ADDRESS($AD63,CN$1)),CN62)</f>
        <v/>
      </c>
      <c r="CO63" s="73">
        <f>IF(INDIRECT("'"&amp;$B$3&amp;"'!"&amp;ADDRESS($AD63,CO$1)),INDIRECT("'"&amp;$B$3&amp;"'!"&amp;ADDRESS($AD63,CO$1)),CO62)</f>
        <v/>
      </c>
      <c r="CP63" s="73">
        <f>IF(INDIRECT("'"&amp;$B$3&amp;"'!"&amp;ADDRESS($AD63,CP$1)),INDIRECT("'"&amp;$B$3&amp;"'!"&amp;ADDRESS($AD63,CP$1)),CP62)</f>
        <v/>
      </c>
      <c r="CQ63" s="73">
        <f>IF(INDIRECT("'"&amp;$B$3&amp;"'!"&amp;ADDRESS($AD63,CQ$1)),INDIRECT("'"&amp;$B$3&amp;"'!"&amp;ADDRESS($AD63,CQ$1)),CQ62)</f>
        <v/>
      </c>
    </row>
    <row r="64">
      <c r="AA64" s="72" t="n"/>
      <c r="AD64" t="n">
        <v>64</v>
      </c>
      <c r="BM64" s="73">
        <f>IF(INDIRECT("'"&amp;$B$3&amp;"'!"&amp;ADDRESS($AD64,BM$1)),INDIRECT("'"&amp;$B$3&amp;"'!"&amp;ADDRESS($AD64,BM$1)),BM63)</f>
        <v/>
      </c>
      <c r="BN64" s="73">
        <f>IF(INDIRECT("'"&amp;$B$3&amp;"'!"&amp;ADDRESS($AD64,BN$1)),INDIRECT("'"&amp;$B$3&amp;"'!"&amp;ADDRESS($AD64,BN$1)),BN63)</f>
        <v/>
      </c>
      <c r="BO64" s="73">
        <f>IF(INDIRECT("'"&amp;$B$3&amp;"'!"&amp;ADDRESS($AD64,BO$1)),INDIRECT("'"&amp;$B$3&amp;"'!"&amp;ADDRESS($AD64,BO$1)),BO63)</f>
        <v/>
      </c>
      <c r="BP64" s="73">
        <f>IF(INDIRECT("'"&amp;$B$3&amp;"'!"&amp;ADDRESS($AD64,BP$1)),INDIRECT("'"&amp;$B$3&amp;"'!"&amp;ADDRESS($AD64,BP$1)),BP63)</f>
        <v/>
      </c>
      <c r="BQ64" s="73">
        <f>IF(INDIRECT("'"&amp;$B$3&amp;"'!"&amp;ADDRESS($AD64,BQ$1)),INDIRECT("'"&amp;$B$3&amp;"'!"&amp;ADDRESS($AD64,BQ$1)),BQ63)</f>
        <v/>
      </c>
      <c r="BR64" s="73">
        <f>IF(INDIRECT("'"&amp;$B$3&amp;"'!"&amp;ADDRESS($AD64,BR$1)),INDIRECT("'"&amp;$B$3&amp;"'!"&amp;ADDRESS($AD64,BR$1)),BR63)</f>
        <v/>
      </c>
      <c r="BS64" s="73">
        <f>IF(INDIRECT("'"&amp;$B$3&amp;"'!"&amp;ADDRESS($AD64,BS$1)),INDIRECT("'"&amp;$B$3&amp;"'!"&amp;ADDRESS($AD64,BS$1)),BS63)</f>
        <v/>
      </c>
      <c r="BT64" s="73">
        <f>IF(INDIRECT("'"&amp;$B$3&amp;"'!"&amp;ADDRESS($AD64,BT$1)),INDIRECT("'"&amp;$B$3&amp;"'!"&amp;ADDRESS($AD64,BT$1)),BT63)</f>
        <v/>
      </c>
      <c r="BU64" s="73">
        <f>IF(INDIRECT("'"&amp;$B$3&amp;"'!"&amp;ADDRESS($AD64,BU$1)),INDIRECT("'"&amp;$B$3&amp;"'!"&amp;ADDRESS($AD64,BU$1)),BU63)</f>
        <v/>
      </c>
      <c r="BV64" s="73">
        <f>IF(INDIRECT("'"&amp;$B$3&amp;"'!"&amp;ADDRESS($AD64,BV$1)),INDIRECT("'"&amp;$B$3&amp;"'!"&amp;ADDRESS($AD64,BV$1)),BV63)</f>
        <v/>
      </c>
      <c r="BW64" s="73">
        <f>IF(INDIRECT("'"&amp;$B$3&amp;"'!"&amp;ADDRESS($AD64,BW$1)),INDIRECT("'"&amp;$B$3&amp;"'!"&amp;ADDRESS($AD64,BW$1)),BW63)</f>
        <v/>
      </c>
      <c r="BX64" s="73">
        <f>IF(INDIRECT("'"&amp;$B$3&amp;"'!"&amp;ADDRESS($AD64,BX$1)),INDIRECT("'"&amp;$B$3&amp;"'!"&amp;ADDRESS($AD64,BX$1)),BX63)</f>
        <v/>
      </c>
      <c r="BY64" s="73">
        <f>IF(INDIRECT("'"&amp;$B$3&amp;"'!"&amp;ADDRESS($AD64,BY$1)),INDIRECT("'"&amp;$B$3&amp;"'!"&amp;ADDRESS($AD64,BY$1)),BY63)</f>
        <v/>
      </c>
      <c r="BZ64" s="73">
        <f>IF(INDIRECT("'"&amp;$B$3&amp;"'!"&amp;ADDRESS($AD64,BZ$1)),INDIRECT("'"&amp;$B$3&amp;"'!"&amp;ADDRESS($AD64,BZ$1)),BZ63)</f>
        <v/>
      </c>
      <c r="CD64" s="73">
        <f>IF(INDIRECT("'"&amp;$B$3&amp;"'!"&amp;ADDRESS($AD64,CD$1)),INDIRECT("'"&amp;$B$3&amp;"'!"&amp;ADDRESS($AD64,CD$1)),CD63)</f>
        <v/>
      </c>
      <c r="CE64" s="73">
        <f>IF(INDIRECT("'"&amp;$B$3&amp;"'!"&amp;ADDRESS($AD64,CE$1)),INDIRECT("'"&amp;$B$3&amp;"'!"&amp;ADDRESS($AD64,CE$1)),CE63)</f>
        <v/>
      </c>
      <c r="CF64" s="73">
        <f>IF(INDIRECT("'"&amp;$B$3&amp;"'!"&amp;ADDRESS($AD64,CF$1)),INDIRECT("'"&amp;$B$3&amp;"'!"&amp;ADDRESS($AD64,CF$1)),CF63)</f>
        <v/>
      </c>
      <c r="CG64" s="73">
        <f>IF(INDIRECT("'"&amp;$B$3&amp;"'!"&amp;ADDRESS($AD64,CG$1)),INDIRECT("'"&amp;$B$3&amp;"'!"&amp;ADDRESS($AD64,CG$1)),CG63)</f>
        <v/>
      </c>
      <c r="CH64" s="73">
        <f>IF(INDIRECT("'"&amp;$B$3&amp;"'!"&amp;ADDRESS($AD64,CH$1)),INDIRECT("'"&amp;$B$3&amp;"'!"&amp;ADDRESS($AD64,CH$1)),CH63)</f>
        <v/>
      </c>
      <c r="CI64" s="73">
        <f>IF(INDIRECT("'"&amp;$B$3&amp;"'!"&amp;ADDRESS($AD64,CI$1)),INDIRECT("'"&amp;$B$3&amp;"'!"&amp;ADDRESS($AD64,CI$1)),CI63)</f>
        <v/>
      </c>
      <c r="CJ64" s="73">
        <f>IF(INDIRECT("'"&amp;$B$3&amp;"'!"&amp;ADDRESS($AD64,CJ$1)),INDIRECT("'"&amp;$B$3&amp;"'!"&amp;ADDRESS($AD64,CJ$1)),CJ63)</f>
        <v/>
      </c>
      <c r="CK64" s="73">
        <f>IF(INDIRECT("'"&amp;$B$3&amp;"'!"&amp;ADDRESS($AD64,CK$1)),INDIRECT("'"&amp;$B$3&amp;"'!"&amp;ADDRESS($AD64,CK$1)),CK63)</f>
        <v/>
      </c>
      <c r="CL64" s="73">
        <f>IF(INDIRECT("'"&amp;$B$3&amp;"'!"&amp;ADDRESS($AD64,CL$1)),INDIRECT("'"&amp;$B$3&amp;"'!"&amp;ADDRESS($AD64,CL$1)),CL63)</f>
        <v/>
      </c>
      <c r="CM64" s="73">
        <f>IF(INDIRECT("'"&amp;$B$3&amp;"'!"&amp;ADDRESS($AD64,CM$1)),INDIRECT("'"&amp;$B$3&amp;"'!"&amp;ADDRESS($AD64,CM$1)),CM63)</f>
        <v/>
      </c>
      <c r="CN64" s="73">
        <f>IF(INDIRECT("'"&amp;$B$3&amp;"'!"&amp;ADDRESS($AD64,CN$1)),INDIRECT("'"&amp;$B$3&amp;"'!"&amp;ADDRESS($AD64,CN$1)),CN63)</f>
        <v/>
      </c>
      <c r="CO64" s="73">
        <f>IF(INDIRECT("'"&amp;$B$3&amp;"'!"&amp;ADDRESS($AD64,CO$1)),INDIRECT("'"&amp;$B$3&amp;"'!"&amp;ADDRESS($AD64,CO$1)),CO63)</f>
        <v/>
      </c>
      <c r="CP64" s="73">
        <f>IF(INDIRECT("'"&amp;$B$3&amp;"'!"&amp;ADDRESS($AD64,CP$1)),INDIRECT("'"&amp;$B$3&amp;"'!"&amp;ADDRESS($AD64,CP$1)),CP63)</f>
        <v/>
      </c>
      <c r="CQ64" s="73">
        <f>IF(INDIRECT("'"&amp;$B$3&amp;"'!"&amp;ADDRESS($AD64,CQ$1)),INDIRECT("'"&amp;$B$3&amp;"'!"&amp;ADDRESS($AD64,CQ$1)),CQ63)</f>
        <v/>
      </c>
    </row>
    <row r="65">
      <c r="AA65" s="72" t="n"/>
      <c r="AD65" t="n">
        <v>65</v>
      </c>
      <c r="BM65" s="73">
        <f>IF(INDIRECT("'"&amp;$B$3&amp;"'!"&amp;ADDRESS($AD65,BM$1)),INDIRECT("'"&amp;$B$3&amp;"'!"&amp;ADDRESS($AD65,BM$1)),BM64)</f>
        <v/>
      </c>
      <c r="BN65" s="73">
        <f>IF(INDIRECT("'"&amp;$B$3&amp;"'!"&amp;ADDRESS($AD65,BN$1)),INDIRECT("'"&amp;$B$3&amp;"'!"&amp;ADDRESS($AD65,BN$1)),BN64)</f>
        <v/>
      </c>
      <c r="BO65" s="73">
        <f>IF(INDIRECT("'"&amp;$B$3&amp;"'!"&amp;ADDRESS($AD65,BO$1)),INDIRECT("'"&amp;$B$3&amp;"'!"&amp;ADDRESS($AD65,BO$1)),BO64)</f>
        <v/>
      </c>
      <c r="BP65" s="73">
        <f>IF(INDIRECT("'"&amp;$B$3&amp;"'!"&amp;ADDRESS($AD65,BP$1)),INDIRECT("'"&amp;$B$3&amp;"'!"&amp;ADDRESS($AD65,BP$1)),BP64)</f>
        <v/>
      </c>
      <c r="BQ65" s="73">
        <f>IF(INDIRECT("'"&amp;$B$3&amp;"'!"&amp;ADDRESS($AD65,BQ$1)),INDIRECT("'"&amp;$B$3&amp;"'!"&amp;ADDRESS($AD65,BQ$1)),BQ64)</f>
        <v/>
      </c>
      <c r="BR65" s="73">
        <f>IF(INDIRECT("'"&amp;$B$3&amp;"'!"&amp;ADDRESS($AD65,BR$1)),INDIRECT("'"&amp;$B$3&amp;"'!"&amp;ADDRESS($AD65,BR$1)),BR64)</f>
        <v/>
      </c>
      <c r="BS65" s="73">
        <f>IF(INDIRECT("'"&amp;$B$3&amp;"'!"&amp;ADDRESS($AD65,BS$1)),INDIRECT("'"&amp;$B$3&amp;"'!"&amp;ADDRESS($AD65,BS$1)),BS64)</f>
        <v/>
      </c>
      <c r="BT65" s="73">
        <f>IF(INDIRECT("'"&amp;$B$3&amp;"'!"&amp;ADDRESS($AD65,BT$1)),INDIRECT("'"&amp;$B$3&amp;"'!"&amp;ADDRESS($AD65,BT$1)),BT64)</f>
        <v/>
      </c>
      <c r="BU65" s="73">
        <f>IF(INDIRECT("'"&amp;$B$3&amp;"'!"&amp;ADDRESS($AD65,BU$1)),INDIRECT("'"&amp;$B$3&amp;"'!"&amp;ADDRESS($AD65,BU$1)),BU64)</f>
        <v/>
      </c>
      <c r="BV65" s="73">
        <f>IF(INDIRECT("'"&amp;$B$3&amp;"'!"&amp;ADDRESS($AD65,BV$1)),INDIRECT("'"&amp;$B$3&amp;"'!"&amp;ADDRESS($AD65,BV$1)),BV64)</f>
        <v/>
      </c>
      <c r="BW65" s="73">
        <f>IF(INDIRECT("'"&amp;$B$3&amp;"'!"&amp;ADDRESS($AD65,BW$1)),INDIRECT("'"&amp;$B$3&amp;"'!"&amp;ADDRESS($AD65,BW$1)),BW64)</f>
        <v/>
      </c>
      <c r="BX65" s="73">
        <f>IF(INDIRECT("'"&amp;$B$3&amp;"'!"&amp;ADDRESS($AD65,BX$1)),INDIRECT("'"&amp;$B$3&amp;"'!"&amp;ADDRESS($AD65,BX$1)),BX64)</f>
        <v/>
      </c>
      <c r="BY65" s="73">
        <f>IF(INDIRECT("'"&amp;$B$3&amp;"'!"&amp;ADDRESS($AD65,BY$1)),INDIRECT("'"&amp;$B$3&amp;"'!"&amp;ADDRESS($AD65,BY$1)),BY64)</f>
        <v/>
      </c>
      <c r="BZ65" s="73">
        <f>IF(INDIRECT("'"&amp;$B$3&amp;"'!"&amp;ADDRESS($AD65,BZ$1)),INDIRECT("'"&amp;$B$3&amp;"'!"&amp;ADDRESS($AD65,BZ$1)),BZ64)</f>
        <v/>
      </c>
      <c r="CD65" s="73">
        <f>IF(INDIRECT("'"&amp;$B$3&amp;"'!"&amp;ADDRESS($AD65,CD$1)),INDIRECT("'"&amp;$B$3&amp;"'!"&amp;ADDRESS($AD65,CD$1)),CD64)</f>
        <v/>
      </c>
      <c r="CE65" s="73">
        <f>IF(INDIRECT("'"&amp;$B$3&amp;"'!"&amp;ADDRESS($AD65,CE$1)),INDIRECT("'"&amp;$B$3&amp;"'!"&amp;ADDRESS($AD65,CE$1)),CE64)</f>
        <v/>
      </c>
      <c r="CF65" s="73">
        <f>IF(INDIRECT("'"&amp;$B$3&amp;"'!"&amp;ADDRESS($AD65,CF$1)),INDIRECT("'"&amp;$B$3&amp;"'!"&amp;ADDRESS($AD65,CF$1)),CF64)</f>
        <v/>
      </c>
      <c r="CG65" s="73">
        <f>IF(INDIRECT("'"&amp;$B$3&amp;"'!"&amp;ADDRESS($AD65,CG$1)),INDIRECT("'"&amp;$B$3&amp;"'!"&amp;ADDRESS($AD65,CG$1)),CG64)</f>
        <v/>
      </c>
      <c r="CH65" s="73">
        <f>IF(INDIRECT("'"&amp;$B$3&amp;"'!"&amp;ADDRESS($AD65,CH$1)),INDIRECT("'"&amp;$B$3&amp;"'!"&amp;ADDRESS($AD65,CH$1)),CH64)</f>
        <v/>
      </c>
      <c r="CI65" s="73">
        <f>IF(INDIRECT("'"&amp;$B$3&amp;"'!"&amp;ADDRESS($AD65,CI$1)),INDIRECT("'"&amp;$B$3&amp;"'!"&amp;ADDRESS($AD65,CI$1)),CI64)</f>
        <v/>
      </c>
      <c r="CJ65" s="73">
        <f>IF(INDIRECT("'"&amp;$B$3&amp;"'!"&amp;ADDRESS($AD65,CJ$1)),INDIRECT("'"&amp;$B$3&amp;"'!"&amp;ADDRESS($AD65,CJ$1)),CJ64)</f>
        <v/>
      </c>
      <c r="CK65" s="73">
        <f>IF(INDIRECT("'"&amp;$B$3&amp;"'!"&amp;ADDRESS($AD65,CK$1)),INDIRECT("'"&amp;$B$3&amp;"'!"&amp;ADDRESS($AD65,CK$1)),CK64)</f>
        <v/>
      </c>
      <c r="CL65" s="73">
        <f>IF(INDIRECT("'"&amp;$B$3&amp;"'!"&amp;ADDRESS($AD65,CL$1)),INDIRECT("'"&amp;$B$3&amp;"'!"&amp;ADDRESS($AD65,CL$1)),CL64)</f>
        <v/>
      </c>
      <c r="CM65" s="73">
        <f>IF(INDIRECT("'"&amp;$B$3&amp;"'!"&amp;ADDRESS($AD65,CM$1)),INDIRECT("'"&amp;$B$3&amp;"'!"&amp;ADDRESS($AD65,CM$1)),CM64)</f>
        <v/>
      </c>
      <c r="CN65" s="73">
        <f>IF(INDIRECT("'"&amp;$B$3&amp;"'!"&amp;ADDRESS($AD65,CN$1)),INDIRECT("'"&amp;$B$3&amp;"'!"&amp;ADDRESS($AD65,CN$1)),CN64)</f>
        <v/>
      </c>
      <c r="CO65" s="73">
        <f>IF(INDIRECT("'"&amp;$B$3&amp;"'!"&amp;ADDRESS($AD65,CO$1)),INDIRECT("'"&amp;$B$3&amp;"'!"&amp;ADDRESS($AD65,CO$1)),CO64)</f>
        <v/>
      </c>
      <c r="CP65" s="73">
        <f>IF(INDIRECT("'"&amp;$B$3&amp;"'!"&amp;ADDRESS($AD65,CP$1)),INDIRECT("'"&amp;$B$3&amp;"'!"&amp;ADDRESS($AD65,CP$1)),CP64)</f>
        <v/>
      </c>
      <c r="CQ65" s="73">
        <f>IF(INDIRECT("'"&amp;$B$3&amp;"'!"&amp;ADDRESS($AD65,CQ$1)),INDIRECT("'"&amp;$B$3&amp;"'!"&amp;ADDRESS($AD65,CQ$1)),CQ64)</f>
        <v/>
      </c>
    </row>
    <row r="66">
      <c r="AA66" s="72" t="n"/>
      <c r="AD66" t="n">
        <v>66</v>
      </c>
      <c r="BM66" s="73">
        <f>IF(INDIRECT("'"&amp;$B$3&amp;"'!"&amp;ADDRESS($AD66,BM$1)),INDIRECT("'"&amp;$B$3&amp;"'!"&amp;ADDRESS($AD66,BM$1)),BM65)</f>
        <v/>
      </c>
      <c r="BN66" s="73">
        <f>IF(INDIRECT("'"&amp;$B$3&amp;"'!"&amp;ADDRESS($AD66,BN$1)),INDIRECT("'"&amp;$B$3&amp;"'!"&amp;ADDRESS($AD66,BN$1)),BN65)</f>
        <v/>
      </c>
      <c r="BO66" s="73">
        <f>IF(INDIRECT("'"&amp;$B$3&amp;"'!"&amp;ADDRESS($AD66,BO$1)),INDIRECT("'"&amp;$B$3&amp;"'!"&amp;ADDRESS($AD66,BO$1)),BO65)</f>
        <v/>
      </c>
      <c r="BP66" s="73">
        <f>IF(INDIRECT("'"&amp;$B$3&amp;"'!"&amp;ADDRESS($AD66,BP$1)),INDIRECT("'"&amp;$B$3&amp;"'!"&amp;ADDRESS($AD66,BP$1)),BP65)</f>
        <v/>
      </c>
      <c r="BQ66" s="73">
        <f>IF(INDIRECT("'"&amp;$B$3&amp;"'!"&amp;ADDRESS($AD66,BQ$1)),INDIRECT("'"&amp;$B$3&amp;"'!"&amp;ADDRESS($AD66,BQ$1)),BQ65)</f>
        <v/>
      </c>
      <c r="BR66" s="73">
        <f>IF(INDIRECT("'"&amp;$B$3&amp;"'!"&amp;ADDRESS($AD66,BR$1)),INDIRECT("'"&amp;$B$3&amp;"'!"&amp;ADDRESS($AD66,BR$1)),BR65)</f>
        <v/>
      </c>
      <c r="BS66" s="73">
        <f>IF(INDIRECT("'"&amp;$B$3&amp;"'!"&amp;ADDRESS($AD66,BS$1)),INDIRECT("'"&amp;$B$3&amp;"'!"&amp;ADDRESS($AD66,BS$1)),BS65)</f>
        <v/>
      </c>
      <c r="BT66" s="73">
        <f>IF(INDIRECT("'"&amp;$B$3&amp;"'!"&amp;ADDRESS($AD66,BT$1)),INDIRECT("'"&amp;$B$3&amp;"'!"&amp;ADDRESS($AD66,BT$1)),BT65)</f>
        <v/>
      </c>
      <c r="BU66" s="73">
        <f>IF(INDIRECT("'"&amp;$B$3&amp;"'!"&amp;ADDRESS($AD66,BU$1)),INDIRECT("'"&amp;$B$3&amp;"'!"&amp;ADDRESS($AD66,BU$1)),BU65)</f>
        <v/>
      </c>
      <c r="BV66" s="73">
        <f>IF(INDIRECT("'"&amp;$B$3&amp;"'!"&amp;ADDRESS($AD66,BV$1)),INDIRECT("'"&amp;$B$3&amp;"'!"&amp;ADDRESS($AD66,BV$1)),BV65)</f>
        <v/>
      </c>
      <c r="BW66" s="73">
        <f>IF(INDIRECT("'"&amp;$B$3&amp;"'!"&amp;ADDRESS($AD66,BW$1)),INDIRECT("'"&amp;$B$3&amp;"'!"&amp;ADDRESS($AD66,BW$1)),BW65)</f>
        <v/>
      </c>
      <c r="BX66" s="73">
        <f>IF(INDIRECT("'"&amp;$B$3&amp;"'!"&amp;ADDRESS($AD66,BX$1)),INDIRECT("'"&amp;$B$3&amp;"'!"&amp;ADDRESS($AD66,BX$1)),BX65)</f>
        <v/>
      </c>
      <c r="BY66" s="73">
        <f>IF(INDIRECT("'"&amp;$B$3&amp;"'!"&amp;ADDRESS($AD66,BY$1)),INDIRECT("'"&amp;$B$3&amp;"'!"&amp;ADDRESS($AD66,BY$1)),BY65)</f>
        <v/>
      </c>
      <c r="BZ66" s="73">
        <f>IF(INDIRECT("'"&amp;$B$3&amp;"'!"&amp;ADDRESS($AD66,BZ$1)),INDIRECT("'"&amp;$B$3&amp;"'!"&amp;ADDRESS($AD66,BZ$1)),BZ65)</f>
        <v/>
      </c>
      <c r="CD66" s="73">
        <f>IF(INDIRECT("'"&amp;$B$3&amp;"'!"&amp;ADDRESS($AD66,CD$1)),INDIRECT("'"&amp;$B$3&amp;"'!"&amp;ADDRESS($AD66,CD$1)),CD65)</f>
        <v/>
      </c>
      <c r="CE66" s="73">
        <f>IF(INDIRECT("'"&amp;$B$3&amp;"'!"&amp;ADDRESS($AD66,CE$1)),INDIRECT("'"&amp;$B$3&amp;"'!"&amp;ADDRESS($AD66,CE$1)),CE65)</f>
        <v/>
      </c>
      <c r="CF66" s="73">
        <f>IF(INDIRECT("'"&amp;$B$3&amp;"'!"&amp;ADDRESS($AD66,CF$1)),INDIRECT("'"&amp;$B$3&amp;"'!"&amp;ADDRESS($AD66,CF$1)),CF65)</f>
        <v/>
      </c>
      <c r="CG66" s="73">
        <f>IF(INDIRECT("'"&amp;$B$3&amp;"'!"&amp;ADDRESS($AD66,CG$1)),INDIRECT("'"&amp;$B$3&amp;"'!"&amp;ADDRESS($AD66,CG$1)),CG65)</f>
        <v/>
      </c>
      <c r="CH66" s="73">
        <f>IF(INDIRECT("'"&amp;$B$3&amp;"'!"&amp;ADDRESS($AD66,CH$1)),INDIRECT("'"&amp;$B$3&amp;"'!"&amp;ADDRESS($AD66,CH$1)),CH65)</f>
        <v/>
      </c>
      <c r="CI66" s="73">
        <f>IF(INDIRECT("'"&amp;$B$3&amp;"'!"&amp;ADDRESS($AD66,CI$1)),INDIRECT("'"&amp;$B$3&amp;"'!"&amp;ADDRESS($AD66,CI$1)),CI65)</f>
        <v/>
      </c>
      <c r="CJ66" s="73">
        <f>IF(INDIRECT("'"&amp;$B$3&amp;"'!"&amp;ADDRESS($AD66,CJ$1)),INDIRECT("'"&amp;$B$3&amp;"'!"&amp;ADDRESS($AD66,CJ$1)),CJ65)</f>
        <v/>
      </c>
      <c r="CK66" s="73">
        <f>IF(INDIRECT("'"&amp;$B$3&amp;"'!"&amp;ADDRESS($AD66,CK$1)),INDIRECT("'"&amp;$B$3&amp;"'!"&amp;ADDRESS($AD66,CK$1)),CK65)</f>
        <v/>
      </c>
      <c r="CL66" s="73">
        <f>IF(INDIRECT("'"&amp;$B$3&amp;"'!"&amp;ADDRESS($AD66,CL$1)),INDIRECT("'"&amp;$B$3&amp;"'!"&amp;ADDRESS($AD66,CL$1)),CL65)</f>
        <v/>
      </c>
      <c r="CM66" s="73">
        <f>IF(INDIRECT("'"&amp;$B$3&amp;"'!"&amp;ADDRESS($AD66,CM$1)),INDIRECT("'"&amp;$B$3&amp;"'!"&amp;ADDRESS($AD66,CM$1)),CM65)</f>
        <v/>
      </c>
      <c r="CN66" s="73">
        <f>IF(INDIRECT("'"&amp;$B$3&amp;"'!"&amp;ADDRESS($AD66,CN$1)),INDIRECT("'"&amp;$B$3&amp;"'!"&amp;ADDRESS($AD66,CN$1)),CN65)</f>
        <v/>
      </c>
      <c r="CO66" s="73">
        <f>IF(INDIRECT("'"&amp;$B$3&amp;"'!"&amp;ADDRESS($AD66,CO$1)),INDIRECT("'"&amp;$B$3&amp;"'!"&amp;ADDRESS($AD66,CO$1)),CO65)</f>
        <v/>
      </c>
      <c r="CP66" s="73">
        <f>IF(INDIRECT("'"&amp;$B$3&amp;"'!"&amp;ADDRESS($AD66,CP$1)),INDIRECT("'"&amp;$B$3&amp;"'!"&amp;ADDRESS($AD66,CP$1)),CP65)</f>
        <v/>
      </c>
      <c r="CQ66" s="73">
        <f>IF(INDIRECT("'"&amp;$B$3&amp;"'!"&amp;ADDRESS($AD66,CQ$1)),INDIRECT("'"&amp;$B$3&amp;"'!"&amp;ADDRESS($AD66,CQ$1)),CQ65)</f>
        <v/>
      </c>
    </row>
    <row r="67">
      <c r="AA67" s="72" t="n"/>
      <c r="AD67" t="n">
        <v>67</v>
      </c>
      <c r="BM67" s="73">
        <f>IF(INDIRECT("'"&amp;$B$3&amp;"'!"&amp;ADDRESS($AD67,BM$1)),INDIRECT("'"&amp;$B$3&amp;"'!"&amp;ADDRESS($AD67,BM$1)),BM66)</f>
        <v/>
      </c>
      <c r="BN67" s="73">
        <f>IF(INDIRECT("'"&amp;$B$3&amp;"'!"&amp;ADDRESS($AD67,BN$1)),INDIRECT("'"&amp;$B$3&amp;"'!"&amp;ADDRESS($AD67,BN$1)),BN66)</f>
        <v/>
      </c>
      <c r="BO67" s="73">
        <f>IF(INDIRECT("'"&amp;$B$3&amp;"'!"&amp;ADDRESS($AD67,BO$1)),INDIRECT("'"&amp;$B$3&amp;"'!"&amp;ADDRESS($AD67,BO$1)),BO66)</f>
        <v/>
      </c>
      <c r="BP67" s="73">
        <f>IF(INDIRECT("'"&amp;$B$3&amp;"'!"&amp;ADDRESS($AD67,BP$1)),INDIRECT("'"&amp;$B$3&amp;"'!"&amp;ADDRESS($AD67,BP$1)),BP66)</f>
        <v/>
      </c>
      <c r="BQ67" s="73">
        <f>IF(INDIRECT("'"&amp;$B$3&amp;"'!"&amp;ADDRESS($AD67,BQ$1)),INDIRECT("'"&amp;$B$3&amp;"'!"&amp;ADDRESS($AD67,BQ$1)),BQ66)</f>
        <v/>
      </c>
      <c r="BR67" s="73">
        <f>IF(INDIRECT("'"&amp;$B$3&amp;"'!"&amp;ADDRESS($AD67,BR$1)),INDIRECT("'"&amp;$B$3&amp;"'!"&amp;ADDRESS($AD67,BR$1)),BR66)</f>
        <v/>
      </c>
      <c r="BS67" s="73">
        <f>IF(INDIRECT("'"&amp;$B$3&amp;"'!"&amp;ADDRESS($AD67,BS$1)),INDIRECT("'"&amp;$B$3&amp;"'!"&amp;ADDRESS($AD67,BS$1)),BS66)</f>
        <v/>
      </c>
      <c r="BT67" s="73">
        <f>IF(INDIRECT("'"&amp;$B$3&amp;"'!"&amp;ADDRESS($AD67,BT$1)),INDIRECT("'"&amp;$B$3&amp;"'!"&amp;ADDRESS($AD67,BT$1)),BT66)</f>
        <v/>
      </c>
      <c r="BU67" s="73">
        <f>IF(INDIRECT("'"&amp;$B$3&amp;"'!"&amp;ADDRESS($AD67,BU$1)),INDIRECT("'"&amp;$B$3&amp;"'!"&amp;ADDRESS($AD67,BU$1)),BU66)</f>
        <v/>
      </c>
      <c r="BV67" s="73">
        <f>IF(INDIRECT("'"&amp;$B$3&amp;"'!"&amp;ADDRESS($AD67,BV$1)),INDIRECT("'"&amp;$B$3&amp;"'!"&amp;ADDRESS($AD67,BV$1)),BV66)</f>
        <v/>
      </c>
      <c r="BW67" s="73">
        <f>IF(INDIRECT("'"&amp;$B$3&amp;"'!"&amp;ADDRESS($AD67,BW$1)),INDIRECT("'"&amp;$B$3&amp;"'!"&amp;ADDRESS($AD67,BW$1)),BW66)</f>
        <v/>
      </c>
      <c r="BX67" s="73">
        <f>IF(INDIRECT("'"&amp;$B$3&amp;"'!"&amp;ADDRESS($AD67,BX$1)),INDIRECT("'"&amp;$B$3&amp;"'!"&amp;ADDRESS($AD67,BX$1)),BX66)</f>
        <v/>
      </c>
      <c r="BY67" s="73">
        <f>IF(INDIRECT("'"&amp;$B$3&amp;"'!"&amp;ADDRESS($AD67,BY$1)),INDIRECT("'"&amp;$B$3&amp;"'!"&amp;ADDRESS($AD67,BY$1)),BY66)</f>
        <v/>
      </c>
      <c r="BZ67" s="73">
        <f>IF(INDIRECT("'"&amp;$B$3&amp;"'!"&amp;ADDRESS($AD67,BZ$1)),INDIRECT("'"&amp;$B$3&amp;"'!"&amp;ADDRESS($AD67,BZ$1)),BZ66)</f>
        <v/>
      </c>
      <c r="CD67" s="73">
        <f>IF(INDIRECT("'"&amp;$B$3&amp;"'!"&amp;ADDRESS($AD67,CD$1)),INDIRECT("'"&amp;$B$3&amp;"'!"&amp;ADDRESS($AD67,CD$1)),CD66)</f>
        <v/>
      </c>
      <c r="CE67" s="73">
        <f>IF(INDIRECT("'"&amp;$B$3&amp;"'!"&amp;ADDRESS($AD67,CE$1)),INDIRECT("'"&amp;$B$3&amp;"'!"&amp;ADDRESS($AD67,CE$1)),CE66)</f>
        <v/>
      </c>
      <c r="CF67" s="73">
        <f>IF(INDIRECT("'"&amp;$B$3&amp;"'!"&amp;ADDRESS($AD67,CF$1)),INDIRECT("'"&amp;$B$3&amp;"'!"&amp;ADDRESS($AD67,CF$1)),CF66)</f>
        <v/>
      </c>
      <c r="CG67" s="73">
        <f>IF(INDIRECT("'"&amp;$B$3&amp;"'!"&amp;ADDRESS($AD67,CG$1)),INDIRECT("'"&amp;$B$3&amp;"'!"&amp;ADDRESS($AD67,CG$1)),CG66)</f>
        <v/>
      </c>
      <c r="CH67" s="73">
        <f>IF(INDIRECT("'"&amp;$B$3&amp;"'!"&amp;ADDRESS($AD67,CH$1)),INDIRECT("'"&amp;$B$3&amp;"'!"&amp;ADDRESS($AD67,CH$1)),CH66)</f>
        <v/>
      </c>
      <c r="CI67" s="73">
        <f>IF(INDIRECT("'"&amp;$B$3&amp;"'!"&amp;ADDRESS($AD67,CI$1)),INDIRECT("'"&amp;$B$3&amp;"'!"&amp;ADDRESS($AD67,CI$1)),CI66)</f>
        <v/>
      </c>
      <c r="CJ67" s="73">
        <f>IF(INDIRECT("'"&amp;$B$3&amp;"'!"&amp;ADDRESS($AD67,CJ$1)),INDIRECT("'"&amp;$B$3&amp;"'!"&amp;ADDRESS($AD67,CJ$1)),CJ66)</f>
        <v/>
      </c>
      <c r="CK67" s="73">
        <f>IF(INDIRECT("'"&amp;$B$3&amp;"'!"&amp;ADDRESS($AD67,CK$1)),INDIRECT("'"&amp;$B$3&amp;"'!"&amp;ADDRESS($AD67,CK$1)),CK66)</f>
        <v/>
      </c>
      <c r="CL67" s="73">
        <f>IF(INDIRECT("'"&amp;$B$3&amp;"'!"&amp;ADDRESS($AD67,CL$1)),INDIRECT("'"&amp;$B$3&amp;"'!"&amp;ADDRESS($AD67,CL$1)),CL66)</f>
        <v/>
      </c>
      <c r="CM67" s="73">
        <f>IF(INDIRECT("'"&amp;$B$3&amp;"'!"&amp;ADDRESS($AD67,CM$1)),INDIRECT("'"&amp;$B$3&amp;"'!"&amp;ADDRESS($AD67,CM$1)),CM66)</f>
        <v/>
      </c>
      <c r="CN67" s="73">
        <f>IF(INDIRECT("'"&amp;$B$3&amp;"'!"&amp;ADDRESS($AD67,CN$1)),INDIRECT("'"&amp;$B$3&amp;"'!"&amp;ADDRESS($AD67,CN$1)),CN66)</f>
        <v/>
      </c>
      <c r="CO67" s="73">
        <f>IF(INDIRECT("'"&amp;$B$3&amp;"'!"&amp;ADDRESS($AD67,CO$1)),INDIRECT("'"&amp;$B$3&amp;"'!"&amp;ADDRESS($AD67,CO$1)),CO66)</f>
        <v/>
      </c>
      <c r="CP67" s="73">
        <f>IF(INDIRECT("'"&amp;$B$3&amp;"'!"&amp;ADDRESS($AD67,CP$1)),INDIRECT("'"&amp;$B$3&amp;"'!"&amp;ADDRESS($AD67,CP$1)),CP66)</f>
        <v/>
      </c>
      <c r="CQ67" s="73">
        <f>IF(INDIRECT("'"&amp;$B$3&amp;"'!"&amp;ADDRESS($AD67,CQ$1)),INDIRECT("'"&amp;$B$3&amp;"'!"&amp;ADDRESS($AD67,CQ$1)),CQ66)</f>
        <v/>
      </c>
    </row>
    <row r="68">
      <c r="AA68" s="72" t="n"/>
      <c r="AD68" t="n">
        <v>68</v>
      </c>
      <c r="BM68" s="73">
        <f>IF(INDIRECT("'"&amp;$B$3&amp;"'!"&amp;ADDRESS($AD68,BM$1)),INDIRECT("'"&amp;$B$3&amp;"'!"&amp;ADDRESS($AD68,BM$1)),BM67)</f>
        <v/>
      </c>
      <c r="BN68" s="73">
        <f>IF(INDIRECT("'"&amp;$B$3&amp;"'!"&amp;ADDRESS($AD68,BN$1)),INDIRECT("'"&amp;$B$3&amp;"'!"&amp;ADDRESS($AD68,BN$1)),BN67)</f>
        <v/>
      </c>
      <c r="BO68" s="73">
        <f>IF(INDIRECT("'"&amp;$B$3&amp;"'!"&amp;ADDRESS($AD68,BO$1)),INDIRECT("'"&amp;$B$3&amp;"'!"&amp;ADDRESS($AD68,BO$1)),BO67)</f>
        <v/>
      </c>
      <c r="BP68" s="73">
        <f>IF(INDIRECT("'"&amp;$B$3&amp;"'!"&amp;ADDRESS($AD68,BP$1)),INDIRECT("'"&amp;$B$3&amp;"'!"&amp;ADDRESS($AD68,BP$1)),BP67)</f>
        <v/>
      </c>
      <c r="BQ68" s="73">
        <f>IF(INDIRECT("'"&amp;$B$3&amp;"'!"&amp;ADDRESS($AD68,BQ$1)),INDIRECT("'"&amp;$B$3&amp;"'!"&amp;ADDRESS($AD68,BQ$1)),BQ67)</f>
        <v/>
      </c>
      <c r="BR68" s="73">
        <f>IF(INDIRECT("'"&amp;$B$3&amp;"'!"&amp;ADDRESS($AD68,BR$1)),INDIRECT("'"&amp;$B$3&amp;"'!"&amp;ADDRESS($AD68,BR$1)),BR67)</f>
        <v/>
      </c>
      <c r="BS68" s="73">
        <f>IF(INDIRECT("'"&amp;$B$3&amp;"'!"&amp;ADDRESS($AD68,BS$1)),INDIRECT("'"&amp;$B$3&amp;"'!"&amp;ADDRESS($AD68,BS$1)),BS67)</f>
        <v/>
      </c>
      <c r="BT68" s="73">
        <f>IF(INDIRECT("'"&amp;$B$3&amp;"'!"&amp;ADDRESS($AD68,BT$1)),INDIRECT("'"&amp;$B$3&amp;"'!"&amp;ADDRESS($AD68,BT$1)),BT67)</f>
        <v/>
      </c>
      <c r="BU68" s="73">
        <f>IF(INDIRECT("'"&amp;$B$3&amp;"'!"&amp;ADDRESS($AD68,BU$1)),INDIRECT("'"&amp;$B$3&amp;"'!"&amp;ADDRESS($AD68,BU$1)),BU67)</f>
        <v/>
      </c>
      <c r="BV68" s="73">
        <f>IF(INDIRECT("'"&amp;$B$3&amp;"'!"&amp;ADDRESS($AD68,BV$1)),INDIRECT("'"&amp;$B$3&amp;"'!"&amp;ADDRESS($AD68,BV$1)),BV67)</f>
        <v/>
      </c>
      <c r="BW68" s="73">
        <f>IF(INDIRECT("'"&amp;$B$3&amp;"'!"&amp;ADDRESS($AD68,BW$1)),INDIRECT("'"&amp;$B$3&amp;"'!"&amp;ADDRESS($AD68,BW$1)),BW67)</f>
        <v/>
      </c>
      <c r="BX68" s="73">
        <f>IF(INDIRECT("'"&amp;$B$3&amp;"'!"&amp;ADDRESS($AD68,BX$1)),INDIRECT("'"&amp;$B$3&amp;"'!"&amp;ADDRESS($AD68,BX$1)),BX67)</f>
        <v/>
      </c>
      <c r="BY68" s="73">
        <f>IF(INDIRECT("'"&amp;$B$3&amp;"'!"&amp;ADDRESS($AD68,BY$1)),INDIRECT("'"&amp;$B$3&amp;"'!"&amp;ADDRESS($AD68,BY$1)),BY67)</f>
        <v/>
      </c>
      <c r="BZ68" s="73">
        <f>IF(INDIRECT("'"&amp;$B$3&amp;"'!"&amp;ADDRESS($AD68,BZ$1)),INDIRECT("'"&amp;$B$3&amp;"'!"&amp;ADDRESS($AD68,BZ$1)),BZ67)</f>
        <v/>
      </c>
      <c r="CD68" s="73">
        <f>IF(INDIRECT("'"&amp;$B$3&amp;"'!"&amp;ADDRESS($AD68,CD$1)),INDIRECT("'"&amp;$B$3&amp;"'!"&amp;ADDRESS($AD68,CD$1)),CD67)</f>
        <v/>
      </c>
      <c r="CE68" s="73">
        <f>IF(INDIRECT("'"&amp;$B$3&amp;"'!"&amp;ADDRESS($AD68,CE$1)),INDIRECT("'"&amp;$B$3&amp;"'!"&amp;ADDRESS($AD68,CE$1)),CE67)</f>
        <v/>
      </c>
      <c r="CF68" s="73">
        <f>IF(INDIRECT("'"&amp;$B$3&amp;"'!"&amp;ADDRESS($AD68,CF$1)),INDIRECT("'"&amp;$B$3&amp;"'!"&amp;ADDRESS($AD68,CF$1)),CF67)</f>
        <v/>
      </c>
      <c r="CG68" s="73">
        <f>IF(INDIRECT("'"&amp;$B$3&amp;"'!"&amp;ADDRESS($AD68,CG$1)),INDIRECT("'"&amp;$B$3&amp;"'!"&amp;ADDRESS($AD68,CG$1)),CG67)</f>
        <v/>
      </c>
      <c r="CH68" s="73">
        <f>IF(INDIRECT("'"&amp;$B$3&amp;"'!"&amp;ADDRESS($AD68,CH$1)),INDIRECT("'"&amp;$B$3&amp;"'!"&amp;ADDRESS($AD68,CH$1)),CH67)</f>
        <v/>
      </c>
      <c r="CI68" s="73">
        <f>IF(INDIRECT("'"&amp;$B$3&amp;"'!"&amp;ADDRESS($AD68,CI$1)),INDIRECT("'"&amp;$B$3&amp;"'!"&amp;ADDRESS($AD68,CI$1)),CI67)</f>
        <v/>
      </c>
      <c r="CJ68" s="73">
        <f>IF(INDIRECT("'"&amp;$B$3&amp;"'!"&amp;ADDRESS($AD68,CJ$1)),INDIRECT("'"&amp;$B$3&amp;"'!"&amp;ADDRESS($AD68,CJ$1)),CJ67)</f>
        <v/>
      </c>
      <c r="CK68" s="73">
        <f>IF(INDIRECT("'"&amp;$B$3&amp;"'!"&amp;ADDRESS($AD68,CK$1)),INDIRECT("'"&amp;$B$3&amp;"'!"&amp;ADDRESS($AD68,CK$1)),CK67)</f>
        <v/>
      </c>
      <c r="CL68" s="73">
        <f>IF(INDIRECT("'"&amp;$B$3&amp;"'!"&amp;ADDRESS($AD68,CL$1)),INDIRECT("'"&amp;$B$3&amp;"'!"&amp;ADDRESS($AD68,CL$1)),CL67)</f>
        <v/>
      </c>
      <c r="CM68" s="73">
        <f>IF(INDIRECT("'"&amp;$B$3&amp;"'!"&amp;ADDRESS($AD68,CM$1)),INDIRECT("'"&amp;$B$3&amp;"'!"&amp;ADDRESS($AD68,CM$1)),CM67)</f>
        <v/>
      </c>
      <c r="CN68" s="73">
        <f>IF(INDIRECT("'"&amp;$B$3&amp;"'!"&amp;ADDRESS($AD68,CN$1)),INDIRECT("'"&amp;$B$3&amp;"'!"&amp;ADDRESS($AD68,CN$1)),CN67)</f>
        <v/>
      </c>
      <c r="CO68" s="73">
        <f>IF(INDIRECT("'"&amp;$B$3&amp;"'!"&amp;ADDRESS($AD68,CO$1)),INDIRECT("'"&amp;$B$3&amp;"'!"&amp;ADDRESS($AD68,CO$1)),CO67)</f>
        <v/>
      </c>
      <c r="CP68" s="73">
        <f>IF(INDIRECT("'"&amp;$B$3&amp;"'!"&amp;ADDRESS($AD68,CP$1)),INDIRECT("'"&amp;$B$3&amp;"'!"&amp;ADDRESS($AD68,CP$1)),CP67)</f>
        <v/>
      </c>
      <c r="CQ68" s="73">
        <f>IF(INDIRECT("'"&amp;$B$3&amp;"'!"&amp;ADDRESS($AD68,CQ$1)),INDIRECT("'"&amp;$B$3&amp;"'!"&amp;ADDRESS($AD68,CQ$1)),CQ67)</f>
        <v/>
      </c>
    </row>
    <row r="69">
      <c r="AA69" s="72" t="n"/>
      <c r="AD69" t="n">
        <v>69</v>
      </c>
      <c r="BM69" s="73">
        <f>IF(INDIRECT("'"&amp;$B$3&amp;"'!"&amp;ADDRESS($AD69,BM$1)),INDIRECT("'"&amp;$B$3&amp;"'!"&amp;ADDRESS($AD69,BM$1)),BM68)</f>
        <v/>
      </c>
      <c r="BN69" s="73">
        <f>IF(INDIRECT("'"&amp;$B$3&amp;"'!"&amp;ADDRESS($AD69,BN$1)),INDIRECT("'"&amp;$B$3&amp;"'!"&amp;ADDRESS($AD69,BN$1)),BN68)</f>
        <v/>
      </c>
      <c r="BO69" s="73">
        <f>IF(INDIRECT("'"&amp;$B$3&amp;"'!"&amp;ADDRESS($AD69,BO$1)),INDIRECT("'"&amp;$B$3&amp;"'!"&amp;ADDRESS($AD69,BO$1)),BO68)</f>
        <v/>
      </c>
      <c r="BP69" s="73">
        <f>IF(INDIRECT("'"&amp;$B$3&amp;"'!"&amp;ADDRESS($AD69,BP$1)),INDIRECT("'"&amp;$B$3&amp;"'!"&amp;ADDRESS($AD69,BP$1)),BP68)</f>
        <v/>
      </c>
      <c r="BQ69" s="73">
        <f>IF(INDIRECT("'"&amp;$B$3&amp;"'!"&amp;ADDRESS($AD69,BQ$1)),INDIRECT("'"&amp;$B$3&amp;"'!"&amp;ADDRESS($AD69,BQ$1)),BQ68)</f>
        <v/>
      </c>
      <c r="BR69" s="73">
        <f>IF(INDIRECT("'"&amp;$B$3&amp;"'!"&amp;ADDRESS($AD69,BR$1)),INDIRECT("'"&amp;$B$3&amp;"'!"&amp;ADDRESS($AD69,BR$1)),BR68)</f>
        <v/>
      </c>
      <c r="BS69" s="73">
        <f>IF(INDIRECT("'"&amp;$B$3&amp;"'!"&amp;ADDRESS($AD69,BS$1)),INDIRECT("'"&amp;$B$3&amp;"'!"&amp;ADDRESS($AD69,BS$1)),BS68)</f>
        <v/>
      </c>
      <c r="BT69" s="73">
        <f>IF(INDIRECT("'"&amp;$B$3&amp;"'!"&amp;ADDRESS($AD69,BT$1)),INDIRECT("'"&amp;$B$3&amp;"'!"&amp;ADDRESS($AD69,BT$1)),BT68)</f>
        <v/>
      </c>
      <c r="BU69" s="73">
        <f>IF(INDIRECT("'"&amp;$B$3&amp;"'!"&amp;ADDRESS($AD69,BU$1)),INDIRECT("'"&amp;$B$3&amp;"'!"&amp;ADDRESS($AD69,BU$1)),BU68)</f>
        <v/>
      </c>
      <c r="BV69" s="73">
        <f>IF(INDIRECT("'"&amp;$B$3&amp;"'!"&amp;ADDRESS($AD69,BV$1)),INDIRECT("'"&amp;$B$3&amp;"'!"&amp;ADDRESS($AD69,BV$1)),BV68)</f>
        <v/>
      </c>
      <c r="BW69" s="73">
        <f>IF(INDIRECT("'"&amp;$B$3&amp;"'!"&amp;ADDRESS($AD69,BW$1)),INDIRECT("'"&amp;$B$3&amp;"'!"&amp;ADDRESS($AD69,BW$1)),BW68)</f>
        <v/>
      </c>
      <c r="BX69" s="73">
        <f>IF(INDIRECT("'"&amp;$B$3&amp;"'!"&amp;ADDRESS($AD69,BX$1)),INDIRECT("'"&amp;$B$3&amp;"'!"&amp;ADDRESS($AD69,BX$1)),BX68)</f>
        <v/>
      </c>
      <c r="BY69" s="73">
        <f>IF(INDIRECT("'"&amp;$B$3&amp;"'!"&amp;ADDRESS($AD69,BY$1)),INDIRECT("'"&amp;$B$3&amp;"'!"&amp;ADDRESS($AD69,BY$1)),BY68)</f>
        <v/>
      </c>
      <c r="BZ69" s="73">
        <f>IF(INDIRECT("'"&amp;$B$3&amp;"'!"&amp;ADDRESS($AD69,BZ$1)),INDIRECT("'"&amp;$B$3&amp;"'!"&amp;ADDRESS($AD69,BZ$1)),BZ68)</f>
        <v/>
      </c>
      <c r="CD69" s="73">
        <f>IF(INDIRECT("'"&amp;$B$3&amp;"'!"&amp;ADDRESS($AD69,CD$1)),INDIRECT("'"&amp;$B$3&amp;"'!"&amp;ADDRESS($AD69,CD$1)),CD68)</f>
        <v/>
      </c>
      <c r="CE69" s="73">
        <f>IF(INDIRECT("'"&amp;$B$3&amp;"'!"&amp;ADDRESS($AD69,CE$1)),INDIRECT("'"&amp;$B$3&amp;"'!"&amp;ADDRESS($AD69,CE$1)),CE68)</f>
        <v/>
      </c>
      <c r="CF69" s="73">
        <f>IF(INDIRECT("'"&amp;$B$3&amp;"'!"&amp;ADDRESS($AD69,CF$1)),INDIRECT("'"&amp;$B$3&amp;"'!"&amp;ADDRESS($AD69,CF$1)),CF68)</f>
        <v/>
      </c>
      <c r="CG69" s="73">
        <f>IF(INDIRECT("'"&amp;$B$3&amp;"'!"&amp;ADDRESS($AD69,CG$1)),INDIRECT("'"&amp;$B$3&amp;"'!"&amp;ADDRESS($AD69,CG$1)),CG68)</f>
        <v/>
      </c>
      <c r="CH69" s="73">
        <f>IF(INDIRECT("'"&amp;$B$3&amp;"'!"&amp;ADDRESS($AD69,CH$1)),INDIRECT("'"&amp;$B$3&amp;"'!"&amp;ADDRESS($AD69,CH$1)),CH68)</f>
        <v/>
      </c>
      <c r="CI69" s="73">
        <f>IF(INDIRECT("'"&amp;$B$3&amp;"'!"&amp;ADDRESS($AD69,CI$1)),INDIRECT("'"&amp;$B$3&amp;"'!"&amp;ADDRESS($AD69,CI$1)),CI68)</f>
        <v/>
      </c>
      <c r="CJ69" s="73">
        <f>IF(INDIRECT("'"&amp;$B$3&amp;"'!"&amp;ADDRESS($AD69,CJ$1)),INDIRECT("'"&amp;$B$3&amp;"'!"&amp;ADDRESS($AD69,CJ$1)),CJ68)</f>
        <v/>
      </c>
      <c r="CK69" s="73">
        <f>IF(INDIRECT("'"&amp;$B$3&amp;"'!"&amp;ADDRESS($AD69,CK$1)),INDIRECT("'"&amp;$B$3&amp;"'!"&amp;ADDRESS($AD69,CK$1)),CK68)</f>
        <v/>
      </c>
      <c r="CL69" s="73">
        <f>IF(INDIRECT("'"&amp;$B$3&amp;"'!"&amp;ADDRESS($AD69,CL$1)),INDIRECT("'"&amp;$B$3&amp;"'!"&amp;ADDRESS($AD69,CL$1)),CL68)</f>
        <v/>
      </c>
      <c r="CM69" s="73">
        <f>IF(INDIRECT("'"&amp;$B$3&amp;"'!"&amp;ADDRESS($AD69,CM$1)),INDIRECT("'"&amp;$B$3&amp;"'!"&amp;ADDRESS($AD69,CM$1)),CM68)</f>
        <v/>
      </c>
      <c r="CN69" s="73">
        <f>IF(INDIRECT("'"&amp;$B$3&amp;"'!"&amp;ADDRESS($AD69,CN$1)),INDIRECT("'"&amp;$B$3&amp;"'!"&amp;ADDRESS($AD69,CN$1)),CN68)</f>
        <v/>
      </c>
      <c r="CO69" s="73">
        <f>IF(INDIRECT("'"&amp;$B$3&amp;"'!"&amp;ADDRESS($AD69,CO$1)),INDIRECT("'"&amp;$B$3&amp;"'!"&amp;ADDRESS($AD69,CO$1)),CO68)</f>
        <v/>
      </c>
      <c r="CP69" s="73">
        <f>IF(INDIRECT("'"&amp;$B$3&amp;"'!"&amp;ADDRESS($AD69,CP$1)),INDIRECT("'"&amp;$B$3&amp;"'!"&amp;ADDRESS($AD69,CP$1)),CP68)</f>
        <v/>
      </c>
      <c r="CQ69" s="73">
        <f>IF(INDIRECT("'"&amp;$B$3&amp;"'!"&amp;ADDRESS($AD69,CQ$1)),INDIRECT("'"&amp;$B$3&amp;"'!"&amp;ADDRESS($AD69,CQ$1)),CQ68)</f>
        <v/>
      </c>
    </row>
    <row r="70">
      <c r="AA70" s="72" t="n"/>
      <c r="AD70" t="n">
        <v>70</v>
      </c>
      <c r="BM70" s="73">
        <f>IF(INDIRECT("'"&amp;$B$3&amp;"'!"&amp;ADDRESS($AD70,BM$1)),INDIRECT("'"&amp;$B$3&amp;"'!"&amp;ADDRESS($AD70,BM$1)),BM69)</f>
        <v/>
      </c>
      <c r="BN70" s="73">
        <f>IF(INDIRECT("'"&amp;$B$3&amp;"'!"&amp;ADDRESS($AD70,BN$1)),INDIRECT("'"&amp;$B$3&amp;"'!"&amp;ADDRESS($AD70,BN$1)),BN69)</f>
        <v/>
      </c>
      <c r="BO70" s="73">
        <f>IF(INDIRECT("'"&amp;$B$3&amp;"'!"&amp;ADDRESS($AD70,BO$1)),INDIRECT("'"&amp;$B$3&amp;"'!"&amp;ADDRESS($AD70,BO$1)),BO69)</f>
        <v/>
      </c>
      <c r="BP70" s="73">
        <f>IF(INDIRECT("'"&amp;$B$3&amp;"'!"&amp;ADDRESS($AD70,BP$1)),INDIRECT("'"&amp;$B$3&amp;"'!"&amp;ADDRESS($AD70,BP$1)),BP69)</f>
        <v/>
      </c>
      <c r="BQ70" s="73">
        <f>IF(INDIRECT("'"&amp;$B$3&amp;"'!"&amp;ADDRESS($AD70,BQ$1)),INDIRECT("'"&amp;$B$3&amp;"'!"&amp;ADDRESS($AD70,BQ$1)),BQ69)</f>
        <v/>
      </c>
      <c r="BR70" s="73">
        <f>IF(INDIRECT("'"&amp;$B$3&amp;"'!"&amp;ADDRESS($AD70,BR$1)),INDIRECT("'"&amp;$B$3&amp;"'!"&amp;ADDRESS($AD70,BR$1)),BR69)</f>
        <v/>
      </c>
      <c r="BS70" s="73">
        <f>IF(INDIRECT("'"&amp;$B$3&amp;"'!"&amp;ADDRESS($AD70,BS$1)),INDIRECT("'"&amp;$B$3&amp;"'!"&amp;ADDRESS($AD70,BS$1)),BS69)</f>
        <v/>
      </c>
      <c r="BT70" s="73">
        <f>IF(INDIRECT("'"&amp;$B$3&amp;"'!"&amp;ADDRESS($AD70,BT$1)),INDIRECT("'"&amp;$B$3&amp;"'!"&amp;ADDRESS($AD70,BT$1)),BT69)</f>
        <v/>
      </c>
      <c r="BU70" s="73">
        <f>IF(INDIRECT("'"&amp;$B$3&amp;"'!"&amp;ADDRESS($AD70,BU$1)),INDIRECT("'"&amp;$B$3&amp;"'!"&amp;ADDRESS($AD70,BU$1)),BU69)</f>
        <v/>
      </c>
      <c r="BV70" s="73">
        <f>IF(INDIRECT("'"&amp;$B$3&amp;"'!"&amp;ADDRESS($AD70,BV$1)),INDIRECT("'"&amp;$B$3&amp;"'!"&amp;ADDRESS($AD70,BV$1)),BV69)</f>
        <v/>
      </c>
      <c r="BW70" s="73">
        <f>IF(INDIRECT("'"&amp;$B$3&amp;"'!"&amp;ADDRESS($AD70,BW$1)),INDIRECT("'"&amp;$B$3&amp;"'!"&amp;ADDRESS($AD70,BW$1)),BW69)</f>
        <v/>
      </c>
      <c r="BX70" s="73">
        <f>IF(INDIRECT("'"&amp;$B$3&amp;"'!"&amp;ADDRESS($AD70,BX$1)),INDIRECT("'"&amp;$B$3&amp;"'!"&amp;ADDRESS($AD70,BX$1)),BX69)</f>
        <v/>
      </c>
      <c r="BY70" s="73">
        <f>IF(INDIRECT("'"&amp;$B$3&amp;"'!"&amp;ADDRESS($AD70,BY$1)),INDIRECT("'"&amp;$B$3&amp;"'!"&amp;ADDRESS($AD70,BY$1)),BY69)</f>
        <v/>
      </c>
      <c r="BZ70" s="73">
        <f>IF(INDIRECT("'"&amp;$B$3&amp;"'!"&amp;ADDRESS($AD70,BZ$1)),INDIRECT("'"&amp;$B$3&amp;"'!"&amp;ADDRESS($AD70,BZ$1)),BZ69)</f>
        <v/>
      </c>
      <c r="CD70" s="73">
        <f>IF(INDIRECT("'"&amp;$B$3&amp;"'!"&amp;ADDRESS($AD70,CD$1)),INDIRECT("'"&amp;$B$3&amp;"'!"&amp;ADDRESS($AD70,CD$1)),CD69)</f>
        <v/>
      </c>
      <c r="CE70" s="73">
        <f>IF(INDIRECT("'"&amp;$B$3&amp;"'!"&amp;ADDRESS($AD70,CE$1)),INDIRECT("'"&amp;$B$3&amp;"'!"&amp;ADDRESS($AD70,CE$1)),CE69)</f>
        <v/>
      </c>
      <c r="CF70" s="73">
        <f>IF(INDIRECT("'"&amp;$B$3&amp;"'!"&amp;ADDRESS($AD70,CF$1)),INDIRECT("'"&amp;$B$3&amp;"'!"&amp;ADDRESS($AD70,CF$1)),CF69)</f>
        <v/>
      </c>
      <c r="CG70" s="73">
        <f>IF(INDIRECT("'"&amp;$B$3&amp;"'!"&amp;ADDRESS($AD70,CG$1)),INDIRECT("'"&amp;$B$3&amp;"'!"&amp;ADDRESS($AD70,CG$1)),CG69)</f>
        <v/>
      </c>
      <c r="CH70" s="73">
        <f>IF(INDIRECT("'"&amp;$B$3&amp;"'!"&amp;ADDRESS($AD70,CH$1)),INDIRECT("'"&amp;$B$3&amp;"'!"&amp;ADDRESS($AD70,CH$1)),CH69)</f>
        <v/>
      </c>
      <c r="CI70" s="73">
        <f>IF(INDIRECT("'"&amp;$B$3&amp;"'!"&amp;ADDRESS($AD70,CI$1)),INDIRECT("'"&amp;$B$3&amp;"'!"&amp;ADDRESS($AD70,CI$1)),CI69)</f>
        <v/>
      </c>
      <c r="CJ70" s="73">
        <f>IF(INDIRECT("'"&amp;$B$3&amp;"'!"&amp;ADDRESS($AD70,CJ$1)),INDIRECT("'"&amp;$B$3&amp;"'!"&amp;ADDRESS($AD70,CJ$1)),CJ69)</f>
        <v/>
      </c>
      <c r="CK70" s="73">
        <f>IF(INDIRECT("'"&amp;$B$3&amp;"'!"&amp;ADDRESS($AD70,CK$1)),INDIRECT("'"&amp;$B$3&amp;"'!"&amp;ADDRESS($AD70,CK$1)),CK69)</f>
        <v/>
      </c>
      <c r="CL70" s="73">
        <f>IF(INDIRECT("'"&amp;$B$3&amp;"'!"&amp;ADDRESS($AD70,CL$1)),INDIRECT("'"&amp;$B$3&amp;"'!"&amp;ADDRESS($AD70,CL$1)),CL69)</f>
        <v/>
      </c>
      <c r="CM70" s="73">
        <f>IF(INDIRECT("'"&amp;$B$3&amp;"'!"&amp;ADDRESS($AD70,CM$1)),INDIRECT("'"&amp;$B$3&amp;"'!"&amp;ADDRESS($AD70,CM$1)),CM69)</f>
        <v/>
      </c>
      <c r="CN70" s="73">
        <f>IF(INDIRECT("'"&amp;$B$3&amp;"'!"&amp;ADDRESS($AD70,CN$1)),INDIRECT("'"&amp;$B$3&amp;"'!"&amp;ADDRESS($AD70,CN$1)),CN69)</f>
        <v/>
      </c>
      <c r="CO70" s="73">
        <f>IF(INDIRECT("'"&amp;$B$3&amp;"'!"&amp;ADDRESS($AD70,CO$1)),INDIRECT("'"&amp;$B$3&amp;"'!"&amp;ADDRESS($AD70,CO$1)),CO69)</f>
        <v/>
      </c>
      <c r="CP70" s="73">
        <f>IF(INDIRECT("'"&amp;$B$3&amp;"'!"&amp;ADDRESS($AD70,CP$1)),INDIRECT("'"&amp;$B$3&amp;"'!"&amp;ADDRESS($AD70,CP$1)),CP69)</f>
        <v/>
      </c>
      <c r="CQ70" s="73">
        <f>IF(INDIRECT("'"&amp;$B$3&amp;"'!"&amp;ADDRESS($AD70,CQ$1)),INDIRECT("'"&amp;$B$3&amp;"'!"&amp;ADDRESS($AD70,CQ$1)),CQ69)</f>
        <v/>
      </c>
    </row>
    <row r="71">
      <c r="AA71" s="72" t="n"/>
      <c r="BM71" s="67" t="n"/>
      <c r="BN71" s="67" t="n"/>
      <c r="BO71" s="67" t="n"/>
      <c r="BP71" s="67" t="n"/>
      <c r="BQ71" s="67" t="n"/>
      <c r="BR71" s="67" t="n"/>
      <c r="BS71" s="67" t="n"/>
      <c r="BT71" s="67" t="n"/>
      <c r="BU71" s="67" t="n"/>
      <c r="BV71" s="67" t="n"/>
      <c r="BW71" s="67" t="n"/>
      <c r="BX71" s="67" t="n"/>
      <c r="BY71" s="67" t="n"/>
      <c r="BZ71" s="67" t="n"/>
      <c r="CD71" s="67" t="n"/>
      <c r="CE71" s="67" t="n"/>
      <c r="CF71" s="67" t="n"/>
      <c r="CG71" s="67" t="n"/>
      <c r="CH71" s="67" t="n"/>
      <c r="CI71" s="67" t="n"/>
      <c r="CJ71" s="67" t="n"/>
      <c r="CK71" s="67" t="n"/>
      <c r="CL71" s="67" t="n"/>
      <c r="CM71" s="67" t="n"/>
      <c r="CN71" s="67" t="n"/>
      <c r="CO71" s="67" t="n"/>
      <c r="CP71" s="67" t="n"/>
      <c r="CQ71" s="67" t="n"/>
    </row>
    <row r="72">
      <c r="AA72" s="72" t="n"/>
      <c r="BM72" s="67" t="n"/>
      <c r="BN72" s="67" t="n"/>
      <c r="BO72" s="67" t="n"/>
      <c r="BP72" s="67" t="n"/>
      <c r="BQ72" s="67" t="n"/>
      <c r="BR72" s="67" t="n"/>
      <c r="BS72" s="67" t="n"/>
      <c r="BT72" s="67" t="n"/>
      <c r="BU72" s="67" t="n"/>
      <c r="BV72" s="67" t="n"/>
      <c r="BW72" s="67" t="n"/>
      <c r="BX72" s="67" t="n"/>
      <c r="BY72" s="67" t="n"/>
      <c r="BZ72" s="67" t="n"/>
      <c r="CD72" s="67" t="n"/>
      <c r="CE72" s="67" t="n"/>
      <c r="CF72" s="67" t="n"/>
      <c r="CG72" s="67" t="n"/>
      <c r="CH72" s="67" t="n"/>
      <c r="CI72" s="67" t="n"/>
      <c r="CJ72" s="67" t="n"/>
      <c r="CK72" s="67" t="n"/>
      <c r="CL72" s="67" t="n"/>
      <c r="CM72" s="67" t="n"/>
      <c r="CN72" s="67" t="n"/>
      <c r="CO72" s="67" t="n"/>
      <c r="CP72" s="67" t="n"/>
      <c r="CQ72" s="67" t="n"/>
    </row>
    <row r="73">
      <c r="AA73" s="72" t="n"/>
      <c r="BM73" s="67" t="n"/>
      <c r="BN73" s="67" t="n"/>
      <c r="BO73" s="67" t="n"/>
      <c r="BP73" s="67" t="n"/>
      <c r="BQ73" s="67" t="n"/>
      <c r="BR73" s="67" t="n"/>
      <c r="BS73" s="67" t="n"/>
      <c r="BT73" s="67" t="n"/>
      <c r="BU73" s="67" t="n"/>
      <c r="BV73" s="67" t="n"/>
      <c r="BW73" s="67" t="n"/>
      <c r="BX73" s="67" t="n"/>
      <c r="BY73" s="67" t="n"/>
      <c r="BZ73" s="67" t="n"/>
      <c r="CD73" s="67" t="n"/>
      <c r="CE73" s="67" t="n"/>
      <c r="CF73" s="67" t="n"/>
      <c r="CG73" s="67" t="n"/>
      <c r="CH73" s="67" t="n"/>
      <c r="CI73" s="67" t="n"/>
      <c r="CJ73" s="67" t="n"/>
      <c r="CK73" s="67" t="n"/>
      <c r="CL73" s="67" t="n"/>
      <c r="CM73" s="67" t="n"/>
      <c r="CN73" s="67" t="n"/>
      <c r="CO73" s="67" t="n"/>
      <c r="CP73" s="67" t="n"/>
      <c r="CQ73" s="67" t="n"/>
    </row>
    <row r="74">
      <c r="AA74" s="72" t="n"/>
      <c r="BM74" s="67" t="n"/>
      <c r="BN74" s="67" t="n"/>
      <c r="BO74" s="67" t="n"/>
      <c r="BP74" s="67" t="n"/>
      <c r="BQ74" s="67" t="n"/>
      <c r="BR74" s="67" t="n"/>
      <c r="BS74" s="67" t="n"/>
      <c r="BT74" s="67" t="n"/>
      <c r="BU74" s="67" t="n"/>
      <c r="BV74" s="67" t="n"/>
      <c r="BW74" s="67" t="n"/>
      <c r="BX74" s="67" t="n"/>
      <c r="BY74" s="67" t="n"/>
      <c r="BZ74" s="67" t="n"/>
      <c r="CD74" s="67" t="n"/>
      <c r="CE74" s="67" t="n"/>
      <c r="CF74" s="67" t="n"/>
      <c r="CG74" s="67" t="n"/>
      <c r="CH74" s="67" t="n"/>
      <c r="CI74" s="67" t="n"/>
      <c r="CJ74" s="67" t="n"/>
      <c r="CK74" s="67" t="n"/>
      <c r="CL74" s="67" t="n"/>
      <c r="CM74" s="67" t="n"/>
      <c r="CN74" s="67" t="n"/>
      <c r="CO74" s="67" t="n"/>
      <c r="CP74" s="67" t="n"/>
      <c r="CQ74" s="67" t="n"/>
    </row>
    <row r="75">
      <c r="AA75" s="72" t="n"/>
      <c r="BM75" s="67" t="n"/>
      <c r="BN75" s="67" t="n"/>
      <c r="BO75" s="67" t="n"/>
      <c r="BP75" s="67" t="n"/>
      <c r="BQ75" s="67" t="n"/>
      <c r="BR75" s="67" t="n"/>
      <c r="BS75" s="67" t="n"/>
      <c r="BT75" s="67" t="n"/>
      <c r="BU75" s="67" t="n"/>
      <c r="BV75" s="67" t="n"/>
      <c r="BW75" s="67" t="n"/>
      <c r="BX75" s="67" t="n"/>
      <c r="BY75" s="67" t="n"/>
      <c r="BZ75" s="67" t="n"/>
      <c r="CD75" s="67" t="n"/>
      <c r="CE75" s="67" t="n"/>
      <c r="CF75" s="67" t="n"/>
      <c r="CG75" s="67" t="n"/>
      <c r="CH75" s="67" t="n"/>
      <c r="CI75" s="67" t="n"/>
      <c r="CJ75" s="67" t="n"/>
      <c r="CK75" s="67" t="n"/>
      <c r="CL75" s="67" t="n"/>
      <c r="CM75" s="67" t="n"/>
      <c r="CN75" s="67" t="n"/>
      <c r="CO75" s="67" t="n"/>
      <c r="CP75" s="67" t="n"/>
      <c r="CQ75" s="67" t="n"/>
    </row>
    <row r="76">
      <c r="BM76" s="67" t="n"/>
      <c r="BN76" s="67" t="n"/>
      <c r="BO76" s="67" t="n"/>
      <c r="BP76" s="67" t="n"/>
      <c r="BQ76" s="67" t="n"/>
      <c r="BR76" s="67" t="n"/>
      <c r="BS76" s="67" t="n"/>
      <c r="BT76" s="67" t="n"/>
      <c r="BU76" s="67" t="n"/>
      <c r="BV76" s="67" t="n"/>
      <c r="BW76" s="67" t="n"/>
      <c r="BX76" s="67" t="n"/>
      <c r="BY76" s="67" t="n"/>
      <c r="BZ76" s="67" t="n"/>
      <c r="CD76" s="67" t="n"/>
      <c r="CE76" s="67" t="n"/>
      <c r="CF76" s="67" t="n"/>
      <c r="CG76" s="67" t="n"/>
      <c r="CH76" s="67" t="n"/>
      <c r="CI76" s="67" t="n"/>
      <c r="CJ76" s="67" t="n"/>
      <c r="CK76" s="67" t="n"/>
      <c r="CL76" s="67" t="n"/>
      <c r="CM76" s="67" t="n"/>
      <c r="CN76" s="67" t="n"/>
      <c r="CO76" s="67" t="n"/>
      <c r="CP76" s="67" t="n"/>
      <c r="CQ76" s="67" t="n"/>
    </row>
    <row r="77">
      <c r="BM77" s="67" t="n"/>
      <c r="BN77" s="67" t="n"/>
      <c r="BO77" s="67" t="n"/>
      <c r="BP77" s="67" t="n"/>
      <c r="BQ77" s="67" t="n"/>
      <c r="BR77" s="67" t="n"/>
      <c r="BS77" s="67" t="n"/>
      <c r="BT77" s="67" t="n"/>
      <c r="BU77" s="67" t="n"/>
      <c r="BV77" s="67" t="n"/>
      <c r="BW77" s="67" t="n"/>
      <c r="BX77" s="67" t="n"/>
      <c r="BY77" s="67" t="n"/>
      <c r="BZ77" s="67" t="n"/>
      <c r="CD77" s="67" t="n"/>
      <c r="CE77" s="67" t="n"/>
      <c r="CF77" s="67" t="n"/>
      <c r="CG77" s="67" t="n"/>
      <c r="CH77" s="67" t="n"/>
      <c r="CI77" s="67" t="n"/>
      <c r="CJ77" s="67" t="n"/>
      <c r="CK77" s="67" t="n"/>
      <c r="CL77" s="67" t="n"/>
      <c r="CM77" s="67" t="n"/>
      <c r="CN77" s="67" t="n"/>
      <c r="CO77" s="67" t="n"/>
      <c r="CP77" s="67" t="n"/>
      <c r="CQ77" s="67" t="n"/>
    </row>
    <row r="78">
      <c r="BM78" s="67" t="n"/>
      <c r="BN78" s="67" t="n"/>
      <c r="BO78" s="67" t="n"/>
      <c r="BP78" s="67" t="n"/>
      <c r="BQ78" s="67" t="n"/>
      <c r="BR78" s="67" t="n"/>
      <c r="BS78" s="67" t="n"/>
      <c r="BT78" s="67" t="n"/>
      <c r="BU78" s="67" t="n"/>
      <c r="BV78" s="67" t="n"/>
      <c r="BW78" s="67" t="n"/>
      <c r="BX78" s="67" t="n"/>
      <c r="BY78" s="67" t="n"/>
      <c r="BZ78" s="67" t="n"/>
      <c r="CD78" s="67" t="n"/>
      <c r="CE78" s="67" t="n"/>
      <c r="CF78" s="67" t="n"/>
      <c r="CG78" s="67" t="n"/>
      <c r="CH78" s="67" t="n"/>
      <c r="CI78" s="67" t="n"/>
      <c r="CJ78" s="67" t="n"/>
      <c r="CK78" s="67" t="n"/>
      <c r="CL78" s="67" t="n"/>
      <c r="CM78" s="67" t="n"/>
      <c r="CN78" s="67" t="n"/>
      <c r="CO78" s="67" t="n"/>
      <c r="CP78" s="67" t="n"/>
      <c r="CQ78" s="67" t="n"/>
    </row>
    <row r="79">
      <c r="AA79" s="77" t="n"/>
      <c r="BM79" s="67" t="n"/>
      <c r="BN79" s="67" t="n"/>
      <c r="BO79" s="67" t="n"/>
      <c r="BP79" s="67" t="n"/>
      <c r="BQ79" s="67" t="n"/>
      <c r="BR79" s="67" t="n"/>
      <c r="BS79" s="67" t="n"/>
      <c r="BT79" s="67" t="n"/>
      <c r="BU79" s="67" t="n"/>
      <c r="BV79" s="67" t="n"/>
      <c r="BW79" s="67" t="n"/>
      <c r="BX79" s="67" t="n"/>
      <c r="BY79" s="67" t="n"/>
      <c r="BZ79" s="67" t="n"/>
      <c r="CD79" s="67" t="n"/>
      <c r="CE79" s="67" t="n"/>
      <c r="CF79" s="67" t="n"/>
      <c r="CG79" s="67" t="n"/>
      <c r="CH79" s="67" t="n"/>
      <c r="CI79" s="67" t="n"/>
      <c r="CJ79" s="67" t="n"/>
      <c r="CK79" s="67" t="n"/>
      <c r="CL79" s="67" t="n"/>
      <c r="CM79" s="67" t="n"/>
      <c r="CN79" s="67" t="n"/>
      <c r="CO79" s="67" t="n"/>
      <c r="CP79" s="67" t="n"/>
      <c r="CQ79" s="67" t="n"/>
    </row>
    <row r="80">
      <c r="AA80" s="77" t="n"/>
      <c r="BM80" s="67" t="n"/>
      <c r="BN80" s="67" t="n"/>
      <c r="BO80" s="67" t="n"/>
      <c r="BP80" s="67" t="n"/>
      <c r="BQ80" s="67" t="n"/>
      <c r="BR80" s="67" t="n"/>
      <c r="BS80" s="67" t="n"/>
      <c r="BT80" s="67" t="n"/>
      <c r="BU80" s="67" t="n"/>
      <c r="BV80" s="67" t="n"/>
      <c r="BW80" s="67" t="n"/>
      <c r="BX80" s="67" t="n"/>
      <c r="BY80" s="67" t="n"/>
      <c r="BZ80" s="67" t="n"/>
      <c r="CD80" s="67" t="n"/>
      <c r="CE80" s="67" t="n"/>
      <c r="CF80" s="67" t="n"/>
      <c r="CG80" s="67" t="n"/>
      <c r="CH80" s="67" t="n"/>
      <c r="CI80" s="67" t="n"/>
      <c r="CJ80" s="67" t="n"/>
      <c r="CK80" s="67" t="n"/>
      <c r="CL80" s="67" t="n"/>
      <c r="CM80" s="67" t="n"/>
      <c r="CN80" s="67" t="n"/>
      <c r="CO80" s="67" t="n"/>
      <c r="CP80" s="67" t="n"/>
      <c r="CQ80" s="67" t="n"/>
    </row>
    <row r="81">
      <c r="AA81" s="77" t="n"/>
      <c r="BM81" s="67" t="n"/>
      <c r="BN81" s="67" t="n"/>
      <c r="BO81" s="67" t="n"/>
      <c r="BP81" s="67" t="n"/>
      <c r="BQ81" s="67" t="n"/>
      <c r="BR81" s="67" t="n"/>
      <c r="BS81" s="67" t="n"/>
      <c r="BT81" s="67" t="n"/>
      <c r="BU81" s="67" t="n"/>
      <c r="BV81" s="67" t="n"/>
      <c r="BW81" s="67" t="n"/>
      <c r="BX81" s="67" t="n"/>
      <c r="BY81" s="67" t="n"/>
      <c r="BZ81" s="67" t="n"/>
      <c r="CD81" s="67" t="n"/>
      <c r="CE81" s="67" t="n"/>
      <c r="CF81" s="67" t="n"/>
      <c r="CG81" s="67" t="n"/>
      <c r="CH81" s="67" t="n"/>
      <c r="CI81" s="67" t="n"/>
      <c r="CJ81" s="67" t="n"/>
      <c r="CK81" s="67" t="n"/>
      <c r="CL81" s="67" t="n"/>
      <c r="CM81" s="67" t="n"/>
      <c r="CN81" s="67" t="n"/>
      <c r="CO81" s="67" t="n"/>
      <c r="CP81" s="67" t="n"/>
      <c r="CQ81" s="67" t="n"/>
    </row>
    <row r="82">
      <c r="AA82" s="77" t="n"/>
      <c r="BM82" s="67" t="n"/>
      <c r="BN82" s="67" t="n"/>
      <c r="BO82" s="67" t="n"/>
      <c r="BP82" s="67" t="n"/>
      <c r="BQ82" s="67" t="n"/>
      <c r="BR82" s="67" t="n"/>
      <c r="BS82" s="67" t="n"/>
      <c r="BT82" s="67" t="n"/>
      <c r="BU82" s="67" t="n"/>
      <c r="BV82" s="67" t="n"/>
      <c r="BW82" s="67" t="n"/>
      <c r="BX82" s="67" t="n"/>
      <c r="BY82" s="67" t="n"/>
      <c r="BZ82" s="67" t="n"/>
      <c r="CD82" s="67" t="n"/>
      <c r="CE82" s="67" t="n"/>
      <c r="CF82" s="67" t="n"/>
      <c r="CG82" s="67" t="n"/>
      <c r="CH82" s="67" t="n"/>
      <c r="CI82" s="67" t="n"/>
      <c r="CJ82" s="67" t="n"/>
      <c r="CK82" s="67" t="n"/>
      <c r="CL82" s="67" t="n"/>
      <c r="CM82" s="67" t="n"/>
      <c r="CN82" s="67" t="n"/>
      <c r="CO82" s="67" t="n"/>
      <c r="CP82" s="67" t="n"/>
      <c r="CQ82" s="67" t="n"/>
    </row>
    <row r="83">
      <c r="AA83" s="77" t="n"/>
      <c r="BM83" s="67" t="n"/>
      <c r="BN83" s="67" t="n"/>
      <c r="BO83" s="67" t="n"/>
      <c r="BP83" s="67" t="n"/>
      <c r="BQ83" s="67" t="n"/>
      <c r="BR83" s="67" t="n"/>
      <c r="BS83" s="67" t="n"/>
      <c r="BT83" s="67" t="n"/>
      <c r="BU83" s="67" t="n"/>
      <c r="BV83" s="67" t="n"/>
      <c r="BW83" s="67" t="n"/>
      <c r="BX83" s="67" t="n"/>
      <c r="BY83" s="67" t="n"/>
      <c r="BZ83" s="67" t="n"/>
      <c r="CD83" s="67" t="n"/>
      <c r="CE83" s="67" t="n"/>
      <c r="CF83" s="67" t="n"/>
      <c r="CG83" s="67" t="n"/>
      <c r="CH83" s="67" t="n"/>
      <c r="CI83" s="67" t="n"/>
      <c r="CJ83" s="67" t="n"/>
      <c r="CK83" s="67" t="n"/>
      <c r="CL83" s="67" t="n"/>
      <c r="CM83" s="67" t="n"/>
      <c r="CN83" s="67" t="n"/>
      <c r="CO83" s="67" t="n"/>
      <c r="CP83" s="67" t="n"/>
      <c r="CQ83" s="67" t="n"/>
    </row>
    <row r="84">
      <c r="AA84" s="77" t="n"/>
      <c r="BM84" s="67" t="n"/>
      <c r="BN84" s="67" t="n"/>
      <c r="BO84" s="67" t="n"/>
      <c r="BP84" s="67" t="n"/>
      <c r="BQ84" s="67" t="n"/>
      <c r="BR84" s="67" t="n"/>
      <c r="BS84" s="67" t="n"/>
      <c r="BT84" s="67" t="n"/>
      <c r="BU84" s="67" t="n"/>
      <c r="BV84" s="67" t="n"/>
      <c r="BW84" s="67" t="n"/>
      <c r="BX84" s="67" t="n"/>
      <c r="BY84" s="67" t="n"/>
      <c r="BZ84" s="67" t="n"/>
      <c r="CD84" s="67" t="n"/>
      <c r="CE84" s="67" t="n"/>
      <c r="CF84" s="67" t="n"/>
      <c r="CG84" s="67" t="n"/>
      <c r="CH84" s="67" t="n"/>
      <c r="CI84" s="67" t="n"/>
      <c r="CJ84" s="67" t="n"/>
      <c r="CK84" s="67" t="n"/>
      <c r="CL84" s="67" t="n"/>
      <c r="CM84" s="67" t="n"/>
      <c r="CN84" s="67" t="n"/>
      <c r="CO84" s="67" t="n"/>
      <c r="CP84" s="67" t="n"/>
      <c r="CQ84" s="67" t="n"/>
    </row>
    <row r="85">
      <c r="AA85" s="77" t="n"/>
      <c r="BM85" s="67" t="n"/>
      <c r="BN85" s="67" t="n"/>
      <c r="BO85" s="67" t="n"/>
      <c r="BP85" s="67" t="n"/>
      <c r="BQ85" s="67" t="n"/>
      <c r="BR85" s="67" t="n"/>
      <c r="BS85" s="67" t="n"/>
      <c r="BT85" s="67" t="n"/>
      <c r="BU85" s="67" t="n"/>
      <c r="BV85" s="67" t="n"/>
      <c r="BW85" s="67" t="n"/>
      <c r="BX85" s="67" t="n"/>
      <c r="BY85" s="67" t="n"/>
      <c r="BZ85" s="67" t="n"/>
      <c r="CD85" s="67" t="n"/>
      <c r="CE85" s="67" t="n"/>
      <c r="CF85" s="67" t="n"/>
      <c r="CG85" s="67" t="n"/>
      <c r="CH85" s="67" t="n"/>
      <c r="CI85" s="67" t="n"/>
      <c r="CJ85" s="67" t="n"/>
      <c r="CK85" s="67" t="n"/>
      <c r="CL85" s="67" t="n"/>
      <c r="CM85" s="67" t="n"/>
      <c r="CN85" s="67" t="n"/>
      <c r="CO85" s="67" t="n"/>
      <c r="CP85" s="67" t="n"/>
      <c r="CQ85" s="67" t="n"/>
    </row>
    <row r="86">
      <c r="AA86" s="77" t="n"/>
      <c r="BM86" s="67" t="n"/>
      <c r="BN86" s="67" t="n"/>
      <c r="BO86" s="67" t="n"/>
      <c r="BP86" s="67" t="n"/>
      <c r="BQ86" s="67" t="n"/>
      <c r="BR86" s="67" t="n"/>
      <c r="BS86" s="67" t="n"/>
      <c r="BT86" s="67" t="n"/>
      <c r="BU86" s="67" t="n"/>
      <c r="BV86" s="67" t="n"/>
      <c r="BW86" s="67" t="n"/>
      <c r="BX86" s="67" t="n"/>
      <c r="BY86" s="67" t="n"/>
      <c r="BZ86" s="67" t="n"/>
      <c r="CD86" s="67" t="n"/>
      <c r="CE86" s="67" t="n"/>
      <c r="CF86" s="67" t="n"/>
      <c r="CG86" s="67" t="n"/>
      <c r="CH86" s="67" t="n"/>
      <c r="CI86" s="67" t="n"/>
      <c r="CJ86" s="67" t="n"/>
      <c r="CK86" s="67" t="n"/>
      <c r="CL86" s="67" t="n"/>
      <c r="CM86" s="67" t="n"/>
      <c r="CN86" s="67" t="n"/>
      <c r="CO86" s="67" t="n"/>
      <c r="CP86" s="67" t="n"/>
      <c r="CQ86" s="67" t="n"/>
    </row>
    <row r="87">
      <c r="AA87" s="77" t="n"/>
      <c r="BM87" s="67" t="n"/>
      <c r="BN87" s="67" t="n"/>
      <c r="BO87" s="67" t="n"/>
      <c r="BP87" s="67" t="n"/>
      <c r="BQ87" s="67" t="n"/>
      <c r="BR87" s="67" t="n"/>
      <c r="BS87" s="67" t="n"/>
      <c r="BT87" s="67" t="n"/>
      <c r="BU87" s="67" t="n"/>
      <c r="BV87" s="67" t="n"/>
      <c r="BW87" s="67" t="n"/>
      <c r="BX87" s="67" t="n"/>
      <c r="BY87" s="67" t="n"/>
      <c r="BZ87" s="67" t="n"/>
      <c r="CD87" s="67" t="n"/>
      <c r="CE87" s="67" t="n"/>
      <c r="CF87" s="67" t="n"/>
      <c r="CG87" s="67" t="n"/>
      <c r="CH87" s="67" t="n"/>
      <c r="CI87" s="67" t="n"/>
      <c r="CJ87" s="67" t="n"/>
      <c r="CK87" s="67" t="n"/>
      <c r="CL87" s="67" t="n"/>
      <c r="CM87" s="67" t="n"/>
      <c r="CN87" s="67" t="n"/>
      <c r="CO87" s="67" t="n"/>
      <c r="CP87" s="67" t="n"/>
      <c r="CQ87" s="67" t="n"/>
    </row>
    <row r="88">
      <c r="AA88" s="77" t="n"/>
      <c r="BM88" s="67" t="n"/>
      <c r="BN88" s="67" t="n"/>
      <c r="BO88" s="67" t="n"/>
      <c r="BP88" s="67" t="n"/>
      <c r="BQ88" s="67" t="n"/>
      <c r="BR88" s="67" t="n"/>
      <c r="BS88" s="67" t="n"/>
      <c r="BT88" s="67" t="n"/>
      <c r="BU88" s="67" t="n"/>
      <c r="BV88" s="67" t="n"/>
      <c r="BW88" s="67" t="n"/>
      <c r="BX88" s="67" t="n"/>
      <c r="BY88" s="67" t="n"/>
      <c r="BZ88" s="67" t="n"/>
      <c r="CD88" s="67" t="n"/>
      <c r="CE88" s="67" t="n"/>
      <c r="CF88" s="67" t="n"/>
      <c r="CG88" s="67" t="n"/>
      <c r="CH88" s="67" t="n"/>
      <c r="CI88" s="67" t="n"/>
      <c r="CJ88" s="67" t="n"/>
      <c r="CK88" s="67" t="n"/>
      <c r="CL88" s="67" t="n"/>
      <c r="CM88" s="67" t="n"/>
      <c r="CN88" s="67" t="n"/>
      <c r="CO88" s="67" t="n"/>
      <c r="CP88" s="67" t="n"/>
      <c r="CQ88" s="67" t="n"/>
    </row>
    <row r="89">
      <c r="AA89" s="77" t="n"/>
      <c r="BM89" s="67" t="n"/>
      <c r="BN89" s="67" t="n"/>
      <c r="BO89" s="67" t="n"/>
      <c r="BP89" s="67" t="n"/>
      <c r="BQ89" s="67" t="n"/>
      <c r="BR89" s="67" t="n"/>
      <c r="BS89" s="67" t="n"/>
      <c r="BT89" s="67" t="n"/>
      <c r="BU89" s="67" t="n"/>
      <c r="BV89" s="67" t="n"/>
      <c r="BW89" s="67" t="n"/>
      <c r="BX89" s="67" t="n"/>
      <c r="BY89" s="67" t="n"/>
      <c r="BZ89" s="67" t="n"/>
      <c r="CD89" s="67" t="n"/>
      <c r="CE89" s="67" t="n"/>
      <c r="CF89" s="67" t="n"/>
      <c r="CG89" s="67" t="n"/>
      <c r="CH89" s="67" t="n"/>
      <c r="CI89" s="67" t="n"/>
      <c r="CJ89" s="67" t="n"/>
      <c r="CK89" s="67" t="n"/>
      <c r="CL89" s="67" t="n"/>
      <c r="CM89" s="67" t="n"/>
      <c r="CN89" s="67" t="n"/>
      <c r="CO89" s="67" t="n"/>
      <c r="CP89" s="67" t="n"/>
      <c r="CQ89" s="67" t="n"/>
    </row>
    <row r="90">
      <c r="AA90" s="77" t="n"/>
      <c r="BM90" s="67" t="n"/>
      <c r="BN90" s="67" t="n"/>
      <c r="BO90" s="67" t="n"/>
      <c r="BP90" s="67" t="n"/>
      <c r="BQ90" s="67" t="n"/>
      <c r="BR90" s="67" t="n"/>
      <c r="BS90" s="67" t="n"/>
      <c r="BT90" s="67" t="n"/>
      <c r="BU90" s="67" t="n"/>
      <c r="BV90" s="67" t="n"/>
      <c r="BW90" s="67" t="n"/>
      <c r="BX90" s="67" t="n"/>
      <c r="BY90" s="67" t="n"/>
      <c r="BZ90" s="67" t="n"/>
      <c r="CD90" s="67" t="n"/>
      <c r="CE90" s="67" t="n"/>
      <c r="CF90" s="67" t="n"/>
      <c r="CG90" s="67" t="n"/>
      <c r="CH90" s="67" t="n"/>
      <c r="CI90" s="67" t="n"/>
      <c r="CJ90" s="67" t="n"/>
      <c r="CK90" s="67" t="n"/>
      <c r="CL90" s="67" t="n"/>
      <c r="CM90" s="67" t="n"/>
      <c r="CN90" s="67" t="n"/>
      <c r="CO90" s="67" t="n"/>
      <c r="CP90" s="67" t="n"/>
      <c r="CQ90" s="67" t="n"/>
    </row>
    <row r="91">
      <c r="AA91" s="77" t="n"/>
      <c r="BM91" s="67" t="n"/>
      <c r="BN91" s="67" t="n"/>
      <c r="BO91" s="67" t="n"/>
      <c r="BP91" s="67" t="n"/>
      <c r="BQ91" s="67" t="n"/>
      <c r="BR91" s="67" t="n"/>
      <c r="BS91" s="67" t="n"/>
      <c r="BT91" s="67" t="n"/>
      <c r="BU91" s="67" t="n"/>
      <c r="BV91" s="67" t="n"/>
      <c r="BW91" s="67" t="n"/>
      <c r="BX91" s="67" t="n"/>
      <c r="BY91" s="67" t="n"/>
      <c r="BZ91" s="67" t="n"/>
      <c r="CD91" s="67" t="n"/>
      <c r="CE91" s="67" t="n"/>
      <c r="CF91" s="67" t="n"/>
      <c r="CG91" s="67" t="n"/>
      <c r="CH91" s="67" t="n"/>
      <c r="CI91" s="67" t="n"/>
      <c r="CJ91" s="67" t="n"/>
      <c r="CK91" s="67" t="n"/>
      <c r="CL91" s="67" t="n"/>
      <c r="CM91" s="67" t="n"/>
      <c r="CN91" s="67" t="n"/>
      <c r="CO91" s="67" t="n"/>
      <c r="CP91" s="67" t="n"/>
      <c r="CQ91" s="67" t="n"/>
    </row>
    <row r="92">
      <c r="AA92" s="77" t="n"/>
      <c r="BM92" s="67" t="n"/>
      <c r="BN92" s="67" t="n"/>
      <c r="BO92" s="67" t="n"/>
      <c r="BP92" s="67" t="n"/>
      <c r="BQ92" s="67" t="n"/>
      <c r="BR92" s="67" t="n"/>
      <c r="BS92" s="67" t="n"/>
      <c r="BT92" s="67" t="n"/>
      <c r="BU92" s="67" t="n"/>
      <c r="BV92" s="67" t="n"/>
      <c r="BW92" s="67" t="n"/>
      <c r="BX92" s="67" t="n"/>
      <c r="BY92" s="67" t="n"/>
      <c r="BZ92" s="67" t="n"/>
      <c r="CD92" s="67" t="n"/>
      <c r="CE92" s="67" t="n"/>
      <c r="CF92" s="67" t="n"/>
      <c r="CG92" s="67" t="n"/>
      <c r="CH92" s="67" t="n"/>
      <c r="CI92" s="67" t="n"/>
      <c r="CJ92" s="67" t="n"/>
      <c r="CK92" s="67" t="n"/>
      <c r="CL92" s="67" t="n"/>
      <c r="CM92" s="67" t="n"/>
      <c r="CN92" s="67" t="n"/>
      <c r="CO92" s="67" t="n"/>
      <c r="CP92" s="67" t="n"/>
      <c r="CQ92" s="67" t="n"/>
    </row>
    <row r="93">
      <c r="AA93" s="77" t="n"/>
      <c r="BM93" s="67" t="n"/>
      <c r="BN93" s="67" t="n"/>
      <c r="BO93" s="67" t="n"/>
      <c r="BP93" s="67" t="n"/>
      <c r="BQ93" s="67" t="n"/>
      <c r="BR93" s="67" t="n"/>
      <c r="BS93" s="67" t="n"/>
      <c r="BT93" s="67" t="n"/>
      <c r="BU93" s="67" t="n"/>
      <c r="BV93" s="67" t="n"/>
      <c r="BW93" s="67" t="n"/>
      <c r="BX93" s="67" t="n"/>
      <c r="BY93" s="67" t="n"/>
      <c r="BZ93" s="67" t="n"/>
      <c r="CD93" s="67" t="n"/>
      <c r="CE93" s="67" t="n"/>
      <c r="CF93" s="67" t="n"/>
      <c r="CG93" s="67" t="n"/>
      <c r="CH93" s="67" t="n"/>
      <c r="CI93" s="67" t="n"/>
      <c r="CJ93" s="67" t="n"/>
      <c r="CK93" s="67" t="n"/>
      <c r="CL93" s="67" t="n"/>
      <c r="CM93" s="67" t="n"/>
      <c r="CN93" s="67" t="n"/>
      <c r="CO93" s="67" t="n"/>
      <c r="CP93" s="67" t="n"/>
      <c r="CQ93" s="67" t="n"/>
    </row>
    <row r="94">
      <c r="AA94" s="77" t="n"/>
      <c r="BM94" s="67" t="n"/>
      <c r="BN94" s="67" t="n"/>
      <c r="BO94" s="67" t="n"/>
      <c r="BP94" s="67" t="n"/>
      <c r="BQ94" s="67" t="n"/>
      <c r="BR94" s="67" t="n"/>
      <c r="BS94" s="67" t="n"/>
      <c r="BT94" s="67" t="n"/>
      <c r="BU94" s="67" t="n"/>
      <c r="BV94" s="67" t="n"/>
      <c r="BW94" s="67" t="n"/>
      <c r="BX94" s="67" t="n"/>
      <c r="BY94" s="67" t="n"/>
      <c r="BZ94" s="67" t="n"/>
      <c r="CD94" s="67" t="n"/>
      <c r="CE94" s="67" t="n"/>
      <c r="CF94" s="67" t="n"/>
      <c r="CG94" s="67" t="n"/>
      <c r="CH94" s="67" t="n"/>
      <c r="CI94" s="67" t="n"/>
      <c r="CJ94" s="67" t="n"/>
      <c r="CK94" s="67" t="n"/>
      <c r="CL94" s="67" t="n"/>
      <c r="CM94" s="67" t="n"/>
      <c r="CN94" s="67" t="n"/>
      <c r="CO94" s="67" t="n"/>
      <c r="CP94" s="67" t="n"/>
      <c r="CQ94" s="67" t="n"/>
    </row>
    <row r="95">
      <c r="AA95" s="77" t="n"/>
      <c r="BM95" s="67" t="n"/>
      <c r="BN95" s="67" t="n"/>
      <c r="BO95" s="67" t="n"/>
      <c r="BP95" s="67" t="n"/>
      <c r="BQ95" s="67" t="n"/>
      <c r="BR95" s="67" t="n"/>
      <c r="BS95" s="67" t="n"/>
      <c r="BT95" s="67" t="n"/>
      <c r="BU95" s="67" t="n"/>
      <c r="BV95" s="67" t="n"/>
      <c r="BW95" s="67" t="n"/>
      <c r="BX95" s="67" t="n"/>
      <c r="BY95" s="67" t="n"/>
      <c r="BZ95" s="67" t="n"/>
      <c r="CD95" s="67" t="n"/>
      <c r="CE95" s="67" t="n"/>
      <c r="CF95" s="67" t="n"/>
      <c r="CG95" s="67" t="n"/>
      <c r="CH95" s="67" t="n"/>
      <c r="CI95" s="67" t="n"/>
      <c r="CJ95" s="67" t="n"/>
      <c r="CK95" s="67" t="n"/>
      <c r="CL95" s="67" t="n"/>
      <c r="CM95" s="67" t="n"/>
      <c r="CN95" s="67" t="n"/>
      <c r="CO95" s="67" t="n"/>
      <c r="CP95" s="67" t="n"/>
      <c r="CQ95" s="67" t="n"/>
    </row>
    <row r="96">
      <c r="AA96" s="77" t="n"/>
      <c r="BM96" s="67" t="n"/>
      <c r="BN96" s="67" t="n"/>
      <c r="BO96" s="67" t="n"/>
      <c r="BP96" s="67" t="n"/>
      <c r="BQ96" s="67" t="n"/>
      <c r="BR96" s="67" t="n"/>
      <c r="BS96" s="67" t="n"/>
      <c r="BT96" s="67" t="n"/>
      <c r="BU96" s="67" t="n"/>
      <c r="BV96" s="67" t="n"/>
      <c r="BW96" s="67" t="n"/>
      <c r="BX96" s="67" t="n"/>
      <c r="BY96" s="67" t="n"/>
      <c r="BZ96" s="67" t="n"/>
      <c r="CD96" s="67" t="n"/>
      <c r="CE96" s="67" t="n"/>
      <c r="CF96" s="67" t="n"/>
      <c r="CG96" s="67" t="n"/>
      <c r="CH96" s="67" t="n"/>
      <c r="CI96" s="67" t="n"/>
      <c r="CJ96" s="67" t="n"/>
      <c r="CK96" s="67" t="n"/>
      <c r="CL96" s="67" t="n"/>
      <c r="CM96" s="67" t="n"/>
      <c r="CN96" s="67" t="n"/>
      <c r="CO96" s="67" t="n"/>
      <c r="CP96" s="67" t="n"/>
      <c r="CQ96" s="67" t="n"/>
    </row>
    <row r="97">
      <c r="AA97" s="77" t="n"/>
      <c r="BM97" s="67" t="n"/>
      <c r="BN97" s="67" t="n"/>
      <c r="BO97" s="67" t="n"/>
      <c r="BP97" s="67" t="n"/>
      <c r="BQ97" s="67" t="n"/>
      <c r="BR97" s="67" t="n"/>
      <c r="BS97" s="67" t="n"/>
      <c r="BT97" s="67" t="n"/>
      <c r="BU97" s="67" t="n"/>
      <c r="BV97" s="67" t="n"/>
      <c r="BW97" s="67" t="n"/>
      <c r="BX97" s="67" t="n"/>
      <c r="BY97" s="67" t="n"/>
      <c r="BZ97" s="67" t="n"/>
      <c r="CD97" s="67" t="n"/>
      <c r="CE97" s="67" t="n"/>
      <c r="CF97" s="67" t="n"/>
      <c r="CG97" s="67" t="n"/>
      <c r="CH97" s="67" t="n"/>
      <c r="CI97" s="67" t="n"/>
      <c r="CJ97" s="67" t="n"/>
      <c r="CK97" s="67" t="n"/>
      <c r="CL97" s="67" t="n"/>
      <c r="CM97" s="67" t="n"/>
      <c r="CN97" s="67" t="n"/>
      <c r="CO97" s="67" t="n"/>
      <c r="CP97" s="67" t="n"/>
      <c r="CQ97" s="67" t="n"/>
    </row>
    <row r="98">
      <c r="AA98" s="77" t="n"/>
      <c r="BM98" s="67" t="n"/>
      <c r="BN98" s="67" t="n"/>
      <c r="BO98" s="67" t="n"/>
      <c r="BP98" s="67" t="n"/>
      <c r="BQ98" s="67" t="n"/>
      <c r="BR98" s="67" t="n"/>
      <c r="BS98" s="67" t="n"/>
      <c r="BT98" s="67" t="n"/>
      <c r="BU98" s="67" t="n"/>
      <c r="BV98" s="67" t="n"/>
      <c r="BW98" s="67" t="n"/>
      <c r="BX98" s="67" t="n"/>
      <c r="BY98" s="67" t="n"/>
      <c r="BZ98" s="67" t="n"/>
      <c r="CD98" s="67" t="n"/>
      <c r="CE98" s="67" t="n"/>
      <c r="CF98" s="67" t="n"/>
      <c r="CG98" s="67" t="n"/>
      <c r="CH98" s="67" t="n"/>
      <c r="CI98" s="67" t="n"/>
      <c r="CJ98" s="67" t="n"/>
      <c r="CK98" s="67" t="n"/>
      <c r="CL98" s="67" t="n"/>
      <c r="CM98" s="67" t="n"/>
      <c r="CN98" s="67" t="n"/>
      <c r="CO98" s="67" t="n"/>
      <c r="CP98" s="67" t="n"/>
      <c r="CQ98" s="67" t="n"/>
    </row>
    <row r="99">
      <c r="AA99" s="77" t="n"/>
      <c r="BM99" s="67" t="n"/>
      <c r="BN99" s="67" t="n"/>
      <c r="BO99" s="67" t="n"/>
      <c r="BP99" s="67" t="n"/>
      <c r="BQ99" s="67" t="n"/>
      <c r="BR99" s="67" t="n"/>
      <c r="BS99" s="67" t="n"/>
      <c r="BT99" s="67" t="n"/>
      <c r="BU99" s="67" t="n"/>
      <c r="BV99" s="67" t="n"/>
      <c r="BW99" s="67" t="n"/>
      <c r="BX99" s="67" t="n"/>
      <c r="BY99" s="67" t="n"/>
      <c r="BZ99" s="67" t="n"/>
      <c r="CD99" s="67" t="n"/>
      <c r="CE99" s="67" t="n"/>
      <c r="CF99" s="67" t="n"/>
      <c r="CG99" s="67" t="n"/>
      <c r="CH99" s="67" t="n"/>
      <c r="CI99" s="67" t="n"/>
      <c r="CJ99" s="67" t="n"/>
      <c r="CK99" s="67" t="n"/>
      <c r="CL99" s="67" t="n"/>
      <c r="CM99" s="67" t="n"/>
      <c r="CN99" s="67" t="n"/>
      <c r="CO99" s="67" t="n"/>
      <c r="CP99" s="67" t="n"/>
      <c r="CQ99" s="67" t="n"/>
    </row>
    <row r="100">
      <c r="AA100" s="77" t="n"/>
      <c r="BM100" s="67" t="n"/>
      <c r="BN100" s="67" t="n"/>
      <c r="BO100" s="67" t="n"/>
      <c r="BP100" s="67" t="n"/>
      <c r="BQ100" s="67" t="n"/>
      <c r="BR100" s="67" t="n"/>
      <c r="BS100" s="67" t="n"/>
      <c r="BT100" s="67" t="n"/>
      <c r="BU100" s="67" t="n"/>
      <c r="BV100" s="67" t="n"/>
      <c r="BW100" s="67" t="n"/>
      <c r="BX100" s="67" t="n"/>
      <c r="BY100" s="67" t="n"/>
      <c r="BZ100" s="67" t="n"/>
      <c r="CD100" s="67" t="n"/>
      <c r="CE100" s="67" t="n"/>
      <c r="CF100" s="67" t="n"/>
      <c r="CG100" s="67" t="n"/>
      <c r="CH100" s="67" t="n"/>
      <c r="CI100" s="67" t="n"/>
      <c r="CJ100" s="67" t="n"/>
      <c r="CK100" s="67" t="n"/>
      <c r="CL100" s="67" t="n"/>
      <c r="CM100" s="67" t="n"/>
      <c r="CN100" s="67" t="n"/>
      <c r="CO100" s="67" t="n"/>
      <c r="CP100" s="67" t="n"/>
      <c r="CQ100" s="67" t="n"/>
    </row>
    <row r="101">
      <c r="AA101" s="77" t="n"/>
      <c r="BM101" s="67" t="n"/>
      <c r="BN101" s="67" t="n"/>
      <c r="BO101" s="67" t="n"/>
      <c r="BP101" s="67" t="n"/>
      <c r="BQ101" s="67" t="n"/>
      <c r="BR101" s="67" t="n"/>
      <c r="BS101" s="67" t="n"/>
      <c r="BT101" s="67" t="n"/>
      <c r="BU101" s="67" t="n"/>
      <c r="BV101" s="67" t="n"/>
      <c r="BW101" s="67" t="n"/>
      <c r="BX101" s="67" t="n"/>
      <c r="BY101" s="67" t="n"/>
      <c r="BZ101" s="67" t="n"/>
      <c r="CD101" s="67" t="n"/>
      <c r="CE101" s="67" t="n"/>
      <c r="CF101" s="67" t="n"/>
      <c r="CG101" s="67" t="n"/>
      <c r="CH101" s="67" t="n"/>
      <c r="CI101" s="67" t="n"/>
      <c r="CJ101" s="67" t="n"/>
      <c r="CK101" s="67" t="n"/>
      <c r="CL101" s="67" t="n"/>
      <c r="CM101" s="67" t="n"/>
      <c r="CN101" s="67" t="n"/>
      <c r="CO101" s="67" t="n"/>
      <c r="CP101" s="67" t="n"/>
      <c r="CQ101" s="67" t="n"/>
    </row>
    <row r="102">
      <c r="AA102" s="77" t="n"/>
      <c r="BM102" s="67" t="n"/>
      <c r="BN102" s="67" t="n"/>
      <c r="BO102" s="67" t="n"/>
      <c r="BP102" s="67" t="n"/>
      <c r="BQ102" s="67" t="n"/>
      <c r="BR102" s="67" t="n"/>
      <c r="BS102" s="67" t="n"/>
      <c r="BT102" s="67" t="n"/>
      <c r="BU102" s="67" t="n"/>
      <c r="BV102" s="67" t="n"/>
      <c r="BW102" s="67" t="n"/>
      <c r="BX102" s="67" t="n"/>
      <c r="BY102" s="67" t="n"/>
      <c r="BZ102" s="67" t="n"/>
      <c r="CD102" s="67" t="n"/>
      <c r="CE102" s="67" t="n"/>
      <c r="CF102" s="67" t="n"/>
      <c r="CG102" s="67" t="n"/>
      <c r="CH102" s="67" t="n"/>
      <c r="CI102" s="67" t="n"/>
      <c r="CJ102" s="67" t="n"/>
      <c r="CK102" s="67" t="n"/>
      <c r="CL102" s="67" t="n"/>
      <c r="CM102" s="67" t="n"/>
      <c r="CN102" s="67" t="n"/>
      <c r="CO102" s="67" t="n"/>
      <c r="CP102" s="67" t="n"/>
      <c r="CQ102" s="67" t="n"/>
    </row>
    <row r="103">
      <c r="AA103" s="77" t="n"/>
      <c r="BM103" s="67" t="n"/>
      <c r="BN103" s="67" t="n"/>
      <c r="BO103" s="67" t="n"/>
      <c r="BP103" s="67" t="n"/>
      <c r="BQ103" s="67" t="n"/>
      <c r="BR103" s="67" t="n"/>
      <c r="BS103" s="67" t="n"/>
      <c r="BT103" s="67" t="n"/>
      <c r="BU103" s="67" t="n"/>
      <c r="BV103" s="67" t="n"/>
      <c r="BW103" s="67" t="n"/>
      <c r="BX103" s="67" t="n"/>
      <c r="BY103" s="67" t="n"/>
      <c r="BZ103" s="67" t="n"/>
      <c r="CD103" s="67" t="n"/>
      <c r="CE103" s="67" t="n"/>
      <c r="CF103" s="67" t="n"/>
      <c r="CG103" s="67" t="n"/>
      <c r="CH103" s="67" t="n"/>
      <c r="CI103" s="67" t="n"/>
      <c r="CJ103" s="67" t="n"/>
      <c r="CK103" s="67" t="n"/>
      <c r="CL103" s="67" t="n"/>
      <c r="CM103" s="67" t="n"/>
      <c r="CN103" s="67" t="n"/>
      <c r="CO103" s="67" t="n"/>
      <c r="CP103" s="67" t="n"/>
      <c r="CQ103" s="67" t="n"/>
    </row>
    <row r="104">
      <c r="AA104" s="77" t="n"/>
      <c r="BM104" s="67" t="n"/>
      <c r="BN104" s="67" t="n"/>
      <c r="BO104" s="67" t="n"/>
      <c r="BP104" s="67" t="n"/>
      <c r="BQ104" s="67" t="n"/>
      <c r="BR104" s="67" t="n"/>
      <c r="BS104" s="67" t="n"/>
      <c r="BT104" s="67" t="n"/>
      <c r="BU104" s="67" t="n"/>
      <c r="BV104" s="67" t="n"/>
      <c r="BW104" s="67" t="n"/>
      <c r="BX104" s="67" t="n"/>
      <c r="BY104" s="67" t="n"/>
      <c r="BZ104" s="67" t="n"/>
      <c r="CD104" s="67" t="n"/>
      <c r="CE104" s="67" t="n"/>
      <c r="CF104" s="67" t="n"/>
      <c r="CG104" s="67" t="n"/>
      <c r="CH104" s="67" t="n"/>
      <c r="CI104" s="67" t="n"/>
      <c r="CJ104" s="67" t="n"/>
      <c r="CK104" s="67" t="n"/>
      <c r="CL104" s="67" t="n"/>
      <c r="CM104" s="67" t="n"/>
      <c r="CN104" s="67" t="n"/>
      <c r="CO104" s="67" t="n"/>
      <c r="CP104" s="67" t="n"/>
      <c r="CQ104" s="67" t="n"/>
    </row>
    <row r="105">
      <c r="AA105" s="77" t="n"/>
      <c r="BM105" s="67" t="n"/>
      <c r="BN105" s="67" t="n"/>
      <c r="BO105" s="67" t="n"/>
      <c r="BP105" s="67" t="n"/>
      <c r="BQ105" s="67" t="n"/>
      <c r="BR105" s="67" t="n"/>
      <c r="BS105" s="67" t="n"/>
      <c r="BT105" s="67" t="n"/>
      <c r="BU105" s="67" t="n"/>
      <c r="BV105" s="67" t="n"/>
      <c r="BW105" s="67" t="n"/>
      <c r="BX105" s="67" t="n"/>
      <c r="BY105" s="67" t="n"/>
      <c r="BZ105" s="67" t="n"/>
      <c r="CD105" s="67" t="n"/>
      <c r="CE105" s="67" t="n"/>
      <c r="CF105" s="67" t="n"/>
      <c r="CG105" s="67" t="n"/>
      <c r="CH105" s="67" t="n"/>
      <c r="CI105" s="67" t="n"/>
      <c r="CJ105" s="67" t="n"/>
      <c r="CK105" s="67" t="n"/>
      <c r="CL105" s="67" t="n"/>
      <c r="CM105" s="67" t="n"/>
      <c r="CN105" s="67" t="n"/>
      <c r="CO105" s="67" t="n"/>
      <c r="CP105" s="67" t="n"/>
      <c r="CQ105" s="67" t="n"/>
    </row>
    <row r="106">
      <c r="AA106" s="77" t="n"/>
      <c r="BM106" s="67" t="n"/>
      <c r="BN106" s="67" t="n"/>
      <c r="BO106" s="67" t="n"/>
      <c r="BP106" s="67" t="n"/>
      <c r="BQ106" s="67" t="n"/>
      <c r="BR106" s="67" t="n"/>
      <c r="BS106" s="67" t="n"/>
      <c r="BT106" s="67" t="n"/>
      <c r="BU106" s="67" t="n"/>
      <c r="BV106" s="67" t="n"/>
      <c r="BW106" s="67" t="n"/>
      <c r="BX106" s="67" t="n"/>
      <c r="BY106" s="67" t="n"/>
      <c r="BZ106" s="67" t="n"/>
      <c r="CD106" s="67" t="n"/>
      <c r="CE106" s="67" t="n"/>
      <c r="CF106" s="67" t="n"/>
      <c r="CG106" s="67" t="n"/>
      <c r="CH106" s="67" t="n"/>
      <c r="CI106" s="67" t="n"/>
      <c r="CJ106" s="67" t="n"/>
      <c r="CK106" s="67" t="n"/>
      <c r="CL106" s="67" t="n"/>
      <c r="CM106" s="67" t="n"/>
      <c r="CN106" s="67" t="n"/>
      <c r="CO106" s="67" t="n"/>
      <c r="CP106" s="67" t="n"/>
      <c r="CQ106" s="67" t="n"/>
    </row>
    <row r="107">
      <c r="AA107" s="77" t="n"/>
      <c r="BM107" s="67" t="n"/>
      <c r="BN107" s="67" t="n"/>
      <c r="BO107" s="67" t="n"/>
      <c r="BP107" s="67" t="n"/>
      <c r="BQ107" s="67" t="n"/>
      <c r="BR107" s="67" t="n"/>
      <c r="BS107" s="67" t="n"/>
      <c r="BT107" s="67" t="n"/>
      <c r="BU107" s="67" t="n"/>
      <c r="BV107" s="67" t="n"/>
      <c r="BW107" s="67" t="n"/>
      <c r="BX107" s="67" t="n"/>
      <c r="BY107" s="67" t="n"/>
      <c r="BZ107" s="67" t="n"/>
      <c r="CD107" s="67" t="n"/>
      <c r="CE107" s="67" t="n"/>
      <c r="CF107" s="67" t="n"/>
      <c r="CG107" s="67" t="n"/>
      <c r="CH107" s="67" t="n"/>
      <c r="CI107" s="67" t="n"/>
      <c r="CJ107" s="67" t="n"/>
      <c r="CK107" s="67" t="n"/>
      <c r="CL107" s="67" t="n"/>
      <c r="CM107" s="67" t="n"/>
      <c r="CN107" s="67" t="n"/>
      <c r="CO107" s="67" t="n"/>
      <c r="CP107" s="67" t="n"/>
      <c r="CQ107" s="67" t="n"/>
    </row>
    <row r="108">
      <c r="AA108" s="77" t="n"/>
      <c r="BM108" s="67" t="n"/>
      <c r="BN108" s="67" t="n"/>
      <c r="BO108" s="67" t="n"/>
      <c r="BP108" s="67" t="n"/>
      <c r="BQ108" s="67" t="n"/>
      <c r="BR108" s="67" t="n"/>
      <c r="BS108" s="67" t="n"/>
      <c r="BT108" s="67" t="n"/>
      <c r="BU108" s="67" t="n"/>
      <c r="BV108" s="67" t="n"/>
      <c r="BW108" s="67" t="n"/>
      <c r="BX108" s="67" t="n"/>
      <c r="BY108" s="67" t="n"/>
      <c r="BZ108" s="67" t="n"/>
      <c r="CD108" s="67" t="n"/>
      <c r="CE108" s="67" t="n"/>
      <c r="CF108" s="67" t="n"/>
      <c r="CG108" s="67" t="n"/>
      <c r="CH108" s="67" t="n"/>
      <c r="CI108" s="67" t="n"/>
      <c r="CJ108" s="67" t="n"/>
      <c r="CK108" s="67" t="n"/>
      <c r="CL108" s="67" t="n"/>
      <c r="CM108" s="67" t="n"/>
      <c r="CN108" s="67" t="n"/>
      <c r="CO108" s="67" t="n"/>
      <c r="CP108" s="67" t="n"/>
      <c r="CQ108" s="67" t="n"/>
    </row>
    <row r="109">
      <c r="AA109" s="77" t="n"/>
      <c r="BM109" s="67" t="n"/>
      <c r="BN109" s="67" t="n"/>
      <c r="BO109" s="67" t="n"/>
      <c r="BP109" s="67" t="n"/>
      <c r="BQ109" s="67" t="n"/>
      <c r="BR109" s="67" t="n"/>
      <c r="BS109" s="67" t="n"/>
      <c r="BT109" s="67" t="n"/>
      <c r="BU109" s="67" t="n"/>
      <c r="BV109" s="67" t="n"/>
      <c r="BW109" s="67" t="n"/>
      <c r="BX109" s="67" t="n"/>
      <c r="BY109" s="67" t="n"/>
      <c r="BZ109" s="67" t="n"/>
      <c r="CD109" s="67" t="n"/>
      <c r="CE109" s="67" t="n"/>
      <c r="CF109" s="67" t="n"/>
      <c r="CG109" s="67" t="n"/>
      <c r="CH109" s="67" t="n"/>
      <c r="CI109" s="67" t="n"/>
      <c r="CJ109" s="67" t="n"/>
      <c r="CK109" s="67" t="n"/>
      <c r="CL109" s="67" t="n"/>
      <c r="CM109" s="67" t="n"/>
      <c r="CN109" s="67" t="n"/>
      <c r="CO109" s="67" t="n"/>
      <c r="CP109" s="67" t="n"/>
      <c r="CQ109" s="67" t="n"/>
    </row>
    <row r="110">
      <c r="AA110" s="77" t="n"/>
      <c r="BM110" s="67" t="n"/>
      <c r="BN110" s="67" t="n"/>
      <c r="BO110" s="67" t="n"/>
      <c r="BP110" s="67" t="n"/>
      <c r="BQ110" s="67" t="n"/>
      <c r="BR110" s="67" t="n"/>
      <c r="BS110" s="67" t="n"/>
      <c r="BT110" s="67" t="n"/>
      <c r="BU110" s="67" t="n"/>
      <c r="BV110" s="67" t="n"/>
      <c r="BW110" s="67" t="n"/>
      <c r="BX110" s="67" t="n"/>
      <c r="BY110" s="67" t="n"/>
      <c r="BZ110" s="67" t="n"/>
      <c r="CD110" s="67" t="n"/>
      <c r="CE110" s="67" t="n"/>
      <c r="CF110" s="67" t="n"/>
      <c r="CG110" s="67" t="n"/>
      <c r="CH110" s="67" t="n"/>
      <c r="CI110" s="67" t="n"/>
      <c r="CJ110" s="67" t="n"/>
      <c r="CK110" s="67" t="n"/>
      <c r="CL110" s="67" t="n"/>
      <c r="CM110" s="67" t="n"/>
      <c r="CN110" s="67" t="n"/>
      <c r="CO110" s="67" t="n"/>
      <c r="CP110" s="67" t="n"/>
      <c r="CQ110" s="67" t="n"/>
    </row>
    <row r="111">
      <c r="AA111" s="77" t="n"/>
      <c r="BM111" s="67" t="n"/>
      <c r="BN111" s="67" t="n"/>
      <c r="BO111" s="67" t="n"/>
      <c r="BP111" s="67" t="n"/>
      <c r="BQ111" s="67" t="n"/>
      <c r="BR111" s="67" t="n"/>
      <c r="BS111" s="67" t="n"/>
      <c r="BT111" s="67" t="n"/>
      <c r="BU111" s="67" t="n"/>
      <c r="BV111" s="67" t="n"/>
      <c r="BW111" s="67" t="n"/>
      <c r="BX111" s="67" t="n"/>
      <c r="BY111" s="67" t="n"/>
      <c r="BZ111" s="67" t="n"/>
      <c r="CD111" s="67" t="n"/>
      <c r="CE111" s="67" t="n"/>
      <c r="CF111" s="67" t="n"/>
      <c r="CG111" s="67" t="n"/>
      <c r="CH111" s="67" t="n"/>
      <c r="CI111" s="67" t="n"/>
      <c r="CJ111" s="67" t="n"/>
      <c r="CK111" s="67" t="n"/>
      <c r="CL111" s="67" t="n"/>
      <c r="CM111" s="67" t="n"/>
      <c r="CN111" s="67" t="n"/>
      <c r="CO111" s="67" t="n"/>
      <c r="CP111" s="67" t="n"/>
      <c r="CQ111" s="67" t="n"/>
    </row>
    <row r="112">
      <c r="AA112" s="77" t="n"/>
      <c r="BM112" s="67" t="n"/>
      <c r="BN112" s="67" t="n"/>
      <c r="BO112" s="67" t="n"/>
      <c r="BP112" s="67" t="n"/>
      <c r="BQ112" s="67" t="n"/>
      <c r="BR112" s="67" t="n"/>
      <c r="BS112" s="67" t="n"/>
      <c r="BT112" s="67" t="n"/>
      <c r="BU112" s="67" t="n"/>
      <c r="BV112" s="67" t="n"/>
      <c r="BW112" s="67" t="n"/>
      <c r="BX112" s="67" t="n"/>
      <c r="BY112" s="67" t="n"/>
      <c r="BZ112" s="67" t="n"/>
      <c r="CD112" s="67" t="n"/>
      <c r="CE112" s="67" t="n"/>
      <c r="CF112" s="67" t="n"/>
      <c r="CG112" s="67" t="n"/>
      <c r="CH112" s="67" t="n"/>
      <c r="CI112" s="67" t="n"/>
      <c r="CJ112" s="67" t="n"/>
      <c r="CK112" s="67" t="n"/>
      <c r="CL112" s="67" t="n"/>
      <c r="CM112" s="67" t="n"/>
      <c r="CN112" s="67" t="n"/>
      <c r="CO112" s="67" t="n"/>
      <c r="CP112" s="67" t="n"/>
      <c r="CQ112" s="67" t="n"/>
    </row>
    <row r="113">
      <c r="AA113" s="77" t="n"/>
      <c r="BM113" s="67" t="n"/>
      <c r="BN113" s="67" t="n"/>
      <c r="BO113" s="67" t="n"/>
      <c r="BP113" s="67" t="n"/>
      <c r="BQ113" s="67" t="n"/>
      <c r="BR113" s="67" t="n"/>
      <c r="BS113" s="67" t="n"/>
      <c r="BT113" s="67" t="n"/>
      <c r="BU113" s="67" t="n"/>
      <c r="BV113" s="67" t="n"/>
      <c r="BW113" s="67" t="n"/>
      <c r="BX113" s="67" t="n"/>
      <c r="BY113" s="67" t="n"/>
      <c r="BZ113" s="67" t="n"/>
      <c r="CD113" s="67" t="n"/>
      <c r="CE113" s="67" t="n"/>
      <c r="CF113" s="67" t="n"/>
      <c r="CG113" s="67" t="n"/>
      <c r="CH113" s="67" t="n"/>
      <c r="CI113" s="67" t="n"/>
      <c r="CJ113" s="67" t="n"/>
      <c r="CK113" s="67" t="n"/>
      <c r="CL113" s="67" t="n"/>
      <c r="CM113" s="67" t="n"/>
      <c r="CN113" s="67" t="n"/>
      <c r="CO113" s="67" t="n"/>
      <c r="CP113" s="67" t="n"/>
      <c r="CQ113" s="67" t="n"/>
    </row>
    <row r="114">
      <c r="AA114" s="77" t="n"/>
      <c r="BM114" s="67" t="n"/>
      <c r="BN114" s="67" t="n"/>
      <c r="BO114" s="67" t="n"/>
      <c r="BP114" s="67" t="n"/>
      <c r="BQ114" s="67" t="n"/>
      <c r="BR114" s="67" t="n"/>
      <c r="BS114" s="67" t="n"/>
      <c r="BT114" s="67" t="n"/>
      <c r="BU114" s="67" t="n"/>
      <c r="BV114" s="67" t="n"/>
      <c r="BW114" s="67" t="n"/>
      <c r="BX114" s="67" t="n"/>
      <c r="BY114" s="67" t="n"/>
      <c r="BZ114" s="67" t="n"/>
      <c r="CD114" s="67" t="n"/>
      <c r="CE114" s="67" t="n"/>
      <c r="CF114" s="67" t="n"/>
      <c r="CG114" s="67" t="n"/>
      <c r="CH114" s="67" t="n"/>
      <c r="CI114" s="67" t="n"/>
      <c r="CJ114" s="67" t="n"/>
      <c r="CK114" s="67" t="n"/>
      <c r="CL114" s="67" t="n"/>
      <c r="CM114" s="67" t="n"/>
      <c r="CN114" s="67" t="n"/>
      <c r="CO114" s="67" t="n"/>
      <c r="CP114" s="67" t="n"/>
      <c r="CQ114" s="67" t="n"/>
    </row>
    <row r="115">
      <c r="AA115" s="77" t="n"/>
      <c r="BM115" s="67" t="n"/>
      <c r="BN115" s="67" t="n"/>
      <c r="BO115" s="67" t="n"/>
      <c r="BP115" s="67" t="n"/>
      <c r="BQ115" s="67" t="n"/>
      <c r="BR115" s="67" t="n"/>
      <c r="BS115" s="67" t="n"/>
      <c r="BT115" s="67" t="n"/>
      <c r="BU115" s="67" t="n"/>
      <c r="BV115" s="67" t="n"/>
      <c r="BW115" s="67" t="n"/>
      <c r="BX115" s="67" t="n"/>
      <c r="BY115" s="67" t="n"/>
      <c r="BZ115" s="67" t="n"/>
      <c r="CD115" s="67" t="n"/>
      <c r="CE115" s="67" t="n"/>
      <c r="CF115" s="67" t="n"/>
      <c r="CG115" s="67" t="n"/>
      <c r="CH115" s="67" t="n"/>
      <c r="CI115" s="67" t="n"/>
      <c r="CJ115" s="67" t="n"/>
      <c r="CK115" s="67" t="n"/>
      <c r="CL115" s="67" t="n"/>
      <c r="CM115" s="67" t="n"/>
      <c r="CN115" s="67" t="n"/>
      <c r="CO115" s="67" t="n"/>
      <c r="CP115" s="67" t="n"/>
      <c r="CQ115" s="67" t="n"/>
    </row>
    <row r="116">
      <c r="AA116" s="77" t="n"/>
      <c r="BM116" s="67" t="n"/>
      <c r="BN116" s="67" t="n"/>
      <c r="BO116" s="67" t="n"/>
      <c r="BP116" s="67" t="n"/>
      <c r="BQ116" s="67" t="n"/>
      <c r="BR116" s="67" t="n"/>
      <c r="BS116" s="67" t="n"/>
      <c r="BT116" s="67" t="n"/>
      <c r="BU116" s="67" t="n"/>
      <c r="BV116" s="67" t="n"/>
      <c r="BW116" s="67" t="n"/>
      <c r="BX116" s="67" t="n"/>
      <c r="BY116" s="67" t="n"/>
      <c r="BZ116" s="67" t="n"/>
      <c r="CD116" s="67" t="n"/>
      <c r="CE116" s="67" t="n"/>
      <c r="CF116" s="67" t="n"/>
      <c r="CG116" s="67" t="n"/>
      <c r="CH116" s="67" t="n"/>
      <c r="CI116" s="67" t="n"/>
      <c r="CJ116" s="67" t="n"/>
      <c r="CK116" s="67" t="n"/>
      <c r="CL116" s="67" t="n"/>
      <c r="CM116" s="67" t="n"/>
      <c r="CN116" s="67" t="n"/>
      <c r="CO116" s="67" t="n"/>
      <c r="CP116" s="67" t="n"/>
      <c r="CQ116" s="67" t="n"/>
    </row>
    <row r="117">
      <c r="AA117" s="77" t="n"/>
      <c r="BM117" s="67" t="n"/>
      <c r="BN117" s="67" t="n"/>
      <c r="BO117" s="67" t="n"/>
      <c r="BP117" s="67" t="n"/>
      <c r="BQ117" s="67" t="n"/>
      <c r="BR117" s="67" t="n"/>
      <c r="BS117" s="67" t="n"/>
      <c r="BT117" s="67" t="n"/>
      <c r="BU117" s="67" t="n"/>
      <c r="BV117" s="67" t="n"/>
      <c r="BW117" s="67" t="n"/>
      <c r="BX117" s="67" t="n"/>
      <c r="BY117" s="67" t="n"/>
      <c r="BZ117" s="67" t="n"/>
      <c r="CD117" s="67" t="n"/>
      <c r="CE117" s="67" t="n"/>
      <c r="CF117" s="67" t="n"/>
      <c r="CG117" s="67" t="n"/>
      <c r="CH117" s="67" t="n"/>
      <c r="CI117" s="67" t="n"/>
      <c r="CJ117" s="67" t="n"/>
      <c r="CK117" s="67" t="n"/>
      <c r="CL117" s="67" t="n"/>
      <c r="CM117" s="67" t="n"/>
      <c r="CN117" s="67" t="n"/>
      <c r="CO117" s="67" t="n"/>
      <c r="CP117" s="67" t="n"/>
      <c r="CQ117" s="67" t="n"/>
    </row>
    <row r="118">
      <c r="AA118" s="77" t="n"/>
      <c r="BM118" s="67" t="n"/>
      <c r="BN118" s="67" t="n"/>
      <c r="BO118" s="67" t="n"/>
      <c r="BP118" s="67" t="n"/>
      <c r="BQ118" s="67" t="n"/>
      <c r="BR118" s="67" t="n"/>
      <c r="BS118" s="67" t="n"/>
      <c r="BT118" s="67" t="n"/>
      <c r="BU118" s="67" t="n"/>
      <c r="BV118" s="67" t="n"/>
      <c r="BW118" s="67" t="n"/>
      <c r="BX118" s="67" t="n"/>
      <c r="BY118" s="67" t="n"/>
      <c r="BZ118" s="67" t="n"/>
      <c r="CD118" s="67" t="n"/>
      <c r="CE118" s="67" t="n"/>
      <c r="CF118" s="67" t="n"/>
      <c r="CG118" s="67" t="n"/>
      <c r="CH118" s="67" t="n"/>
      <c r="CI118" s="67" t="n"/>
      <c r="CJ118" s="67" t="n"/>
      <c r="CK118" s="67" t="n"/>
      <c r="CL118" s="67" t="n"/>
      <c r="CM118" s="67" t="n"/>
      <c r="CN118" s="67" t="n"/>
      <c r="CO118" s="67" t="n"/>
      <c r="CP118" s="67" t="n"/>
      <c r="CQ118" s="67" t="n"/>
    </row>
    <row r="119">
      <c r="AA119" s="77" t="n"/>
      <c r="BM119" s="67" t="n"/>
      <c r="BN119" s="67" t="n"/>
      <c r="BO119" s="67" t="n"/>
      <c r="BP119" s="67" t="n"/>
      <c r="BQ119" s="67" t="n"/>
      <c r="BR119" s="67" t="n"/>
      <c r="BS119" s="67" t="n"/>
      <c r="BT119" s="67" t="n"/>
      <c r="BU119" s="67" t="n"/>
      <c r="BV119" s="67" t="n"/>
      <c r="BW119" s="67" t="n"/>
      <c r="BX119" s="67" t="n"/>
      <c r="BY119" s="67" t="n"/>
      <c r="BZ119" s="67" t="n"/>
      <c r="CD119" s="67" t="n"/>
      <c r="CE119" s="67" t="n"/>
      <c r="CF119" s="67" t="n"/>
      <c r="CG119" s="67" t="n"/>
      <c r="CH119" s="67" t="n"/>
      <c r="CI119" s="67" t="n"/>
      <c r="CJ119" s="67" t="n"/>
      <c r="CK119" s="67" t="n"/>
      <c r="CL119" s="67" t="n"/>
      <c r="CM119" s="67" t="n"/>
      <c r="CN119" s="67" t="n"/>
      <c r="CO119" s="67" t="n"/>
      <c r="CP119" s="67" t="n"/>
      <c r="CQ119" s="67" t="n"/>
    </row>
    <row r="120">
      <c r="AA120" s="77" t="n"/>
      <c r="BM120" s="67" t="n"/>
      <c r="BN120" s="67" t="n"/>
      <c r="BO120" s="67" t="n"/>
      <c r="BP120" s="67" t="n"/>
      <c r="BQ120" s="67" t="n"/>
      <c r="BR120" s="67" t="n"/>
      <c r="BS120" s="67" t="n"/>
      <c r="BT120" s="67" t="n"/>
      <c r="BU120" s="67" t="n"/>
      <c r="BV120" s="67" t="n"/>
      <c r="BW120" s="67" t="n"/>
      <c r="BX120" s="67" t="n"/>
      <c r="BY120" s="67" t="n"/>
      <c r="BZ120" s="67" t="n"/>
      <c r="CD120" s="67" t="n"/>
      <c r="CE120" s="67" t="n"/>
      <c r="CF120" s="67" t="n"/>
      <c r="CG120" s="67" t="n"/>
      <c r="CH120" s="67" t="n"/>
      <c r="CI120" s="67" t="n"/>
      <c r="CJ120" s="67" t="n"/>
      <c r="CK120" s="67" t="n"/>
      <c r="CL120" s="67" t="n"/>
      <c r="CM120" s="67" t="n"/>
      <c r="CN120" s="67" t="n"/>
      <c r="CO120" s="67" t="n"/>
      <c r="CP120" s="67" t="n"/>
      <c r="CQ120" s="67" t="n"/>
    </row>
    <row r="121">
      <c r="AA121" s="77" t="n"/>
      <c r="BM121" s="67" t="n"/>
      <c r="BN121" s="67" t="n"/>
      <c r="BO121" s="67" t="n"/>
      <c r="BP121" s="67" t="n"/>
      <c r="BQ121" s="67" t="n"/>
      <c r="BR121" s="67" t="n"/>
      <c r="BS121" s="67" t="n"/>
      <c r="BT121" s="67" t="n"/>
      <c r="BU121" s="67" t="n"/>
      <c r="BV121" s="67" t="n"/>
      <c r="BW121" s="67" t="n"/>
      <c r="BX121" s="67" t="n"/>
      <c r="BY121" s="67" t="n"/>
      <c r="BZ121" s="67" t="n"/>
      <c r="CD121" s="67" t="n"/>
      <c r="CE121" s="67" t="n"/>
      <c r="CF121" s="67" t="n"/>
      <c r="CG121" s="67" t="n"/>
      <c r="CH121" s="67" t="n"/>
      <c r="CI121" s="67" t="n"/>
      <c r="CJ121" s="67" t="n"/>
      <c r="CK121" s="67" t="n"/>
      <c r="CL121" s="67" t="n"/>
      <c r="CM121" s="67" t="n"/>
      <c r="CN121" s="67" t="n"/>
      <c r="CO121" s="67" t="n"/>
      <c r="CP121" s="67" t="n"/>
      <c r="CQ121" s="67" t="n"/>
    </row>
    <row r="122">
      <c r="AA122" s="77" t="n"/>
      <c r="BM122" s="67" t="n"/>
      <c r="BN122" s="67" t="n"/>
      <c r="BO122" s="67" t="n"/>
      <c r="BP122" s="67" t="n"/>
      <c r="BQ122" s="67" t="n"/>
      <c r="BR122" s="67" t="n"/>
      <c r="BS122" s="67" t="n"/>
      <c r="BT122" s="67" t="n"/>
      <c r="BU122" s="67" t="n"/>
      <c r="BV122" s="67" t="n"/>
      <c r="BW122" s="67" t="n"/>
      <c r="BX122" s="67" t="n"/>
      <c r="BY122" s="67" t="n"/>
      <c r="BZ122" s="67" t="n"/>
      <c r="CD122" s="67" t="n"/>
      <c r="CE122" s="67" t="n"/>
      <c r="CF122" s="67" t="n"/>
      <c r="CG122" s="67" t="n"/>
      <c r="CH122" s="67" t="n"/>
      <c r="CI122" s="67" t="n"/>
      <c r="CJ122" s="67" t="n"/>
      <c r="CK122" s="67" t="n"/>
      <c r="CL122" s="67" t="n"/>
      <c r="CM122" s="67" t="n"/>
      <c r="CN122" s="67" t="n"/>
      <c r="CO122" s="67" t="n"/>
      <c r="CP122" s="67" t="n"/>
      <c r="CQ122" s="67" t="n"/>
    </row>
    <row r="123">
      <c r="AA123" s="77" t="n"/>
      <c r="BM123" s="67" t="n"/>
      <c r="BN123" s="67" t="n"/>
      <c r="BO123" s="67" t="n"/>
      <c r="BP123" s="67" t="n"/>
      <c r="BQ123" s="67" t="n"/>
      <c r="BR123" s="67" t="n"/>
      <c r="BS123" s="67" t="n"/>
      <c r="BT123" s="67" t="n"/>
      <c r="BU123" s="67" t="n"/>
      <c r="BV123" s="67" t="n"/>
      <c r="BW123" s="67" t="n"/>
      <c r="BX123" s="67" t="n"/>
      <c r="BY123" s="67" t="n"/>
      <c r="BZ123" s="67" t="n"/>
      <c r="CD123" s="67" t="n"/>
      <c r="CE123" s="67" t="n"/>
      <c r="CF123" s="67" t="n"/>
      <c r="CG123" s="67" t="n"/>
      <c r="CH123" s="67" t="n"/>
      <c r="CI123" s="67" t="n"/>
      <c r="CJ123" s="67" t="n"/>
      <c r="CK123" s="67" t="n"/>
      <c r="CL123" s="67" t="n"/>
      <c r="CM123" s="67" t="n"/>
      <c r="CN123" s="67" t="n"/>
      <c r="CO123" s="67" t="n"/>
      <c r="CP123" s="67" t="n"/>
      <c r="CQ123" s="67" t="n"/>
    </row>
    <row r="124">
      <c r="AA124" s="77" t="n"/>
      <c r="BM124" s="67" t="n"/>
      <c r="BN124" s="67" t="n"/>
      <c r="BO124" s="67" t="n"/>
      <c r="BP124" s="67" t="n"/>
      <c r="BQ124" s="67" t="n"/>
      <c r="BR124" s="67" t="n"/>
      <c r="BS124" s="67" t="n"/>
      <c r="BT124" s="67" t="n"/>
      <c r="BU124" s="67" t="n"/>
      <c r="BV124" s="67" t="n"/>
      <c r="BW124" s="67" t="n"/>
      <c r="BX124" s="67" t="n"/>
      <c r="BY124" s="67" t="n"/>
      <c r="BZ124" s="67" t="n"/>
      <c r="CD124" s="67" t="n"/>
      <c r="CE124" s="67" t="n"/>
      <c r="CF124" s="67" t="n"/>
      <c r="CG124" s="67" t="n"/>
      <c r="CH124" s="67" t="n"/>
      <c r="CI124" s="67" t="n"/>
      <c r="CJ124" s="67" t="n"/>
      <c r="CK124" s="67" t="n"/>
      <c r="CL124" s="67" t="n"/>
      <c r="CM124" s="67" t="n"/>
      <c r="CN124" s="67" t="n"/>
      <c r="CO124" s="67" t="n"/>
      <c r="CP124" s="67" t="n"/>
      <c r="CQ124" s="67" t="n"/>
    </row>
    <row r="125">
      <c r="AA125" s="77" t="n"/>
      <c r="BM125" s="67" t="n"/>
      <c r="BN125" s="67" t="n"/>
      <c r="BO125" s="67" t="n"/>
      <c r="BP125" s="67" t="n"/>
      <c r="BQ125" s="67" t="n"/>
      <c r="BR125" s="67" t="n"/>
      <c r="BS125" s="67" t="n"/>
      <c r="BT125" s="67" t="n"/>
      <c r="BU125" s="67" t="n"/>
      <c r="BV125" s="67" t="n"/>
      <c r="BW125" s="67" t="n"/>
      <c r="BX125" s="67" t="n"/>
      <c r="BY125" s="67" t="n"/>
      <c r="BZ125" s="67" t="n"/>
      <c r="CD125" s="67" t="n"/>
      <c r="CE125" s="67" t="n"/>
      <c r="CF125" s="67" t="n"/>
      <c r="CG125" s="67" t="n"/>
      <c r="CH125" s="67" t="n"/>
      <c r="CI125" s="67" t="n"/>
      <c r="CJ125" s="67" t="n"/>
      <c r="CK125" s="67" t="n"/>
      <c r="CL125" s="67" t="n"/>
      <c r="CM125" s="67" t="n"/>
      <c r="CN125" s="67" t="n"/>
      <c r="CO125" s="67" t="n"/>
      <c r="CP125" s="67" t="n"/>
      <c r="CQ125" s="67" t="n"/>
    </row>
    <row r="126">
      <c r="AA126" s="77" t="n"/>
      <c r="BM126" s="67" t="n"/>
      <c r="BN126" s="67" t="n"/>
      <c r="BO126" s="67" t="n"/>
      <c r="BP126" s="67" t="n"/>
      <c r="BQ126" s="67" t="n"/>
      <c r="BR126" s="67" t="n"/>
      <c r="BS126" s="67" t="n"/>
      <c r="BT126" s="67" t="n"/>
      <c r="BU126" s="67" t="n"/>
      <c r="BV126" s="67" t="n"/>
      <c r="BW126" s="67" t="n"/>
      <c r="BX126" s="67" t="n"/>
      <c r="BY126" s="67" t="n"/>
      <c r="BZ126" s="67" t="n"/>
      <c r="CD126" s="67" t="n"/>
      <c r="CE126" s="67" t="n"/>
      <c r="CF126" s="67" t="n"/>
      <c r="CG126" s="67" t="n"/>
      <c r="CH126" s="67" t="n"/>
      <c r="CI126" s="67" t="n"/>
      <c r="CJ126" s="67" t="n"/>
      <c r="CK126" s="67" t="n"/>
      <c r="CL126" s="67" t="n"/>
      <c r="CM126" s="67" t="n"/>
      <c r="CN126" s="67" t="n"/>
      <c r="CO126" s="67" t="n"/>
      <c r="CP126" s="67" t="n"/>
      <c r="CQ126" s="67" t="n"/>
    </row>
    <row r="127">
      <c r="AA127" s="77" t="n"/>
      <c r="BM127" s="67" t="n"/>
      <c r="BN127" s="67" t="n"/>
      <c r="BO127" s="67" t="n"/>
      <c r="BP127" s="67" t="n"/>
      <c r="BQ127" s="67" t="n"/>
      <c r="BR127" s="67" t="n"/>
      <c r="BS127" s="67" t="n"/>
      <c r="BT127" s="67" t="n"/>
      <c r="BU127" s="67" t="n"/>
      <c r="BV127" s="67" t="n"/>
      <c r="BW127" s="67" t="n"/>
      <c r="BX127" s="67" t="n"/>
      <c r="BY127" s="67" t="n"/>
      <c r="BZ127" s="67" t="n"/>
      <c r="CD127" s="67" t="n"/>
      <c r="CE127" s="67" t="n"/>
      <c r="CF127" s="67" t="n"/>
      <c r="CG127" s="67" t="n"/>
      <c r="CH127" s="67" t="n"/>
      <c r="CI127" s="67" t="n"/>
      <c r="CJ127" s="67" t="n"/>
      <c r="CK127" s="67" t="n"/>
      <c r="CL127" s="67" t="n"/>
      <c r="CM127" s="67" t="n"/>
      <c r="CN127" s="67" t="n"/>
      <c r="CO127" s="67" t="n"/>
      <c r="CP127" s="67" t="n"/>
      <c r="CQ127" s="67" t="n"/>
    </row>
    <row r="128">
      <c r="AA128" s="77" t="n"/>
      <c r="BM128" s="67" t="n"/>
      <c r="BN128" s="67" t="n"/>
      <c r="BO128" s="67" t="n"/>
      <c r="BP128" s="67" t="n"/>
      <c r="BQ128" s="67" t="n"/>
      <c r="BR128" s="67" t="n"/>
      <c r="BS128" s="67" t="n"/>
      <c r="BT128" s="67" t="n"/>
      <c r="BU128" s="67" t="n"/>
      <c r="BV128" s="67" t="n"/>
      <c r="BW128" s="67" t="n"/>
      <c r="BX128" s="67" t="n"/>
      <c r="BY128" s="67" t="n"/>
      <c r="BZ128" s="67" t="n"/>
      <c r="CD128" s="67" t="n"/>
      <c r="CE128" s="67" t="n"/>
      <c r="CF128" s="67" t="n"/>
      <c r="CG128" s="67" t="n"/>
      <c r="CH128" s="67" t="n"/>
      <c r="CI128" s="67" t="n"/>
      <c r="CJ128" s="67" t="n"/>
      <c r="CK128" s="67" t="n"/>
      <c r="CL128" s="67" t="n"/>
      <c r="CM128" s="67" t="n"/>
      <c r="CN128" s="67" t="n"/>
      <c r="CO128" s="67" t="n"/>
      <c r="CP128" s="67" t="n"/>
      <c r="CQ128" s="67" t="n"/>
    </row>
    <row r="129">
      <c r="AA129" s="77" t="n"/>
      <c r="BM129" s="67" t="n"/>
      <c r="BN129" s="67" t="n"/>
      <c r="BO129" s="67" t="n"/>
      <c r="BP129" s="67" t="n"/>
      <c r="BQ129" s="67" t="n"/>
      <c r="BR129" s="67" t="n"/>
      <c r="BS129" s="67" t="n"/>
      <c r="BT129" s="67" t="n"/>
      <c r="BU129" s="67" t="n"/>
      <c r="BV129" s="67" t="n"/>
      <c r="BW129" s="67" t="n"/>
      <c r="BX129" s="67" t="n"/>
      <c r="BY129" s="67" t="n"/>
      <c r="BZ129" s="67" t="n"/>
      <c r="CD129" s="67" t="n"/>
      <c r="CE129" s="67" t="n"/>
      <c r="CF129" s="67" t="n"/>
      <c r="CG129" s="67" t="n"/>
      <c r="CH129" s="67" t="n"/>
      <c r="CI129" s="67" t="n"/>
      <c r="CJ129" s="67" t="n"/>
      <c r="CK129" s="67" t="n"/>
      <c r="CL129" s="67" t="n"/>
      <c r="CM129" s="67" t="n"/>
      <c r="CN129" s="67" t="n"/>
      <c r="CO129" s="67" t="n"/>
      <c r="CP129" s="67" t="n"/>
      <c r="CQ129" s="67" t="n"/>
    </row>
    <row r="130">
      <c r="AA130" s="77" t="n"/>
      <c r="BM130" s="67" t="n"/>
      <c r="BN130" s="67" t="n"/>
      <c r="BO130" s="67" t="n"/>
      <c r="BP130" s="67" t="n"/>
      <c r="BQ130" s="67" t="n"/>
      <c r="BR130" s="67" t="n"/>
      <c r="BS130" s="67" t="n"/>
      <c r="BT130" s="67" t="n"/>
      <c r="BU130" s="67" t="n"/>
      <c r="BV130" s="67" t="n"/>
      <c r="BW130" s="67" t="n"/>
      <c r="BX130" s="67" t="n"/>
      <c r="BY130" s="67" t="n"/>
      <c r="BZ130" s="67" t="n"/>
      <c r="CD130" s="67" t="n"/>
      <c r="CE130" s="67" t="n"/>
      <c r="CF130" s="67" t="n"/>
      <c r="CG130" s="67" t="n"/>
      <c r="CH130" s="67" t="n"/>
      <c r="CI130" s="67" t="n"/>
      <c r="CJ130" s="67" t="n"/>
      <c r="CK130" s="67" t="n"/>
      <c r="CL130" s="67" t="n"/>
      <c r="CM130" s="67" t="n"/>
      <c r="CN130" s="67" t="n"/>
      <c r="CO130" s="67" t="n"/>
      <c r="CP130" s="67" t="n"/>
      <c r="CQ130" s="67" t="n"/>
    </row>
    <row r="131">
      <c r="AA131" s="77" t="n"/>
      <c r="BM131" s="67" t="n"/>
      <c r="BN131" s="67" t="n"/>
      <c r="BO131" s="67" t="n"/>
      <c r="BP131" s="67" t="n"/>
      <c r="BQ131" s="67" t="n"/>
      <c r="BR131" s="67" t="n"/>
      <c r="BS131" s="67" t="n"/>
      <c r="BT131" s="67" t="n"/>
      <c r="BU131" s="67" t="n"/>
      <c r="BV131" s="67" t="n"/>
      <c r="BW131" s="67" t="n"/>
      <c r="BX131" s="67" t="n"/>
      <c r="BY131" s="67" t="n"/>
      <c r="BZ131" s="67" t="n"/>
      <c r="CD131" s="67" t="n"/>
      <c r="CE131" s="67" t="n"/>
      <c r="CF131" s="67" t="n"/>
      <c r="CG131" s="67" t="n"/>
      <c r="CH131" s="67" t="n"/>
      <c r="CI131" s="67" t="n"/>
      <c r="CJ131" s="67" t="n"/>
      <c r="CK131" s="67" t="n"/>
      <c r="CL131" s="67" t="n"/>
      <c r="CM131" s="67" t="n"/>
      <c r="CN131" s="67" t="n"/>
      <c r="CO131" s="67" t="n"/>
      <c r="CP131" s="67" t="n"/>
      <c r="CQ131" s="67" t="n"/>
    </row>
    <row r="132">
      <c r="AA132" s="77" t="n"/>
      <c r="BM132" s="67" t="n"/>
      <c r="BN132" s="67" t="n"/>
      <c r="BO132" s="67" t="n"/>
      <c r="BP132" s="67" t="n"/>
      <c r="BQ132" s="67" t="n"/>
      <c r="BR132" s="67" t="n"/>
      <c r="BS132" s="67" t="n"/>
      <c r="BT132" s="67" t="n"/>
      <c r="BU132" s="67" t="n"/>
      <c r="BV132" s="67" t="n"/>
      <c r="BW132" s="67" t="n"/>
      <c r="BX132" s="67" t="n"/>
      <c r="BY132" s="67" t="n"/>
      <c r="BZ132" s="67" t="n"/>
      <c r="CD132" s="67" t="n"/>
      <c r="CE132" s="67" t="n"/>
      <c r="CF132" s="67" t="n"/>
      <c r="CG132" s="67" t="n"/>
      <c r="CH132" s="67" t="n"/>
      <c r="CI132" s="67" t="n"/>
      <c r="CJ132" s="67" t="n"/>
      <c r="CK132" s="67" t="n"/>
      <c r="CL132" s="67" t="n"/>
      <c r="CM132" s="67" t="n"/>
      <c r="CN132" s="67" t="n"/>
      <c r="CO132" s="67" t="n"/>
      <c r="CP132" s="67" t="n"/>
      <c r="CQ132" s="67" t="n"/>
    </row>
    <row r="133">
      <c r="BM133" s="67" t="n"/>
      <c r="BN133" s="67" t="n"/>
      <c r="BO133" s="67" t="n"/>
      <c r="BP133" s="67" t="n"/>
      <c r="BQ133" s="67" t="n"/>
      <c r="BR133" s="67" t="n"/>
      <c r="BS133" s="67" t="n"/>
      <c r="BT133" s="67" t="n"/>
      <c r="BU133" s="67" t="n"/>
      <c r="BV133" s="67" t="n"/>
      <c r="BW133" s="67" t="n"/>
      <c r="BX133" s="67" t="n"/>
      <c r="BY133" s="67" t="n"/>
      <c r="BZ133" s="67" t="n"/>
      <c r="CD133" s="67" t="n"/>
      <c r="CE133" s="67" t="n"/>
      <c r="CF133" s="67" t="n"/>
      <c r="CG133" s="67" t="n"/>
      <c r="CH133" s="67" t="n"/>
      <c r="CI133" s="67" t="n"/>
      <c r="CJ133" s="67" t="n"/>
      <c r="CK133" s="67" t="n"/>
      <c r="CL133" s="67" t="n"/>
      <c r="CM133" s="67" t="n"/>
      <c r="CN133" s="67" t="n"/>
      <c r="CO133" s="67" t="n"/>
      <c r="CP133" s="67" t="n"/>
      <c r="CQ133" s="67" t="n"/>
    </row>
    <row r="134">
      <c r="BM134" s="67" t="n"/>
      <c r="BN134" s="67" t="n"/>
      <c r="BO134" s="67" t="n"/>
      <c r="BP134" s="67" t="n"/>
      <c r="BQ134" s="67" t="n"/>
      <c r="BR134" s="67" t="n"/>
      <c r="BS134" s="67" t="n"/>
      <c r="BT134" s="67" t="n"/>
      <c r="BU134" s="67" t="n"/>
      <c r="BV134" s="67" t="n"/>
      <c r="BW134" s="67" t="n"/>
      <c r="BX134" s="67" t="n"/>
      <c r="BY134" s="67" t="n"/>
      <c r="BZ134" s="67" t="n"/>
      <c r="CD134" s="67" t="n"/>
      <c r="CE134" s="67" t="n"/>
      <c r="CF134" s="67" t="n"/>
      <c r="CG134" s="67" t="n"/>
      <c r="CH134" s="67" t="n"/>
      <c r="CI134" s="67" t="n"/>
      <c r="CJ134" s="67" t="n"/>
      <c r="CK134" s="67" t="n"/>
      <c r="CL134" s="67" t="n"/>
      <c r="CM134" s="67" t="n"/>
      <c r="CN134" s="67" t="n"/>
      <c r="CO134" s="67" t="n"/>
      <c r="CP134" s="67" t="n"/>
      <c r="CQ134" s="67" t="n"/>
    </row>
    <row r="135">
      <c r="BM135" s="67" t="n"/>
      <c r="BN135" s="67" t="n"/>
      <c r="BO135" s="67" t="n"/>
      <c r="BP135" s="67" t="n"/>
      <c r="BQ135" s="67" t="n"/>
      <c r="BR135" s="67" t="n"/>
      <c r="BS135" s="67" t="n"/>
      <c r="BT135" s="67" t="n"/>
      <c r="BU135" s="67" t="n"/>
      <c r="BV135" s="67" t="n"/>
      <c r="BW135" s="67" t="n"/>
      <c r="BX135" s="67" t="n"/>
      <c r="BY135" s="67" t="n"/>
      <c r="BZ135" s="67" t="n"/>
      <c r="CD135" s="67" t="n"/>
      <c r="CE135" s="67" t="n"/>
      <c r="CF135" s="67" t="n"/>
      <c r="CG135" s="67" t="n"/>
      <c r="CH135" s="67" t="n"/>
      <c r="CI135" s="67" t="n"/>
      <c r="CJ135" s="67" t="n"/>
      <c r="CK135" s="67" t="n"/>
      <c r="CL135" s="67" t="n"/>
      <c r="CM135" s="67" t="n"/>
      <c r="CN135" s="67" t="n"/>
      <c r="CO135" s="67" t="n"/>
      <c r="CP135" s="67" t="n"/>
      <c r="CQ135" s="67" t="n"/>
    </row>
    <row r="136">
      <c r="BM136" s="67" t="n"/>
      <c r="BN136" s="67" t="n"/>
      <c r="BO136" s="67" t="n"/>
      <c r="BP136" s="67" t="n"/>
      <c r="BQ136" s="67" t="n"/>
      <c r="BR136" s="67" t="n"/>
      <c r="BS136" s="67" t="n"/>
      <c r="BT136" s="67" t="n"/>
      <c r="BU136" s="67" t="n"/>
      <c r="BV136" s="67" t="n"/>
      <c r="BW136" s="67" t="n"/>
      <c r="BX136" s="67" t="n"/>
      <c r="BY136" s="67" t="n"/>
      <c r="BZ136" s="67" t="n"/>
      <c r="CD136" s="67" t="n"/>
      <c r="CE136" s="67" t="n"/>
      <c r="CF136" s="67" t="n"/>
      <c r="CG136" s="67" t="n"/>
      <c r="CH136" s="67" t="n"/>
      <c r="CI136" s="67" t="n"/>
      <c r="CJ136" s="67" t="n"/>
      <c r="CK136" s="67" t="n"/>
      <c r="CL136" s="67" t="n"/>
      <c r="CM136" s="67" t="n"/>
      <c r="CN136" s="67" t="n"/>
      <c r="CO136" s="67" t="n"/>
      <c r="CP136" s="67" t="n"/>
      <c r="CQ136" s="67" t="n"/>
    </row>
    <row r="137">
      <c r="BM137" s="67" t="n"/>
      <c r="BN137" s="67" t="n"/>
      <c r="BO137" s="67" t="n"/>
      <c r="BP137" s="67" t="n"/>
      <c r="BQ137" s="67" t="n"/>
      <c r="BR137" s="67" t="n"/>
      <c r="BS137" s="67" t="n"/>
      <c r="BT137" s="67" t="n"/>
      <c r="BU137" s="67" t="n"/>
      <c r="BV137" s="67" t="n"/>
      <c r="BW137" s="67" t="n"/>
      <c r="BX137" s="67" t="n"/>
      <c r="BY137" s="67" t="n"/>
      <c r="BZ137" s="67" t="n"/>
      <c r="CD137" s="67" t="n"/>
      <c r="CE137" s="67" t="n"/>
      <c r="CF137" s="67" t="n"/>
      <c r="CG137" s="67" t="n"/>
      <c r="CH137" s="67" t="n"/>
      <c r="CI137" s="67" t="n"/>
      <c r="CJ137" s="67" t="n"/>
      <c r="CK137" s="67" t="n"/>
      <c r="CL137" s="67" t="n"/>
      <c r="CM137" s="67" t="n"/>
      <c r="CN137" s="67" t="n"/>
      <c r="CO137" s="67" t="n"/>
      <c r="CP137" s="67" t="n"/>
      <c r="CQ137" s="67" t="n"/>
    </row>
    <row r="138">
      <c r="BM138" s="67" t="n"/>
      <c r="BN138" s="67" t="n"/>
      <c r="BO138" s="67" t="n"/>
      <c r="BP138" s="67" t="n"/>
      <c r="BQ138" s="67" t="n"/>
      <c r="BR138" s="67" t="n"/>
      <c r="BS138" s="67" t="n"/>
      <c r="BT138" s="67" t="n"/>
      <c r="BU138" s="67" t="n"/>
      <c r="BV138" s="67" t="n"/>
      <c r="BW138" s="67" t="n"/>
      <c r="BX138" s="67" t="n"/>
      <c r="BY138" s="67" t="n"/>
      <c r="BZ138" s="67" t="n"/>
      <c r="CD138" s="67" t="n"/>
      <c r="CE138" s="67" t="n"/>
      <c r="CF138" s="67" t="n"/>
      <c r="CG138" s="67" t="n"/>
      <c r="CH138" s="67" t="n"/>
      <c r="CI138" s="67" t="n"/>
      <c r="CJ138" s="67" t="n"/>
      <c r="CK138" s="67" t="n"/>
      <c r="CL138" s="67" t="n"/>
      <c r="CM138" s="67" t="n"/>
      <c r="CN138" s="67" t="n"/>
      <c r="CO138" s="67" t="n"/>
      <c r="CP138" s="67" t="n"/>
      <c r="CQ138" s="67" t="n"/>
    </row>
    <row r="139">
      <c r="BM139" s="67" t="n"/>
      <c r="BN139" s="67" t="n"/>
      <c r="BO139" s="67" t="n"/>
      <c r="BP139" s="67" t="n"/>
      <c r="BQ139" s="67" t="n"/>
      <c r="BR139" s="67" t="n"/>
      <c r="BS139" s="67" t="n"/>
      <c r="BT139" s="67" t="n"/>
      <c r="BU139" s="67" t="n"/>
      <c r="BV139" s="67" t="n"/>
      <c r="BW139" s="67" t="n"/>
      <c r="BX139" s="67" t="n"/>
      <c r="BY139" s="67" t="n"/>
      <c r="BZ139" s="67" t="n"/>
      <c r="CD139" s="67" t="n"/>
      <c r="CE139" s="67" t="n"/>
      <c r="CF139" s="67" t="n"/>
      <c r="CG139" s="67" t="n"/>
      <c r="CH139" s="67" t="n"/>
      <c r="CI139" s="67" t="n"/>
      <c r="CJ139" s="67" t="n"/>
      <c r="CK139" s="67" t="n"/>
      <c r="CL139" s="67" t="n"/>
      <c r="CM139" s="67" t="n"/>
      <c r="CN139" s="67" t="n"/>
      <c r="CO139" s="67" t="n"/>
      <c r="CP139" s="67" t="n"/>
      <c r="CQ139" s="67" t="n"/>
    </row>
    <row r="140">
      <c r="BM140" s="67" t="n"/>
      <c r="BN140" s="67" t="n"/>
      <c r="BO140" s="67" t="n"/>
      <c r="BP140" s="67" t="n"/>
      <c r="BQ140" s="67" t="n"/>
      <c r="BR140" s="67" t="n"/>
      <c r="BS140" s="67" t="n"/>
      <c r="BT140" s="67" t="n"/>
      <c r="BU140" s="67" t="n"/>
      <c r="BV140" s="67" t="n"/>
      <c r="BW140" s="67" t="n"/>
      <c r="BX140" s="67" t="n"/>
      <c r="BY140" s="67" t="n"/>
      <c r="BZ140" s="67" t="n"/>
      <c r="CD140" s="67" t="n"/>
      <c r="CE140" s="67" t="n"/>
      <c r="CF140" s="67" t="n"/>
      <c r="CG140" s="67" t="n"/>
      <c r="CH140" s="67" t="n"/>
      <c r="CI140" s="67" t="n"/>
      <c r="CJ140" s="67" t="n"/>
      <c r="CK140" s="67" t="n"/>
      <c r="CL140" s="67" t="n"/>
      <c r="CM140" s="67" t="n"/>
      <c r="CN140" s="67" t="n"/>
      <c r="CO140" s="67" t="n"/>
      <c r="CP140" s="67" t="n"/>
      <c r="CQ140" s="67" t="n"/>
    </row>
    <row r="141">
      <c r="BM141" s="67" t="n"/>
      <c r="BN141" s="67" t="n"/>
      <c r="BO141" s="67" t="n"/>
      <c r="BP141" s="67" t="n"/>
      <c r="BQ141" s="67" t="n"/>
      <c r="BR141" s="67" t="n"/>
      <c r="BS141" s="67" t="n"/>
      <c r="BT141" s="67" t="n"/>
      <c r="BU141" s="67" t="n"/>
      <c r="BV141" s="67" t="n"/>
      <c r="BW141" s="67" t="n"/>
      <c r="BX141" s="67" t="n"/>
      <c r="BY141" s="67" t="n"/>
      <c r="BZ141" s="67" t="n"/>
      <c r="CD141" s="67" t="n"/>
      <c r="CE141" s="67" t="n"/>
      <c r="CF141" s="67" t="n"/>
      <c r="CG141" s="67" t="n"/>
      <c r="CH141" s="67" t="n"/>
      <c r="CI141" s="67" t="n"/>
      <c r="CJ141" s="67" t="n"/>
      <c r="CK141" s="67" t="n"/>
      <c r="CL141" s="67" t="n"/>
      <c r="CM141" s="67" t="n"/>
      <c r="CN141" s="67" t="n"/>
      <c r="CO141" s="67" t="n"/>
      <c r="CP141" s="67" t="n"/>
      <c r="CQ141" s="67" t="n"/>
    </row>
    <row r="142">
      <c r="BM142" s="67" t="n"/>
      <c r="BN142" s="67" t="n"/>
      <c r="BO142" s="67" t="n"/>
      <c r="BP142" s="67" t="n"/>
      <c r="BQ142" s="67" t="n"/>
      <c r="BR142" s="67" t="n"/>
      <c r="BS142" s="67" t="n"/>
      <c r="BT142" s="67" t="n"/>
      <c r="BU142" s="67" t="n"/>
      <c r="BV142" s="67" t="n"/>
      <c r="BW142" s="67" t="n"/>
      <c r="BX142" s="67" t="n"/>
      <c r="BY142" s="67" t="n"/>
      <c r="BZ142" s="67" t="n"/>
      <c r="CD142" s="67" t="n"/>
      <c r="CE142" s="67" t="n"/>
      <c r="CF142" s="67" t="n"/>
      <c r="CG142" s="67" t="n"/>
      <c r="CH142" s="67" t="n"/>
      <c r="CI142" s="67" t="n"/>
      <c r="CJ142" s="67" t="n"/>
      <c r="CK142" s="67" t="n"/>
      <c r="CL142" s="67" t="n"/>
      <c r="CM142" s="67" t="n"/>
      <c r="CN142" s="67" t="n"/>
      <c r="CO142" s="67" t="n"/>
      <c r="CP142" s="67" t="n"/>
      <c r="CQ142" s="67" t="n"/>
    </row>
    <row r="143">
      <c r="BM143" s="67" t="n"/>
      <c r="BN143" s="67" t="n"/>
      <c r="BO143" s="67" t="n"/>
      <c r="BP143" s="67" t="n"/>
      <c r="BQ143" s="67" t="n"/>
      <c r="BR143" s="67" t="n"/>
      <c r="BS143" s="67" t="n"/>
      <c r="BT143" s="67" t="n"/>
      <c r="BU143" s="67" t="n"/>
      <c r="BV143" s="67" t="n"/>
      <c r="BW143" s="67" t="n"/>
      <c r="BX143" s="67" t="n"/>
      <c r="BY143" s="67" t="n"/>
      <c r="BZ143" s="67" t="n"/>
      <c r="CD143" s="67" t="n"/>
      <c r="CE143" s="67" t="n"/>
      <c r="CF143" s="67" t="n"/>
      <c r="CG143" s="67" t="n"/>
      <c r="CH143" s="67" t="n"/>
      <c r="CI143" s="67" t="n"/>
      <c r="CJ143" s="67" t="n"/>
      <c r="CK143" s="67" t="n"/>
      <c r="CL143" s="67" t="n"/>
      <c r="CM143" s="67" t="n"/>
      <c r="CN143" s="67" t="n"/>
      <c r="CO143" s="67" t="n"/>
      <c r="CP143" s="67" t="n"/>
      <c r="CQ143" s="67" t="n"/>
    </row>
    <row r="144">
      <c r="BM144" s="67" t="n"/>
      <c r="BN144" s="67" t="n"/>
      <c r="BO144" s="67" t="n"/>
      <c r="BP144" s="67" t="n"/>
      <c r="BQ144" s="67" t="n"/>
      <c r="BR144" s="67" t="n"/>
      <c r="BS144" s="67" t="n"/>
      <c r="BT144" s="67" t="n"/>
      <c r="BU144" s="67" t="n"/>
      <c r="BV144" s="67" t="n"/>
      <c r="BW144" s="67" t="n"/>
      <c r="BX144" s="67" t="n"/>
      <c r="BY144" s="67" t="n"/>
      <c r="BZ144" s="67" t="n"/>
      <c r="CD144" s="67" t="n"/>
      <c r="CE144" s="67" t="n"/>
      <c r="CF144" s="67" t="n"/>
      <c r="CG144" s="67" t="n"/>
      <c r="CH144" s="67" t="n"/>
      <c r="CI144" s="67" t="n"/>
      <c r="CJ144" s="67" t="n"/>
      <c r="CK144" s="67" t="n"/>
      <c r="CL144" s="67" t="n"/>
      <c r="CM144" s="67" t="n"/>
      <c r="CN144" s="67" t="n"/>
      <c r="CO144" s="67" t="n"/>
      <c r="CP144" s="67" t="n"/>
      <c r="CQ144" s="67" t="n"/>
    </row>
    <row r="145">
      <c r="BM145" s="67" t="n"/>
      <c r="BN145" s="67" t="n"/>
      <c r="BO145" s="67" t="n"/>
      <c r="BP145" s="67" t="n"/>
      <c r="BQ145" s="67" t="n"/>
      <c r="BR145" s="67" t="n"/>
      <c r="BS145" s="67" t="n"/>
      <c r="BT145" s="67" t="n"/>
      <c r="BU145" s="67" t="n"/>
      <c r="BV145" s="67" t="n"/>
      <c r="BW145" s="67" t="n"/>
      <c r="BX145" s="67" t="n"/>
      <c r="BY145" s="67" t="n"/>
      <c r="BZ145" s="67" t="n"/>
      <c r="CD145" s="67" t="n"/>
      <c r="CE145" s="67" t="n"/>
      <c r="CF145" s="67" t="n"/>
      <c r="CG145" s="67" t="n"/>
      <c r="CH145" s="67" t="n"/>
      <c r="CI145" s="67" t="n"/>
      <c r="CJ145" s="67" t="n"/>
      <c r="CK145" s="67" t="n"/>
      <c r="CL145" s="67" t="n"/>
      <c r="CM145" s="67" t="n"/>
      <c r="CN145" s="67" t="n"/>
      <c r="CO145" s="67" t="n"/>
      <c r="CP145" s="67" t="n"/>
      <c r="CQ145" s="67" t="n"/>
    </row>
    <row r="146">
      <c r="BM146" s="67" t="n"/>
      <c r="BN146" s="67" t="n"/>
      <c r="BO146" s="67" t="n"/>
      <c r="BP146" s="67" t="n"/>
      <c r="BQ146" s="67" t="n"/>
      <c r="BR146" s="67" t="n"/>
      <c r="BS146" s="67" t="n"/>
      <c r="BT146" s="67" t="n"/>
      <c r="BU146" s="67" t="n"/>
      <c r="BV146" s="67" t="n"/>
      <c r="BW146" s="67" t="n"/>
      <c r="BX146" s="67" t="n"/>
      <c r="BY146" s="67" t="n"/>
      <c r="BZ146" s="67" t="n"/>
      <c r="CD146" s="67" t="n"/>
      <c r="CE146" s="67" t="n"/>
      <c r="CF146" s="67" t="n"/>
      <c r="CG146" s="67" t="n"/>
      <c r="CH146" s="67" t="n"/>
      <c r="CI146" s="67" t="n"/>
      <c r="CJ146" s="67" t="n"/>
      <c r="CK146" s="67" t="n"/>
      <c r="CL146" s="67" t="n"/>
      <c r="CM146" s="67" t="n"/>
      <c r="CN146" s="67" t="n"/>
      <c r="CO146" s="67" t="n"/>
      <c r="CP146" s="67" t="n"/>
      <c r="CQ146" s="67" t="n"/>
    </row>
    <row r="147">
      <c r="BM147" s="67" t="n"/>
      <c r="BN147" s="67" t="n"/>
      <c r="BO147" s="67" t="n"/>
      <c r="BP147" s="67" t="n"/>
      <c r="BQ147" s="67" t="n"/>
      <c r="BR147" s="67" t="n"/>
      <c r="BS147" s="67" t="n"/>
      <c r="BT147" s="67" t="n"/>
      <c r="BU147" s="67" t="n"/>
      <c r="BV147" s="67" t="n"/>
      <c r="BW147" s="67" t="n"/>
      <c r="BX147" s="67" t="n"/>
      <c r="BY147" s="67" t="n"/>
      <c r="BZ147" s="67" t="n"/>
      <c r="CD147" s="67" t="n"/>
      <c r="CE147" s="67" t="n"/>
      <c r="CF147" s="67" t="n"/>
      <c r="CG147" s="67" t="n"/>
      <c r="CH147" s="67" t="n"/>
      <c r="CI147" s="67" t="n"/>
      <c r="CJ147" s="67" t="n"/>
      <c r="CK147" s="67" t="n"/>
      <c r="CL147" s="67" t="n"/>
      <c r="CM147" s="67" t="n"/>
      <c r="CN147" s="67" t="n"/>
      <c r="CO147" s="67" t="n"/>
      <c r="CP147" s="67" t="n"/>
      <c r="CQ147" s="67" t="n"/>
    </row>
    <row r="148">
      <c r="BM148" s="67" t="n"/>
      <c r="BN148" s="67" t="n"/>
      <c r="BO148" s="67" t="n"/>
      <c r="BP148" s="67" t="n"/>
      <c r="BQ148" s="67" t="n"/>
      <c r="BR148" s="67" t="n"/>
      <c r="BS148" s="67" t="n"/>
      <c r="BT148" s="67" t="n"/>
      <c r="BU148" s="67" t="n"/>
      <c r="BV148" s="67" t="n"/>
      <c r="BW148" s="67" t="n"/>
      <c r="BX148" s="67" t="n"/>
      <c r="BY148" s="67" t="n"/>
      <c r="BZ148" s="67" t="n"/>
      <c r="CD148" s="67" t="n"/>
      <c r="CE148" s="67" t="n"/>
      <c r="CF148" s="67" t="n"/>
      <c r="CG148" s="67" t="n"/>
      <c r="CH148" s="67" t="n"/>
      <c r="CI148" s="67" t="n"/>
      <c r="CJ148" s="67" t="n"/>
      <c r="CK148" s="67" t="n"/>
      <c r="CL148" s="67" t="n"/>
      <c r="CM148" s="67" t="n"/>
      <c r="CN148" s="67" t="n"/>
      <c r="CO148" s="67" t="n"/>
      <c r="CP148" s="67" t="n"/>
      <c r="CQ148" s="67" t="n"/>
    </row>
    <row r="149">
      <c r="BM149" s="67" t="n"/>
      <c r="BN149" s="67" t="n"/>
      <c r="BO149" s="67" t="n"/>
      <c r="BP149" s="67" t="n"/>
      <c r="BQ149" s="67" t="n"/>
      <c r="BR149" s="67" t="n"/>
      <c r="BS149" s="67" t="n"/>
      <c r="BT149" s="67" t="n"/>
      <c r="BU149" s="67" t="n"/>
      <c r="BV149" s="67" t="n"/>
      <c r="BW149" s="67" t="n"/>
      <c r="BX149" s="67" t="n"/>
      <c r="BY149" s="67" t="n"/>
      <c r="BZ149" s="67" t="n"/>
      <c r="CD149" s="67" t="n"/>
      <c r="CE149" s="67" t="n"/>
      <c r="CF149" s="67" t="n"/>
      <c r="CG149" s="67" t="n"/>
      <c r="CH149" s="67" t="n"/>
      <c r="CI149" s="67" t="n"/>
      <c r="CJ149" s="67" t="n"/>
      <c r="CK149" s="67" t="n"/>
      <c r="CL149" s="67" t="n"/>
      <c r="CM149" s="67" t="n"/>
      <c r="CN149" s="67" t="n"/>
      <c r="CO149" s="67" t="n"/>
      <c r="CP149" s="67" t="n"/>
      <c r="CQ149" s="67" t="n"/>
    </row>
    <row r="150">
      <c r="BM150" s="67" t="n"/>
      <c r="BN150" s="67" t="n"/>
      <c r="BO150" s="67" t="n"/>
      <c r="BP150" s="67" t="n"/>
      <c r="BQ150" s="67" t="n"/>
      <c r="BR150" s="67" t="n"/>
      <c r="BS150" s="67" t="n"/>
      <c r="BT150" s="67" t="n"/>
      <c r="BU150" s="67" t="n"/>
      <c r="BV150" s="67" t="n"/>
      <c r="BW150" s="67" t="n"/>
      <c r="BX150" s="67" t="n"/>
      <c r="BY150" s="67" t="n"/>
      <c r="BZ150" s="67" t="n"/>
      <c r="CD150" s="67" t="n"/>
      <c r="CE150" s="67" t="n"/>
      <c r="CF150" s="67" t="n"/>
      <c r="CG150" s="67" t="n"/>
      <c r="CH150" s="67" t="n"/>
      <c r="CI150" s="67" t="n"/>
      <c r="CJ150" s="67" t="n"/>
      <c r="CK150" s="67" t="n"/>
      <c r="CL150" s="67" t="n"/>
      <c r="CM150" s="67" t="n"/>
      <c r="CN150" s="67" t="n"/>
      <c r="CO150" s="67" t="n"/>
      <c r="CP150" s="67" t="n"/>
      <c r="CQ150" s="67" t="n"/>
    </row>
    <row r="151">
      <c r="BM151" s="67" t="n"/>
      <c r="BN151" s="67" t="n"/>
      <c r="BO151" s="67" t="n"/>
      <c r="BP151" s="67" t="n"/>
      <c r="BQ151" s="67" t="n"/>
      <c r="BR151" s="67" t="n"/>
      <c r="BS151" s="67" t="n"/>
      <c r="BT151" s="67" t="n"/>
      <c r="BU151" s="67" t="n"/>
      <c r="BV151" s="67" t="n"/>
      <c r="BW151" s="67" t="n"/>
      <c r="BX151" s="67" t="n"/>
      <c r="BY151" s="67" t="n"/>
      <c r="BZ151" s="67" t="n"/>
      <c r="CD151" s="67" t="n"/>
      <c r="CE151" s="67" t="n"/>
      <c r="CF151" s="67" t="n"/>
      <c r="CG151" s="67" t="n"/>
      <c r="CH151" s="67" t="n"/>
      <c r="CI151" s="67" t="n"/>
      <c r="CJ151" s="67" t="n"/>
      <c r="CK151" s="67" t="n"/>
      <c r="CL151" s="67" t="n"/>
      <c r="CM151" s="67" t="n"/>
      <c r="CN151" s="67" t="n"/>
      <c r="CO151" s="67" t="n"/>
      <c r="CP151" s="67" t="n"/>
      <c r="CQ151" s="67" t="n"/>
    </row>
    <row r="152">
      <c r="BM152" s="67" t="n"/>
      <c r="BN152" s="67" t="n"/>
      <c r="BO152" s="67" t="n"/>
      <c r="BP152" s="67" t="n"/>
      <c r="BQ152" s="67" t="n"/>
      <c r="BR152" s="67" t="n"/>
      <c r="BS152" s="67" t="n"/>
      <c r="BT152" s="67" t="n"/>
      <c r="BU152" s="67" t="n"/>
      <c r="BV152" s="67" t="n"/>
      <c r="BW152" s="67" t="n"/>
      <c r="BX152" s="67" t="n"/>
      <c r="BY152" s="67" t="n"/>
      <c r="BZ152" s="67" t="n"/>
      <c r="CD152" s="67" t="n"/>
      <c r="CE152" s="67" t="n"/>
      <c r="CF152" s="67" t="n"/>
      <c r="CG152" s="67" t="n"/>
      <c r="CH152" s="67" t="n"/>
      <c r="CI152" s="67" t="n"/>
      <c r="CJ152" s="67" t="n"/>
      <c r="CK152" s="67" t="n"/>
      <c r="CL152" s="67" t="n"/>
      <c r="CM152" s="67" t="n"/>
      <c r="CN152" s="67" t="n"/>
      <c r="CO152" s="67" t="n"/>
      <c r="CP152" s="67" t="n"/>
      <c r="CQ152" s="67" t="n"/>
    </row>
    <row r="153">
      <c r="BM153" s="67" t="n"/>
      <c r="BN153" s="67" t="n"/>
      <c r="BO153" s="67" t="n"/>
      <c r="BP153" s="67" t="n"/>
      <c r="BQ153" s="67" t="n"/>
      <c r="BR153" s="67" t="n"/>
      <c r="BS153" s="67" t="n"/>
      <c r="BT153" s="67" t="n"/>
      <c r="BU153" s="67" t="n"/>
      <c r="BV153" s="67" t="n"/>
      <c r="BW153" s="67" t="n"/>
      <c r="BX153" s="67" t="n"/>
      <c r="BY153" s="67" t="n"/>
      <c r="BZ153" s="67" t="n"/>
      <c r="CD153" s="67" t="n"/>
      <c r="CE153" s="67" t="n"/>
      <c r="CF153" s="67" t="n"/>
      <c r="CG153" s="67" t="n"/>
      <c r="CH153" s="67" t="n"/>
      <c r="CI153" s="67" t="n"/>
      <c r="CJ153" s="67" t="n"/>
      <c r="CK153" s="67" t="n"/>
      <c r="CL153" s="67" t="n"/>
      <c r="CM153" s="67" t="n"/>
      <c r="CN153" s="67" t="n"/>
      <c r="CO153" s="67" t="n"/>
      <c r="CP153" s="67" t="n"/>
      <c r="CQ153" s="67" t="n"/>
    </row>
    <row r="154">
      <c r="BM154" s="67" t="n"/>
      <c r="BN154" s="67" t="n"/>
      <c r="BO154" s="67" t="n"/>
      <c r="BP154" s="67" t="n"/>
      <c r="BQ154" s="67" t="n"/>
      <c r="BR154" s="67" t="n"/>
      <c r="BS154" s="67" t="n"/>
      <c r="BT154" s="67" t="n"/>
      <c r="BU154" s="67" t="n"/>
      <c r="BV154" s="67" t="n"/>
      <c r="BW154" s="67" t="n"/>
      <c r="BX154" s="67" t="n"/>
      <c r="BY154" s="67" t="n"/>
      <c r="BZ154" s="67" t="n"/>
      <c r="CD154" s="67" t="n"/>
      <c r="CE154" s="67" t="n"/>
      <c r="CF154" s="67" t="n"/>
      <c r="CG154" s="67" t="n"/>
      <c r="CH154" s="67" t="n"/>
      <c r="CI154" s="67" t="n"/>
      <c r="CJ154" s="67" t="n"/>
      <c r="CK154" s="67" t="n"/>
      <c r="CL154" s="67" t="n"/>
      <c r="CM154" s="67" t="n"/>
      <c r="CN154" s="67" t="n"/>
      <c r="CO154" s="67" t="n"/>
      <c r="CP154" s="67" t="n"/>
      <c r="CQ154" s="67" t="n"/>
    </row>
    <row r="155">
      <c r="BM155" s="67" t="n"/>
      <c r="BN155" s="67" t="n"/>
      <c r="BO155" s="67" t="n"/>
      <c r="BP155" s="67" t="n"/>
      <c r="BQ155" s="67" t="n"/>
      <c r="BR155" s="67" t="n"/>
      <c r="BS155" s="67" t="n"/>
      <c r="BT155" s="67" t="n"/>
      <c r="BU155" s="67" t="n"/>
      <c r="BV155" s="67" t="n"/>
      <c r="BW155" s="67" t="n"/>
      <c r="BX155" s="67" t="n"/>
      <c r="BY155" s="67" t="n"/>
      <c r="BZ155" s="67" t="n"/>
      <c r="CD155" s="67" t="n"/>
      <c r="CE155" s="67" t="n"/>
      <c r="CF155" s="67" t="n"/>
      <c r="CG155" s="67" t="n"/>
      <c r="CH155" s="67" t="n"/>
      <c r="CI155" s="67" t="n"/>
      <c r="CJ155" s="67" t="n"/>
      <c r="CK155" s="67" t="n"/>
      <c r="CL155" s="67" t="n"/>
      <c r="CM155" s="67" t="n"/>
      <c r="CN155" s="67" t="n"/>
      <c r="CO155" s="67" t="n"/>
      <c r="CP155" s="67" t="n"/>
      <c r="CQ155" s="67" t="n"/>
    </row>
    <row r="156">
      <c r="BM156" s="67" t="n"/>
      <c r="BN156" s="67" t="n"/>
      <c r="BO156" s="67" t="n"/>
      <c r="BP156" s="67" t="n"/>
      <c r="BQ156" s="67" t="n"/>
      <c r="BR156" s="67" t="n"/>
      <c r="BS156" s="67" t="n"/>
      <c r="BT156" s="67" t="n"/>
      <c r="BU156" s="67" t="n"/>
      <c r="BV156" s="67" t="n"/>
      <c r="BW156" s="67" t="n"/>
      <c r="BX156" s="67" t="n"/>
      <c r="BY156" s="67" t="n"/>
      <c r="BZ156" s="67" t="n"/>
      <c r="CD156" s="67" t="n"/>
      <c r="CE156" s="67" t="n"/>
      <c r="CF156" s="67" t="n"/>
      <c r="CG156" s="67" t="n"/>
      <c r="CH156" s="67" t="n"/>
      <c r="CI156" s="67" t="n"/>
      <c r="CJ156" s="67" t="n"/>
      <c r="CK156" s="67" t="n"/>
      <c r="CL156" s="67" t="n"/>
      <c r="CM156" s="67" t="n"/>
      <c r="CN156" s="67" t="n"/>
      <c r="CO156" s="67" t="n"/>
      <c r="CP156" s="67" t="n"/>
      <c r="CQ156" s="67" t="n"/>
    </row>
  </sheetData>
  <mergeCells count="27">
    <mergeCell ref="CE3:CG3"/>
    <mergeCell ref="BN3:BP3"/>
    <mergeCell ref="AW3:AY3"/>
    <mergeCell ref="AC17:AC22"/>
    <mergeCell ref="AU5:AU10"/>
    <mergeCell ref="AU23:AU28"/>
    <mergeCell ref="B3:F3"/>
    <mergeCell ref="AU17:AU22"/>
    <mergeCell ref="AU35:AU40"/>
    <mergeCell ref="AB29:AB34"/>
    <mergeCell ref="AB5:AB10"/>
    <mergeCell ref="AU29:AU34"/>
    <mergeCell ref="AB35:AB40"/>
    <mergeCell ref="AC29:AC34"/>
    <mergeCell ref="AC5:AC10"/>
    <mergeCell ref="AC23:AC28"/>
    <mergeCell ref="CO3:CQ3"/>
    <mergeCell ref="AU11:AU16"/>
    <mergeCell ref="BX3:BZ3"/>
    <mergeCell ref="AB17:AB22"/>
    <mergeCell ref="AF3:AH3"/>
    <mergeCell ref="AB11:AB16"/>
    <mergeCell ref="AC35:AC40"/>
    <mergeCell ref="AP3:AR3"/>
    <mergeCell ref="BG3:BI3"/>
    <mergeCell ref="AB23:AB28"/>
    <mergeCell ref="AC11:AC16"/>
  </mergeCells>
  <dataValidations count="1">
    <dataValidation sqref="B3" showDropDown="0" showInputMessage="1" showErrorMessage="1" allowBlank="0" type="list">
      <formula1>$AA$4:$AA$89</formula1>
    </dataValidation>
  </dataValidations>
  <pageMargins left="0.75" right="0.75" top="1" bottom="1" header="0.5" footer="0.5"/>
  <pageSetup orientation="portrait"/>
  <drawing r:id="rId1"/>
</worksheet>
</file>

<file path=xl/worksheets/sheet4.xml><?xml version="1.0" encoding="utf-8"?>
<worksheet xmlns="http://schemas.openxmlformats.org/spreadsheetml/2006/main">
  <sheetPr codeName="Sheet22">
    <outlinePr summaryBelow="1" summaryRight="1"/>
    <pageSetUpPr/>
  </sheetPr>
  <dimension ref="A1:FS180"/>
  <sheetViews>
    <sheetView topLeftCell="A2" zoomScaleNormal="100" workbookViewId="0">
      <selection activeCell="CL5" sqref="CL5"/>
    </sheetView>
  </sheetViews>
  <sheetFormatPr baseColWidth="10" defaultColWidth="10.83203125" defaultRowHeight="13"/>
  <cols>
    <col width="10" bestFit="1" customWidth="1" style="262" min="1" max="1"/>
    <col width="8.33203125" bestFit="1" customWidth="1" style="262" min="2" max="2"/>
    <col width="11.1640625" bestFit="1" customWidth="1" style="262" min="3" max="3"/>
    <col width="8.1640625" bestFit="1" customWidth="1" style="262" min="4" max="6"/>
    <col width="12.1640625" customWidth="1" style="262" min="7" max="7"/>
    <col width="8.6640625" bestFit="1" customWidth="1" style="262" min="8" max="9"/>
    <col width="8.1640625" bestFit="1" customWidth="1" style="262" min="10" max="10"/>
    <col width="10.1640625" bestFit="1" customWidth="1" style="262" min="11" max="12"/>
    <col width="8.1640625" bestFit="1" customWidth="1" style="262" min="13" max="16"/>
    <col width="12.1640625" bestFit="1" customWidth="1" style="262" min="17" max="17"/>
    <col width="12.1640625" customWidth="1" style="262" min="18" max="19"/>
    <col width="8.1640625" bestFit="1" customWidth="1" style="262" min="20" max="20"/>
    <col width="11.1640625" bestFit="1" customWidth="1" style="262" min="21" max="21"/>
    <col width="8.1640625" bestFit="1" customWidth="1" style="262" min="22" max="24"/>
    <col width="12.1640625" customWidth="1" style="262" min="25" max="25"/>
    <col width="8.1640625" bestFit="1" customWidth="1" style="262" min="26" max="26"/>
    <col width="8.6640625" bestFit="1" customWidth="1" style="262" min="27" max="27"/>
    <col width="8.1640625" bestFit="1" customWidth="1" style="262" min="28" max="29"/>
    <col width="10.1640625" bestFit="1" customWidth="1" style="262" min="30" max="30"/>
    <col width="8.1640625" bestFit="1" customWidth="1" style="262" min="31" max="34"/>
    <col width="12.1640625" bestFit="1" customWidth="1" style="262" min="35" max="35"/>
    <col width="14.6640625" bestFit="1" customWidth="1" style="262" min="36" max="36"/>
    <col width="12.1640625" customWidth="1" style="262" min="37" max="39"/>
    <col width="9.33203125" bestFit="1" customWidth="1" style="262" min="40" max="40"/>
    <col outlineLevel="1" width="3.6640625" bestFit="1" customWidth="1" style="261" min="41" max="41"/>
    <col outlineLevel="1" width="12.1640625" bestFit="1" customWidth="1" style="261" min="42" max="42"/>
    <col outlineLevel="1" width="6.1640625" bestFit="1" customWidth="1" style="261" min="43" max="45"/>
    <col outlineLevel="1" width="6.33203125" bestFit="1" customWidth="1" style="261" min="46" max="46"/>
    <col outlineLevel="1" width="6.1640625" bestFit="1" customWidth="1" style="261" min="47" max="47"/>
    <col outlineLevel="1" width="6.33203125" bestFit="1" customWidth="1" style="261" min="48" max="48"/>
    <col outlineLevel="1" width="6.1640625" bestFit="1" customWidth="1" style="261" min="49" max="49"/>
    <col outlineLevel="1" width="6.33203125" bestFit="1" customWidth="1" style="261" min="50" max="50"/>
    <col outlineLevel="1" width="6.1640625" bestFit="1" customWidth="1" style="261" min="51" max="51"/>
    <col outlineLevel="1" width="2.1640625" bestFit="1" customWidth="1" style="261" min="52" max="53"/>
    <col outlineLevel="1" width="10.83203125" customWidth="1" style="261" min="54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12.1640625" bestFit="1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</f>
        <v/>
      </c>
      <c r="D5" s="129">
        <f>Anchor!M2</f>
        <v/>
      </c>
      <c r="E5" s="129">
        <f>Anchor!N2</f>
        <v/>
      </c>
      <c r="F5" s="129">
        <f>Anchor!O2</f>
        <v/>
      </c>
      <c r="G5" s="130">
        <f>('Summary (Full)'!$B$34*D5+'Summary (Full)'!$B$35*E5+'Summary (Full)'!$B$36*F5)/'Summary (Full)'!$B$37</f>
        <v/>
      </c>
      <c r="H5" s="129">
        <f>Anchor!P2</f>
        <v/>
      </c>
      <c r="I5" s="129">
        <f>Anchor!Q2</f>
        <v/>
      </c>
      <c r="J5" s="129">
        <f>Anchor!R2</f>
        <v/>
      </c>
      <c r="K5" s="129">
        <f>Anchor!S2</f>
        <v/>
      </c>
      <c r="L5" s="129">
        <f>Anchor!T2</f>
        <v/>
      </c>
      <c r="M5" s="129">
        <f>Anchor!U2</f>
        <v/>
      </c>
      <c r="N5" s="129">
        <f>Anchor!V2</f>
        <v/>
      </c>
      <c r="O5" s="129">
        <f>Anchor!W2</f>
        <v/>
      </c>
      <c r="P5" s="129">
        <f>Anchor!X2</f>
        <v/>
      </c>
      <c r="Q5" s="131">
        <f>10*LOG10(1/(('Summary (Full)'!$B$41/10^(N5/10)+'Summary (Full)'!$B$42/10^(O5/10)+'Summary (Full)'!$B$43/10^(P5/10))/'Summary (Full)'!$B$44))</f>
        <v/>
      </c>
      <c r="R5" s="129">
        <f>Anchor!Y2</f>
        <v/>
      </c>
      <c r="S5" s="129">
        <f>Anchor!Z2</f>
        <v/>
      </c>
      <c r="T5" s="132" t="n"/>
      <c r="U5" s="129">
        <f>Test!L2</f>
        <v/>
      </c>
      <c r="V5" s="129">
        <f>Test!M2</f>
        <v/>
      </c>
      <c r="W5" s="129">
        <f>Test!N2</f>
        <v/>
      </c>
      <c r="X5" s="129">
        <f>Test!O2</f>
        <v/>
      </c>
      <c r="Y5" s="129">
        <f>('Summary (Full)'!$B$34*V5+'Summary (Full)'!$B$35*W5+'Summary (Full)'!$B$36*X5)/'Summary (Full)'!$B$37</f>
        <v/>
      </c>
      <c r="Z5" s="129">
        <f>Test!P2</f>
        <v/>
      </c>
      <c r="AA5" s="129">
        <f>Test!Q2</f>
        <v/>
      </c>
      <c r="AB5" s="129">
        <f>Test!R2</f>
        <v/>
      </c>
      <c r="AC5" s="129">
        <f>Test!S2</f>
        <v/>
      </c>
      <c r="AD5" s="129">
        <f>Test!T2</f>
        <v/>
      </c>
      <c r="AE5" s="129">
        <f>Test!U2</f>
        <v/>
      </c>
      <c r="AF5" s="129">
        <f>Test!V2</f>
        <v/>
      </c>
      <c r="AG5" s="129">
        <f>Test!W2</f>
        <v/>
      </c>
      <c r="AH5" s="129">
        <f>Test!X2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</f>
        <v/>
      </c>
      <c r="AK5" s="129">
        <f>Test!Z2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MIN(IF(CL1:CL63&gt;0,CL1:CL63))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</f>
        <v/>
      </c>
      <c r="D6" s="129">
        <f>Anchor!M3</f>
        <v/>
      </c>
      <c r="E6" s="129">
        <f>Anchor!N3</f>
        <v/>
      </c>
      <c r="F6" s="129">
        <f>Anchor!O3</f>
        <v/>
      </c>
      <c r="G6" s="130">
        <f>('Summary (Full)'!$B$34*D6+'Summary (Full)'!$B$35*E6+'Summary (Full)'!$B$36*F6)/'Summary (Full)'!$B$37</f>
        <v/>
      </c>
      <c r="H6" s="129">
        <f>Anchor!P3</f>
        <v/>
      </c>
      <c r="I6" s="129">
        <f>Anchor!Q3</f>
        <v/>
      </c>
      <c r="J6" s="129">
        <f>Anchor!R3</f>
        <v/>
      </c>
      <c r="K6" s="129">
        <f>Anchor!S3</f>
        <v/>
      </c>
      <c r="L6" s="129">
        <f>Anchor!T3</f>
        <v/>
      </c>
      <c r="M6" s="129">
        <f>Anchor!U3</f>
        <v/>
      </c>
      <c r="N6" s="129">
        <f>Anchor!V3</f>
        <v/>
      </c>
      <c r="O6" s="129">
        <f>Anchor!W3</f>
        <v/>
      </c>
      <c r="P6" s="129">
        <f>Anchor!X3</f>
        <v/>
      </c>
      <c r="Q6" s="131">
        <f>10*LOG10(1/(('Summary (Full)'!$B$41/10^(N6/10)+'Summary (Full)'!$B$42/10^(O6/10)+'Summary (Full)'!$B$43/10^(P6/10))/'Summary (Full)'!$B$44))</f>
        <v/>
      </c>
      <c r="R6" s="129">
        <f>Anchor!Y3</f>
        <v/>
      </c>
      <c r="S6" s="129">
        <f>Anchor!Z3</f>
        <v/>
      </c>
      <c r="T6" s="132" t="n"/>
      <c r="U6" s="129">
        <f>Test!L3</f>
        <v/>
      </c>
      <c r="V6" s="129">
        <f>Test!M3</f>
        <v/>
      </c>
      <c r="W6" s="129">
        <f>Test!N3</f>
        <v/>
      </c>
      <c r="X6" s="129">
        <f>Test!O3</f>
        <v/>
      </c>
      <c r="Y6" s="129">
        <f>('Summary (Full)'!$B$34*V6+'Summary (Full)'!$B$35*W6+'Summary (Full)'!$B$36*X6)/'Summary (Full)'!$B$37</f>
        <v/>
      </c>
      <c r="Z6" s="129">
        <f>Test!P3</f>
        <v/>
      </c>
      <c r="AA6" s="129">
        <f>Test!Q3</f>
        <v/>
      </c>
      <c r="AB6" s="129">
        <f>Test!R3</f>
        <v/>
      </c>
      <c r="AC6" s="129">
        <f>Test!S3</f>
        <v/>
      </c>
      <c r="AD6" s="129">
        <f>Test!T3</f>
        <v/>
      </c>
      <c r="AE6" s="129">
        <f>Test!U3</f>
        <v/>
      </c>
      <c r="AF6" s="129">
        <f>Test!V3</f>
        <v/>
      </c>
      <c r="AG6" s="129">
        <f>Test!W3</f>
        <v/>
      </c>
      <c r="AH6" s="129">
        <f>Test!X3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</f>
        <v/>
      </c>
      <c r="AK6" s="129">
        <f>Test!Z3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MAX(CL1:CL63)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</f>
        <v/>
      </c>
      <c r="D7" s="129">
        <f>Anchor!M4</f>
        <v/>
      </c>
      <c r="E7" s="129">
        <f>Anchor!N4</f>
        <v/>
      </c>
      <c r="F7" s="129">
        <f>Anchor!O4</f>
        <v/>
      </c>
      <c r="G7" s="130">
        <f>('Summary (Full)'!$B$34*D7+'Summary (Full)'!$B$35*E7+'Summary (Full)'!$B$36*F7)/'Summary (Full)'!$B$37</f>
        <v/>
      </c>
      <c r="H7" s="129">
        <f>Anchor!P4</f>
        <v/>
      </c>
      <c r="I7" s="129">
        <f>Anchor!Q4</f>
        <v/>
      </c>
      <c r="J7" s="129">
        <f>Anchor!R4</f>
        <v/>
      </c>
      <c r="K7" s="129">
        <f>Anchor!S4</f>
        <v/>
      </c>
      <c r="L7" s="129">
        <f>Anchor!T4</f>
        <v/>
      </c>
      <c r="M7" s="129">
        <f>Anchor!U4</f>
        <v/>
      </c>
      <c r="N7" s="129">
        <f>Anchor!V4</f>
        <v/>
      </c>
      <c r="O7" s="129">
        <f>Anchor!W4</f>
        <v/>
      </c>
      <c r="P7" s="129">
        <f>Anchor!X4</f>
        <v/>
      </c>
      <c r="Q7" s="131">
        <f>10*LOG10(1/(('Summary (Full)'!$B$41/10^(N7/10)+'Summary (Full)'!$B$42/10^(O7/10)+'Summary (Full)'!$B$43/10^(P7/10))/'Summary (Full)'!$B$44))</f>
        <v/>
      </c>
      <c r="R7" s="129">
        <f>Anchor!Y4</f>
        <v/>
      </c>
      <c r="S7" s="129">
        <f>Anchor!Z4</f>
        <v/>
      </c>
      <c r="T7" s="132" t="n"/>
      <c r="U7" s="129">
        <f>Test!L4</f>
        <v/>
      </c>
      <c r="V7" s="129">
        <f>Test!M4</f>
        <v/>
      </c>
      <c r="W7" s="129">
        <f>Test!N4</f>
        <v/>
      </c>
      <c r="X7" s="129">
        <f>Test!O4</f>
        <v/>
      </c>
      <c r="Y7" s="129">
        <f>('Summary (Full)'!$B$34*V7+'Summary (Full)'!$B$35*W7+'Summary (Full)'!$B$36*X7)/'Summary (Full)'!$B$37</f>
        <v/>
      </c>
      <c r="Z7" s="129">
        <f>Test!P4</f>
        <v/>
      </c>
      <c r="AA7" s="129">
        <f>Test!Q4</f>
        <v/>
      </c>
      <c r="AB7" s="129">
        <f>Test!R4</f>
        <v/>
      </c>
      <c r="AC7" s="129">
        <f>Test!S4</f>
        <v/>
      </c>
      <c r="AD7" s="129">
        <f>Test!T4</f>
        <v/>
      </c>
      <c r="AE7" s="129">
        <f>Test!U4</f>
        <v/>
      </c>
      <c r="AF7" s="129">
        <f>Test!V4</f>
        <v/>
      </c>
      <c r="AG7" s="129">
        <f>Test!W4</f>
        <v/>
      </c>
      <c r="AH7" s="129">
        <f>Test!X4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</f>
        <v/>
      </c>
      <c r="AK7" s="129">
        <f>Test!Z4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Anchor!L5</f>
        <v/>
      </c>
      <c r="D8" s="129">
        <f>Anchor!M5</f>
        <v/>
      </c>
      <c r="E8" s="129">
        <f>Anchor!N5</f>
        <v/>
      </c>
      <c r="F8" s="129">
        <f>Anchor!O5</f>
        <v/>
      </c>
      <c r="G8" s="130">
        <f>('Summary (Full)'!$B$34*D8+'Summary (Full)'!$B$35*E8+'Summary (Full)'!$B$36*F8)/'Summary (Full)'!$B$37</f>
        <v/>
      </c>
      <c r="H8" s="129">
        <f>Anchor!P5</f>
        <v/>
      </c>
      <c r="I8" s="129">
        <f>Anchor!Q5</f>
        <v/>
      </c>
      <c r="J8" s="129">
        <f>Anchor!R5</f>
        <v/>
      </c>
      <c r="K8" s="129">
        <f>Anchor!S5</f>
        <v/>
      </c>
      <c r="L8" s="129">
        <f>Anchor!T5</f>
        <v/>
      </c>
      <c r="M8" s="129">
        <f>Anchor!U5</f>
        <v/>
      </c>
      <c r="N8" s="129">
        <f>Anchor!V5</f>
        <v/>
      </c>
      <c r="O8" s="129">
        <f>Anchor!W5</f>
        <v/>
      </c>
      <c r="P8" s="129">
        <f>Anchor!X5</f>
        <v/>
      </c>
      <c r="Q8" s="131">
        <f>10*LOG10(1/(('Summary (Full)'!$B$41/10^(N8/10)+'Summary (Full)'!$B$42/10^(O8/10)+'Summary (Full)'!$B$43/10^(P8/10))/'Summary (Full)'!$B$44))</f>
        <v/>
      </c>
      <c r="R8" s="129">
        <f>Anchor!Y5</f>
        <v/>
      </c>
      <c r="S8" s="129">
        <f>Anchor!Z5</f>
        <v/>
      </c>
      <c r="T8" s="132" t="n"/>
      <c r="U8" s="129">
        <f>Test!L5</f>
        <v/>
      </c>
      <c r="V8" s="129">
        <f>Test!M5</f>
        <v/>
      </c>
      <c r="W8" s="129">
        <f>Test!N5</f>
        <v/>
      </c>
      <c r="X8" s="129">
        <f>Test!O5</f>
        <v/>
      </c>
      <c r="Y8" s="129">
        <f>('Summary (Full)'!$B$34*V8+'Summary (Full)'!$B$35*W8+'Summary (Full)'!$B$36*X8)/'Summary (Full)'!$B$37</f>
        <v/>
      </c>
      <c r="Z8" s="129">
        <f>Test!P5</f>
        <v/>
      </c>
      <c r="AA8" s="129">
        <f>Test!Q5</f>
        <v/>
      </c>
      <c r="AB8" s="129">
        <f>Test!R5</f>
        <v/>
      </c>
      <c r="AC8" s="129">
        <f>Test!S5</f>
        <v/>
      </c>
      <c r="AD8" s="129">
        <f>Test!T5</f>
        <v/>
      </c>
      <c r="AE8" s="129">
        <f>Test!U5</f>
        <v/>
      </c>
      <c r="AF8" s="129">
        <f>Test!V5</f>
        <v/>
      </c>
      <c r="AG8" s="129">
        <f>Test!W5</f>
        <v/>
      </c>
      <c r="AH8" s="129">
        <f>Test!X5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Test!Y5</f>
        <v/>
      </c>
      <c r="AK8" s="129">
        <f>Test!Z5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Anchor!L6</f>
        <v/>
      </c>
      <c r="D9" s="129">
        <f>Anchor!M6</f>
        <v/>
      </c>
      <c r="E9" s="129">
        <f>Anchor!N6</f>
        <v/>
      </c>
      <c r="F9" s="129">
        <f>Anchor!O6</f>
        <v/>
      </c>
      <c r="G9" s="130">
        <f>('Summary (Full)'!$B$34*D9+'Summary (Full)'!$B$35*E9+'Summary (Full)'!$B$36*F9)/'Summary (Full)'!$B$37</f>
        <v/>
      </c>
      <c r="H9" s="129">
        <f>Anchor!P6</f>
        <v/>
      </c>
      <c r="I9" s="129">
        <f>Anchor!Q6</f>
        <v/>
      </c>
      <c r="J9" s="129">
        <f>Anchor!R6</f>
        <v/>
      </c>
      <c r="K9" s="129">
        <f>Anchor!S6</f>
        <v/>
      </c>
      <c r="L9" s="129">
        <f>Anchor!T6</f>
        <v/>
      </c>
      <c r="M9" s="129">
        <f>Anchor!U6</f>
        <v/>
      </c>
      <c r="N9" s="129">
        <f>Anchor!V6</f>
        <v/>
      </c>
      <c r="O9" s="129">
        <f>Anchor!W6</f>
        <v/>
      </c>
      <c r="P9" s="129">
        <f>Anchor!X6</f>
        <v/>
      </c>
      <c r="Q9" s="131">
        <f>10*LOG10(1/(('Summary (Full)'!$B$41/10^(N9/10)+'Summary (Full)'!$B$42/10^(O9/10)+'Summary (Full)'!$B$43/10^(P9/10))/'Summary (Full)'!$B$44))</f>
        <v/>
      </c>
      <c r="R9" s="129">
        <f>Anchor!Y6</f>
        <v/>
      </c>
      <c r="S9" s="129">
        <f>Anchor!Z6</f>
        <v/>
      </c>
      <c r="T9" s="132" t="n"/>
      <c r="U9" s="129">
        <f>Test!L6</f>
        <v/>
      </c>
      <c r="V9" s="129">
        <f>Test!M6</f>
        <v/>
      </c>
      <c r="W9" s="129">
        <f>Test!N6</f>
        <v/>
      </c>
      <c r="X9" s="129">
        <f>Test!O6</f>
        <v/>
      </c>
      <c r="Y9" s="129">
        <f>('Summary (Full)'!$B$34*V9+'Summary (Full)'!$B$35*W9+'Summary (Full)'!$B$36*X9)/'Summary (Full)'!$B$37</f>
        <v/>
      </c>
      <c r="Z9" s="129">
        <f>Test!P6</f>
        <v/>
      </c>
      <c r="AA9" s="129">
        <f>Test!Q6</f>
        <v/>
      </c>
      <c r="AB9" s="129">
        <f>Test!R6</f>
        <v/>
      </c>
      <c r="AC9" s="129">
        <f>Test!S6</f>
        <v/>
      </c>
      <c r="AD9" s="129">
        <f>Test!T6</f>
        <v/>
      </c>
      <c r="AE9" s="129">
        <f>Test!U6</f>
        <v/>
      </c>
      <c r="AF9" s="129">
        <f>Test!V6</f>
        <v/>
      </c>
      <c r="AG9" s="129">
        <f>Test!W6</f>
        <v/>
      </c>
      <c r="AH9" s="129">
        <f>Test!X6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Test!Y6</f>
        <v/>
      </c>
      <c r="AK9" s="129">
        <f>Test!Z6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</f>
        <v/>
      </c>
      <c r="D10" s="129">
        <f>Anchor!M7</f>
        <v/>
      </c>
      <c r="E10" s="129">
        <f>Anchor!N7</f>
        <v/>
      </c>
      <c r="F10" s="129">
        <f>Anchor!O7</f>
        <v/>
      </c>
      <c r="G10" s="130">
        <f>('Summary (Full)'!$B$34*D10+'Summary (Full)'!$B$35*E10+'Summary (Full)'!$B$36*F10)/'Summary (Full)'!$B$37</f>
        <v/>
      </c>
      <c r="H10" s="129">
        <f>Anchor!P7</f>
        <v/>
      </c>
      <c r="I10" s="129">
        <f>Anchor!Q7</f>
        <v/>
      </c>
      <c r="J10" s="129">
        <f>Anchor!R7</f>
        <v/>
      </c>
      <c r="K10" s="129">
        <f>Anchor!S7</f>
        <v/>
      </c>
      <c r="L10" s="129">
        <f>Anchor!T7</f>
        <v/>
      </c>
      <c r="M10" s="129">
        <f>Anchor!U7</f>
        <v/>
      </c>
      <c r="N10" s="129">
        <f>Anchor!V7</f>
        <v/>
      </c>
      <c r="O10" s="129">
        <f>Anchor!W7</f>
        <v/>
      </c>
      <c r="P10" s="129">
        <f>Anchor!X7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</f>
        <v/>
      </c>
      <c r="S10" s="129">
        <f>Anchor!Z7</f>
        <v/>
      </c>
      <c r="T10" s="132" t="n"/>
      <c r="U10" s="129">
        <f>Test!L7</f>
        <v/>
      </c>
      <c r="V10" s="129">
        <f>Test!M7</f>
        <v/>
      </c>
      <c r="W10" s="129">
        <f>Test!N7</f>
        <v/>
      </c>
      <c r="X10" s="129">
        <f>Test!O7</f>
        <v/>
      </c>
      <c r="Y10" s="129">
        <f>('Summary (Full)'!$B$34*V10+'Summary (Full)'!$B$35*W10+'Summary (Full)'!$B$36*X10)/'Summary (Full)'!$B$37</f>
        <v/>
      </c>
      <c r="Z10" s="129">
        <f>Test!P7</f>
        <v/>
      </c>
      <c r="AA10" s="129">
        <f>Test!Q7</f>
        <v/>
      </c>
      <c r="AB10" s="129">
        <f>Test!R7</f>
        <v/>
      </c>
      <c r="AC10" s="129">
        <f>Test!S7</f>
        <v/>
      </c>
      <c r="AD10" s="129">
        <f>Test!T7</f>
        <v/>
      </c>
      <c r="AE10" s="129">
        <f>Test!U7</f>
        <v/>
      </c>
      <c r="AF10" s="129">
        <f>Test!V7</f>
        <v/>
      </c>
      <c r="AG10" s="129">
        <f>Test!W7</f>
        <v/>
      </c>
      <c r="AH10" s="129">
        <f>Test!X7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</f>
        <v/>
      </c>
      <c r="AK10" s="129">
        <f>Test!Z7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</f>
        <v/>
      </c>
      <c r="D11" s="129">
        <f>Anchor!M8</f>
        <v/>
      </c>
      <c r="E11" s="129">
        <f>Anchor!N8</f>
        <v/>
      </c>
      <c r="F11" s="129">
        <f>Anchor!O8</f>
        <v/>
      </c>
      <c r="G11" s="130">
        <f>('Summary (Full)'!$B$34*D11+'Summary (Full)'!$B$35*E11+'Summary (Full)'!$B$36*F11)/'Summary (Full)'!$B$37</f>
        <v/>
      </c>
      <c r="H11" s="129">
        <f>Anchor!P8</f>
        <v/>
      </c>
      <c r="I11" s="129">
        <f>Anchor!Q8</f>
        <v/>
      </c>
      <c r="J11" s="129">
        <f>Anchor!R8</f>
        <v/>
      </c>
      <c r="K11" s="129">
        <f>Anchor!S8</f>
        <v/>
      </c>
      <c r="L11" s="129">
        <f>Anchor!T8</f>
        <v/>
      </c>
      <c r="M11" s="129">
        <f>Anchor!U8</f>
        <v/>
      </c>
      <c r="N11" s="129">
        <f>Anchor!V8</f>
        <v/>
      </c>
      <c r="O11" s="129">
        <f>Anchor!W8</f>
        <v/>
      </c>
      <c r="P11" s="129">
        <f>Anchor!X8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</f>
        <v/>
      </c>
      <c r="S11" s="129">
        <f>Anchor!Z8</f>
        <v/>
      </c>
      <c r="T11" s="132" t="n"/>
      <c r="U11" s="129">
        <f>Test!L8</f>
        <v/>
      </c>
      <c r="V11" s="129">
        <f>Test!M8</f>
        <v/>
      </c>
      <c r="W11" s="129">
        <f>Test!N8</f>
        <v/>
      </c>
      <c r="X11" s="129">
        <f>Test!O8</f>
        <v/>
      </c>
      <c r="Y11" s="129">
        <f>('Summary (Full)'!$B$34*V11+'Summary (Full)'!$B$35*W11+'Summary (Full)'!$B$36*X11)/'Summary (Full)'!$B$37</f>
        <v/>
      </c>
      <c r="Z11" s="129">
        <f>Test!P8</f>
        <v/>
      </c>
      <c r="AA11" s="129">
        <f>Test!Q8</f>
        <v/>
      </c>
      <c r="AB11" s="129">
        <f>Test!R8</f>
        <v/>
      </c>
      <c r="AC11" s="129">
        <f>Test!S8</f>
        <v/>
      </c>
      <c r="AD11" s="129">
        <f>Test!T8</f>
        <v/>
      </c>
      <c r="AE11" s="129">
        <f>Test!U8</f>
        <v/>
      </c>
      <c r="AF11" s="129">
        <f>Test!V8</f>
        <v/>
      </c>
      <c r="AG11" s="129">
        <f>Test!W8</f>
        <v/>
      </c>
      <c r="AH11" s="129">
        <f>Test!X8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</f>
        <v/>
      </c>
      <c r="AK11" s="129">
        <f>Test!Z8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FALSE,1)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Anchor!L9</f>
        <v/>
      </c>
      <c r="D12" s="129">
        <f>Anchor!M9</f>
        <v/>
      </c>
      <c r="E12" s="129">
        <f>Anchor!N9</f>
        <v/>
      </c>
      <c r="F12" s="129">
        <f>Anchor!O9</f>
        <v/>
      </c>
      <c r="G12" s="130">
        <f>('Summary (Full)'!$B$34*D12+'Summary (Full)'!$B$35*E12+'Summary (Full)'!$B$36*F12)/'Summary (Full)'!$B$37</f>
        <v/>
      </c>
      <c r="H12" s="129">
        <f>Anchor!P9</f>
        <v/>
      </c>
      <c r="I12" s="129">
        <f>Anchor!Q9</f>
        <v/>
      </c>
      <c r="J12" s="129">
        <f>Anchor!R9</f>
        <v/>
      </c>
      <c r="K12" s="129">
        <f>Anchor!S9</f>
        <v/>
      </c>
      <c r="L12" s="129">
        <f>Anchor!T9</f>
        <v/>
      </c>
      <c r="M12" s="129">
        <f>Anchor!U9</f>
        <v/>
      </c>
      <c r="N12" s="129">
        <f>Anchor!V9</f>
        <v/>
      </c>
      <c r="O12" s="129">
        <f>Anchor!W9</f>
        <v/>
      </c>
      <c r="P12" s="129">
        <f>Anchor!X9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Anchor!Y9</f>
        <v/>
      </c>
      <c r="S12" s="129">
        <f>Anchor!Z9</f>
        <v/>
      </c>
      <c r="T12" s="132" t="n"/>
      <c r="U12" s="129">
        <f>Test!L9</f>
        <v/>
      </c>
      <c r="V12" s="129">
        <f>Test!M9</f>
        <v/>
      </c>
      <c r="W12" s="129">
        <f>Test!N9</f>
        <v/>
      </c>
      <c r="X12" s="129">
        <f>Test!O9</f>
        <v/>
      </c>
      <c r="Y12" s="129">
        <f>('Summary (Full)'!$B$34*V12+'Summary (Full)'!$B$35*W12+'Summary (Full)'!$B$36*X12)/'Summary (Full)'!$B$37</f>
        <v/>
      </c>
      <c r="Z12" s="129">
        <f>Test!P9</f>
        <v/>
      </c>
      <c r="AA12" s="129">
        <f>Test!Q9</f>
        <v/>
      </c>
      <c r="AB12" s="129">
        <f>Test!R9</f>
        <v/>
      </c>
      <c r="AC12" s="129">
        <f>Test!S9</f>
        <v/>
      </c>
      <c r="AD12" s="129">
        <f>Test!T9</f>
        <v/>
      </c>
      <c r="AE12" s="129">
        <f>Test!U9</f>
        <v/>
      </c>
      <c r="AF12" s="129">
        <f>Test!V9</f>
        <v/>
      </c>
      <c r="AG12" s="129">
        <f>Test!W9</f>
        <v/>
      </c>
      <c r="AH12" s="129">
        <f>Test!X9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Test!Y9</f>
        <v/>
      </c>
      <c r="AK12" s="129">
        <f>Test!Z9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Anchor!L10</f>
        <v/>
      </c>
      <c r="D13" s="129">
        <f>Anchor!M10</f>
        <v/>
      </c>
      <c r="E13" s="129">
        <f>Anchor!N10</f>
        <v/>
      </c>
      <c r="F13" s="129">
        <f>Anchor!O10</f>
        <v/>
      </c>
      <c r="G13" s="130">
        <f>('Summary (Full)'!$B$34*D13+'Summary (Full)'!$B$35*E13+'Summary (Full)'!$B$36*F13)/'Summary (Full)'!$B$37</f>
        <v/>
      </c>
      <c r="H13" s="129">
        <f>Anchor!P10</f>
        <v/>
      </c>
      <c r="I13" s="129">
        <f>Anchor!Q10</f>
        <v/>
      </c>
      <c r="J13" s="129">
        <f>Anchor!R10</f>
        <v/>
      </c>
      <c r="K13" s="129">
        <f>Anchor!S10</f>
        <v/>
      </c>
      <c r="L13" s="129">
        <f>Anchor!T10</f>
        <v/>
      </c>
      <c r="M13" s="129">
        <f>Anchor!U10</f>
        <v/>
      </c>
      <c r="N13" s="129">
        <f>Anchor!V10</f>
        <v/>
      </c>
      <c r="O13" s="129">
        <f>Anchor!W10</f>
        <v/>
      </c>
      <c r="P13" s="129">
        <f>Anchor!X10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Anchor!Y10</f>
        <v/>
      </c>
      <c r="S13" s="129">
        <f>Anchor!Z10</f>
        <v/>
      </c>
      <c r="T13" s="132" t="n"/>
      <c r="U13" s="129">
        <f>Test!L10</f>
        <v/>
      </c>
      <c r="V13" s="129">
        <f>Test!M10</f>
        <v/>
      </c>
      <c r="W13" s="129">
        <f>Test!N10</f>
        <v/>
      </c>
      <c r="X13" s="129">
        <f>Test!O10</f>
        <v/>
      </c>
      <c r="Y13" s="129">
        <f>('Summary (Full)'!$B$34*V13+'Summary (Full)'!$B$35*W13+'Summary (Full)'!$B$36*X13)/'Summary (Full)'!$B$37</f>
        <v/>
      </c>
      <c r="Z13" s="129">
        <f>Test!P10</f>
        <v/>
      </c>
      <c r="AA13" s="129">
        <f>Test!Q10</f>
        <v/>
      </c>
      <c r="AB13" s="129">
        <f>Test!R10</f>
        <v/>
      </c>
      <c r="AC13" s="129">
        <f>Test!S10</f>
        <v/>
      </c>
      <c r="AD13" s="129">
        <f>Test!T10</f>
        <v/>
      </c>
      <c r="AE13" s="129">
        <f>Test!U10</f>
        <v/>
      </c>
      <c r="AF13" s="129">
        <f>Test!V10</f>
        <v/>
      </c>
      <c r="AG13" s="129">
        <f>Test!W10</f>
        <v/>
      </c>
      <c r="AH13" s="129">
        <f>Test!X10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Test!Y10</f>
        <v/>
      </c>
      <c r="AK13" s="129">
        <f>Test!Z10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</f>
        <v/>
      </c>
      <c r="D14" s="129">
        <f>Anchor!M11</f>
        <v/>
      </c>
      <c r="E14" s="129">
        <f>Anchor!N11</f>
        <v/>
      </c>
      <c r="F14" s="129">
        <f>Anchor!O11</f>
        <v/>
      </c>
      <c r="G14" s="130">
        <f>('Summary (Full)'!$B$34*D14+'Summary (Full)'!$B$35*E14+'Summary (Full)'!$B$36*F14)/'Summary (Full)'!$B$37</f>
        <v/>
      </c>
      <c r="H14" s="129">
        <f>Anchor!P11</f>
        <v/>
      </c>
      <c r="I14" s="129">
        <f>Anchor!Q11</f>
        <v/>
      </c>
      <c r="J14" s="129">
        <f>Anchor!R11</f>
        <v/>
      </c>
      <c r="K14" s="129">
        <f>Anchor!S11</f>
        <v/>
      </c>
      <c r="L14" s="129">
        <f>Anchor!T11</f>
        <v/>
      </c>
      <c r="M14" s="129">
        <f>Anchor!U11</f>
        <v/>
      </c>
      <c r="N14" s="129">
        <f>Anchor!V11</f>
        <v/>
      </c>
      <c r="O14" s="129">
        <f>Anchor!W11</f>
        <v/>
      </c>
      <c r="P14" s="129">
        <f>Anchor!X11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</f>
        <v/>
      </c>
      <c r="S14" s="129">
        <f>Anchor!Z11</f>
        <v/>
      </c>
      <c r="T14" s="132" t="n"/>
      <c r="U14" s="129">
        <f>Test!L11</f>
        <v/>
      </c>
      <c r="V14" s="129">
        <f>Test!M11</f>
        <v/>
      </c>
      <c r="W14" s="129">
        <f>Test!N11</f>
        <v/>
      </c>
      <c r="X14" s="129">
        <f>Test!O11</f>
        <v/>
      </c>
      <c r="Y14" s="129">
        <f>('Summary (Full)'!$B$34*V14+'Summary (Full)'!$B$35*W14+'Summary (Full)'!$B$36*X14)/'Summary (Full)'!$B$37</f>
        <v/>
      </c>
      <c r="Z14" s="129">
        <f>Test!P11</f>
        <v/>
      </c>
      <c r="AA14" s="129">
        <f>Test!Q11</f>
        <v/>
      </c>
      <c r="AB14" s="129">
        <f>Test!R11</f>
        <v/>
      </c>
      <c r="AC14" s="129">
        <f>Test!S11</f>
        <v/>
      </c>
      <c r="AD14" s="129">
        <f>Test!T11</f>
        <v/>
      </c>
      <c r="AE14" s="129">
        <f>Test!U11</f>
        <v/>
      </c>
      <c r="AF14" s="129">
        <f>Test!V11</f>
        <v/>
      </c>
      <c r="AG14" s="129">
        <f>Test!W11</f>
        <v/>
      </c>
      <c r="AH14" s="129">
        <f>Test!X11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</f>
        <v/>
      </c>
      <c r="AK14" s="129">
        <f>Test!Z11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</f>
        <v/>
      </c>
      <c r="D15" s="129">
        <f>Anchor!M12</f>
        <v/>
      </c>
      <c r="E15" s="129">
        <f>Anchor!N12</f>
        <v/>
      </c>
      <c r="F15" s="129">
        <f>Anchor!O12</f>
        <v/>
      </c>
      <c r="G15" s="130">
        <f>('Summary (Full)'!$B$34*D15+'Summary (Full)'!$B$35*E15+'Summary (Full)'!$B$36*F15)/'Summary (Full)'!$B$37</f>
        <v/>
      </c>
      <c r="H15" s="129">
        <f>Anchor!P12</f>
        <v/>
      </c>
      <c r="I15" s="129">
        <f>Anchor!Q12</f>
        <v/>
      </c>
      <c r="J15" s="129">
        <f>Anchor!R12</f>
        <v/>
      </c>
      <c r="K15" s="129">
        <f>Anchor!S12</f>
        <v/>
      </c>
      <c r="L15" s="129">
        <f>Anchor!T12</f>
        <v/>
      </c>
      <c r="M15" s="129">
        <f>Anchor!U12</f>
        <v/>
      </c>
      <c r="N15" s="129">
        <f>Anchor!V12</f>
        <v/>
      </c>
      <c r="O15" s="129">
        <f>Anchor!W12</f>
        <v/>
      </c>
      <c r="P15" s="129">
        <f>Anchor!X12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</f>
        <v/>
      </c>
      <c r="S15" s="129">
        <f>Anchor!Z12</f>
        <v/>
      </c>
      <c r="T15" s="132" t="n"/>
      <c r="U15" s="129">
        <f>Test!L12</f>
        <v/>
      </c>
      <c r="V15" s="129">
        <f>Test!M12</f>
        <v/>
      </c>
      <c r="W15" s="129">
        <f>Test!N12</f>
        <v/>
      </c>
      <c r="X15" s="129">
        <f>Test!O12</f>
        <v/>
      </c>
      <c r="Y15" s="129">
        <f>('Summary (Full)'!$B$34*V15+'Summary (Full)'!$B$35*W15+'Summary (Full)'!$B$36*X15)/'Summary (Full)'!$B$37</f>
        <v/>
      </c>
      <c r="Z15" s="129">
        <f>Test!P12</f>
        <v/>
      </c>
      <c r="AA15" s="129">
        <f>Test!Q12</f>
        <v/>
      </c>
      <c r="AB15" s="129">
        <f>Test!R12</f>
        <v/>
      </c>
      <c r="AC15" s="129">
        <f>Test!S12</f>
        <v/>
      </c>
      <c r="AD15" s="129">
        <f>Test!T12</f>
        <v/>
      </c>
      <c r="AE15" s="129">
        <f>Test!U12</f>
        <v/>
      </c>
      <c r="AF15" s="129">
        <f>Test!V12</f>
        <v/>
      </c>
      <c r="AG15" s="129">
        <f>Test!W12</f>
        <v/>
      </c>
      <c r="AH15" s="129">
        <f>Test!X12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</f>
        <v/>
      </c>
      <c r="AK15" s="129">
        <f>Test!Z12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Anchor!L13</f>
        <v/>
      </c>
      <c r="D16" s="129">
        <f>Anchor!M13</f>
        <v/>
      </c>
      <c r="E16" s="129">
        <f>Anchor!N13</f>
        <v/>
      </c>
      <c r="F16" s="129">
        <f>Anchor!O13</f>
        <v/>
      </c>
      <c r="G16" s="130">
        <f>('Summary (Full)'!$B$34*D16+'Summary (Full)'!$B$35*E16+'Summary (Full)'!$B$36*F16)/'Summary (Full)'!$B$37</f>
        <v/>
      </c>
      <c r="H16" s="129">
        <f>Anchor!P13</f>
        <v/>
      </c>
      <c r="I16" s="129">
        <f>Anchor!Q13</f>
        <v/>
      </c>
      <c r="J16" s="129">
        <f>Anchor!R13</f>
        <v/>
      </c>
      <c r="K16" s="129">
        <f>Anchor!S13</f>
        <v/>
      </c>
      <c r="L16" s="129">
        <f>Anchor!T13</f>
        <v/>
      </c>
      <c r="M16" s="129">
        <f>Anchor!U13</f>
        <v/>
      </c>
      <c r="N16" s="129">
        <f>Anchor!V13</f>
        <v/>
      </c>
      <c r="O16" s="129">
        <f>Anchor!W13</f>
        <v/>
      </c>
      <c r="P16" s="129">
        <f>Anchor!X13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Anchor!Y13</f>
        <v/>
      </c>
      <c r="S16" s="129">
        <f>Anchor!Z13</f>
        <v/>
      </c>
      <c r="T16" s="132" t="n"/>
      <c r="U16" s="129">
        <f>Test!L13</f>
        <v/>
      </c>
      <c r="V16" s="129">
        <f>Test!M13</f>
        <v/>
      </c>
      <c r="W16" s="129">
        <f>Test!N13</f>
        <v/>
      </c>
      <c r="X16" s="129">
        <f>Test!O13</f>
        <v/>
      </c>
      <c r="Y16" s="129">
        <f>('Summary (Full)'!$B$34*V16+'Summary (Full)'!$B$35*W16+'Summary (Full)'!$B$36*X16)/'Summary (Full)'!$B$37</f>
        <v/>
      </c>
      <c r="Z16" s="129">
        <f>Test!P13</f>
        <v/>
      </c>
      <c r="AA16" s="129">
        <f>Test!Q13</f>
        <v/>
      </c>
      <c r="AB16" s="129">
        <f>Test!R13</f>
        <v/>
      </c>
      <c r="AC16" s="129">
        <f>Test!S13</f>
        <v/>
      </c>
      <c r="AD16" s="129">
        <f>Test!T13</f>
        <v/>
      </c>
      <c r="AE16" s="129">
        <f>Test!U13</f>
        <v/>
      </c>
      <c r="AF16" s="129">
        <f>Test!V13</f>
        <v/>
      </c>
      <c r="AG16" s="129">
        <f>Test!W13</f>
        <v/>
      </c>
      <c r="AH16" s="129">
        <f>Test!X13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Test!Y13</f>
        <v/>
      </c>
      <c r="AK16" s="129">
        <f>Test!Z13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Anchor!L14</f>
        <v/>
      </c>
      <c r="D17" s="129">
        <f>Anchor!M14</f>
        <v/>
      </c>
      <c r="E17" s="129">
        <f>Anchor!N14</f>
        <v/>
      </c>
      <c r="F17" s="129">
        <f>Anchor!O14</f>
        <v/>
      </c>
      <c r="G17" s="130">
        <f>('Summary (Full)'!$B$34*D17+'Summary (Full)'!$B$35*E17+'Summary (Full)'!$B$36*F17)/'Summary (Full)'!$B$37</f>
        <v/>
      </c>
      <c r="H17" s="129">
        <f>Anchor!P14</f>
        <v/>
      </c>
      <c r="I17" s="129">
        <f>Anchor!Q14</f>
        <v/>
      </c>
      <c r="J17" s="129">
        <f>Anchor!R14</f>
        <v/>
      </c>
      <c r="K17" s="129">
        <f>Anchor!S14</f>
        <v/>
      </c>
      <c r="L17" s="129">
        <f>Anchor!T14</f>
        <v/>
      </c>
      <c r="M17" s="129">
        <f>Anchor!U14</f>
        <v/>
      </c>
      <c r="N17" s="129">
        <f>Anchor!V14</f>
        <v/>
      </c>
      <c r="O17" s="129">
        <f>Anchor!W14</f>
        <v/>
      </c>
      <c r="P17" s="129">
        <f>Anchor!X14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Anchor!Y14</f>
        <v/>
      </c>
      <c r="S17" s="129">
        <f>Anchor!Z14</f>
        <v/>
      </c>
      <c r="T17" s="132" t="n"/>
      <c r="U17" s="129">
        <f>Test!L14</f>
        <v/>
      </c>
      <c r="V17" s="129">
        <f>Test!M14</f>
        <v/>
      </c>
      <c r="W17" s="129">
        <f>Test!N14</f>
        <v/>
      </c>
      <c r="X17" s="129">
        <f>Test!O14</f>
        <v/>
      </c>
      <c r="Y17" s="129">
        <f>('Summary (Full)'!$B$34*V17+'Summary (Full)'!$B$35*W17+'Summary (Full)'!$B$36*X17)/'Summary (Full)'!$B$37</f>
        <v/>
      </c>
      <c r="Z17" s="129">
        <f>Test!P14</f>
        <v/>
      </c>
      <c r="AA17" s="129">
        <f>Test!Q14</f>
        <v/>
      </c>
      <c r="AB17" s="129">
        <f>Test!R14</f>
        <v/>
      </c>
      <c r="AC17" s="129">
        <f>Test!S14</f>
        <v/>
      </c>
      <c r="AD17" s="129">
        <f>Test!T14</f>
        <v/>
      </c>
      <c r="AE17" s="129">
        <f>Test!U14</f>
        <v/>
      </c>
      <c r="AF17" s="129">
        <f>Test!V14</f>
        <v/>
      </c>
      <c r="AG17" s="129">
        <f>Test!W14</f>
        <v/>
      </c>
      <c r="AH17" s="129">
        <f>Test!X14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Test!Y14</f>
        <v/>
      </c>
      <c r="AK17" s="129">
        <f>Test!Z14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</f>
        <v/>
      </c>
      <c r="D18" s="129">
        <f>Anchor!M15</f>
        <v/>
      </c>
      <c r="E18" s="129">
        <f>Anchor!N15</f>
        <v/>
      </c>
      <c r="F18" s="129">
        <f>Anchor!O15</f>
        <v/>
      </c>
      <c r="G18" s="130">
        <f>('Summary (Full)'!$B$34*D18+'Summary (Full)'!$B$35*E18+'Summary (Full)'!$B$36*F18)/'Summary (Full)'!$B$37</f>
        <v/>
      </c>
      <c r="H18" s="129">
        <f>Anchor!P15</f>
        <v/>
      </c>
      <c r="I18" s="129">
        <f>Anchor!Q15</f>
        <v/>
      </c>
      <c r="J18" s="129">
        <f>Anchor!R15</f>
        <v/>
      </c>
      <c r="K18" s="129">
        <f>Anchor!S15</f>
        <v/>
      </c>
      <c r="L18" s="129">
        <f>Anchor!T15</f>
        <v/>
      </c>
      <c r="M18" s="129">
        <f>Anchor!U15</f>
        <v/>
      </c>
      <c r="N18" s="129">
        <f>Anchor!V15</f>
        <v/>
      </c>
      <c r="O18" s="129">
        <f>Anchor!W15</f>
        <v/>
      </c>
      <c r="P18" s="129">
        <f>Anchor!X15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</f>
        <v/>
      </c>
      <c r="S18" s="129">
        <f>Anchor!Z15</f>
        <v/>
      </c>
      <c r="T18" s="132" t="n"/>
      <c r="U18" s="129">
        <f>Test!L15</f>
        <v/>
      </c>
      <c r="V18" s="129">
        <f>Test!M15</f>
        <v/>
      </c>
      <c r="W18" s="129">
        <f>Test!N15</f>
        <v/>
      </c>
      <c r="X18" s="129">
        <f>Test!O15</f>
        <v/>
      </c>
      <c r="Y18" s="129">
        <f>('Summary (Full)'!$B$34*V18+'Summary (Full)'!$B$35*W18+'Summary (Full)'!$B$36*X18)/'Summary (Full)'!$B$37</f>
        <v/>
      </c>
      <c r="Z18" s="129">
        <f>Test!P15</f>
        <v/>
      </c>
      <c r="AA18" s="129">
        <f>Test!Q15</f>
        <v/>
      </c>
      <c r="AB18" s="129">
        <f>Test!R15</f>
        <v/>
      </c>
      <c r="AC18" s="129">
        <f>Test!S15</f>
        <v/>
      </c>
      <c r="AD18" s="129">
        <f>Test!T15</f>
        <v/>
      </c>
      <c r="AE18" s="129">
        <f>Test!U15</f>
        <v/>
      </c>
      <c r="AF18" s="129">
        <f>Test!V15</f>
        <v/>
      </c>
      <c r="AG18" s="129">
        <f>Test!W15</f>
        <v/>
      </c>
      <c r="AH18" s="129">
        <f>Test!X15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</f>
        <v/>
      </c>
      <c r="AK18" s="129">
        <f>Test!Z15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</f>
        <v/>
      </c>
      <c r="D19" s="129">
        <f>Anchor!M16</f>
        <v/>
      </c>
      <c r="E19" s="129">
        <f>Anchor!N16</f>
        <v/>
      </c>
      <c r="F19" s="129">
        <f>Anchor!O16</f>
        <v/>
      </c>
      <c r="G19" s="130">
        <f>('Summary (Full)'!$B$34*D19+'Summary (Full)'!$B$35*E19+'Summary (Full)'!$B$36*F19)/'Summary (Full)'!$B$37</f>
        <v/>
      </c>
      <c r="H19" s="129">
        <f>Anchor!P16</f>
        <v/>
      </c>
      <c r="I19" s="129">
        <f>Anchor!Q16</f>
        <v/>
      </c>
      <c r="J19" s="129">
        <f>Anchor!R16</f>
        <v/>
      </c>
      <c r="K19" s="129">
        <f>Anchor!S16</f>
        <v/>
      </c>
      <c r="L19" s="129">
        <f>Anchor!T16</f>
        <v/>
      </c>
      <c r="M19" s="129">
        <f>Anchor!U16</f>
        <v/>
      </c>
      <c r="N19" s="129">
        <f>Anchor!V16</f>
        <v/>
      </c>
      <c r="O19" s="129">
        <f>Anchor!W16</f>
        <v/>
      </c>
      <c r="P19" s="129">
        <f>Anchor!X16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</f>
        <v/>
      </c>
      <c r="S19" s="129">
        <f>Anchor!Z16</f>
        <v/>
      </c>
      <c r="T19" s="132" t="n"/>
      <c r="U19" s="129">
        <f>Test!L16</f>
        <v/>
      </c>
      <c r="V19" s="129">
        <f>Test!M16</f>
        <v/>
      </c>
      <c r="W19" s="129">
        <f>Test!N16</f>
        <v/>
      </c>
      <c r="X19" s="129">
        <f>Test!O16</f>
        <v/>
      </c>
      <c r="Y19" s="129">
        <f>('Summary (Full)'!$B$34*V19+'Summary (Full)'!$B$35*W19+'Summary (Full)'!$B$36*X19)/'Summary (Full)'!$B$37</f>
        <v/>
      </c>
      <c r="Z19" s="129">
        <f>Test!P16</f>
        <v/>
      </c>
      <c r="AA19" s="129">
        <f>Test!Q16</f>
        <v/>
      </c>
      <c r="AB19" s="129">
        <f>Test!R16</f>
        <v/>
      </c>
      <c r="AC19" s="129">
        <f>Test!S16</f>
        <v/>
      </c>
      <c r="AD19" s="129">
        <f>Test!T16</f>
        <v/>
      </c>
      <c r="AE19" s="129">
        <f>Test!U16</f>
        <v/>
      </c>
      <c r="AF19" s="129">
        <f>Test!V16</f>
        <v/>
      </c>
      <c r="AG19" s="129">
        <f>Test!W16</f>
        <v/>
      </c>
      <c r="AH19" s="129">
        <f>Test!X16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</f>
        <v/>
      </c>
      <c r="AK19" s="129">
        <f>Test!Z16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Anchor!L17</f>
        <v/>
      </c>
      <c r="D20" s="129">
        <f>Anchor!M17</f>
        <v/>
      </c>
      <c r="E20" s="129">
        <f>Anchor!N17</f>
        <v/>
      </c>
      <c r="F20" s="129">
        <f>Anchor!O17</f>
        <v/>
      </c>
      <c r="G20" s="130">
        <f>('Summary (Full)'!$B$34*D20+'Summary (Full)'!$B$35*E20+'Summary (Full)'!$B$36*F20)/'Summary (Full)'!$B$37</f>
        <v/>
      </c>
      <c r="H20" s="129">
        <f>Anchor!P17</f>
        <v/>
      </c>
      <c r="I20" s="129">
        <f>Anchor!Q17</f>
        <v/>
      </c>
      <c r="J20" s="129">
        <f>Anchor!R17</f>
        <v/>
      </c>
      <c r="K20" s="129">
        <f>Anchor!S17</f>
        <v/>
      </c>
      <c r="L20" s="129">
        <f>Anchor!T17</f>
        <v/>
      </c>
      <c r="M20" s="129">
        <f>Anchor!U17</f>
        <v/>
      </c>
      <c r="N20" s="129">
        <f>Anchor!V17</f>
        <v/>
      </c>
      <c r="O20" s="129">
        <f>Anchor!W17</f>
        <v/>
      </c>
      <c r="P20" s="129">
        <f>Anchor!X17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Anchor!Y17</f>
        <v/>
      </c>
      <c r="S20" s="129">
        <f>Anchor!Z17</f>
        <v/>
      </c>
      <c r="T20" s="132" t="n"/>
      <c r="U20" s="129">
        <f>Test!L17</f>
        <v/>
      </c>
      <c r="V20" s="129">
        <f>Test!M17</f>
        <v/>
      </c>
      <c r="W20" s="129">
        <f>Test!N17</f>
        <v/>
      </c>
      <c r="X20" s="129">
        <f>Test!O17</f>
        <v/>
      </c>
      <c r="Y20" s="129">
        <f>('Summary (Full)'!$B$34*V20+'Summary (Full)'!$B$35*W20+'Summary (Full)'!$B$36*X20)/'Summary (Full)'!$B$37</f>
        <v/>
      </c>
      <c r="Z20" s="129">
        <f>Test!P17</f>
        <v/>
      </c>
      <c r="AA20" s="129">
        <f>Test!Q17</f>
        <v/>
      </c>
      <c r="AB20" s="129">
        <f>Test!R17</f>
        <v/>
      </c>
      <c r="AC20" s="129">
        <f>Test!S17</f>
        <v/>
      </c>
      <c r="AD20" s="129">
        <f>Test!T17</f>
        <v/>
      </c>
      <c r="AE20" s="129">
        <f>Test!U17</f>
        <v/>
      </c>
      <c r="AF20" s="129">
        <f>Test!V17</f>
        <v/>
      </c>
      <c r="AG20" s="129">
        <f>Test!W17</f>
        <v/>
      </c>
      <c r="AH20" s="129">
        <f>Test!X17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Test!Y17</f>
        <v/>
      </c>
      <c r="AK20" s="129">
        <f>Test!Z17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Anchor!L18</f>
        <v/>
      </c>
      <c r="D21" s="129">
        <f>Anchor!M18</f>
        <v/>
      </c>
      <c r="E21" s="129">
        <f>Anchor!N18</f>
        <v/>
      </c>
      <c r="F21" s="129">
        <f>Anchor!O18</f>
        <v/>
      </c>
      <c r="G21" s="130">
        <f>('Summary (Full)'!$B$34*D21+'Summary (Full)'!$B$35*E21+'Summary (Full)'!$B$36*F21)/'Summary (Full)'!$B$37</f>
        <v/>
      </c>
      <c r="H21" s="129">
        <f>Anchor!P18</f>
        <v/>
      </c>
      <c r="I21" s="129">
        <f>Anchor!Q18</f>
        <v/>
      </c>
      <c r="J21" s="129">
        <f>Anchor!R18</f>
        <v/>
      </c>
      <c r="K21" s="129">
        <f>Anchor!S18</f>
        <v/>
      </c>
      <c r="L21" s="129">
        <f>Anchor!T18</f>
        <v/>
      </c>
      <c r="M21" s="129">
        <f>Anchor!U18</f>
        <v/>
      </c>
      <c r="N21" s="129">
        <f>Anchor!V18</f>
        <v/>
      </c>
      <c r="O21" s="129">
        <f>Anchor!W18</f>
        <v/>
      </c>
      <c r="P21" s="129">
        <f>Anchor!X18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Anchor!Y18</f>
        <v/>
      </c>
      <c r="S21" s="129">
        <f>Anchor!Z18</f>
        <v/>
      </c>
      <c r="T21" s="132" t="n"/>
      <c r="U21" s="129">
        <f>Test!L18</f>
        <v/>
      </c>
      <c r="V21" s="129">
        <f>Test!M18</f>
        <v/>
      </c>
      <c r="W21" s="129">
        <f>Test!N18</f>
        <v/>
      </c>
      <c r="X21" s="129">
        <f>Test!O18</f>
        <v/>
      </c>
      <c r="Y21" s="129">
        <f>('Summary (Full)'!$B$34*V21+'Summary (Full)'!$B$35*W21+'Summary (Full)'!$B$36*X21)/'Summary (Full)'!$B$37</f>
        <v/>
      </c>
      <c r="Z21" s="129">
        <f>Test!P18</f>
        <v/>
      </c>
      <c r="AA21" s="129">
        <f>Test!Q18</f>
        <v/>
      </c>
      <c r="AB21" s="129">
        <f>Test!R18</f>
        <v/>
      </c>
      <c r="AC21" s="129">
        <f>Test!S18</f>
        <v/>
      </c>
      <c r="AD21" s="129">
        <f>Test!T18</f>
        <v/>
      </c>
      <c r="AE21" s="129">
        <f>Test!U18</f>
        <v/>
      </c>
      <c r="AF21" s="129">
        <f>Test!V18</f>
        <v/>
      </c>
      <c r="AG21" s="129">
        <f>Test!W18</f>
        <v/>
      </c>
      <c r="AH21" s="129">
        <f>Test!X18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Test!Y18</f>
        <v/>
      </c>
      <c r="AK21" s="129">
        <f>Test!Z18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</f>
        <v/>
      </c>
      <c r="D22" s="129">
        <f>Anchor!M19</f>
        <v/>
      </c>
      <c r="E22" s="129">
        <f>Anchor!N19</f>
        <v/>
      </c>
      <c r="F22" s="129">
        <f>Anchor!O19</f>
        <v/>
      </c>
      <c r="G22" s="130">
        <f>('Summary (Full)'!$B$34*D22+'Summary (Full)'!$B$35*E22+'Summary (Full)'!$B$36*F22)/'Summary (Full)'!$B$37</f>
        <v/>
      </c>
      <c r="H22" s="129">
        <f>Anchor!P19</f>
        <v/>
      </c>
      <c r="I22" s="129">
        <f>Anchor!Q19</f>
        <v/>
      </c>
      <c r="J22" s="129">
        <f>Anchor!R19</f>
        <v/>
      </c>
      <c r="K22" s="129">
        <f>Anchor!S19</f>
        <v/>
      </c>
      <c r="L22" s="129">
        <f>Anchor!T19</f>
        <v/>
      </c>
      <c r="M22" s="129">
        <f>Anchor!U19</f>
        <v/>
      </c>
      <c r="N22" s="129">
        <f>Anchor!V19</f>
        <v/>
      </c>
      <c r="O22" s="129">
        <f>Anchor!W19</f>
        <v/>
      </c>
      <c r="P22" s="129">
        <f>Anchor!X19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</f>
        <v/>
      </c>
      <c r="S22" s="129">
        <f>Anchor!Z19</f>
        <v/>
      </c>
      <c r="T22" s="132" t="n"/>
      <c r="U22" s="129">
        <f>Test!L19</f>
        <v/>
      </c>
      <c r="V22" s="129">
        <f>Test!M19</f>
        <v/>
      </c>
      <c r="W22" s="129">
        <f>Test!N19</f>
        <v/>
      </c>
      <c r="X22" s="129">
        <f>Test!O19</f>
        <v/>
      </c>
      <c r="Y22" s="129">
        <f>('Summary (Full)'!$B$34*V22+'Summary (Full)'!$B$35*W22+'Summary (Full)'!$B$36*X22)/'Summary (Full)'!$B$37</f>
        <v/>
      </c>
      <c r="Z22" s="129">
        <f>Test!P19</f>
        <v/>
      </c>
      <c r="AA22" s="129">
        <f>Test!Q19</f>
        <v/>
      </c>
      <c r="AB22" s="129">
        <f>Test!R19</f>
        <v/>
      </c>
      <c r="AC22" s="129">
        <f>Test!S19</f>
        <v/>
      </c>
      <c r="AD22" s="129">
        <f>Test!T19</f>
        <v/>
      </c>
      <c r="AE22" s="129">
        <f>Test!U19</f>
        <v/>
      </c>
      <c r="AF22" s="129">
        <f>Test!V19</f>
        <v/>
      </c>
      <c r="AG22" s="129">
        <f>Test!W19</f>
        <v/>
      </c>
      <c r="AH22" s="129">
        <f>Test!X19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</f>
        <v/>
      </c>
      <c r="AK22" s="129">
        <f>Test!Z19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</f>
        <v/>
      </c>
      <c r="D23" s="129">
        <f>Anchor!M20</f>
        <v/>
      </c>
      <c r="E23" s="129">
        <f>Anchor!N20</f>
        <v/>
      </c>
      <c r="F23" s="129">
        <f>Anchor!O20</f>
        <v/>
      </c>
      <c r="G23" s="130">
        <f>('Summary (Full)'!$B$34*D23+'Summary (Full)'!$B$35*E23+'Summary (Full)'!$B$36*F23)/'Summary (Full)'!$B$37</f>
        <v/>
      </c>
      <c r="H23" s="129">
        <f>Anchor!P20</f>
        <v/>
      </c>
      <c r="I23" s="129">
        <f>Anchor!Q20</f>
        <v/>
      </c>
      <c r="J23" s="129">
        <f>Anchor!R20</f>
        <v/>
      </c>
      <c r="K23" s="129">
        <f>Anchor!S20</f>
        <v/>
      </c>
      <c r="L23" s="129">
        <f>Anchor!T20</f>
        <v/>
      </c>
      <c r="M23" s="129">
        <f>Anchor!U20</f>
        <v/>
      </c>
      <c r="N23" s="129">
        <f>Anchor!V20</f>
        <v/>
      </c>
      <c r="O23" s="129">
        <f>Anchor!W20</f>
        <v/>
      </c>
      <c r="P23" s="129">
        <f>Anchor!X20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</f>
        <v/>
      </c>
      <c r="S23" s="129">
        <f>Anchor!Z20</f>
        <v/>
      </c>
      <c r="T23" s="132" t="n"/>
      <c r="U23" s="129">
        <f>Test!L20</f>
        <v/>
      </c>
      <c r="V23" s="129">
        <f>Test!M20</f>
        <v/>
      </c>
      <c r="W23" s="129">
        <f>Test!N20</f>
        <v/>
      </c>
      <c r="X23" s="129">
        <f>Test!O20</f>
        <v/>
      </c>
      <c r="Y23" s="129">
        <f>('Summary (Full)'!$B$34*V23+'Summary (Full)'!$B$35*W23+'Summary (Full)'!$B$36*X23)/'Summary (Full)'!$B$37</f>
        <v/>
      </c>
      <c r="Z23" s="129">
        <f>Test!P20</f>
        <v/>
      </c>
      <c r="AA23" s="129">
        <f>Test!Q20</f>
        <v/>
      </c>
      <c r="AB23" s="129">
        <f>Test!R20</f>
        <v/>
      </c>
      <c r="AC23" s="129">
        <f>Test!S20</f>
        <v/>
      </c>
      <c r="AD23" s="129">
        <f>Test!T20</f>
        <v/>
      </c>
      <c r="AE23" s="129">
        <f>Test!U20</f>
        <v/>
      </c>
      <c r="AF23" s="129">
        <f>Test!V20</f>
        <v/>
      </c>
      <c r="AG23" s="129">
        <f>Test!W20</f>
        <v/>
      </c>
      <c r="AH23" s="129">
        <f>Test!X20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</f>
        <v/>
      </c>
      <c r="AK23" s="129">
        <f>Test!Z20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Anchor!L21</f>
        <v/>
      </c>
      <c r="D24" s="129">
        <f>Anchor!M21</f>
        <v/>
      </c>
      <c r="E24" s="129">
        <f>Anchor!N21</f>
        <v/>
      </c>
      <c r="F24" s="129">
        <f>Anchor!O21</f>
        <v/>
      </c>
      <c r="G24" s="130">
        <f>('Summary (Full)'!$B$34*D24+'Summary (Full)'!$B$35*E24+'Summary (Full)'!$B$36*F24)/'Summary (Full)'!$B$37</f>
        <v/>
      </c>
      <c r="H24" s="129">
        <f>Anchor!P21</f>
        <v/>
      </c>
      <c r="I24" s="129">
        <f>Anchor!Q21</f>
        <v/>
      </c>
      <c r="J24" s="129">
        <f>Anchor!R21</f>
        <v/>
      </c>
      <c r="K24" s="129">
        <f>Anchor!S21</f>
        <v/>
      </c>
      <c r="L24" s="129">
        <f>Anchor!T21</f>
        <v/>
      </c>
      <c r="M24" s="129">
        <f>Anchor!U21</f>
        <v/>
      </c>
      <c r="N24" s="129">
        <f>Anchor!V21</f>
        <v/>
      </c>
      <c r="O24" s="129">
        <f>Anchor!W21</f>
        <v/>
      </c>
      <c r="P24" s="129">
        <f>Anchor!X21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Anchor!Y21</f>
        <v/>
      </c>
      <c r="S24" s="129">
        <f>Anchor!Z21</f>
        <v/>
      </c>
      <c r="T24" s="132" t="n"/>
      <c r="U24" s="129">
        <f>Test!L21</f>
        <v/>
      </c>
      <c r="V24" s="129">
        <f>Test!M21</f>
        <v/>
      </c>
      <c r="W24" s="129">
        <f>Test!N21</f>
        <v/>
      </c>
      <c r="X24" s="129">
        <f>Test!O21</f>
        <v/>
      </c>
      <c r="Y24" s="129">
        <f>('Summary (Full)'!$B$34*V24+'Summary (Full)'!$B$35*W24+'Summary (Full)'!$B$36*X24)/'Summary (Full)'!$B$37</f>
        <v/>
      </c>
      <c r="Z24" s="129">
        <f>Test!P21</f>
        <v/>
      </c>
      <c r="AA24" s="129">
        <f>Test!Q21</f>
        <v/>
      </c>
      <c r="AB24" s="129">
        <f>Test!R21</f>
        <v/>
      </c>
      <c r="AC24" s="129">
        <f>Test!S21</f>
        <v/>
      </c>
      <c r="AD24" s="129">
        <f>Test!T21</f>
        <v/>
      </c>
      <c r="AE24" s="129">
        <f>Test!U21</f>
        <v/>
      </c>
      <c r="AF24" s="129">
        <f>Test!V21</f>
        <v/>
      </c>
      <c r="AG24" s="129">
        <f>Test!W21</f>
        <v/>
      </c>
      <c r="AH24" s="129">
        <f>Test!X21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Test!Y21</f>
        <v/>
      </c>
      <c r="AK24" s="129">
        <f>Test!Z21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Anchor!L22</f>
        <v/>
      </c>
      <c r="D25" s="129">
        <f>Anchor!M22</f>
        <v/>
      </c>
      <c r="E25" s="129">
        <f>Anchor!N22</f>
        <v/>
      </c>
      <c r="F25" s="129">
        <f>Anchor!O22</f>
        <v/>
      </c>
      <c r="G25" s="130">
        <f>('Summary (Full)'!$B$34*D25+'Summary (Full)'!$B$35*E25+'Summary (Full)'!$B$36*F25)/'Summary (Full)'!$B$37</f>
        <v/>
      </c>
      <c r="H25" s="129">
        <f>Anchor!P22</f>
        <v/>
      </c>
      <c r="I25" s="129">
        <f>Anchor!Q22</f>
        <v/>
      </c>
      <c r="J25" s="129">
        <f>Anchor!R22</f>
        <v/>
      </c>
      <c r="K25" s="129">
        <f>Anchor!S22</f>
        <v/>
      </c>
      <c r="L25" s="129">
        <f>Anchor!T22</f>
        <v/>
      </c>
      <c r="M25" s="129">
        <f>Anchor!U22</f>
        <v/>
      </c>
      <c r="N25" s="129">
        <f>Anchor!V22</f>
        <v/>
      </c>
      <c r="O25" s="129">
        <f>Anchor!W22</f>
        <v/>
      </c>
      <c r="P25" s="129">
        <f>Anchor!X22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Anchor!Y22</f>
        <v/>
      </c>
      <c r="S25" s="129">
        <f>Anchor!Z22</f>
        <v/>
      </c>
      <c r="T25" s="132" t="n"/>
      <c r="U25" s="129">
        <f>Test!L22</f>
        <v/>
      </c>
      <c r="V25" s="129">
        <f>Test!M22</f>
        <v/>
      </c>
      <c r="W25" s="129">
        <f>Test!N22</f>
        <v/>
      </c>
      <c r="X25" s="129">
        <f>Test!O22</f>
        <v/>
      </c>
      <c r="Y25" s="129">
        <f>('Summary (Full)'!$B$34*V25+'Summary (Full)'!$B$35*W25+'Summary (Full)'!$B$36*X25)/'Summary (Full)'!$B$37</f>
        <v/>
      </c>
      <c r="Z25" s="129">
        <f>Test!P22</f>
        <v/>
      </c>
      <c r="AA25" s="129">
        <f>Test!Q22</f>
        <v/>
      </c>
      <c r="AB25" s="129">
        <f>Test!R22</f>
        <v/>
      </c>
      <c r="AC25" s="129">
        <f>Test!S22</f>
        <v/>
      </c>
      <c r="AD25" s="129">
        <f>Test!T22</f>
        <v/>
      </c>
      <c r="AE25" s="129">
        <f>Test!U22</f>
        <v/>
      </c>
      <c r="AF25" s="129">
        <f>Test!V22</f>
        <v/>
      </c>
      <c r="AG25" s="129">
        <f>Test!W22</f>
        <v/>
      </c>
      <c r="AH25" s="129">
        <f>Test!X22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Test!Y22</f>
        <v/>
      </c>
      <c r="AK25" s="129">
        <f>Test!Z22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</f>
        <v/>
      </c>
      <c r="D26" s="129">
        <f>Anchor!M23</f>
        <v/>
      </c>
      <c r="E26" s="129">
        <f>Anchor!N23</f>
        <v/>
      </c>
      <c r="F26" s="129">
        <f>Anchor!O23</f>
        <v/>
      </c>
      <c r="G26" s="130">
        <f>('Summary (Full)'!$B$34*D26+'Summary (Full)'!$B$35*E26+'Summary (Full)'!$B$36*F26)/'Summary (Full)'!$B$37</f>
        <v/>
      </c>
      <c r="H26" s="129">
        <f>Anchor!P23</f>
        <v/>
      </c>
      <c r="I26" s="129">
        <f>Anchor!Q23</f>
        <v/>
      </c>
      <c r="J26" s="129">
        <f>Anchor!R23</f>
        <v/>
      </c>
      <c r="K26" s="129">
        <f>Anchor!S23</f>
        <v/>
      </c>
      <c r="L26" s="129">
        <f>Anchor!T23</f>
        <v/>
      </c>
      <c r="M26" s="129">
        <f>Anchor!U23</f>
        <v/>
      </c>
      <c r="N26" s="129">
        <f>Anchor!V23</f>
        <v/>
      </c>
      <c r="O26" s="129">
        <f>Anchor!W23</f>
        <v/>
      </c>
      <c r="P26" s="129">
        <f>Anchor!X23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</f>
        <v/>
      </c>
      <c r="S26" s="129">
        <f>Anchor!Z23</f>
        <v/>
      </c>
      <c r="T26" s="132" t="n"/>
      <c r="U26" s="129">
        <f>Test!L23</f>
        <v/>
      </c>
      <c r="V26" s="129">
        <f>Test!M23</f>
        <v/>
      </c>
      <c r="W26" s="129">
        <f>Test!N23</f>
        <v/>
      </c>
      <c r="X26" s="129">
        <f>Test!O23</f>
        <v/>
      </c>
      <c r="Y26" s="129">
        <f>('Summary (Full)'!$B$34*V26+'Summary (Full)'!$B$35*W26+'Summary (Full)'!$B$36*X26)/'Summary (Full)'!$B$37</f>
        <v/>
      </c>
      <c r="Z26" s="129">
        <f>Test!P23</f>
        <v/>
      </c>
      <c r="AA26" s="129">
        <f>Test!Q23</f>
        <v/>
      </c>
      <c r="AB26" s="129">
        <f>Test!R23</f>
        <v/>
      </c>
      <c r="AC26" s="129">
        <f>Test!S23</f>
        <v/>
      </c>
      <c r="AD26" s="129">
        <f>Test!T23</f>
        <v/>
      </c>
      <c r="AE26" s="129">
        <f>Test!U23</f>
        <v/>
      </c>
      <c r="AF26" s="129">
        <f>Test!V23</f>
        <v/>
      </c>
      <c r="AG26" s="129">
        <f>Test!W23</f>
        <v/>
      </c>
      <c r="AH26" s="129">
        <f>Test!X23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</f>
        <v/>
      </c>
      <c r="AK26" s="129">
        <f>Test!Z23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</f>
        <v/>
      </c>
      <c r="D27" s="129">
        <f>Anchor!M24</f>
        <v/>
      </c>
      <c r="E27" s="129">
        <f>Anchor!N24</f>
        <v/>
      </c>
      <c r="F27" s="129">
        <f>Anchor!O24</f>
        <v/>
      </c>
      <c r="G27" s="130">
        <f>('Summary (Full)'!$B$34*D27+'Summary (Full)'!$B$35*E27+'Summary (Full)'!$B$36*F27)/'Summary (Full)'!$B$37</f>
        <v/>
      </c>
      <c r="H27" s="129">
        <f>Anchor!P24</f>
        <v/>
      </c>
      <c r="I27" s="129">
        <f>Anchor!Q24</f>
        <v/>
      </c>
      <c r="J27" s="129">
        <f>Anchor!R24</f>
        <v/>
      </c>
      <c r="K27" s="129">
        <f>Anchor!S24</f>
        <v/>
      </c>
      <c r="L27" s="129">
        <f>Anchor!T24</f>
        <v/>
      </c>
      <c r="M27" s="129">
        <f>Anchor!U24</f>
        <v/>
      </c>
      <c r="N27" s="129">
        <f>Anchor!V24</f>
        <v/>
      </c>
      <c r="O27" s="129">
        <f>Anchor!W24</f>
        <v/>
      </c>
      <c r="P27" s="129">
        <f>Anchor!X24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</f>
        <v/>
      </c>
      <c r="S27" s="129">
        <f>Anchor!Z24</f>
        <v/>
      </c>
      <c r="T27" s="132" t="n"/>
      <c r="U27" s="129">
        <f>Test!L24</f>
        <v/>
      </c>
      <c r="V27" s="129">
        <f>Test!M24</f>
        <v/>
      </c>
      <c r="W27" s="129">
        <f>Test!N24</f>
        <v/>
      </c>
      <c r="X27" s="129">
        <f>Test!O24</f>
        <v/>
      </c>
      <c r="Y27" s="129">
        <f>('Summary (Full)'!$B$34*V27+'Summary (Full)'!$B$35*W27+'Summary (Full)'!$B$36*X27)/'Summary (Full)'!$B$37</f>
        <v/>
      </c>
      <c r="Z27" s="129">
        <f>Test!P24</f>
        <v/>
      </c>
      <c r="AA27" s="129">
        <f>Test!Q24</f>
        <v/>
      </c>
      <c r="AB27" s="129">
        <f>Test!R24</f>
        <v/>
      </c>
      <c r="AC27" s="129">
        <f>Test!S24</f>
        <v/>
      </c>
      <c r="AD27" s="129">
        <f>Test!T24</f>
        <v/>
      </c>
      <c r="AE27" s="129">
        <f>Test!U24</f>
        <v/>
      </c>
      <c r="AF27" s="129">
        <f>Test!V24</f>
        <v/>
      </c>
      <c r="AG27" s="129">
        <f>Test!W24</f>
        <v/>
      </c>
      <c r="AH27" s="129">
        <f>Test!X24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</f>
        <v/>
      </c>
      <c r="AK27" s="129">
        <f>Test!Z24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Anchor!L25</f>
        <v/>
      </c>
      <c r="D28" s="129">
        <f>Anchor!M25</f>
        <v/>
      </c>
      <c r="E28" s="129">
        <f>Anchor!N25</f>
        <v/>
      </c>
      <c r="F28" s="129">
        <f>Anchor!O25</f>
        <v/>
      </c>
      <c r="G28" s="130">
        <f>('Summary (Full)'!$B$34*D28+'Summary (Full)'!$B$35*E28+'Summary (Full)'!$B$36*F28)/'Summary (Full)'!$B$37</f>
        <v/>
      </c>
      <c r="H28" s="129">
        <f>Anchor!P25</f>
        <v/>
      </c>
      <c r="I28" s="129">
        <f>Anchor!Q25</f>
        <v/>
      </c>
      <c r="J28" s="129">
        <f>Anchor!R25</f>
        <v/>
      </c>
      <c r="K28" s="129">
        <f>Anchor!S25</f>
        <v/>
      </c>
      <c r="L28" s="129">
        <f>Anchor!T25</f>
        <v/>
      </c>
      <c r="M28" s="129">
        <f>Anchor!U25</f>
        <v/>
      </c>
      <c r="N28" s="129">
        <f>Anchor!V25</f>
        <v/>
      </c>
      <c r="O28" s="129">
        <f>Anchor!W25</f>
        <v/>
      </c>
      <c r="P28" s="129">
        <f>Anchor!X25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Anchor!Y25</f>
        <v/>
      </c>
      <c r="S28" s="129">
        <f>Anchor!Z25</f>
        <v/>
      </c>
      <c r="T28" s="132" t="n"/>
      <c r="U28" s="129">
        <f>Test!L25</f>
        <v/>
      </c>
      <c r="V28" s="129">
        <f>Test!M25</f>
        <v/>
      </c>
      <c r="W28" s="129">
        <f>Test!N25</f>
        <v/>
      </c>
      <c r="X28" s="129">
        <f>Test!O25</f>
        <v/>
      </c>
      <c r="Y28" s="129">
        <f>('Summary (Full)'!$B$34*V28+'Summary (Full)'!$B$35*W28+'Summary (Full)'!$B$36*X28)/'Summary (Full)'!$B$37</f>
        <v/>
      </c>
      <c r="Z28" s="129">
        <f>Test!P25</f>
        <v/>
      </c>
      <c r="AA28" s="129">
        <f>Test!Q25</f>
        <v/>
      </c>
      <c r="AB28" s="129">
        <f>Test!R25</f>
        <v/>
      </c>
      <c r="AC28" s="129">
        <f>Test!S25</f>
        <v/>
      </c>
      <c r="AD28" s="129">
        <f>Test!T25</f>
        <v/>
      </c>
      <c r="AE28" s="129">
        <f>Test!U25</f>
        <v/>
      </c>
      <c r="AF28" s="129">
        <f>Test!V25</f>
        <v/>
      </c>
      <c r="AG28" s="129">
        <f>Test!W25</f>
        <v/>
      </c>
      <c r="AH28" s="129">
        <f>Test!X25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Test!Y25</f>
        <v/>
      </c>
      <c r="AK28" s="129">
        <f>Test!Z25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Anchor!L26</f>
        <v/>
      </c>
      <c r="D29" s="129">
        <f>Anchor!M26</f>
        <v/>
      </c>
      <c r="E29" s="129">
        <f>Anchor!N26</f>
        <v/>
      </c>
      <c r="F29" s="129">
        <f>Anchor!O26</f>
        <v/>
      </c>
      <c r="G29" s="130">
        <f>('Summary (Full)'!$B$34*D29+'Summary (Full)'!$B$35*E29+'Summary (Full)'!$B$36*F29)/'Summary (Full)'!$B$37</f>
        <v/>
      </c>
      <c r="H29" s="129">
        <f>Anchor!P26</f>
        <v/>
      </c>
      <c r="I29" s="129">
        <f>Anchor!Q26</f>
        <v/>
      </c>
      <c r="J29" s="129">
        <f>Anchor!R26</f>
        <v/>
      </c>
      <c r="K29" s="129">
        <f>Anchor!S26</f>
        <v/>
      </c>
      <c r="L29" s="129">
        <f>Anchor!T26</f>
        <v/>
      </c>
      <c r="M29" s="129">
        <f>Anchor!U26</f>
        <v/>
      </c>
      <c r="N29" s="129">
        <f>Anchor!V26</f>
        <v/>
      </c>
      <c r="O29" s="129">
        <f>Anchor!W26</f>
        <v/>
      </c>
      <c r="P29" s="129">
        <f>Anchor!X26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Anchor!Y26</f>
        <v/>
      </c>
      <c r="S29" s="129">
        <f>Anchor!Z26</f>
        <v/>
      </c>
      <c r="T29" s="132" t="n"/>
      <c r="U29" s="129">
        <f>Test!L26</f>
        <v/>
      </c>
      <c r="V29" s="129">
        <f>Test!M26</f>
        <v/>
      </c>
      <c r="W29" s="129">
        <f>Test!N26</f>
        <v/>
      </c>
      <c r="X29" s="129">
        <f>Test!O26</f>
        <v/>
      </c>
      <c r="Y29" s="129">
        <f>('Summary (Full)'!$B$34*V29+'Summary (Full)'!$B$35*W29+'Summary (Full)'!$B$36*X29)/'Summary (Full)'!$B$37</f>
        <v/>
      </c>
      <c r="Z29" s="129">
        <f>Test!P26</f>
        <v/>
      </c>
      <c r="AA29" s="129">
        <f>Test!Q26</f>
        <v/>
      </c>
      <c r="AB29" s="129">
        <f>Test!R26</f>
        <v/>
      </c>
      <c r="AC29" s="129">
        <f>Test!S26</f>
        <v/>
      </c>
      <c r="AD29" s="129">
        <f>Test!T26</f>
        <v/>
      </c>
      <c r="AE29" s="129">
        <f>Test!U26</f>
        <v/>
      </c>
      <c r="AF29" s="129">
        <f>Test!V26</f>
        <v/>
      </c>
      <c r="AG29" s="129">
        <f>Test!W26</f>
        <v/>
      </c>
      <c r="AH29" s="129">
        <f>Test!X26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Test!Y26</f>
        <v/>
      </c>
      <c r="AK29" s="129">
        <f>Test!Z26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Anchor!L27</f>
        <v/>
      </c>
      <c r="D30" s="129">
        <f>Anchor!M27</f>
        <v/>
      </c>
      <c r="E30" s="129">
        <f>Anchor!N27</f>
        <v/>
      </c>
      <c r="F30" s="129">
        <f>Anchor!O27</f>
        <v/>
      </c>
      <c r="G30" s="130">
        <f>('Summary (Full)'!$B$34*D30+'Summary (Full)'!$B$35*E30+'Summary (Full)'!$B$36*F30)/'Summary (Full)'!$B$37</f>
        <v/>
      </c>
      <c r="H30" s="129">
        <f>Anchor!P27</f>
        <v/>
      </c>
      <c r="I30" s="129">
        <f>Anchor!Q27</f>
        <v/>
      </c>
      <c r="J30" s="129">
        <f>Anchor!R27</f>
        <v/>
      </c>
      <c r="K30" s="129">
        <f>Anchor!S27</f>
        <v/>
      </c>
      <c r="L30" s="129">
        <f>Anchor!T27</f>
        <v/>
      </c>
      <c r="M30" s="129">
        <f>Anchor!U27</f>
        <v/>
      </c>
      <c r="N30" s="129">
        <f>Anchor!V27</f>
        <v/>
      </c>
      <c r="O30" s="129">
        <f>Anchor!W27</f>
        <v/>
      </c>
      <c r="P30" s="129">
        <f>Anchor!X27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Anchor!Y27</f>
        <v/>
      </c>
      <c r="S30" s="129">
        <f>Anchor!Z27</f>
        <v/>
      </c>
      <c r="T30" s="132" t="n"/>
      <c r="U30" s="129">
        <f>Test!L27</f>
        <v/>
      </c>
      <c r="V30" s="129">
        <f>Test!M27</f>
        <v/>
      </c>
      <c r="W30" s="129">
        <f>Test!N27</f>
        <v/>
      </c>
      <c r="X30" s="129">
        <f>Test!O27</f>
        <v/>
      </c>
      <c r="Y30" s="129">
        <f>('Summary (Full)'!$B$34*V30+'Summary (Full)'!$B$35*W30+'Summary (Full)'!$B$36*X30)/'Summary (Full)'!$B$37</f>
        <v/>
      </c>
      <c r="Z30" s="129">
        <f>Test!P27</f>
        <v/>
      </c>
      <c r="AA30" s="129">
        <f>Test!Q27</f>
        <v/>
      </c>
      <c r="AB30" s="129">
        <f>Test!R27</f>
        <v/>
      </c>
      <c r="AC30" s="129">
        <f>Test!S27</f>
        <v/>
      </c>
      <c r="AD30" s="129">
        <f>Test!T27</f>
        <v/>
      </c>
      <c r="AE30" s="129">
        <f>Test!U27</f>
        <v/>
      </c>
      <c r="AF30" s="129">
        <f>Test!V27</f>
        <v/>
      </c>
      <c r="AG30" s="129">
        <f>Test!W27</f>
        <v/>
      </c>
      <c r="AH30" s="129">
        <f>Test!X27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Test!Y27</f>
        <v/>
      </c>
      <c r="AK30" s="129">
        <f>Test!Z27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Anchor!L28</f>
        <v/>
      </c>
      <c r="D31" s="129">
        <f>Anchor!M28</f>
        <v/>
      </c>
      <c r="E31" s="129">
        <f>Anchor!N28</f>
        <v/>
      </c>
      <c r="F31" s="129">
        <f>Anchor!O28</f>
        <v/>
      </c>
      <c r="G31" s="130">
        <f>('Summary (Full)'!$B$34*D31+'Summary (Full)'!$B$35*E31+'Summary (Full)'!$B$36*F31)/'Summary (Full)'!$B$37</f>
        <v/>
      </c>
      <c r="H31" s="129">
        <f>Anchor!P28</f>
        <v/>
      </c>
      <c r="I31" s="129">
        <f>Anchor!Q28</f>
        <v/>
      </c>
      <c r="J31" s="129">
        <f>Anchor!R28</f>
        <v/>
      </c>
      <c r="K31" s="129">
        <f>Anchor!S28</f>
        <v/>
      </c>
      <c r="L31" s="129">
        <f>Anchor!T28</f>
        <v/>
      </c>
      <c r="M31" s="129">
        <f>Anchor!U28</f>
        <v/>
      </c>
      <c r="N31" s="129">
        <f>Anchor!V28</f>
        <v/>
      </c>
      <c r="O31" s="129">
        <f>Anchor!W28</f>
        <v/>
      </c>
      <c r="P31" s="129">
        <f>Anchor!X28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Anchor!Y28</f>
        <v/>
      </c>
      <c r="S31" s="129">
        <f>Anchor!Z28</f>
        <v/>
      </c>
      <c r="T31" s="132" t="n"/>
      <c r="U31" s="129">
        <f>Test!L28</f>
        <v/>
      </c>
      <c r="V31" s="129">
        <f>Test!M28</f>
        <v/>
      </c>
      <c r="W31" s="129">
        <f>Test!N28</f>
        <v/>
      </c>
      <c r="X31" s="129">
        <f>Test!O28</f>
        <v/>
      </c>
      <c r="Y31" s="129">
        <f>('Summary (Full)'!$B$34*V31+'Summary (Full)'!$B$35*W31+'Summary (Full)'!$B$36*X31)/'Summary (Full)'!$B$37</f>
        <v/>
      </c>
      <c r="Z31" s="129">
        <f>Test!P28</f>
        <v/>
      </c>
      <c r="AA31" s="129">
        <f>Test!Q28</f>
        <v/>
      </c>
      <c r="AB31" s="129">
        <f>Test!R28</f>
        <v/>
      </c>
      <c r="AC31" s="129">
        <f>Test!S28</f>
        <v/>
      </c>
      <c r="AD31" s="129">
        <f>Test!T28</f>
        <v/>
      </c>
      <c r="AE31" s="129">
        <f>Test!U28</f>
        <v/>
      </c>
      <c r="AF31" s="129">
        <f>Test!V28</f>
        <v/>
      </c>
      <c r="AG31" s="129">
        <f>Test!W28</f>
        <v/>
      </c>
      <c r="AH31" s="129">
        <f>Test!X28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Test!Y28</f>
        <v/>
      </c>
      <c r="AK31" s="129">
        <f>Test!Z28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Anchor!L29</f>
        <v/>
      </c>
      <c r="D32" s="129">
        <f>Anchor!M29</f>
        <v/>
      </c>
      <c r="E32" s="129">
        <f>Anchor!N29</f>
        <v/>
      </c>
      <c r="F32" s="129">
        <f>Anchor!O29</f>
        <v/>
      </c>
      <c r="G32" s="130">
        <f>('Summary (Full)'!$B$34*D32+'Summary (Full)'!$B$35*E32+'Summary (Full)'!$B$36*F32)/'Summary (Full)'!$B$37</f>
        <v/>
      </c>
      <c r="H32" s="129">
        <f>Anchor!P29</f>
        <v/>
      </c>
      <c r="I32" s="129">
        <f>Anchor!Q29</f>
        <v/>
      </c>
      <c r="J32" s="129">
        <f>Anchor!R29</f>
        <v/>
      </c>
      <c r="K32" s="129">
        <f>Anchor!S29</f>
        <v/>
      </c>
      <c r="L32" s="129">
        <f>Anchor!T29</f>
        <v/>
      </c>
      <c r="M32" s="129">
        <f>Anchor!U29</f>
        <v/>
      </c>
      <c r="N32" s="129">
        <f>Anchor!V29</f>
        <v/>
      </c>
      <c r="O32" s="129">
        <f>Anchor!W29</f>
        <v/>
      </c>
      <c r="P32" s="129">
        <f>Anchor!X29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Anchor!Y29</f>
        <v/>
      </c>
      <c r="S32" s="129">
        <f>Anchor!Z29</f>
        <v/>
      </c>
      <c r="T32" s="132" t="n"/>
      <c r="U32" s="129">
        <f>Test!L29</f>
        <v/>
      </c>
      <c r="V32" s="129">
        <f>Test!M29</f>
        <v/>
      </c>
      <c r="W32" s="129">
        <f>Test!N29</f>
        <v/>
      </c>
      <c r="X32" s="129">
        <f>Test!O29</f>
        <v/>
      </c>
      <c r="Y32" s="129">
        <f>('Summary (Full)'!$B$34*V32+'Summary (Full)'!$B$35*W32+'Summary (Full)'!$B$36*X32)/'Summary (Full)'!$B$37</f>
        <v/>
      </c>
      <c r="Z32" s="129">
        <f>Test!P29</f>
        <v/>
      </c>
      <c r="AA32" s="129">
        <f>Test!Q29</f>
        <v/>
      </c>
      <c r="AB32" s="129">
        <f>Test!R29</f>
        <v/>
      </c>
      <c r="AC32" s="129">
        <f>Test!S29</f>
        <v/>
      </c>
      <c r="AD32" s="129">
        <f>Test!T29</f>
        <v/>
      </c>
      <c r="AE32" s="129">
        <f>Test!U29</f>
        <v/>
      </c>
      <c r="AF32" s="129">
        <f>Test!V29</f>
        <v/>
      </c>
      <c r="AG32" s="129">
        <f>Test!W29</f>
        <v/>
      </c>
      <c r="AH32" s="129">
        <f>Test!X29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Test!Y29</f>
        <v/>
      </c>
      <c r="AK32" s="129">
        <f>Test!Z29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Anchor!L30</f>
        <v/>
      </c>
      <c r="D33" s="129">
        <f>Anchor!M30</f>
        <v/>
      </c>
      <c r="E33" s="129">
        <f>Anchor!N30</f>
        <v/>
      </c>
      <c r="F33" s="129">
        <f>Anchor!O30</f>
        <v/>
      </c>
      <c r="G33" s="130">
        <f>('Summary (Full)'!$B$34*D33+'Summary (Full)'!$B$35*E33+'Summary (Full)'!$B$36*F33)/'Summary (Full)'!$B$37</f>
        <v/>
      </c>
      <c r="H33" s="129">
        <f>Anchor!P30</f>
        <v/>
      </c>
      <c r="I33" s="129">
        <f>Anchor!Q30</f>
        <v/>
      </c>
      <c r="J33" s="129">
        <f>Anchor!R30</f>
        <v/>
      </c>
      <c r="K33" s="129">
        <f>Anchor!S30</f>
        <v/>
      </c>
      <c r="L33" s="129">
        <f>Anchor!T30</f>
        <v/>
      </c>
      <c r="M33" s="129">
        <f>Anchor!U30</f>
        <v/>
      </c>
      <c r="N33" s="129">
        <f>Anchor!V30</f>
        <v/>
      </c>
      <c r="O33" s="129">
        <f>Anchor!W30</f>
        <v/>
      </c>
      <c r="P33" s="129">
        <f>Anchor!X30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Anchor!Y30</f>
        <v/>
      </c>
      <c r="S33" s="129">
        <f>Anchor!Z30</f>
        <v/>
      </c>
      <c r="T33" s="132" t="n"/>
      <c r="U33" s="129">
        <f>Test!L30</f>
        <v/>
      </c>
      <c r="V33" s="129">
        <f>Test!M30</f>
        <v/>
      </c>
      <c r="W33" s="129">
        <f>Test!N30</f>
        <v/>
      </c>
      <c r="X33" s="129">
        <f>Test!O30</f>
        <v/>
      </c>
      <c r="Y33" s="129">
        <f>('Summary (Full)'!$B$34*V33+'Summary (Full)'!$B$35*W33+'Summary (Full)'!$B$36*X33)/'Summary (Full)'!$B$37</f>
        <v/>
      </c>
      <c r="Z33" s="129">
        <f>Test!P30</f>
        <v/>
      </c>
      <c r="AA33" s="129">
        <f>Test!Q30</f>
        <v/>
      </c>
      <c r="AB33" s="129">
        <f>Test!R30</f>
        <v/>
      </c>
      <c r="AC33" s="129">
        <f>Test!S30</f>
        <v/>
      </c>
      <c r="AD33" s="129">
        <f>Test!T30</f>
        <v/>
      </c>
      <c r="AE33" s="129">
        <f>Test!U30</f>
        <v/>
      </c>
      <c r="AF33" s="129">
        <f>Test!V30</f>
        <v/>
      </c>
      <c r="AG33" s="129">
        <f>Test!W30</f>
        <v/>
      </c>
      <c r="AH33" s="129">
        <f>Test!X30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Test!Y30</f>
        <v/>
      </c>
      <c r="AK33" s="129">
        <f>Test!Z30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Anchor!L31</f>
        <v/>
      </c>
      <c r="D34" s="129">
        <f>Anchor!M31</f>
        <v/>
      </c>
      <c r="E34" s="129">
        <f>Anchor!N31</f>
        <v/>
      </c>
      <c r="F34" s="129">
        <f>Anchor!O31</f>
        <v/>
      </c>
      <c r="G34" s="130">
        <f>('Summary (Full)'!$B$34*D34+'Summary (Full)'!$B$35*E34+'Summary (Full)'!$B$36*F34)/'Summary (Full)'!$B$37</f>
        <v/>
      </c>
      <c r="H34" s="129">
        <f>Anchor!P31</f>
        <v/>
      </c>
      <c r="I34" s="129">
        <f>Anchor!Q31</f>
        <v/>
      </c>
      <c r="J34" s="129">
        <f>Anchor!R31</f>
        <v/>
      </c>
      <c r="K34" s="129">
        <f>Anchor!S31</f>
        <v/>
      </c>
      <c r="L34" s="129">
        <f>Anchor!T31</f>
        <v/>
      </c>
      <c r="M34" s="129">
        <f>Anchor!U31</f>
        <v/>
      </c>
      <c r="N34" s="129">
        <f>Anchor!V31</f>
        <v/>
      </c>
      <c r="O34" s="129">
        <f>Anchor!W31</f>
        <v/>
      </c>
      <c r="P34" s="129">
        <f>Anchor!X31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Anchor!Y31</f>
        <v/>
      </c>
      <c r="S34" s="129">
        <f>Anchor!Z31</f>
        <v/>
      </c>
      <c r="T34" s="132" t="n"/>
      <c r="U34" s="129">
        <f>Test!L31</f>
        <v/>
      </c>
      <c r="V34" s="129">
        <f>Test!M31</f>
        <v/>
      </c>
      <c r="W34" s="129">
        <f>Test!N31</f>
        <v/>
      </c>
      <c r="X34" s="129">
        <f>Test!O31</f>
        <v/>
      </c>
      <c r="Y34" s="129">
        <f>('Summary (Full)'!$B$34*V34+'Summary (Full)'!$B$35*W34+'Summary (Full)'!$B$36*X34)/'Summary (Full)'!$B$37</f>
        <v/>
      </c>
      <c r="Z34" s="129">
        <f>Test!P31</f>
        <v/>
      </c>
      <c r="AA34" s="129">
        <f>Test!Q31</f>
        <v/>
      </c>
      <c r="AB34" s="129">
        <f>Test!R31</f>
        <v/>
      </c>
      <c r="AC34" s="129">
        <f>Test!S31</f>
        <v/>
      </c>
      <c r="AD34" s="129">
        <f>Test!T31</f>
        <v/>
      </c>
      <c r="AE34" s="129">
        <f>Test!U31</f>
        <v/>
      </c>
      <c r="AF34" s="129">
        <f>Test!V31</f>
        <v/>
      </c>
      <c r="AG34" s="129">
        <f>Test!W31</f>
        <v/>
      </c>
      <c r="AH34" s="129">
        <f>Test!X31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Test!Y31</f>
        <v/>
      </c>
      <c r="AK34" s="129">
        <f>Test!Z31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Anchor!L32</f>
        <v/>
      </c>
      <c r="D35" s="129">
        <f>Anchor!M32</f>
        <v/>
      </c>
      <c r="E35" s="129">
        <f>Anchor!N32</f>
        <v/>
      </c>
      <c r="F35" s="129">
        <f>Anchor!O32</f>
        <v/>
      </c>
      <c r="G35" s="130">
        <f>('Summary (Full)'!$B$34*D35+'Summary (Full)'!$B$35*E35+'Summary (Full)'!$B$36*F35)/'Summary (Full)'!$B$37</f>
        <v/>
      </c>
      <c r="H35" s="129">
        <f>Anchor!P32</f>
        <v/>
      </c>
      <c r="I35" s="129">
        <f>Anchor!Q32</f>
        <v/>
      </c>
      <c r="J35" s="129">
        <f>Anchor!R32</f>
        <v/>
      </c>
      <c r="K35" s="129">
        <f>Anchor!S32</f>
        <v/>
      </c>
      <c r="L35" s="129">
        <f>Anchor!T32</f>
        <v/>
      </c>
      <c r="M35" s="129">
        <f>Anchor!U32</f>
        <v/>
      </c>
      <c r="N35" s="129">
        <f>Anchor!V32</f>
        <v/>
      </c>
      <c r="O35" s="129">
        <f>Anchor!W32</f>
        <v/>
      </c>
      <c r="P35" s="129">
        <f>Anchor!X32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Anchor!Y32</f>
        <v/>
      </c>
      <c r="S35" s="129">
        <f>Anchor!Z32</f>
        <v/>
      </c>
      <c r="T35" s="132" t="n"/>
      <c r="U35" s="129">
        <f>Test!L32</f>
        <v/>
      </c>
      <c r="V35" s="129">
        <f>Test!M32</f>
        <v/>
      </c>
      <c r="W35" s="129">
        <f>Test!N32</f>
        <v/>
      </c>
      <c r="X35" s="129">
        <f>Test!O32</f>
        <v/>
      </c>
      <c r="Y35" s="129">
        <f>('Summary (Full)'!$B$34*V35+'Summary (Full)'!$B$35*W35+'Summary (Full)'!$B$36*X35)/'Summary (Full)'!$B$37</f>
        <v/>
      </c>
      <c r="Z35" s="129">
        <f>Test!P32</f>
        <v/>
      </c>
      <c r="AA35" s="129">
        <f>Test!Q32</f>
        <v/>
      </c>
      <c r="AB35" s="129">
        <f>Test!R32</f>
        <v/>
      </c>
      <c r="AC35" s="129">
        <f>Test!S32</f>
        <v/>
      </c>
      <c r="AD35" s="129">
        <f>Test!T32</f>
        <v/>
      </c>
      <c r="AE35" s="129">
        <f>Test!U32</f>
        <v/>
      </c>
      <c r="AF35" s="129">
        <f>Test!V32</f>
        <v/>
      </c>
      <c r="AG35" s="129">
        <f>Test!W32</f>
        <v/>
      </c>
      <c r="AH35" s="129">
        <f>Test!X32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Test!Y32</f>
        <v/>
      </c>
      <c r="AK35" s="129">
        <f>Test!Z32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Anchor!L33</f>
        <v/>
      </c>
      <c r="D36" s="129">
        <f>Anchor!M33</f>
        <v/>
      </c>
      <c r="E36" s="129">
        <f>Anchor!N33</f>
        <v/>
      </c>
      <c r="F36" s="129">
        <f>Anchor!O33</f>
        <v/>
      </c>
      <c r="G36" s="130">
        <f>('Summary (Full)'!$B$34*D36+'Summary (Full)'!$B$35*E36+'Summary (Full)'!$B$36*F36)/'Summary (Full)'!$B$37</f>
        <v/>
      </c>
      <c r="H36" s="129">
        <f>Anchor!P33</f>
        <v/>
      </c>
      <c r="I36" s="129">
        <f>Anchor!Q33</f>
        <v/>
      </c>
      <c r="J36" s="129">
        <f>Anchor!R33</f>
        <v/>
      </c>
      <c r="K36" s="129">
        <f>Anchor!S33</f>
        <v/>
      </c>
      <c r="L36" s="129">
        <f>Anchor!T33</f>
        <v/>
      </c>
      <c r="M36" s="129">
        <f>Anchor!U33</f>
        <v/>
      </c>
      <c r="N36" s="129">
        <f>Anchor!V33</f>
        <v/>
      </c>
      <c r="O36" s="129">
        <f>Anchor!W33</f>
        <v/>
      </c>
      <c r="P36" s="129">
        <f>Anchor!X33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Anchor!Y33</f>
        <v/>
      </c>
      <c r="S36" s="129">
        <f>Anchor!Z33</f>
        <v/>
      </c>
      <c r="T36" s="132" t="n"/>
      <c r="U36" s="129">
        <f>Test!L33</f>
        <v/>
      </c>
      <c r="V36" s="129">
        <f>Test!M33</f>
        <v/>
      </c>
      <c r="W36" s="129">
        <f>Test!N33</f>
        <v/>
      </c>
      <c r="X36" s="129">
        <f>Test!O33</f>
        <v/>
      </c>
      <c r="Y36" s="129">
        <f>('Summary (Full)'!$B$34*V36+'Summary (Full)'!$B$35*W36+'Summary (Full)'!$B$36*X36)/'Summary (Full)'!$B$37</f>
        <v/>
      </c>
      <c r="Z36" s="129">
        <f>Test!P33</f>
        <v/>
      </c>
      <c r="AA36" s="129">
        <f>Test!Q33</f>
        <v/>
      </c>
      <c r="AB36" s="129">
        <f>Test!R33</f>
        <v/>
      </c>
      <c r="AC36" s="129">
        <f>Test!S33</f>
        <v/>
      </c>
      <c r="AD36" s="129">
        <f>Test!T33</f>
        <v/>
      </c>
      <c r="AE36" s="129">
        <f>Test!U33</f>
        <v/>
      </c>
      <c r="AF36" s="129">
        <f>Test!V33</f>
        <v/>
      </c>
      <c r="AG36" s="129">
        <f>Test!W33</f>
        <v/>
      </c>
      <c r="AH36" s="129">
        <f>Test!X33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Test!Y33</f>
        <v/>
      </c>
      <c r="AK36" s="129">
        <f>Test!Z33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Anchor!L34</f>
        <v/>
      </c>
      <c r="D37" s="129">
        <f>Anchor!M34</f>
        <v/>
      </c>
      <c r="E37" s="129">
        <f>Anchor!N34</f>
        <v/>
      </c>
      <c r="F37" s="129">
        <f>Anchor!O34</f>
        <v/>
      </c>
      <c r="G37" s="130">
        <f>('Summary (Full)'!$B$34*D37+'Summary (Full)'!$B$35*E37+'Summary (Full)'!$B$36*F37)/'Summary (Full)'!$B$37</f>
        <v/>
      </c>
      <c r="H37" s="129">
        <f>Anchor!P34</f>
        <v/>
      </c>
      <c r="I37" s="129">
        <f>Anchor!Q34</f>
        <v/>
      </c>
      <c r="J37" s="129">
        <f>Anchor!R34</f>
        <v/>
      </c>
      <c r="K37" s="129">
        <f>Anchor!S34</f>
        <v/>
      </c>
      <c r="L37" s="129">
        <f>Anchor!T34</f>
        <v/>
      </c>
      <c r="M37" s="129">
        <f>Anchor!U34</f>
        <v/>
      </c>
      <c r="N37" s="129">
        <f>Anchor!V34</f>
        <v/>
      </c>
      <c r="O37" s="129">
        <f>Anchor!W34</f>
        <v/>
      </c>
      <c r="P37" s="129">
        <f>Anchor!X34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Anchor!Y34</f>
        <v/>
      </c>
      <c r="S37" s="129">
        <f>Anchor!Z34</f>
        <v/>
      </c>
      <c r="T37" s="132" t="n"/>
      <c r="U37" s="129">
        <f>Test!L34</f>
        <v/>
      </c>
      <c r="V37" s="129">
        <f>Test!M34</f>
        <v/>
      </c>
      <c r="W37" s="129">
        <f>Test!N34</f>
        <v/>
      </c>
      <c r="X37" s="129">
        <f>Test!O34</f>
        <v/>
      </c>
      <c r="Y37" s="129">
        <f>('Summary (Full)'!$B$34*V37+'Summary (Full)'!$B$35*W37+'Summary (Full)'!$B$36*X37)/'Summary (Full)'!$B$37</f>
        <v/>
      </c>
      <c r="Z37" s="129">
        <f>Test!P34</f>
        <v/>
      </c>
      <c r="AA37" s="129">
        <f>Test!Q34</f>
        <v/>
      </c>
      <c r="AB37" s="129">
        <f>Test!R34</f>
        <v/>
      </c>
      <c r="AC37" s="129">
        <f>Test!S34</f>
        <v/>
      </c>
      <c r="AD37" s="129">
        <f>Test!T34</f>
        <v/>
      </c>
      <c r="AE37" s="129">
        <f>Test!U34</f>
        <v/>
      </c>
      <c r="AF37" s="129">
        <f>Test!V34</f>
        <v/>
      </c>
      <c r="AG37" s="129">
        <f>Test!W34</f>
        <v/>
      </c>
      <c r="AH37" s="129">
        <f>Test!X34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Test!Y34</f>
        <v/>
      </c>
      <c r="AK37" s="129">
        <f>Test!Z34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Anchor!L35</f>
        <v/>
      </c>
      <c r="D38" s="129">
        <f>Anchor!M35</f>
        <v/>
      </c>
      <c r="E38" s="129">
        <f>Anchor!N35</f>
        <v/>
      </c>
      <c r="F38" s="129">
        <f>Anchor!O35</f>
        <v/>
      </c>
      <c r="G38" s="130">
        <f>('Summary (Full)'!$B$34*D38+'Summary (Full)'!$B$35*E38+'Summary (Full)'!$B$36*F38)/'Summary (Full)'!$B$37</f>
        <v/>
      </c>
      <c r="H38" s="129">
        <f>Anchor!P35</f>
        <v/>
      </c>
      <c r="I38" s="129">
        <f>Anchor!Q35</f>
        <v/>
      </c>
      <c r="J38" s="129">
        <f>Anchor!R35</f>
        <v/>
      </c>
      <c r="K38" s="129">
        <f>Anchor!S35</f>
        <v/>
      </c>
      <c r="L38" s="129">
        <f>Anchor!T35</f>
        <v/>
      </c>
      <c r="M38" s="129">
        <f>Anchor!U35</f>
        <v/>
      </c>
      <c r="N38" s="129">
        <f>Anchor!V35</f>
        <v/>
      </c>
      <c r="O38" s="129">
        <f>Anchor!W35</f>
        <v/>
      </c>
      <c r="P38" s="129">
        <f>Anchor!X35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Anchor!Y35</f>
        <v/>
      </c>
      <c r="S38" s="129">
        <f>Anchor!Z35</f>
        <v/>
      </c>
      <c r="T38" s="132" t="n"/>
      <c r="U38" s="129">
        <f>Test!L35</f>
        <v/>
      </c>
      <c r="V38" s="129">
        <f>Test!M35</f>
        <v/>
      </c>
      <c r="W38" s="129">
        <f>Test!N35</f>
        <v/>
      </c>
      <c r="X38" s="129">
        <f>Test!O35</f>
        <v/>
      </c>
      <c r="Y38" s="129">
        <f>('Summary (Full)'!$B$34*V38+'Summary (Full)'!$B$35*W38+'Summary (Full)'!$B$36*X38)/'Summary (Full)'!$B$37</f>
        <v/>
      </c>
      <c r="Z38" s="129">
        <f>Test!P35</f>
        <v/>
      </c>
      <c r="AA38" s="129">
        <f>Test!Q35</f>
        <v/>
      </c>
      <c r="AB38" s="129">
        <f>Test!R35</f>
        <v/>
      </c>
      <c r="AC38" s="129">
        <f>Test!S35</f>
        <v/>
      </c>
      <c r="AD38" s="129">
        <f>Test!T35</f>
        <v/>
      </c>
      <c r="AE38" s="129">
        <f>Test!U35</f>
        <v/>
      </c>
      <c r="AF38" s="129">
        <f>Test!V35</f>
        <v/>
      </c>
      <c r="AG38" s="129">
        <f>Test!W35</f>
        <v/>
      </c>
      <c r="AH38" s="129">
        <f>Test!X35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Test!Y35</f>
        <v/>
      </c>
      <c r="AK38" s="129">
        <f>Test!Z35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Anchor!L36</f>
        <v/>
      </c>
      <c r="D39" s="129">
        <f>Anchor!M36</f>
        <v/>
      </c>
      <c r="E39" s="129">
        <f>Anchor!N36</f>
        <v/>
      </c>
      <c r="F39" s="129">
        <f>Anchor!O36</f>
        <v/>
      </c>
      <c r="G39" s="130">
        <f>('Summary (Full)'!$B$34*D39+'Summary (Full)'!$B$35*E39+'Summary (Full)'!$B$36*F39)/'Summary (Full)'!$B$37</f>
        <v/>
      </c>
      <c r="H39" s="129">
        <f>Anchor!P36</f>
        <v/>
      </c>
      <c r="I39" s="129">
        <f>Anchor!Q36</f>
        <v/>
      </c>
      <c r="J39" s="129">
        <f>Anchor!R36</f>
        <v/>
      </c>
      <c r="K39" s="129">
        <f>Anchor!S36</f>
        <v/>
      </c>
      <c r="L39" s="129">
        <f>Anchor!T36</f>
        <v/>
      </c>
      <c r="M39" s="129">
        <f>Anchor!U36</f>
        <v/>
      </c>
      <c r="N39" s="129">
        <f>Anchor!V36</f>
        <v/>
      </c>
      <c r="O39" s="129">
        <f>Anchor!W36</f>
        <v/>
      </c>
      <c r="P39" s="129">
        <f>Anchor!X36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Anchor!Y36</f>
        <v/>
      </c>
      <c r="S39" s="129">
        <f>Anchor!Z36</f>
        <v/>
      </c>
      <c r="T39" s="132" t="n"/>
      <c r="U39" s="129">
        <f>Test!L36</f>
        <v/>
      </c>
      <c r="V39" s="129">
        <f>Test!M36</f>
        <v/>
      </c>
      <c r="W39" s="129">
        <f>Test!N36</f>
        <v/>
      </c>
      <c r="X39" s="129">
        <f>Test!O36</f>
        <v/>
      </c>
      <c r="Y39" s="129">
        <f>('Summary (Full)'!$B$34*V39+'Summary (Full)'!$B$35*W39+'Summary (Full)'!$B$36*X39)/'Summary (Full)'!$B$37</f>
        <v/>
      </c>
      <c r="Z39" s="129">
        <f>Test!P36</f>
        <v/>
      </c>
      <c r="AA39" s="129">
        <f>Test!Q36</f>
        <v/>
      </c>
      <c r="AB39" s="129">
        <f>Test!R36</f>
        <v/>
      </c>
      <c r="AC39" s="129">
        <f>Test!S36</f>
        <v/>
      </c>
      <c r="AD39" s="129">
        <f>Test!T36</f>
        <v/>
      </c>
      <c r="AE39" s="129">
        <f>Test!U36</f>
        <v/>
      </c>
      <c r="AF39" s="129">
        <f>Test!V36</f>
        <v/>
      </c>
      <c r="AG39" s="129">
        <f>Test!W36</f>
        <v/>
      </c>
      <c r="AH39" s="129">
        <f>Test!X36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Test!Y36</f>
        <v/>
      </c>
      <c r="AK39" s="129">
        <f>Test!Z36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Anchor!L37</f>
        <v/>
      </c>
      <c r="D40" s="129">
        <f>Anchor!M37</f>
        <v/>
      </c>
      <c r="E40" s="129">
        <f>Anchor!N37</f>
        <v/>
      </c>
      <c r="F40" s="129">
        <f>Anchor!O37</f>
        <v/>
      </c>
      <c r="G40" s="130">
        <f>('Summary (Full)'!$B$34*D40+'Summary (Full)'!$B$35*E40+'Summary (Full)'!$B$36*F40)/'Summary (Full)'!$B$37</f>
        <v/>
      </c>
      <c r="H40" s="129">
        <f>Anchor!P37</f>
        <v/>
      </c>
      <c r="I40" s="129">
        <f>Anchor!Q37</f>
        <v/>
      </c>
      <c r="J40" s="129">
        <f>Anchor!R37</f>
        <v/>
      </c>
      <c r="K40" s="129">
        <f>Anchor!S37</f>
        <v/>
      </c>
      <c r="L40" s="129">
        <f>Anchor!T37</f>
        <v/>
      </c>
      <c r="M40" s="129">
        <f>Anchor!U37</f>
        <v/>
      </c>
      <c r="N40" s="129">
        <f>Anchor!V37</f>
        <v/>
      </c>
      <c r="O40" s="129">
        <f>Anchor!W37</f>
        <v/>
      </c>
      <c r="P40" s="129">
        <f>Anchor!X37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Anchor!Y37</f>
        <v/>
      </c>
      <c r="S40" s="129">
        <f>Anchor!Z37</f>
        <v/>
      </c>
      <c r="T40" s="132" t="n"/>
      <c r="U40" s="129">
        <f>Test!L37</f>
        <v/>
      </c>
      <c r="V40" s="129">
        <f>Test!M37</f>
        <v/>
      </c>
      <c r="W40" s="129">
        <f>Test!N37</f>
        <v/>
      </c>
      <c r="X40" s="129">
        <f>Test!O37</f>
        <v/>
      </c>
      <c r="Y40" s="129">
        <f>('Summary (Full)'!$B$34*V40+'Summary (Full)'!$B$35*W40+'Summary (Full)'!$B$36*X40)/'Summary (Full)'!$B$37</f>
        <v/>
      </c>
      <c r="Z40" s="129">
        <f>Test!P37</f>
        <v/>
      </c>
      <c r="AA40" s="129">
        <f>Test!Q37</f>
        <v/>
      </c>
      <c r="AB40" s="129">
        <f>Test!R37</f>
        <v/>
      </c>
      <c r="AC40" s="129">
        <f>Test!S37</f>
        <v/>
      </c>
      <c r="AD40" s="129">
        <f>Test!T37</f>
        <v/>
      </c>
      <c r="AE40" s="129">
        <f>Test!U37</f>
        <v/>
      </c>
      <c r="AF40" s="129">
        <f>Test!V37</f>
        <v/>
      </c>
      <c r="AG40" s="129">
        <f>Test!W37</f>
        <v/>
      </c>
      <c r="AH40" s="129">
        <f>Test!X37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Test!Y37</f>
        <v/>
      </c>
      <c r="AK40" s="129">
        <f>Test!Z37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N46" s="262" t="inlineStr">
        <is>
          <t>TestVMAF</t>
        </is>
      </c>
      <c r="AP46" s="262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73" t="n"/>
      <c r="AN47" s="261">
        <f t="array" ref="AN47">testVMAFRange($DK5:$DK63,DL5:DL63,$EV5:$EV63,EW5:EW63)</f>
        <v/>
      </c>
      <c r="AO47" s="118" t="n"/>
      <c r="AP47" s="261">
        <f t="array" ref="AP47">testVMAFRange(DM5:DM63,DN5:DN63,EX5:EX63,EY5:EY63)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18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58" t="n"/>
      <c r="AO49" s="118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18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58" t="n"/>
      <c r="AO51" s="118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18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AP9:AP10"/>
    <mergeCell ref="AJ47:AJ52"/>
    <mergeCell ref="M47:M52"/>
    <mergeCell ref="AU5:AU10"/>
    <mergeCell ref="AP5:AP6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AZ35:AZ36"/>
    <mergeCell ref="W51:W52"/>
    <mergeCell ref="FB2:FC2"/>
    <mergeCell ref="Y51:Y52"/>
    <mergeCell ref="AE47:AE52"/>
    <mergeCell ref="AV11:AV1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Z33:AZ34"/>
    <mergeCell ref="BA11:BA16"/>
    <mergeCell ref="DQ2:DR2"/>
    <mergeCell ref="AX17:AX18"/>
    <mergeCell ref="AT23:AT24"/>
    <mergeCell ref="AX11:AX12"/>
    <mergeCell ref="FK2:FL2"/>
    <mergeCell ref="AS35:AS40"/>
    <mergeCell ref="AP35:AP36"/>
    <mergeCell ref="X47:X52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I47:I52"/>
    <mergeCell ref="Y49:Y50"/>
    <mergeCell ref="AQ5:AQ10"/>
    <mergeCell ref="FP2:FQ2"/>
    <mergeCell ref="AV5:AV6"/>
    <mergeCell ref="F47:F52"/>
    <mergeCell ref="AQ29:AQ34"/>
    <mergeCell ref="AZ11:AZ12"/>
    <mergeCell ref="BA29:BA34"/>
    <mergeCell ref="AC49:AC50"/>
    <mergeCell ref="AO31:AO32"/>
    <mergeCell ref="A23:A28"/>
    <mergeCell ref="AZ29:AZ30"/>
    <mergeCell ref="AG47:AG52"/>
    <mergeCell ref="AR5:AR1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I44:AJ44"/>
    <mergeCell ref="AP21:AP22"/>
    <mergeCell ref="AT27:AT28"/>
    <mergeCell ref="AP39:AP40"/>
    <mergeCell ref="AO19:AO20"/>
    <mergeCell ref="AU17:AU22"/>
    <mergeCell ref="AW17:AW22"/>
    <mergeCell ref="AO39:AO40"/>
    <mergeCell ref="DE2:DF2"/>
    <mergeCell ref="AP23:AP24"/>
    <mergeCell ref="AX7:AX8"/>
    <mergeCell ref="T47:T52"/>
    <mergeCell ref="AV39:AV40"/>
    <mergeCell ref="L47:L52"/>
    <mergeCell ref="AR23:AR28"/>
    <mergeCell ref="AO5:AO6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4:AP4"/>
    <mergeCell ref="AO21:AO22"/>
    <mergeCell ref="A5:A10"/>
    <mergeCell ref="AT17:AT18"/>
    <mergeCell ref="AZ27:AZ28"/>
    <mergeCell ref="BA5:BA10"/>
    <mergeCell ref="AX33:AX34"/>
    <mergeCell ref="AY29:AY34"/>
    <mergeCell ref="AY11:AY16"/>
    <mergeCell ref="AX5:AX6"/>
    <mergeCell ref="AA51:AA52"/>
    <mergeCell ref="A29:A34"/>
    <mergeCell ref="AC51:AC52"/>
    <mergeCell ref="AV35:AV36"/>
    <mergeCell ref="AT2:AU2"/>
    <mergeCell ref="AX35:AX36"/>
    <mergeCell ref="AX9:AX10"/>
    <mergeCell ref="AM51:AM52"/>
    <mergeCell ref="AZ9:AZ10"/>
    <mergeCell ref="AT25:AT26"/>
    <mergeCell ref="AO7:AO8"/>
    <mergeCell ref="AV25:AV26"/>
    <mergeCell ref="AX19:AX20"/>
    <mergeCell ref="DH2:DI2"/>
    <mergeCell ref="AZ19:AZ20"/>
    <mergeCell ref="U49:U50"/>
    <mergeCell ref="AR35:AR40"/>
    <mergeCell ref="D3:G3"/>
    <mergeCell ref="W49:W50"/>
    <mergeCell ref="B47:B48"/>
    <mergeCell ref="E47:E52"/>
    <mergeCell ref="AU23:AU28"/>
    <mergeCell ref="AW23:AW28"/>
    <mergeCell ref="AA49:AA50"/>
    <mergeCell ref="A43:V43"/>
    <mergeCell ref="ER2:ES2"/>
    <mergeCell ref="BA23:BA28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AP31:AP32"/>
    <mergeCell ref="EL3:EO3"/>
    <mergeCell ref="AV37:AV38"/>
    <mergeCell ref="AT21:AT22"/>
    <mergeCell ref="AV15:AV16"/>
    <mergeCell ref="AX37:AX38"/>
    <mergeCell ref="AZ31:AZ32"/>
    <mergeCell ref="CX3:DA3"/>
    <mergeCell ref="AX15:AX16"/>
    <mergeCell ref="CL2:DC2"/>
    <mergeCell ref="AP27:AP28"/>
    <mergeCell ref="AB47:AB52"/>
    <mergeCell ref="AO35:AO36"/>
    <mergeCell ref="D47:D52"/>
    <mergeCell ref="AQ17:AQ22"/>
    <mergeCell ref="AZ21:AZ22"/>
    <mergeCell ref="Q44:R44"/>
    <mergeCell ref="A47:A48"/>
    <mergeCell ref="AS17:AS22"/>
    <mergeCell ref="AP17:AP18"/>
    <mergeCell ref="AT15:AT16"/>
    <mergeCell ref="AO25:AO26"/>
    <mergeCell ref="AQ35:AQ40"/>
    <mergeCell ref="AK44:AL44"/>
    <mergeCell ref="AY35:AY40"/>
    <mergeCell ref="AZ17:AZ18"/>
    <mergeCell ref="DK2:DL2"/>
    <mergeCell ref="AX23:AX24"/>
    <mergeCell ref="DM2:DN2"/>
    <mergeCell ref="FM2:FN2"/>
    <mergeCell ref="B51:B52"/>
    <mergeCell ref="A35:A40"/>
    <mergeCell ref="H47:H52"/>
    <mergeCell ref="AW35:AW40"/>
    <mergeCell ref="J47:J5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771" operator="greaterThan" dxfId="3" stopIfTrue="1">
      <formula>0.03</formula>
    </cfRule>
    <cfRule type="cellIs" priority="772" operator="lessThan" dxfId="2" stopIfTrue="1">
      <formula>-0.03</formula>
    </cfRule>
  </conditionalFormatting>
  <conditionalFormatting sqref="AQ5">
    <cfRule type="cellIs" priority="843" operator="greaterThan" dxfId="3" stopIfTrue="1">
      <formula>0.03</formula>
    </cfRule>
    <cfRule type="cellIs" priority="844" operator="lessThan" dxfId="2" stopIfTrue="1">
      <formula>-0.03</formula>
    </cfRule>
  </conditionalFormatting>
  <conditionalFormatting sqref="CH5">
    <cfRule type="cellIs" priority="867" operator="greaterThan" dxfId="3" stopIfTrue="1">
      <formula>0.03</formula>
    </cfRule>
    <cfRule type="cellIs" priority="868" operator="lessThan" dxfId="2" stopIfTrue="1">
      <formula>-0.03</formula>
    </cfRule>
  </conditionalFormatting>
  <conditionalFormatting sqref="AQ5:AQ10">
    <cfRule type="cellIs" priority="1327" operator="greaterThan" dxfId="1" stopIfTrue="1">
      <formula>0</formula>
    </cfRule>
    <cfRule type="cellIs" priority="1328" operator="lessThan" dxfId="0" stopIfTrue="1">
      <formula>0</formula>
    </cfRule>
  </conditionalFormatting>
  <conditionalFormatting sqref="AR5:AS5">
    <cfRule type="cellIs" priority="835" operator="greaterThan" dxfId="3" stopIfTrue="1">
      <formula>0.03</formula>
    </cfRule>
    <cfRule type="cellIs" priority="836" operator="lessThan" dxfId="2" stopIfTrue="1">
      <formula>-0.03</formula>
    </cfRule>
  </conditionalFormatting>
  <conditionalFormatting sqref="AR5:AS10">
    <cfRule type="cellIs" priority="837" operator="greaterThan" dxfId="1" stopIfTrue="1">
      <formula>0</formula>
    </cfRule>
    <cfRule type="cellIs" priority="838" operator="lessThan" dxfId="0" stopIfTrue="1">
      <formula>0</formula>
    </cfRule>
  </conditionalFormatting>
  <conditionalFormatting sqref="AU5">
    <cfRule type="cellIs" priority="831" operator="greaterThan" dxfId="3" stopIfTrue="1">
      <formula>0.03</formula>
    </cfRule>
    <cfRule type="cellIs" priority="832" operator="lessThan" dxfId="2" stopIfTrue="1">
      <formula>-0.03</formula>
    </cfRule>
  </conditionalFormatting>
  <conditionalFormatting sqref="AU5:AU10">
    <cfRule type="cellIs" priority="833" operator="greaterThan" dxfId="1" stopIfTrue="1">
      <formula>0</formula>
    </cfRule>
    <cfRule type="cellIs" priority="834" operator="lessThan" dxfId="0" stopIfTrue="1">
      <formula>0</formula>
    </cfRule>
  </conditionalFormatting>
  <conditionalFormatting sqref="AW5">
    <cfRule type="cellIs" priority="827" operator="greaterThan" dxfId="3" stopIfTrue="1">
      <formula>0.03</formula>
    </cfRule>
    <cfRule type="cellIs" priority="828" operator="lessThan" dxfId="2" stopIfTrue="1">
      <formula>-0.03</formula>
    </cfRule>
  </conditionalFormatting>
  <conditionalFormatting sqref="AW5:AW10">
    <cfRule type="cellIs" priority="829" operator="greaterThan" dxfId="1" stopIfTrue="1">
      <formula>0</formula>
    </cfRule>
    <cfRule type="cellIs" priority="830" operator="lessThan" dxfId="0" stopIfTrue="1">
      <formula>0</formula>
    </cfRule>
  </conditionalFormatting>
  <conditionalFormatting sqref="AY5">
    <cfRule type="cellIs" priority="823" operator="greaterThan" dxfId="3" stopIfTrue="1">
      <formula>0.03</formula>
    </cfRule>
    <cfRule type="cellIs" priority="824" operator="lessThan" dxfId="2" stopIfTrue="1">
      <formula>-0.03</formula>
    </cfRule>
  </conditionalFormatting>
  <conditionalFormatting sqref="AY5:AY10">
    <cfRule type="cellIs" priority="825" operator="greaterThan" dxfId="1" stopIfTrue="1">
      <formula>0</formula>
    </cfRule>
    <cfRule type="cellIs" priority="826" operator="lessThan" dxfId="0" stopIfTrue="1">
      <formula>0</formula>
    </cfRule>
  </conditionalFormatting>
  <conditionalFormatting sqref="AP5:AP6">
    <cfRule type="cellIs" priority="1333" operator="greaterThan" dxfId="1" stopIfTrue="1">
      <formula>0</formula>
    </cfRule>
    <cfRule type="cellIs" priority="1334" operator="lessThan" dxfId="4">
      <formula>0</formula>
    </cfRule>
  </conditionalFormatting>
  <conditionalFormatting sqref="AP7">
    <cfRule type="cellIs" priority="767" operator="greaterThan" dxfId="3" stopIfTrue="1">
      <formula>0.03</formula>
    </cfRule>
    <cfRule type="cellIs" priority="768" operator="lessThan" dxfId="2" stopIfTrue="1">
      <formula>-0.03</formula>
    </cfRule>
  </conditionalFormatting>
  <conditionalFormatting sqref="AP7:AP8">
    <cfRule type="cellIs" priority="769" operator="greaterThan" dxfId="1" stopIfTrue="1">
      <formula>0</formula>
    </cfRule>
    <cfRule type="cellIs" priority="770" operator="lessThan" dxfId="4">
      <formula>0</formula>
    </cfRule>
  </conditionalFormatting>
  <conditionalFormatting sqref="AP9">
    <cfRule type="cellIs" priority="763" operator="greaterThan" dxfId="3" stopIfTrue="1">
      <formula>0.03</formula>
    </cfRule>
    <cfRule type="cellIs" priority="764" operator="lessThan" dxfId="2" stopIfTrue="1">
      <formula>-0.03</formula>
    </cfRule>
  </conditionalFormatting>
  <conditionalFormatting sqref="AP9:AP10">
    <cfRule type="cellIs" priority="765" operator="greaterThan" dxfId="1" stopIfTrue="1">
      <formula>0</formula>
    </cfRule>
    <cfRule type="cellIs" priority="766" operator="lessThan" dxfId="4">
      <formula>0</formula>
    </cfRule>
  </conditionalFormatting>
  <conditionalFormatting sqref="AT5">
    <cfRule type="cellIs" priority="709" operator="greaterThan" dxfId="3" stopIfTrue="1">
      <formula>0.03</formula>
    </cfRule>
    <cfRule type="cellIs" priority="710" operator="lessThan" dxfId="2" stopIfTrue="1">
      <formula>-0.03</formula>
    </cfRule>
  </conditionalFormatting>
  <conditionalFormatting sqref="AT5:AT6">
    <cfRule type="cellIs" priority="711" operator="greaterThan" dxfId="1" stopIfTrue="1">
      <formula>0</formula>
    </cfRule>
    <cfRule type="cellIs" priority="712" operator="lessThan" dxfId="4">
      <formula>0</formula>
    </cfRule>
  </conditionalFormatting>
  <conditionalFormatting sqref="AT7">
    <cfRule type="cellIs" priority="705" operator="greaterThan" dxfId="3" stopIfTrue="1">
      <formula>0.03</formula>
    </cfRule>
    <cfRule type="cellIs" priority="706" operator="lessThan" dxfId="2" stopIfTrue="1">
      <formula>-0.03</formula>
    </cfRule>
  </conditionalFormatting>
  <conditionalFormatting sqref="AT7:AT8">
    <cfRule type="cellIs" priority="707" operator="greaterThan" dxfId="1" stopIfTrue="1">
      <formula>0</formula>
    </cfRule>
    <cfRule type="cellIs" priority="708" operator="lessThan" dxfId="4">
      <formula>0</formula>
    </cfRule>
  </conditionalFormatting>
  <conditionalFormatting sqref="AT9">
    <cfRule type="cellIs" priority="701" operator="greaterThan" dxfId="3" stopIfTrue="1">
      <formula>0.03</formula>
    </cfRule>
    <cfRule type="cellIs" priority="702" operator="lessThan" dxfId="2" stopIfTrue="1">
      <formula>-0.03</formula>
    </cfRule>
  </conditionalFormatting>
  <conditionalFormatting sqref="AT9:AT10">
    <cfRule type="cellIs" priority="703" operator="greaterThan" dxfId="1" stopIfTrue="1">
      <formula>0</formula>
    </cfRule>
    <cfRule type="cellIs" priority="704" operator="lessThan" dxfId="4">
      <formula>0</formula>
    </cfRule>
  </conditionalFormatting>
  <conditionalFormatting sqref="AV5">
    <cfRule type="cellIs" priority="697" operator="greaterThan" dxfId="3" stopIfTrue="1">
      <formula>0.03</formula>
    </cfRule>
    <cfRule type="cellIs" priority="698" operator="lessThan" dxfId="2" stopIfTrue="1">
      <formula>-0.03</formula>
    </cfRule>
  </conditionalFormatting>
  <conditionalFormatting sqref="AV5:AV6">
    <cfRule type="cellIs" priority="699" operator="greaterThan" dxfId="1" stopIfTrue="1">
      <formula>0</formula>
    </cfRule>
    <cfRule type="cellIs" priority="700" operator="lessThan" dxfId="4">
      <formula>0</formula>
    </cfRule>
  </conditionalFormatting>
  <conditionalFormatting sqref="AV7">
    <cfRule type="cellIs" priority="693" operator="greaterThan" dxfId="3" stopIfTrue="1">
      <formula>0.03</formula>
    </cfRule>
    <cfRule type="cellIs" priority="694" operator="lessThan" dxfId="2" stopIfTrue="1">
      <formula>-0.03</formula>
    </cfRule>
  </conditionalFormatting>
  <conditionalFormatting sqref="AV7:AV8">
    <cfRule type="cellIs" priority="695" operator="greaterThan" dxfId="1" stopIfTrue="1">
      <formula>0</formula>
    </cfRule>
    <cfRule type="cellIs" priority="696" operator="lessThan" dxfId="4">
      <formula>0</formula>
    </cfRule>
  </conditionalFormatting>
  <conditionalFormatting sqref="AV9">
    <cfRule type="cellIs" priority="689" operator="greaterThan" dxfId="3" stopIfTrue="1">
      <formula>0.03</formula>
    </cfRule>
    <cfRule type="cellIs" priority="690" operator="lessThan" dxfId="2" stopIfTrue="1">
      <formula>-0.03</formula>
    </cfRule>
  </conditionalFormatting>
  <conditionalFormatting sqref="AV9:AV10">
    <cfRule type="cellIs" priority="691" operator="greaterThan" dxfId="1" stopIfTrue="1">
      <formula>0</formula>
    </cfRule>
    <cfRule type="cellIs" priority="692" operator="lessThan" dxfId="4">
      <formula>0</formula>
    </cfRule>
  </conditionalFormatting>
  <conditionalFormatting sqref="AX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X5:AX6">
    <cfRule type="cellIs" priority="687" operator="greaterThan" dxfId="1" stopIfTrue="1">
      <formula>0</formula>
    </cfRule>
    <cfRule type="cellIs" priority="688" operator="lessThan" dxfId="4">
      <formula>0</formula>
    </cfRule>
  </conditionalFormatting>
  <conditionalFormatting sqref="AX7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X7:AX8">
    <cfRule type="cellIs" priority="683" operator="greaterThan" dxfId="1" stopIfTrue="1">
      <formula>0</formula>
    </cfRule>
    <cfRule type="cellIs" priority="684" operator="lessThan" dxfId="4">
      <formula>0</formula>
    </cfRule>
  </conditionalFormatting>
  <conditionalFormatting sqref="AX9">
    <cfRule type="cellIs" priority="677" operator="greaterThan" dxfId="3" stopIfTrue="1">
      <formula>0.03</formula>
    </cfRule>
    <cfRule type="cellIs" priority="678" operator="lessThan" dxfId="2" stopIfTrue="1">
      <formula>-0.03</formula>
    </cfRule>
  </conditionalFormatting>
  <conditionalFormatting sqref="AX9:AX10">
    <cfRule type="cellIs" priority="679" operator="greaterThan" dxfId="1" stopIfTrue="1">
      <formula>0</formula>
    </cfRule>
    <cfRule type="cellIs" priority="680" operator="lessThan" dxfId="4">
      <formula>0</formula>
    </cfRule>
  </conditionalFormatting>
  <conditionalFormatting sqref="AP11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Q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Q11:AQ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R11:AS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R11:AS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U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U11:AU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W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W11:AW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Y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Y11:AY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P11:AP12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3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3:AP14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P15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5:AP16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1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1:AT12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3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3:AT14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5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5:AT16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1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1:AV12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3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3:AV14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5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5:AV1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7 AP23 AP29 AP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Q17 AQ23 AQ29 AQ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Q17:AQ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R17:AS17 AR23:AS23 AR29:AS29 AR35:AS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R17:AS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U17 AU23 AU29 AU35">
    <cfRule type="cellIs" priority="531" operator="greaterThan" dxfId="3" stopIfTrue="1">
      <formula>0.03</formula>
    </cfRule>
    <cfRule type="cellIs" priority="532" operator="lessThan" dxfId="2" stopIfTrue="1">
      <formula>-0.03</formula>
    </cfRule>
  </conditionalFormatting>
  <conditionalFormatting sqref="AU17:AU40">
    <cfRule type="cellIs" priority="533" operator="greaterThan" dxfId="1" stopIfTrue="1">
      <formula>0</formula>
    </cfRule>
    <cfRule type="cellIs" priority="534" operator="lessThan" dxfId="0" stopIfTrue="1">
      <formula>0</formula>
    </cfRule>
  </conditionalFormatting>
  <conditionalFormatting sqref="AW17 AW23 AW29 AW35">
    <cfRule type="cellIs" priority="527" operator="greaterThan" dxfId="3" stopIfTrue="1">
      <formula>0.03</formula>
    </cfRule>
    <cfRule type="cellIs" priority="528" operator="lessThan" dxfId="2" stopIfTrue="1">
      <formula>-0.03</formula>
    </cfRule>
  </conditionalFormatting>
  <conditionalFormatting sqref="AW17:AW40">
    <cfRule type="cellIs" priority="529" operator="greaterThan" dxfId="1" stopIfTrue="1">
      <formula>0</formula>
    </cfRule>
    <cfRule type="cellIs" priority="530" operator="lessThan" dxfId="0" stopIfTrue="1">
      <formula>0</formula>
    </cfRule>
  </conditionalFormatting>
  <conditionalFormatting sqref="AP17:AP18 AP23:AP24 AP29:AP30 AP35:AP36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19 AP25 AP31 AP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P19:AP20 AP25:AP26 AP31:AP32 AP37:AP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P21 AP27 AP33 AP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P21:AP22 AP27:AP28 AP33:AP34 AP39:AP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T17 AT23 AT29 AT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T17:AT18 AT23:AT24 AT29:AT30 AT35:AT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T19 AT25 AT31 AT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T19:AT20 AT25:AT26 AT31:AT32 AT37:AT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T21 AT27 AT33 AT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T21:AT22 AT27:AT28 AT33:AT34 AT39:AT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AV17 AV23 AV29 AV35">
    <cfRule type="cellIs" priority="497" operator="greaterThan" dxfId="3" stopIfTrue="1">
      <formula>0.03</formula>
    </cfRule>
    <cfRule type="cellIs" priority="498" operator="lessThan" dxfId="2" stopIfTrue="1">
      <formula>-0.03</formula>
    </cfRule>
  </conditionalFormatting>
  <conditionalFormatting sqref="AV17:AV18 AV23:AV24 AV29:AV30 AV35:AV36">
    <cfRule type="cellIs" priority="499" operator="greaterThan" dxfId="1" stopIfTrue="1">
      <formula>0</formula>
    </cfRule>
    <cfRule type="cellIs" priority="500" operator="lessThan" dxfId="4">
      <formula>0</formula>
    </cfRule>
  </conditionalFormatting>
  <conditionalFormatting sqref="AV19 AV25 AV31 AV37">
    <cfRule type="cellIs" priority="493" operator="greaterThan" dxfId="3" stopIfTrue="1">
      <formula>0.03</formula>
    </cfRule>
    <cfRule type="cellIs" priority="494" operator="lessThan" dxfId="2" stopIfTrue="1">
      <formula>-0.03</formula>
    </cfRule>
  </conditionalFormatting>
  <conditionalFormatting sqref="AV19:AV20 AV25:AV26 AV31:AV32 AV37:AV38">
    <cfRule type="cellIs" priority="495" operator="greaterThan" dxfId="1" stopIfTrue="1">
      <formula>0</formula>
    </cfRule>
    <cfRule type="cellIs" priority="496" operator="lessThan" dxfId="4">
      <formula>0</formula>
    </cfRule>
  </conditionalFormatting>
  <conditionalFormatting sqref="AV21 AV27 AV33 AV39">
    <cfRule type="cellIs" priority="489" operator="greaterThan" dxfId="3" stopIfTrue="1">
      <formula>0.03</formula>
    </cfRule>
    <cfRule type="cellIs" priority="490" operator="lessThan" dxfId="2" stopIfTrue="1">
      <formula>-0.03</formula>
    </cfRule>
  </conditionalFormatting>
  <conditionalFormatting sqref="AV21:AV22 AV27:AV28 AV33:AV34 AV39:AV40">
    <cfRule type="cellIs" priority="491" operator="greaterThan" dxfId="1" stopIfTrue="1">
      <formula>0</formula>
    </cfRule>
    <cfRule type="cellIs" priority="492" operator="lessThan" dxfId="4">
      <formula>0</formula>
    </cfRule>
  </conditionalFormatting>
  <conditionalFormatting sqref="B47">
    <cfRule type="cellIs" priority="469" operator="greaterThan" dxfId="3" stopIfTrue="1">
      <formula>0.03</formula>
    </cfRule>
    <cfRule type="cellIs" priority="470" operator="lessThan" dxfId="2" stopIfTrue="1">
      <formula>-0.03</formula>
    </cfRule>
  </conditionalFormatting>
  <conditionalFormatting sqref="C47">
    <cfRule type="cellIs" priority="471" operator="greaterThan" dxfId="3" stopIfTrue="1">
      <formula>0.03</formula>
    </cfRule>
    <cfRule type="cellIs" priority="472" operator="lessThan" dxfId="2" stopIfTrue="1">
      <formula>-0.03</formula>
    </cfRule>
  </conditionalFormatting>
  <conditionalFormatting sqref="C47:C52">
    <cfRule type="cellIs" priority="473" operator="greaterThan" dxfId="1" stopIfTrue="1">
      <formula>0</formula>
    </cfRule>
    <cfRule type="cellIs" priority="474" operator="lessThan" dxfId="0" stopIfTrue="1">
      <formula>0</formula>
    </cfRule>
  </conditionalFormatting>
  <conditionalFormatting sqref="B47:B48">
    <cfRule type="cellIs" priority="475" operator="greaterThan" dxfId="1" stopIfTrue="1">
      <formula>0</formula>
    </cfRule>
    <cfRule type="cellIs" priority="476" operator="lessThan" dxfId="4">
      <formula>0</formula>
    </cfRule>
  </conditionalFormatting>
  <conditionalFormatting sqref="B49">
    <cfRule type="cellIs" priority="465" operator="greaterThan" dxfId="3" stopIfTrue="1">
      <formula>0.03</formula>
    </cfRule>
    <cfRule type="cellIs" priority="466" operator="lessThan" dxfId="2" stopIfTrue="1">
      <formula>-0.03</formula>
    </cfRule>
  </conditionalFormatting>
  <conditionalFormatting sqref="B49:B50">
    <cfRule type="cellIs" priority="467" operator="greaterThan" dxfId="1" stopIfTrue="1">
      <formula>0</formula>
    </cfRule>
    <cfRule type="cellIs" priority="468" operator="lessThan" dxfId="4">
      <formula>0</formula>
    </cfRule>
  </conditionalFormatting>
  <conditionalFormatting sqref="B51">
    <cfRule type="cellIs" priority="461" operator="greaterThan" dxfId="3" stopIfTrue="1">
      <formula>0.03</formula>
    </cfRule>
    <cfRule type="cellIs" priority="462" operator="lessThan" dxfId="2" stopIfTrue="1">
      <formula>-0.03</formula>
    </cfRule>
  </conditionalFormatting>
  <conditionalFormatting sqref="B51:B52">
    <cfRule type="cellIs" priority="463" operator="greaterThan" dxfId="1" stopIfTrue="1">
      <formula>0</formula>
    </cfRule>
    <cfRule type="cellIs" priority="464" operator="lessThan" dxfId="4">
      <formula>0</formula>
    </cfRule>
  </conditionalFormatting>
  <conditionalFormatting sqref="D47:P47">
    <cfRule type="cellIs" priority="457" operator="greaterThan" dxfId="3" stopIfTrue="1">
      <formula>0.03</formula>
    </cfRule>
    <cfRule type="cellIs" priority="458" operator="lessThan" dxfId="2" stopIfTrue="1">
      <formula>-0.03</formula>
    </cfRule>
  </conditionalFormatting>
  <conditionalFormatting sqref="D47:P52">
    <cfRule type="cellIs" priority="459" operator="greaterThan" dxfId="1" stopIfTrue="1">
      <formula>0</formula>
    </cfRule>
    <cfRule type="cellIs" priority="460" operator="lessThan" dxfId="0" stopIfTrue="1">
      <formula>0</formula>
    </cfRule>
  </conditionalFormatting>
  <conditionalFormatting sqref="Q47">
    <cfRule type="cellIs" priority="449" operator="greaterThan" dxfId="3" stopIfTrue="1">
      <formula>0.03</formula>
    </cfRule>
    <cfRule type="cellIs" priority="450" operator="lessThan" dxfId="2" stopIfTrue="1">
      <formula>-0.03</formula>
    </cfRule>
  </conditionalFormatting>
  <conditionalFormatting sqref="R47">
    <cfRule type="cellIs" priority="451" operator="greaterThan" dxfId="3" stopIfTrue="1">
      <formula>0.03</formula>
    </cfRule>
    <cfRule type="cellIs" priority="452" operator="lessThan" dxfId="2" stopIfTrue="1">
      <formula>-0.03</formula>
    </cfRule>
  </conditionalFormatting>
  <conditionalFormatting sqref="R47:R52">
    <cfRule type="cellIs" priority="453" operator="greaterThan" dxfId="1" stopIfTrue="1">
      <formula>0</formula>
    </cfRule>
    <cfRule type="cellIs" priority="454" operator="lessThan" dxfId="0" stopIfTrue="1">
      <formula>0</formula>
    </cfRule>
  </conditionalFormatting>
  <conditionalFormatting sqref="Q47:Q48">
    <cfRule type="cellIs" priority="455" operator="greaterThan" dxfId="1" stopIfTrue="1">
      <formula>0</formula>
    </cfRule>
    <cfRule type="cellIs" priority="456" operator="lessThan" dxfId="4">
      <formula>0</formula>
    </cfRule>
  </conditionalFormatting>
  <conditionalFormatting sqref="Q49">
    <cfRule type="cellIs" priority="445" operator="greaterThan" dxfId="3" stopIfTrue="1">
      <formula>0.03</formula>
    </cfRule>
    <cfRule type="cellIs" priority="446" operator="lessThan" dxfId="2" stopIfTrue="1">
      <formula>-0.03</formula>
    </cfRule>
  </conditionalFormatting>
  <conditionalFormatting sqref="Q49:Q50">
    <cfRule type="cellIs" priority="447" operator="greaterThan" dxfId="1" stopIfTrue="1">
      <formula>0</formula>
    </cfRule>
    <cfRule type="cellIs" priority="448" operator="lessThan" dxfId="4">
      <formula>0</formula>
    </cfRule>
  </conditionalFormatting>
  <conditionalFormatting sqref="Q51">
    <cfRule type="cellIs" priority="441" operator="greaterThan" dxfId="3" stopIfTrue="1">
      <formula>0.03</formula>
    </cfRule>
    <cfRule type="cellIs" priority="442" operator="lessThan" dxfId="2" stopIfTrue="1">
      <formula>-0.03</formula>
    </cfRule>
  </conditionalFormatting>
  <conditionalFormatting sqref="Q51:Q52">
    <cfRule type="cellIs" priority="443" operator="greaterThan" dxfId="1" stopIfTrue="1">
      <formula>0</formula>
    </cfRule>
    <cfRule type="cellIs" priority="444" operator="lessThan" dxfId="4">
      <formula>0</formula>
    </cfRule>
  </conditionalFormatting>
  <conditionalFormatting sqref="S47">
    <cfRule type="cellIs" priority="433" operator="greaterThan" dxfId="3" stopIfTrue="1">
      <formula>0.03</formula>
    </cfRule>
    <cfRule type="cellIs" priority="434" operator="lessThan" dxfId="2" stopIfTrue="1">
      <formula>-0.03</formula>
    </cfRule>
  </conditionalFormatting>
  <conditionalFormatting sqref="T47">
    <cfRule type="cellIs" priority="435" operator="greaterThan" dxfId="3" stopIfTrue="1">
      <formula>0.03</formula>
    </cfRule>
    <cfRule type="cellIs" priority="436" operator="lessThan" dxfId="2" stopIfTrue="1">
      <formula>-0.03</formula>
    </cfRule>
  </conditionalFormatting>
  <conditionalFormatting sqref="T47:T52">
    <cfRule type="cellIs" priority="437" operator="greaterThan" dxfId="1" stopIfTrue="1">
      <formula>0</formula>
    </cfRule>
    <cfRule type="cellIs" priority="438" operator="lessThan" dxfId="0" stopIfTrue="1">
      <formula>0</formula>
    </cfRule>
  </conditionalFormatting>
  <conditionalFormatting sqref="S47:S48">
    <cfRule type="cellIs" priority="439" operator="greaterThan" dxfId="1" stopIfTrue="1">
      <formula>0</formula>
    </cfRule>
    <cfRule type="cellIs" priority="440" operator="lessThan" dxfId="4">
      <formula>0</formula>
    </cfRule>
  </conditionalFormatting>
  <conditionalFormatting sqref="S49">
    <cfRule type="cellIs" priority="429" operator="greaterThan" dxfId="3" stopIfTrue="1">
      <formula>0.03</formula>
    </cfRule>
    <cfRule type="cellIs" priority="430" operator="lessThan" dxfId="2" stopIfTrue="1">
      <formula>-0.03</formula>
    </cfRule>
  </conditionalFormatting>
  <conditionalFormatting sqref="S49:S50">
    <cfRule type="cellIs" priority="431" operator="greaterThan" dxfId="1" stopIfTrue="1">
      <formula>0</formula>
    </cfRule>
    <cfRule type="cellIs" priority="432" operator="lessThan" dxfId="4">
      <formula>0</formula>
    </cfRule>
  </conditionalFormatting>
  <conditionalFormatting sqref="S51">
    <cfRule type="cellIs" priority="425" operator="greaterThan" dxfId="3" stopIfTrue="1">
      <formula>0.03</formula>
    </cfRule>
    <cfRule type="cellIs" priority="426" operator="lessThan" dxfId="2" stopIfTrue="1">
      <formula>-0.03</formula>
    </cfRule>
  </conditionalFormatting>
  <conditionalFormatting sqref="S51:S52">
    <cfRule type="cellIs" priority="427" operator="greaterThan" dxfId="1" stopIfTrue="1">
      <formula>0</formula>
    </cfRule>
    <cfRule type="cellIs" priority="428" operator="lessThan" dxfId="4">
      <formula>0</formula>
    </cfRule>
  </conditionalFormatting>
  <conditionalFormatting sqref="U47">
    <cfRule type="cellIs" priority="417" operator="greaterThan" dxfId="3" stopIfTrue="1">
      <formula>0.03</formula>
    </cfRule>
    <cfRule type="cellIs" priority="418" operator="lessThan" dxfId="2" stopIfTrue="1">
      <formula>-0.03</formula>
    </cfRule>
  </conditionalFormatting>
  <conditionalFormatting sqref="V47">
    <cfRule type="cellIs" priority="419" operator="greaterThan" dxfId="3" stopIfTrue="1">
      <formula>0.03</formula>
    </cfRule>
    <cfRule type="cellIs" priority="420" operator="lessThan" dxfId="2" stopIfTrue="1">
      <formula>-0.03</formula>
    </cfRule>
  </conditionalFormatting>
  <conditionalFormatting sqref="V47:V52">
    <cfRule type="cellIs" priority="421" operator="greaterThan" dxfId="1" stopIfTrue="1">
      <formula>0</formula>
    </cfRule>
    <cfRule type="cellIs" priority="422" operator="lessThan" dxfId="0" stopIfTrue="1">
      <formula>0</formula>
    </cfRule>
  </conditionalFormatting>
  <conditionalFormatting sqref="U47:U48">
    <cfRule type="cellIs" priority="423" operator="greaterThan" dxfId="1" stopIfTrue="1">
      <formula>0</formula>
    </cfRule>
    <cfRule type="cellIs" priority="424" operator="lessThan" dxfId="4">
      <formula>0</formula>
    </cfRule>
  </conditionalFormatting>
  <conditionalFormatting sqref="U49">
    <cfRule type="cellIs" priority="413" operator="greaterThan" dxfId="3" stopIfTrue="1">
      <formula>0.03</formula>
    </cfRule>
    <cfRule type="cellIs" priority="414" operator="lessThan" dxfId="2" stopIfTrue="1">
      <formula>-0.03</formula>
    </cfRule>
  </conditionalFormatting>
  <conditionalFormatting sqref="U49:U50">
    <cfRule type="cellIs" priority="415" operator="greaterThan" dxfId="1" stopIfTrue="1">
      <formula>0</formula>
    </cfRule>
    <cfRule type="cellIs" priority="416" operator="lessThan" dxfId="4">
      <formula>0</formula>
    </cfRule>
  </conditionalFormatting>
  <conditionalFormatting sqref="U51">
    <cfRule type="cellIs" priority="409" operator="greaterThan" dxfId="3" stopIfTrue="1">
      <formula>0.03</formula>
    </cfRule>
    <cfRule type="cellIs" priority="410" operator="lessThan" dxfId="2" stopIfTrue="1">
      <formula>-0.03</formula>
    </cfRule>
  </conditionalFormatting>
  <conditionalFormatting sqref="U51:U52">
    <cfRule type="cellIs" priority="411" operator="greaterThan" dxfId="1" stopIfTrue="1">
      <formula>0</formula>
    </cfRule>
    <cfRule type="cellIs" priority="412" operator="lessThan" dxfId="4">
      <formula>0</formula>
    </cfRule>
  </conditionalFormatting>
  <conditionalFormatting sqref="W47">
    <cfRule type="cellIs" priority="401" operator="greaterThan" dxfId="3" stopIfTrue="1">
      <formula>0.03</formula>
    </cfRule>
    <cfRule type="cellIs" priority="402" operator="lessThan" dxfId="2" stopIfTrue="1">
      <formula>-0.03</formula>
    </cfRule>
  </conditionalFormatting>
  <conditionalFormatting sqref="X47">
    <cfRule type="cellIs" priority="403" operator="greaterThan" dxfId="3" stopIfTrue="1">
      <formula>0.03</formula>
    </cfRule>
    <cfRule type="cellIs" priority="404" operator="lessThan" dxfId="2" stopIfTrue="1">
      <formula>-0.03</formula>
    </cfRule>
  </conditionalFormatting>
  <conditionalFormatting sqref="X47:X52">
    <cfRule type="cellIs" priority="405" operator="greaterThan" dxfId="1" stopIfTrue="1">
      <formula>0</formula>
    </cfRule>
    <cfRule type="cellIs" priority="406" operator="lessThan" dxfId="0" stopIfTrue="1">
      <formula>0</formula>
    </cfRule>
  </conditionalFormatting>
  <conditionalFormatting sqref="W47:W48">
    <cfRule type="cellIs" priority="407" operator="greaterThan" dxfId="1" stopIfTrue="1">
      <formula>0</formula>
    </cfRule>
    <cfRule type="cellIs" priority="408" operator="lessThan" dxfId="4">
      <formula>0</formula>
    </cfRule>
  </conditionalFormatting>
  <conditionalFormatting sqref="W49">
    <cfRule type="cellIs" priority="397" operator="greaterThan" dxfId="3" stopIfTrue="1">
      <formula>0.03</formula>
    </cfRule>
    <cfRule type="cellIs" priority="398" operator="lessThan" dxfId="2" stopIfTrue="1">
      <formula>-0.03</formula>
    </cfRule>
  </conditionalFormatting>
  <conditionalFormatting sqref="W49:W50">
    <cfRule type="cellIs" priority="399" operator="greaterThan" dxfId="1" stopIfTrue="1">
      <formula>0</formula>
    </cfRule>
    <cfRule type="cellIs" priority="400" operator="lessThan" dxfId="4">
      <formula>0</formula>
    </cfRule>
  </conditionalFormatting>
  <conditionalFormatting sqref="W51">
    <cfRule type="cellIs" priority="393" operator="greaterThan" dxfId="3" stopIfTrue="1">
      <formula>0.03</formula>
    </cfRule>
    <cfRule type="cellIs" priority="394" operator="lessThan" dxfId="2" stopIfTrue="1">
      <formula>-0.03</formula>
    </cfRule>
  </conditionalFormatting>
  <conditionalFormatting sqref="W51:W52">
    <cfRule type="cellIs" priority="395" operator="greaterThan" dxfId="1" stopIfTrue="1">
      <formula>0</formula>
    </cfRule>
    <cfRule type="cellIs" priority="396" operator="lessThan" dxfId="4">
      <formula>0</formula>
    </cfRule>
  </conditionalFormatting>
  <conditionalFormatting sqref="Y47">
    <cfRule type="cellIs" priority="385" operator="greaterThan" dxfId="3" stopIfTrue="1">
      <formula>0.03</formula>
    </cfRule>
    <cfRule type="cellIs" priority="386" operator="lessThan" dxfId="2" stopIfTrue="1">
      <formula>-0.03</formula>
    </cfRule>
  </conditionalFormatting>
  <conditionalFormatting sqref="Z47">
    <cfRule type="cellIs" priority="387" operator="greaterThan" dxfId="3" stopIfTrue="1">
      <formula>0.03</formula>
    </cfRule>
    <cfRule type="cellIs" priority="388" operator="lessThan" dxfId="2" stopIfTrue="1">
      <formula>-0.03</formula>
    </cfRule>
  </conditionalFormatting>
  <conditionalFormatting sqref="Z47:Z52">
    <cfRule type="cellIs" priority="389" operator="greaterThan" dxfId="1" stopIfTrue="1">
      <formula>0</formula>
    </cfRule>
    <cfRule type="cellIs" priority="390" operator="lessThan" dxfId="0" stopIfTrue="1">
      <formula>0</formula>
    </cfRule>
  </conditionalFormatting>
  <conditionalFormatting sqref="Y47:Y48">
    <cfRule type="cellIs" priority="391" operator="greaterThan" dxfId="1" stopIfTrue="1">
      <formula>0</formula>
    </cfRule>
    <cfRule type="cellIs" priority="392" operator="lessThan" dxfId="4">
      <formula>0</formula>
    </cfRule>
  </conditionalFormatting>
  <conditionalFormatting sqref="Y49">
    <cfRule type="cellIs" priority="381" operator="greaterThan" dxfId="3" stopIfTrue="1">
      <formula>0.03</formula>
    </cfRule>
    <cfRule type="cellIs" priority="382" operator="lessThan" dxfId="2" stopIfTrue="1">
      <formula>-0.03</formula>
    </cfRule>
  </conditionalFormatting>
  <conditionalFormatting sqref="Y49:Y50">
    <cfRule type="cellIs" priority="383" operator="greaterThan" dxfId="1" stopIfTrue="1">
      <formula>0</formula>
    </cfRule>
    <cfRule type="cellIs" priority="384" operator="lessThan" dxfId="4">
      <formula>0</formula>
    </cfRule>
  </conditionalFormatting>
  <conditionalFormatting sqref="Y51">
    <cfRule type="cellIs" priority="377" operator="greaterThan" dxfId="3" stopIfTrue="1">
      <formula>0.03</formula>
    </cfRule>
    <cfRule type="cellIs" priority="378" operator="lessThan" dxfId="2" stopIfTrue="1">
      <formula>-0.03</formula>
    </cfRule>
  </conditionalFormatting>
  <conditionalFormatting sqref="Y51:Y52">
    <cfRule type="cellIs" priority="379" operator="greaterThan" dxfId="1" stopIfTrue="1">
      <formula>0</formula>
    </cfRule>
    <cfRule type="cellIs" priority="380" operator="lessThan" dxfId="4">
      <formula>0</formula>
    </cfRule>
  </conditionalFormatting>
  <conditionalFormatting sqref="AA47">
    <cfRule type="cellIs" priority="369" operator="greaterThan" dxfId="3" stopIfTrue="1">
      <formula>0.03</formula>
    </cfRule>
    <cfRule type="cellIs" priority="370" operator="lessThan" dxfId="2" stopIfTrue="1">
      <formula>-0.03</formula>
    </cfRule>
  </conditionalFormatting>
  <conditionalFormatting sqref="AB47">
    <cfRule type="cellIs" priority="371" operator="greaterThan" dxfId="3" stopIfTrue="1">
      <formula>0.03</formula>
    </cfRule>
    <cfRule type="cellIs" priority="372" operator="lessThan" dxfId="2" stopIfTrue="1">
      <formula>-0.03</formula>
    </cfRule>
  </conditionalFormatting>
  <conditionalFormatting sqref="AB47:AB52">
    <cfRule type="cellIs" priority="373" operator="greaterThan" dxfId="1" stopIfTrue="1">
      <formula>0</formula>
    </cfRule>
    <cfRule type="cellIs" priority="374" operator="lessThan" dxfId="0" stopIfTrue="1">
      <formula>0</formula>
    </cfRule>
  </conditionalFormatting>
  <conditionalFormatting sqref="AA47:AA48">
    <cfRule type="cellIs" priority="375" operator="greaterThan" dxfId="1" stopIfTrue="1">
      <formula>0</formula>
    </cfRule>
    <cfRule type="cellIs" priority="376" operator="lessThan" dxfId="4">
      <formula>0</formula>
    </cfRule>
  </conditionalFormatting>
  <conditionalFormatting sqref="AA49">
    <cfRule type="cellIs" priority="365" operator="greaterThan" dxfId="3" stopIfTrue="1">
      <formula>0.03</formula>
    </cfRule>
    <cfRule type="cellIs" priority="366" operator="lessThan" dxfId="2" stopIfTrue="1">
      <formula>-0.03</formula>
    </cfRule>
  </conditionalFormatting>
  <conditionalFormatting sqref="AA49:AA50">
    <cfRule type="cellIs" priority="367" operator="greaterThan" dxfId="1" stopIfTrue="1">
      <formula>0</formula>
    </cfRule>
    <cfRule type="cellIs" priority="368" operator="lessThan" dxfId="4">
      <formula>0</formula>
    </cfRule>
  </conditionalFormatting>
  <conditionalFormatting sqref="AA51">
    <cfRule type="cellIs" priority="361" operator="greaterThan" dxfId="3" stopIfTrue="1">
      <formula>0.03</formula>
    </cfRule>
    <cfRule type="cellIs" priority="362" operator="lessThan" dxfId="2" stopIfTrue="1">
      <formula>-0.03</formula>
    </cfRule>
  </conditionalFormatting>
  <conditionalFormatting sqref="AA51:AA52">
    <cfRule type="cellIs" priority="363" operator="greaterThan" dxfId="1" stopIfTrue="1">
      <formula>0</formula>
    </cfRule>
    <cfRule type="cellIs" priority="364" operator="lessThan" dxfId="4">
      <formula>0</formula>
    </cfRule>
  </conditionalFormatting>
  <conditionalFormatting sqref="AC47">
    <cfRule type="cellIs" priority="353" operator="greaterThan" dxfId="3" stopIfTrue="1">
      <formula>0.03</formula>
    </cfRule>
    <cfRule type="cellIs" priority="354" operator="lessThan" dxfId="2" stopIfTrue="1">
      <formula>-0.03</formula>
    </cfRule>
  </conditionalFormatting>
  <conditionalFormatting sqref="AC47:AC48">
    <cfRule type="cellIs" priority="359" operator="greaterThan" dxfId="1" stopIfTrue="1">
      <formula>0</formula>
    </cfRule>
    <cfRule type="cellIs" priority="360" operator="lessThan" dxfId="4">
      <formula>0</formula>
    </cfRule>
  </conditionalFormatting>
  <conditionalFormatting sqref="AC49">
    <cfRule type="cellIs" priority="349" operator="greaterThan" dxfId="3" stopIfTrue="1">
      <formula>0.03</formula>
    </cfRule>
    <cfRule type="cellIs" priority="350" operator="lessThan" dxfId="2" stopIfTrue="1">
      <formula>-0.03</formula>
    </cfRule>
  </conditionalFormatting>
  <conditionalFormatting sqref="AC49:AC50">
    <cfRule type="cellIs" priority="351" operator="greaterThan" dxfId="1" stopIfTrue="1">
      <formula>0</formula>
    </cfRule>
    <cfRule type="cellIs" priority="352" operator="lessThan" dxfId="4">
      <formula>0</formula>
    </cfRule>
  </conditionalFormatting>
  <conditionalFormatting sqref="AC5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AC51:AC52">
    <cfRule type="cellIs" priority="347" operator="greaterThan" dxfId="1" stopIfTrue="1">
      <formula>0</formula>
    </cfRule>
    <cfRule type="cellIs" priority="348" operator="lessThan" dxfId="4">
      <formula>0</formula>
    </cfRule>
  </conditionalFormatting>
  <conditionalFormatting sqref="AI47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J47">
    <cfRule type="cellIs" priority="339" operator="greaterThan" dxfId="3" stopIfTrue="1">
      <formula>0.03</formula>
    </cfRule>
    <cfRule type="cellIs" priority="340" operator="lessThan" dxfId="2" stopIfTrue="1">
      <formula>-0.03</formula>
    </cfRule>
  </conditionalFormatting>
  <conditionalFormatting sqref="AJ47:AJ52">
    <cfRule type="cellIs" priority="341" operator="greaterThan" dxfId="1" stopIfTrue="1">
      <formula>0</formula>
    </cfRule>
    <cfRule type="cellIs" priority="342" operator="lessThan" dxfId="0" stopIfTrue="1">
      <formula>0</formula>
    </cfRule>
  </conditionalFormatting>
  <conditionalFormatting sqref="AI47:AI48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I49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I49:AI50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I5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I51:AI5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K4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L47">
    <cfRule type="cellIs" priority="323" operator="greaterThan" dxfId="3" stopIfTrue="1">
      <formula>0.03</formula>
    </cfRule>
    <cfRule type="cellIs" priority="324" operator="lessThan" dxfId="2" stopIfTrue="1">
      <formula>-0.03</formula>
    </cfRule>
  </conditionalFormatting>
  <conditionalFormatting sqref="AL47:AL52">
    <cfRule type="cellIs" priority="325" operator="greaterThan" dxfId="1" stopIfTrue="1">
      <formula>0</formula>
    </cfRule>
    <cfRule type="cellIs" priority="326" operator="lessThan" dxfId="0" stopIfTrue="1">
      <formula>0</formula>
    </cfRule>
  </conditionalFormatting>
  <conditionalFormatting sqref="AK47:AK48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K4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K49:AK5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K51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K51:AK52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D47:AH4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D47:AH5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BA1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BA11:BA16">
    <cfRule type="cellIs" priority="199" operator="greaterThan" dxfId="1" stopIfTrue="1">
      <formula>0</formula>
    </cfRule>
    <cfRule type="cellIs" priority="200" operator="lessThan" dxfId="0" stopIfTrue="1">
      <formula>0</formula>
    </cfRule>
  </conditionalFormatting>
  <conditionalFormatting sqref="AZ1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Z11:AZ1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Z1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Z13:AZ1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Z1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Z15:AZ1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BA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BA5:BA10">
    <cfRule type="cellIs" priority="183" operator="greaterThan" dxfId="1" stopIfTrue="1">
      <formula>0</formula>
    </cfRule>
    <cfRule type="cellIs" priority="184" operator="lessThan" dxfId="0" stopIfTrue="1">
      <formula>0</formula>
    </cfRule>
  </conditionalFormatting>
  <conditionalFormatting sqref="AZ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Z5:AZ6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Z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Z7:AZ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Z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Z9:AZ1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BA17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BA17:BA22">
    <cfRule type="cellIs" priority="167" operator="greaterThan" dxfId="1" stopIfTrue="1">
      <formula>0</formula>
    </cfRule>
    <cfRule type="cellIs" priority="168" operator="lessThan" dxfId="0" stopIfTrue="1">
      <formula>0</formula>
    </cfRule>
  </conditionalFormatting>
  <conditionalFormatting sqref="AZ17">
    <cfRule type="cellIs" priority="161" operator="greaterThan" dxfId="3" stopIfTrue="1">
      <formula>0.03</formula>
    </cfRule>
    <cfRule type="cellIs" priority="162" operator="lessThan" dxfId="2" stopIfTrue="1">
      <formula>-0.03</formula>
    </cfRule>
  </conditionalFormatting>
  <conditionalFormatting sqref="AZ17:AZ1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AZ19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AZ19:AZ20">
    <cfRule type="cellIs" priority="159" operator="greaterThan" dxfId="1" stopIfTrue="1">
      <formula>0</formula>
    </cfRule>
    <cfRule type="cellIs" priority="160" operator="lessThan" dxfId="4">
      <formula>0</formula>
    </cfRule>
  </conditionalFormatting>
  <conditionalFormatting sqref="AZ21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AZ21:AZ22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A2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BA29:BA34">
    <cfRule type="cellIs" priority="135" operator="greaterThan" dxfId="1" stopIfTrue="1">
      <formula>0</formula>
    </cfRule>
    <cfRule type="cellIs" priority="136" operator="lessThan" dxfId="0" stopIfTrue="1">
      <formula>0</formula>
    </cfRule>
  </conditionalFormatting>
  <conditionalFormatting sqref="AZ29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AZ29:AZ30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AZ31">
    <cfRule type="cellIs" priority="125" operator="greaterThan" dxfId="3" stopIfTrue="1">
      <formula>0.03</formula>
    </cfRule>
    <cfRule type="cellIs" priority="126" operator="lessThan" dxfId="2" stopIfTrue="1">
      <formula>-0.03</formula>
    </cfRule>
  </conditionalFormatting>
  <conditionalFormatting sqref="AZ31:AZ32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AZ33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AZ33:AZ34">
    <cfRule type="cellIs" priority="123" operator="greaterThan" dxfId="1" stopIfTrue="1">
      <formula>0</formula>
    </cfRule>
    <cfRule type="cellIs" priority="124" operator="lessThan" dxfId="4">
      <formula>0</formula>
    </cfRule>
  </conditionalFormatting>
  <conditionalFormatting sqref="BA23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BA23:BA28">
    <cfRule type="cellIs" priority="119" operator="greaterThan" dxfId="1" stopIfTrue="1">
      <formula>0</formula>
    </cfRule>
    <cfRule type="cellIs" priority="120" operator="lessThan" dxfId="0" stopIfTrue="1">
      <formula>0</formula>
    </cfRule>
  </conditionalFormatting>
  <conditionalFormatting sqref="AZ23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AZ23:AZ24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AZ25">
    <cfRule type="cellIs" priority="109" operator="greaterThan" dxfId="3" stopIfTrue="1">
      <formula>0.03</formula>
    </cfRule>
    <cfRule type="cellIs" priority="110" operator="lessThan" dxfId="2" stopIfTrue="1">
      <formula>-0.03</formula>
    </cfRule>
  </conditionalFormatting>
  <conditionalFormatting sqref="AZ25:AZ26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AZ2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AZ27:AZ28">
    <cfRule type="cellIs" priority="107" operator="greaterThan" dxfId="1" stopIfTrue="1">
      <formula>0</formula>
    </cfRule>
    <cfRule type="cellIs" priority="108" operator="lessThan" dxfId="4">
      <formula>0</formula>
    </cfRule>
  </conditionalFormatting>
  <conditionalFormatting sqref="BA35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BA35:BA40">
    <cfRule type="cellIs" priority="103" operator="greaterThan" dxfId="1" stopIfTrue="1">
      <formula>0</formula>
    </cfRule>
    <cfRule type="cellIs" priority="104" operator="lessThan" dxfId="0" stopIfTrue="1">
      <formula>0</formula>
    </cfRule>
  </conditionalFormatting>
  <conditionalFormatting sqref="AZ35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AZ35:AZ36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AZ37">
    <cfRule type="cellIs" priority="93" operator="greaterThan" dxfId="3" stopIfTrue="1">
      <formula>0.03</formula>
    </cfRule>
    <cfRule type="cellIs" priority="94" operator="lessThan" dxfId="2" stopIfTrue="1">
      <formula>-0.03</formula>
    </cfRule>
  </conditionalFormatting>
  <conditionalFormatting sqref="AZ37:AZ3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AZ39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AZ39:AZ40">
    <cfRule type="cellIs" priority="91" operator="greaterThan" dxfId="1" stopIfTrue="1">
      <formula>0</formula>
    </cfRule>
    <cfRule type="cellIs" priority="92" operator="lessThan" dxfId="4">
      <formula>0</formula>
    </cfRule>
  </conditionalFormatting>
  <conditionalFormatting sqref="AX11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AX11:AX12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AX13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AX13:AX14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AX15">
    <cfRule type="cellIs" priority="77" operator="greaterThan" dxfId="3" stopIfTrue="1">
      <formula>0.03</formula>
    </cfRule>
    <cfRule type="cellIs" priority="78" operator="lessThan" dxfId="2" stopIfTrue="1">
      <formula>-0.03</formula>
    </cfRule>
  </conditionalFormatting>
  <conditionalFormatting sqref="AX15:AX16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AY1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AY17:AY22">
    <cfRule type="cellIs" priority="75" operator="greaterThan" dxfId="1" stopIfTrue="1">
      <formula>0</formula>
    </cfRule>
    <cfRule type="cellIs" priority="76" operator="lessThan" dxfId="0" stopIfTrue="1">
      <formula>0</formula>
    </cfRule>
  </conditionalFormatting>
  <conditionalFormatting sqref="AX17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AX17:AX18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AX19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AX19:AX20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X21">
    <cfRule type="cellIs" priority="61" operator="greaterThan" dxfId="3" stopIfTrue="1">
      <formula>0.03</formula>
    </cfRule>
    <cfRule type="cellIs" priority="62" operator="lessThan" dxfId="2" stopIfTrue="1">
      <formula>-0.03</formula>
    </cfRule>
  </conditionalFormatting>
  <conditionalFormatting sqref="AX21:AX22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Y23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Y23:AY28">
    <cfRule type="cellIs" priority="59" operator="greaterThan" dxfId="1" stopIfTrue="1">
      <formula>0</formula>
    </cfRule>
    <cfRule type="cellIs" priority="60" operator="lessThan" dxfId="0" stopIfTrue="1">
      <formula>0</formula>
    </cfRule>
  </conditionalFormatting>
  <conditionalFormatting sqref="AX23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X23:AX24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X25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X25:AX26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X2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X27:AX2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Y2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Y29:AY34">
    <cfRule type="cellIs" priority="43" operator="greaterThan" dxfId="1" stopIfTrue="1">
      <formula>0</formula>
    </cfRule>
    <cfRule type="cellIs" priority="44" operator="lessThan" dxfId="0" stopIfTrue="1">
      <formula>0</formula>
    </cfRule>
  </conditionalFormatting>
  <conditionalFormatting sqref="AX29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X29:AX30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X31">
    <cfRule type="cellIs" priority="33" operator="greaterThan" dxfId="3" stopIfTrue="1">
      <formula>0.03</formula>
    </cfRule>
    <cfRule type="cellIs" priority="34" operator="lessThan" dxfId="2" stopIfTrue="1">
      <formula>-0.03</formula>
    </cfRule>
  </conditionalFormatting>
  <conditionalFormatting sqref="AX31:AX32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X33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X33:AX34">
    <cfRule type="cellIs" priority="31" operator="greaterThan" dxfId="1" stopIfTrue="1">
      <formula>0</formula>
    </cfRule>
    <cfRule type="cellIs" priority="32" operator="lessThan" dxfId="4">
      <formula>0</formula>
    </cfRule>
  </conditionalFormatting>
  <conditionalFormatting sqref="AY35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Y35:AY40">
    <cfRule type="cellIs" priority="27" operator="greaterThan" dxfId="1" stopIfTrue="1">
      <formula>0</formula>
    </cfRule>
    <cfRule type="cellIs" priority="28" operator="lessThan" dxfId="0" stopIfTrue="1">
      <formula>0</formula>
    </cfRule>
  </conditionalFormatting>
  <conditionalFormatting sqref="AX35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X35:AX36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X37">
    <cfRule type="cellIs" priority="17" operator="greaterThan" dxfId="3" stopIfTrue="1">
      <formula>0.03</formula>
    </cfRule>
    <cfRule type="cellIs" priority="18" operator="lessThan" dxfId="2" stopIfTrue="1">
      <formula>-0.03</formula>
    </cfRule>
  </conditionalFormatting>
  <conditionalFormatting sqref="AX37:AX3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X39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X39:AX40">
    <cfRule type="cellIs" priority="15" operator="greaterThan" dxfId="1" stopIfTrue="1">
      <formula>0</formula>
    </cfRule>
    <cfRule type="cellIs" priority="16" operator="lessThan" dxfId="4">
      <formula>0</formula>
    </cfRule>
  </conditionalFormatting>
  <conditionalFormatting sqref="AM47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M47:AM48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M49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M49:AM50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M51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M51:AM52">
    <cfRule type="cellIs" priority="3" operator="greaterThan" dxfId="1" stopIfTrue="1">
      <formula>0</formula>
    </cfRule>
    <cfRule type="cellIs" priority="4" operator="lessThan" dxfId="4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28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132" min="3" max="6"/>
    <col width="12.1640625" customWidth="1" style="132" min="7" max="7"/>
    <col width="12.6640625" bestFit="1" customWidth="1" style="132" min="8" max="8"/>
    <col width="12.1640625" customWidth="1" style="132" min="9" max="9"/>
    <col width="12.1640625" bestFit="1" customWidth="1" style="132" min="10" max="11"/>
    <col width="11.6640625" customWidth="1" style="132" min="12" max="17"/>
    <col width="12.6640625" bestFit="1" customWidth="1" style="132" min="18" max="19"/>
    <col width="13" customWidth="1" style="13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79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15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15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79" t="n"/>
      <c r="D3" s="279" t="inlineStr">
        <is>
          <t>PSNR</t>
        </is>
      </c>
      <c r="E3" s="233" t="n"/>
      <c r="F3" s="233" t="n"/>
      <c r="G3" s="234" t="n"/>
      <c r="H3" s="279" t="n"/>
      <c r="I3" s="279" t="n"/>
      <c r="J3" s="279" t="n"/>
      <c r="K3" s="279" t="n"/>
      <c r="L3" s="279" t="n"/>
      <c r="M3" s="279" t="n"/>
      <c r="N3" s="286" t="inlineStr">
        <is>
          <t>APSNR</t>
        </is>
      </c>
      <c r="O3" s="233" t="n"/>
      <c r="P3" s="233" t="n"/>
      <c r="Q3" s="234" t="n"/>
      <c r="R3" s="279" t="n"/>
      <c r="S3" s="279" t="n"/>
      <c r="T3" s="15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8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5" t="inlineStr">
        <is>
          <t>Bit-rate</t>
        </is>
      </c>
      <c r="D4" s="135" t="inlineStr">
        <is>
          <t>Y</t>
        </is>
      </c>
      <c r="E4" s="135" t="inlineStr">
        <is>
          <t>U</t>
        </is>
      </c>
      <c r="F4" s="135" t="inlineStr">
        <is>
          <t>V</t>
        </is>
      </c>
      <c r="G4" s="135" t="inlineStr">
        <is>
          <t>YUV</t>
        </is>
      </c>
      <c r="H4" s="135" t="inlineStr">
        <is>
          <t>SSIM_Y</t>
        </is>
      </c>
      <c r="I4" s="135" t="inlineStr">
        <is>
          <t>MS-SSIM</t>
        </is>
      </c>
      <c r="J4" s="135" t="inlineStr">
        <is>
          <t>VMAF</t>
        </is>
      </c>
      <c r="K4" s="135" t="inlineStr">
        <is>
          <t>nVMAF</t>
        </is>
      </c>
      <c r="L4" s="135" t="inlineStr">
        <is>
          <t>PSNR-HVS</t>
        </is>
      </c>
      <c r="M4" s="135" t="inlineStr">
        <is>
          <t>DE-2K</t>
        </is>
      </c>
      <c r="N4" s="153" t="inlineStr">
        <is>
          <t>Y</t>
        </is>
      </c>
      <c r="O4" s="153" t="inlineStr">
        <is>
          <t>U</t>
        </is>
      </c>
      <c r="P4" s="153" t="inlineStr">
        <is>
          <t>V</t>
        </is>
      </c>
      <c r="Q4" s="153" t="inlineStr">
        <is>
          <t>YUV</t>
        </is>
      </c>
      <c r="R4" s="135" t="inlineStr">
        <is>
          <t>Enc-Time</t>
        </is>
      </c>
      <c r="S4" s="135" t="inlineStr">
        <is>
          <t>Dec-Time</t>
        </is>
      </c>
      <c r="T4" s="15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54" t="inlineStr">
        <is>
          <t>Y</t>
        </is>
      </c>
      <c r="AG4" s="154" t="inlineStr">
        <is>
          <t>U</t>
        </is>
      </c>
      <c r="AH4" s="154" t="inlineStr">
        <is>
          <t>V</t>
        </is>
      </c>
      <c r="AI4" s="154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Anchor!L218</f>
        <v/>
      </c>
      <c r="D5" s="129">
        <f>Anchor!M218</f>
        <v/>
      </c>
      <c r="E5" s="129">
        <f>Anchor!N218</f>
        <v/>
      </c>
      <c r="F5" s="129">
        <f>Anchor!O218</f>
        <v/>
      </c>
      <c r="G5" s="130">
        <f>('Summary (Full)'!$B$34*D5+'Summary (Full)'!$B$35*E5+'Summary (Full)'!$B$36*F5)/'Summary (Full)'!$B$37</f>
        <v/>
      </c>
      <c r="H5" s="129">
        <f>Anchor!P218</f>
        <v/>
      </c>
      <c r="I5" s="129">
        <f>Anchor!Q218</f>
        <v/>
      </c>
      <c r="J5" s="129">
        <f>Anchor!R218</f>
        <v/>
      </c>
      <c r="K5" s="129">
        <f>Anchor!S218</f>
        <v/>
      </c>
      <c r="L5" s="129">
        <f>Anchor!T218</f>
        <v/>
      </c>
      <c r="M5" s="129">
        <f>Anchor!U218</f>
        <v/>
      </c>
      <c r="N5" s="129">
        <f>Anchor!V218</f>
        <v/>
      </c>
      <c r="O5" s="129">
        <f>Anchor!W218</f>
        <v/>
      </c>
      <c r="P5" s="129">
        <f>Anchor!X218</f>
        <v/>
      </c>
      <c r="Q5" s="131">
        <f>10*LOG10(1/(('Summary (Full)'!$B$41/10^(N5/10)+'Summary (Full)'!$B$42/10^(O5/10)+'Summary (Full)'!$B$43/10^(P5/10))/'Summary (Full)'!$B$44))</f>
        <v/>
      </c>
      <c r="R5" s="129">
        <f>Anchor!Y218</f>
        <v/>
      </c>
      <c r="S5" s="129">
        <f>Anchor!Z218</f>
        <v/>
      </c>
      <c r="U5" s="129">
        <f>Test!L218</f>
        <v/>
      </c>
      <c r="V5" s="129">
        <f>Test!M218</f>
        <v/>
      </c>
      <c r="W5" s="129">
        <f>Test!N218</f>
        <v/>
      </c>
      <c r="X5" s="129">
        <f>Test!O218</f>
        <v/>
      </c>
      <c r="Y5" s="129">
        <f>('Summary (Full)'!$B$34*V5+'Summary (Full)'!$B$35*W5+'Summary (Full)'!$B$36*X5)/'Summary (Full)'!$B$37</f>
        <v/>
      </c>
      <c r="Z5" s="129">
        <f>Test!P218</f>
        <v/>
      </c>
      <c r="AA5" s="129">
        <f>Test!Q218</f>
        <v/>
      </c>
      <c r="AB5" s="129">
        <f>Test!R218</f>
        <v/>
      </c>
      <c r="AC5" s="129">
        <f>Test!S218</f>
        <v/>
      </c>
      <c r="AD5" s="129">
        <f>Test!T218</f>
        <v/>
      </c>
      <c r="AE5" s="129">
        <f>Test!U218</f>
        <v/>
      </c>
      <c r="AF5" s="129">
        <f>Test!V218</f>
        <v/>
      </c>
      <c r="AG5" s="129">
        <f>Test!W218</f>
        <v/>
      </c>
      <c r="AH5" s="129">
        <f>Test!X218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Test!Y218</f>
        <v/>
      </c>
      <c r="AK5" s="129">
        <f>Test!Z218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Anchor!L219</f>
        <v/>
      </c>
      <c r="D6" s="129">
        <f>Anchor!M219</f>
        <v/>
      </c>
      <c r="E6" s="129">
        <f>Anchor!N219</f>
        <v/>
      </c>
      <c r="F6" s="129">
        <f>Anchor!O219</f>
        <v/>
      </c>
      <c r="G6" s="130">
        <f>('Summary (Full)'!$B$34*D6+'Summary (Full)'!$B$35*E6+'Summary (Full)'!$B$36*F6)/'Summary (Full)'!$B$37</f>
        <v/>
      </c>
      <c r="H6" s="129">
        <f>Anchor!P219</f>
        <v/>
      </c>
      <c r="I6" s="129">
        <f>Anchor!Q219</f>
        <v/>
      </c>
      <c r="J6" s="129">
        <f>Anchor!R219</f>
        <v/>
      </c>
      <c r="K6" s="129">
        <f>Anchor!S219</f>
        <v/>
      </c>
      <c r="L6" s="129">
        <f>Anchor!T219</f>
        <v/>
      </c>
      <c r="M6" s="129">
        <f>Anchor!U219</f>
        <v/>
      </c>
      <c r="N6" s="129">
        <f>Anchor!V219</f>
        <v/>
      </c>
      <c r="O6" s="129">
        <f>Anchor!W219</f>
        <v/>
      </c>
      <c r="P6" s="129">
        <f>Anchor!X219</f>
        <v/>
      </c>
      <c r="Q6" s="131">
        <f>10*LOG10(1/(('Summary (Full)'!$B$41/10^(N6/10)+'Summary (Full)'!$B$42/10^(O6/10)+'Summary (Full)'!$B$43/10^(P6/10))/'Summary (Full)'!$B$44))</f>
        <v/>
      </c>
      <c r="R6" s="129">
        <f>Anchor!Y219</f>
        <v/>
      </c>
      <c r="S6" s="129">
        <f>Anchor!Z219</f>
        <v/>
      </c>
      <c r="U6" s="129">
        <f>Test!L219</f>
        <v/>
      </c>
      <c r="V6" s="129">
        <f>Test!M219</f>
        <v/>
      </c>
      <c r="W6" s="129">
        <f>Test!N219</f>
        <v/>
      </c>
      <c r="X6" s="129">
        <f>Test!O219</f>
        <v/>
      </c>
      <c r="Y6" s="129">
        <f>('Summary (Full)'!$B$34*V6+'Summary (Full)'!$B$35*W6+'Summary (Full)'!$B$36*X6)/'Summary (Full)'!$B$37</f>
        <v/>
      </c>
      <c r="Z6" s="129">
        <f>Test!P219</f>
        <v/>
      </c>
      <c r="AA6" s="129">
        <f>Test!Q219</f>
        <v/>
      </c>
      <c r="AB6" s="129">
        <f>Test!R219</f>
        <v/>
      </c>
      <c r="AC6" s="129">
        <f>Test!S219</f>
        <v/>
      </c>
      <c r="AD6" s="129">
        <f>Test!T219</f>
        <v/>
      </c>
      <c r="AE6" s="129">
        <f>Test!U219</f>
        <v/>
      </c>
      <c r="AF6" s="129">
        <f>Test!V219</f>
        <v/>
      </c>
      <c r="AG6" s="129">
        <f>Test!W219</f>
        <v/>
      </c>
      <c r="AH6" s="129">
        <f>Test!X219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Test!Y219</f>
        <v/>
      </c>
      <c r="AK6" s="129">
        <f>Test!Z219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Anchor!L220</f>
        <v/>
      </c>
      <c r="D7" s="129">
        <f>Anchor!M220</f>
        <v/>
      </c>
      <c r="E7" s="129">
        <f>Anchor!N220</f>
        <v/>
      </c>
      <c r="F7" s="129">
        <f>Anchor!O220</f>
        <v/>
      </c>
      <c r="G7" s="130">
        <f>('Summary (Full)'!$B$34*D7+'Summary (Full)'!$B$35*E7+'Summary (Full)'!$B$36*F7)/'Summary (Full)'!$B$37</f>
        <v/>
      </c>
      <c r="H7" s="129">
        <f>Anchor!P220</f>
        <v/>
      </c>
      <c r="I7" s="129">
        <f>Anchor!Q220</f>
        <v/>
      </c>
      <c r="J7" s="129">
        <f>Anchor!R220</f>
        <v/>
      </c>
      <c r="K7" s="129">
        <f>Anchor!S220</f>
        <v/>
      </c>
      <c r="L7" s="129">
        <f>Anchor!T220</f>
        <v/>
      </c>
      <c r="M7" s="129">
        <f>Anchor!U220</f>
        <v/>
      </c>
      <c r="N7" s="129">
        <f>Anchor!V220</f>
        <v/>
      </c>
      <c r="O7" s="129">
        <f>Anchor!W220</f>
        <v/>
      </c>
      <c r="P7" s="129">
        <f>Anchor!X220</f>
        <v/>
      </c>
      <c r="Q7" s="131">
        <f>10*LOG10(1/(('Summary (Full)'!$B$41/10^(N7/10)+'Summary (Full)'!$B$42/10^(O7/10)+'Summary (Full)'!$B$43/10^(P7/10))/'Summary (Full)'!$B$44))</f>
        <v/>
      </c>
      <c r="R7" s="129">
        <f>Anchor!Y220</f>
        <v/>
      </c>
      <c r="S7" s="129">
        <f>Anchor!Z220</f>
        <v/>
      </c>
      <c r="U7" s="129">
        <f>Test!L220</f>
        <v/>
      </c>
      <c r="V7" s="129">
        <f>Test!M220</f>
        <v/>
      </c>
      <c r="W7" s="129">
        <f>Test!N220</f>
        <v/>
      </c>
      <c r="X7" s="129">
        <f>Test!O220</f>
        <v/>
      </c>
      <c r="Y7" s="129">
        <f>('Summary (Full)'!$B$34*V7+'Summary (Full)'!$B$35*W7+'Summary (Full)'!$B$36*X7)/'Summary (Full)'!$B$37</f>
        <v/>
      </c>
      <c r="Z7" s="129">
        <f>Test!P220</f>
        <v/>
      </c>
      <c r="AA7" s="129">
        <f>Test!Q220</f>
        <v/>
      </c>
      <c r="AB7" s="129">
        <f>Test!R220</f>
        <v/>
      </c>
      <c r="AC7" s="129">
        <f>Test!S220</f>
        <v/>
      </c>
      <c r="AD7" s="129">
        <f>Test!T220</f>
        <v/>
      </c>
      <c r="AE7" s="129">
        <f>Test!U220</f>
        <v/>
      </c>
      <c r="AF7" s="129">
        <f>Test!V220</f>
        <v/>
      </c>
      <c r="AG7" s="129">
        <f>Test!W220</f>
        <v/>
      </c>
      <c r="AH7" s="129">
        <f>Test!X220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Test!Y220</f>
        <v/>
      </c>
      <c r="AK7" s="129">
        <f>Test!Z220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Anchor!L221</f>
        <v/>
      </c>
      <c r="D8" s="129">
        <f>Anchor!M221</f>
        <v/>
      </c>
      <c r="E8" s="129">
        <f>Anchor!N221</f>
        <v/>
      </c>
      <c r="F8" s="129">
        <f>Anchor!O221</f>
        <v/>
      </c>
      <c r="G8" s="130">
        <f>('Summary (Full)'!$B$34*D8+'Summary (Full)'!$B$35*E8+'Summary (Full)'!$B$36*F8)/'Summary (Full)'!$B$37</f>
        <v/>
      </c>
      <c r="H8" s="129">
        <f>Anchor!P221</f>
        <v/>
      </c>
      <c r="I8" s="129">
        <f>Anchor!Q221</f>
        <v/>
      </c>
      <c r="J8" s="129">
        <f>Anchor!R221</f>
        <v/>
      </c>
      <c r="K8" s="129">
        <f>Anchor!S221</f>
        <v/>
      </c>
      <c r="L8" s="129">
        <f>Anchor!T221</f>
        <v/>
      </c>
      <c r="M8" s="129">
        <f>Anchor!U221</f>
        <v/>
      </c>
      <c r="N8" s="129">
        <f>Anchor!V221</f>
        <v/>
      </c>
      <c r="O8" s="129">
        <f>Anchor!W221</f>
        <v/>
      </c>
      <c r="P8" s="129">
        <f>Anchor!X221</f>
        <v/>
      </c>
      <c r="Q8" s="131">
        <f>10*LOG10(1/(('Summary (Full)'!$B$41/10^(N8/10)+'Summary (Full)'!$B$42/10^(O8/10)+'Summary (Full)'!$B$43/10^(P8/10))/'Summary (Full)'!$B$44))</f>
        <v/>
      </c>
      <c r="R8" s="129">
        <f>Anchor!Y221</f>
        <v/>
      </c>
      <c r="S8" s="129">
        <f>Anchor!Z221</f>
        <v/>
      </c>
      <c r="U8" s="129">
        <f>Test!L221</f>
        <v/>
      </c>
      <c r="V8" s="129">
        <f>Test!M221</f>
        <v/>
      </c>
      <c r="W8" s="129">
        <f>Test!N221</f>
        <v/>
      </c>
      <c r="X8" s="129">
        <f>Test!O221</f>
        <v/>
      </c>
      <c r="Y8" s="129">
        <f>('Summary (Full)'!$B$34*V8+'Summary (Full)'!$B$35*W8+'Summary (Full)'!$B$36*X8)/'Summary (Full)'!$B$37</f>
        <v/>
      </c>
      <c r="Z8" s="129">
        <f>Test!P221</f>
        <v/>
      </c>
      <c r="AA8" s="129">
        <f>Test!Q221</f>
        <v/>
      </c>
      <c r="AB8" s="129">
        <f>Test!R221</f>
        <v/>
      </c>
      <c r="AC8" s="129">
        <f>Test!S221</f>
        <v/>
      </c>
      <c r="AD8" s="129">
        <f>Test!T221</f>
        <v/>
      </c>
      <c r="AE8" s="129">
        <f>Test!U221</f>
        <v/>
      </c>
      <c r="AF8" s="129">
        <f>Test!V221</f>
        <v/>
      </c>
      <c r="AG8" s="129">
        <f>Test!W221</f>
        <v/>
      </c>
      <c r="AH8" s="129">
        <f>Test!X221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Test!Y221</f>
        <v/>
      </c>
      <c r="AK8" s="129">
        <f>Test!Z221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Anchor!L222</f>
        <v/>
      </c>
      <c r="D9" s="129">
        <f>Anchor!M222</f>
        <v/>
      </c>
      <c r="E9" s="129">
        <f>Anchor!N222</f>
        <v/>
      </c>
      <c r="F9" s="129">
        <f>Anchor!O222</f>
        <v/>
      </c>
      <c r="G9" s="130">
        <f>('Summary (Full)'!$B$34*D9+'Summary (Full)'!$B$35*E9+'Summary (Full)'!$B$36*F9)/'Summary (Full)'!$B$37</f>
        <v/>
      </c>
      <c r="H9" s="129">
        <f>Anchor!P222</f>
        <v/>
      </c>
      <c r="I9" s="129">
        <f>Anchor!Q222</f>
        <v/>
      </c>
      <c r="J9" s="129">
        <f>Anchor!R222</f>
        <v/>
      </c>
      <c r="K9" s="129">
        <f>Anchor!S222</f>
        <v/>
      </c>
      <c r="L9" s="129">
        <f>Anchor!T222</f>
        <v/>
      </c>
      <c r="M9" s="129">
        <f>Anchor!U222</f>
        <v/>
      </c>
      <c r="N9" s="129">
        <f>Anchor!V222</f>
        <v/>
      </c>
      <c r="O9" s="129">
        <f>Anchor!W222</f>
        <v/>
      </c>
      <c r="P9" s="129">
        <f>Anchor!X222</f>
        <v/>
      </c>
      <c r="Q9" s="131">
        <f>10*LOG10(1/(('Summary (Full)'!$B$41/10^(N9/10)+'Summary (Full)'!$B$42/10^(O9/10)+'Summary (Full)'!$B$43/10^(P9/10))/'Summary (Full)'!$B$44))</f>
        <v/>
      </c>
      <c r="R9" s="129">
        <f>Anchor!Y222</f>
        <v/>
      </c>
      <c r="S9" s="129">
        <f>Anchor!Z222</f>
        <v/>
      </c>
      <c r="U9" s="129">
        <f>Test!L222</f>
        <v/>
      </c>
      <c r="V9" s="129">
        <f>Test!M222</f>
        <v/>
      </c>
      <c r="W9" s="129">
        <f>Test!N222</f>
        <v/>
      </c>
      <c r="X9" s="129">
        <f>Test!O222</f>
        <v/>
      </c>
      <c r="Y9" s="129">
        <f>('Summary (Full)'!$B$34*V9+'Summary (Full)'!$B$35*W9+'Summary (Full)'!$B$36*X9)/'Summary (Full)'!$B$37</f>
        <v/>
      </c>
      <c r="Z9" s="129">
        <f>Test!P222</f>
        <v/>
      </c>
      <c r="AA9" s="129">
        <f>Test!Q222</f>
        <v/>
      </c>
      <c r="AB9" s="129">
        <f>Test!R222</f>
        <v/>
      </c>
      <c r="AC9" s="129">
        <f>Test!S222</f>
        <v/>
      </c>
      <c r="AD9" s="129">
        <f>Test!T222</f>
        <v/>
      </c>
      <c r="AE9" s="129">
        <f>Test!U222</f>
        <v/>
      </c>
      <c r="AF9" s="129">
        <f>Test!V222</f>
        <v/>
      </c>
      <c r="AG9" s="129">
        <f>Test!W222</f>
        <v/>
      </c>
      <c r="AH9" s="129">
        <f>Test!X222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Test!Y222</f>
        <v/>
      </c>
      <c r="AK9" s="129">
        <f>Test!Z222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Anchor!L223</f>
        <v/>
      </c>
      <c r="D10" s="129">
        <f>Anchor!M223</f>
        <v/>
      </c>
      <c r="E10" s="129">
        <f>Anchor!N223</f>
        <v/>
      </c>
      <c r="F10" s="129">
        <f>Anchor!O223</f>
        <v/>
      </c>
      <c r="G10" s="130">
        <f>('Summary (Full)'!$B$34*D10+'Summary (Full)'!$B$35*E10+'Summary (Full)'!$B$36*F10)/'Summary (Full)'!$B$37</f>
        <v/>
      </c>
      <c r="H10" s="129">
        <f>Anchor!P223</f>
        <v/>
      </c>
      <c r="I10" s="129">
        <f>Anchor!Q223</f>
        <v/>
      </c>
      <c r="J10" s="129">
        <f>Anchor!R223</f>
        <v/>
      </c>
      <c r="K10" s="129">
        <f>Anchor!S223</f>
        <v/>
      </c>
      <c r="L10" s="129">
        <f>Anchor!T223</f>
        <v/>
      </c>
      <c r="M10" s="129">
        <f>Anchor!U223</f>
        <v/>
      </c>
      <c r="N10" s="129">
        <f>Anchor!V223</f>
        <v/>
      </c>
      <c r="O10" s="129">
        <f>Anchor!W223</f>
        <v/>
      </c>
      <c r="P10" s="129">
        <f>Anchor!X223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Anchor!Y223</f>
        <v/>
      </c>
      <c r="S10" s="129">
        <f>Anchor!Z223</f>
        <v/>
      </c>
      <c r="U10" s="129">
        <f>Test!L223</f>
        <v/>
      </c>
      <c r="V10" s="129">
        <f>Test!M223</f>
        <v/>
      </c>
      <c r="W10" s="129">
        <f>Test!N223</f>
        <v/>
      </c>
      <c r="X10" s="129">
        <f>Test!O223</f>
        <v/>
      </c>
      <c r="Y10" s="129">
        <f>('Summary (Full)'!$B$34*V10+'Summary (Full)'!$B$35*W10+'Summary (Full)'!$B$36*X10)/'Summary (Full)'!$B$37</f>
        <v/>
      </c>
      <c r="Z10" s="129">
        <f>Test!P223</f>
        <v/>
      </c>
      <c r="AA10" s="129">
        <f>Test!Q223</f>
        <v/>
      </c>
      <c r="AB10" s="129">
        <f>Test!R223</f>
        <v/>
      </c>
      <c r="AC10" s="129">
        <f>Test!S223</f>
        <v/>
      </c>
      <c r="AD10" s="129">
        <f>Test!T223</f>
        <v/>
      </c>
      <c r="AE10" s="129">
        <f>Test!U223</f>
        <v/>
      </c>
      <c r="AF10" s="129">
        <f>Test!V223</f>
        <v/>
      </c>
      <c r="AG10" s="129">
        <f>Test!W223</f>
        <v/>
      </c>
      <c r="AH10" s="129">
        <f>Test!X223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Test!Y223</f>
        <v/>
      </c>
      <c r="AK10" s="129">
        <f>Test!Z223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Anchor!L224</f>
        <v/>
      </c>
      <c r="D11" s="129">
        <f>Anchor!M224</f>
        <v/>
      </c>
      <c r="E11" s="129">
        <f>Anchor!N224</f>
        <v/>
      </c>
      <c r="F11" s="129">
        <f>Anchor!O224</f>
        <v/>
      </c>
      <c r="G11" s="130">
        <f>('Summary (Full)'!$B$34*D11+'Summary (Full)'!$B$35*E11+'Summary (Full)'!$B$36*F11)/'Summary (Full)'!$B$37</f>
        <v/>
      </c>
      <c r="H11" s="129">
        <f>Anchor!P224</f>
        <v/>
      </c>
      <c r="I11" s="129">
        <f>Anchor!Q224</f>
        <v/>
      </c>
      <c r="J11" s="129">
        <f>Anchor!R224</f>
        <v/>
      </c>
      <c r="K11" s="129">
        <f>Anchor!S224</f>
        <v/>
      </c>
      <c r="L11" s="129">
        <f>Anchor!T224</f>
        <v/>
      </c>
      <c r="M11" s="129">
        <f>Anchor!U224</f>
        <v/>
      </c>
      <c r="N11" s="129">
        <f>Anchor!V224</f>
        <v/>
      </c>
      <c r="O11" s="129">
        <f>Anchor!W224</f>
        <v/>
      </c>
      <c r="P11" s="129">
        <f>Anchor!X224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Anchor!Y224</f>
        <v/>
      </c>
      <c r="S11" s="129">
        <f>Anchor!Z224</f>
        <v/>
      </c>
      <c r="U11" s="129">
        <f>Test!L224</f>
        <v/>
      </c>
      <c r="V11" s="129">
        <f>Test!M224</f>
        <v/>
      </c>
      <c r="W11" s="129">
        <f>Test!N224</f>
        <v/>
      </c>
      <c r="X11" s="129">
        <f>Test!O224</f>
        <v/>
      </c>
      <c r="Y11" s="129">
        <f>('Summary (Full)'!$B$34*V11+'Summary (Full)'!$B$35*W11+'Summary (Full)'!$B$36*X11)/'Summary (Full)'!$B$37</f>
        <v/>
      </c>
      <c r="Z11" s="129">
        <f>Test!P224</f>
        <v/>
      </c>
      <c r="AA11" s="129">
        <f>Test!Q224</f>
        <v/>
      </c>
      <c r="AB11" s="129">
        <f>Test!R224</f>
        <v/>
      </c>
      <c r="AC11" s="129">
        <f>Test!S224</f>
        <v/>
      </c>
      <c r="AD11" s="129">
        <f>Test!T224</f>
        <v/>
      </c>
      <c r="AE11" s="129">
        <f>Test!U224</f>
        <v/>
      </c>
      <c r="AF11" s="129">
        <f>Test!V224</f>
        <v/>
      </c>
      <c r="AG11" s="129">
        <f>Test!W224</f>
        <v/>
      </c>
      <c r="AH11" s="129">
        <f>Test!X224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Test!Y224</f>
        <v/>
      </c>
      <c r="AK11" s="129">
        <f>Test!Z224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Anchor!L225</f>
        <v/>
      </c>
      <c r="D12" s="129">
        <f>Anchor!M225</f>
        <v/>
      </c>
      <c r="E12" s="129">
        <f>Anchor!N225</f>
        <v/>
      </c>
      <c r="F12" s="129">
        <f>Anchor!O225</f>
        <v/>
      </c>
      <c r="G12" s="130">
        <f>('Summary (Full)'!$B$34*D12+'Summary (Full)'!$B$35*E12+'Summary (Full)'!$B$36*F12)/'Summary (Full)'!$B$37</f>
        <v/>
      </c>
      <c r="H12" s="129">
        <f>Anchor!P225</f>
        <v/>
      </c>
      <c r="I12" s="129">
        <f>Anchor!Q225</f>
        <v/>
      </c>
      <c r="J12" s="129">
        <f>Anchor!R225</f>
        <v/>
      </c>
      <c r="K12" s="129">
        <f>Anchor!S225</f>
        <v/>
      </c>
      <c r="L12" s="129">
        <f>Anchor!T225</f>
        <v/>
      </c>
      <c r="M12" s="129">
        <f>Anchor!U225</f>
        <v/>
      </c>
      <c r="N12" s="129">
        <f>Anchor!V225</f>
        <v/>
      </c>
      <c r="O12" s="129">
        <f>Anchor!W225</f>
        <v/>
      </c>
      <c r="P12" s="129">
        <f>Anchor!X225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Anchor!Y225</f>
        <v/>
      </c>
      <c r="S12" s="129">
        <f>Anchor!Z225</f>
        <v/>
      </c>
      <c r="U12" s="129">
        <f>Test!L225</f>
        <v/>
      </c>
      <c r="V12" s="129">
        <f>Test!M225</f>
        <v/>
      </c>
      <c r="W12" s="129">
        <f>Test!N225</f>
        <v/>
      </c>
      <c r="X12" s="129">
        <f>Test!O225</f>
        <v/>
      </c>
      <c r="Y12" s="129">
        <f>('Summary (Full)'!$B$34*V12+'Summary (Full)'!$B$35*W12+'Summary (Full)'!$B$36*X12)/'Summary (Full)'!$B$37</f>
        <v/>
      </c>
      <c r="Z12" s="129">
        <f>Test!P225</f>
        <v/>
      </c>
      <c r="AA12" s="129">
        <f>Test!Q225</f>
        <v/>
      </c>
      <c r="AB12" s="129">
        <f>Test!R225</f>
        <v/>
      </c>
      <c r="AC12" s="129">
        <f>Test!S225</f>
        <v/>
      </c>
      <c r="AD12" s="129">
        <f>Test!T225</f>
        <v/>
      </c>
      <c r="AE12" s="129">
        <f>Test!U225</f>
        <v/>
      </c>
      <c r="AF12" s="129">
        <f>Test!V225</f>
        <v/>
      </c>
      <c r="AG12" s="129">
        <f>Test!W225</f>
        <v/>
      </c>
      <c r="AH12" s="129">
        <f>Test!X225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Test!Y225</f>
        <v/>
      </c>
      <c r="AK12" s="129">
        <f>Test!Z225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Anchor!L226</f>
        <v/>
      </c>
      <c r="D13" s="129">
        <f>Anchor!M226</f>
        <v/>
      </c>
      <c r="E13" s="129">
        <f>Anchor!N226</f>
        <v/>
      </c>
      <c r="F13" s="129">
        <f>Anchor!O226</f>
        <v/>
      </c>
      <c r="G13" s="130">
        <f>('Summary (Full)'!$B$34*D13+'Summary (Full)'!$B$35*E13+'Summary (Full)'!$B$36*F13)/'Summary (Full)'!$B$37</f>
        <v/>
      </c>
      <c r="H13" s="129">
        <f>Anchor!P226</f>
        <v/>
      </c>
      <c r="I13" s="129">
        <f>Anchor!Q226</f>
        <v/>
      </c>
      <c r="J13" s="129">
        <f>Anchor!R226</f>
        <v/>
      </c>
      <c r="K13" s="129">
        <f>Anchor!S226</f>
        <v/>
      </c>
      <c r="L13" s="129">
        <f>Anchor!T226</f>
        <v/>
      </c>
      <c r="M13" s="129">
        <f>Anchor!U226</f>
        <v/>
      </c>
      <c r="N13" s="129">
        <f>Anchor!V226</f>
        <v/>
      </c>
      <c r="O13" s="129">
        <f>Anchor!W226</f>
        <v/>
      </c>
      <c r="P13" s="129">
        <f>Anchor!X226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Anchor!Y226</f>
        <v/>
      </c>
      <c r="S13" s="129">
        <f>Anchor!Z226</f>
        <v/>
      </c>
      <c r="U13" s="129">
        <f>Test!L226</f>
        <v/>
      </c>
      <c r="V13" s="129">
        <f>Test!M226</f>
        <v/>
      </c>
      <c r="W13" s="129">
        <f>Test!N226</f>
        <v/>
      </c>
      <c r="X13" s="129">
        <f>Test!O226</f>
        <v/>
      </c>
      <c r="Y13" s="129">
        <f>('Summary (Full)'!$B$34*V13+'Summary (Full)'!$B$35*W13+'Summary (Full)'!$B$36*X13)/'Summary (Full)'!$B$37</f>
        <v/>
      </c>
      <c r="Z13" s="129">
        <f>Test!P226</f>
        <v/>
      </c>
      <c r="AA13" s="129">
        <f>Test!Q226</f>
        <v/>
      </c>
      <c r="AB13" s="129">
        <f>Test!R226</f>
        <v/>
      </c>
      <c r="AC13" s="129">
        <f>Test!S226</f>
        <v/>
      </c>
      <c r="AD13" s="129">
        <f>Test!T226</f>
        <v/>
      </c>
      <c r="AE13" s="129">
        <f>Test!U226</f>
        <v/>
      </c>
      <c r="AF13" s="129">
        <f>Test!V226</f>
        <v/>
      </c>
      <c r="AG13" s="129">
        <f>Test!W226</f>
        <v/>
      </c>
      <c r="AH13" s="129">
        <f>Test!X226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Test!Y226</f>
        <v/>
      </c>
      <c r="AK13" s="129">
        <f>Test!Z226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Anchor!L227</f>
        <v/>
      </c>
      <c r="D14" s="129">
        <f>Anchor!M227</f>
        <v/>
      </c>
      <c r="E14" s="129">
        <f>Anchor!N227</f>
        <v/>
      </c>
      <c r="F14" s="129">
        <f>Anchor!O227</f>
        <v/>
      </c>
      <c r="G14" s="130">
        <f>('Summary (Full)'!$B$34*D14+'Summary (Full)'!$B$35*E14+'Summary (Full)'!$B$36*F14)/'Summary (Full)'!$B$37</f>
        <v/>
      </c>
      <c r="H14" s="129">
        <f>Anchor!P227</f>
        <v/>
      </c>
      <c r="I14" s="129">
        <f>Anchor!Q227</f>
        <v/>
      </c>
      <c r="J14" s="129">
        <f>Anchor!R227</f>
        <v/>
      </c>
      <c r="K14" s="129">
        <f>Anchor!S227</f>
        <v/>
      </c>
      <c r="L14" s="129">
        <f>Anchor!T227</f>
        <v/>
      </c>
      <c r="M14" s="129">
        <f>Anchor!U227</f>
        <v/>
      </c>
      <c r="N14" s="129">
        <f>Anchor!V227</f>
        <v/>
      </c>
      <c r="O14" s="129">
        <f>Anchor!W227</f>
        <v/>
      </c>
      <c r="P14" s="129">
        <f>Anchor!X227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Anchor!Y227</f>
        <v/>
      </c>
      <c r="S14" s="129">
        <f>Anchor!Z227</f>
        <v/>
      </c>
      <c r="U14" s="129">
        <f>Test!L227</f>
        <v/>
      </c>
      <c r="V14" s="129">
        <f>Test!M227</f>
        <v/>
      </c>
      <c r="W14" s="129">
        <f>Test!N227</f>
        <v/>
      </c>
      <c r="X14" s="129">
        <f>Test!O227</f>
        <v/>
      </c>
      <c r="Y14" s="129">
        <f>('Summary (Full)'!$B$34*V14+'Summary (Full)'!$B$35*W14+'Summary (Full)'!$B$36*X14)/'Summary (Full)'!$B$37</f>
        <v/>
      </c>
      <c r="Z14" s="129">
        <f>Test!P227</f>
        <v/>
      </c>
      <c r="AA14" s="129">
        <f>Test!Q227</f>
        <v/>
      </c>
      <c r="AB14" s="129">
        <f>Test!R227</f>
        <v/>
      </c>
      <c r="AC14" s="129">
        <f>Test!S227</f>
        <v/>
      </c>
      <c r="AD14" s="129">
        <f>Test!T227</f>
        <v/>
      </c>
      <c r="AE14" s="129">
        <f>Test!U227</f>
        <v/>
      </c>
      <c r="AF14" s="129">
        <f>Test!V227</f>
        <v/>
      </c>
      <c r="AG14" s="129">
        <f>Test!W227</f>
        <v/>
      </c>
      <c r="AH14" s="129">
        <f>Test!X227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Test!Y227</f>
        <v/>
      </c>
      <c r="AK14" s="129">
        <f>Test!Z227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Anchor!L228</f>
        <v/>
      </c>
      <c r="D15" s="129">
        <f>Anchor!M228</f>
        <v/>
      </c>
      <c r="E15" s="129">
        <f>Anchor!N228</f>
        <v/>
      </c>
      <c r="F15" s="129">
        <f>Anchor!O228</f>
        <v/>
      </c>
      <c r="G15" s="130">
        <f>('Summary (Full)'!$B$34*D15+'Summary (Full)'!$B$35*E15+'Summary (Full)'!$B$36*F15)/'Summary (Full)'!$B$37</f>
        <v/>
      </c>
      <c r="H15" s="129">
        <f>Anchor!P228</f>
        <v/>
      </c>
      <c r="I15" s="129">
        <f>Anchor!Q228</f>
        <v/>
      </c>
      <c r="J15" s="129">
        <f>Anchor!R228</f>
        <v/>
      </c>
      <c r="K15" s="129">
        <f>Anchor!S228</f>
        <v/>
      </c>
      <c r="L15" s="129">
        <f>Anchor!T228</f>
        <v/>
      </c>
      <c r="M15" s="129">
        <f>Anchor!U228</f>
        <v/>
      </c>
      <c r="N15" s="129">
        <f>Anchor!V228</f>
        <v/>
      </c>
      <c r="O15" s="129">
        <f>Anchor!W228</f>
        <v/>
      </c>
      <c r="P15" s="129">
        <f>Anchor!X228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Anchor!Y228</f>
        <v/>
      </c>
      <c r="S15" s="129">
        <f>Anchor!Z228</f>
        <v/>
      </c>
      <c r="U15" s="129">
        <f>Test!L228</f>
        <v/>
      </c>
      <c r="V15" s="129">
        <f>Test!M228</f>
        <v/>
      </c>
      <c r="W15" s="129">
        <f>Test!N228</f>
        <v/>
      </c>
      <c r="X15" s="129">
        <f>Test!O228</f>
        <v/>
      </c>
      <c r="Y15" s="129">
        <f>('Summary (Full)'!$B$34*V15+'Summary (Full)'!$B$35*W15+'Summary (Full)'!$B$36*X15)/'Summary (Full)'!$B$37</f>
        <v/>
      </c>
      <c r="Z15" s="129">
        <f>Test!P228</f>
        <v/>
      </c>
      <c r="AA15" s="129">
        <f>Test!Q228</f>
        <v/>
      </c>
      <c r="AB15" s="129">
        <f>Test!R228</f>
        <v/>
      </c>
      <c r="AC15" s="129">
        <f>Test!S228</f>
        <v/>
      </c>
      <c r="AD15" s="129">
        <f>Test!T228</f>
        <v/>
      </c>
      <c r="AE15" s="129">
        <f>Test!U228</f>
        <v/>
      </c>
      <c r="AF15" s="129">
        <f>Test!V228</f>
        <v/>
      </c>
      <c r="AG15" s="129">
        <f>Test!W228</f>
        <v/>
      </c>
      <c r="AH15" s="129">
        <f>Test!X228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Test!Y228</f>
        <v/>
      </c>
      <c r="AK15" s="129">
        <f>Test!Z228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Anchor!L229</f>
        <v/>
      </c>
      <c r="D16" s="129">
        <f>Anchor!M229</f>
        <v/>
      </c>
      <c r="E16" s="129">
        <f>Anchor!N229</f>
        <v/>
      </c>
      <c r="F16" s="129">
        <f>Anchor!O229</f>
        <v/>
      </c>
      <c r="G16" s="130">
        <f>('Summary (Full)'!$B$34*D16+'Summary (Full)'!$B$35*E16+'Summary (Full)'!$B$36*F16)/'Summary (Full)'!$B$37</f>
        <v/>
      </c>
      <c r="H16" s="129">
        <f>Anchor!P229</f>
        <v/>
      </c>
      <c r="I16" s="129">
        <f>Anchor!Q229</f>
        <v/>
      </c>
      <c r="J16" s="129">
        <f>Anchor!R229</f>
        <v/>
      </c>
      <c r="K16" s="129">
        <f>Anchor!S229</f>
        <v/>
      </c>
      <c r="L16" s="129">
        <f>Anchor!T229</f>
        <v/>
      </c>
      <c r="M16" s="129">
        <f>Anchor!U229</f>
        <v/>
      </c>
      <c r="N16" s="129">
        <f>Anchor!V229</f>
        <v/>
      </c>
      <c r="O16" s="129">
        <f>Anchor!W229</f>
        <v/>
      </c>
      <c r="P16" s="129">
        <f>Anchor!X229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Anchor!Y229</f>
        <v/>
      </c>
      <c r="S16" s="129">
        <f>Anchor!Z229</f>
        <v/>
      </c>
      <c r="U16" s="129">
        <f>Test!L229</f>
        <v/>
      </c>
      <c r="V16" s="129">
        <f>Test!M229</f>
        <v/>
      </c>
      <c r="W16" s="129">
        <f>Test!N229</f>
        <v/>
      </c>
      <c r="X16" s="129">
        <f>Test!O229</f>
        <v/>
      </c>
      <c r="Y16" s="129">
        <f>('Summary (Full)'!$B$34*V16+'Summary (Full)'!$B$35*W16+'Summary (Full)'!$B$36*X16)/'Summary (Full)'!$B$37</f>
        <v/>
      </c>
      <c r="Z16" s="129">
        <f>Test!P229</f>
        <v/>
      </c>
      <c r="AA16" s="129">
        <f>Test!Q229</f>
        <v/>
      </c>
      <c r="AB16" s="129">
        <f>Test!R229</f>
        <v/>
      </c>
      <c r="AC16" s="129">
        <f>Test!S229</f>
        <v/>
      </c>
      <c r="AD16" s="129">
        <f>Test!T229</f>
        <v/>
      </c>
      <c r="AE16" s="129">
        <f>Test!U229</f>
        <v/>
      </c>
      <c r="AF16" s="129">
        <f>Test!V229</f>
        <v/>
      </c>
      <c r="AG16" s="129">
        <f>Test!W229</f>
        <v/>
      </c>
      <c r="AH16" s="129">
        <f>Test!X229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Test!Y229</f>
        <v/>
      </c>
      <c r="AK16" s="129">
        <f>Test!Z229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Anchor!L230</f>
        <v/>
      </c>
      <c r="D17" s="129">
        <f>Anchor!M230</f>
        <v/>
      </c>
      <c r="E17" s="129">
        <f>Anchor!N230</f>
        <v/>
      </c>
      <c r="F17" s="129">
        <f>Anchor!O230</f>
        <v/>
      </c>
      <c r="G17" s="130">
        <f>('Summary (Full)'!$B$34*D17+'Summary (Full)'!$B$35*E17+'Summary (Full)'!$B$36*F17)/'Summary (Full)'!$B$37</f>
        <v/>
      </c>
      <c r="H17" s="129">
        <f>Anchor!P230</f>
        <v/>
      </c>
      <c r="I17" s="129">
        <f>Anchor!Q230</f>
        <v/>
      </c>
      <c r="J17" s="129">
        <f>Anchor!R230</f>
        <v/>
      </c>
      <c r="K17" s="129">
        <f>Anchor!S230</f>
        <v/>
      </c>
      <c r="L17" s="129">
        <f>Anchor!T230</f>
        <v/>
      </c>
      <c r="M17" s="129">
        <f>Anchor!U230</f>
        <v/>
      </c>
      <c r="N17" s="129">
        <f>Anchor!V230</f>
        <v/>
      </c>
      <c r="O17" s="129">
        <f>Anchor!W230</f>
        <v/>
      </c>
      <c r="P17" s="129">
        <f>Anchor!X230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Anchor!Y230</f>
        <v/>
      </c>
      <c r="S17" s="129">
        <f>Anchor!Z230</f>
        <v/>
      </c>
      <c r="U17" s="129">
        <f>Test!L230</f>
        <v/>
      </c>
      <c r="V17" s="129">
        <f>Test!M230</f>
        <v/>
      </c>
      <c r="W17" s="129">
        <f>Test!N230</f>
        <v/>
      </c>
      <c r="X17" s="129">
        <f>Test!O230</f>
        <v/>
      </c>
      <c r="Y17" s="129">
        <f>('Summary (Full)'!$B$34*V17+'Summary (Full)'!$B$35*W17+'Summary (Full)'!$B$36*X17)/'Summary (Full)'!$B$37</f>
        <v/>
      </c>
      <c r="Z17" s="129">
        <f>Test!P230</f>
        <v/>
      </c>
      <c r="AA17" s="129">
        <f>Test!Q230</f>
        <v/>
      </c>
      <c r="AB17" s="129">
        <f>Test!R230</f>
        <v/>
      </c>
      <c r="AC17" s="129">
        <f>Test!S230</f>
        <v/>
      </c>
      <c r="AD17" s="129">
        <f>Test!T230</f>
        <v/>
      </c>
      <c r="AE17" s="129">
        <f>Test!U230</f>
        <v/>
      </c>
      <c r="AF17" s="129">
        <f>Test!V230</f>
        <v/>
      </c>
      <c r="AG17" s="129">
        <f>Test!W230</f>
        <v/>
      </c>
      <c r="AH17" s="129">
        <f>Test!X230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Test!Y230</f>
        <v/>
      </c>
      <c r="AK17" s="129">
        <f>Test!Z230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Anchor!L231</f>
        <v/>
      </c>
      <c r="D18" s="129">
        <f>Anchor!M231</f>
        <v/>
      </c>
      <c r="E18" s="129">
        <f>Anchor!N231</f>
        <v/>
      </c>
      <c r="F18" s="129">
        <f>Anchor!O231</f>
        <v/>
      </c>
      <c r="G18" s="130">
        <f>('Summary (Full)'!$B$34*D18+'Summary (Full)'!$B$35*E18+'Summary (Full)'!$B$36*F18)/'Summary (Full)'!$B$37</f>
        <v/>
      </c>
      <c r="H18" s="129">
        <f>Anchor!P231</f>
        <v/>
      </c>
      <c r="I18" s="129">
        <f>Anchor!Q231</f>
        <v/>
      </c>
      <c r="J18" s="129">
        <f>Anchor!R231</f>
        <v/>
      </c>
      <c r="K18" s="129">
        <f>Anchor!S231</f>
        <v/>
      </c>
      <c r="L18" s="129">
        <f>Anchor!T231</f>
        <v/>
      </c>
      <c r="M18" s="129">
        <f>Anchor!U231</f>
        <v/>
      </c>
      <c r="N18" s="129">
        <f>Anchor!V231</f>
        <v/>
      </c>
      <c r="O18" s="129">
        <f>Anchor!W231</f>
        <v/>
      </c>
      <c r="P18" s="129">
        <f>Anchor!X231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Anchor!Y231</f>
        <v/>
      </c>
      <c r="S18" s="129">
        <f>Anchor!Z231</f>
        <v/>
      </c>
      <c r="U18" s="129">
        <f>Test!L231</f>
        <v/>
      </c>
      <c r="V18" s="129">
        <f>Test!M231</f>
        <v/>
      </c>
      <c r="W18" s="129">
        <f>Test!N231</f>
        <v/>
      </c>
      <c r="X18" s="129">
        <f>Test!O231</f>
        <v/>
      </c>
      <c r="Y18" s="129">
        <f>('Summary (Full)'!$B$34*V18+'Summary (Full)'!$B$35*W18+'Summary (Full)'!$B$36*X18)/'Summary (Full)'!$B$37</f>
        <v/>
      </c>
      <c r="Z18" s="129">
        <f>Test!P231</f>
        <v/>
      </c>
      <c r="AA18" s="129">
        <f>Test!Q231</f>
        <v/>
      </c>
      <c r="AB18" s="129">
        <f>Test!R231</f>
        <v/>
      </c>
      <c r="AC18" s="129">
        <f>Test!S231</f>
        <v/>
      </c>
      <c r="AD18" s="129">
        <f>Test!T231</f>
        <v/>
      </c>
      <c r="AE18" s="129">
        <f>Test!U231</f>
        <v/>
      </c>
      <c r="AF18" s="129">
        <f>Test!V231</f>
        <v/>
      </c>
      <c r="AG18" s="129">
        <f>Test!W231</f>
        <v/>
      </c>
      <c r="AH18" s="129">
        <f>Test!X231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Test!Y231</f>
        <v/>
      </c>
      <c r="AK18" s="129">
        <f>Test!Z231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Anchor!L232</f>
        <v/>
      </c>
      <c r="D19" s="129">
        <f>Anchor!M232</f>
        <v/>
      </c>
      <c r="E19" s="129">
        <f>Anchor!N232</f>
        <v/>
      </c>
      <c r="F19" s="129">
        <f>Anchor!O232</f>
        <v/>
      </c>
      <c r="G19" s="130">
        <f>('Summary (Full)'!$B$34*D19+'Summary (Full)'!$B$35*E19+'Summary (Full)'!$B$36*F19)/'Summary (Full)'!$B$37</f>
        <v/>
      </c>
      <c r="H19" s="129">
        <f>Anchor!P232</f>
        <v/>
      </c>
      <c r="I19" s="129">
        <f>Anchor!Q232</f>
        <v/>
      </c>
      <c r="J19" s="129">
        <f>Anchor!R232</f>
        <v/>
      </c>
      <c r="K19" s="129">
        <f>Anchor!S232</f>
        <v/>
      </c>
      <c r="L19" s="129">
        <f>Anchor!T232</f>
        <v/>
      </c>
      <c r="M19" s="129">
        <f>Anchor!U232</f>
        <v/>
      </c>
      <c r="N19" s="129">
        <f>Anchor!V232</f>
        <v/>
      </c>
      <c r="O19" s="129">
        <f>Anchor!W232</f>
        <v/>
      </c>
      <c r="P19" s="129">
        <f>Anchor!X232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Anchor!Y232</f>
        <v/>
      </c>
      <c r="S19" s="129">
        <f>Anchor!Z232</f>
        <v/>
      </c>
      <c r="U19" s="129">
        <f>Test!L232</f>
        <v/>
      </c>
      <c r="V19" s="129">
        <f>Test!M232</f>
        <v/>
      </c>
      <c r="W19" s="129">
        <f>Test!N232</f>
        <v/>
      </c>
      <c r="X19" s="129">
        <f>Test!O232</f>
        <v/>
      </c>
      <c r="Y19" s="129">
        <f>('Summary (Full)'!$B$34*V19+'Summary (Full)'!$B$35*W19+'Summary (Full)'!$B$36*X19)/'Summary (Full)'!$B$37</f>
        <v/>
      </c>
      <c r="Z19" s="129">
        <f>Test!P232</f>
        <v/>
      </c>
      <c r="AA19" s="129">
        <f>Test!Q232</f>
        <v/>
      </c>
      <c r="AB19" s="129">
        <f>Test!R232</f>
        <v/>
      </c>
      <c r="AC19" s="129">
        <f>Test!S232</f>
        <v/>
      </c>
      <c r="AD19" s="129">
        <f>Test!T232</f>
        <v/>
      </c>
      <c r="AE19" s="129">
        <f>Test!U232</f>
        <v/>
      </c>
      <c r="AF19" s="129">
        <f>Test!V232</f>
        <v/>
      </c>
      <c r="AG19" s="129">
        <f>Test!W232</f>
        <v/>
      </c>
      <c r="AH19" s="129">
        <f>Test!X232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Test!Y232</f>
        <v/>
      </c>
      <c r="AK19" s="129">
        <f>Test!Z232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Anchor!L233</f>
        <v/>
      </c>
      <c r="D20" s="129">
        <f>Anchor!M233</f>
        <v/>
      </c>
      <c r="E20" s="129">
        <f>Anchor!N233</f>
        <v/>
      </c>
      <c r="F20" s="129">
        <f>Anchor!O233</f>
        <v/>
      </c>
      <c r="G20" s="130">
        <f>('Summary (Full)'!$B$34*D20+'Summary (Full)'!$B$35*E20+'Summary (Full)'!$B$36*F20)/'Summary (Full)'!$B$37</f>
        <v/>
      </c>
      <c r="H20" s="129">
        <f>Anchor!P233</f>
        <v/>
      </c>
      <c r="I20" s="129">
        <f>Anchor!Q233</f>
        <v/>
      </c>
      <c r="J20" s="129">
        <f>Anchor!R233</f>
        <v/>
      </c>
      <c r="K20" s="129">
        <f>Anchor!S233</f>
        <v/>
      </c>
      <c r="L20" s="129">
        <f>Anchor!T233</f>
        <v/>
      </c>
      <c r="M20" s="129">
        <f>Anchor!U233</f>
        <v/>
      </c>
      <c r="N20" s="129">
        <f>Anchor!V233</f>
        <v/>
      </c>
      <c r="O20" s="129">
        <f>Anchor!W233</f>
        <v/>
      </c>
      <c r="P20" s="129">
        <f>Anchor!X233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Anchor!Y233</f>
        <v/>
      </c>
      <c r="S20" s="129">
        <f>Anchor!Z233</f>
        <v/>
      </c>
      <c r="U20" s="129">
        <f>Test!L233</f>
        <v/>
      </c>
      <c r="V20" s="129">
        <f>Test!M233</f>
        <v/>
      </c>
      <c r="W20" s="129">
        <f>Test!N233</f>
        <v/>
      </c>
      <c r="X20" s="129">
        <f>Test!O233</f>
        <v/>
      </c>
      <c r="Y20" s="129">
        <f>('Summary (Full)'!$B$34*V20+'Summary (Full)'!$B$35*W20+'Summary (Full)'!$B$36*X20)/'Summary (Full)'!$B$37</f>
        <v/>
      </c>
      <c r="Z20" s="129">
        <f>Test!P233</f>
        <v/>
      </c>
      <c r="AA20" s="129">
        <f>Test!Q233</f>
        <v/>
      </c>
      <c r="AB20" s="129">
        <f>Test!R233</f>
        <v/>
      </c>
      <c r="AC20" s="129">
        <f>Test!S233</f>
        <v/>
      </c>
      <c r="AD20" s="129">
        <f>Test!T233</f>
        <v/>
      </c>
      <c r="AE20" s="129">
        <f>Test!U233</f>
        <v/>
      </c>
      <c r="AF20" s="129">
        <f>Test!V233</f>
        <v/>
      </c>
      <c r="AG20" s="129">
        <f>Test!W233</f>
        <v/>
      </c>
      <c r="AH20" s="129">
        <f>Test!X233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Test!Y233</f>
        <v/>
      </c>
      <c r="AK20" s="129">
        <f>Test!Z233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Anchor!L234</f>
        <v/>
      </c>
      <c r="D21" s="129">
        <f>Anchor!M234</f>
        <v/>
      </c>
      <c r="E21" s="129">
        <f>Anchor!N234</f>
        <v/>
      </c>
      <c r="F21" s="129">
        <f>Anchor!O234</f>
        <v/>
      </c>
      <c r="G21" s="130">
        <f>('Summary (Full)'!$B$34*D21+'Summary (Full)'!$B$35*E21+'Summary (Full)'!$B$36*F21)/'Summary (Full)'!$B$37</f>
        <v/>
      </c>
      <c r="H21" s="129">
        <f>Anchor!P234</f>
        <v/>
      </c>
      <c r="I21" s="129">
        <f>Anchor!Q234</f>
        <v/>
      </c>
      <c r="J21" s="129">
        <f>Anchor!R234</f>
        <v/>
      </c>
      <c r="K21" s="129">
        <f>Anchor!S234</f>
        <v/>
      </c>
      <c r="L21" s="129">
        <f>Anchor!T234</f>
        <v/>
      </c>
      <c r="M21" s="129">
        <f>Anchor!U234</f>
        <v/>
      </c>
      <c r="N21" s="129">
        <f>Anchor!V234</f>
        <v/>
      </c>
      <c r="O21" s="129">
        <f>Anchor!W234</f>
        <v/>
      </c>
      <c r="P21" s="129">
        <f>Anchor!X234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Anchor!Y234</f>
        <v/>
      </c>
      <c r="S21" s="129">
        <f>Anchor!Z234</f>
        <v/>
      </c>
      <c r="U21" s="129">
        <f>Test!L234</f>
        <v/>
      </c>
      <c r="V21" s="129">
        <f>Test!M234</f>
        <v/>
      </c>
      <c r="W21" s="129">
        <f>Test!N234</f>
        <v/>
      </c>
      <c r="X21" s="129">
        <f>Test!O234</f>
        <v/>
      </c>
      <c r="Y21" s="129">
        <f>('Summary (Full)'!$B$34*V21+'Summary (Full)'!$B$35*W21+'Summary (Full)'!$B$36*X21)/'Summary (Full)'!$B$37</f>
        <v/>
      </c>
      <c r="Z21" s="129">
        <f>Test!P234</f>
        <v/>
      </c>
      <c r="AA21" s="129">
        <f>Test!Q234</f>
        <v/>
      </c>
      <c r="AB21" s="129">
        <f>Test!R234</f>
        <v/>
      </c>
      <c r="AC21" s="129">
        <f>Test!S234</f>
        <v/>
      </c>
      <c r="AD21" s="129">
        <f>Test!T234</f>
        <v/>
      </c>
      <c r="AE21" s="129">
        <f>Test!U234</f>
        <v/>
      </c>
      <c r="AF21" s="129">
        <f>Test!V234</f>
        <v/>
      </c>
      <c r="AG21" s="129">
        <f>Test!W234</f>
        <v/>
      </c>
      <c r="AH21" s="129">
        <f>Test!X234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Test!Y234</f>
        <v/>
      </c>
      <c r="AK21" s="129">
        <f>Test!Z234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Anchor!L235</f>
        <v/>
      </c>
      <c r="D22" s="129">
        <f>Anchor!M235</f>
        <v/>
      </c>
      <c r="E22" s="129">
        <f>Anchor!N235</f>
        <v/>
      </c>
      <c r="F22" s="129">
        <f>Anchor!O235</f>
        <v/>
      </c>
      <c r="G22" s="130">
        <f>('Summary (Full)'!$B$34*D22+'Summary (Full)'!$B$35*E22+'Summary (Full)'!$B$36*F22)/'Summary (Full)'!$B$37</f>
        <v/>
      </c>
      <c r="H22" s="129">
        <f>Anchor!P235</f>
        <v/>
      </c>
      <c r="I22" s="129">
        <f>Anchor!Q235</f>
        <v/>
      </c>
      <c r="J22" s="129">
        <f>Anchor!R235</f>
        <v/>
      </c>
      <c r="K22" s="129">
        <f>Anchor!S235</f>
        <v/>
      </c>
      <c r="L22" s="129">
        <f>Anchor!T235</f>
        <v/>
      </c>
      <c r="M22" s="129">
        <f>Anchor!U235</f>
        <v/>
      </c>
      <c r="N22" s="129">
        <f>Anchor!V235</f>
        <v/>
      </c>
      <c r="O22" s="129">
        <f>Anchor!W235</f>
        <v/>
      </c>
      <c r="P22" s="129">
        <f>Anchor!X235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Anchor!Y235</f>
        <v/>
      </c>
      <c r="S22" s="129">
        <f>Anchor!Z235</f>
        <v/>
      </c>
      <c r="U22" s="129">
        <f>Test!L235</f>
        <v/>
      </c>
      <c r="V22" s="129">
        <f>Test!M235</f>
        <v/>
      </c>
      <c r="W22" s="129">
        <f>Test!N235</f>
        <v/>
      </c>
      <c r="X22" s="129">
        <f>Test!O235</f>
        <v/>
      </c>
      <c r="Y22" s="129">
        <f>('Summary (Full)'!$B$34*V22+'Summary (Full)'!$B$35*W22+'Summary (Full)'!$B$36*X22)/'Summary (Full)'!$B$37</f>
        <v/>
      </c>
      <c r="Z22" s="129">
        <f>Test!P235</f>
        <v/>
      </c>
      <c r="AA22" s="129">
        <f>Test!Q235</f>
        <v/>
      </c>
      <c r="AB22" s="129">
        <f>Test!R235</f>
        <v/>
      </c>
      <c r="AC22" s="129">
        <f>Test!S235</f>
        <v/>
      </c>
      <c r="AD22" s="129">
        <f>Test!T235</f>
        <v/>
      </c>
      <c r="AE22" s="129">
        <f>Test!U235</f>
        <v/>
      </c>
      <c r="AF22" s="129">
        <f>Test!V235</f>
        <v/>
      </c>
      <c r="AG22" s="129">
        <f>Test!W235</f>
        <v/>
      </c>
      <c r="AH22" s="129">
        <f>Test!X235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Test!Y235</f>
        <v/>
      </c>
      <c r="AK22" s="129">
        <f>Test!Z235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Anchor!L236</f>
        <v/>
      </c>
      <c r="D23" s="129">
        <f>Anchor!M236</f>
        <v/>
      </c>
      <c r="E23" s="129">
        <f>Anchor!N236</f>
        <v/>
      </c>
      <c r="F23" s="129">
        <f>Anchor!O236</f>
        <v/>
      </c>
      <c r="G23" s="130">
        <f>('Summary (Full)'!$B$34*D23+'Summary (Full)'!$B$35*E23+'Summary (Full)'!$B$36*F23)/'Summary (Full)'!$B$37</f>
        <v/>
      </c>
      <c r="H23" s="129">
        <f>Anchor!P236</f>
        <v/>
      </c>
      <c r="I23" s="129">
        <f>Anchor!Q236</f>
        <v/>
      </c>
      <c r="J23" s="129">
        <f>Anchor!R236</f>
        <v/>
      </c>
      <c r="K23" s="129">
        <f>Anchor!S236</f>
        <v/>
      </c>
      <c r="L23" s="129">
        <f>Anchor!T236</f>
        <v/>
      </c>
      <c r="M23" s="129">
        <f>Anchor!U236</f>
        <v/>
      </c>
      <c r="N23" s="129">
        <f>Anchor!V236</f>
        <v/>
      </c>
      <c r="O23" s="129">
        <f>Anchor!W236</f>
        <v/>
      </c>
      <c r="P23" s="129">
        <f>Anchor!X236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Anchor!Y236</f>
        <v/>
      </c>
      <c r="S23" s="129">
        <f>Anchor!Z236</f>
        <v/>
      </c>
      <c r="U23" s="129">
        <f>Test!L236</f>
        <v/>
      </c>
      <c r="V23" s="129">
        <f>Test!M236</f>
        <v/>
      </c>
      <c r="W23" s="129">
        <f>Test!N236</f>
        <v/>
      </c>
      <c r="X23" s="129">
        <f>Test!O236</f>
        <v/>
      </c>
      <c r="Y23" s="129">
        <f>('Summary (Full)'!$B$34*V23+'Summary (Full)'!$B$35*W23+'Summary (Full)'!$B$36*X23)/'Summary (Full)'!$B$37</f>
        <v/>
      </c>
      <c r="Z23" s="129">
        <f>Test!P236</f>
        <v/>
      </c>
      <c r="AA23" s="129">
        <f>Test!Q236</f>
        <v/>
      </c>
      <c r="AB23" s="129">
        <f>Test!R236</f>
        <v/>
      </c>
      <c r="AC23" s="129">
        <f>Test!S236</f>
        <v/>
      </c>
      <c r="AD23" s="129">
        <f>Test!T236</f>
        <v/>
      </c>
      <c r="AE23" s="129">
        <f>Test!U236</f>
        <v/>
      </c>
      <c r="AF23" s="129">
        <f>Test!V236</f>
        <v/>
      </c>
      <c r="AG23" s="129">
        <f>Test!W236</f>
        <v/>
      </c>
      <c r="AH23" s="129">
        <f>Test!X236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Test!Y236</f>
        <v/>
      </c>
      <c r="AK23" s="129">
        <f>Test!Z236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Anchor!L237</f>
        <v/>
      </c>
      <c r="D24" s="129">
        <f>Anchor!M237</f>
        <v/>
      </c>
      <c r="E24" s="129">
        <f>Anchor!N237</f>
        <v/>
      </c>
      <c r="F24" s="129">
        <f>Anchor!O237</f>
        <v/>
      </c>
      <c r="G24" s="130">
        <f>('Summary (Full)'!$B$34*D24+'Summary (Full)'!$B$35*E24+'Summary (Full)'!$B$36*F24)/'Summary (Full)'!$B$37</f>
        <v/>
      </c>
      <c r="H24" s="129">
        <f>Anchor!P237</f>
        <v/>
      </c>
      <c r="I24" s="129">
        <f>Anchor!Q237</f>
        <v/>
      </c>
      <c r="J24" s="129">
        <f>Anchor!R237</f>
        <v/>
      </c>
      <c r="K24" s="129">
        <f>Anchor!S237</f>
        <v/>
      </c>
      <c r="L24" s="129">
        <f>Anchor!T237</f>
        <v/>
      </c>
      <c r="M24" s="129">
        <f>Anchor!U237</f>
        <v/>
      </c>
      <c r="N24" s="129">
        <f>Anchor!V237</f>
        <v/>
      </c>
      <c r="O24" s="129">
        <f>Anchor!W237</f>
        <v/>
      </c>
      <c r="P24" s="129">
        <f>Anchor!X237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Anchor!Y237</f>
        <v/>
      </c>
      <c r="S24" s="129">
        <f>Anchor!Z237</f>
        <v/>
      </c>
      <c r="U24" s="129">
        <f>Test!L237</f>
        <v/>
      </c>
      <c r="V24" s="129">
        <f>Test!M237</f>
        <v/>
      </c>
      <c r="W24" s="129">
        <f>Test!N237</f>
        <v/>
      </c>
      <c r="X24" s="129">
        <f>Test!O237</f>
        <v/>
      </c>
      <c r="Y24" s="129">
        <f>('Summary (Full)'!$B$34*V24+'Summary (Full)'!$B$35*W24+'Summary (Full)'!$B$36*X24)/'Summary (Full)'!$B$37</f>
        <v/>
      </c>
      <c r="Z24" s="129">
        <f>Test!P237</f>
        <v/>
      </c>
      <c r="AA24" s="129">
        <f>Test!Q237</f>
        <v/>
      </c>
      <c r="AB24" s="129">
        <f>Test!R237</f>
        <v/>
      </c>
      <c r="AC24" s="129">
        <f>Test!S237</f>
        <v/>
      </c>
      <c r="AD24" s="129">
        <f>Test!T237</f>
        <v/>
      </c>
      <c r="AE24" s="129">
        <f>Test!U237</f>
        <v/>
      </c>
      <c r="AF24" s="129">
        <f>Test!V237</f>
        <v/>
      </c>
      <c r="AG24" s="129">
        <f>Test!W237</f>
        <v/>
      </c>
      <c r="AH24" s="129">
        <f>Test!X237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Test!Y237</f>
        <v/>
      </c>
      <c r="AK24" s="129">
        <f>Test!Z237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Anchor!L238</f>
        <v/>
      </c>
      <c r="D25" s="129">
        <f>Anchor!M238</f>
        <v/>
      </c>
      <c r="E25" s="129">
        <f>Anchor!N238</f>
        <v/>
      </c>
      <c r="F25" s="129">
        <f>Anchor!O238</f>
        <v/>
      </c>
      <c r="G25" s="130">
        <f>('Summary (Full)'!$B$34*D25+'Summary (Full)'!$B$35*E25+'Summary (Full)'!$B$36*F25)/'Summary (Full)'!$B$37</f>
        <v/>
      </c>
      <c r="H25" s="129">
        <f>Anchor!P238</f>
        <v/>
      </c>
      <c r="I25" s="129">
        <f>Anchor!Q238</f>
        <v/>
      </c>
      <c r="J25" s="129">
        <f>Anchor!R238</f>
        <v/>
      </c>
      <c r="K25" s="129">
        <f>Anchor!S238</f>
        <v/>
      </c>
      <c r="L25" s="129">
        <f>Anchor!T238</f>
        <v/>
      </c>
      <c r="M25" s="129">
        <f>Anchor!U238</f>
        <v/>
      </c>
      <c r="N25" s="129">
        <f>Anchor!V238</f>
        <v/>
      </c>
      <c r="O25" s="129">
        <f>Anchor!W238</f>
        <v/>
      </c>
      <c r="P25" s="129">
        <f>Anchor!X238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Anchor!Y238</f>
        <v/>
      </c>
      <c r="S25" s="129">
        <f>Anchor!Z238</f>
        <v/>
      </c>
      <c r="U25" s="129">
        <f>Test!L238</f>
        <v/>
      </c>
      <c r="V25" s="129">
        <f>Test!M238</f>
        <v/>
      </c>
      <c r="W25" s="129">
        <f>Test!N238</f>
        <v/>
      </c>
      <c r="X25" s="129">
        <f>Test!O238</f>
        <v/>
      </c>
      <c r="Y25" s="129">
        <f>('Summary (Full)'!$B$34*V25+'Summary (Full)'!$B$35*W25+'Summary (Full)'!$B$36*X25)/'Summary (Full)'!$B$37</f>
        <v/>
      </c>
      <c r="Z25" s="129">
        <f>Test!P238</f>
        <v/>
      </c>
      <c r="AA25" s="129">
        <f>Test!Q238</f>
        <v/>
      </c>
      <c r="AB25" s="129">
        <f>Test!R238</f>
        <v/>
      </c>
      <c r="AC25" s="129">
        <f>Test!S238</f>
        <v/>
      </c>
      <c r="AD25" s="129">
        <f>Test!T238</f>
        <v/>
      </c>
      <c r="AE25" s="129">
        <f>Test!U238</f>
        <v/>
      </c>
      <c r="AF25" s="129">
        <f>Test!V238</f>
        <v/>
      </c>
      <c r="AG25" s="129">
        <f>Test!W238</f>
        <v/>
      </c>
      <c r="AH25" s="129">
        <f>Test!X238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Test!Y238</f>
        <v/>
      </c>
      <c r="AK25" s="129">
        <f>Test!Z238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Anchor!L239</f>
        <v/>
      </c>
      <c r="D26" s="129">
        <f>Anchor!M239</f>
        <v/>
      </c>
      <c r="E26" s="129">
        <f>Anchor!N239</f>
        <v/>
      </c>
      <c r="F26" s="129">
        <f>Anchor!O239</f>
        <v/>
      </c>
      <c r="G26" s="130">
        <f>('Summary (Full)'!$B$34*D26+'Summary (Full)'!$B$35*E26+'Summary (Full)'!$B$36*F26)/'Summary (Full)'!$B$37</f>
        <v/>
      </c>
      <c r="H26" s="129">
        <f>Anchor!P239</f>
        <v/>
      </c>
      <c r="I26" s="129">
        <f>Anchor!Q239</f>
        <v/>
      </c>
      <c r="J26" s="129">
        <f>Anchor!R239</f>
        <v/>
      </c>
      <c r="K26" s="129">
        <f>Anchor!S239</f>
        <v/>
      </c>
      <c r="L26" s="129">
        <f>Anchor!T239</f>
        <v/>
      </c>
      <c r="M26" s="129">
        <f>Anchor!U239</f>
        <v/>
      </c>
      <c r="N26" s="129">
        <f>Anchor!V239</f>
        <v/>
      </c>
      <c r="O26" s="129">
        <f>Anchor!W239</f>
        <v/>
      </c>
      <c r="P26" s="129">
        <f>Anchor!X239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Anchor!Y239</f>
        <v/>
      </c>
      <c r="S26" s="129">
        <f>Anchor!Z239</f>
        <v/>
      </c>
      <c r="U26" s="129">
        <f>Test!L239</f>
        <v/>
      </c>
      <c r="V26" s="129">
        <f>Test!M239</f>
        <v/>
      </c>
      <c r="W26" s="129">
        <f>Test!N239</f>
        <v/>
      </c>
      <c r="X26" s="129">
        <f>Test!O239</f>
        <v/>
      </c>
      <c r="Y26" s="129">
        <f>('Summary (Full)'!$B$34*V26+'Summary (Full)'!$B$35*W26+'Summary (Full)'!$B$36*X26)/'Summary (Full)'!$B$37</f>
        <v/>
      </c>
      <c r="Z26" s="129">
        <f>Test!P239</f>
        <v/>
      </c>
      <c r="AA26" s="129">
        <f>Test!Q239</f>
        <v/>
      </c>
      <c r="AB26" s="129">
        <f>Test!R239</f>
        <v/>
      </c>
      <c r="AC26" s="129">
        <f>Test!S239</f>
        <v/>
      </c>
      <c r="AD26" s="129">
        <f>Test!T239</f>
        <v/>
      </c>
      <c r="AE26" s="129">
        <f>Test!U239</f>
        <v/>
      </c>
      <c r="AF26" s="129">
        <f>Test!V239</f>
        <v/>
      </c>
      <c r="AG26" s="129">
        <f>Test!W239</f>
        <v/>
      </c>
      <c r="AH26" s="129">
        <f>Test!X239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Test!Y239</f>
        <v/>
      </c>
      <c r="AK26" s="129">
        <f>Test!Z239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Anchor!L240</f>
        <v/>
      </c>
      <c r="D27" s="129">
        <f>Anchor!M240</f>
        <v/>
      </c>
      <c r="E27" s="129">
        <f>Anchor!N240</f>
        <v/>
      </c>
      <c r="F27" s="129">
        <f>Anchor!O240</f>
        <v/>
      </c>
      <c r="G27" s="130">
        <f>('Summary (Full)'!$B$34*D27+'Summary (Full)'!$B$35*E27+'Summary (Full)'!$B$36*F27)/'Summary (Full)'!$B$37</f>
        <v/>
      </c>
      <c r="H27" s="129">
        <f>Anchor!P240</f>
        <v/>
      </c>
      <c r="I27" s="129">
        <f>Anchor!Q240</f>
        <v/>
      </c>
      <c r="J27" s="129">
        <f>Anchor!R240</f>
        <v/>
      </c>
      <c r="K27" s="129">
        <f>Anchor!S240</f>
        <v/>
      </c>
      <c r="L27" s="129">
        <f>Anchor!T240</f>
        <v/>
      </c>
      <c r="M27" s="129">
        <f>Anchor!U240</f>
        <v/>
      </c>
      <c r="N27" s="129">
        <f>Anchor!V240</f>
        <v/>
      </c>
      <c r="O27" s="129">
        <f>Anchor!W240</f>
        <v/>
      </c>
      <c r="P27" s="129">
        <f>Anchor!X240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Anchor!Y240</f>
        <v/>
      </c>
      <c r="S27" s="129">
        <f>Anchor!Z240</f>
        <v/>
      </c>
      <c r="U27" s="129">
        <f>Test!L240</f>
        <v/>
      </c>
      <c r="V27" s="129">
        <f>Test!M240</f>
        <v/>
      </c>
      <c r="W27" s="129">
        <f>Test!N240</f>
        <v/>
      </c>
      <c r="X27" s="129">
        <f>Test!O240</f>
        <v/>
      </c>
      <c r="Y27" s="129">
        <f>('Summary (Full)'!$B$34*V27+'Summary (Full)'!$B$35*W27+'Summary (Full)'!$B$36*X27)/'Summary (Full)'!$B$37</f>
        <v/>
      </c>
      <c r="Z27" s="129">
        <f>Test!P240</f>
        <v/>
      </c>
      <c r="AA27" s="129">
        <f>Test!Q240</f>
        <v/>
      </c>
      <c r="AB27" s="129">
        <f>Test!R240</f>
        <v/>
      </c>
      <c r="AC27" s="129">
        <f>Test!S240</f>
        <v/>
      </c>
      <c r="AD27" s="129">
        <f>Test!T240</f>
        <v/>
      </c>
      <c r="AE27" s="129">
        <f>Test!U240</f>
        <v/>
      </c>
      <c r="AF27" s="129">
        <f>Test!V240</f>
        <v/>
      </c>
      <c r="AG27" s="129">
        <f>Test!W240</f>
        <v/>
      </c>
      <c r="AH27" s="129">
        <f>Test!X240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Test!Y240</f>
        <v/>
      </c>
      <c r="AK27" s="129">
        <f>Test!Z240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Anchor!L241</f>
        <v/>
      </c>
      <c r="D28" s="129">
        <f>Anchor!M241</f>
        <v/>
      </c>
      <c r="E28" s="129">
        <f>Anchor!N241</f>
        <v/>
      </c>
      <c r="F28" s="129">
        <f>Anchor!O241</f>
        <v/>
      </c>
      <c r="G28" s="130">
        <f>('Summary (Full)'!$B$34*D28+'Summary (Full)'!$B$35*E28+'Summary (Full)'!$B$36*F28)/'Summary (Full)'!$B$37</f>
        <v/>
      </c>
      <c r="H28" s="129">
        <f>Anchor!P241</f>
        <v/>
      </c>
      <c r="I28" s="129">
        <f>Anchor!Q241</f>
        <v/>
      </c>
      <c r="J28" s="129">
        <f>Anchor!R241</f>
        <v/>
      </c>
      <c r="K28" s="129">
        <f>Anchor!S241</f>
        <v/>
      </c>
      <c r="L28" s="129">
        <f>Anchor!T241</f>
        <v/>
      </c>
      <c r="M28" s="129">
        <f>Anchor!U241</f>
        <v/>
      </c>
      <c r="N28" s="129">
        <f>Anchor!V241</f>
        <v/>
      </c>
      <c r="O28" s="129">
        <f>Anchor!W241</f>
        <v/>
      </c>
      <c r="P28" s="129">
        <f>Anchor!X241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Anchor!Y241</f>
        <v/>
      </c>
      <c r="S28" s="129">
        <f>Anchor!Z241</f>
        <v/>
      </c>
      <c r="U28" s="129">
        <f>Test!L241</f>
        <v/>
      </c>
      <c r="V28" s="129">
        <f>Test!M241</f>
        <v/>
      </c>
      <c r="W28" s="129">
        <f>Test!N241</f>
        <v/>
      </c>
      <c r="X28" s="129">
        <f>Test!O241</f>
        <v/>
      </c>
      <c r="Y28" s="129">
        <f>('Summary (Full)'!$B$34*V28+'Summary (Full)'!$B$35*W28+'Summary (Full)'!$B$36*X28)/'Summary (Full)'!$B$37</f>
        <v/>
      </c>
      <c r="Z28" s="129">
        <f>Test!P241</f>
        <v/>
      </c>
      <c r="AA28" s="129">
        <f>Test!Q241</f>
        <v/>
      </c>
      <c r="AB28" s="129">
        <f>Test!R241</f>
        <v/>
      </c>
      <c r="AC28" s="129">
        <f>Test!S241</f>
        <v/>
      </c>
      <c r="AD28" s="129">
        <f>Test!T241</f>
        <v/>
      </c>
      <c r="AE28" s="129">
        <f>Test!U241</f>
        <v/>
      </c>
      <c r="AF28" s="129">
        <f>Test!V241</f>
        <v/>
      </c>
      <c r="AG28" s="129">
        <f>Test!W241</f>
        <v/>
      </c>
      <c r="AH28" s="129">
        <f>Test!X241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Test!Y241</f>
        <v/>
      </c>
      <c r="AK28" s="129">
        <f>Test!Z241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Anchor!L242</f>
        <v/>
      </c>
      <c r="D29" s="129">
        <f>Anchor!M242</f>
        <v/>
      </c>
      <c r="E29" s="129">
        <f>Anchor!N242</f>
        <v/>
      </c>
      <c r="F29" s="129">
        <f>Anchor!O242</f>
        <v/>
      </c>
      <c r="G29" s="130">
        <f>('Summary (Full)'!$B$34*D29+'Summary (Full)'!$B$35*E29+'Summary (Full)'!$B$36*F29)/'Summary (Full)'!$B$37</f>
        <v/>
      </c>
      <c r="H29" s="129">
        <f>Anchor!P242</f>
        <v/>
      </c>
      <c r="I29" s="129">
        <f>Anchor!Q242</f>
        <v/>
      </c>
      <c r="J29" s="129">
        <f>Anchor!R242</f>
        <v/>
      </c>
      <c r="K29" s="129">
        <f>Anchor!S242</f>
        <v/>
      </c>
      <c r="L29" s="129">
        <f>Anchor!T242</f>
        <v/>
      </c>
      <c r="M29" s="129">
        <f>Anchor!U242</f>
        <v/>
      </c>
      <c r="N29" s="129">
        <f>Anchor!V242</f>
        <v/>
      </c>
      <c r="O29" s="129">
        <f>Anchor!W242</f>
        <v/>
      </c>
      <c r="P29" s="129">
        <f>Anchor!X242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Anchor!Y242</f>
        <v/>
      </c>
      <c r="S29" s="129">
        <f>Anchor!Z242</f>
        <v/>
      </c>
      <c r="U29" s="129">
        <f>Test!L242</f>
        <v/>
      </c>
      <c r="V29" s="129">
        <f>Test!M242</f>
        <v/>
      </c>
      <c r="W29" s="129">
        <f>Test!N242</f>
        <v/>
      </c>
      <c r="X29" s="129">
        <f>Test!O242</f>
        <v/>
      </c>
      <c r="Y29" s="129">
        <f>('Summary (Full)'!$B$34*V29+'Summary (Full)'!$B$35*W29+'Summary (Full)'!$B$36*X29)/'Summary (Full)'!$B$37</f>
        <v/>
      </c>
      <c r="Z29" s="129">
        <f>Test!P242</f>
        <v/>
      </c>
      <c r="AA29" s="129">
        <f>Test!Q242</f>
        <v/>
      </c>
      <c r="AB29" s="129">
        <f>Test!R242</f>
        <v/>
      </c>
      <c r="AC29" s="129">
        <f>Test!S242</f>
        <v/>
      </c>
      <c r="AD29" s="129">
        <f>Test!T242</f>
        <v/>
      </c>
      <c r="AE29" s="129">
        <f>Test!U242</f>
        <v/>
      </c>
      <c r="AF29" s="129">
        <f>Test!V242</f>
        <v/>
      </c>
      <c r="AG29" s="129">
        <f>Test!W242</f>
        <v/>
      </c>
      <c r="AH29" s="129">
        <f>Test!X242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Test!Y242</f>
        <v/>
      </c>
      <c r="AK29" s="129">
        <f>Test!Z242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Anchor!L243</f>
        <v/>
      </c>
      <c r="D30" s="129">
        <f>Anchor!M243</f>
        <v/>
      </c>
      <c r="E30" s="129">
        <f>Anchor!N243</f>
        <v/>
      </c>
      <c r="F30" s="129">
        <f>Anchor!O243</f>
        <v/>
      </c>
      <c r="G30" s="130">
        <f>('Summary (Full)'!$B$34*D30+'Summary (Full)'!$B$35*E30+'Summary (Full)'!$B$36*F30)/'Summary (Full)'!$B$37</f>
        <v/>
      </c>
      <c r="H30" s="129">
        <f>Anchor!P243</f>
        <v/>
      </c>
      <c r="I30" s="129">
        <f>Anchor!Q243</f>
        <v/>
      </c>
      <c r="J30" s="129">
        <f>Anchor!R243</f>
        <v/>
      </c>
      <c r="K30" s="129">
        <f>Anchor!S243</f>
        <v/>
      </c>
      <c r="L30" s="129">
        <f>Anchor!T243</f>
        <v/>
      </c>
      <c r="M30" s="129">
        <f>Anchor!U243</f>
        <v/>
      </c>
      <c r="N30" s="129">
        <f>Anchor!V243</f>
        <v/>
      </c>
      <c r="O30" s="129">
        <f>Anchor!W243</f>
        <v/>
      </c>
      <c r="P30" s="129">
        <f>Anchor!X243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Anchor!Y243</f>
        <v/>
      </c>
      <c r="S30" s="129">
        <f>Anchor!Z243</f>
        <v/>
      </c>
      <c r="U30" s="129">
        <f>Test!L243</f>
        <v/>
      </c>
      <c r="V30" s="129">
        <f>Test!M243</f>
        <v/>
      </c>
      <c r="W30" s="129">
        <f>Test!N243</f>
        <v/>
      </c>
      <c r="X30" s="129">
        <f>Test!O243</f>
        <v/>
      </c>
      <c r="Y30" s="129">
        <f>('Summary (Full)'!$B$34*V30+'Summary (Full)'!$B$35*W30+'Summary (Full)'!$B$36*X30)/'Summary (Full)'!$B$37</f>
        <v/>
      </c>
      <c r="Z30" s="129">
        <f>Test!P243</f>
        <v/>
      </c>
      <c r="AA30" s="129">
        <f>Test!Q243</f>
        <v/>
      </c>
      <c r="AB30" s="129">
        <f>Test!R243</f>
        <v/>
      </c>
      <c r="AC30" s="129">
        <f>Test!S243</f>
        <v/>
      </c>
      <c r="AD30" s="129">
        <f>Test!T243</f>
        <v/>
      </c>
      <c r="AE30" s="129">
        <f>Test!U243</f>
        <v/>
      </c>
      <c r="AF30" s="129">
        <f>Test!V243</f>
        <v/>
      </c>
      <c r="AG30" s="129">
        <f>Test!W243</f>
        <v/>
      </c>
      <c r="AH30" s="129">
        <f>Test!X243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Test!Y243</f>
        <v/>
      </c>
      <c r="AK30" s="129">
        <f>Test!Z243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Anchor!L244</f>
        <v/>
      </c>
      <c r="D31" s="129">
        <f>Anchor!M244</f>
        <v/>
      </c>
      <c r="E31" s="129">
        <f>Anchor!N244</f>
        <v/>
      </c>
      <c r="F31" s="129">
        <f>Anchor!O244</f>
        <v/>
      </c>
      <c r="G31" s="130">
        <f>('Summary (Full)'!$B$34*D31+'Summary (Full)'!$B$35*E31+'Summary (Full)'!$B$36*F31)/'Summary (Full)'!$B$37</f>
        <v/>
      </c>
      <c r="H31" s="129">
        <f>Anchor!P244</f>
        <v/>
      </c>
      <c r="I31" s="129">
        <f>Anchor!Q244</f>
        <v/>
      </c>
      <c r="J31" s="129">
        <f>Anchor!R244</f>
        <v/>
      </c>
      <c r="K31" s="129">
        <f>Anchor!S244</f>
        <v/>
      </c>
      <c r="L31" s="129">
        <f>Anchor!T244</f>
        <v/>
      </c>
      <c r="M31" s="129">
        <f>Anchor!U244</f>
        <v/>
      </c>
      <c r="N31" s="129">
        <f>Anchor!V244</f>
        <v/>
      </c>
      <c r="O31" s="129">
        <f>Anchor!W244</f>
        <v/>
      </c>
      <c r="P31" s="129">
        <f>Anchor!X244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Anchor!Y244</f>
        <v/>
      </c>
      <c r="S31" s="129">
        <f>Anchor!Z244</f>
        <v/>
      </c>
      <c r="U31" s="129">
        <f>Test!L244</f>
        <v/>
      </c>
      <c r="V31" s="129">
        <f>Test!M244</f>
        <v/>
      </c>
      <c r="W31" s="129">
        <f>Test!N244</f>
        <v/>
      </c>
      <c r="X31" s="129">
        <f>Test!O244</f>
        <v/>
      </c>
      <c r="Y31" s="129">
        <f>('Summary (Full)'!$B$34*V31+'Summary (Full)'!$B$35*W31+'Summary (Full)'!$B$36*X31)/'Summary (Full)'!$B$37</f>
        <v/>
      </c>
      <c r="Z31" s="129">
        <f>Test!P244</f>
        <v/>
      </c>
      <c r="AA31" s="129">
        <f>Test!Q244</f>
        <v/>
      </c>
      <c r="AB31" s="129">
        <f>Test!R244</f>
        <v/>
      </c>
      <c r="AC31" s="129">
        <f>Test!S244</f>
        <v/>
      </c>
      <c r="AD31" s="129">
        <f>Test!T244</f>
        <v/>
      </c>
      <c r="AE31" s="129">
        <f>Test!U244</f>
        <v/>
      </c>
      <c r="AF31" s="129">
        <f>Test!V244</f>
        <v/>
      </c>
      <c r="AG31" s="129">
        <f>Test!W244</f>
        <v/>
      </c>
      <c r="AH31" s="129">
        <f>Test!X244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Test!Y244</f>
        <v/>
      </c>
      <c r="AK31" s="129">
        <f>Test!Z244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Anchor!L245</f>
        <v/>
      </c>
      <c r="D32" s="129">
        <f>Anchor!M245</f>
        <v/>
      </c>
      <c r="E32" s="129">
        <f>Anchor!N245</f>
        <v/>
      </c>
      <c r="F32" s="129">
        <f>Anchor!O245</f>
        <v/>
      </c>
      <c r="G32" s="130">
        <f>('Summary (Full)'!$B$34*D32+'Summary (Full)'!$B$35*E32+'Summary (Full)'!$B$36*F32)/'Summary (Full)'!$B$37</f>
        <v/>
      </c>
      <c r="H32" s="129">
        <f>Anchor!P245</f>
        <v/>
      </c>
      <c r="I32" s="129">
        <f>Anchor!Q245</f>
        <v/>
      </c>
      <c r="J32" s="129">
        <f>Anchor!R245</f>
        <v/>
      </c>
      <c r="K32" s="129">
        <f>Anchor!S245</f>
        <v/>
      </c>
      <c r="L32" s="129">
        <f>Anchor!T245</f>
        <v/>
      </c>
      <c r="M32" s="129">
        <f>Anchor!U245</f>
        <v/>
      </c>
      <c r="N32" s="129">
        <f>Anchor!V245</f>
        <v/>
      </c>
      <c r="O32" s="129">
        <f>Anchor!W245</f>
        <v/>
      </c>
      <c r="P32" s="129">
        <f>Anchor!X245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Anchor!Y245</f>
        <v/>
      </c>
      <c r="S32" s="129">
        <f>Anchor!Z245</f>
        <v/>
      </c>
      <c r="U32" s="129">
        <f>Test!L245</f>
        <v/>
      </c>
      <c r="V32" s="129">
        <f>Test!M245</f>
        <v/>
      </c>
      <c r="W32" s="129">
        <f>Test!N245</f>
        <v/>
      </c>
      <c r="X32" s="129">
        <f>Test!O245</f>
        <v/>
      </c>
      <c r="Y32" s="129">
        <f>('Summary (Full)'!$B$34*V32+'Summary (Full)'!$B$35*W32+'Summary (Full)'!$B$36*X32)/'Summary (Full)'!$B$37</f>
        <v/>
      </c>
      <c r="Z32" s="129">
        <f>Test!P245</f>
        <v/>
      </c>
      <c r="AA32" s="129">
        <f>Test!Q245</f>
        <v/>
      </c>
      <c r="AB32" s="129">
        <f>Test!R245</f>
        <v/>
      </c>
      <c r="AC32" s="129">
        <f>Test!S245</f>
        <v/>
      </c>
      <c r="AD32" s="129">
        <f>Test!T245</f>
        <v/>
      </c>
      <c r="AE32" s="129">
        <f>Test!U245</f>
        <v/>
      </c>
      <c r="AF32" s="129">
        <f>Test!V245</f>
        <v/>
      </c>
      <c r="AG32" s="129">
        <f>Test!W245</f>
        <v/>
      </c>
      <c r="AH32" s="129">
        <f>Test!X245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Test!Y245</f>
        <v/>
      </c>
      <c r="AK32" s="129">
        <f>Test!Z245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Anchor!L246</f>
        <v/>
      </c>
      <c r="D33" s="129">
        <f>Anchor!M246</f>
        <v/>
      </c>
      <c r="E33" s="129">
        <f>Anchor!N246</f>
        <v/>
      </c>
      <c r="F33" s="129">
        <f>Anchor!O246</f>
        <v/>
      </c>
      <c r="G33" s="130">
        <f>('Summary (Full)'!$B$34*D33+'Summary (Full)'!$B$35*E33+'Summary (Full)'!$B$36*F33)/'Summary (Full)'!$B$37</f>
        <v/>
      </c>
      <c r="H33" s="129">
        <f>Anchor!P246</f>
        <v/>
      </c>
      <c r="I33" s="129">
        <f>Anchor!Q246</f>
        <v/>
      </c>
      <c r="J33" s="129">
        <f>Anchor!R246</f>
        <v/>
      </c>
      <c r="K33" s="129">
        <f>Anchor!S246</f>
        <v/>
      </c>
      <c r="L33" s="129">
        <f>Anchor!T246</f>
        <v/>
      </c>
      <c r="M33" s="129">
        <f>Anchor!U246</f>
        <v/>
      </c>
      <c r="N33" s="129">
        <f>Anchor!V246</f>
        <v/>
      </c>
      <c r="O33" s="129">
        <f>Anchor!W246</f>
        <v/>
      </c>
      <c r="P33" s="129">
        <f>Anchor!X246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Anchor!Y246</f>
        <v/>
      </c>
      <c r="S33" s="129">
        <f>Anchor!Z246</f>
        <v/>
      </c>
      <c r="U33" s="129">
        <f>Test!L246</f>
        <v/>
      </c>
      <c r="V33" s="129">
        <f>Test!M246</f>
        <v/>
      </c>
      <c r="W33" s="129">
        <f>Test!N246</f>
        <v/>
      </c>
      <c r="X33" s="129">
        <f>Test!O246</f>
        <v/>
      </c>
      <c r="Y33" s="129">
        <f>('Summary (Full)'!$B$34*V33+'Summary (Full)'!$B$35*W33+'Summary (Full)'!$B$36*X33)/'Summary (Full)'!$B$37</f>
        <v/>
      </c>
      <c r="Z33" s="129">
        <f>Test!P246</f>
        <v/>
      </c>
      <c r="AA33" s="129">
        <f>Test!Q246</f>
        <v/>
      </c>
      <c r="AB33" s="129">
        <f>Test!R246</f>
        <v/>
      </c>
      <c r="AC33" s="129">
        <f>Test!S246</f>
        <v/>
      </c>
      <c r="AD33" s="129">
        <f>Test!T246</f>
        <v/>
      </c>
      <c r="AE33" s="129">
        <f>Test!U246</f>
        <v/>
      </c>
      <c r="AF33" s="129">
        <f>Test!V246</f>
        <v/>
      </c>
      <c r="AG33" s="129">
        <f>Test!W246</f>
        <v/>
      </c>
      <c r="AH33" s="129">
        <f>Test!X246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Test!Y246</f>
        <v/>
      </c>
      <c r="AK33" s="129">
        <f>Test!Z246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Anchor!L247</f>
        <v/>
      </c>
      <c r="D34" s="129">
        <f>Anchor!M247</f>
        <v/>
      </c>
      <c r="E34" s="129">
        <f>Anchor!N247</f>
        <v/>
      </c>
      <c r="F34" s="129">
        <f>Anchor!O247</f>
        <v/>
      </c>
      <c r="G34" s="130">
        <f>('Summary (Full)'!$B$34*D34+'Summary (Full)'!$B$35*E34+'Summary (Full)'!$B$36*F34)/'Summary (Full)'!$B$37</f>
        <v/>
      </c>
      <c r="H34" s="129">
        <f>Anchor!P247</f>
        <v/>
      </c>
      <c r="I34" s="129">
        <f>Anchor!Q247</f>
        <v/>
      </c>
      <c r="J34" s="129">
        <f>Anchor!R247</f>
        <v/>
      </c>
      <c r="K34" s="129">
        <f>Anchor!S247</f>
        <v/>
      </c>
      <c r="L34" s="129">
        <f>Anchor!T247</f>
        <v/>
      </c>
      <c r="M34" s="129">
        <f>Anchor!U247</f>
        <v/>
      </c>
      <c r="N34" s="129">
        <f>Anchor!V247</f>
        <v/>
      </c>
      <c r="O34" s="129">
        <f>Anchor!W247</f>
        <v/>
      </c>
      <c r="P34" s="129">
        <f>Anchor!X247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Anchor!Y247</f>
        <v/>
      </c>
      <c r="S34" s="129">
        <f>Anchor!Z247</f>
        <v/>
      </c>
      <c r="U34" s="129">
        <f>Test!L247</f>
        <v/>
      </c>
      <c r="V34" s="129">
        <f>Test!M247</f>
        <v/>
      </c>
      <c r="W34" s="129">
        <f>Test!N247</f>
        <v/>
      </c>
      <c r="X34" s="129">
        <f>Test!O247</f>
        <v/>
      </c>
      <c r="Y34" s="129">
        <f>('Summary (Full)'!$B$34*V34+'Summary (Full)'!$B$35*W34+'Summary (Full)'!$B$36*X34)/'Summary (Full)'!$B$37</f>
        <v/>
      </c>
      <c r="Z34" s="129">
        <f>Test!P247</f>
        <v/>
      </c>
      <c r="AA34" s="129">
        <f>Test!Q247</f>
        <v/>
      </c>
      <c r="AB34" s="129">
        <f>Test!R247</f>
        <v/>
      </c>
      <c r="AC34" s="129">
        <f>Test!S247</f>
        <v/>
      </c>
      <c r="AD34" s="129">
        <f>Test!T247</f>
        <v/>
      </c>
      <c r="AE34" s="129">
        <f>Test!U247</f>
        <v/>
      </c>
      <c r="AF34" s="129">
        <f>Test!V247</f>
        <v/>
      </c>
      <c r="AG34" s="129">
        <f>Test!W247</f>
        <v/>
      </c>
      <c r="AH34" s="129">
        <f>Test!X247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Test!Y247</f>
        <v/>
      </c>
      <c r="AK34" s="129">
        <f>Test!Z247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Anchor!L248</f>
        <v/>
      </c>
      <c r="D35" s="129">
        <f>Anchor!M248</f>
        <v/>
      </c>
      <c r="E35" s="129">
        <f>Anchor!N248</f>
        <v/>
      </c>
      <c r="F35" s="129">
        <f>Anchor!O248</f>
        <v/>
      </c>
      <c r="G35" s="130">
        <f>('Summary (Full)'!$B$34*D35+'Summary (Full)'!$B$35*E35+'Summary (Full)'!$B$36*F35)/'Summary (Full)'!$B$37</f>
        <v/>
      </c>
      <c r="H35" s="129">
        <f>Anchor!P248</f>
        <v/>
      </c>
      <c r="I35" s="129">
        <f>Anchor!Q248</f>
        <v/>
      </c>
      <c r="J35" s="129">
        <f>Anchor!R248</f>
        <v/>
      </c>
      <c r="K35" s="129">
        <f>Anchor!S248</f>
        <v/>
      </c>
      <c r="L35" s="129">
        <f>Anchor!T248</f>
        <v/>
      </c>
      <c r="M35" s="129">
        <f>Anchor!U248</f>
        <v/>
      </c>
      <c r="N35" s="129">
        <f>Anchor!V248</f>
        <v/>
      </c>
      <c r="O35" s="129">
        <f>Anchor!W248</f>
        <v/>
      </c>
      <c r="P35" s="129">
        <f>Anchor!X248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Anchor!Y248</f>
        <v/>
      </c>
      <c r="S35" s="129">
        <f>Anchor!Z248</f>
        <v/>
      </c>
      <c r="U35" s="129">
        <f>Test!L248</f>
        <v/>
      </c>
      <c r="V35" s="129">
        <f>Test!M248</f>
        <v/>
      </c>
      <c r="W35" s="129">
        <f>Test!N248</f>
        <v/>
      </c>
      <c r="X35" s="129">
        <f>Test!O248</f>
        <v/>
      </c>
      <c r="Y35" s="129">
        <f>('Summary (Full)'!$B$34*V35+'Summary (Full)'!$B$35*W35+'Summary (Full)'!$B$36*X35)/'Summary (Full)'!$B$37</f>
        <v/>
      </c>
      <c r="Z35" s="129">
        <f>Test!P248</f>
        <v/>
      </c>
      <c r="AA35" s="129">
        <f>Test!Q248</f>
        <v/>
      </c>
      <c r="AB35" s="129">
        <f>Test!R248</f>
        <v/>
      </c>
      <c r="AC35" s="129">
        <f>Test!S248</f>
        <v/>
      </c>
      <c r="AD35" s="129">
        <f>Test!T248</f>
        <v/>
      </c>
      <c r="AE35" s="129">
        <f>Test!U248</f>
        <v/>
      </c>
      <c r="AF35" s="129">
        <f>Test!V248</f>
        <v/>
      </c>
      <c r="AG35" s="129">
        <f>Test!W248</f>
        <v/>
      </c>
      <c r="AH35" s="129">
        <f>Test!X248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Test!Y248</f>
        <v/>
      </c>
      <c r="AK35" s="129">
        <f>Test!Z248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Anchor!L249</f>
        <v/>
      </c>
      <c r="D36" s="129">
        <f>Anchor!M249</f>
        <v/>
      </c>
      <c r="E36" s="129">
        <f>Anchor!N249</f>
        <v/>
      </c>
      <c r="F36" s="129">
        <f>Anchor!O249</f>
        <v/>
      </c>
      <c r="G36" s="130">
        <f>('Summary (Full)'!$B$34*D36+'Summary (Full)'!$B$35*E36+'Summary (Full)'!$B$36*F36)/'Summary (Full)'!$B$37</f>
        <v/>
      </c>
      <c r="H36" s="129">
        <f>Anchor!P249</f>
        <v/>
      </c>
      <c r="I36" s="129">
        <f>Anchor!Q249</f>
        <v/>
      </c>
      <c r="J36" s="129">
        <f>Anchor!R249</f>
        <v/>
      </c>
      <c r="K36" s="129">
        <f>Anchor!S249</f>
        <v/>
      </c>
      <c r="L36" s="129">
        <f>Anchor!T249</f>
        <v/>
      </c>
      <c r="M36" s="129">
        <f>Anchor!U249</f>
        <v/>
      </c>
      <c r="N36" s="129">
        <f>Anchor!V249</f>
        <v/>
      </c>
      <c r="O36" s="129">
        <f>Anchor!W249</f>
        <v/>
      </c>
      <c r="P36" s="129">
        <f>Anchor!X249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Anchor!Y249</f>
        <v/>
      </c>
      <c r="S36" s="129">
        <f>Anchor!Z249</f>
        <v/>
      </c>
      <c r="U36" s="129">
        <f>Test!L249</f>
        <v/>
      </c>
      <c r="V36" s="129">
        <f>Test!M249</f>
        <v/>
      </c>
      <c r="W36" s="129">
        <f>Test!N249</f>
        <v/>
      </c>
      <c r="X36" s="129">
        <f>Test!O249</f>
        <v/>
      </c>
      <c r="Y36" s="129">
        <f>('Summary (Full)'!$B$34*V36+'Summary (Full)'!$B$35*W36+'Summary (Full)'!$B$36*X36)/'Summary (Full)'!$B$37</f>
        <v/>
      </c>
      <c r="Z36" s="129">
        <f>Test!P249</f>
        <v/>
      </c>
      <c r="AA36" s="129">
        <f>Test!Q249</f>
        <v/>
      </c>
      <c r="AB36" s="129">
        <f>Test!R249</f>
        <v/>
      </c>
      <c r="AC36" s="129">
        <f>Test!S249</f>
        <v/>
      </c>
      <c r="AD36" s="129">
        <f>Test!T249</f>
        <v/>
      </c>
      <c r="AE36" s="129">
        <f>Test!U249</f>
        <v/>
      </c>
      <c r="AF36" s="129">
        <f>Test!V249</f>
        <v/>
      </c>
      <c r="AG36" s="129">
        <f>Test!W249</f>
        <v/>
      </c>
      <c r="AH36" s="129">
        <f>Test!X249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Test!Y249</f>
        <v/>
      </c>
      <c r="AK36" s="129">
        <f>Test!Z249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Anchor!L250</f>
        <v/>
      </c>
      <c r="D37" s="129">
        <f>Anchor!M250</f>
        <v/>
      </c>
      <c r="E37" s="129">
        <f>Anchor!N250</f>
        <v/>
      </c>
      <c r="F37" s="129">
        <f>Anchor!O250</f>
        <v/>
      </c>
      <c r="G37" s="130">
        <f>('Summary (Full)'!$B$34*D37+'Summary (Full)'!$B$35*E37+'Summary (Full)'!$B$36*F37)/'Summary (Full)'!$B$37</f>
        <v/>
      </c>
      <c r="H37" s="129">
        <f>Anchor!P250</f>
        <v/>
      </c>
      <c r="I37" s="129">
        <f>Anchor!Q250</f>
        <v/>
      </c>
      <c r="J37" s="129">
        <f>Anchor!R250</f>
        <v/>
      </c>
      <c r="K37" s="129">
        <f>Anchor!S250</f>
        <v/>
      </c>
      <c r="L37" s="129">
        <f>Anchor!T250</f>
        <v/>
      </c>
      <c r="M37" s="129">
        <f>Anchor!U250</f>
        <v/>
      </c>
      <c r="N37" s="129">
        <f>Anchor!V250</f>
        <v/>
      </c>
      <c r="O37" s="129">
        <f>Anchor!W250</f>
        <v/>
      </c>
      <c r="P37" s="129">
        <f>Anchor!X250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Anchor!Y250</f>
        <v/>
      </c>
      <c r="S37" s="129">
        <f>Anchor!Z250</f>
        <v/>
      </c>
      <c r="U37" s="129">
        <f>Test!L250</f>
        <v/>
      </c>
      <c r="V37" s="129">
        <f>Test!M250</f>
        <v/>
      </c>
      <c r="W37" s="129">
        <f>Test!N250</f>
        <v/>
      </c>
      <c r="X37" s="129">
        <f>Test!O250</f>
        <v/>
      </c>
      <c r="Y37" s="129">
        <f>('Summary (Full)'!$B$34*V37+'Summary (Full)'!$B$35*W37+'Summary (Full)'!$B$36*X37)/'Summary (Full)'!$B$37</f>
        <v/>
      </c>
      <c r="Z37" s="129">
        <f>Test!P250</f>
        <v/>
      </c>
      <c r="AA37" s="129">
        <f>Test!Q250</f>
        <v/>
      </c>
      <c r="AB37" s="129">
        <f>Test!R250</f>
        <v/>
      </c>
      <c r="AC37" s="129">
        <f>Test!S250</f>
        <v/>
      </c>
      <c r="AD37" s="129">
        <f>Test!T250</f>
        <v/>
      </c>
      <c r="AE37" s="129">
        <f>Test!U250</f>
        <v/>
      </c>
      <c r="AF37" s="129">
        <f>Test!V250</f>
        <v/>
      </c>
      <c r="AG37" s="129">
        <f>Test!W250</f>
        <v/>
      </c>
      <c r="AH37" s="129">
        <f>Test!X250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Test!Y250</f>
        <v/>
      </c>
      <c r="AK37" s="129">
        <f>Test!Z250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Anchor!L251</f>
        <v/>
      </c>
      <c r="D38" s="129">
        <f>Anchor!M251</f>
        <v/>
      </c>
      <c r="E38" s="129">
        <f>Anchor!N251</f>
        <v/>
      </c>
      <c r="F38" s="129">
        <f>Anchor!O251</f>
        <v/>
      </c>
      <c r="G38" s="130">
        <f>('Summary (Full)'!$B$34*D38+'Summary (Full)'!$B$35*E38+'Summary (Full)'!$B$36*F38)/'Summary (Full)'!$B$37</f>
        <v/>
      </c>
      <c r="H38" s="129">
        <f>Anchor!P251</f>
        <v/>
      </c>
      <c r="I38" s="129">
        <f>Anchor!Q251</f>
        <v/>
      </c>
      <c r="J38" s="129">
        <f>Anchor!R251</f>
        <v/>
      </c>
      <c r="K38" s="129">
        <f>Anchor!S251</f>
        <v/>
      </c>
      <c r="L38" s="129">
        <f>Anchor!T251</f>
        <v/>
      </c>
      <c r="M38" s="129">
        <f>Anchor!U251</f>
        <v/>
      </c>
      <c r="N38" s="129">
        <f>Anchor!V251</f>
        <v/>
      </c>
      <c r="O38" s="129">
        <f>Anchor!W251</f>
        <v/>
      </c>
      <c r="P38" s="129">
        <f>Anchor!X251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Anchor!Y251</f>
        <v/>
      </c>
      <c r="S38" s="129">
        <f>Anchor!Z251</f>
        <v/>
      </c>
      <c r="U38" s="129">
        <f>Test!L251</f>
        <v/>
      </c>
      <c r="V38" s="129">
        <f>Test!M251</f>
        <v/>
      </c>
      <c r="W38" s="129">
        <f>Test!N251</f>
        <v/>
      </c>
      <c r="X38" s="129">
        <f>Test!O251</f>
        <v/>
      </c>
      <c r="Y38" s="129">
        <f>('Summary (Full)'!$B$34*V38+'Summary (Full)'!$B$35*W38+'Summary (Full)'!$B$36*X38)/'Summary (Full)'!$B$37</f>
        <v/>
      </c>
      <c r="Z38" s="129">
        <f>Test!P251</f>
        <v/>
      </c>
      <c r="AA38" s="129">
        <f>Test!Q251</f>
        <v/>
      </c>
      <c r="AB38" s="129">
        <f>Test!R251</f>
        <v/>
      </c>
      <c r="AC38" s="129">
        <f>Test!S251</f>
        <v/>
      </c>
      <c r="AD38" s="129">
        <f>Test!T251</f>
        <v/>
      </c>
      <c r="AE38" s="129">
        <f>Test!U251</f>
        <v/>
      </c>
      <c r="AF38" s="129">
        <f>Test!V251</f>
        <v/>
      </c>
      <c r="AG38" s="129">
        <f>Test!W251</f>
        <v/>
      </c>
      <c r="AH38" s="129">
        <f>Test!X251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Test!Y251</f>
        <v/>
      </c>
      <c r="AK38" s="129">
        <f>Test!Z251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Anchor!L252</f>
        <v/>
      </c>
      <c r="D39" s="129">
        <f>Anchor!M252</f>
        <v/>
      </c>
      <c r="E39" s="129">
        <f>Anchor!N252</f>
        <v/>
      </c>
      <c r="F39" s="129">
        <f>Anchor!O252</f>
        <v/>
      </c>
      <c r="G39" s="130">
        <f>('Summary (Full)'!$B$34*D39+'Summary (Full)'!$B$35*E39+'Summary (Full)'!$B$36*F39)/'Summary (Full)'!$B$37</f>
        <v/>
      </c>
      <c r="H39" s="129">
        <f>Anchor!P252</f>
        <v/>
      </c>
      <c r="I39" s="129">
        <f>Anchor!Q252</f>
        <v/>
      </c>
      <c r="J39" s="129">
        <f>Anchor!R252</f>
        <v/>
      </c>
      <c r="K39" s="129">
        <f>Anchor!S252</f>
        <v/>
      </c>
      <c r="L39" s="129">
        <f>Anchor!T252</f>
        <v/>
      </c>
      <c r="M39" s="129">
        <f>Anchor!U252</f>
        <v/>
      </c>
      <c r="N39" s="129">
        <f>Anchor!V252</f>
        <v/>
      </c>
      <c r="O39" s="129">
        <f>Anchor!W252</f>
        <v/>
      </c>
      <c r="P39" s="129">
        <f>Anchor!X252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Anchor!Y252</f>
        <v/>
      </c>
      <c r="S39" s="129">
        <f>Anchor!Z252</f>
        <v/>
      </c>
      <c r="U39" s="129">
        <f>Test!L252</f>
        <v/>
      </c>
      <c r="V39" s="129">
        <f>Test!M252</f>
        <v/>
      </c>
      <c r="W39" s="129">
        <f>Test!N252</f>
        <v/>
      </c>
      <c r="X39" s="129">
        <f>Test!O252</f>
        <v/>
      </c>
      <c r="Y39" s="129">
        <f>('Summary (Full)'!$B$34*V39+'Summary (Full)'!$B$35*W39+'Summary (Full)'!$B$36*X39)/'Summary (Full)'!$B$37</f>
        <v/>
      </c>
      <c r="Z39" s="129">
        <f>Test!P252</f>
        <v/>
      </c>
      <c r="AA39" s="129">
        <f>Test!Q252</f>
        <v/>
      </c>
      <c r="AB39" s="129">
        <f>Test!R252</f>
        <v/>
      </c>
      <c r="AC39" s="129">
        <f>Test!S252</f>
        <v/>
      </c>
      <c r="AD39" s="129">
        <f>Test!T252</f>
        <v/>
      </c>
      <c r="AE39" s="129">
        <f>Test!U252</f>
        <v/>
      </c>
      <c r="AF39" s="129">
        <f>Test!V252</f>
        <v/>
      </c>
      <c r="AG39" s="129">
        <f>Test!W252</f>
        <v/>
      </c>
      <c r="AH39" s="129">
        <f>Test!X252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Test!Y252</f>
        <v/>
      </c>
      <c r="AK39" s="129">
        <f>Test!Z252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Anchor!L253</f>
        <v/>
      </c>
      <c r="D40" s="129">
        <f>Anchor!M253</f>
        <v/>
      </c>
      <c r="E40" s="129">
        <f>Anchor!N253</f>
        <v/>
      </c>
      <c r="F40" s="129">
        <f>Anchor!O253</f>
        <v/>
      </c>
      <c r="G40" s="130">
        <f>('Summary (Full)'!$B$34*D40+'Summary (Full)'!$B$35*E40+'Summary (Full)'!$B$36*F40)/'Summary (Full)'!$B$37</f>
        <v/>
      </c>
      <c r="H40" s="129">
        <f>Anchor!P253</f>
        <v/>
      </c>
      <c r="I40" s="129">
        <f>Anchor!Q253</f>
        <v/>
      </c>
      <c r="J40" s="129">
        <f>Anchor!R253</f>
        <v/>
      </c>
      <c r="K40" s="129">
        <f>Anchor!S253</f>
        <v/>
      </c>
      <c r="L40" s="129">
        <f>Anchor!T253</f>
        <v/>
      </c>
      <c r="M40" s="129">
        <f>Anchor!U253</f>
        <v/>
      </c>
      <c r="N40" s="129">
        <f>Anchor!V253</f>
        <v/>
      </c>
      <c r="O40" s="129">
        <f>Anchor!W253</f>
        <v/>
      </c>
      <c r="P40" s="129">
        <f>Anchor!X253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Anchor!Y253</f>
        <v/>
      </c>
      <c r="S40" s="129">
        <f>Anchor!Z253</f>
        <v/>
      </c>
      <c r="U40" s="129">
        <f>Test!L253</f>
        <v/>
      </c>
      <c r="V40" s="129">
        <f>Test!M253</f>
        <v/>
      </c>
      <c r="W40" s="129">
        <f>Test!N253</f>
        <v/>
      </c>
      <c r="X40" s="129">
        <f>Test!O253</f>
        <v/>
      </c>
      <c r="Y40" s="129">
        <f>('Summary (Full)'!$B$34*V40+'Summary (Full)'!$B$35*W40+'Summary (Full)'!$B$36*X40)/'Summary (Full)'!$B$37</f>
        <v/>
      </c>
      <c r="Z40" s="129">
        <f>Test!P253</f>
        <v/>
      </c>
      <c r="AA40" s="129">
        <f>Test!Q253</f>
        <v/>
      </c>
      <c r="AB40" s="129">
        <f>Test!R253</f>
        <v/>
      </c>
      <c r="AC40" s="129">
        <f>Test!S253</f>
        <v/>
      </c>
      <c r="AD40" s="129">
        <f>Test!T253</f>
        <v/>
      </c>
      <c r="AE40" s="129">
        <f>Test!U253</f>
        <v/>
      </c>
      <c r="AF40" s="129">
        <f>Test!V253</f>
        <v/>
      </c>
      <c r="AG40" s="129">
        <f>Test!W253</f>
        <v/>
      </c>
      <c r="AH40" s="129">
        <f>Test!X253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Test!Y253</f>
        <v/>
      </c>
      <c r="AK40" s="129">
        <f>Test!Z253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78" t="n"/>
      <c r="N44" s="278" t="n"/>
      <c r="O44" s="278" t="n"/>
      <c r="P44" s="278" t="n"/>
      <c r="Q44" s="278" t="inlineStr">
        <is>
          <t>SSIM</t>
        </is>
      </c>
      <c r="R44" s="234" t="n"/>
      <c r="S44" s="278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78" t="inlineStr">
        <is>
          <t>PSNR</t>
        </is>
      </c>
      <c r="D45" s="233" t="n"/>
      <c r="E45" s="233" t="n"/>
      <c r="F45" s="234" t="n"/>
      <c r="G45" s="278" t="n"/>
      <c r="H45" s="278" t="n"/>
      <c r="I45" s="278" t="n"/>
      <c r="J45" s="278" t="n"/>
      <c r="K45" s="278" t="n"/>
      <c r="L45" s="278" t="n"/>
      <c r="M45" s="278" t="inlineStr">
        <is>
          <t>APSNR</t>
        </is>
      </c>
      <c r="N45" s="233" t="n"/>
      <c r="O45" s="233" t="n"/>
      <c r="P45" s="234" t="n"/>
      <c r="Q45" s="278" t="n"/>
      <c r="R45" s="278" t="n"/>
      <c r="S45" s="278" t="n"/>
      <c r="T45" s="278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37" t="inlineStr">
        <is>
          <t>Y</t>
        </is>
      </c>
      <c r="D46" s="137" t="inlineStr">
        <is>
          <t>U</t>
        </is>
      </c>
      <c r="E46" s="137" t="inlineStr">
        <is>
          <t>V</t>
        </is>
      </c>
      <c r="F46" s="137" t="inlineStr">
        <is>
          <t>YUV</t>
        </is>
      </c>
      <c r="G46" s="137" t="inlineStr">
        <is>
          <t>SSIM_Y</t>
        </is>
      </c>
      <c r="H46" s="137" t="inlineStr">
        <is>
          <t>MS-SSIM</t>
        </is>
      </c>
      <c r="I46" s="137" t="inlineStr">
        <is>
          <t>VMAF</t>
        </is>
      </c>
      <c r="J46" s="137" t="inlineStr">
        <is>
          <t>nVMAF</t>
        </is>
      </c>
      <c r="K46" s="137" t="inlineStr">
        <is>
          <t>PSNR-HVS</t>
        </is>
      </c>
      <c r="L46" s="137" t="inlineStr">
        <is>
          <t>DE-2K</t>
        </is>
      </c>
      <c r="M46" s="137" t="inlineStr">
        <is>
          <t>Y</t>
        </is>
      </c>
      <c r="N46" s="137" t="inlineStr">
        <is>
          <t>U</t>
        </is>
      </c>
      <c r="O46" s="137" t="inlineStr">
        <is>
          <t>V</t>
        </is>
      </c>
      <c r="P46" s="137" t="inlineStr">
        <is>
          <t>YUV</t>
        </is>
      </c>
      <c r="Q46" s="137" t="inlineStr">
        <is>
          <t>Range</t>
        </is>
      </c>
      <c r="R46" s="137" t="inlineStr">
        <is>
          <t>Y</t>
        </is>
      </c>
      <c r="S46" s="137" t="inlineStr">
        <is>
          <t>Range</t>
        </is>
      </c>
      <c r="T46" s="13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32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32">
        <f>GEOMEAN(R5:R40)</f>
        <v/>
      </c>
      <c r="S57" s="132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32">
        <f>SUM(R5:R40)</f>
        <v/>
      </c>
      <c r="S58" s="132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32">
        <f>MAX(R5:R40)</f>
        <v/>
      </c>
      <c r="S59" s="132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32">
        <f>MIN(R5:R40)</f>
        <v/>
      </c>
      <c r="S60" s="132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23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262" min="3" max="6"/>
    <col width="12.1640625" customWidth="1" style="262" min="7" max="7"/>
    <col width="12.33203125" bestFit="1" customWidth="1" style="262" min="8" max="8"/>
    <col width="12.1640625" customWidth="1" style="262" min="9" max="9"/>
    <col width="11.83203125" bestFit="1" customWidth="1" style="262" min="10" max="11"/>
    <col width="11.6640625" customWidth="1" style="262" min="12" max="17"/>
    <col width="12.33203125" bestFit="1" customWidth="1" style="262" min="18" max="19"/>
    <col width="13" customWidth="1" style="262" min="20" max="20"/>
    <col width="14.33203125" bestFit="1" customWidth="1" style="262" min="21" max="21"/>
    <col width="12.33203125" bestFit="1" customWidth="1" style="262" min="22" max="24"/>
    <col width="12.1640625" customWidth="1" style="262" min="25" max="25"/>
    <col width="12.33203125" bestFit="1" customWidth="1" style="262" min="26" max="26"/>
    <col width="12.1640625" customWidth="1" style="262" min="27" max="27"/>
    <col width="11.83203125" bestFit="1" customWidth="1" style="262" min="28" max="29"/>
    <col width="11.6640625" customWidth="1" style="262" min="30" max="35"/>
    <col width="14.6640625" bestFit="1" customWidth="1" style="262" min="36" max="36"/>
    <col width="12.33203125" bestFit="1" customWidth="1" style="262" min="37" max="37"/>
    <col width="12.1640625" customWidth="1" style="262" min="38" max="39"/>
    <col width="9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Anchor!L38</f>
        <v/>
      </c>
      <c r="D5" s="129">
        <f>Anchor!M38</f>
        <v/>
      </c>
      <c r="E5" s="129">
        <f>Anchor!N38</f>
        <v/>
      </c>
      <c r="F5" s="129">
        <f>Anchor!O38</f>
        <v/>
      </c>
      <c r="G5" s="130">
        <f>('Summary (Full)'!$B$34*D5+'Summary (Full)'!$B$35*E5+'Summary (Full)'!$B$36*F5)/'Summary (Full)'!$B$37</f>
        <v/>
      </c>
      <c r="H5" s="129">
        <f>Anchor!P38</f>
        <v/>
      </c>
      <c r="I5" s="129">
        <f>Anchor!Q38</f>
        <v/>
      </c>
      <c r="J5" s="129">
        <f>Anchor!R38</f>
        <v/>
      </c>
      <c r="K5" s="129">
        <f>Anchor!S38</f>
        <v/>
      </c>
      <c r="L5" s="129">
        <f>Anchor!T38</f>
        <v/>
      </c>
      <c r="M5" s="129">
        <f>Anchor!U38</f>
        <v/>
      </c>
      <c r="N5" s="129">
        <f>Anchor!V38</f>
        <v/>
      </c>
      <c r="O5" s="129">
        <f>Anchor!W38</f>
        <v/>
      </c>
      <c r="P5" s="129">
        <f>Anchor!X38</f>
        <v/>
      </c>
      <c r="Q5" s="131">
        <f>10*LOG10(1/(('Summary (Full)'!$B$41/10^(N5/10)+'Summary (Full)'!$B$42/10^(O5/10)+'Summary (Full)'!$B$43/10^(P5/10))/'Summary (Full)'!$B$44))</f>
        <v/>
      </c>
      <c r="R5" s="129">
        <f>Anchor!Y38</f>
        <v/>
      </c>
      <c r="S5" s="129">
        <f>Anchor!Z38</f>
        <v/>
      </c>
      <c r="T5" s="132" t="n"/>
      <c r="U5" s="129">
        <f>Test!L38</f>
        <v/>
      </c>
      <c r="V5" s="129">
        <f>Test!M38</f>
        <v/>
      </c>
      <c r="W5" s="129">
        <f>Test!N38</f>
        <v/>
      </c>
      <c r="X5" s="129">
        <f>Test!O38</f>
        <v/>
      </c>
      <c r="Y5" s="129">
        <f>('Summary (Full)'!$B$34*V5+'Summary (Full)'!$B$35*W5+'Summary (Full)'!$B$36*X5)/'Summary (Full)'!$B$37</f>
        <v/>
      </c>
      <c r="Z5" s="129">
        <f>Test!P38</f>
        <v/>
      </c>
      <c r="AA5" s="129">
        <f>Test!Q38</f>
        <v/>
      </c>
      <c r="AB5" s="129">
        <f>Test!R38</f>
        <v/>
      </c>
      <c r="AC5" s="129">
        <f>Test!S38</f>
        <v/>
      </c>
      <c r="AD5" s="129">
        <f>Test!T38</f>
        <v/>
      </c>
      <c r="AE5" s="129">
        <f>Test!U38</f>
        <v/>
      </c>
      <c r="AF5" s="129">
        <f>Test!V38</f>
        <v/>
      </c>
      <c r="AG5" s="129">
        <f>Test!W38</f>
        <v/>
      </c>
      <c r="AH5" s="129">
        <f>Test!X38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Test!Y38</f>
        <v/>
      </c>
      <c r="AK5" s="129">
        <f>Test!Z38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Anchor!L39</f>
        <v/>
      </c>
      <c r="D6" s="129">
        <f>Anchor!M39</f>
        <v/>
      </c>
      <c r="E6" s="129">
        <f>Anchor!N39</f>
        <v/>
      </c>
      <c r="F6" s="129">
        <f>Anchor!O39</f>
        <v/>
      </c>
      <c r="G6" s="130">
        <f>('Summary (Full)'!$B$34*D6+'Summary (Full)'!$B$35*E6+'Summary (Full)'!$B$36*F6)/'Summary (Full)'!$B$37</f>
        <v/>
      </c>
      <c r="H6" s="129">
        <f>Anchor!P39</f>
        <v/>
      </c>
      <c r="I6" s="129">
        <f>Anchor!Q39</f>
        <v/>
      </c>
      <c r="J6" s="129">
        <f>Anchor!R39</f>
        <v/>
      </c>
      <c r="K6" s="129">
        <f>Anchor!S39</f>
        <v/>
      </c>
      <c r="L6" s="129">
        <f>Anchor!T39</f>
        <v/>
      </c>
      <c r="M6" s="129">
        <f>Anchor!U39</f>
        <v/>
      </c>
      <c r="N6" s="129">
        <f>Anchor!V39</f>
        <v/>
      </c>
      <c r="O6" s="129">
        <f>Anchor!W39</f>
        <v/>
      </c>
      <c r="P6" s="129">
        <f>Anchor!X39</f>
        <v/>
      </c>
      <c r="Q6" s="131">
        <f>10*LOG10(1/(('Summary (Full)'!$B$41/10^(N6/10)+'Summary (Full)'!$B$42/10^(O6/10)+'Summary (Full)'!$B$43/10^(P6/10))/'Summary (Full)'!$B$44))</f>
        <v/>
      </c>
      <c r="R6" s="129">
        <f>Anchor!Y39</f>
        <v/>
      </c>
      <c r="S6" s="129">
        <f>Anchor!Z39</f>
        <v/>
      </c>
      <c r="T6" s="132" t="n"/>
      <c r="U6" s="129">
        <f>Test!L39</f>
        <v/>
      </c>
      <c r="V6" s="129">
        <f>Test!M39</f>
        <v/>
      </c>
      <c r="W6" s="129">
        <f>Test!N39</f>
        <v/>
      </c>
      <c r="X6" s="129">
        <f>Test!O39</f>
        <v/>
      </c>
      <c r="Y6" s="129">
        <f>('Summary (Full)'!$B$34*V6+'Summary (Full)'!$B$35*W6+'Summary (Full)'!$B$36*X6)/'Summary (Full)'!$B$37</f>
        <v/>
      </c>
      <c r="Z6" s="129">
        <f>Test!P39</f>
        <v/>
      </c>
      <c r="AA6" s="129">
        <f>Test!Q39</f>
        <v/>
      </c>
      <c r="AB6" s="129">
        <f>Test!R39</f>
        <v/>
      </c>
      <c r="AC6" s="129">
        <f>Test!S39</f>
        <v/>
      </c>
      <c r="AD6" s="129">
        <f>Test!T39</f>
        <v/>
      </c>
      <c r="AE6" s="129">
        <f>Test!U39</f>
        <v/>
      </c>
      <c r="AF6" s="129">
        <f>Test!V39</f>
        <v/>
      </c>
      <c r="AG6" s="129">
        <f>Test!W39</f>
        <v/>
      </c>
      <c r="AH6" s="129">
        <f>Test!X39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Test!Y39</f>
        <v/>
      </c>
      <c r="AK6" s="129">
        <f>Test!Z39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Anchor!L40</f>
        <v/>
      </c>
      <c r="D7" s="129">
        <f>Anchor!M40</f>
        <v/>
      </c>
      <c r="E7" s="129">
        <f>Anchor!N40</f>
        <v/>
      </c>
      <c r="F7" s="129">
        <f>Anchor!O40</f>
        <v/>
      </c>
      <c r="G7" s="130">
        <f>('Summary (Full)'!$B$34*D7+'Summary (Full)'!$B$35*E7+'Summary (Full)'!$B$36*F7)/'Summary (Full)'!$B$37</f>
        <v/>
      </c>
      <c r="H7" s="129">
        <f>Anchor!P40</f>
        <v/>
      </c>
      <c r="I7" s="129">
        <f>Anchor!Q40</f>
        <v/>
      </c>
      <c r="J7" s="129">
        <f>Anchor!R40</f>
        <v/>
      </c>
      <c r="K7" s="129">
        <f>Anchor!S40</f>
        <v/>
      </c>
      <c r="L7" s="129">
        <f>Anchor!T40</f>
        <v/>
      </c>
      <c r="M7" s="129">
        <f>Anchor!U40</f>
        <v/>
      </c>
      <c r="N7" s="129">
        <f>Anchor!V40</f>
        <v/>
      </c>
      <c r="O7" s="129">
        <f>Anchor!W40</f>
        <v/>
      </c>
      <c r="P7" s="129">
        <f>Anchor!X40</f>
        <v/>
      </c>
      <c r="Q7" s="131">
        <f>10*LOG10(1/(('Summary (Full)'!$B$41/10^(N7/10)+'Summary (Full)'!$B$42/10^(O7/10)+'Summary (Full)'!$B$43/10^(P7/10))/'Summary (Full)'!$B$44))</f>
        <v/>
      </c>
      <c r="R7" s="129">
        <f>Anchor!Y40</f>
        <v/>
      </c>
      <c r="S7" s="129">
        <f>Anchor!Z40</f>
        <v/>
      </c>
      <c r="T7" s="132" t="n"/>
      <c r="U7" s="129">
        <f>Test!L40</f>
        <v/>
      </c>
      <c r="V7" s="129">
        <f>Test!M40</f>
        <v/>
      </c>
      <c r="W7" s="129">
        <f>Test!N40</f>
        <v/>
      </c>
      <c r="X7" s="129">
        <f>Test!O40</f>
        <v/>
      </c>
      <c r="Y7" s="129">
        <f>('Summary (Full)'!$B$34*V7+'Summary (Full)'!$B$35*W7+'Summary (Full)'!$B$36*X7)/'Summary (Full)'!$B$37</f>
        <v/>
      </c>
      <c r="Z7" s="129">
        <f>Test!P40</f>
        <v/>
      </c>
      <c r="AA7" s="129">
        <f>Test!Q40</f>
        <v/>
      </c>
      <c r="AB7" s="129">
        <f>Test!R40</f>
        <v/>
      </c>
      <c r="AC7" s="129">
        <f>Test!S40</f>
        <v/>
      </c>
      <c r="AD7" s="129">
        <f>Test!T40</f>
        <v/>
      </c>
      <c r="AE7" s="129">
        <f>Test!U40</f>
        <v/>
      </c>
      <c r="AF7" s="129">
        <f>Test!V40</f>
        <v/>
      </c>
      <c r="AG7" s="129">
        <f>Test!W40</f>
        <v/>
      </c>
      <c r="AH7" s="129">
        <f>Test!X40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Test!Y40</f>
        <v/>
      </c>
      <c r="AK7" s="129">
        <f>Test!Z40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Anchor!L41</f>
        <v/>
      </c>
      <c r="D8" s="129">
        <f>Anchor!M41</f>
        <v/>
      </c>
      <c r="E8" s="129">
        <f>Anchor!N41</f>
        <v/>
      </c>
      <c r="F8" s="129">
        <f>Anchor!O41</f>
        <v/>
      </c>
      <c r="G8" s="130">
        <f>('Summary (Full)'!$B$34*D8+'Summary (Full)'!$B$35*E8+'Summary (Full)'!$B$36*F8)/'Summary (Full)'!$B$37</f>
        <v/>
      </c>
      <c r="H8" s="129">
        <f>Anchor!P41</f>
        <v/>
      </c>
      <c r="I8" s="129">
        <f>Anchor!Q41</f>
        <v/>
      </c>
      <c r="J8" s="129">
        <f>Anchor!R41</f>
        <v/>
      </c>
      <c r="K8" s="129">
        <f>Anchor!S41</f>
        <v/>
      </c>
      <c r="L8" s="129">
        <f>Anchor!T41</f>
        <v/>
      </c>
      <c r="M8" s="129">
        <f>Anchor!U41</f>
        <v/>
      </c>
      <c r="N8" s="129">
        <f>Anchor!V41</f>
        <v/>
      </c>
      <c r="O8" s="129">
        <f>Anchor!W41</f>
        <v/>
      </c>
      <c r="P8" s="129">
        <f>Anchor!X41</f>
        <v/>
      </c>
      <c r="Q8" s="131">
        <f>10*LOG10(1/(('Summary (Full)'!$B$41/10^(N8/10)+'Summary (Full)'!$B$42/10^(O8/10)+'Summary (Full)'!$B$43/10^(P8/10))/'Summary (Full)'!$B$44))</f>
        <v/>
      </c>
      <c r="R8" s="129">
        <f>Anchor!Y41</f>
        <v/>
      </c>
      <c r="S8" s="129">
        <f>Anchor!Z41</f>
        <v/>
      </c>
      <c r="T8" s="132" t="n"/>
      <c r="U8" s="129">
        <f>Test!L41</f>
        <v/>
      </c>
      <c r="V8" s="129">
        <f>Test!M41</f>
        <v/>
      </c>
      <c r="W8" s="129">
        <f>Test!N41</f>
        <v/>
      </c>
      <c r="X8" s="129">
        <f>Test!O41</f>
        <v/>
      </c>
      <c r="Y8" s="129">
        <f>('Summary (Full)'!$B$34*V8+'Summary (Full)'!$B$35*W8+'Summary (Full)'!$B$36*X8)/'Summary (Full)'!$B$37</f>
        <v/>
      </c>
      <c r="Z8" s="129">
        <f>Test!P41</f>
        <v/>
      </c>
      <c r="AA8" s="129">
        <f>Test!Q41</f>
        <v/>
      </c>
      <c r="AB8" s="129">
        <f>Test!R41</f>
        <v/>
      </c>
      <c r="AC8" s="129">
        <f>Test!S41</f>
        <v/>
      </c>
      <c r="AD8" s="129">
        <f>Test!T41</f>
        <v/>
      </c>
      <c r="AE8" s="129">
        <f>Test!U41</f>
        <v/>
      </c>
      <c r="AF8" s="129">
        <f>Test!V41</f>
        <v/>
      </c>
      <c r="AG8" s="129">
        <f>Test!W41</f>
        <v/>
      </c>
      <c r="AH8" s="129">
        <f>Test!X41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Test!Y41</f>
        <v/>
      </c>
      <c r="AK8" s="129">
        <f>Test!Z41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Anchor!L42</f>
        <v/>
      </c>
      <c r="D9" s="129">
        <f>Anchor!M42</f>
        <v/>
      </c>
      <c r="E9" s="129">
        <f>Anchor!N42</f>
        <v/>
      </c>
      <c r="F9" s="129">
        <f>Anchor!O42</f>
        <v/>
      </c>
      <c r="G9" s="130">
        <f>('Summary (Full)'!$B$34*D9+'Summary (Full)'!$B$35*E9+'Summary (Full)'!$B$36*F9)/'Summary (Full)'!$B$37</f>
        <v/>
      </c>
      <c r="H9" s="129">
        <f>Anchor!P42</f>
        <v/>
      </c>
      <c r="I9" s="129">
        <f>Anchor!Q42</f>
        <v/>
      </c>
      <c r="J9" s="129">
        <f>Anchor!R42</f>
        <v/>
      </c>
      <c r="K9" s="129">
        <f>Anchor!S42</f>
        <v/>
      </c>
      <c r="L9" s="129">
        <f>Anchor!T42</f>
        <v/>
      </c>
      <c r="M9" s="129">
        <f>Anchor!U42</f>
        <v/>
      </c>
      <c r="N9" s="129">
        <f>Anchor!V42</f>
        <v/>
      </c>
      <c r="O9" s="129">
        <f>Anchor!W42</f>
        <v/>
      </c>
      <c r="P9" s="129">
        <f>Anchor!X42</f>
        <v/>
      </c>
      <c r="Q9" s="131">
        <f>10*LOG10(1/(('Summary (Full)'!$B$41/10^(N9/10)+'Summary (Full)'!$B$42/10^(O9/10)+'Summary (Full)'!$B$43/10^(P9/10))/'Summary (Full)'!$B$44))</f>
        <v/>
      </c>
      <c r="R9" s="129">
        <f>Anchor!Y42</f>
        <v/>
      </c>
      <c r="S9" s="129">
        <f>Anchor!Z42</f>
        <v/>
      </c>
      <c r="T9" s="132" t="n"/>
      <c r="U9" s="129">
        <f>Test!L42</f>
        <v/>
      </c>
      <c r="V9" s="129">
        <f>Test!M42</f>
        <v/>
      </c>
      <c r="W9" s="129">
        <f>Test!N42</f>
        <v/>
      </c>
      <c r="X9" s="129">
        <f>Test!O42</f>
        <v/>
      </c>
      <c r="Y9" s="129">
        <f>('Summary (Full)'!$B$34*V9+'Summary (Full)'!$B$35*W9+'Summary (Full)'!$B$36*X9)/'Summary (Full)'!$B$37</f>
        <v/>
      </c>
      <c r="Z9" s="129">
        <f>Test!P42</f>
        <v/>
      </c>
      <c r="AA9" s="129">
        <f>Test!Q42</f>
        <v/>
      </c>
      <c r="AB9" s="129">
        <f>Test!R42</f>
        <v/>
      </c>
      <c r="AC9" s="129">
        <f>Test!S42</f>
        <v/>
      </c>
      <c r="AD9" s="129">
        <f>Test!T42</f>
        <v/>
      </c>
      <c r="AE9" s="129">
        <f>Test!U42</f>
        <v/>
      </c>
      <c r="AF9" s="129">
        <f>Test!V42</f>
        <v/>
      </c>
      <c r="AG9" s="129">
        <f>Test!W42</f>
        <v/>
      </c>
      <c r="AH9" s="129">
        <f>Test!X42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Test!Y42</f>
        <v/>
      </c>
      <c r="AK9" s="129">
        <f>Test!Z42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Anchor!L43</f>
        <v/>
      </c>
      <c r="D10" s="129">
        <f>Anchor!M43</f>
        <v/>
      </c>
      <c r="E10" s="129">
        <f>Anchor!N43</f>
        <v/>
      </c>
      <c r="F10" s="129">
        <f>Anchor!O43</f>
        <v/>
      </c>
      <c r="G10" s="130">
        <f>('Summary (Full)'!$B$34*D10+'Summary (Full)'!$B$35*E10+'Summary (Full)'!$B$36*F10)/'Summary (Full)'!$B$37</f>
        <v/>
      </c>
      <c r="H10" s="129">
        <f>Anchor!P43</f>
        <v/>
      </c>
      <c r="I10" s="129">
        <f>Anchor!Q43</f>
        <v/>
      </c>
      <c r="J10" s="129">
        <f>Anchor!R43</f>
        <v/>
      </c>
      <c r="K10" s="129">
        <f>Anchor!S43</f>
        <v/>
      </c>
      <c r="L10" s="129">
        <f>Anchor!T43</f>
        <v/>
      </c>
      <c r="M10" s="129">
        <f>Anchor!U43</f>
        <v/>
      </c>
      <c r="N10" s="129">
        <f>Anchor!V43</f>
        <v/>
      </c>
      <c r="O10" s="129">
        <f>Anchor!W43</f>
        <v/>
      </c>
      <c r="P10" s="129">
        <f>Anchor!X43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Anchor!Y43</f>
        <v/>
      </c>
      <c r="S10" s="129">
        <f>Anchor!Z43</f>
        <v/>
      </c>
      <c r="T10" s="132" t="n"/>
      <c r="U10" s="129">
        <f>Test!L43</f>
        <v/>
      </c>
      <c r="V10" s="129">
        <f>Test!M43</f>
        <v/>
      </c>
      <c r="W10" s="129">
        <f>Test!N43</f>
        <v/>
      </c>
      <c r="X10" s="129">
        <f>Test!O43</f>
        <v/>
      </c>
      <c r="Y10" s="129">
        <f>('Summary (Full)'!$B$34*V10+'Summary (Full)'!$B$35*W10+'Summary (Full)'!$B$36*X10)/'Summary (Full)'!$B$37</f>
        <v/>
      </c>
      <c r="Z10" s="129">
        <f>Test!P43</f>
        <v/>
      </c>
      <c r="AA10" s="129">
        <f>Test!Q43</f>
        <v/>
      </c>
      <c r="AB10" s="129">
        <f>Test!R43</f>
        <v/>
      </c>
      <c r="AC10" s="129">
        <f>Test!S43</f>
        <v/>
      </c>
      <c r="AD10" s="129">
        <f>Test!T43</f>
        <v/>
      </c>
      <c r="AE10" s="129">
        <f>Test!U43</f>
        <v/>
      </c>
      <c r="AF10" s="129">
        <f>Test!V43</f>
        <v/>
      </c>
      <c r="AG10" s="129">
        <f>Test!W43</f>
        <v/>
      </c>
      <c r="AH10" s="129">
        <f>Test!X43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Test!Y43</f>
        <v/>
      </c>
      <c r="AK10" s="129">
        <f>Test!Z43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Anchor!L44</f>
        <v/>
      </c>
      <c r="D11" s="129">
        <f>Anchor!M44</f>
        <v/>
      </c>
      <c r="E11" s="129">
        <f>Anchor!N44</f>
        <v/>
      </c>
      <c r="F11" s="129">
        <f>Anchor!O44</f>
        <v/>
      </c>
      <c r="G11" s="130">
        <f>('Summary (Full)'!$B$34*D11+'Summary (Full)'!$B$35*E11+'Summary (Full)'!$B$36*F11)/'Summary (Full)'!$B$37</f>
        <v/>
      </c>
      <c r="H11" s="129">
        <f>Anchor!P44</f>
        <v/>
      </c>
      <c r="I11" s="129">
        <f>Anchor!Q44</f>
        <v/>
      </c>
      <c r="J11" s="129">
        <f>Anchor!R44</f>
        <v/>
      </c>
      <c r="K11" s="129">
        <f>Anchor!S44</f>
        <v/>
      </c>
      <c r="L11" s="129">
        <f>Anchor!T44</f>
        <v/>
      </c>
      <c r="M11" s="129">
        <f>Anchor!U44</f>
        <v/>
      </c>
      <c r="N11" s="129">
        <f>Anchor!V44</f>
        <v/>
      </c>
      <c r="O11" s="129">
        <f>Anchor!W44</f>
        <v/>
      </c>
      <c r="P11" s="129">
        <f>Anchor!X44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Anchor!Y44</f>
        <v/>
      </c>
      <c r="S11" s="129">
        <f>Anchor!Z44</f>
        <v/>
      </c>
      <c r="T11" s="132" t="n"/>
      <c r="U11" s="129">
        <f>Test!L44</f>
        <v/>
      </c>
      <c r="V11" s="129">
        <f>Test!M44</f>
        <v/>
      </c>
      <c r="W11" s="129">
        <f>Test!N44</f>
        <v/>
      </c>
      <c r="X11" s="129">
        <f>Test!O44</f>
        <v/>
      </c>
      <c r="Y11" s="129">
        <f>('Summary (Full)'!$B$34*V11+'Summary (Full)'!$B$35*W11+'Summary (Full)'!$B$36*X11)/'Summary (Full)'!$B$37</f>
        <v/>
      </c>
      <c r="Z11" s="129">
        <f>Test!P44</f>
        <v/>
      </c>
      <c r="AA11" s="129">
        <f>Test!Q44</f>
        <v/>
      </c>
      <c r="AB11" s="129">
        <f>Test!R44</f>
        <v/>
      </c>
      <c r="AC11" s="129">
        <f>Test!S44</f>
        <v/>
      </c>
      <c r="AD11" s="129">
        <f>Test!T44</f>
        <v/>
      </c>
      <c r="AE11" s="129">
        <f>Test!U44</f>
        <v/>
      </c>
      <c r="AF11" s="129">
        <f>Test!V44</f>
        <v/>
      </c>
      <c r="AG11" s="129">
        <f>Test!W44</f>
        <v/>
      </c>
      <c r="AH11" s="129">
        <f>Test!X44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Test!Y44</f>
        <v/>
      </c>
      <c r="AK11" s="129">
        <f>Test!Z44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Anchor!L45</f>
        <v/>
      </c>
      <c r="D12" s="129">
        <f>Anchor!M45</f>
        <v/>
      </c>
      <c r="E12" s="129">
        <f>Anchor!N45</f>
        <v/>
      </c>
      <c r="F12" s="129">
        <f>Anchor!O45</f>
        <v/>
      </c>
      <c r="G12" s="130">
        <f>('Summary (Full)'!$B$34*D12+'Summary (Full)'!$B$35*E12+'Summary (Full)'!$B$36*F12)/'Summary (Full)'!$B$37</f>
        <v/>
      </c>
      <c r="H12" s="129">
        <f>Anchor!P45</f>
        <v/>
      </c>
      <c r="I12" s="129">
        <f>Anchor!Q45</f>
        <v/>
      </c>
      <c r="J12" s="129">
        <f>Anchor!R45</f>
        <v/>
      </c>
      <c r="K12" s="129">
        <f>Anchor!S45</f>
        <v/>
      </c>
      <c r="L12" s="129">
        <f>Anchor!T45</f>
        <v/>
      </c>
      <c r="M12" s="129">
        <f>Anchor!U45</f>
        <v/>
      </c>
      <c r="N12" s="129">
        <f>Anchor!V45</f>
        <v/>
      </c>
      <c r="O12" s="129">
        <f>Anchor!W45</f>
        <v/>
      </c>
      <c r="P12" s="129">
        <f>Anchor!X45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Anchor!Y45</f>
        <v/>
      </c>
      <c r="S12" s="129">
        <f>Anchor!Z45</f>
        <v/>
      </c>
      <c r="T12" s="132" t="n"/>
      <c r="U12" s="129">
        <f>Test!L45</f>
        <v/>
      </c>
      <c r="V12" s="129">
        <f>Test!M45</f>
        <v/>
      </c>
      <c r="W12" s="129">
        <f>Test!N45</f>
        <v/>
      </c>
      <c r="X12" s="129">
        <f>Test!O45</f>
        <v/>
      </c>
      <c r="Y12" s="129">
        <f>('Summary (Full)'!$B$34*V12+'Summary (Full)'!$B$35*W12+'Summary (Full)'!$B$36*X12)/'Summary (Full)'!$B$37</f>
        <v/>
      </c>
      <c r="Z12" s="129">
        <f>Test!P45</f>
        <v/>
      </c>
      <c r="AA12" s="129">
        <f>Test!Q45</f>
        <v/>
      </c>
      <c r="AB12" s="129">
        <f>Test!R45</f>
        <v/>
      </c>
      <c r="AC12" s="129">
        <f>Test!S45</f>
        <v/>
      </c>
      <c r="AD12" s="129">
        <f>Test!T45</f>
        <v/>
      </c>
      <c r="AE12" s="129">
        <f>Test!U45</f>
        <v/>
      </c>
      <c r="AF12" s="129">
        <f>Test!V45</f>
        <v/>
      </c>
      <c r="AG12" s="129">
        <f>Test!W45</f>
        <v/>
      </c>
      <c r="AH12" s="129">
        <f>Test!X45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Test!Y45</f>
        <v/>
      </c>
      <c r="AK12" s="129">
        <f>Test!Z45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Anchor!L46</f>
        <v/>
      </c>
      <c r="D13" s="129">
        <f>Anchor!M46</f>
        <v/>
      </c>
      <c r="E13" s="129">
        <f>Anchor!N46</f>
        <v/>
      </c>
      <c r="F13" s="129">
        <f>Anchor!O46</f>
        <v/>
      </c>
      <c r="G13" s="130">
        <f>('Summary (Full)'!$B$34*D13+'Summary (Full)'!$B$35*E13+'Summary (Full)'!$B$36*F13)/'Summary (Full)'!$B$37</f>
        <v/>
      </c>
      <c r="H13" s="129">
        <f>Anchor!P46</f>
        <v/>
      </c>
      <c r="I13" s="129">
        <f>Anchor!Q46</f>
        <v/>
      </c>
      <c r="J13" s="129">
        <f>Anchor!R46</f>
        <v/>
      </c>
      <c r="K13" s="129">
        <f>Anchor!S46</f>
        <v/>
      </c>
      <c r="L13" s="129">
        <f>Anchor!T46</f>
        <v/>
      </c>
      <c r="M13" s="129">
        <f>Anchor!U46</f>
        <v/>
      </c>
      <c r="N13" s="129">
        <f>Anchor!V46</f>
        <v/>
      </c>
      <c r="O13" s="129">
        <f>Anchor!W46</f>
        <v/>
      </c>
      <c r="P13" s="129">
        <f>Anchor!X46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Anchor!Y46</f>
        <v/>
      </c>
      <c r="S13" s="129">
        <f>Anchor!Z46</f>
        <v/>
      </c>
      <c r="T13" s="132" t="n"/>
      <c r="U13" s="129">
        <f>Test!L46</f>
        <v/>
      </c>
      <c r="V13" s="129">
        <f>Test!M46</f>
        <v/>
      </c>
      <c r="W13" s="129">
        <f>Test!N46</f>
        <v/>
      </c>
      <c r="X13" s="129">
        <f>Test!O46</f>
        <v/>
      </c>
      <c r="Y13" s="129">
        <f>('Summary (Full)'!$B$34*V13+'Summary (Full)'!$B$35*W13+'Summary (Full)'!$B$36*X13)/'Summary (Full)'!$B$37</f>
        <v/>
      </c>
      <c r="Z13" s="129">
        <f>Test!P46</f>
        <v/>
      </c>
      <c r="AA13" s="129">
        <f>Test!Q46</f>
        <v/>
      </c>
      <c r="AB13" s="129">
        <f>Test!R46</f>
        <v/>
      </c>
      <c r="AC13" s="129">
        <f>Test!S46</f>
        <v/>
      </c>
      <c r="AD13" s="129">
        <f>Test!T46</f>
        <v/>
      </c>
      <c r="AE13" s="129">
        <f>Test!U46</f>
        <v/>
      </c>
      <c r="AF13" s="129">
        <f>Test!V46</f>
        <v/>
      </c>
      <c r="AG13" s="129">
        <f>Test!W46</f>
        <v/>
      </c>
      <c r="AH13" s="129">
        <f>Test!X46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Test!Y46</f>
        <v/>
      </c>
      <c r="AK13" s="129">
        <f>Test!Z46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Anchor!L47</f>
        <v/>
      </c>
      <c r="D14" s="129">
        <f>Anchor!M47</f>
        <v/>
      </c>
      <c r="E14" s="129">
        <f>Anchor!N47</f>
        <v/>
      </c>
      <c r="F14" s="129">
        <f>Anchor!O47</f>
        <v/>
      </c>
      <c r="G14" s="130">
        <f>('Summary (Full)'!$B$34*D14+'Summary (Full)'!$B$35*E14+'Summary (Full)'!$B$36*F14)/'Summary (Full)'!$B$37</f>
        <v/>
      </c>
      <c r="H14" s="129">
        <f>Anchor!P47</f>
        <v/>
      </c>
      <c r="I14" s="129">
        <f>Anchor!Q47</f>
        <v/>
      </c>
      <c r="J14" s="129">
        <f>Anchor!R47</f>
        <v/>
      </c>
      <c r="K14" s="129">
        <f>Anchor!S47</f>
        <v/>
      </c>
      <c r="L14" s="129">
        <f>Anchor!T47</f>
        <v/>
      </c>
      <c r="M14" s="129">
        <f>Anchor!U47</f>
        <v/>
      </c>
      <c r="N14" s="129">
        <f>Anchor!V47</f>
        <v/>
      </c>
      <c r="O14" s="129">
        <f>Anchor!W47</f>
        <v/>
      </c>
      <c r="P14" s="129">
        <f>Anchor!X47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Anchor!Y47</f>
        <v/>
      </c>
      <c r="S14" s="129">
        <f>Anchor!Z47</f>
        <v/>
      </c>
      <c r="T14" s="132" t="n"/>
      <c r="U14" s="129">
        <f>Test!L47</f>
        <v/>
      </c>
      <c r="V14" s="129">
        <f>Test!M47</f>
        <v/>
      </c>
      <c r="W14" s="129">
        <f>Test!N47</f>
        <v/>
      </c>
      <c r="X14" s="129">
        <f>Test!O47</f>
        <v/>
      </c>
      <c r="Y14" s="129">
        <f>('Summary (Full)'!$B$34*V14+'Summary (Full)'!$B$35*W14+'Summary (Full)'!$B$36*X14)/'Summary (Full)'!$B$37</f>
        <v/>
      </c>
      <c r="Z14" s="129">
        <f>Test!P47</f>
        <v/>
      </c>
      <c r="AA14" s="129">
        <f>Test!Q47</f>
        <v/>
      </c>
      <c r="AB14" s="129">
        <f>Test!R47</f>
        <v/>
      </c>
      <c r="AC14" s="129">
        <f>Test!S47</f>
        <v/>
      </c>
      <c r="AD14" s="129">
        <f>Test!T47</f>
        <v/>
      </c>
      <c r="AE14" s="129">
        <f>Test!U47</f>
        <v/>
      </c>
      <c r="AF14" s="129">
        <f>Test!V47</f>
        <v/>
      </c>
      <c r="AG14" s="129">
        <f>Test!W47</f>
        <v/>
      </c>
      <c r="AH14" s="129">
        <f>Test!X47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Test!Y47</f>
        <v/>
      </c>
      <c r="AK14" s="129">
        <f>Test!Z47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Anchor!L48</f>
        <v/>
      </c>
      <c r="D15" s="129">
        <f>Anchor!M48</f>
        <v/>
      </c>
      <c r="E15" s="129">
        <f>Anchor!N48</f>
        <v/>
      </c>
      <c r="F15" s="129">
        <f>Anchor!O48</f>
        <v/>
      </c>
      <c r="G15" s="130">
        <f>('Summary (Full)'!$B$34*D15+'Summary (Full)'!$B$35*E15+'Summary (Full)'!$B$36*F15)/'Summary (Full)'!$B$37</f>
        <v/>
      </c>
      <c r="H15" s="129">
        <f>Anchor!P48</f>
        <v/>
      </c>
      <c r="I15" s="129">
        <f>Anchor!Q48</f>
        <v/>
      </c>
      <c r="J15" s="129">
        <f>Anchor!R48</f>
        <v/>
      </c>
      <c r="K15" s="129">
        <f>Anchor!S48</f>
        <v/>
      </c>
      <c r="L15" s="129">
        <f>Anchor!T48</f>
        <v/>
      </c>
      <c r="M15" s="129">
        <f>Anchor!U48</f>
        <v/>
      </c>
      <c r="N15" s="129">
        <f>Anchor!V48</f>
        <v/>
      </c>
      <c r="O15" s="129">
        <f>Anchor!W48</f>
        <v/>
      </c>
      <c r="P15" s="129">
        <f>Anchor!X48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Anchor!Y48</f>
        <v/>
      </c>
      <c r="S15" s="129">
        <f>Anchor!Z48</f>
        <v/>
      </c>
      <c r="T15" s="132" t="n"/>
      <c r="U15" s="129">
        <f>Test!L48</f>
        <v/>
      </c>
      <c r="V15" s="129">
        <f>Test!M48</f>
        <v/>
      </c>
      <c r="W15" s="129">
        <f>Test!N48</f>
        <v/>
      </c>
      <c r="X15" s="129">
        <f>Test!O48</f>
        <v/>
      </c>
      <c r="Y15" s="129">
        <f>('Summary (Full)'!$B$34*V15+'Summary (Full)'!$B$35*W15+'Summary (Full)'!$B$36*X15)/'Summary (Full)'!$B$37</f>
        <v/>
      </c>
      <c r="Z15" s="129">
        <f>Test!P48</f>
        <v/>
      </c>
      <c r="AA15" s="129">
        <f>Test!Q48</f>
        <v/>
      </c>
      <c r="AB15" s="129">
        <f>Test!R48</f>
        <v/>
      </c>
      <c r="AC15" s="129">
        <f>Test!S48</f>
        <v/>
      </c>
      <c r="AD15" s="129">
        <f>Test!T48</f>
        <v/>
      </c>
      <c r="AE15" s="129">
        <f>Test!U48</f>
        <v/>
      </c>
      <c r="AF15" s="129">
        <f>Test!V48</f>
        <v/>
      </c>
      <c r="AG15" s="129">
        <f>Test!W48</f>
        <v/>
      </c>
      <c r="AH15" s="129">
        <f>Test!X48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Test!Y48</f>
        <v/>
      </c>
      <c r="AK15" s="129">
        <f>Test!Z48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Anchor!L49</f>
        <v/>
      </c>
      <c r="D16" s="129">
        <f>Anchor!M49</f>
        <v/>
      </c>
      <c r="E16" s="129">
        <f>Anchor!N49</f>
        <v/>
      </c>
      <c r="F16" s="129">
        <f>Anchor!O49</f>
        <v/>
      </c>
      <c r="G16" s="130">
        <f>('Summary (Full)'!$B$34*D16+'Summary (Full)'!$B$35*E16+'Summary (Full)'!$B$36*F16)/'Summary (Full)'!$B$37</f>
        <v/>
      </c>
      <c r="H16" s="129">
        <f>Anchor!P49</f>
        <v/>
      </c>
      <c r="I16" s="129">
        <f>Anchor!Q49</f>
        <v/>
      </c>
      <c r="J16" s="129">
        <f>Anchor!R49</f>
        <v/>
      </c>
      <c r="K16" s="129">
        <f>Anchor!S49</f>
        <v/>
      </c>
      <c r="L16" s="129">
        <f>Anchor!T49</f>
        <v/>
      </c>
      <c r="M16" s="129">
        <f>Anchor!U49</f>
        <v/>
      </c>
      <c r="N16" s="129">
        <f>Anchor!V49</f>
        <v/>
      </c>
      <c r="O16" s="129">
        <f>Anchor!W49</f>
        <v/>
      </c>
      <c r="P16" s="129">
        <f>Anchor!X49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Anchor!Y49</f>
        <v/>
      </c>
      <c r="S16" s="129">
        <f>Anchor!Z49</f>
        <v/>
      </c>
      <c r="T16" s="132" t="n"/>
      <c r="U16" s="129">
        <f>Test!L49</f>
        <v/>
      </c>
      <c r="V16" s="129">
        <f>Test!M49</f>
        <v/>
      </c>
      <c r="W16" s="129">
        <f>Test!N49</f>
        <v/>
      </c>
      <c r="X16" s="129">
        <f>Test!O49</f>
        <v/>
      </c>
      <c r="Y16" s="129">
        <f>('Summary (Full)'!$B$34*V16+'Summary (Full)'!$B$35*W16+'Summary (Full)'!$B$36*X16)/'Summary (Full)'!$B$37</f>
        <v/>
      </c>
      <c r="Z16" s="129">
        <f>Test!P49</f>
        <v/>
      </c>
      <c r="AA16" s="129">
        <f>Test!Q49</f>
        <v/>
      </c>
      <c r="AB16" s="129">
        <f>Test!R49</f>
        <v/>
      </c>
      <c r="AC16" s="129">
        <f>Test!S49</f>
        <v/>
      </c>
      <c r="AD16" s="129">
        <f>Test!T49</f>
        <v/>
      </c>
      <c r="AE16" s="129">
        <f>Test!U49</f>
        <v/>
      </c>
      <c r="AF16" s="129">
        <f>Test!V49</f>
        <v/>
      </c>
      <c r="AG16" s="129">
        <f>Test!W49</f>
        <v/>
      </c>
      <c r="AH16" s="129">
        <f>Test!X49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Test!Y49</f>
        <v/>
      </c>
      <c r="AK16" s="129">
        <f>Test!Z49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Anchor!L50</f>
        <v/>
      </c>
      <c r="D17" s="129">
        <f>Anchor!M50</f>
        <v/>
      </c>
      <c r="E17" s="129">
        <f>Anchor!N50</f>
        <v/>
      </c>
      <c r="F17" s="129">
        <f>Anchor!O50</f>
        <v/>
      </c>
      <c r="G17" s="130">
        <f>('Summary (Full)'!$B$34*D17+'Summary (Full)'!$B$35*E17+'Summary (Full)'!$B$36*F17)/'Summary (Full)'!$B$37</f>
        <v/>
      </c>
      <c r="H17" s="129">
        <f>Anchor!P50</f>
        <v/>
      </c>
      <c r="I17" s="129">
        <f>Anchor!Q50</f>
        <v/>
      </c>
      <c r="J17" s="129">
        <f>Anchor!R50</f>
        <v/>
      </c>
      <c r="K17" s="129">
        <f>Anchor!S50</f>
        <v/>
      </c>
      <c r="L17" s="129">
        <f>Anchor!T50</f>
        <v/>
      </c>
      <c r="M17" s="129">
        <f>Anchor!U50</f>
        <v/>
      </c>
      <c r="N17" s="129">
        <f>Anchor!V50</f>
        <v/>
      </c>
      <c r="O17" s="129">
        <f>Anchor!W50</f>
        <v/>
      </c>
      <c r="P17" s="129">
        <f>Anchor!X50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Anchor!Y50</f>
        <v/>
      </c>
      <c r="S17" s="129">
        <f>Anchor!Z50</f>
        <v/>
      </c>
      <c r="T17" s="132" t="n"/>
      <c r="U17" s="129">
        <f>Test!L50</f>
        <v/>
      </c>
      <c r="V17" s="129">
        <f>Test!M50</f>
        <v/>
      </c>
      <c r="W17" s="129">
        <f>Test!N50</f>
        <v/>
      </c>
      <c r="X17" s="129">
        <f>Test!O50</f>
        <v/>
      </c>
      <c r="Y17" s="129">
        <f>('Summary (Full)'!$B$34*V17+'Summary (Full)'!$B$35*W17+'Summary (Full)'!$B$36*X17)/'Summary (Full)'!$B$37</f>
        <v/>
      </c>
      <c r="Z17" s="129">
        <f>Test!P50</f>
        <v/>
      </c>
      <c r="AA17" s="129">
        <f>Test!Q50</f>
        <v/>
      </c>
      <c r="AB17" s="129">
        <f>Test!R50</f>
        <v/>
      </c>
      <c r="AC17" s="129">
        <f>Test!S50</f>
        <v/>
      </c>
      <c r="AD17" s="129">
        <f>Test!T50</f>
        <v/>
      </c>
      <c r="AE17" s="129">
        <f>Test!U50</f>
        <v/>
      </c>
      <c r="AF17" s="129">
        <f>Test!V50</f>
        <v/>
      </c>
      <c r="AG17" s="129">
        <f>Test!W50</f>
        <v/>
      </c>
      <c r="AH17" s="129">
        <f>Test!X50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Test!Y50</f>
        <v/>
      </c>
      <c r="AK17" s="129">
        <f>Test!Z50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Anchor!L51</f>
        <v/>
      </c>
      <c r="D18" s="129">
        <f>Anchor!M51</f>
        <v/>
      </c>
      <c r="E18" s="129">
        <f>Anchor!N51</f>
        <v/>
      </c>
      <c r="F18" s="129">
        <f>Anchor!O51</f>
        <v/>
      </c>
      <c r="G18" s="130">
        <f>('Summary (Full)'!$B$34*D18+'Summary (Full)'!$B$35*E18+'Summary (Full)'!$B$36*F18)/'Summary (Full)'!$B$37</f>
        <v/>
      </c>
      <c r="H18" s="129">
        <f>Anchor!P51</f>
        <v/>
      </c>
      <c r="I18" s="129">
        <f>Anchor!Q51</f>
        <v/>
      </c>
      <c r="J18" s="129">
        <f>Anchor!R51</f>
        <v/>
      </c>
      <c r="K18" s="129">
        <f>Anchor!S51</f>
        <v/>
      </c>
      <c r="L18" s="129">
        <f>Anchor!T51</f>
        <v/>
      </c>
      <c r="M18" s="129">
        <f>Anchor!U51</f>
        <v/>
      </c>
      <c r="N18" s="129">
        <f>Anchor!V51</f>
        <v/>
      </c>
      <c r="O18" s="129">
        <f>Anchor!W51</f>
        <v/>
      </c>
      <c r="P18" s="129">
        <f>Anchor!X51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Anchor!Y51</f>
        <v/>
      </c>
      <c r="S18" s="129">
        <f>Anchor!Z51</f>
        <v/>
      </c>
      <c r="T18" s="132" t="n"/>
      <c r="U18" s="129">
        <f>Test!L51</f>
        <v/>
      </c>
      <c r="V18" s="129">
        <f>Test!M51</f>
        <v/>
      </c>
      <c r="W18" s="129">
        <f>Test!N51</f>
        <v/>
      </c>
      <c r="X18" s="129">
        <f>Test!O51</f>
        <v/>
      </c>
      <c r="Y18" s="129">
        <f>('Summary (Full)'!$B$34*V18+'Summary (Full)'!$B$35*W18+'Summary (Full)'!$B$36*X18)/'Summary (Full)'!$B$37</f>
        <v/>
      </c>
      <c r="Z18" s="129">
        <f>Test!P51</f>
        <v/>
      </c>
      <c r="AA18" s="129">
        <f>Test!Q51</f>
        <v/>
      </c>
      <c r="AB18" s="129">
        <f>Test!R51</f>
        <v/>
      </c>
      <c r="AC18" s="129">
        <f>Test!S51</f>
        <v/>
      </c>
      <c r="AD18" s="129">
        <f>Test!T51</f>
        <v/>
      </c>
      <c r="AE18" s="129">
        <f>Test!U51</f>
        <v/>
      </c>
      <c r="AF18" s="129">
        <f>Test!V51</f>
        <v/>
      </c>
      <c r="AG18" s="129">
        <f>Test!W51</f>
        <v/>
      </c>
      <c r="AH18" s="129">
        <f>Test!X51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Test!Y51</f>
        <v/>
      </c>
      <c r="AK18" s="129">
        <f>Test!Z51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Anchor!L52</f>
        <v/>
      </c>
      <c r="D19" s="129">
        <f>Anchor!M52</f>
        <v/>
      </c>
      <c r="E19" s="129">
        <f>Anchor!N52</f>
        <v/>
      </c>
      <c r="F19" s="129">
        <f>Anchor!O52</f>
        <v/>
      </c>
      <c r="G19" s="130">
        <f>('Summary (Full)'!$B$34*D19+'Summary (Full)'!$B$35*E19+'Summary (Full)'!$B$36*F19)/'Summary (Full)'!$B$37</f>
        <v/>
      </c>
      <c r="H19" s="129">
        <f>Anchor!P52</f>
        <v/>
      </c>
      <c r="I19" s="129">
        <f>Anchor!Q52</f>
        <v/>
      </c>
      <c r="J19" s="129">
        <f>Anchor!R52</f>
        <v/>
      </c>
      <c r="K19" s="129">
        <f>Anchor!S52</f>
        <v/>
      </c>
      <c r="L19" s="129">
        <f>Anchor!T52</f>
        <v/>
      </c>
      <c r="M19" s="129">
        <f>Anchor!U52</f>
        <v/>
      </c>
      <c r="N19" s="129">
        <f>Anchor!V52</f>
        <v/>
      </c>
      <c r="O19" s="129">
        <f>Anchor!W52</f>
        <v/>
      </c>
      <c r="P19" s="129">
        <f>Anchor!X52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Anchor!Y52</f>
        <v/>
      </c>
      <c r="S19" s="129">
        <f>Anchor!Z52</f>
        <v/>
      </c>
      <c r="T19" s="132" t="n"/>
      <c r="U19" s="129">
        <f>Test!L52</f>
        <v/>
      </c>
      <c r="V19" s="129">
        <f>Test!M52</f>
        <v/>
      </c>
      <c r="W19" s="129">
        <f>Test!N52</f>
        <v/>
      </c>
      <c r="X19" s="129">
        <f>Test!O52</f>
        <v/>
      </c>
      <c r="Y19" s="129">
        <f>('Summary (Full)'!$B$34*V19+'Summary (Full)'!$B$35*W19+'Summary (Full)'!$B$36*X19)/'Summary (Full)'!$B$37</f>
        <v/>
      </c>
      <c r="Z19" s="129">
        <f>Test!P52</f>
        <v/>
      </c>
      <c r="AA19" s="129">
        <f>Test!Q52</f>
        <v/>
      </c>
      <c r="AB19" s="129">
        <f>Test!R52</f>
        <v/>
      </c>
      <c r="AC19" s="129">
        <f>Test!S52</f>
        <v/>
      </c>
      <c r="AD19" s="129">
        <f>Test!T52</f>
        <v/>
      </c>
      <c r="AE19" s="129">
        <f>Test!U52</f>
        <v/>
      </c>
      <c r="AF19" s="129">
        <f>Test!V52</f>
        <v/>
      </c>
      <c r="AG19" s="129">
        <f>Test!W52</f>
        <v/>
      </c>
      <c r="AH19" s="129">
        <f>Test!X52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Test!Y52</f>
        <v/>
      </c>
      <c r="AK19" s="129">
        <f>Test!Z52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Anchor!L53</f>
        <v/>
      </c>
      <c r="D20" s="129">
        <f>Anchor!M53</f>
        <v/>
      </c>
      <c r="E20" s="129">
        <f>Anchor!N53</f>
        <v/>
      </c>
      <c r="F20" s="129">
        <f>Anchor!O53</f>
        <v/>
      </c>
      <c r="G20" s="130">
        <f>('Summary (Full)'!$B$34*D20+'Summary (Full)'!$B$35*E20+'Summary (Full)'!$B$36*F20)/'Summary (Full)'!$B$37</f>
        <v/>
      </c>
      <c r="H20" s="129">
        <f>Anchor!P53</f>
        <v/>
      </c>
      <c r="I20" s="129">
        <f>Anchor!Q53</f>
        <v/>
      </c>
      <c r="J20" s="129">
        <f>Anchor!R53</f>
        <v/>
      </c>
      <c r="K20" s="129">
        <f>Anchor!S53</f>
        <v/>
      </c>
      <c r="L20" s="129">
        <f>Anchor!T53</f>
        <v/>
      </c>
      <c r="M20" s="129">
        <f>Anchor!U53</f>
        <v/>
      </c>
      <c r="N20" s="129">
        <f>Anchor!V53</f>
        <v/>
      </c>
      <c r="O20" s="129">
        <f>Anchor!W53</f>
        <v/>
      </c>
      <c r="P20" s="129">
        <f>Anchor!X53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Anchor!Y53</f>
        <v/>
      </c>
      <c r="S20" s="129">
        <f>Anchor!Z53</f>
        <v/>
      </c>
      <c r="T20" s="132" t="n"/>
      <c r="U20" s="129">
        <f>Test!L53</f>
        <v/>
      </c>
      <c r="V20" s="129">
        <f>Test!M53</f>
        <v/>
      </c>
      <c r="W20" s="129">
        <f>Test!N53</f>
        <v/>
      </c>
      <c r="X20" s="129">
        <f>Test!O53</f>
        <v/>
      </c>
      <c r="Y20" s="129">
        <f>('Summary (Full)'!$B$34*V20+'Summary (Full)'!$B$35*W20+'Summary (Full)'!$B$36*X20)/'Summary (Full)'!$B$37</f>
        <v/>
      </c>
      <c r="Z20" s="129">
        <f>Test!P53</f>
        <v/>
      </c>
      <c r="AA20" s="129">
        <f>Test!Q53</f>
        <v/>
      </c>
      <c r="AB20" s="129">
        <f>Test!R53</f>
        <v/>
      </c>
      <c r="AC20" s="129">
        <f>Test!S53</f>
        <v/>
      </c>
      <c r="AD20" s="129">
        <f>Test!T53</f>
        <v/>
      </c>
      <c r="AE20" s="129">
        <f>Test!U53</f>
        <v/>
      </c>
      <c r="AF20" s="129">
        <f>Test!V53</f>
        <v/>
      </c>
      <c r="AG20" s="129">
        <f>Test!W53</f>
        <v/>
      </c>
      <c r="AH20" s="129">
        <f>Test!X53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Test!Y53</f>
        <v/>
      </c>
      <c r="AK20" s="129">
        <f>Test!Z53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Anchor!L54</f>
        <v/>
      </c>
      <c r="D21" s="129">
        <f>Anchor!M54</f>
        <v/>
      </c>
      <c r="E21" s="129">
        <f>Anchor!N54</f>
        <v/>
      </c>
      <c r="F21" s="129">
        <f>Anchor!O54</f>
        <v/>
      </c>
      <c r="G21" s="130">
        <f>('Summary (Full)'!$B$34*D21+'Summary (Full)'!$B$35*E21+'Summary (Full)'!$B$36*F21)/'Summary (Full)'!$B$37</f>
        <v/>
      </c>
      <c r="H21" s="129">
        <f>Anchor!P54</f>
        <v/>
      </c>
      <c r="I21" s="129">
        <f>Anchor!Q54</f>
        <v/>
      </c>
      <c r="J21" s="129">
        <f>Anchor!R54</f>
        <v/>
      </c>
      <c r="K21" s="129">
        <f>Anchor!S54</f>
        <v/>
      </c>
      <c r="L21" s="129">
        <f>Anchor!T54</f>
        <v/>
      </c>
      <c r="M21" s="129">
        <f>Anchor!U54</f>
        <v/>
      </c>
      <c r="N21" s="129">
        <f>Anchor!V54</f>
        <v/>
      </c>
      <c r="O21" s="129">
        <f>Anchor!W54</f>
        <v/>
      </c>
      <c r="P21" s="129">
        <f>Anchor!X54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Anchor!Y54</f>
        <v/>
      </c>
      <c r="S21" s="129">
        <f>Anchor!Z54</f>
        <v/>
      </c>
      <c r="T21" s="132" t="n"/>
      <c r="U21" s="129">
        <f>Test!L54</f>
        <v/>
      </c>
      <c r="V21" s="129">
        <f>Test!M54</f>
        <v/>
      </c>
      <c r="W21" s="129">
        <f>Test!N54</f>
        <v/>
      </c>
      <c r="X21" s="129">
        <f>Test!O54</f>
        <v/>
      </c>
      <c r="Y21" s="129">
        <f>('Summary (Full)'!$B$34*V21+'Summary (Full)'!$B$35*W21+'Summary (Full)'!$B$36*X21)/'Summary (Full)'!$B$37</f>
        <v/>
      </c>
      <c r="Z21" s="129">
        <f>Test!P54</f>
        <v/>
      </c>
      <c r="AA21" s="129">
        <f>Test!Q54</f>
        <v/>
      </c>
      <c r="AB21" s="129">
        <f>Test!R54</f>
        <v/>
      </c>
      <c r="AC21" s="129">
        <f>Test!S54</f>
        <v/>
      </c>
      <c r="AD21" s="129">
        <f>Test!T54</f>
        <v/>
      </c>
      <c r="AE21" s="129">
        <f>Test!U54</f>
        <v/>
      </c>
      <c r="AF21" s="129">
        <f>Test!V54</f>
        <v/>
      </c>
      <c r="AG21" s="129">
        <f>Test!W54</f>
        <v/>
      </c>
      <c r="AH21" s="129">
        <f>Test!X54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Test!Y54</f>
        <v/>
      </c>
      <c r="AK21" s="129">
        <f>Test!Z54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Anchor!L55</f>
        <v/>
      </c>
      <c r="D22" s="129">
        <f>Anchor!M55</f>
        <v/>
      </c>
      <c r="E22" s="129">
        <f>Anchor!N55</f>
        <v/>
      </c>
      <c r="F22" s="129">
        <f>Anchor!O55</f>
        <v/>
      </c>
      <c r="G22" s="130">
        <f>('Summary (Full)'!$B$34*D22+'Summary (Full)'!$B$35*E22+'Summary (Full)'!$B$36*F22)/'Summary (Full)'!$B$37</f>
        <v/>
      </c>
      <c r="H22" s="129">
        <f>Anchor!P55</f>
        <v/>
      </c>
      <c r="I22" s="129">
        <f>Anchor!Q55</f>
        <v/>
      </c>
      <c r="J22" s="129">
        <f>Anchor!R55</f>
        <v/>
      </c>
      <c r="K22" s="129">
        <f>Anchor!S55</f>
        <v/>
      </c>
      <c r="L22" s="129">
        <f>Anchor!T55</f>
        <v/>
      </c>
      <c r="M22" s="129">
        <f>Anchor!U55</f>
        <v/>
      </c>
      <c r="N22" s="129">
        <f>Anchor!V55</f>
        <v/>
      </c>
      <c r="O22" s="129">
        <f>Anchor!W55</f>
        <v/>
      </c>
      <c r="P22" s="129">
        <f>Anchor!X55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Anchor!Y55</f>
        <v/>
      </c>
      <c r="S22" s="129">
        <f>Anchor!Z55</f>
        <v/>
      </c>
      <c r="T22" s="132" t="n"/>
      <c r="U22" s="129">
        <f>Test!L55</f>
        <v/>
      </c>
      <c r="V22" s="129">
        <f>Test!M55</f>
        <v/>
      </c>
      <c r="W22" s="129">
        <f>Test!N55</f>
        <v/>
      </c>
      <c r="X22" s="129">
        <f>Test!O55</f>
        <v/>
      </c>
      <c r="Y22" s="129">
        <f>('Summary (Full)'!$B$34*V22+'Summary (Full)'!$B$35*W22+'Summary (Full)'!$B$36*X22)/'Summary (Full)'!$B$37</f>
        <v/>
      </c>
      <c r="Z22" s="129">
        <f>Test!P55</f>
        <v/>
      </c>
      <c r="AA22" s="129">
        <f>Test!Q55</f>
        <v/>
      </c>
      <c r="AB22" s="129">
        <f>Test!R55</f>
        <v/>
      </c>
      <c r="AC22" s="129">
        <f>Test!S55</f>
        <v/>
      </c>
      <c r="AD22" s="129">
        <f>Test!T55</f>
        <v/>
      </c>
      <c r="AE22" s="129">
        <f>Test!U55</f>
        <v/>
      </c>
      <c r="AF22" s="129">
        <f>Test!V55</f>
        <v/>
      </c>
      <c r="AG22" s="129">
        <f>Test!W55</f>
        <v/>
      </c>
      <c r="AH22" s="129">
        <f>Test!X55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Test!Y55</f>
        <v/>
      </c>
      <c r="AK22" s="129">
        <f>Test!Z55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Anchor!L56</f>
        <v/>
      </c>
      <c r="D23" s="129">
        <f>Anchor!M56</f>
        <v/>
      </c>
      <c r="E23" s="129">
        <f>Anchor!N56</f>
        <v/>
      </c>
      <c r="F23" s="129">
        <f>Anchor!O56</f>
        <v/>
      </c>
      <c r="G23" s="130">
        <f>('Summary (Full)'!$B$34*D23+'Summary (Full)'!$B$35*E23+'Summary (Full)'!$B$36*F23)/'Summary (Full)'!$B$37</f>
        <v/>
      </c>
      <c r="H23" s="129">
        <f>Anchor!P56</f>
        <v/>
      </c>
      <c r="I23" s="129">
        <f>Anchor!Q56</f>
        <v/>
      </c>
      <c r="J23" s="129">
        <f>Anchor!R56</f>
        <v/>
      </c>
      <c r="K23" s="129">
        <f>Anchor!S56</f>
        <v/>
      </c>
      <c r="L23" s="129">
        <f>Anchor!T56</f>
        <v/>
      </c>
      <c r="M23" s="129">
        <f>Anchor!U56</f>
        <v/>
      </c>
      <c r="N23" s="129">
        <f>Anchor!V56</f>
        <v/>
      </c>
      <c r="O23" s="129">
        <f>Anchor!W56</f>
        <v/>
      </c>
      <c r="P23" s="129">
        <f>Anchor!X56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Anchor!Y56</f>
        <v/>
      </c>
      <c r="S23" s="129">
        <f>Anchor!Z56</f>
        <v/>
      </c>
      <c r="T23" s="132" t="n"/>
      <c r="U23" s="129">
        <f>Test!L56</f>
        <v/>
      </c>
      <c r="V23" s="129">
        <f>Test!M56</f>
        <v/>
      </c>
      <c r="W23" s="129">
        <f>Test!N56</f>
        <v/>
      </c>
      <c r="X23" s="129">
        <f>Test!O56</f>
        <v/>
      </c>
      <c r="Y23" s="129">
        <f>('Summary (Full)'!$B$34*V23+'Summary (Full)'!$B$35*W23+'Summary (Full)'!$B$36*X23)/'Summary (Full)'!$B$37</f>
        <v/>
      </c>
      <c r="Z23" s="129">
        <f>Test!P56</f>
        <v/>
      </c>
      <c r="AA23" s="129">
        <f>Test!Q56</f>
        <v/>
      </c>
      <c r="AB23" s="129">
        <f>Test!R56</f>
        <v/>
      </c>
      <c r="AC23" s="129">
        <f>Test!S56</f>
        <v/>
      </c>
      <c r="AD23" s="129">
        <f>Test!T56</f>
        <v/>
      </c>
      <c r="AE23" s="129">
        <f>Test!U56</f>
        <v/>
      </c>
      <c r="AF23" s="129">
        <f>Test!V56</f>
        <v/>
      </c>
      <c r="AG23" s="129">
        <f>Test!W56</f>
        <v/>
      </c>
      <c r="AH23" s="129">
        <f>Test!X56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Test!Y56</f>
        <v/>
      </c>
      <c r="AK23" s="129">
        <f>Test!Z56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Anchor!L57</f>
        <v/>
      </c>
      <c r="D24" s="129">
        <f>Anchor!M57</f>
        <v/>
      </c>
      <c r="E24" s="129">
        <f>Anchor!N57</f>
        <v/>
      </c>
      <c r="F24" s="129">
        <f>Anchor!O57</f>
        <v/>
      </c>
      <c r="G24" s="130">
        <f>('Summary (Full)'!$B$34*D24+'Summary (Full)'!$B$35*E24+'Summary (Full)'!$B$36*F24)/'Summary (Full)'!$B$37</f>
        <v/>
      </c>
      <c r="H24" s="129">
        <f>Anchor!P57</f>
        <v/>
      </c>
      <c r="I24" s="129">
        <f>Anchor!Q57</f>
        <v/>
      </c>
      <c r="J24" s="129">
        <f>Anchor!R57</f>
        <v/>
      </c>
      <c r="K24" s="129">
        <f>Anchor!S57</f>
        <v/>
      </c>
      <c r="L24" s="129">
        <f>Anchor!T57</f>
        <v/>
      </c>
      <c r="M24" s="129">
        <f>Anchor!U57</f>
        <v/>
      </c>
      <c r="N24" s="129">
        <f>Anchor!V57</f>
        <v/>
      </c>
      <c r="O24" s="129">
        <f>Anchor!W57</f>
        <v/>
      </c>
      <c r="P24" s="129">
        <f>Anchor!X57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Anchor!Y57</f>
        <v/>
      </c>
      <c r="S24" s="129">
        <f>Anchor!Z57</f>
        <v/>
      </c>
      <c r="T24" s="132" t="n"/>
      <c r="U24" s="129">
        <f>Test!L57</f>
        <v/>
      </c>
      <c r="V24" s="129">
        <f>Test!M57</f>
        <v/>
      </c>
      <c r="W24" s="129">
        <f>Test!N57</f>
        <v/>
      </c>
      <c r="X24" s="129">
        <f>Test!O57</f>
        <v/>
      </c>
      <c r="Y24" s="129">
        <f>('Summary (Full)'!$B$34*V24+'Summary (Full)'!$B$35*W24+'Summary (Full)'!$B$36*X24)/'Summary (Full)'!$B$37</f>
        <v/>
      </c>
      <c r="Z24" s="129">
        <f>Test!P57</f>
        <v/>
      </c>
      <c r="AA24" s="129">
        <f>Test!Q57</f>
        <v/>
      </c>
      <c r="AB24" s="129">
        <f>Test!R57</f>
        <v/>
      </c>
      <c r="AC24" s="129">
        <f>Test!S57</f>
        <v/>
      </c>
      <c r="AD24" s="129">
        <f>Test!T57</f>
        <v/>
      </c>
      <c r="AE24" s="129">
        <f>Test!U57</f>
        <v/>
      </c>
      <c r="AF24" s="129">
        <f>Test!V57</f>
        <v/>
      </c>
      <c r="AG24" s="129">
        <f>Test!W57</f>
        <v/>
      </c>
      <c r="AH24" s="129">
        <f>Test!X57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Test!Y57</f>
        <v/>
      </c>
      <c r="AK24" s="129">
        <f>Test!Z57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Anchor!L58</f>
        <v/>
      </c>
      <c r="D25" s="129">
        <f>Anchor!M58</f>
        <v/>
      </c>
      <c r="E25" s="129">
        <f>Anchor!N58</f>
        <v/>
      </c>
      <c r="F25" s="129">
        <f>Anchor!O58</f>
        <v/>
      </c>
      <c r="G25" s="130">
        <f>('Summary (Full)'!$B$34*D25+'Summary (Full)'!$B$35*E25+'Summary (Full)'!$B$36*F25)/'Summary (Full)'!$B$37</f>
        <v/>
      </c>
      <c r="H25" s="129">
        <f>Anchor!P58</f>
        <v/>
      </c>
      <c r="I25" s="129">
        <f>Anchor!Q58</f>
        <v/>
      </c>
      <c r="J25" s="129">
        <f>Anchor!R58</f>
        <v/>
      </c>
      <c r="K25" s="129">
        <f>Anchor!S58</f>
        <v/>
      </c>
      <c r="L25" s="129">
        <f>Anchor!T58</f>
        <v/>
      </c>
      <c r="M25" s="129">
        <f>Anchor!U58</f>
        <v/>
      </c>
      <c r="N25" s="129">
        <f>Anchor!V58</f>
        <v/>
      </c>
      <c r="O25" s="129">
        <f>Anchor!W58</f>
        <v/>
      </c>
      <c r="P25" s="129">
        <f>Anchor!X58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Anchor!Y58</f>
        <v/>
      </c>
      <c r="S25" s="129">
        <f>Anchor!Z58</f>
        <v/>
      </c>
      <c r="T25" s="132" t="n"/>
      <c r="U25" s="129">
        <f>Test!L58</f>
        <v/>
      </c>
      <c r="V25" s="129">
        <f>Test!M58</f>
        <v/>
      </c>
      <c r="W25" s="129">
        <f>Test!N58</f>
        <v/>
      </c>
      <c r="X25" s="129">
        <f>Test!O58</f>
        <v/>
      </c>
      <c r="Y25" s="129">
        <f>('Summary (Full)'!$B$34*V25+'Summary (Full)'!$B$35*W25+'Summary (Full)'!$B$36*X25)/'Summary (Full)'!$B$37</f>
        <v/>
      </c>
      <c r="Z25" s="129">
        <f>Test!P58</f>
        <v/>
      </c>
      <c r="AA25" s="129">
        <f>Test!Q58</f>
        <v/>
      </c>
      <c r="AB25" s="129">
        <f>Test!R58</f>
        <v/>
      </c>
      <c r="AC25" s="129">
        <f>Test!S58</f>
        <v/>
      </c>
      <c r="AD25" s="129">
        <f>Test!T58</f>
        <v/>
      </c>
      <c r="AE25" s="129">
        <f>Test!U58</f>
        <v/>
      </c>
      <c r="AF25" s="129">
        <f>Test!V58</f>
        <v/>
      </c>
      <c r="AG25" s="129">
        <f>Test!W58</f>
        <v/>
      </c>
      <c r="AH25" s="129">
        <f>Test!X58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Test!Y58</f>
        <v/>
      </c>
      <c r="AK25" s="129">
        <f>Test!Z58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Anchor!L59</f>
        <v/>
      </c>
      <c r="D26" s="129">
        <f>Anchor!M59</f>
        <v/>
      </c>
      <c r="E26" s="129">
        <f>Anchor!N59</f>
        <v/>
      </c>
      <c r="F26" s="129">
        <f>Anchor!O59</f>
        <v/>
      </c>
      <c r="G26" s="130">
        <f>('Summary (Full)'!$B$34*D26+'Summary (Full)'!$B$35*E26+'Summary (Full)'!$B$36*F26)/'Summary (Full)'!$B$37</f>
        <v/>
      </c>
      <c r="H26" s="129">
        <f>Anchor!P59</f>
        <v/>
      </c>
      <c r="I26" s="129">
        <f>Anchor!Q59</f>
        <v/>
      </c>
      <c r="J26" s="129">
        <f>Anchor!R59</f>
        <v/>
      </c>
      <c r="K26" s="129">
        <f>Anchor!S59</f>
        <v/>
      </c>
      <c r="L26" s="129">
        <f>Anchor!T59</f>
        <v/>
      </c>
      <c r="M26" s="129">
        <f>Anchor!U59</f>
        <v/>
      </c>
      <c r="N26" s="129">
        <f>Anchor!V59</f>
        <v/>
      </c>
      <c r="O26" s="129">
        <f>Anchor!W59</f>
        <v/>
      </c>
      <c r="P26" s="129">
        <f>Anchor!X59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Anchor!Y59</f>
        <v/>
      </c>
      <c r="S26" s="129">
        <f>Anchor!Z59</f>
        <v/>
      </c>
      <c r="T26" s="132" t="n"/>
      <c r="U26" s="129">
        <f>Test!L59</f>
        <v/>
      </c>
      <c r="V26" s="129">
        <f>Test!M59</f>
        <v/>
      </c>
      <c r="W26" s="129">
        <f>Test!N59</f>
        <v/>
      </c>
      <c r="X26" s="129">
        <f>Test!O59</f>
        <v/>
      </c>
      <c r="Y26" s="129">
        <f>('Summary (Full)'!$B$34*V26+'Summary (Full)'!$B$35*W26+'Summary (Full)'!$B$36*X26)/'Summary (Full)'!$B$37</f>
        <v/>
      </c>
      <c r="Z26" s="129">
        <f>Test!P59</f>
        <v/>
      </c>
      <c r="AA26" s="129">
        <f>Test!Q59</f>
        <v/>
      </c>
      <c r="AB26" s="129">
        <f>Test!R59</f>
        <v/>
      </c>
      <c r="AC26" s="129">
        <f>Test!S59</f>
        <v/>
      </c>
      <c r="AD26" s="129">
        <f>Test!T59</f>
        <v/>
      </c>
      <c r="AE26" s="129">
        <f>Test!U59</f>
        <v/>
      </c>
      <c r="AF26" s="129">
        <f>Test!V59</f>
        <v/>
      </c>
      <c r="AG26" s="129">
        <f>Test!W59</f>
        <v/>
      </c>
      <c r="AH26" s="129">
        <f>Test!X59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Test!Y59</f>
        <v/>
      </c>
      <c r="AK26" s="129">
        <f>Test!Z59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Anchor!L60</f>
        <v/>
      </c>
      <c r="D27" s="129">
        <f>Anchor!M60</f>
        <v/>
      </c>
      <c r="E27" s="129">
        <f>Anchor!N60</f>
        <v/>
      </c>
      <c r="F27" s="129">
        <f>Anchor!O60</f>
        <v/>
      </c>
      <c r="G27" s="130">
        <f>('Summary (Full)'!$B$34*D27+'Summary (Full)'!$B$35*E27+'Summary (Full)'!$B$36*F27)/'Summary (Full)'!$B$37</f>
        <v/>
      </c>
      <c r="H27" s="129">
        <f>Anchor!P60</f>
        <v/>
      </c>
      <c r="I27" s="129">
        <f>Anchor!Q60</f>
        <v/>
      </c>
      <c r="J27" s="129">
        <f>Anchor!R60</f>
        <v/>
      </c>
      <c r="K27" s="129">
        <f>Anchor!S60</f>
        <v/>
      </c>
      <c r="L27" s="129">
        <f>Anchor!T60</f>
        <v/>
      </c>
      <c r="M27" s="129">
        <f>Anchor!U60</f>
        <v/>
      </c>
      <c r="N27" s="129">
        <f>Anchor!V60</f>
        <v/>
      </c>
      <c r="O27" s="129">
        <f>Anchor!W60</f>
        <v/>
      </c>
      <c r="P27" s="129">
        <f>Anchor!X60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Anchor!Y60</f>
        <v/>
      </c>
      <c r="S27" s="129">
        <f>Anchor!Z60</f>
        <v/>
      </c>
      <c r="T27" s="132" t="n"/>
      <c r="U27" s="129">
        <f>Test!L60</f>
        <v/>
      </c>
      <c r="V27" s="129">
        <f>Test!M60</f>
        <v/>
      </c>
      <c r="W27" s="129">
        <f>Test!N60</f>
        <v/>
      </c>
      <c r="X27" s="129">
        <f>Test!O60</f>
        <v/>
      </c>
      <c r="Y27" s="129">
        <f>('Summary (Full)'!$B$34*V27+'Summary (Full)'!$B$35*W27+'Summary (Full)'!$B$36*X27)/'Summary (Full)'!$B$37</f>
        <v/>
      </c>
      <c r="Z27" s="129">
        <f>Test!P60</f>
        <v/>
      </c>
      <c r="AA27" s="129">
        <f>Test!Q60</f>
        <v/>
      </c>
      <c r="AB27" s="129">
        <f>Test!R60</f>
        <v/>
      </c>
      <c r="AC27" s="129">
        <f>Test!S60</f>
        <v/>
      </c>
      <c r="AD27" s="129">
        <f>Test!T60</f>
        <v/>
      </c>
      <c r="AE27" s="129">
        <f>Test!U60</f>
        <v/>
      </c>
      <c r="AF27" s="129">
        <f>Test!V60</f>
        <v/>
      </c>
      <c r="AG27" s="129">
        <f>Test!W60</f>
        <v/>
      </c>
      <c r="AH27" s="129">
        <f>Test!X60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Test!Y60</f>
        <v/>
      </c>
      <c r="AK27" s="129">
        <f>Test!Z60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Anchor!L61</f>
        <v/>
      </c>
      <c r="D28" s="129">
        <f>Anchor!M61</f>
        <v/>
      </c>
      <c r="E28" s="129">
        <f>Anchor!N61</f>
        <v/>
      </c>
      <c r="F28" s="129">
        <f>Anchor!O61</f>
        <v/>
      </c>
      <c r="G28" s="130">
        <f>('Summary (Full)'!$B$34*D28+'Summary (Full)'!$B$35*E28+'Summary (Full)'!$B$36*F28)/'Summary (Full)'!$B$37</f>
        <v/>
      </c>
      <c r="H28" s="129">
        <f>Anchor!P61</f>
        <v/>
      </c>
      <c r="I28" s="129">
        <f>Anchor!Q61</f>
        <v/>
      </c>
      <c r="J28" s="129">
        <f>Anchor!R61</f>
        <v/>
      </c>
      <c r="K28" s="129">
        <f>Anchor!S61</f>
        <v/>
      </c>
      <c r="L28" s="129">
        <f>Anchor!T61</f>
        <v/>
      </c>
      <c r="M28" s="129">
        <f>Anchor!U61</f>
        <v/>
      </c>
      <c r="N28" s="129">
        <f>Anchor!V61</f>
        <v/>
      </c>
      <c r="O28" s="129">
        <f>Anchor!W61</f>
        <v/>
      </c>
      <c r="P28" s="129">
        <f>Anchor!X61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Anchor!Y61</f>
        <v/>
      </c>
      <c r="S28" s="129">
        <f>Anchor!Z61</f>
        <v/>
      </c>
      <c r="T28" s="132" t="n"/>
      <c r="U28" s="129">
        <f>Test!L61</f>
        <v/>
      </c>
      <c r="V28" s="129">
        <f>Test!M61</f>
        <v/>
      </c>
      <c r="W28" s="129">
        <f>Test!N61</f>
        <v/>
      </c>
      <c r="X28" s="129">
        <f>Test!O61</f>
        <v/>
      </c>
      <c r="Y28" s="129">
        <f>('Summary (Full)'!$B$34*V28+'Summary (Full)'!$B$35*W28+'Summary (Full)'!$B$36*X28)/'Summary (Full)'!$B$37</f>
        <v/>
      </c>
      <c r="Z28" s="129">
        <f>Test!P61</f>
        <v/>
      </c>
      <c r="AA28" s="129">
        <f>Test!Q61</f>
        <v/>
      </c>
      <c r="AB28" s="129">
        <f>Test!R61</f>
        <v/>
      </c>
      <c r="AC28" s="129">
        <f>Test!S61</f>
        <v/>
      </c>
      <c r="AD28" s="129">
        <f>Test!T61</f>
        <v/>
      </c>
      <c r="AE28" s="129">
        <f>Test!U61</f>
        <v/>
      </c>
      <c r="AF28" s="129">
        <f>Test!V61</f>
        <v/>
      </c>
      <c r="AG28" s="129">
        <f>Test!W61</f>
        <v/>
      </c>
      <c r="AH28" s="129">
        <f>Test!X61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Test!Y61</f>
        <v/>
      </c>
      <c r="AK28" s="129">
        <f>Test!Z61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Anchor!L62</f>
        <v/>
      </c>
      <c r="D29" s="129">
        <f>Anchor!M62</f>
        <v/>
      </c>
      <c r="E29" s="129">
        <f>Anchor!N62</f>
        <v/>
      </c>
      <c r="F29" s="129">
        <f>Anchor!O62</f>
        <v/>
      </c>
      <c r="G29" s="130">
        <f>('Summary (Full)'!$B$34*D29+'Summary (Full)'!$B$35*E29+'Summary (Full)'!$B$36*F29)/'Summary (Full)'!$B$37</f>
        <v/>
      </c>
      <c r="H29" s="129">
        <f>Anchor!P62</f>
        <v/>
      </c>
      <c r="I29" s="129">
        <f>Anchor!Q62</f>
        <v/>
      </c>
      <c r="J29" s="129">
        <f>Anchor!R62</f>
        <v/>
      </c>
      <c r="K29" s="129">
        <f>Anchor!S62</f>
        <v/>
      </c>
      <c r="L29" s="129">
        <f>Anchor!T62</f>
        <v/>
      </c>
      <c r="M29" s="129">
        <f>Anchor!U62</f>
        <v/>
      </c>
      <c r="N29" s="129">
        <f>Anchor!V62</f>
        <v/>
      </c>
      <c r="O29" s="129">
        <f>Anchor!W62</f>
        <v/>
      </c>
      <c r="P29" s="129">
        <f>Anchor!X62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Anchor!Y62</f>
        <v/>
      </c>
      <c r="S29" s="129">
        <f>Anchor!Z62</f>
        <v/>
      </c>
      <c r="T29" s="132" t="n"/>
      <c r="U29" s="129">
        <f>Test!L62</f>
        <v/>
      </c>
      <c r="V29" s="129">
        <f>Test!M62</f>
        <v/>
      </c>
      <c r="W29" s="129">
        <f>Test!N62</f>
        <v/>
      </c>
      <c r="X29" s="129">
        <f>Test!O62</f>
        <v/>
      </c>
      <c r="Y29" s="129">
        <f>('Summary (Full)'!$B$34*V29+'Summary (Full)'!$B$35*W29+'Summary (Full)'!$B$36*X29)/'Summary (Full)'!$B$37</f>
        <v/>
      </c>
      <c r="Z29" s="129">
        <f>Test!P62</f>
        <v/>
      </c>
      <c r="AA29" s="129">
        <f>Test!Q62</f>
        <v/>
      </c>
      <c r="AB29" s="129">
        <f>Test!R62</f>
        <v/>
      </c>
      <c r="AC29" s="129">
        <f>Test!S62</f>
        <v/>
      </c>
      <c r="AD29" s="129">
        <f>Test!T62</f>
        <v/>
      </c>
      <c r="AE29" s="129">
        <f>Test!U62</f>
        <v/>
      </c>
      <c r="AF29" s="129">
        <f>Test!V62</f>
        <v/>
      </c>
      <c r="AG29" s="129">
        <f>Test!W62</f>
        <v/>
      </c>
      <c r="AH29" s="129">
        <f>Test!X62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Test!Y62</f>
        <v/>
      </c>
      <c r="AK29" s="129">
        <f>Test!Z62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Anchor!L63</f>
        <v/>
      </c>
      <c r="D30" s="129">
        <f>Anchor!M63</f>
        <v/>
      </c>
      <c r="E30" s="129">
        <f>Anchor!N63</f>
        <v/>
      </c>
      <c r="F30" s="129">
        <f>Anchor!O63</f>
        <v/>
      </c>
      <c r="G30" s="130">
        <f>('Summary (Full)'!$B$34*D30+'Summary (Full)'!$B$35*E30+'Summary (Full)'!$B$36*F30)/'Summary (Full)'!$B$37</f>
        <v/>
      </c>
      <c r="H30" s="129">
        <f>Anchor!P63</f>
        <v/>
      </c>
      <c r="I30" s="129">
        <f>Anchor!Q63</f>
        <v/>
      </c>
      <c r="J30" s="129">
        <f>Anchor!R63</f>
        <v/>
      </c>
      <c r="K30" s="129">
        <f>Anchor!S63</f>
        <v/>
      </c>
      <c r="L30" s="129">
        <f>Anchor!T63</f>
        <v/>
      </c>
      <c r="M30" s="129">
        <f>Anchor!U63</f>
        <v/>
      </c>
      <c r="N30" s="129">
        <f>Anchor!V63</f>
        <v/>
      </c>
      <c r="O30" s="129">
        <f>Anchor!W63</f>
        <v/>
      </c>
      <c r="P30" s="129">
        <f>Anchor!X63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Anchor!Y63</f>
        <v/>
      </c>
      <c r="S30" s="129">
        <f>Anchor!Z63</f>
        <v/>
      </c>
      <c r="T30" s="132" t="n"/>
      <c r="U30" s="129">
        <f>Test!L63</f>
        <v/>
      </c>
      <c r="V30" s="129">
        <f>Test!M63</f>
        <v/>
      </c>
      <c r="W30" s="129">
        <f>Test!N63</f>
        <v/>
      </c>
      <c r="X30" s="129">
        <f>Test!O63</f>
        <v/>
      </c>
      <c r="Y30" s="129">
        <f>('Summary (Full)'!$B$34*V30+'Summary (Full)'!$B$35*W30+'Summary (Full)'!$B$36*X30)/'Summary (Full)'!$B$37</f>
        <v/>
      </c>
      <c r="Z30" s="129">
        <f>Test!P63</f>
        <v/>
      </c>
      <c r="AA30" s="129">
        <f>Test!Q63</f>
        <v/>
      </c>
      <c r="AB30" s="129">
        <f>Test!R63</f>
        <v/>
      </c>
      <c r="AC30" s="129">
        <f>Test!S63</f>
        <v/>
      </c>
      <c r="AD30" s="129">
        <f>Test!T63</f>
        <v/>
      </c>
      <c r="AE30" s="129">
        <f>Test!U63</f>
        <v/>
      </c>
      <c r="AF30" s="129">
        <f>Test!V63</f>
        <v/>
      </c>
      <c r="AG30" s="129">
        <f>Test!W63</f>
        <v/>
      </c>
      <c r="AH30" s="129">
        <f>Test!X63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Test!Y63</f>
        <v/>
      </c>
      <c r="AK30" s="129">
        <f>Test!Z63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Anchor!L64</f>
        <v/>
      </c>
      <c r="D31" s="129">
        <f>Anchor!M64</f>
        <v/>
      </c>
      <c r="E31" s="129">
        <f>Anchor!N64</f>
        <v/>
      </c>
      <c r="F31" s="129">
        <f>Anchor!O64</f>
        <v/>
      </c>
      <c r="G31" s="130">
        <f>('Summary (Full)'!$B$34*D31+'Summary (Full)'!$B$35*E31+'Summary (Full)'!$B$36*F31)/'Summary (Full)'!$B$37</f>
        <v/>
      </c>
      <c r="H31" s="129">
        <f>Anchor!P64</f>
        <v/>
      </c>
      <c r="I31" s="129">
        <f>Anchor!Q64</f>
        <v/>
      </c>
      <c r="J31" s="129">
        <f>Anchor!R64</f>
        <v/>
      </c>
      <c r="K31" s="129">
        <f>Anchor!S64</f>
        <v/>
      </c>
      <c r="L31" s="129">
        <f>Anchor!T64</f>
        <v/>
      </c>
      <c r="M31" s="129">
        <f>Anchor!U64</f>
        <v/>
      </c>
      <c r="N31" s="129">
        <f>Anchor!V64</f>
        <v/>
      </c>
      <c r="O31" s="129">
        <f>Anchor!W64</f>
        <v/>
      </c>
      <c r="P31" s="129">
        <f>Anchor!X64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Anchor!Y64</f>
        <v/>
      </c>
      <c r="S31" s="129">
        <f>Anchor!Z64</f>
        <v/>
      </c>
      <c r="T31" s="132" t="n"/>
      <c r="U31" s="129">
        <f>Test!L64</f>
        <v/>
      </c>
      <c r="V31" s="129">
        <f>Test!M64</f>
        <v/>
      </c>
      <c r="W31" s="129">
        <f>Test!N64</f>
        <v/>
      </c>
      <c r="X31" s="129">
        <f>Test!O64</f>
        <v/>
      </c>
      <c r="Y31" s="129">
        <f>('Summary (Full)'!$B$34*V31+'Summary (Full)'!$B$35*W31+'Summary (Full)'!$B$36*X31)/'Summary (Full)'!$B$37</f>
        <v/>
      </c>
      <c r="Z31" s="129">
        <f>Test!P64</f>
        <v/>
      </c>
      <c r="AA31" s="129">
        <f>Test!Q64</f>
        <v/>
      </c>
      <c r="AB31" s="129">
        <f>Test!R64</f>
        <v/>
      </c>
      <c r="AC31" s="129">
        <f>Test!S64</f>
        <v/>
      </c>
      <c r="AD31" s="129">
        <f>Test!T64</f>
        <v/>
      </c>
      <c r="AE31" s="129">
        <f>Test!U64</f>
        <v/>
      </c>
      <c r="AF31" s="129">
        <f>Test!V64</f>
        <v/>
      </c>
      <c r="AG31" s="129">
        <f>Test!W64</f>
        <v/>
      </c>
      <c r="AH31" s="129">
        <f>Test!X64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Test!Y64</f>
        <v/>
      </c>
      <c r="AK31" s="129">
        <f>Test!Z64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Anchor!L65</f>
        <v/>
      </c>
      <c r="D32" s="129">
        <f>Anchor!M65</f>
        <v/>
      </c>
      <c r="E32" s="129">
        <f>Anchor!N65</f>
        <v/>
      </c>
      <c r="F32" s="129">
        <f>Anchor!O65</f>
        <v/>
      </c>
      <c r="G32" s="130">
        <f>('Summary (Full)'!$B$34*D32+'Summary (Full)'!$B$35*E32+'Summary (Full)'!$B$36*F32)/'Summary (Full)'!$B$37</f>
        <v/>
      </c>
      <c r="H32" s="129">
        <f>Anchor!P65</f>
        <v/>
      </c>
      <c r="I32" s="129">
        <f>Anchor!Q65</f>
        <v/>
      </c>
      <c r="J32" s="129">
        <f>Anchor!R65</f>
        <v/>
      </c>
      <c r="K32" s="129">
        <f>Anchor!S65</f>
        <v/>
      </c>
      <c r="L32" s="129">
        <f>Anchor!T65</f>
        <v/>
      </c>
      <c r="M32" s="129">
        <f>Anchor!U65</f>
        <v/>
      </c>
      <c r="N32" s="129">
        <f>Anchor!V65</f>
        <v/>
      </c>
      <c r="O32" s="129">
        <f>Anchor!W65</f>
        <v/>
      </c>
      <c r="P32" s="129">
        <f>Anchor!X65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Anchor!Y65</f>
        <v/>
      </c>
      <c r="S32" s="129">
        <f>Anchor!Z65</f>
        <v/>
      </c>
      <c r="T32" s="132" t="n"/>
      <c r="U32" s="129">
        <f>Test!L65</f>
        <v/>
      </c>
      <c r="V32" s="129">
        <f>Test!M65</f>
        <v/>
      </c>
      <c r="W32" s="129">
        <f>Test!N65</f>
        <v/>
      </c>
      <c r="X32" s="129">
        <f>Test!O65</f>
        <v/>
      </c>
      <c r="Y32" s="129">
        <f>('Summary (Full)'!$B$34*V32+'Summary (Full)'!$B$35*W32+'Summary (Full)'!$B$36*X32)/'Summary (Full)'!$B$37</f>
        <v/>
      </c>
      <c r="Z32" s="129">
        <f>Test!P65</f>
        <v/>
      </c>
      <c r="AA32" s="129">
        <f>Test!Q65</f>
        <v/>
      </c>
      <c r="AB32" s="129">
        <f>Test!R65</f>
        <v/>
      </c>
      <c r="AC32" s="129">
        <f>Test!S65</f>
        <v/>
      </c>
      <c r="AD32" s="129">
        <f>Test!T65</f>
        <v/>
      </c>
      <c r="AE32" s="129">
        <f>Test!U65</f>
        <v/>
      </c>
      <c r="AF32" s="129">
        <f>Test!V65</f>
        <v/>
      </c>
      <c r="AG32" s="129">
        <f>Test!W65</f>
        <v/>
      </c>
      <c r="AH32" s="129">
        <f>Test!X65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Test!Y65</f>
        <v/>
      </c>
      <c r="AK32" s="129">
        <f>Test!Z65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Anchor!L66</f>
        <v/>
      </c>
      <c r="D33" s="129">
        <f>Anchor!M66</f>
        <v/>
      </c>
      <c r="E33" s="129">
        <f>Anchor!N66</f>
        <v/>
      </c>
      <c r="F33" s="129">
        <f>Anchor!O66</f>
        <v/>
      </c>
      <c r="G33" s="130">
        <f>('Summary (Full)'!$B$34*D33+'Summary (Full)'!$B$35*E33+'Summary (Full)'!$B$36*F33)/'Summary (Full)'!$B$37</f>
        <v/>
      </c>
      <c r="H33" s="129">
        <f>Anchor!P66</f>
        <v/>
      </c>
      <c r="I33" s="129">
        <f>Anchor!Q66</f>
        <v/>
      </c>
      <c r="J33" s="129">
        <f>Anchor!R66</f>
        <v/>
      </c>
      <c r="K33" s="129">
        <f>Anchor!S66</f>
        <v/>
      </c>
      <c r="L33" s="129">
        <f>Anchor!T66</f>
        <v/>
      </c>
      <c r="M33" s="129">
        <f>Anchor!U66</f>
        <v/>
      </c>
      <c r="N33" s="129">
        <f>Anchor!V66</f>
        <v/>
      </c>
      <c r="O33" s="129">
        <f>Anchor!W66</f>
        <v/>
      </c>
      <c r="P33" s="129">
        <f>Anchor!X66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Anchor!Y66</f>
        <v/>
      </c>
      <c r="S33" s="129">
        <f>Anchor!Z66</f>
        <v/>
      </c>
      <c r="T33" s="132" t="n"/>
      <c r="U33" s="129">
        <f>Test!L66</f>
        <v/>
      </c>
      <c r="V33" s="129">
        <f>Test!M66</f>
        <v/>
      </c>
      <c r="W33" s="129">
        <f>Test!N66</f>
        <v/>
      </c>
      <c r="X33" s="129">
        <f>Test!O66</f>
        <v/>
      </c>
      <c r="Y33" s="129">
        <f>('Summary (Full)'!$B$34*V33+'Summary (Full)'!$B$35*W33+'Summary (Full)'!$B$36*X33)/'Summary (Full)'!$B$37</f>
        <v/>
      </c>
      <c r="Z33" s="129">
        <f>Test!P66</f>
        <v/>
      </c>
      <c r="AA33" s="129">
        <f>Test!Q66</f>
        <v/>
      </c>
      <c r="AB33" s="129">
        <f>Test!R66</f>
        <v/>
      </c>
      <c r="AC33" s="129">
        <f>Test!S66</f>
        <v/>
      </c>
      <c r="AD33" s="129">
        <f>Test!T66</f>
        <v/>
      </c>
      <c r="AE33" s="129">
        <f>Test!U66</f>
        <v/>
      </c>
      <c r="AF33" s="129">
        <f>Test!V66</f>
        <v/>
      </c>
      <c r="AG33" s="129">
        <f>Test!W66</f>
        <v/>
      </c>
      <c r="AH33" s="129">
        <f>Test!X66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Test!Y66</f>
        <v/>
      </c>
      <c r="AK33" s="129">
        <f>Test!Z66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Anchor!L67</f>
        <v/>
      </c>
      <c r="D34" s="129">
        <f>Anchor!M67</f>
        <v/>
      </c>
      <c r="E34" s="129">
        <f>Anchor!N67</f>
        <v/>
      </c>
      <c r="F34" s="129">
        <f>Anchor!O67</f>
        <v/>
      </c>
      <c r="G34" s="130">
        <f>('Summary (Full)'!$B$34*D34+'Summary (Full)'!$B$35*E34+'Summary (Full)'!$B$36*F34)/'Summary (Full)'!$B$37</f>
        <v/>
      </c>
      <c r="H34" s="129">
        <f>Anchor!P67</f>
        <v/>
      </c>
      <c r="I34" s="129">
        <f>Anchor!Q67</f>
        <v/>
      </c>
      <c r="J34" s="129">
        <f>Anchor!R67</f>
        <v/>
      </c>
      <c r="K34" s="129">
        <f>Anchor!S67</f>
        <v/>
      </c>
      <c r="L34" s="129">
        <f>Anchor!T67</f>
        <v/>
      </c>
      <c r="M34" s="129">
        <f>Anchor!U67</f>
        <v/>
      </c>
      <c r="N34" s="129">
        <f>Anchor!V67</f>
        <v/>
      </c>
      <c r="O34" s="129">
        <f>Anchor!W67</f>
        <v/>
      </c>
      <c r="P34" s="129">
        <f>Anchor!X67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Anchor!Y67</f>
        <v/>
      </c>
      <c r="S34" s="129">
        <f>Anchor!Z67</f>
        <v/>
      </c>
      <c r="T34" s="132" t="n"/>
      <c r="U34" s="129">
        <f>Test!L67</f>
        <v/>
      </c>
      <c r="V34" s="129">
        <f>Test!M67</f>
        <v/>
      </c>
      <c r="W34" s="129">
        <f>Test!N67</f>
        <v/>
      </c>
      <c r="X34" s="129">
        <f>Test!O67</f>
        <v/>
      </c>
      <c r="Y34" s="129">
        <f>('Summary (Full)'!$B$34*V34+'Summary (Full)'!$B$35*W34+'Summary (Full)'!$B$36*X34)/'Summary (Full)'!$B$37</f>
        <v/>
      </c>
      <c r="Z34" s="129">
        <f>Test!P67</f>
        <v/>
      </c>
      <c r="AA34" s="129">
        <f>Test!Q67</f>
        <v/>
      </c>
      <c r="AB34" s="129">
        <f>Test!R67</f>
        <v/>
      </c>
      <c r="AC34" s="129">
        <f>Test!S67</f>
        <v/>
      </c>
      <c r="AD34" s="129">
        <f>Test!T67</f>
        <v/>
      </c>
      <c r="AE34" s="129">
        <f>Test!U67</f>
        <v/>
      </c>
      <c r="AF34" s="129">
        <f>Test!V67</f>
        <v/>
      </c>
      <c r="AG34" s="129">
        <f>Test!W67</f>
        <v/>
      </c>
      <c r="AH34" s="129">
        <f>Test!X67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Test!Y67</f>
        <v/>
      </c>
      <c r="AK34" s="129">
        <f>Test!Z67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Anchor!L68</f>
        <v/>
      </c>
      <c r="D35" s="129">
        <f>Anchor!M68</f>
        <v/>
      </c>
      <c r="E35" s="129">
        <f>Anchor!N68</f>
        <v/>
      </c>
      <c r="F35" s="129">
        <f>Anchor!O68</f>
        <v/>
      </c>
      <c r="G35" s="130">
        <f>('Summary (Full)'!$B$34*D35+'Summary (Full)'!$B$35*E35+'Summary (Full)'!$B$36*F35)/'Summary (Full)'!$B$37</f>
        <v/>
      </c>
      <c r="H35" s="129">
        <f>Anchor!P68</f>
        <v/>
      </c>
      <c r="I35" s="129">
        <f>Anchor!Q68</f>
        <v/>
      </c>
      <c r="J35" s="129">
        <f>Anchor!R68</f>
        <v/>
      </c>
      <c r="K35" s="129">
        <f>Anchor!S68</f>
        <v/>
      </c>
      <c r="L35" s="129">
        <f>Anchor!T68</f>
        <v/>
      </c>
      <c r="M35" s="129">
        <f>Anchor!U68</f>
        <v/>
      </c>
      <c r="N35" s="129">
        <f>Anchor!V68</f>
        <v/>
      </c>
      <c r="O35" s="129">
        <f>Anchor!W68</f>
        <v/>
      </c>
      <c r="P35" s="129">
        <f>Anchor!X68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Anchor!Y68</f>
        <v/>
      </c>
      <c r="S35" s="129">
        <f>Anchor!Z68</f>
        <v/>
      </c>
      <c r="T35" s="132" t="n"/>
      <c r="U35" s="129">
        <f>Test!L68</f>
        <v/>
      </c>
      <c r="V35" s="129">
        <f>Test!M68</f>
        <v/>
      </c>
      <c r="W35" s="129">
        <f>Test!N68</f>
        <v/>
      </c>
      <c r="X35" s="129">
        <f>Test!O68</f>
        <v/>
      </c>
      <c r="Y35" s="129">
        <f>('Summary (Full)'!$B$34*V35+'Summary (Full)'!$B$35*W35+'Summary (Full)'!$B$36*X35)/'Summary (Full)'!$B$37</f>
        <v/>
      </c>
      <c r="Z35" s="129">
        <f>Test!P68</f>
        <v/>
      </c>
      <c r="AA35" s="129">
        <f>Test!Q68</f>
        <v/>
      </c>
      <c r="AB35" s="129">
        <f>Test!R68</f>
        <v/>
      </c>
      <c r="AC35" s="129">
        <f>Test!S68</f>
        <v/>
      </c>
      <c r="AD35" s="129">
        <f>Test!T68</f>
        <v/>
      </c>
      <c r="AE35" s="129">
        <f>Test!U68</f>
        <v/>
      </c>
      <c r="AF35" s="129">
        <f>Test!V68</f>
        <v/>
      </c>
      <c r="AG35" s="129">
        <f>Test!W68</f>
        <v/>
      </c>
      <c r="AH35" s="129">
        <f>Test!X68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Test!Y68</f>
        <v/>
      </c>
      <c r="AK35" s="129">
        <f>Test!Z68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Anchor!L69</f>
        <v/>
      </c>
      <c r="D36" s="129">
        <f>Anchor!M69</f>
        <v/>
      </c>
      <c r="E36" s="129">
        <f>Anchor!N69</f>
        <v/>
      </c>
      <c r="F36" s="129">
        <f>Anchor!O69</f>
        <v/>
      </c>
      <c r="G36" s="130">
        <f>('Summary (Full)'!$B$34*D36+'Summary (Full)'!$B$35*E36+'Summary (Full)'!$B$36*F36)/'Summary (Full)'!$B$37</f>
        <v/>
      </c>
      <c r="H36" s="129">
        <f>Anchor!P69</f>
        <v/>
      </c>
      <c r="I36" s="129">
        <f>Anchor!Q69</f>
        <v/>
      </c>
      <c r="J36" s="129">
        <f>Anchor!R69</f>
        <v/>
      </c>
      <c r="K36" s="129">
        <f>Anchor!S69</f>
        <v/>
      </c>
      <c r="L36" s="129">
        <f>Anchor!T69</f>
        <v/>
      </c>
      <c r="M36" s="129">
        <f>Anchor!U69</f>
        <v/>
      </c>
      <c r="N36" s="129">
        <f>Anchor!V69</f>
        <v/>
      </c>
      <c r="O36" s="129">
        <f>Anchor!W69</f>
        <v/>
      </c>
      <c r="P36" s="129">
        <f>Anchor!X69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Anchor!Y69</f>
        <v/>
      </c>
      <c r="S36" s="129">
        <f>Anchor!Z69</f>
        <v/>
      </c>
      <c r="T36" s="132" t="n"/>
      <c r="U36" s="129">
        <f>Test!L69</f>
        <v/>
      </c>
      <c r="V36" s="129">
        <f>Test!M69</f>
        <v/>
      </c>
      <c r="W36" s="129">
        <f>Test!N69</f>
        <v/>
      </c>
      <c r="X36" s="129">
        <f>Test!O69</f>
        <v/>
      </c>
      <c r="Y36" s="129">
        <f>('Summary (Full)'!$B$34*V36+'Summary (Full)'!$B$35*W36+'Summary (Full)'!$B$36*X36)/'Summary (Full)'!$B$37</f>
        <v/>
      </c>
      <c r="Z36" s="129">
        <f>Test!P69</f>
        <v/>
      </c>
      <c r="AA36" s="129">
        <f>Test!Q69</f>
        <v/>
      </c>
      <c r="AB36" s="129">
        <f>Test!R69</f>
        <v/>
      </c>
      <c r="AC36" s="129">
        <f>Test!S69</f>
        <v/>
      </c>
      <c r="AD36" s="129">
        <f>Test!T69</f>
        <v/>
      </c>
      <c r="AE36" s="129">
        <f>Test!U69</f>
        <v/>
      </c>
      <c r="AF36" s="129">
        <f>Test!V69</f>
        <v/>
      </c>
      <c r="AG36" s="129">
        <f>Test!W69</f>
        <v/>
      </c>
      <c r="AH36" s="129">
        <f>Test!X69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Test!Y69</f>
        <v/>
      </c>
      <c r="AK36" s="129">
        <f>Test!Z69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Anchor!L70</f>
        <v/>
      </c>
      <c r="D37" s="129">
        <f>Anchor!M70</f>
        <v/>
      </c>
      <c r="E37" s="129">
        <f>Anchor!N70</f>
        <v/>
      </c>
      <c r="F37" s="129">
        <f>Anchor!O70</f>
        <v/>
      </c>
      <c r="G37" s="130">
        <f>('Summary (Full)'!$B$34*D37+'Summary (Full)'!$B$35*E37+'Summary (Full)'!$B$36*F37)/'Summary (Full)'!$B$37</f>
        <v/>
      </c>
      <c r="H37" s="129">
        <f>Anchor!P70</f>
        <v/>
      </c>
      <c r="I37" s="129">
        <f>Anchor!Q70</f>
        <v/>
      </c>
      <c r="J37" s="129">
        <f>Anchor!R70</f>
        <v/>
      </c>
      <c r="K37" s="129">
        <f>Anchor!S70</f>
        <v/>
      </c>
      <c r="L37" s="129">
        <f>Anchor!T70</f>
        <v/>
      </c>
      <c r="M37" s="129">
        <f>Anchor!U70</f>
        <v/>
      </c>
      <c r="N37" s="129">
        <f>Anchor!V70</f>
        <v/>
      </c>
      <c r="O37" s="129">
        <f>Anchor!W70</f>
        <v/>
      </c>
      <c r="P37" s="129">
        <f>Anchor!X70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Anchor!Y70</f>
        <v/>
      </c>
      <c r="S37" s="129">
        <f>Anchor!Z70</f>
        <v/>
      </c>
      <c r="T37" s="132" t="n"/>
      <c r="U37" s="129">
        <f>Test!L70</f>
        <v/>
      </c>
      <c r="V37" s="129">
        <f>Test!M70</f>
        <v/>
      </c>
      <c r="W37" s="129">
        <f>Test!N70</f>
        <v/>
      </c>
      <c r="X37" s="129">
        <f>Test!O70</f>
        <v/>
      </c>
      <c r="Y37" s="129">
        <f>('Summary (Full)'!$B$34*V37+'Summary (Full)'!$B$35*W37+'Summary (Full)'!$B$36*X37)/'Summary (Full)'!$B$37</f>
        <v/>
      </c>
      <c r="Z37" s="129">
        <f>Test!P70</f>
        <v/>
      </c>
      <c r="AA37" s="129">
        <f>Test!Q70</f>
        <v/>
      </c>
      <c r="AB37" s="129">
        <f>Test!R70</f>
        <v/>
      </c>
      <c r="AC37" s="129">
        <f>Test!S70</f>
        <v/>
      </c>
      <c r="AD37" s="129">
        <f>Test!T70</f>
        <v/>
      </c>
      <c r="AE37" s="129">
        <f>Test!U70</f>
        <v/>
      </c>
      <c r="AF37" s="129">
        <f>Test!V70</f>
        <v/>
      </c>
      <c r="AG37" s="129">
        <f>Test!W70</f>
        <v/>
      </c>
      <c r="AH37" s="129">
        <f>Test!X70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Test!Y70</f>
        <v/>
      </c>
      <c r="AK37" s="129">
        <f>Test!Z70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Anchor!L71</f>
        <v/>
      </c>
      <c r="D38" s="129">
        <f>Anchor!M71</f>
        <v/>
      </c>
      <c r="E38" s="129">
        <f>Anchor!N71</f>
        <v/>
      </c>
      <c r="F38" s="129">
        <f>Anchor!O71</f>
        <v/>
      </c>
      <c r="G38" s="130">
        <f>('Summary (Full)'!$B$34*D38+'Summary (Full)'!$B$35*E38+'Summary (Full)'!$B$36*F38)/'Summary (Full)'!$B$37</f>
        <v/>
      </c>
      <c r="H38" s="129">
        <f>Anchor!P71</f>
        <v/>
      </c>
      <c r="I38" s="129">
        <f>Anchor!Q71</f>
        <v/>
      </c>
      <c r="J38" s="129">
        <f>Anchor!R71</f>
        <v/>
      </c>
      <c r="K38" s="129">
        <f>Anchor!S71</f>
        <v/>
      </c>
      <c r="L38" s="129">
        <f>Anchor!T71</f>
        <v/>
      </c>
      <c r="M38" s="129">
        <f>Anchor!U71</f>
        <v/>
      </c>
      <c r="N38" s="129">
        <f>Anchor!V71</f>
        <v/>
      </c>
      <c r="O38" s="129">
        <f>Anchor!W71</f>
        <v/>
      </c>
      <c r="P38" s="129">
        <f>Anchor!X71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Anchor!Y71</f>
        <v/>
      </c>
      <c r="S38" s="129">
        <f>Anchor!Z71</f>
        <v/>
      </c>
      <c r="T38" s="132" t="n"/>
      <c r="U38" s="129">
        <f>Test!L71</f>
        <v/>
      </c>
      <c r="V38" s="129">
        <f>Test!M71</f>
        <v/>
      </c>
      <c r="W38" s="129">
        <f>Test!N71</f>
        <v/>
      </c>
      <c r="X38" s="129">
        <f>Test!O71</f>
        <v/>
      </c>
      <c r="Y38" s="129">
        <f>('Summary (Full)'!$B$34*V38+'Summary (Full)'!$B$35*W38+'Summary (Full)'!$B$36*X38)/'Summary (Full)'!$B$37</f>
        <v/>
      </c>
      <c r="Z38" s="129">
        <f>Test!P71</f>
        <v/>
      </c>
      <c r="AA38" s="129">
        <f>Test!Q71</f>
        <v/>
      </c>
      <c r="AB38" s="129">
        <f>Test!R71</f>
        <v/>
      </c>
      <c r="AC38" s="129">
        <f>Test!S71</f>
        <v/>
      </c>
      <c r="AD38" s="129">
        <f>Test!T71</f>
        <v/>
      </c>
      <c r="AE38" s="129">
        <f>Test!U71</f>
        <v/>
      </c>
      <c r="AF38" s="129">
        <f>Test!V71</f>
        <v/>
      </c>
      <c r="AG38" s="129">
        <f>Test!W71</f>
        <v/>
      </c>
      <c r="AH38" s="129">
        <f>Test!X71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Test!Y71</f>
        <v/>
      </c>
      <c r="AK38" s="129">
        <f>Test!Z71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Anchor!L72</f>
        <v/>
      </c>
      <c r="D39" s="129">
        <f>Anchor!M72</f>
        <v/>
      </c>
      <c r="E39" s="129">
        <f>Anchor!N72</f>
        <v/>
      </c>
      <c r="F39" s="129">
        <f>Anchor!O72</f>
        <v/>
      </c>
      <c r="G39" s="130">
        <f>('Summary (Full)'!$B$34*D39+'Summary (Full)'!$B$35*E39+'Summary (Full)'!$B$36*F39)/'Summary (Full)'!$B$37</f>
        <v/>
      </c>
      <c r="H39" s="129">
        <f>Anchor!P72</f>
        <v/>
      </c>
      <c r="I39" s="129">
        <f>Anchor!Q72</f>
        <v/>
      </c>
      <c r="J39" s="129">
        <f>Anchor!R72</f>
        <v/>
      </c>
      <c r="K39" s="129">
        <f>Anchor!S72</f>
        <v/>
      </c>
      <c r="L39" s="129">
        <f>Anchor!T72</f>
        <v/>
      </c>
      <c r="M39" s="129">
        <f>Anchor!U72</f>
        <v/>
      </c>
      <c r="N39" s="129">
        <f>Anchor!V72</f>
        <v/>
      </c>
      <c r="O39" s="129">
        <f>Anchor!W72</f>
        <v/>
      </c>
      <c r="P39" s="129">
        <f>Anchor!X72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Anchor!Y72</f>
        <v/>
      </c>
      <c r="S39" s="129">
        <f>Anchor!Z72</f>
        <v/>
      </c>
      <c r="T39" s="132" t="n"/>
      <c r="U39" s="129">
        <f>Test!L72</f>
        <v/>
      </c>
      <c r="V39" s="129">
        <f>Test!M72</f>
        <v/>
      </c>
      <c r="W39" s="129">
        <f>Test!N72</f>
        <v/>
      </c>
      <c r="X39" s="129">
        <f>Test!O72</f>
        <v/>
      </c>
      <c r="Y39" s="129">
        <f>('Summary (Full)'!$B$34*V39+'Summary (Full)'!$B$35*W39+'Summary (Full)'!$B$36*X39)/'Summary (Full)'!$B$37</f>
        <v/>
      </c>
      <c r="Z39" s="129">
        <f>Test!P72</f>
        <v/>
      </c>
      <c r="AA39" s="129">
        <f>Test!Q72</f>
        <v/>
      </c>
      <c r="AB39" s="129">
        <f>Test!R72</f>
        <v/>
      </c>
      <c r="AC39" s="129">
        <f>Test!S72</f>
        <v/>
      </c>
      <c r="AD39" s="129">
        <f>Test!T72</f>
        <v/>
      </c>
      <c r="AE39" s="129">
        <f>Test!U72</f>
        <v/>
      </c>
      <c r="AF39" s="129">
        <f>Test!V72</f>
        <v/>
      </c>
      <c r="AG39" s="129">
        <f>Test!W72</f>
        <v/>
      </c>
      <c r="AH39" s="129">
        <f>Test!X72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Test!Y72</f>
        <v/>
      </c>
      <c r="AK39" s="129">
        <f>Test!Z72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Anchor!L73</f>
        <v/>
      </c>
      <c r="D40" s="129">
        <f>Anchor!M73</f>
        <v/>
      </c>
      <c r="E40" s="129">
        <f>Anchor!N73</f>
        <v/>
      </c>
      <c r="F40" s="129">
        <f>Anchor!O73</f>
        <v/>
      </c>
      <c r="G40" s="130">
        <f>('Summary (Full)'!$B$34*D40+'Summary (Full)'!$B$35*E40+'Summary (Full)'!$B$36*F40)/'Summary (Full)'!$B$37</f>
        <v/>
      </c>
      <c r="H40" s="129">
        <f>Anchor!P73</f>
        <v/>
      </c>
      <c r="I40" s="129">
        <f>Anchor!Q73</f>
        <v/>
      </c>
      <c r="J40" s="129">
        <f>Anchor!R73</f>
        <v/>
      </c>
      <c r="K40" s="129">
        <f>Anchor!S73</f>
        <v/>
      </c>
      <c r="L40" s="129">
        <f>Anchor!T73</f>
        <v/>
      </c>
      <c r="M40" s="129">
        <f>Anchor!U73</f>
        <v/>
      </c>
      <c r="N40" s="129">
        <f>Anchor!V73</f>
        <v/>
      </c>
      <c r="O40" s="129">
        <f>Anchor!W73</f>
        <v/>
      </c>
      <c r="P40" s="129">
        <f>Anchor!X73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Anchor!Y73</f>
        <v/>
      </c>
      <c r="S40" s="129">
        <f>Anchor!Z73</f>
        <v/>
      </c>
      <c r="T40" s="132" t="n"/>
      <c r="U40" s="129">
        <f>Test!L73</f>
        <v/>
      </c>
      <c r="V40" s="129">
        <f>Test!M73</f>
        <v/>
      </c>
      <c r="W40" s="129">
        <f>Test!N73</f>
        <v/>
      </c>
      <c r="X40" s="129">
        <f>Test!O73</f>
        <v/>
      </c>
      <c r="Y40" s="129">
        <f>('Summary (Full)'!$B$34*V40+'Summary (Full)'!$B$35*W40+'Summary (Full)'!$B$36*X40)/'Summary (Full)'!$B$37</f>
        <v/>
      </c>
      <c r="Z40" s="129">
        <f>Test!P73</f>
        <v/>
      </c>
      <c r="AA40" s="129">
        <f>Test!Q73</f>
        <v/>
      </c>
      <c r="AB40" s="129">
        <f>Test!R73</f>
        <v/>
      </c>
      <c r="AC40" s="129">
        <f>Test!S73</f>
        <v/>
      </c>
      <c r="AD40" s="129">
        <f>Test!T73</f>
        <v/>
      </c>
      <c r="AE40" s="129">
        <f>Test!U73</f>
        <v/>
      </c>
      <c r="AF40" s="129">
        <f>Test!V73</f>
        <v/>
      </c>
      <c r="AG40" s="129">
        <f>Test!W73</f>
        <v/>
      </c>
      <c r="AH40" s="129">
        <f>Test!X73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Test!Y73</f>
        <v/>
      </c>
      <c r="AK40" s="129">
        <f>Test!Z73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AM46" s="157" t="n"/>
      <c r="AN46" s="157" t="inlineStr">
        <is>
          <t>TestVMAF</t>
        </is>
      </c>
      <c r="AO46" s="158" t="n"/>
      <c r="AP46" s="157" t="inlineStr">
        <is>
          <t>TestVMAFneg</t>
        </is>
      </c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AM47" s="289" t="n"/>
      <c r="AN47" s="288">
        <f t="array" ref="AN47">testVMAFRange($DK5:$DK501,DL5:DL501,$EV5:$EV501,EW5:EW501)</f>
        <v/>
      </c>
      <c r="AO47" s="159" t="n"/>
      <c r="AP47" s="288">
        <f t="array" ref="AP47">testVMAFRange(DM5:DM501,DN5:DN501,EX5:EX501,EY5:EY501)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AM48" s="179" t="n"/>
      <c r="AO48" s="159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AM49" s="287" t="n"/>
      <c r="AO49" s="159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AM50" s="179" t="n"/>
      <c r="AO50" s="159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AM51" s="287" t="n"/>
      <c r="AO51" s="159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AM52" s="179" t="n"/>
      <c r="AO52" s="159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5">
    <mergeCell ref="BA35:BA40"/>
    <mergeCell ref="AH47:AH52"/>
    <mergeCell ref="AS5:AS10"/>
    <mergeCell ref="M47:M52"/>
    <mergeCell ref="AJ47:AJ52"/>
    <mergeCell ref="AP5:AP6"/>
    <mergeCell ref="AP9:AP10"/>
    <mergeCell ref="AU5:AU10"/>
    <mergeCell ref="AZ5:AZ6"/>
    <mergeCell ref="A51:A52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X27:AX28"/>
    <mergeCell ref="AT5:AT6"/>
    <mergeCell ref="AI49:AI50"/>
    <mergeCell ref="EZ2:FA2"/>
    <mergeCell ref="W51:W52"/>
    <mergeCell ref="AZ35:AZ36"/>
    <mergeCell ref="AE47:AE52"/>
    <mergeCell ref="Y51:Y52"/>
    <mergeCell ref="AV11:AV12"/>
    <mergeCell ref="FB2:FC2"/>
    <mergeCell ref="AC44:AH44"/>
    <mergeCell ref="AI51:AI52"/>
    <mergeCell ref="AX25:AX26"/>
    <mergeCell ref="AK51:AK52"/>
    <mergeCell ref="AZ25:AZ26"/>
    <mergeCell ref="AP15:AP16"/>
    <mergeCell ref="ET2:EU2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T7:AT8"/>
    <mergeCell ref="AX29:AX30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P47:AP52"/>
    <mergeCell ref="AC47:AC48"/>
    <mergeCell ref="AM47:AM48"/>
    <mergeCell ref="AO2:AS2"/>
    <mergeCell ref="AV21:AV22"/>
    <mergeCell ref="AO13:AO14"/>
    <mergeCell ref="AU35:AU40"/>
    <mergeCell ref="FD2:FI2"/>
    <mergeCell ref="AP33:AP34"/>
    <mergeCell ref="AY17:AY22"/>
    <mergeCell ref="AQ11:AQ16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X2:AY2"/>
    <mergeCell ref="A46:B46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C49:AC50"/>
    <mergeCell ref="AO31:AO32"/>
    <mergeCell ref="AZ11:AZ12"/>
    <mergeCell ref="BA29:BA34"/>
    <mergeCell ref="A23:A28"/>
    <mergeCell ref="AG47:AG52"/>
    <mergeCell ref="AR5:AR10"/>
    <mergeCell ref="AZ29:AZ30"/>
    <mergeCell ref="EV2:EW2"/>
    <mergeCell ref="S51:S52"/>
    <mergeCell ref="EX2:EY2"/>
    <mergeCell ref="U51:U52"/>
    <mergeCell ref="AP13:AP14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I44:AJ44"/>
    <mergeCell ref="AP39:AP40"/>
    <mergeCell ref="AT27:AT28"/>
    <mergeCell ref="AU17:AU22"/>
    <mergeCell ref="AW17:AW22"/>
    <mergeCell ref="AP23:AP24"/>
    <mergeCell ref="DE2:DF2"/>
    <mergeCell ref="AO39:AO40"/>
    <mergeCell ref="AX7:AX8"/>
    <mergeCell ref="T47:T52"/>
    <mergeCell ref="AV39:AV40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B49:B50"/>
    <mergeCell ref="AP11:AP12"/>
    <mergeCell ref="AU11:AU16"/>
    <mergeCell ref="AL47:AL52"/>
    <mergeCell ref="AW5:AW10"/>
    <mergeCell ref="AI47:AI48"/>
    <mergeCell ref="AN47:AN52"/>
    <mergeCell ref="AY5:AY10"/>
    <mergeCell ref="AV9:AV10"/>
    <mergeCell ref="C45:F45"/>
    <mergeCell ref="AO29:AO30"/>
    <mergeCell ref="A44:L44"/>
    <mergeCell ref="AI46:AJ46"/>
    <mergeCell ref="AK46:AL46"/>
    <mergeCell ref="AW29:AW34"/>
    <mergeCell ref="AV33:AV34"/>
    <mergeCell ref="AO21:AO22"/>
    <mergeCell ref="AY29:AY34"/>
    <mergeCell ref="AX33:AX34"/>
    <mergeCell ref="AY11:AY16"/>
    <mergeCell ref="AZ27:AZ28"/>
    <mergeCell ref="BA5:BA10"/>
    <mergeCell ref="AO4:AP4"/>
    <mergeCell ref="AX5:AX6"/>
    <mergeCell ref="A5:A10"/>
    <mergeCell ref="AA51:AA52"/>
    <mergeCell ref="A29:A34"/>
    <mergeCell ref="AC51:AC52"/>
    <mergeCell ref="AT2:AU2"/>
    <mergeCell ref="AV35:AV36"/>
    <mergeCell ref="AX35:AX36"/>
    <mergeCell ref="AX9:AX10"/>
    <mergeCell ref="AM51:AM52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E47:E52"/>
    <mergeCell ref="AR35:AR40"/>
    <mergeCell ref="B47:B48"/>
    <mergeCell ref="W49:W50"/>
    <mergeCell ref="U49:U50"/>
    <mergeCell ref="D3:G3"/>
    <mergeCell ref="AU23:AU28"/>
    <mergeCell ref="AW23:AW28"/>
    <mergeCell ref="AA49:AA50"/>
    <mergeCell ref="A43:V43"/>
    <mergeCell ref="ER2:ES2"/>
    <mergeCell ref="BA23:BA28"/>
    <mergeCell ref="S44:T44"/>
    <mergeCell ref="AM49:AM50"/>
    <mergeCell ref="Q51:Q52"/>
    <mergeCell ref="V3:Y3"/>
    <mergeCell ref="Y44:Z44"/>
    <mergeCell ref="AV13:AV14"/>
    <mergeCell ref="AF3:AI3"/>
    <mergeCell ref="AX13:AX14"/>
    <mergeCell ref="AZ7:AZ8"/>
    <mergeCell ref="AO33:AO34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Y35:AY40"/>
    <mergeCell ref="AK44:AL44"/>
    <mergeCell ref="AQ35:AQ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CL2:DC2"/>
    <mergeCell ref="AK47:AK48"/>
    <mergeCell ref="AW11:AW16"/>
  </mergeCells>
  <conditionalFormatting sqref="AP5">
    <cfRule type="cellIs" priority="665" operator="greaterThan" dxfId="3" stopIfTrue="1">
      <formula>0.03</formula>
    </cfRule>
    <cfRule type="cellIs" priority="666" operator="lessThan" dxfId="2" stopIfTrue="1">
      <formula>-0.03</formula>
    </cfRule>
  </conditionalFormatting>
  <conditionalFormatting sqref="AQ5">
    <cfRule type="cellIs" priority="683" operator="greaterThan" dxfId="3" stopIfTrue="1">
      <formula>0.03</formula>
    </cfRule>
    <cfRule type="cellIs" priority="684" operator="lessThan" dxfId="2" stopIfTrue="1">
      <formula>-0.03</formula>
    </cfRule>
  </conditionalFormatting>
  <conditionalFormatting sqref="CH5">
    <cfRule type="cellIs" priority="685" operator="greaterThan" dxfId="3" stopIfTrue="1">
      <formula>0.03</formula>
    </cfRule>
    <cfRule type="cellIs" priority="686" operator="lessThan" dxfId="2" stopIfTrue="1">
      <formula>-0.03</formula>
    </cfRule>
  </conditionalFormatting>
  <conditionalFormatting sqref="AQ5:AQ10">
    <cfRule type="cellIs" priority="687" operator="greaterThan" dxfId="1" stopIfTrue="1">
      <formula>0</formula>
    </cfRule>
    <cfRule type="cellIs" priority="688" operator="lessThan" dxfId="0" stopIfTrue="1">
      <formula>0</formula>
    </cfRule>
  </conditionalFormatting>
  <conditionalFormatting sqref="AR5:AS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AR5:AS10">
    <cfRule type="cellIs" priority="681" operator="greaterThan" dxfId="1" stopIfTrue="1">
      <formula>0</formula>
    </cfRule>
    <cfRule type="cellIs" priority="682" operator="lessThan" dxfId="0" stopIfTrue="1">
      <formula>0</formula>
    </cfRule>
  </conditionalFormatting>
  <conditionalFormatting sqref="AU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U5:AU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W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W5:AW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Y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Y5:AY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P5:AP6">
    <cfRule type="cellIs" priority="689" operator="greaterThan" dxfId="1" stopIfTrue="1">
      <formula>0</formula>
    </cfRule>
    <cfRule type="cellIs" priority="690" operator="lessThan" dxfId="4">
      <formula>0</formula>
    </cfRule>
  </conditionalFormatting>
  <conditionalFormatting sqref="AP7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P7:AP8">
    <cfRule type="cellIs" priority="663" operator="greaterThan" dxfId="1" stopIfTrue="1">
      <formula>0</formula>
    </cfRule>
    <cfRule type="cellIs" priority="664" operator="lessThan" dxfId="4">
      <formula>0</formula>
    </cfRule>
  </conditionalFormatting>
  <conditionalFormatting sqref="AP9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9:AP10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T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T5:AT6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7:AT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9:AT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V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V5:AV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7:AV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9:AV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X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X5:AX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7:AX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9:AX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P11">
    <cfRule type="cellIs" priority="597" operator="greaterThan" dxfId="3" stopIfTrue="1">
      <formula>0.03</formula>
    </cfRule>
    <cfRule type="cellIs" priority="598" operator="lessThan" dxfId="2" stopIfTrue="1">
      <formula>-0.03</formula>
    </cfRule>
  </conditionalFormatting>
  <conditionalFormatting sqref="AQ11">
    <cfRule type="cellIs" priority="615" operator="greaterThan" dxfId="3" stopIfTrue="1">
      <formula>0.03</formula>
    </cfRule>
    <cfRule type="cellIs" priority="616" operator="lessThan" dxfId="2" stopIfTrue="1">
      <formula>-0.03</formula>
    </cfRule>
  </conditionalFormatting>
  <conditionalFormatting sqref="AQ11:AQ16">
    <cfRule type="cellIs" priority="617" operator="greaterThan" dxfId="1" stopIfTrue="1">
      <formula>0</formula>
    </cfRule>
    <cfRule type="cellIs" priority="618" operator="lessThan" dxfId="0" stopIfTrue="1">
      <formula>0</formula>
    </cfRule>
  </conditionalFormatting>
  <conditionalFormatting sqref="AR11:AS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R11:AS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U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U11:AU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W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W11:AW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Y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Y11:AY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P11:AP12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3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P13:AP14">
    <cfRule type="cellIs" priority="595" operator="greaterThan" dxfId="1" stopIfTrue="1">
      <formula>0</formula>
    </cfRule>
    <cfRule type="cellIs" priority="596" operator="lessThan" dxfId="4">
      <formula>0</formula>
    </cfRule>
  </conditionalFormatting>
  <conditionalFormatting sqref="AP15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5:AP16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T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T11:AT12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3:AT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5:AT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V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V11:AV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3:AV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5:AV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P17 AP23 AP29 AP35">
    <cfRule type="cellIs" priority="545" operator="greaterThan" dxfId="3" stopIfTrue="1">
      <formula>0.03</formula>
    </cfRule>
    <cfRule type="cellIs" priority="546" operator="lessThan" dxfId="2" stopIfTrue="1">
      <formula>-0.03</formula>
    </cfRule>
  </conditionalFormatting>
  <conditionalFormatting sqref="AQ17 AQ23 AQ29 AQ35">
    <cfRule type="cellIs" priority="559" operator="greaterThan" dxfId="3" stopIfTrue="1">
      <formula>0.03</formula>
    </cfRule>
    <cfRule type="cellIs" priority="560" operator="lessThan" dxfId="2" stopIfTrue="1">
      <formula>-0.03</formula>
    </cfRule>
  </conditionalFormatting>
  <conditionalFormatting sqref="AQ17:AQ40">
    <cfRule type="cellIs" priority="561" operator="greaterThan" dxfId="1" stopIfTrue="1">
      <formula>0</formula>
    </cfRule>
    <cfRule type="cellIs" priority="562" operator="lessThan" dxfId="0" stopIfTrue="1">
      <formula>0</formula>
    </cfRule>
  </conditionalFormatting>
  <conditionalFormatting sqref="AR17:AS17 AR23:AS23 AR29:AS29 AR35:AS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R17:AS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U17 AU23 AU29 AU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U17:AU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W17 AW23 AW29 AW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W17:AW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P17:AP18 AP23:AP24 AP29:AP30 AP35:AP3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9 AP25 AP31 AP37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P19:AP20 AP25:AP26 AP31:AP32 AP37:AP38">
    <cfRule type="cellIs" priority="543" operator="greaterThan" dxfId="1" stopIfTrue="1">
      <formula>0</formula>
    </cfRule>
    <cfRule type="cellIs" priority="544" operator="lessThan" dxfId="4">
      <formula>0</formula>
    </cfRule>
  </conditionalFormatting>
  <conditionalFormatting sqref="AP21 AP27 AP33 AP39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21:AP22 AP27:AP28 AP33:AP34 AP39:AP40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T17 AT23 AT29 AT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T17:AT18 AT23:AT24 AT29:AT30 AT35:AT36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9 AT25 AT31 AT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9:AT20 AT25:AT26 AT31:AT32 AT37:AT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21 AT27 AT33 AT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21:AT22 AT27:AT28 AT33:AT34 AT39:AT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V17 AV23 AV29 AV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V17:AV18 AV23:AV24 AV29:AV30 AV35:AV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9 AV25 AV31 AV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9:AV20 AV25:AV26 AV31:AV32 AV37:AV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21 AV27 AV33 AV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21:AV22 AV27:AV28 AV33:AV34 AV39:AV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BA11">
    <cfRule type="cellIs" priority="345" operator="greaterThan" dxfId="3" stopIfTrue="1">
      <formula>0.03</formula>
    </cfRule>
    <cfRule type="cellIs" priority="346" operator="lessThan" dxfId="2" stopIfTrue="1">
      <formula>-0.03</formula>
    </cfRule>
  </conditionalFormatting>
  <conditionalFormatting sqref="BA11:BA16">
    <cfRule type="cellIs" priority="347" operator="greaterThan" dxfId="1" stopIfTrue="1">
      <formula>0</formula>
    </cfRule>
    <cfRule type="cellIs" priority="348" operator="lessThan" dxfId="0" stopIfTrue="1">
      <formula>0</formula>
    </cfRule>
  </conditionalFormatting>
  <conditionalFormatting sqref="AZ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AZ11:AZ12">
    <cfRule type="cellIs" priority="343" operator="greaterThan" dxfId="1" stopIfTrue="1">
      <formula>0</formula>
    </cfRule>
    <cfRule type="cellIs" priority="344" operator="lessThan" dxfId="4">
      <formula>0</formula>
    </cfRule>
  </conditionalFormatting>
  <conditionalFormatting sqref="AZ13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3:AZ14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5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5:AZ16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BA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BA5:BA10">
    <cfRule type="cellIs" priority="331" operator="greaterThan" dxfId="1" stopIfTrue="1">
      <formula>0</formula>
    </cfRule>
    <cfRule type="cellIs" priority="332" operator="lessThan" dxfId="0" stopIfTrue="1">
      <formula>0</formula>
    </cfRule>
  </conditionalFormatting>
  <conditionalFormatting sqref="AZ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5:AZ6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7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7:AZ8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9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9:AZ10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BA17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BA17:BA22">
    <cfRule type="cellIs" priority="315" operator="greaterThan" dxfId="1" stopIfTrue="1">
      <formula>0</formula>
    </cfRule>
    <cfRule type="cellIs" priority="316" operator="lessThan" dxfId="0" stopIfTrue="1">
      <formula>0</formula>
    </cfRule>
  </conditionalFormatting>
  <conditionalFormatting sqref="AZ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17:AZ1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1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9:AZ2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21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21:AZ22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BA29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BA29:BA34">
    <cfRule type="cellIs" priority="299" operator="greaterThan" dxfId="1" stopIfTrue="1">
      <formula>0</formula>
    </cfRule>
    <cfRule type="cellIs" priority="300" operator="lessThan" dxfId="0" stopIfTrue="1">
      <formula>0</formula>
    </cfRule>
  </conditionalFormatting>
  <conditionalFormatting sqref="AZ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29:AZ3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3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31:AZ3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3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3:AZ34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BA2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BA23:BA28">
    <cfRule type="cellIs" priority="283" operator="greaterThan" dxfId="1" stopIfTrue="1">
      <formula>0</formula>
    </cfRule>
    <cfRule type="cellIs" priority="284" operator="lessThan" dxfId="0" stopIfTrue="1">
      <formula>0</formula>
    </cfRule>
  </conditionalFormatting>
  <conditionalFormatting sqref="AZ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23:AZ24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25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5:AZ26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7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7:AZ28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BA35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BA35:BA40">
    <cfRule type="cellIs" priority="267" operator="greaterThan" dxfId="1" stopIfTrue="1">
      <formula>0</formula>
    </cfRule>
    <cfRule type="cellIs" priority="268" operator="lessThan" dxfId="0" stopIfTrue="1">
      <formula>0</formula>
    </cfRule>
  </conditionalFormatting>
  <conditionalFormatting sqref="AZ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35:AZ3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3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7:AZ3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9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9:AZ40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X11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X11:AX12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3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3:AX14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5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5:AX16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Y17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Y17:AY22">
    <cfRule type="cellIs" priority="239" operator="greaterThan" dxfId="1" stopIfTrue="1">
      <formula>0</formula>
    </cfRule>
    <cfRule type="cellIs" priority="240" operator="lessThan" dxfId="0" stopIfTrue="1">
      <formula>0</formula>
    </cfRule>
  </conditionalFormatting>
  <conditionalFormatting sqref="AX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7:AX18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9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9:AX20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21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21:AX22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Y23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Y23:AY28">
    <cfRule type="cellIs" priority="223" operator="greaterThan" dxfId="1" stopIfTrue="1">
      <formula>0</formula>
    </cfRule>
    <cfRule type="cellIs" priority="224" operator="lessThan" dxfId="0" stopIfTrue="1">
      <formula>0</formula>
    </cfRule>
  </conditionalFormatting>
  <conditionalFormatting sqref="AX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23:AX24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5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5:AX26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7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7:AX28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Y29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Y29:AY34">
    <cfRule type="cellIs" priority="207" operator="greaterThan" dxfId="1" stopIfTrue="1">
      <formula>0</formula>
    </cfRule>
    <cfRule type="cellIs" priority="208" operator="lessThan" dxfId="0" stopIfTrue="1">
      <formula>0</formula>
    </cfRule>
  </conditionalFormatting>
  <conditionalFormatting sqref="AX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9:AX30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31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31:AX32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3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3:AX34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Y35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Y35:AY40">
    <cfRule type="cellIs" priority="191" operator="greaterThan" dxfId="1" stopIfTrue="1">
      <formula>0</formula>
    </cfRule>
    <cfRule type="cellIs" priority="192" operator="lessThan" dxfId="0" stopIfTrue="1">
      <formula>0</formula>
    </cfRule>
  </conditionalFormatting>
  <conditionalFormatting sqref="AX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5:AX36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7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7:AX38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9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9:AX40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M47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M47:AM48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M49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M49:AM50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M51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M51:AM52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24">
    <outlinePr summaryBelow="1" summaryRight="1"/>
    <pageSetUpPr/>
  </sheetPr>
  <dimension ref="A1:FS180"/>
  <sheetViews>
    <sheetView topLeftCell="A9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1.83203125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Anchor!L74</f>
        <v/>
      </c>
      <c r="D5" s="129">
        <f>Anchor!M74</f>
        <v/>
      </c>
      <c r="E5" s="129">
        <f>Anchor!N74</f>
        <v/>
      </c>
      <c r="F5" s="129">
        <f>Anchor!O74</f>
        <v/>
      </c>
      <c r="G5" s="130">
        <f>('Summary (Full)'!$B$34*D5+'Summary (Full)'!$B$35*E5+'Summary (Full)'!$B$36*F5)/'Summary (Full)'!$B$37</f>
        <v/>
      </c>
      <c r="H5" s="129">
        <f>Anchor!P74</f>
        <v/>
      </c>
      <c r="I5" s="129">
        <f>Anchor!Q74</f>
        <v/>
      </c>
      <c r="J5" s="129">
        <f>Anchor!R74</f>
        <v/>
      </c>
      <c r="K5" s="129">
        <f>Anchor!S74</f>
        <v/>
      </c>
      <c r="L5" s="129">
        <f>Anchor!T74</f>
        <v/>
      </c>
      <c r="M5" s="129">
        <f>Anchor!U74</f>
        <v/>
      </c>
      <c r="N5" s="129">
        <f>Anchor!V74</f>
        <v/>
      </c>
      <c r="O5" s="129">
        <f>Anchor!W74</f>
        <v/>
      </c>
      <c r="P5" s="129">
        <f>Anchor!X74</f>
        <v/>
      </c>
      <c r="Q5" s="131">
        <f>10*LOG10(1/(('Summary (Full)'!$B$41/10^(N5/10)+'Summary (Full)'!$B$42/10^(O5/10)+'Summary (Full)'!$B$43/10^(P5/10))/'Summary (Full)'!$B$44))</f>
        <v/>
      </c>
      <c r="R5" s="129">
        <f>Anchor!Y74</f>
        <v/>
      </c>
      <c r="S5" s="129">
        <f>Anchor!Z74</f>
        <v/>
      </c>
      <c r="T5" s="132" t="n"/>
      <c r="U5" s="129">
        <f>Test!L74</f>
        <v/>
      </c>
      <c r="V5" s="129">
        <f>Test!M74</f>
        <v/>
      </c>
      <c r="W5" s="129">
        <f>Test!N74</f>
        <v/>
      </c>
      <c r="X5" s="129">
        <f>Test!O74</f>
        <v/>
      </c>
      <c r="Y5" s="129">
        <f>('Summary (Full)'!$B$34*V5+'Summary (Full)'!$B$35*W5+'Summary (Full)'!$B$36*X5)/'Summary (Full)'!$B$37</f>
        <v/>
      </c>
      <c r="Z5" s="129">
        <f>Test!P74</f>
        <v/>
      </c>
      <c r="AA5" s="129">
        <f>Test!Q74</f>
        <v/>
      </c>
      <c r="AB5" s="129">
        <f>Test!R74</f>
        <v/>
      </c>
      <c r="AC5" s="129">
        <f>Test!S74</f>
        <v/>
      </c>
      <c r="AD5" s="129">
        <f>Test!T74</f>
        <v/>
      </c>
      <c r="AE5" s="129">
        <f>Test!U74</f>
        <v/>
      </c>
      <c r="AF5" s="129">
        <f>Test!V74</f>
        <v/>
      </c>
      <c r="AG5" s="129">
        <f>Test!W74</f>
        <v/>
      </c>
      <c r="AH5" s="129">
        <f>Test!X74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Test!Y74</f>
        <v/>
      </c>
      <c r="AK5" s="129">
        <f>Test!Z74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Anchor!L75</f>
        <v/>
      </c>
      <c r="D6" s="129">
        <f>Anchor!M75</f>
        <v/>
      </c>
      <c r="E6" s="129">
        <f>Anchor!N75</f>
        <v/>
      </c>
      <c r="F6" s="129">
        <f>Anchor!O75</f>
        <v/>
      </c>
      <c r="G6" s="130">
        <f>('Summary (Full)'!$B$34*D6+'Summary (Full)'!$B$35*E6+'Summary (Full)'!$B$36*F6)/'Summary (Full)'!$B$37</f>
        <v/>
      </c>
      <c r="H6" s="129">
        <f>Anchor!P75</f>
        <v/>
      </c>
      <c r="I6" s="129">
        <f>Anchor!Q75</f>
        <v/>
      </c>
      <c r="J6" s="129">
        <f>Anchor!R75</f>
        <v/>
      </c>
      <c r="K6" s="129">
        <f>Anchor!S75</f>
        <v/>
      </c>
      <c r="L6" s="129">
        <f>Anchor!T75</f>
        <v/>
      </c>
      <c r="M6" s="129">
        <f>Anchor!U75</f>
        <v/>
      </c>
      <c r="N6" s="129">
        <f>Anchor!V75</f>
        <v/>
      </c>
      <c r="O6" s="129">
        <f>Anchor!W75</f>
        <v/>
      </c>
      <c r="P6" s="129">
        <f>Anchor!X75</f>
        <v/>
      </c>
      <c r="Q6" s="131">
        <f>10*LOG10(1/(('Summary (Full)'!$B$41/10^(N6/10)+'Summary (Full)'!$B$42/10^(O6/10)+'Summary (Full)'!$B$43/10^(P6/10))/'Summary (Full)'!$B$44))</f>
        <v/>
      </c>
      <c r="R6" s="129">
        <f>Anchor!Y75</f>
        <v/>
      </c>
      <c r="S6" s="129">
        <f>Anchor!Z75</f>
        <v/>
      </c>
      <c r="T6" s="132" t="n"/>
      <c r="U6" s="129">
        <f>Test!L75</f>
        <v/>
      </c>
      <c r="V6" s="129">
        <f>Test!M75</f>
        <v/>
      </c>
      <c r="W6" s="129">
        <f>Test!N75</f>
        <v/>
      </c>
      <c r="X6" s="129">
        <f>Test!O75</f>
        <v/>
      </c>
      <c r="Y6" s="129">
        <f>('Summary (Full)'!$B$34*V6+'Summary (Full)'!$B$35*W6+'Summary (Full)'!$B$36*X6)/'Summary (Full)'!$B$37</f>
        <v/>
      </c>
      <c r="Z6" s="129">
        <f>Test!P75</f>
        <v/>
      </c>
      <c r="AA6" s="129">
        <f>Test!Q75</f>
        <v/>
      </c>
      <c r="AB6" s="129">
        <f>Test!R75</f>
        <v/>
      </c>
      <c r="AC6" s="129">
        <f>Test!S75</f>
        <v/>
      </c>
      <c r="AD6" s="129">
        <f>Test!T75</f>
        <v/>
      </c>
      <c r="AE6" s="129">
        <f>Test!U75</f>
        <v/>
      </c>
      <c r="AF6" s="129">
        <f>Test!V75</f>
        <v/>
      </c>
      <c r="AG6" s="129">
        <f>Test!W75</f>
        <v/>
      </c>
      <c r="AH6" s="129">
        <f>Test!X75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Test!Y75</f>
        <v/>
      </c>
      <c r="AK6" s="129">
        <f>Test!Z75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Anchor!L76</f>
        <v/>
      </c>
      <c r="D7" s="129">
        <f>Anchor!M76</f>
        <v/>
      </c>
      <c r="E7" s="129">
        <f>Anchor!N76</f>
        <v/>
      </c>
      <c r="F7" s="129">
        <f>Anchor!O76</f>
        <v/>
      </c>
      <c r="G7" s="130">
        <f>('Summary (Full)'!$B$34*D7+'Summary (Full)'!$B$35*E7+'Summary (Full)'!$B$36*F7)/'Summary (Full)'!$B$37</f>
        <v/>
      </c>
      <c r="H7" s="129">
        <f>Anchor!P76</f>
        <v/>
      </c>
      <c r="I7" s="129">
        <f>Anchor!Q76</f>
        <v/>
      </c>
      <c r="J7" s="129">
        <f>Anchor!R76</f>
        <v/>
      </c>
      <c r="K7" s="129">
        <f>Anchor!S76</f>
        <v/>
      </c>
      <c r="L7" s="129">
        <f>Anchor!T76</f>
        <v/>
      </c>
      <c r="M7" s="129">
        <f>Anchor!U76</f>
        <v/>
      </c>
      <c r="N7" s="129">
        <f>Anchor!V76</f>
        <v/>
      </c>
      <c r="O7" s="129">
        <f>Anchor!W76</f>
        <v/>
      </c>
      <c r="P7" s="129">
        <f>Anchor!X76</f>
        <v/>
      </c>
      <c r="Q7" s="131">
        <f>10*LOG10(1/(('Summary (Full)'!$B$41/10^(N7/10)+'Summary (Full)'!$B$42/10^(O7/10)+'Summary (Full)'!$B$43/10^(P7/10))/'Summary (Full)'!$B$44))</f>
        <v/>
      </c>
      <c r="R7" s="129">
        <f>Anchor!Y76</f>
        <v/>
      </c>
      <c r="S7" s="129">
        <f>Anchor!Z76</f>
        <v/>
      </c>
      <c r="T7" s="132" t="n"/>
      <c r="U7" s="129">
        <f>Test!L76</f>
        <v/>
      </c>
      <c r="V7" s="129">
        <f>Test!M76</f>
        <v/>
      </c>
      <c r="W7" s="129">
        <f>Test!N76</f>
        <v/>
      </c>
      <c r="X7" s="129">
        <f>Test!O76</f>
        <v/>
      </c>
      <c r="Y7" s="129">
        <f>('Summary (Full)'!$B$34*V7+'Summary (Full)'!$B$35*W7+'Summary (Full)'!$B$36*X7)/'Summary (Full)'!$B$37</f>
        <v/>
      </c>
      <c r="Z7" s="129">
        <f>Test!P76</f>
        <v/>
      </c>
      <c r="AA7" s="129">
        <f>Test!Q76</f>
        <v/>
      </c>
      <c r="AB7" s="129">
        <f>Test!R76</f>
        <v/>
      </c>
      <c r="AC7" s="129">
        <f>Test!S76</f>
        <v/>
      </c>
      <c r="AD7" s="129">
        <f>Test!T76</f>
        <v/>
      </c>
      <c r="AE7" s="129">
        <f>Test!U76</f>
        <v/>
      </c>
      <c r="AF7" s="129">
        <f>Test!V76</f>
        <v/>
      </c>
      <c r="AG7" s="129">
        <f>Test!W76</f>
        <v/>
      </c>
      <c r="AH7" s="129">
        <f>Test!X76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Test!Y76</f>
        <v/>
      </c>
      <c r="AK7" s="129">
        <f>Test!Z76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Anchor!L77</f>
        <v/>
      </c>
      <c r="D8" s="129">
        <f>Anchor!M77</f>
        <v/>
      </c>
      <c r="E8" s="129">
        <f>Anchor!N77</f>
        <v/>
      </c>
      <c r="F8" s="129">
        <f>Anchor!O77</f>
        <v/>
      </c>
      <c r="G8" s="130">
        <f>('Summary (Full)'!$B$34*D8+'Summary (Full)'!$B$35*E8+'Summary (Full)'!$B$36*F8)/'Summary (Full)'!$B$37</f>
        <v/>
      </c>
      <c r="H8" s="129">
        <f>Anchor!P77</f>
        <v/>
      </c>
      <c r="I8" s="129">
        <f>Anchor!Q77</f>
        <v/>
      </c>
      <c r="J8" s="129">
        <f>Anchor!R77</f>
        <v/>
      </c>
      <c r="K8" s="129">
        <f>Anchor!S77</f>
        <v/>
      </c>
      <c r="L8" s="129">
        <f>Anchor!T77</f>
        <v/>
      </c>
      <c r="M8" s="129">
        <f>Anchor!U77</f>
        <v/>
      </c>
      <c r="N8" s="129">
        <f>Anchor!V77</f>
        <v/>
      </c>
      <c r="O8" s="129">
        <f>Anchor!W77</f>
        <v/>
      </c>
      <c r="P8" s="129">
        <f>Anchor!X77</f>
        <v/>
      </c>
      <c r="Q8" s="131">
        <f>10*LOG10(1/(('Summary (Full)'!$B$41/10^(N8/10)+'Summary (Full)'!$B$42/10^(O8/10)+'Summary (Full)'!$B$43/10^(P8/10))/'Summary (Full)'!$B$44))</f>
        <v/>
      </c>
      <c r="R8" s="129">
        <f>Anchor!Y77</f>
        <v/>
      </c>
      <c r="S8" s="129">
        <f>Anchor!Z77</f>
        <v/>
      </c>
      <c r="T8" s="132" t="n"/>
      <c r="U8" s="129">
        <f>Test!L77</f>
        <v/>
      </c>
      <c r="V8" s="129">
        <f>Test!M77</f>
        <v/>
      </c>
      <c r="W8" s="129">
        <f>Test!N77</f>
        <v/>
      </c>
      <c r="X8" s="129">
        <f>Test!O77</f>
        <v/>
      </c>
      <c r="Y8" s="129">
        <f>('Summary (Full)'!$B$34*V8+'Summary (Full)'!$B$35*W8+'Summary (Full)'!$B$36*X8)/'Summary (Full)'!$B$37</f>
        <v/>
      </c>
      <c r="Z8" s="129">
        <f>Test!P77</f>
        <v/>
      </c>
      <c r="AA8" s="129">
        <f>Test!Q77</f>
        <v/>
      </c>
      <c r="AB8" s="129">
        <f>Test!R77</f>
        <v/>
      </c>
      <c r="AC8" s="129">
        <f>Test!S77</f>
        <v/>
      </c>
      <c r="AD8" s="129">
        <f>Test!T77</f>
        <v/>
      </c>
      <c r="AE8" s="129">
        <f>Test!U77</f>
        <v/>
      </c>
      <c r="AF8" s="129">
        <f>Test!V77</f>
        <v/>
      </c>
      <c r="AG8" s="129">
        <f>Test!W77</f>
        <v/>
      </c>
      <c r="AH8" s="129">
        <f>Test!X77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Test!Y77</f>
        <v/>
      </c>
      <c r="AK8" s="129">
        <f>Test!Z77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Anchor!L78</f>
        <v/>
      </c>
      <c r="D9" s="129">
        <f>Anchor!M78</f>
        <v/>
      </c>
      <c r="E9" s="129">
        <f>Anchor!N78</f>
        <v/>
      </c>
      <c r="F9" s="129">
        <f>Anchor!O78</f>
        <v/>
      </c>
      <c r="G9" s="130">
        <f>('Summary (Full)'!$B$34*D9+'Summary (Full)'!$B$35*E9+'Summary (Full)'!$B$36*F9)/'Summary (Full)'!$B$37</f>
        <v/>
      </c>
      <c r="H9" s="129">
        <f>Anchor!P78</f>
        <v/>
      </c>
      <c r="I9" s="129">
        <f>Anchor!Q78</f>
        <v/>
      </c>
      <c r="J9" s="129">
        <f>Anchor!R78</f>
        <v/>
      </c>
      <c r="K9" s="129">
        <f>Anchor!S78</f>
        <v/>
      </c>
      <c r="L9" s="129">
        <f>Anchor!T78</f>
        <v/>
      </c>
      <c r="M9" s="129">
        <f>Anchor!U78</f>
        <v/>
      </c>
      <c r="N9" s="129">
        <f>Anchor!V78</f>
        <v/>
      </c>
      <c r="O9" s="129">
        <f>Anchor!W78</f>
        <v/>
      </c>
      <c r="P9" s="129">
        <f>Anchor!X78</f>
        <v/>
      </c>
      <c r="Q9" s="131">
        <f>10*LOG10(1/(('Summary (Full)'!$B$41/10^(N9/10)+'Summary (Full)'!$B$42/10^(O9/10)+'Summary (Full)'!$B$43/10^(P9/10))/'Summary (Full)'!$B$44))</f>
        <v/>
      </c>
      <c r="R9" s="129">
        <f>Anchor!Y78</f>
        <v/>
      </c>
      <c r="S9" s="129">
        <f>Anchor!Z78</f>
        <v/>
      </c>
      <c r="T9" s="132" t="n"/>
      <c r="U9" s="129">
        <f>Test!L78</f>
        <v/>
      </c>
      <c r="V9" s="129">
        <f>Test!M78</f>
        <v/>
      </c>
      <c r="W9" s="129">
        <f>Test!N78</f>
        <v/>
      </c>
      <c r="X9" s="129">
        <f>Test!O78</f>
        <v/>
      </c>
      <c r="Y9" s="129">
        <f>('Summary (Full)'!$B$34*V9+'Summary (Full)'!$B$35*W9+'Summary (Full)'!$B$36*X9)/'Summary (Full)'!$B$37</f>
        <v/>
      </c>
      <c r="Z9" s="129">
        <f>Test!P78</f>
        <v/>
      </c>
      <c r="AA9" s="129">
        <f>Test!Q78</f>
        <v/>
      </c>
      <c r="AB9" s="129">
        <f>Test!R78</f>
        <v/>
      </c>
      <c r="AC9" s="129">
        <f>Test!S78</f>
        <v/>
      </c>
      <c r="AD9" s="129">
        <f>Test!T78</f>
        <v/>
      </c>
      <c r="AE9" s="129">
        <f>Test!U78</f>
        <v/>
      </c>
      <c r="AF9" s="129">
        <f>Test!V78</f>
        <v/>
      </c>
      <c r="AG9" s="129">
        <f>Test!W78</f>
        <v/>
      </c>
      <c r="AH9" s="129">
        <f>Test!X78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Test!Y78</f>
        <v/>
      </c>
      <c r="AK9" s="129">
        <f>Test!Z78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Anchor!L79</f>
        <v/>
      </c>
      <c r="D10" s="129">
        <f>Anchor!M79</f>
        <v/>
      </c>
      <c r="E10" s="129">
        <f>Anchor!N79</f>
        <v/>
      </c>
      <c r="F10" s="129">
        <f>Anchor!O79</f>
        <v/>
      </c>
      <c r="G10" s="130">
        <f>('Summary (Full)'!$B$34*D10+'Summary (Full)'!$B$35*E10+'Summary (Full)'!$B$36*F10)/'Summary (Full)'!$B$37</f>
        <v/>
      </c>
      <c r="H10" s="129">
        <f>Anchor!P79</f>
        <v/>
      </c>
      <c r="I10" s="129">
        <f>Anchor!Q79</f>
        <v/>
      </c>
      <c r="J10" s="129">
        <f>Anchor!R79</f>
        <v/>
      </c>
      <c r="K10" s="129">
        <f>Anchor!S79</f>
        <v/>
      </c>
      <c r="L10" s="129">
        <f>Anchor!T79</f>
        <v/>
      </c>
      <c r="M10" s="129">
        <f>Anchor!U79</f>
        <v/>
      </c>
      <c r="N10" s="129">
        <f>Anchor!V79</f>
        <v/>
      </c>
      <c r="O10" s="129">
        <f>Anchor!W79</f>
        <v/>
      </c>
      <c r="P10" s="129">
        <f>Anchor!X79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Anchor!Y79</f>
        <v/>
      </c>
      <c r="S10" s="129">
        <f>Anchor!Z79</f>
        <v/>
      </c>
      <c r="T10" s="132" t="n"/>
      <c r="U10" s="129">
        <f>Test!L79</f>
        <v/>
      </c>
      <c r="V10" s="129">
        <f>Test!M79</f>
        <v/>
      </c>
      <c r="W10" s="129">
        <f>Test!N79</f>
        <v/>
      </c>
      <c r="X10" s="129">
        <f>Test!O79</f>
        <v/>
      </c>
      <c r="Y10" s="129">
        <f>('Summary (Full)'!$B$34*V10+'Summary (Full)'!$B$35*W10+'Summary (Full)'!$B$36*X10)/'Summary (Full)'!$B$37</f>
        <v/>
      </c>
      <c r="Z10" s="129">
        <f>Test!P79</f>
        <v/>
      </c>
      <c r="AA10" s="129">
        <f>Test!Q79</f>
        <v/>
      </c>
      <c r="AB10" s="129">
        <f>Test!R79</f>
        <v/>
      </c>
      <c r="AC10" s="129">
        <f>Test!S79</f>
        <v/>
      </c>
      <c r="AD10" s="129">
        <f>Test!T79</f>
        <v/>
      </c>
      <c r="AE10" s="129">
        <f>Test!U79</f>
        <v/>
      </c>
      <c r="AF10" s="129">
        <f>Test!V79</f>
        <v/>
      </c>
      <c r="AG10" s="129">
        <f>Test!W79</f>
        <v/>
      </c>
      <c r="AH10" s="129">
        <f>Test!X79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Test!Y79</f>
        <v/>
      </c>
      <c r="AK10" s="129">
        <f>Test!Z79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Anchor!L80</f>
        <v/>
      </c>
      <c r="D11" s="129">
        <f>Anchor!M80</f>
        <v/>
      </c>
      <c r="E11" s="129">
        <f>Anchor!N80</f>
        <v/>
      </c>
      <c r="F11" s="129">
        <f>Anchor!O80</f>
        <v/>
      </c>
      <c r="G11" s="130">
        <f>('Summary (Full)'!$B$34*D11+'Summary (Full)'!$B$35*E11+'Summary (Full)'!$B$36*F11)/'Summary (Full)'!$B$37</f>
        <v/>
      </c>
      <c r="H11" s="129">
        <f>Anchor!P80</f>
        <v/>
      </c>
      <c r="I11" s="129">
        <f>Anchor!Q80</f>
        <v/>
      </c>
      <c r="J11" s="129">
        <f>Anchor!R80</f>
        <v/>
      </c>
      <c r="K11" s="129">
        <f>Anchor!S80</f>
        <v/>
      </c>
      <c r="L11" s="129">
        <f>Anchor!T80</f>
        <v/>
      </c>
      <c r="M11" s="129">
        <f>Anchor!U80</f>
        <v/>
      </c>
      <c r="N11" s="129">
        <f>Anchor!V80</f>
        <v/>
      </c>
      <c r="O11" s="129">
        <f>Anchor!W80</f>
        <v/>
      </c>
      <c r="P11" s="129">
        <f>Anchor!X80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Anchor!Y80</f>
        <v/>
      </c>
      <c r="S11" s="129">
        <f>Anchor!Z80</f>
        <v/>
      </c>
      <c r="T11" s="132" t="n"/>
      <c r="U11" s="129">
        <f>Test!L80</f>
        <v/>
      </c>
      <c r="V11" s="129">
        <f>Test!M80</f>
        <v/>
      </c>
      <c r="W11" s="129">
        <f>Test!N80</f>
        <v/>
      </c>
      <c r="X11" s="129">
        <f>Test!O80</f>
        <v/>
      </c>
      <c r="Y11" s="129">
        <f>('Summary (Full)'!$B$34*V11+'Summary (Full)'!$B$35*W11+'Summary (Full)'!$B$36*X11)/'Summary (Full)'!$B$37</f>
        <v/>
      </c>
      <c r="Z11" s="129">
        <f>Test!P80</f>
        <v/>
      </c>
      <c r="AA11" s="129">
        <f>Test!Q80</f>
        <v/>
      </c>
      <c r="AB11" s="129">
        <f>Test!R80</f>
        <v/>
      </c>
      <c r="AC11" s="129">
        <f>Test!S80</f>
        <v/>
      </c>
      <c r="AD11" s="129">
        <f>Test!T80</f>
        <v/>
      </c>
      <c r="AE11" s="129">
        <f>Test!U80</f>
        <v/>
      </c>
      <c r="AF11" s="129">
        <f>Test!V80</f>
        <v/>
      </c>
      <c r="AG11" s="129">
        <f>Test!W80</f>
        <v/>
      </c>
      <c r="AH11" s="129">
        <f>Test!X80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Test!Y80</f>
        <v/>
      </c>
      <c r="AK11" s="129">
        <f>Test!Z80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Anchor!L81</f>
        <v/>
      </c>
      <c r="D12" s="129">
        <f>Anchor!M81</f>
        <v/>
      </c>
      <c r="E12" s="129">
        <f>Anchor!N81</f>
        <v/>
      </c>
      <c r="F12" s="129">
        <f>Anchor!O81</f>
        <v/>
      </c>
      <c r="G12" s="130">
        <f>('Summary (Full)'!$B$34*D12+'Summary (Full)'!$B$35*E12+'Summary (Full)'!$B$36*F12)/'Summary (Full)'!$B$37</f>
        <v/>
      </c>
      <c r="H12" s="129">
        <f>Anchor!P81</f>
        <v/>
      </c>
      <c r="I12" s="129">
        <f>Anchor!Q81</f>
        <v/>
      </c>
      <c r="J12" s="129">
        <f>Anchor!R81</f>
        <v/>
      </c>
      <c r="K12" s="129">
        <f>Anchor!S81</f>
        <v/>
      </c>
      <c r="L12" s="129">
        <f>Anchor!T81</f>
        <v/>
      </c>
      <c r="M12" s="129">
        <f>Anchor!U81</f>
        <v/>
      </c>
      <c r="N12" s="129">
        <f>Anchor!V81</f>
        <v/>
      </c>
      <c r="O12" s="129">
        <f>Anchor!W81</f>
        <v/>
      </c>
      <c r="P12" s="129">
        <f>Anchor!X81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Anchor!Y81</f>
        <v/>
      </c>
      <c r="S12" s="129">
        <f>Anchor!Z81</f>
        <v/>
      </c>
      <c r="T12" s="132" t="n"/>
      <c r="U12" s="129">
        <f>Test!L81</f>
        <v/>
      </c>
      <c r="V12" s="129">
        <f>Test!M81</f>
        <v/>
      </c>
      <c r="W12" s="129">
        <f>Test!N81</f>
        <v/>
      </c>
      <c r="X12" s="129">
        <f>Test!O81</f>
        <v/>
      </c>
      <c r="Y12" s="129">
        <f>('Summary (Full)'!$B$34*V12+'Summary (Full)'!$B$35*W12+'Summary (Full)'!$B$36*X12)/'Summary (Full)'!$B$37</f>
        <v/>
      </c>
      <c r="Z12" s="129">
        <f>Test!P81</f>
        <v/>
      </c>
      <c r="AA12" s="129">
        <f>Test!Q81</f>
        <v/>
      </c>
      <c r="AB12" s="129">
        <f>Test!R81</f>
        <v/>
      </c>
      <c r="AC12" s="129">
        <f>Test!S81</f>
        <v/>
      </c>
      <c r="AD12" s="129">
        <f>Test!T81</f>
        <v/>
      </c>
      <c r="AE12" s="129">
        <f>Test!U81</f>
        <v/>
      </c>
      <c r="AF12" s="129">
        <f>Test!V81</f>
        <v/>
      </c>
      <c r="AG12" s="129">
        <f>Test!W81</f>
        <v/>
      </c>
      <c r="AH12" s="129">
        <f>Test!X81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Test!Y81</f>
        <v/>
      </c>
      <c r="AK12" s="129">
        <f>Test!Z81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Anchor!L82</f>
        <v/>
      </c>
      <c r="D13" s="129">
        <f>Anchor!M82</f>
        <v/>
      </c>
      <c r="E13" s="129">
        <f>Anchor!N82</f>
        <v/>
      </c>
      <c r="F13" s="129">
        <f>Anchor!O82</f>
        <v/>
      </c>
      <c r="G13" s="130">
        <f>('Summary (Full)'!$B$34*D13+'Summary (Full)'!$B$35*E13+'Summary (Full)'!$B$36*F13)/'Summary (Full)'!$B$37</f>
        <v/>
      </c>
      <c r="H13" s="129">
        <f>Anchor!P82</f>
        <v/>
      </c>
      <c r="I13" s="129">
        <f>Anchor!Q82</f>
        <v/>
      </c>
      <c r="J13" s="129">
        <f>Anchor!R82</f>
        <v/>
      </c>
      <c r="K13" s="129">
        <f>Anchor!S82</f>
        <v/>
      </c>
      <c r="L13" s="129">
        <f>Anchor!T82</f>
        <v/>
      </c>
      <c r="M13" s="129">
        <f>Anchor!U82</f>
        <v/>
      </c>
      <c r="N13" s="129">
        <f>Anchor!V82</f>
        <v/>
      </c>
      <c r="O13" s="129">
        <f>Anchor!W82</f>
        <v/>
      </c>
      <c r="P13" s="129">
        <f>Anchor!X82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Anchor!Y82</f>
        <v/>
      </c>
      <c r="S13" s="129">
        <f>Anchor!Z82</f>
        <v/>
      </c>
      <c r="T13" s="132" t="n"/>
      <c r="U13" s="129">
        <f>Test!L82</f>
        <v/>
      </c>
      <c r="V13" s="129">
        <f>Test!M82</f>
        <v/>
      </c>
      <c r="W13" s="129">
        <f>Test!N82</f>
        <v/>
      </c>
      <c r="X13" s="129">
        <f>Test!O82</f>
        <v/>
      </c>
      <c r="Y13" s="129">
        <f>('Summary (Full)'!$B$34*V13+'Summary (Full)'!$B$35*W13+'Summary (Full)'!$B$36*X13)/'Summary (Full)'!$B$37</f>
        <v/>
      </c>
      <c r="Z13" s="129">
        <f>Test!P82</f>
        <v/>
      </c>
      <c r="AA13" s="129">
        <f>Test!Q82</f>
        <v/>
      </c>
      <c r="AB13" s="129">
        <f>Test!R82</f>
        <v/>
      </c>
      <c r="AC13" s="129">
        <f>Test!S82</f>
        <v/>
      </c>
      <c r="AD13" s="129">
        <f>Test!T82</f>
        <v/>
      </c>
      <c r="AE13" s="129">
        <f>Test!U82</f>
        <v/>
      </c>
      <c r="AF13" s="129">
        <f>Test!V82</f>
        <v/>
      </c>
      <c r="AG13" s="129">
        <f>Test!W82</f>
        <v/>
      </c>
      <c r="AH13" s="129">
        <f>Test!X82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Test!Y82</f>
        <v/>
      </c>
      <c r="AK13" s="129">
        <f>Test!Z82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Anchor!L83</f>
        <v/>
      </c>
      <c r="D14" s="129">
        <f>Anchor!M83</f>
        <v/>
      </c>
      <c r="E14" s="129">
        <f>Anchor!N83</f>
        <v/>
      </c>
      <c r="F14" s="129">
        <f>Anchor!O83</f>
        <v/>
      </c>
      <c r="G14" s="130">
        <f>('Summary (Full)'!$B$34*D14+'Summary (Full)'!$B$35*E14+'Summary (Full)'!$B$36*F14)/'Summary (Full)'!$B$37</f>
        <v/>
      </c>
      <c r="H14" s="129">
        <f>Anchor!P83</f>
        <v/>
      </c>
      <c r="I14" s="129">
        <f>Anchor!Q83</f>
        <v/>
      </c>
      <c r="J14" s="129">
        <f>Anchor!R83</f>
        <v/>
      </c>
      <c r="K14" s="129">
        <f>Anchor!S83</f>
        <v/>
      </c>
      <c r="L14" s="129">
        <f>Anchor!T83</f>
        <v/>
      </c>
      <c r="M14" s="129">
        <f>Anchor!U83</f>
        <v/>
      </c>
      <c r="N14" s="129">
        <f>Anchor!V83</f>
        <v/>
      </c>
      <c r="O14" s="129">
        <f>Anchor!W83</f>
        <v/>
      </c>
      <c r="P14" s="129">
        <f>Anchor!X83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Anchor!Y83</f>
        <v/>
      </c>
      <c r="S14" s="129">
        <f>Anchor!Z83</f>
        <v/>
      </c>
      <c r="T14" s="132" t="n"/>
      <c r="U14" s="129">
        <f>Test!L83</f>
        <v/>
      </c>
      <c r="V14" s="129">
        <f>Test!M83</f>
        <v/>
      </c>
      <c r="W14" s="129">
        <f>Test!N83</f>
        <v/>
      </c>
      <c r="X14" s="129">
        <f>Test!O83</f>
        <v/>
      </c>
      <c r="Y14" s="129">
        <f>('Summary (Full)'!$B$34*V14+'Summary (Full)'!$B$35*W14+'Summary (Full)'!$B$36*X14)/'Summary (Full)'!$B$37</f>
        <v/>
      </c>
      <c r="Z14" s="129">
        <f>Test!P83</f>
        <v/>
      </c>
      <c r="AA14" s="129">
        <f>Test!Q83</f>
        <v/>
      </c>
      <c r="AB14" s="129">
        <f>Test!R83</f>
        <v/>
      </c>
      <c r="AC14" s="129">
        <f>Test!S83</f>
        <v/>
      </c>
      <c r="AD14" s="129">
        <f>Test!T83</f>
        <v/>
      </c>
      <c r="AE14" s="129">
        <f>Test!U83</f>
        <v/>
      </c>
      <c r="AF14" s="129">
        <f>Test!V83</f>
        <v/>
      </c>
      <c r="AG14" s="129">
        <f>Test!W83</f>
        <v/>
      </c>
      <c r="AH14" s="129">
        <f>Test!X83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Test!Y83</f>
        <v/>
      </c>
      <c r="AK14" s="129">
        <f>Test!Z83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Anchor!L84</f>
        <v/>
      </c>
      <c r="D15" s="129">
        <f>Anchor!M84</f>
        <v/>
      </c>
      <c r="E15" s="129">
        <f>Anchor!N84</f>
        <v/>
      </c>
      <c r="F15" s="129">
        <f>Anchor!O84</f>
        <v/>
      </c>
      <c r="G15" s="130">
        <f>('Summary (Full)'!$B$34*D15+'Summary (Full)'!$B$35*E15+'Summary (Full)'!$B$36*F15)/'Summary (Full)'!$B$37</f>
        <v/>
      </c>
      <c r="H15" s="129">
        <f>Anchor!P84</f>
        <v/>
      </c>
      <c r="I15" s="129">
        <f>Anchor!Q84</f>
        <v/>
      </c>
      <c r="J15" s="129">
        <f>Anchor!R84</f>
        <v/>
      </c>
      <c r="K15" s="129">
        <f>Anchor!S84</f>
        <v/>
      </c>
      <c r="L15" s="129">
        <f>Anchor!T84</f>
        <v/>
      </c>
      <c r="M15" s="129">
        <f>Anchor!U84</f>
        <v/>
      </c>
      <c r="N15" s="129">
        <f>Anchor!V84</f>
        <v/>
      </c>
      <c r="O15" s="129">
        <f>Anchor!W84</f>
        <v/>
      </c>
      <c r="P15" s="129">
        <f>Anchor!X84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Anchor!Y84</f>
        <v/>
      </c>
      <c r="S15" s="129">
        <f>Anchor!Z84</f>
        <v/>
      </c>
      <c r="T15" s="132" t="n"/>
      <c r="U15" s="129">
        <f>Test!L84</f>
        <v/>
      </c>
      <c r="V15" s="129">
        <f>Test!M84</f>
        <v/>
      </c>
      <c r="W15" s="129">
        <f>Test!N84</f>
        <v/>
      </c>
      <c r="X15" s="129">
        <f>Test!O84</f>
        <v/>
      </c>
      <c r="Y15" s="129">
        <f>('Summary (Full)'!$B$34*V15+'Summary (Full)'!$B$35*W15+'Summary (Full)'!$B$36*X15)/'Summary (Full)'!$B$37</f>
        <v/>
      </c>
      <c r="Z15" s="129">
        <f>Test!P84</f>
        <v/>
      </c>
      <c r="AA15" s="129">
        <f>Test!Q84</f>
        <v/>
      </c>
      <c r="AB15" s="129">
        <f>Test!R84</f>
        <v/>
      </c>
      <c r="AC15" s="129">
        <f>Test!S84</f>
        <v/>
      </c>
      <c r="AD15" s="129">
        <f>Test!T84</f>
        <v/>
      </c>
      <c r="AE15" s="129">
        <f>Test!U84</f>
        <v/>
      </c>
      <c r="AF15" s="129">
        <f>Test!V84</f>
        <v/>
      </c>
      <c r="AG15" s="129">
        <f>Test!W84</f>
        <v/>
      </c>
      <c r="AH15" s="129">
        <f>Test!X84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Test!Y84</f>
        <v/>
      </c>
      <c r="AK15" s="129">
        <f>Test!Z84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Anchor!L85</f>
        <v/>
      </c>
      <c r="D16" s="129">
        <f>Anchor!M85</f>
        <v/>
      </c>
      <c r="E16" s="129">
        <f>Anchor!N85</f>
        <v/>
      </c>
      <c r="F16" s="129">
        <f>Anchor!O85</f>
        <v/>
      </c>
      <c r="G16" s="130">
        <f>('Summary (Full)'!$B$34*D16+'Summary (Full)'!$B$35*E16+'Summary (Full)'!$B$36*F16)/'Summary (Full)'!$B$37</f>
        <v/>
      </c>
      <c r="H16" s="129">
        <f>Anchor!P85</f>
        <v/>
      </c>
      <c r="I16" s="129">
        <f>Anchor!Q85</f>
        <v/>
      </c>
      <c r="J16" s="129">
        <f>Anchor!R85</f>
        <v/>
      </c>
      <c r="K16" s="129">
        <f>Anchor!S85</f>
        <v/>
      </c>
      <c r="L16" s="129">
        <f>Anchor!T85</f>
        <v/>
      </c>
      <c r="M16" s="129">
        <f>Anchor!U85</f>
        <v/>
      </c>
      <c r="N16" s="129">
        <f>Anchor!V85</f>
        <v/>
      </c>
      <c r="O16" s="129">
        <f>Anchor!W85</f>
        <v/>
      </c>
      <c r="P16" s="129">
        <f>Anchor!X85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Anchor!Y85</f>
        <v/>
      </c>
      <c r="S16" s="129">
        <f>Anchor!Z85</f>
        <v/>
      </c>
      <c r="T16" s="132" t="n"/>
      <c r="U16" s="129">
        <f>Test!L85</f>
        <v/>
      </c>
      <c r="V16" s="129">
        <f>Test!M85</f>
        <v/>
      </c>
      <c r="W16" s="129">
        <f>Test!N85</f>
        <v/>
      </c>
      <c r="X16" s="129">
        <f>Test!O85</f>
        <v/>
      </c>
      <c r="Y16" s="129">
        <f>('Summary (Full)'!$B$34*V16+'Summary (Full)'!$B$35*W16+'Summary (Full)'!$B$36*X16)/'Summary (Full)'!$B$37</f>
        <v/>
      </c>
      <c r="Z16" s="129">
        <f>Test!P85</f>
        <v/>
      </c>
      <c r="AA16" s="129">
        <f>Test!Q85</f>
        <v/>
      </c>
      <c r="AB16" s="129">
        <f>Test!R85</f>
        <v/>
      </c>
      <c r="AC16" s="129">
        <f>Test!S85</f>
        <v/>
      </c>
      <c r="AD16" s="129">
        <f>Test!T85</f>
        <v/>
      </c>
      <c r="AE16" s="129">
        <f>Test!U85</f>
        <v/>
      </c>
      <c r="AF16" s="129">
        <f>Test!V85</f>
        <v/>
      </c>
      <c r="AG16" s="129">
        <f>Test!W85</f>
        <v/>
      </c>
      <c r="AH16" s="129">
        <f>Test!X85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Test!Y85</f>
        <v/>
      </c>
      <c r="AK16" s="129">
        <f>Test!Z85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Anchor!L86</f>
        <v/>
      </c>
      <c r="D17" s="129">
        <f>Anchor!M86</f>
        <v/>
      </c>
      <c r="E17" s="129">
        <f>Anchor!N86</f>
        <v/>
      </c>
      <c r="F17" s="129">
        <f>Anchor!O86</f>
        <v/>
      </c>
      <c r="G17" s="130">
        <f>('Summary (Full)'!$B$34*D17+'Summary (Full)'!$B$35*E17+'Summary (Full)'!$B$36*F17)/'Summary (Full)'!$B$37</f>
        <v/>
      </c>
      <c r="H17" s="129">
        <f>Anchor!P86</f>
        <v/>
      </c>
      <c r="I17" s="129">
        <f>Anchor!Q86</f>
        <v/>
      </c>
      <c r="J17" s="129">
        <f>Anchor!R86</f>
        <v/>
      </c>
      <c r="K17" s="129">
        <f>Anchor!S86</f>
        <v/>
      </c>
      <c r="L17" s="129">
        <f>Anchor!T86</f>
        <v/>
      </c>
      <c r="M17" s="129">
        <f>Anchor!U86</f>
        <v/>
      </c>
      <c r="N17" s="129">
        <f>Anchor!V86</f>
        <v/>
      </c>
      <c r="O17" s="129">
        <f>Anchor!W86</f>
        <v/>
      </c>
      <c r="P17" s="129">
        <f>Anchor!X86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Anchor!Y86</f>
        <v/>
      </c>
      <c r="S17" s="129">
        <f>Anchor!Z86</f>
        <v/>
      </c>
      <c r="T17" s="132" t="n"/>
      <c r="U17" s="129">
        <f>Test!L86</f>
        <v/>
      </c>
      <c r="V17" s="129">
        <f>Test!M86</f>
        <v/>
      </c>
      <c r="W17" s="129">
        <f>Test!N86</f>
        <v/>
      </c>
      <c r="X17" s="129">
        <f>Test!O86</f>
        <v/>
      </c>
      <c r="Y17" s="129">
        <f>('Summary (Full)'!$B$34*V17+'Summary (Full)'!$B$35*W17+'Summary (Full)'!$B$36*X17)/'Summary (Full)'!$B$37</f>
        <v/>
      </c>
      <c r="Z17" s="129">
        <f>Test!P86</f>
        <v/>
      </c>
      <c r="AA17" s="129">
        <f>Test!Q86</f>
        <v/>
      </c>
      <c r="AB17" s="129">
        <f>Test!R86</f>
        <v/>
      </c>
      <c r="AC17" s="129">
        <f>Test!S86</f>
        <v/>
      </c>
      <c r="AD17" s="129">
        <f>Test!T86</f>
        <v/>
      </c>
      <c r="AE17" s="129">
        <f>Test!U86</f>
        <v/>
      </c>
      <c r="AF17" s="129">
        <f>Test!V86</f>
        <v/>
      </c>
      <c r="AG17" s="129">
        <f>Test!W86</f>
        <v/>
      </c>
      <c r="AH17" s="129">
        <f>Test!X86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Test!Y86</f>
        <v/>
      </c>
      <c r="AK17" s="129">
        <f>Test!Z86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Anchor!L87</f>
        <v/>
      </c>
      <c r="D18" s="129">
        <f>Anchor!M87</f>
        <v/>
      </c>
      <c r="E18" s="129">
        <f>Anchor!N87</f>
        <v/>
      </c>
      <c r="F18" s="129">
        <f>Anchor!O87</f>
        <v/>
      </c>
      <c r="G18" s="130">
        <f>('Summary (Full)'!$B$34*D18+'Summary (Full)'!$B$35*E18+'Summary (Full)'!$B$36*F18)/'Summary (Full)'!$B$37</f>
        <v/>
      </c>
      <c r="H18" s="129">
        <f>Anchor!P87</f>
        <v/>
      </c>
      <c r="I18" s="129">
        <f>Anchor!Q87</f>
        <v/>
      </c>
      <c r="J18" s="129">
        <f>Anchor!R87</f>
        <v/>
      </c>
      <c r="K18" s="129">
        <f>Anchor!S87</f>
        <v/>
      </c>
      <c r="L18" s="129">
        <f>Anchor!T87</f>
        <v/>
      </c>
      <c r="M18" s="129">
        <f>Anchor!U87</f>
        <v/>
      </c>
      <c r="N18" s="129">
        <f>Anchor!V87</f>
        <v/>
      </c>
      <c r="O18" s="129">
        <f>Anchor!W87</f>
        <v/>
      </c>
      <c r="P18" s="129">
        <f>Anchor!X87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Anchor!Y87</f>
        <v/>
      </c>
      <c r="S18" s="129">
        <f>Anchor!Z87</f>
        <v/>
      </c>
      <c r="T18" s="132" t="n"/>
      <c r="U18" s="129">
        <f>Test!L87</f>
        <v/>
      </c>
      <c r="V18" s="129">
        <f>Test!M87</f>
        <v/>
      </c>
      <c r="W18" s="129">
        <f>Test!N87</f>
        <v/>
      </c>
      <c r="X18" s="129">
        <f>Test!O87</f>
        <v/>
      </c>
      <c r="Y18" s="129">
        <f>('Summary (Full)'!$B$34*V18+'Summary (Full)'!$B$35*W18+'Summary (Full)'!$B$36*X18)/'Summary (Full)'!$B$37</f>
        <v/>
      </c>
      <c r="Z18" s="129">
        <f>Test!P87</f>
        <v/>
      </c>
      <c r="AA18" s="129">
        <f>Test!Q87</f>
        <v/>
      </c>
      <c r="AB18" s="129">
        <f>Test!R87</f>
        <v/>
      </c>
      <c r="AC18" s="129">
        <f>Test!S87</f>
        <v/>
      </c>
      <c r="AD18" s="129">
        <f>Test!T87</f>
        <v/>
      </c>
      <c r="AE18" s="129">
        <f>Test!U87</f>
        <v/>
      </c>
      <c r="AF18" s="129">
        <f>Test!V87</f>
        <v/>
      </c>
      <c r="AG18" s="129">
        <f>Test!W87</f>
        <v/>
      </c>
      <c r="AH18" s="129">
        <f>Test!X87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Test!Y87</f>
        <v/>
      </c>
      <c r="AK18" s="129">
        <f>Test!Z87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Anchor!L88</f>
        <v/>
      </c>
      <c r="D19" s="129">
        <f>Anchor!M88</f>
        <v/>
      </c>
      <c r="E19" s="129">
        <f>Anchor!N88</f>
        <v/>
      </c>
      <c r="F19" s="129">
        <f>Anchor!O88</f>
        <v/>
      </c>
      <c r="G19" s="130">
        <f>('Summary (Full)'!$B$34*D19+'Summary (Full)'!$B$35*E19+'Summary (Full)'!$B$36*F19)/'Summary (Full)'!$B$37</f>
        <v/>
      </c>
      <c r="H19" s="129">
        <f>Anchor!P88</f>
        <v/>
      </c>
      <c r="I19" s="129">
        <f>Anchor!Q88</f>
        <v/>
      </c>
      <c r="J19" s="129">
        <f>Anchor!R88</f>
        <v/>
      </c>
      <c r="K19" s="129">
        <f>Anchor!S88</f>
        <v/>
      </c>
      <c r="L19" s="129">
        <f>Anchor!T88</f>
        <v/>
      </c>
      <c r="M19" s="129">
        <f>Anchor!U88</f>
        <v/>
      </c>
      <c r="N19" s="129">
        <f>Anchor!V88</f>
        <v/>
      </c>
      <c r="O19" s="129">
        <f>Anchor!W88</f>
        <v/>
      </c>
      <c r="P19" s="129">
        <f>Anchor!X88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Anchor!Y88</f>
        <v/>
      </c>
      <c r="S19" s="129">
        <f>Anchor!Z88</f>
        <v/>
      </c>
      <c r="T19" s="132" t="n"/>
      <c r="U19" s="129">
        <f>Test!L88</f>
        <v/>
      </c>
      <c r="V19" s="129">
        <f>Test!M88</f>
        <v/>
      </c>
      <c r="W19" s="129">
        <f>Test!N88</f>
        <v/>
      </c>
      <c r="X19" s="129">
        <f>Test!O88</f>
        <v/>
      </c>
      <c r="Y19" s="129">
        <f>('Summary (Full)'!$B$34*V19+'Summary (Full)'!$B$35*W19+'Summary (Full)'!$B$36*X19)/'Summary (Full)'!$B$37</f>
        <v/>
      </c>
      <c r="Z19" s="129">
        <f>Test!P88</f>
        <v/>
      </c>
      <c r="AA19" s="129">
        <f>Test!Q88</f>
        <v/>
      </c>
      <c r="AB19" s="129">
        <f>Test!R88</f>
        <v/>
      </c>
      <c r="AC19" s="129">
        <f>Test!S88</f>
        <v/>
      </c>
      <c r="AD19" s="129">
        <f>Test!T88</f>
        <v/>
      </c>
      <c r="AE19" s="129">
        <f>Test!U88</f>
        <v/>
      </c>
      <c r="AF19" s="129">
        <f>Test!V88</f>
        <v/>
      </c>
      <c r="AG19" s="129">
        <f>Test!W88</f>
        <v/>
      </c>
      <c r="AH19" s="129">
        <f>Test!X88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Test!Y88</f>
        <v/>
      </c>
      <c r="AK19" s="129">
        <f>Test!Z88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Anchor!L89</f>
        <v/>
      </c>
      <c r="D20" s="129">
        <f>Anchor!M89</f>
        <v/>
      </c>
      <c r="E20" s="129">
        <f>Anchor!N89</f>
        <v/>
      </c>
      <c r="F20" s="129">
        <f>Anchor!O89</f>
        <v/>
      </c>
      <c r="G20" s="130">
        <f>('Summary (Full)'!$B$34*D20+'Summary (Full)'!$B$35*E20+'Summary (Full)'!$B$36*F20)/'Summary (Full)'!$B$37</f>
        <v/>
      </c>
      <c r="H20" s="129">
        <f>Anchor!P89</f>
        <v/>
      </c>
      <c r="I20" s="129">
        <f>Anchor!Q89</f>
        <v/>
      </c>
      <c r="J20" s="129">
        <f>Anchor!R89</f>
        <v/>
      </c>
      <c r="K20" s="129">
        <f>Anchor!S89</f>
        <v/>
      </c>
      <c r="L20" s="129">
        <f>Anchor!T89</f>
        <v/>
      </c>
      <c r="M20" s="129">
        <f>Anchor!U89</f>
        <v/>
      </c>
      <c r="N20" s="129">
        <f>Anchor!V89</f>
        <v/>
      </c>
      <c r="O20" s="129">
        <f>Anchor!W89</f>
        <v/>
      </c>
      <c r="P20" s="129">
        <f>Anchor!X89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Anchor!Y89</f>
        <v/>
      </c>
      <c r="S20" s="129">
        <f>Anchor!Z89</f>
        <v/>
      </c>
      <c r="T20" s="132" t="n"/>
      <c r="U20" s="129">
        <f>Test!L89</f>
        <v/>
      </c>
      <c r="V20" s="129">
        <f>Test!M89</f>
        <v/>
      </c>
      <c r="W20" s="129">
        <f>Test!N89</f>
        <v/>
      </c>
      <c r="X20" s="129">
        <f>Test!O89</f>
        <v/>
      </c>
      <c r="Y20" s="129">
        <f>('Summary (Full)'!$B$34*V20+'Summary (Full)'!$B$35*W20+'Summary (Full)'!$B$36*X20)/'Summary (Full)'!$B$37</f>
        <v/>
      </c>
      <c r="Z20" s="129">
        <f>Test!P89</f>
        <v/>
      </c>
      <c r="AA20" s="129">
        <f>Test!Q89</f>
        <v/>
      </c>
      <c r="AB20" s="129">
        <f>Test!R89</f>
        <v/>
      </c>
      <c r="AC20" s="129">
        <f>Test!S89</f>
        <v/>
      </c>
      <c r="AD20" s="129">
        <f>Test!T89</f>
        <v/>
      </c>
      <c r="AE20" s="129">
        <f>Test!U89</f>
        <v/>
      </c>
      <c r="AF20" s="129">
        <f>Test!V89</f>
        <v/>
      </c>
      <c r="AG20" s="129">
        <f>Test!W89</f>
        <v/>
      </c>
      <c r="AH20" s="129">
        <f>Test!X89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Test!Y89</f>
        <v/>
      </c>
      <c r="AK20" s="129">
        <f>Test!Z89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Anchor!L90</f>
        <v/>
      </c>
      <c r="D21" s="129">
        <f>Anchor!M90</f>
        <v/>
      </c>
      <c r="E21" s="129">
        <f>Anchor!N90</f>
        <v/>
      </c>
      <c r="F21" s="129">
        <f>Anchor!O90</f>
        <v/>
      </c>
      <c r="G21" s="130">
        <f>('Summary (Full)'!$B$34*D21+'Summary (Full)'!$B$35*E21+'Summary (Full)'!$B$36*F21)/'Summary (Full)'!$B$37</f>
        <v/>
      </c>
      <c r="H21" s="129">
        <f>Anchor!P90</f>
        <v/>
      </c>
      <c r="I21" s="129">
        <f>Anchor!Q90</f>
        <v/>
      </c>
      <c r="J21" s="129">
        <f>Anchor!R90</f>
        <v/>
      </c>
      <c r="K21" s="129">
        <f>Anchor!S90</f>
        <v/>
      </c>
      <c r="L21" s="129">
        <f>Anchor!T90</f>
        <v/>
      </c>
      <c r="M21" s="129">
        <f>Anchor!U90</f>
        <v/>
      </c>
      <c r="N21" s="129">
        <f>Anchor!V90</f>
        <v/>
      </c>
      <c r="O21" s="129">
        <f>Anchor!W90</f>
        <v/>
      </c>
      <c r="P21" s="129">
        <f>Anchor!X90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Anchor!Y90</f>
        <v/>
      </c>
      <c r="S21" s="129">
        <f>Anchor!Z90</f>
        <v/>
      </c>
      <c r="T21" s="132" t="n"/>
      <c r="U21" s="129">
        <f>Test!L90</f>
        <v/>
      </c>
      <c r="V21" s="129">
        <f>Test!M90</f>
        <v/>
      </c>
      <c r="W21" s="129">
        <f>Test!N90</f>
        <v/>
      </c>
      <c r="X21" s="129">
        <f>Test!O90</f>
        <v/>
      </c>
      <c r="Y21" s="129">
        <f>('Summary (Full)'!$B$34*V21+'Summary (Full)'!$B$35*W21+'Summary (Full)'!$B$36*X21)/'Summary (Full)'!$B$37</f>
        <v/>
      </c>
      <c r="Z21" s="129">
        <f>Test!P90</f>
        <v/>
      </c>
      <c r="AA21" s="129">
        <f>Test!Q90</f>
        <v/>
      </c>
      <c r="AB21" s="129">
        <f>Test!R90</f>
        <v/>
      </c>
      <c r="AC21" s="129">
        <f>Test!S90</f>
        <v/>
      </c>
      <c r="AD21" s="129">
        <f>Test!T90</f>
        <v/>
      </c>
      <c r="AE21" s="129">
        <f>Test!U90</f>
        <v/>
      </c>
      <c r="AF21" s="129">
        <f>Test!V90</f>
        <v/>
      </c>
      <c r="AG21" s="129">
        <f>Test!W90</f>
        <v/>
      </c>
      <c r="AH21" s="129">
        <f>Test!X90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Test!Y90</f>
        <v/>
      </c>
      <c r="AK21" s="129">
        <f>Test!Z90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Anchor!L91</f>
        <v/>
      </c>
      <c r="D22" s="129">
        <f>Anchor!M91</f>
        <v/>
      </c>
      <c r="E22" s="129">
        <f>Anchor!N91</f>
        <v/>
      </c>
      <c r="F22" s="129">
        <f>Anchor!O91</f>
        <v/>
      </c>
      <c r="G22" s="130">
        <f>('Summary (Full)'!$B$34*D22+'Summary (Full)'!$B$35*E22+'Summary (Full)'!$B$36*F22)/'Summary (Full)'!$B$37</f>
        <v/>
      </c>
      <c r="H22" s="129">
        <f>Anchor!P91</f>
        <v/>
      </c>
      <c r="I22" s="129">
        <f>Anchor!Q91</f>
        <v/>
      </c>
      <c r="J22" s="129">
        <f>Anchor!R91</f>
        <v/>
      </c>
      <c r="K22" s="129">
        <f>Anchor!S91</f>
        <v/>
      </c>
      <c r="L22" s="129">
        <f>Anchor!T91</f>
        <v/>
      </c>
      <c r="M22" s="129">
        <f>Anchor!U91</f>
        <v/>
      </c>
      <c r="N22" s="129">
        <f>Anchor!V91</f>
        <v/>
      </c>
      <c r="O22" s="129">
        <f>Anchor!W91</f>
        <v/>
      </c>
      <c r="P22" s="129">
        <f>Anchor!X91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Anchor!Y91</f>
        <v/>
      </c>
      <c r="S22" s="129">
        <f>Anchor!Z91</f>
        <v/>
      </c>
      <c r="T22" s="132" t="n"/>
      <c r="U22" s="129">
        <f>Test!L91</f>
        <v/>
      </c>
      <c r="V22" s="129">
        <f>Test!M91</f>
        <v/>
      </c>
      <c r="W22" s="129">
        <f>Test!N91</f>
        <v/>
      </c>
      <c r="X22" s="129">
        <f>Test!O91</f>
        <v/>
      </c>
      <c r="Y22" s="129">
        <f>('Summary (Full)'!$B$34*V22+'Summary (Full)'!$B$35*W22+'Summary (Full)'!$B$36*X22)/'Summary (Full)'!$B$37</f>
        <v/>
      </c>
      <c r="Z22" s="129">
        <f>Test!P91</f>
        <v/>
      </c>
      <c r="AA22" s="129">
        <f>Test!Q91</f>
        <v/>
      </c>
      <c r="AB22" s="129">
        <f>Test!R91</f>
        <v/>
      </c>
      <c r="AC22" s="129">
        <f>Test!S91</f>
        <v/>
      </c>
      <c r="AD22" s="129">
        <f>Test!T91</f>
        <v/>
      </c>
      <c r="AE22" s="129">
        <f>Test!U91</f>
        <v/>
      </c>
      <c r="AF22" s="129">
        <f>Test!V91</f>
        <v/>
      </c>
      <c r="AG22" s="129">
        <f>Test!W91</f>
        <v/>
      </c>
      <c r="AH22" s="129">
        <f>Test!X91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Test!Y91</f>
        <v/>
      </c>
      <c r="AK22" s="129">
        <f>Test!Z91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Anchor!L92</f>
        <v/>
      </c>
      <c r="D23" s="129">
        <f>Anchor!M92</f>
        <v/>
      </c>
      <c r="E23" s="129">
        <f>Anchor!N92</f>
        <v/>
      </c>
      <c r="F23" s="129">
        <f>Anchor!O92</f>
        <v/>
      </c>
      <c r="G23" s="130">
        <f>('Summary (Full)'!$B$34*D23+'Summary (Full)'!$B$35*E23+'Summary (Full)'!$B$36*F23)/'Summary (Full)'!$B$37</f>
        <v/>
      </c>
      <c r="H23" s="129">
        <f>Anchor!P92</f>
        <v/>
      </c>
      <c r="I23" s="129">
        <f>Anchor!Q92</f>
        <v/>
      </c>
      <c r="J23" s="129">
        <f>Anchor!R92</f>
        <v/>
      </c>
      <c r="K23" s="129">
        <f>Anchor!S92</f>
        <v/>
      </c>
      <c r="L23" s="129">
        <f>Anchor!T92</f>
        <v/>
      </c>
      <c r="M23" s="129">
        <f>Anchor!U92</f>
        <v/>
      </c>
      <c r="N23" s="129">
        <f>Anchor!V92</f>
        <v/>
      </c>
      <c r="O23" s="129">
        <f>Anchor!W92</f>
        <v/>
      </c>
      <c r="P23" s="129">
        <f>Anchor!X92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Anchor!Y92</f>
        <v/>
      </c>
      <c r="S23" s="129">
        <f>Anchor!Z92</f>
        <v/>
      </c>
      <c r="T23" s="132" t="n"/>
      <c r="U23" s="129">
        <f>Test!L92</f>
        <v/>
      </c>
      <c r="V23" s="129">
        <f>Test!M92</f>
        <v/>
      </c>
      <c r="W23" s="129">
        <f>Test!N92</f>
        <v/>
      </c>
      <c r="X23" s="129">
        <f>Test!O92</f>
        <v/>
      </c>
      <c r="Y23" s="129">
        <f>('Summary (Full)'!$B$34*V23+'Summary (Full)'!$B$35*W23+'Summary (Full)'!$B$36*X23)/'Summary (Full)'!$B$37</f>
        <v/>
      </c>
      <c r="Z23" s="129">
        <f>Test!P92</f>
        <v/>
      </c>
      <c r="AA23" s="129">
        <f>Test!Q92</f>
        <v/>
      </c>
      <c r="AB23" s="129">
        <f>Test!R92</f>
        <v/>
      </c>
      <c r="AC23" s="129">
        <f>Test!S92</f>
        <v/>
      </c>
      <c r="AD23" s="129">
        <f>Test!T92</f>
        <v/>
      </c>
      <c r="AE23" s="129">
        <f>Test!U92</f>
        <v/>
      </c>
      <c r="AF23" s="129">
        <f>Test!V92</f>
        <v/>
      </c>
      <c r="AG23" s="129">
        <f>Test!W92</f>
        <v/>
      </c>
      <c r="AH23" s="129">
        <f>Test!X92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Test!Y92</f>
        <v/>
      </c>
      <c r="AK23" s="129">
        <f>Test!Z92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Anchor!L93</f>
        <v/>
      </c>
      <c r="D24" s="129">
        <f>Anchor!M93</f>
        <v/>
      </c>
      <c r="E24" s="129">
        <f>Anchor!N93</f>
        <v/>
      </c>
      <c r="F24" s="129">
        <f>Anchor!O93</f>
        <v/>
      </c>
      <c r="G24" s="130">
        <f>('Summary (Full)'!$B$34*D24+'Summary (Full)'!$B$35*E24+'Summary (Full)'!$B$36*F24)/'Summary (Full)'!$B$37</f>
        <v/>
      </c>
      <c r="H24" s="129">
        <f>Anchor!P93</f>
        <v/>
      </c>
      <c r="I24" s="129">
        <f>Anchor!Q93</f>
        <v/>
      </c>
      <c r="J24" s="129">
        <f>Anchor!R93</f>
        <v/>
      </c>
      <c r="K24" s="129">
        <f>Anchor!S93</f>
        <v/>
      </c>
      <c r="L24" s="129">
        <f>Anchor!T93</f>
        <v/>
      </c>
      <c r="M24" s="129">
        <f>Anchor!U93</f>
        <v/>
      </c>
      <c r="N24" s="129">
        <f>Anchor!V93</f>
        <v/>
      </c>
      <c r="O24" s="129">
        <f>Anchor!W93</f>
        <v/>
      </c>
      <c r="P24" s="129">
        <f>Anchor!X93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Anchor!Y93</f>
        <v/>
      </c>
      <c r="S24" s="129">
        <f>Anchor!Z93</f>
        <v/>
      </c>
      <c r="T24" s="132" t="n"/>
      <c r="U24" s="129">
        <f>Test!L93</f>
        <v/>
      </c>
      <c r="V24" s="129">
        <f>Test!M93</f>
        <v/>
      </c>
      <c r="W24" s="129">
        <f>Test!N93</f>
        <v/>
      </c>
      <c r="X24" s="129">
        <f>Test!O93</f>
        <v/>
      </c>
      <c r="Y24" s="129">
        <f>('Summary (Full)'!$B$34*V24+'Summary (Full)'!$B$35*W24+'Summary (Full)'!$B$36*X24)/'Summary (Full)'!$B$37</f>
        <v/>
      </c>
      <c r="Z24" s="129">
        <f>Test!P93</f>
        <v/>
      </c>
      <c r="AA24" s="129">
        <f>Test!Q93</f>
        <v/>
      </c>
      <c r="AB24" s="129">
        <f>Test!R93</f>
        <v/>
      </c>
      <c r="AC24" s="129">
        <f>Test!S93</f>
        <v/>
      </c>
      <c r="AD24" s="129">
        <f>Test!T93</f>
        <v/>
      </c>
      <c r="AE24" s="129">
        <f>Test!U93</f>
        <v/>
      </c>
      <c r="AF24" s="129">
        <f>Test!V93</f>
        <v/>
      </c>
      <c r="AG24" s="129">
        <f>Test!W93</f>
        <v/>
      </c>
      <c r="AH24" s="129">
        <f>Test!X93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Test!Y93</f>
        <v/>
      </c>
      <c r="AK24" s="129">
        <f>Test!Z93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Anchor!L94</f>
        <v/>
      </c>
      <c r="D25" s="129">
        <f>Anchor!M94</f>
        <v/>
      </c>
      <c r="E25" s="129">
        <f>Anchor!N94</f>
        <v/>
      </c>
      <c r="F25" s="129">
        <f>Anchor!O94</f>
        <v/>
      </c>
      <c r="G25" s="130">
        <f>('Summary (Full)'!$B$34*D25+'Summary (Full)'!$B$35*E25+'Summary (Full)'!$B$36*F25)/'Summary (Full)'!$B$37</f>
        <v/>
      </c>
      <c r="H25" s="129">
        <f>Anchor!P94</f>
        <v/>
      </c>
      <c r="I25" s="129">
        <f>Anchor!Q94</f>
        <v/>
      </c>
      <c r="J25" s="129">
        <f>Anchor!R94</f>
        <v/>
      </c>
      <c r="K25" s="129">
        <f>Anchor!S94</f>
        <v/>
      </c>
      <c r="L25" s="129">
        <f>Anchor!T94</f>
        <v/>
      </c>
      <c r="M25" s="129">
        <f>Anchor!U94</f>
        <v/>
      </c>
      <c r="N25" s="129">
        <f>Anchor!V94</f>
        <v/>
      </c>
      <c r="O25" s="129">
        <f>Anchor!W94</f>
        <v/>
      </c>
      <c r="P25" s="129">
        <f>Anchor!X94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Anchor!Y94</f>
        <v/>
      </c>
      <c r="S25" s="129">
        <f>Anchor!Z94</f>
        <v/>
      </c>
      <c r="T25" s="132" t="n"/>
      <c r="U25" s="129">
        <f>Test!L94</f>
        <v/>
      </c>
      <c r="V25" s="129">
        <f>Test!M94</f>
        <v/>
      </c>
      <c r="W25" s="129">
        <f>Test!N94</f>
        <v/>
      </c>
      <c r="X25" s="129">
        <f>Test!O94</f>
        <v/>
      </c>
      <c r="Y25" s="129">
        <f>('Summary (Full)'!$B$34*V25+'Summary (Full)'!$B$35*W25+'Summary (Full)'!$B$36*X25)/'Summary (Full)'!$B$37</f>
        <v/>
      </c>
      <c r="Z25" s="129">
        <f>Test!P94</f>
        <v/>
      </c>
      <c r="AA25" s="129">
        <f>Test!Q94</f>
        <v/>
      </c>
      <c r="AB25" s="129">
        <f>Test!R94</f>
        <v/>
      </c>
      <c r="AC25" s="129">
        <f>Test!S94</f>
        <v/>
      </c>
      <c r="AD25" s="129">
        <f>Test!T94</f>
        <v/>
      </c>
      <c r="AE25" s="129">
        <f>Test!U94</f>
        <v/>
      </c>
      <c r="AF25" s="129">
        <f>Test!V94</f>
        <v/>
      </c>
      <c r="AG25" s="129">
        <f>Test!W94</f>
        <v/>
      </c>
      <c r="AH25" s="129">
        <f>Test!X94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Test!Y94</f>
        <v/>
      </c>
      <c r="AK25" s="129">
        <f>Test!Z94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Anchor!L95</f>
        <v/>
      </c>
      <c r="D26" s="129">
        <f>Anchor!M95</f>
        <v/>
      </c>
      <c r="E26" s="129">
        <f>Anchor!N95</f>
        <v/>
      </c>
      <c r="F26" s="129">
        <f>Anchor!O95</f>
        <v/>
      </c>
      <c r="G26" s="130">
        <f>('Summary (Full)'!$B$34*D26+'Summary (Full)'!$B$35*E26+'Summary (Full)'!$B$36*F26)/'Summary (Full)'!$B$37</f>
        <v/>
      </c>
      <c r="H26" s="129">
        <f>Anchor!P95</f>
        <v/>
      </c>
      <c r="I26" s="129">
        <f>Anchor!Q95</f>
        <v/>
      </c>
      <c r="J26" s="129">
        <f>Anchor!R95</f>
        <v/>
      </c>
      <c r="K26" s="129">
        <f>Anchor!S95</f>
        <v/>
      </c>
      <c r="L26" s="129">
        <f>Anchor!T95</f>
        <v/>
      </c>
      <c r="M26" s="129">
        <f>Anchor!U95</f>
        <v/>
      </c>
      <c r="N26" s="129">
        <f>Anchor!V95</f>
        <v/>
      </c>
      <c r="O26" s="129">
        <f>Anchor!W95</f>
        <v/>
      </c>
      <c r="P26" s="129">
        <f>Anchor!X95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Anchor!Y95</f>
        <v/>
      </c>
      <c r="S26" s="129">
        <f>Anchor!Z95</f>
        <v/>
      </c>
      <c r="T26" s="132" t="n"/>
      <c r="U26" s="129">
        <f>Test!L95</f>
        <v/>
      </c>
      <c r="V26" s="129">
        <f>Test!M95</f>
        <v/>
      </c>
      <c r="W26" s="129">
        <f>Test!N95</f>
        <v/>
      </c>
      <c r="X26" s="129">
        <f>Test!O95</f>
        <v/>
      </c>
      <c r="Y26" s="129">
        <f>('Summary (Full)'!$B$34*V26+'Summary (Full)'!$B$35*W26+'Summary (Full)'!$B$36*X26)/'Summary (Full)'!$B$37</f>
        <v/>
      </c>
      <c r="Z26" s="129">
        <f>Test!P95</f>
        <v/>
      </c>
      <c r="AA26" s="129">
        <f>Test!Q95</f>
        <v/>
      </c>
      <c r="AB26" s="129">
        <f>Test!R95</f>
        <v/>
      </c>
      <c r="AC26" s="129">
        <f>Test!S95</f>
        <v/>
      </c>
      <c r="AD26" s="129">
        <f>Test!T95</f>
        <v/>
      </c>
      <c r="AE26" s="129">
        <f>Test!U95</f>
        <v/>
      </c>
      <c r="AF26" s="129">
        <f>Test!V95</f>
        <v/>
      </c>
      <c r="AG26" s="129">
        <f>Test!W95</f>
        <v/>
      </c>
      <c r="AH26" s="129">
        <f>Test!X95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Test!Y95</f>
        <v/>
      </c>
      <c r="AK26" s="129">
        <f>Test!Z95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Anchor!L96</f>
        <v/>
      </c>
      <c r="D27" s="129">
        <f>Anchor!M96</f>
        <v/>
      </c>
      <c r="E27" s="129">
        <f>Anchor!N96</f>
        <v/>
      </c>
      <c r="F27" s="129">
        <f>Anchor!O96</f>
        <v/>
      </c>
      <c r="G27" s="130">
        <f>('Summary (Full)'!$B$34*D27+'Summary (Full)'!$B$35*E27+'Summary (Full)'!$B$36*F27)/'Summary (Full)'!$B$37</f>
        <v/>
      </c>
      <c r="H27" s="129">
        <f>Anchor!P96</f>
        <v/>
      </c>
      <c r="I27" s="129">
        <f>Anchor!Q96</f>
        <v/>
      </c>
      <c r="J27" s="129">
        <f>Anchor!R96</f>
        <v/>
      </c>
      <c r="K27" s="129">
        <f>Anchor!S96</f>
        <v/>
      </c>
      <c r="L27" s="129">
        <f>Anchor!T96</f>
        <v/>
      </c>
      <c r="M27" s="129">
        <f>Anchor!U96</f>
        <v/>
      </c>
      <c r="N27" s="129">
        <f>Anchor!V96</f>
        <v/>
      </c>
      <c r="O27" s="129">
        <f>Anchor!W96</f>
        <v/>
      </c>
      <c r="P27" s="129">
        <f>Anchor!X96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Anchor!Y96</f>
        <v/>
      </c>
      <c r="S27" s="129">
        <f>Anchor!Z96</f>
        <v/>
      </c>
      <c r="T27" s="132" t="n"/>
      <c r="U27" s="129">
        <f>Test!L96</f>
        <v/>
      </c>
      <c r="V27" s="129">
        <f>Test!M96</f>
        <v/>
      </c>
      <c r="W27" s="129">
        <f>Test!N96</f>
        <v/>
      </c>
      <c r="X27" s="129">
        <f>Test!O96</f>
        <v/>
      </c>
      <c r="Y27" s="129">
        <f>('Summary (Full)'!$B$34*V27+'Summary (Full)'!$B$35*W27+'Summary (Full)'!$B$36*X27)/'Summary (Full)'!$B$37</f>
        <v/>
      </c>
      <c r="Z27" s="129">
        <f>Test!P96</f>
        <v/>
      </c>
      <c r="AA27" s="129">
        <f>Test!Q96</f>
        <v/>
      </c>
      <c r="AB27" s="129">
        <f>Test!R96</f>
        <v/>
      </c>
      <c r="AC27" s="129">
        <f>Test!S96</f>
        <v/>
      </c>
      <c r="AD27" s="129">
        <f>Test!T96</f>
        <v/>
      </c>
      <c r="AE27" s="129">
        <f>Test!U96</f>
        <v/>
      </c>
      <c r="AF27" s="129">
        <f>Test!V96</f>
        <v/>
      </c>
      <c r="AG27" s="129">
        <f>Test!W96</f>
        <v/>
      </c>
      <c r="AH27" s="129">
        <f>Test!X96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Test!Y96</f>
        <v/>
      </c>
      <c r="AK27" s="129">
        <f>Test!Z96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Anchor!L97</f>
        <v/>
      </c>
      <c r="D28" s="129">
        <f>Anchor!M97</f>
        <v/>
      </c>
      <c r="E28" s="129">
        <f>Anchor!N97</f>
        <v/>
      </c>
      <c r="F28" s="129">
        <f>Anchor!O97</f>
        <v/>
      </c>
      <c r="G28" s="130">
        <f>('Summary (Full)'!$B$34*D28+'Summary (Full)'!$B$35*E28+'Summary (Full)'!$B$36*F28)/'Summary (Full)'!$B$37</f>
        <v/>
      </c>
      <c r="H28" s="129">
        <f>Anchor!P97</f>
        <v/>
      </c>
      <c r="I28" s="129">
        <f>Anchor!Q97</f>
        <v/>
      </c>
      <c r="J28" s="129">
        <f>Anchor!R97</f>
        <v/>
      </c>
      <c r="K28" s="129">
        <f>Anchor!S97</f>
        <v/>
      </c>
      <c r="L28" s="129">
        <f>Anchor!T97</f>
        <v/>
      </c>
      <c r="M28" s="129">
        <f>Anchor!U97</f>
        <v/>
      </c>
      <c r="N28" s="129">
        <f>Anchor!V97</f>
        <v/>
      </c>
      <c r="O28" s="129">
        <f>Anchor!W97</f>
        <v/>
      </c>
      <c r="P28" s="129">
        <f>Anchor!X97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Anchor!Y97</f>
        <v/>
      </c>
      <c r="S28" s="129">
        <f>Anchor!Z97</f>
        <v/>
      </c>
      <c r="T28" s="132" t="n"/>
      <c r="U28" s="129">
        <f>Test!L97</f>
        <v/>
      </c>
      <c r="V28" s="129">
        <f>Test!M97</f>
        <v/>
      </c>
      <c r="W28" s="129">
        <f>Test!N97</f>
        <v/>
      </c>
      <c r="X28" s="129">
        <f>Test!O97</f>
        <v/>
      </c>
      <c r="Y28" s="129">
        <f>('Summary (Full)'!$B$34*V28+'Summary (Full)'!$B$35*W28+'Summary (Full)'!$B$36*X28)/'Summary (Full)'!$B$37</f>
        <v/>
      </c>
      <c r="Z28" s="129">
        <f>Test!P97</f>
        <v/>
      </c>
      <c r="AA28" s="129">
        <f>Test!Q97</f>
        <v/>
      </c>
      <c r="AB28" s="129">
        <f>Test!R97</f>
        <v/>
      </c>
      <c r="AC28" s="129">
        <f>Test!S97</f>
        <v/>
      </c>
      <c r="AD28" s="129">
        <f>Test!T97</f>
        <v/>
      </c>
      <c r="AE28" s="129">
        <f>Test!U97</f>
        <v/>
      </c>
      <c r="AF28" s="129">
        <f>Test!V97</f>
        <v/>
      </c>
      <c r="AG28" s="129">
        <f>Test!W97</f>
        <v/>
      </c>
      <c r="AH28" s="129">
        <f>Test!X97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Test!Y97</f>
        <v/>
      </c>
      <c r="AK28" s="129">
        <f>Test!Z97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Anchor!L98</f>
        <v/>
      </c>
      <c r="D29" s="129">
        <f>Anchor!M98</f>
        <v/>
      </c>
      <c r="E29" s="129">
        <f>Anchor!N98</f>
        <v/>
      </c>
      <c r="F29" s="129">
        <f>Anchor!O98</f>
        <v/>
      </c>
      <c r="G29" s="130">
        <f>('Summary (Full)'!$B$34*D29+'Summary (Full)'!$B$35*E29+'Summary (Full)'!$B$36*F29)/'Summary (Full)'!$B$37</f>
        <v/>
      </c>
      <c r="H29" s="129">
        <f>Anchor!P98</f>
        <v/>
      </c>
      <c r="I29" s="129">
        <f>Anchor!Q98</f>
        <v/>
      </c>
      <c r="J29" s="129">
        <f>Anchor!R98</f>
        <v/>
      </c>
      <c r="K29" s="129">
        <f>Anchor!S98</f>
        <v/>
      </c>
      <c r="L29" s="129">
        <f>Anchor!T98</f>
        <v/>
      </c>
      <c r="M29" s="129">
        <f>Anchor!U98</f>
        <v/>
      </c>
      <c r="N29" s="129">
        <f>Anchor!V98</f>
        <v/>
      </c>
      <c r="O29" s="129">
        <f>Anchor!W98</f>
        <v/>
      </c>
      <c r="P29" s="129">
        <f>Anchor!X98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Anchor!Y98</f>
        <v/>
      </c>
      <c r="S29" s="129">
        <f>Anchor!Z98</f>
        <v/>
      </c>
      <c r="T29" s="132" t="n"/>
      <c r="U29" s="129">
        <f>Test!L98</f>
        <v/>
      </c>
      <c r="V29" s="129">
        <f>Test!M98</f>
        <v/>
      </c>
      <c r="W29" s="129">
        <f>Test!N98</f>
        <v/>
      </c>
      <c r="X29" s="129">
        <f>Test!O98</f>
        <v/>
      </c>
      <c r="Y29" s="129">
        <f>('Summary (Full)'!$B$34*V29+'Summary (Full)'!$B$35*W29+'Summary (Full)'!$B$36*X29)/'Summary (Full)'!$B$37</f>
        <v/>
      </c>
      <c r="Z29" s="129">
        <f>Test!P98</f>
        <v/>
      </c>
      <c r="AA29" s="129">
        <f>Test!Q98</f>
        <v/>
      </c>
      <c r="AB29" s="129">
        <f>Test!R98</f>
        <v/>
      </c>
      <c r="AC29" s="129">
        <f>Test!S98</f>
        <v/>
      </c>
      <c r="AD29" s="129">
        <f>Test!T98</f>
        <v/>
      </c>
      <c r="AE29" s="129">
        <f>Test!U98</f>
        <v/>
      </c>
      <c r="AF29" s="129">
        <f>Test!V98</f>
        <v/>
      </c>
      <c r="AG29" s="129">
        <f>Test!W98</f>
        <v/>
      </c>
      <c r="AH29" s="129">
        <f>Test!X98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Test!Y98</f>
        <v/>
      </c>
      <c r="AK29" s="129">
        <f>Test!Z98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Anchor!L99</f>
        <v/>
      </c>
      <c r="D30" s="129">
        <f>Anchor!M99</f>
        <v/>
      </c>
      <c r="E30" s="129">
        <f>Anchor!N99</f>
        <v/>
      </c>
      <c r="F30" s="129">
        <f>Anchor!O99</f>
        <v/>
      </c>
      <c r="G30" s="130">
        <f>('Summary (Full)'!$B$34*D30+'Summary (Full)'!$B$35*E30+'Summary (Full)'!$B$36*F30)/'Summary (Full)'!$B$37</f>
        <v/>
      </c>
      <c r="H30" s="129">
        <f>Anchor!P99</f>
        <v/>
      </c>
      <c r="I30" s="129">
        <f>Anchor!Q99</f>
        <v/>
      </c>
      <c r="J30" s="129">
        <f>Anchor!R99</f>
        <v/>
      </c>
      <c r="K30" s="129">
        <f>Anchor!S99</f>
        <v/>
      </c>
      <c r="L30" s="129">
        <f>Anchor!T99</f>
        <v/>
      </c>
      <c r="M30" s="129">
        <f>Anchor!U99</f>
        <v/>
      </c>
      <c r="N30" s="129">
        <f>Anchor!V99</f>
        <v/>
      </c>
      <c r="O30" s="129">
        <f>Anchor!W99</f>
        <v/>
      </c>
      <c r="P30" s="129">
        <f>Anchor!X99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Anchor!Y99</f>
        <v/>
      </c>
      <c r="S30" s="129">
        <f>Anchor!Z99</f>
        <v/>
      </c>
      <c r="T30" s="132" t="n"/>
      <c r="U30" s="129">
        <f>Test!L99</f>
        <v/>
      </c>
      <c r="V30" s="129">
        <f>Test!M99</f>
        <v/>
      </c>
      <c r="W30" s="129">
        <f>Test!N99</f>
        <v/>
      </c>
      <c r="X30" s="129">
        <f>Test!O99</f>
        <v/>
      </c>
      <c r="Y30" s="129">
        <f>('Summary (Full)'!$B$34*V30+'Summary (Full)'!$B$35*W30+'Summary (Full)'!$B$36*X30)/'Summary (Full)'!$B$37</f>
        <v/>
      </c>
      <c r="Z30" s="129">
        <f>Test!P99</f>
        <v/>
      </c>
      <c r="AA30" s="129">
        <f>Test!Q99</f>
        <v/>
      </c>
      <c r="AB30" s="129">
        <f>Test!R99</f>
        <v/>
      </c>
      <c r="AC30" s="129">
        <f>Test!S99</f>
        <v/>
      </c>
      <c r="AD30" s="129">
        <f>Test!T99</f>
        <v/>
      </c>
      <c r="AE30" s="129">
        <f>Test!U99</f>
        <v/>
      </c>
      <c r="AF30" s="129">
        <f>Test!V99</f>
        <v/>
      </c>
      <c r="AG30" s="129">
        <f>Test!W99</f>
        <v/>
      </c>
      <c r="AH30" s="129">
        <f>Test!X99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Test!Y99</f>
        <v/>
      </c>
      <c r="AK30" s="129">
        <f>Test!Z99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Anchor!L100</f>
        <v/>
      </c>
      <c r="D31" s="129">
        <f>Anchor!M100</f>
        <v/>
      </c>
      <c r="E31" s="129">
        <f>Anchor!N100</f>
        <v/>
      </c>
      <c r="F31" s="129">
        <f>Anchor!O100</f>
        <v/>
      </c>
      <c r="G31" s="130">
        <f>('Summary (Full)'!$B$34*D31+'Summary (Full)'!$B$35*E31+'Summary (Full)'!$B$36*F31)/'Summary (Full)'!$B$37</f>
        <v/>
      </c>
      <c r="H31" s="129">
        <f>Anchor!P100</f>
        <v/>
      </c>
      <c r="I31" s="129">
        <f>Anchor!Q100</f>
        <v/>
      </c>
      <c r="J31" s="129">
        <f>Anchor!R100</f>
        <v/>
      </c>
      <c r="K31" s="129">
        <f>Anchor!S100</f>
        <v/>
      </c>
      <c r="L31" s="129">
        <f>Anchor!T100</f>
        <v/>
      </c>
      <c r="M31" s="129">
        <f>Anchor!U100</f>
        <v/>
      </c>
      <c r="N31" s="129">
        <f>Anchor!V100</f>
        <v/>
      </c>
      <c r="O31" s="129">
        <f>Anchor!W100</f>
        <v/>
      </c>
      <c r="P31" s="129">
        <f>Anchor!X100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Anchor!Y100</f>
        <v/>
      </c>
      <c r="S31" s="129">
        <f>Anchor!Z100</f>
        <v/>
      </c>
      <c r="T31" s="132" t="n"/>
      <c r="U31" s="129">
        <f>Test!L100</f>
        <v/>
      </c>
      <c r="V31" s="129">
        <f>Test!M100</f>
        <v/>
      </c>
      <c r="W31" s="129">
        <f>Test!N100</f>
        <v/>
      </c>
      <c r="X31" s="129">
        <f>Test!O100</f>
        <v/>
      </c>
      <c r="Y31" s="129">
        <f>('Summary (Full)'!$B$34*V31+'Summary (Full)'!$B$35*W31+'Summary (Full)'!$B$36*X31)/'Summary (Full)'!$B$37</f>
        <v/>
      </c>
      <c r="Z31" s="129">
        <f>Test!P100</f>
        <v/>
      </c>
      <c r="AA31" s="129">
        <f>Test!Q100</f>
        <v/>
      </c>
      <c r="AB31" s="129">
        <f>Test!R100</f>
        <v/>
      </c>
      <c r="AC31" s="129">
        <f>Test!S100</f>
        <v/>
      </c>
      <c r="AD31" s="129">
        <f>Test!T100</f>
        <v/>
      </c>
      <c r="AE31" s="129">
        <f>Test!U100</f>
        <v/>
      </c>
      <c r="AF31" s="129">
        <f>Test!V100</f>
        <v/>
      </c>
      <c r="AG31" s="129">
        <f>Test!W100</f>
        <v/>
      </c>
      <c r="AH31" s="129">
        <f>Test!X100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Test!Y100</f>
        <v/>
      </c>
      <c r="AK31" s="129">
        <f>Test!Z100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Anchor!L101</f>
        <v/>
      </c>
      <c r="D32" s="129">
        <f>Anchor!M101</f>
        <v/>
      </c>
      <c r="E32" s="129">
        <f>Anchor!N101</f>
        <v/>
      </c>
      <c r="F32" s="129">
        <f>Anchor!O101</f>
        <v/>
      </c>
      <c r="G32" s="130">
        <f>('Summary (Full)'!$B$34*D32+'Summary (Full)'!$B$35*E32+'Summary (Full)'!$B$36*F32)/'Summary (Full)'!$B$37</f>
        <v/>
      </c>
      <c r="H32" s="129">
        <f>Anchor!P101</f>
        <v/>
      </c>
      <c r="I32" s="129">
        <f>Anchor!Q101</f>
        <v/>
      </c>
      <c r="J32" s="129">
        <f>Anchor!R101</f>
        <v/>
      </c>
      <c r="K32" s="129">
        <f>Anchor!S101</f>
        <v/>
      </c>
      <c r="L32" s="129">
        <f>Anchor!T101</f>
        <v/>
      </c>
      <c r="M32" s="129">
        <f>Anchor!U101</f>
        <v/>
      </c>
      <c r="N32" s="129">
        <f>Anchor!V101</f>
        <v/>
      </c>
      <c r="O32" s="129">
        <f>Anchor!W101</f>
        <v/>
      </c>
      <c r="P32" s="129">
        <f>Anchor!X101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Anchor!Y101</f>
        <v/>
      </c>
      <c r="S32" s="129">
        <f>Anchor!Z101</f>
        <v/>
      </c>
      <c r="T32" s="132" t="n"/>
      <c r="U32" s="129">
        <f>Test!L101</f>
        <v/>
      </c>
      <c r="V32" s="129">
        <f>Test!M101</f>
        <v/>
      </c>
      <c r="W32" s="129">
        <f>Test!N101</f>
        <v/>
      </c>
      <c r="X32" s="129">
        <f>Test!O101</f>
        <v/>
      </c>
      <c r="Y32" s="129">
        <f>('Summary (Full)'!$B$34*V32+'Summary (Full)'!$B$35*W32+'Summary (Full)'!$B$36*X32)/'Summary (Full)'!$B$37</f>
        <v/>
      </c>
      <c r="Z32" s="129">
        <f>Test!P101</f>
        <v/>
      </c>
      <c r="AA32" s="129">
        <f>Test!Q101</f>
        <v/>
      </c>
      <c r="AB32" s="129">
        <f>Test!R101</f>
        <v/>
      </c>
      <c r="AC32" s="129">
        <f>Test!S101</f>
        <v/>
      </c>
      <c r="AD32" s="129">
        <f>Test!T101</f>
        <v/>
      </c>
      <c r="AE32" s="129">
        <f>Test!U101</f>
        <v/>
      </c>
      <c r="AF32" s="129">
        <f>Test!V101</f>
        <v/>
      </c>
      <c r="AG32" s="129">
        <f>Test!W101</f>
        <v/>
      </c>
      <c r="AH32" s="129">
        <f>Test!X101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Test!Y101</f>
        <v/>
      </c>
      <c r="AK32" s="129">
        <f>Test!Z101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Anchor!L102</f>
        <v/>
      </c>
      <c r="D33" s="129">
        <f>Anchor!M102</f>
        <v/>
      </c>
      <c r="E33" s="129">
        <f>Anchor!N102</f>
        <v/>
      </c>
      <c r="F33" s="129">
        <f>Anchor!O102</f>
        <v/>
      </c>
      <c r="G33" s="130">
        <f>('Summary (Full)'!$B$34*D33+'Summary (Full)'!$B$35*E33+'Summary (Full)'!$B$36*F33)/'Summary (Full)'!$B$37</f>
        <v/>
      </c>
      <c r="H33" s="129">
        <f>Anchor!P102</f>
        <v/>
      </c>
      <c r="I33" s="129">
        <f>Anchor!Q102</f>
        <v/>
      </c>
      <c r="J33" s="129">
        <f>Anchor!R102</f>
        <v/>
      </c>
      <c r="K33" s="129">
        <f>Anchor!S102</f>
        <v/>
      </c>
      <c r="L33" s="129">
        <f>Anchor!T102</f>
        <v/>
      </c>
      <c r="M33" s="129">
        <f>Anchor!U102</f>
        <v/>
      </c>
      <c r="N33" s="129">
        <f>Anchor!V102</f>
        <v/>
      </c>
      <c r="O33" s="129">
        <f>Anchor!W102</f>
        <v/>
      </c>
      <c r="P33" s="129">
        <f>Anchor!X102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Anchor!Y102</f>
        <v/>
      </c>
      <c r="S33" s="129">
        <f>Anchor!Z102</f>
        <v/>
      </c>
      <c r="T33" s="132" t="n"/>
      <c r="U33" s="129">
        <f>Test!L102</f>
        <v/>
      </c>
      <c r="V33" s="129">
        <f>Test!M102</f>
        <v/>
      </c>
      <c r="W33" s="129">
        <f>Test!N102</f>
        <v/>
      </c>
      <c r="X33" s="129">
        <f>Test!O102</f>
        <v/>
      </c>
      <c r="Y33" s="129">
        <f>('Summary (Full)'!$B$34*V33+'Summary (Full)'!$B$35*W33+'Summary (Full)'!$B$36*X33)/'Summary (Full)'!$B$37</f>
        <v/>
      </c>
      <c r="Z33" s="129">
        <f>Test!P102</f>
        <v/>
      </c>
      <c r="AA33" s="129">
        <f>Test!Q102</f>
        <v/>
      </c>
      <c r="AB33" s="129">
        <f>Test!R102</f>
        <v/>
      </c>
      <c r="AC33" s="129">
        <f>Test!S102</f>
        <v/>
      </c>
      <c r="AD33" s="129">
        <f>Test!T102</f>
        <v/>
      </c>
      <c r="AE33" s="129">
        <f>Test!U102</f>
        <v/>
      </c>
      <c r="AF33" s="129">
        <f>Test!V102</f>
        <v/>
      </c>
      <c r="AG33" s="129">
        <f>Test!W102</f>
        <v/>
      </c>
      <c r="AH33" s="129">
        <f>Test!X102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Test!Y102</f>
        <v/>
      </c>
      <c r="AK33" s="129">
        <f>Test!Z102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Anchor!L103</f>
        <v/>
      </c>
      <c r="D34" s="129">
        <f>Anchor!M103</f>
        <v/>
      </c>
      <c r="E34" s="129">
        <f>Anchor!N103</f>
        <v/>
      </c>
      <c r="F34" s="129">
        <f>Anchor!O103</f>
        <v/>
      </c>
      <c r="G34" s="130">
        <f>('Summary (Full)'!$B$34*D34+'Summary (Full)'!$B$35*E34+'Summary (Full)'!$B$36*F34)/'Summary (Full)'!$B$37</f>
        <v/>
      </c>
      <c r="H34" s="129">
        <f>Anchor!P103</f>
        <v/>
      </c>
      <c r="I34" s="129">
        <f>Anchor!Q103</f>
        <v/>
      </c>
      <c r="J34" s="129">
        <f>Anchor!R103</f>
        <v/>
      </c>
      <c r="K34" s="129">
        <f>Anchor!S103</f>
        <v/>
      </c>
      <c r="L34" s="129">
        <f>Anchor!T103</f>
        <v/>
      </c>
      <c r="M34" s="129">
        <f>Anchor!U103</f>
        <v/>
      </c>
      <c r="N34" s="129">
        <f>Anchor!V103</f>
        <v/>
      </c>
      <c r="O34" s="129">
        <f>Anchor!W103</f>
        <v/>
      </c>
      <c r="P34" s="129">
        <f>Anchor!X103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Anchor!Y103</f>
        <v/>
      </c>
      <c r="S34" s="129">
        <f>Anchor!Z103</f>
        <v/>
      </c>
      <c r="T34" s="132" t="n"/>
      <c r="U34" s="129">
        <f>Test!L103</f>
        <v/>
      </c>
      <c r="V34" s="129">
        <f>Test!M103</f>
        <v/>
      </c>
      <c r="W34" s="129">
        <f>Test!N103</f>
        <v/>
      </c>
      <c r="X34" s="129">
        <f>Test!O103</f>
        <v/>
      </c>
      <c r="Y34" s="129">
        <f>('Summary (Full)'!$B$34*V34+'Summary (Full)'!$B$35*W34+'Summary (Full)'!$B$36*X34)/'Summary (Full)'!$B$37</f>
        <v/>
      </c>
      <c r="Z34" s="129">
        <f>Test!P103</f>
        <v/>
      </c>
      <c r="AA34" s="129">
        <f>Test!Q103</f>
        <v/>
      </c>
      <c r="AB34" s="129">
        <f>Test!R103</f>
        <v/>
      </c>
      <c r="AC34" s="129">
        <f>Test!S103</f>
        <v/>
      </c>
      <c r="AD34" s="129">
        <f>Test!T103</f>
        <v/>
      </c>
      <c r="AE34" s="129">
        <f>Test!U103</f>
        <v/>
      </c>
      <c r="AF34" s="129">
        <f>Test!V103</f>
        <v/>
      </c>
      <c r="AG34" s="129">
        <f>Test!W103</f>
        <v/>
      </c>
      <c r="AH34" s="129">
        <f>Test!X103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Test!Y103</f>
        <v/>
      </c>
      <c r="AK34" s="129">
        <f>Test!Z103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Anchor!L104</f>
        <v/>
      </c>
      <c r="D35" s="129">
        <f>Anchor!M104</f>
        <v/>
      </c>
      <c r="E35" s="129">
        <f>Anchor!N104</f>
        <v/>
      </c>
      <c r="F35" s="129">
        <f>Anchor!O104</f>
        <v/>
      </c>
      <c r="G35" s="130">
        <f>('Summary (Full)'!$B$34*D35+'Summary (Full)'!$B$35*E35+'Summary (Full)'!$B$36*F35)/'Summary (Full)'!$B$37</f>
        <v/>
      </c>
      <c r="H35" s="129">
        <f>Anchor!P104</f>
        <v/>
      </c>
      <c r="I35" s="129">
        <f>Anchor!Q104</f>
        <v/>
      </c>
      <c r="J35" s="129">
        <f>Anchor!R104</f>
        <v/>
      </c>
      <c r="K35" s="129">
        <f>Anchor!S104</f>
        <v/>
      </c>
      <c r="L35" s="129">
        <f>Anchor!T104</f>
        <v/>
      </c>
      <c r="M35" s="129">
        <f>Anchor!U104</f>
        <v/>
      </c>
      <c r="N35" s="129">
        <f>Anchor!V104</f>
        <v/>
      </c>
      <c r="O35" s="129">
        <f>Anchor!W104</f>
        <v/>
      </c>
      <c r="P35" s="129">
        <f>Anchor!X104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Anchor!Y104</f>
        <v/>
      </c>
      <c r="S35" s="129">
        <f>Anchor!Z104</f>
        <v/>
      </c>
      <c r="T35" s="132" t="n"/>
      <c r="U35" s="129">
        <f>Test!L104</f>
        <v/>
      </c>
      <c r="V35" s="129">
        <f>Test!M104</f>
        <v/>
      </c>
      <c r="W35" s="129">
        <f>Test!N104</f>
        <v/>
      </c>
      <c r="X35" s="129">
        <f>Test!O104</f>
        <v/>
      </c>
      <c r="Y35" s="129">
        <f>('Summary (Full)'!$B$34*V35+'Summary (Full)'!$B$35*W35+'Summary (Full)'!$B$36*X35)/'Summary (Full)'!$B$37</f>
        <v/>
      </c>
      <c r="Z35" s="129">
        <f>Test!P104</f>
        <v/>
      </c>
      <c r="AA35" s="129">
        <f>Test!Q104</f>
        <v/>
      </c>
      <c r="AB35" s="129">
        <f>Test!R104</f>
        <v/>
      </c>
      <c r="AC35" s="129">
        <f>Test!S104</f>
        <v/>
      </c>
      <c r="AD35" s="129">
        <f>Test!T104</f>
        <v/>
      </c>
      <c r="AE35" s="129">
        <f>Test!U104</f>
        <v/>
      </c>
      <c r="AF35" s="129">
        <f>Test!V104</f>
        <v/>
      </c>
      <c r="AG35" s="129">
        <f>Test!W104</f>
        <v/>
      </c>
      <c r="AH35" s="129">
        <f>Test!X104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Test!Y104</f>
        <v/>
      </c>
      <c r="AK35" s="129">
        <f>Test!Z104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Anchor!L105</f>
        <v/>
      </c>
      <c r="D36" s="129">
        <f>Anchor!M105</f>
        <v/>
      </c>
      <c r="E36" s="129">
        <f>Anchor!N105</f>
        <v/>
      </c>
      <c r="F36" s="129">
        <f>Anchor!O105</f>
        <v/>
      </c>
      <c r="G36" s="130">
        <f>('Summary (Full)'!$B$34*D36+'Summary (Full)'!$B$35*E36+'Summary (Full)'!$B$36*F36)/'Summary (Full)'!$B$37</f>
        <v/>
      </c>
      <c r="H36" s="129">
        <f>Anchor!P105</f>
        <v/>
      </c>
      <c r="I36" s="129">
        <f>Anchor!Q105</f>
        <v/>
      </c>
      <c r="J36" s="129">
        <f>Anchor!R105</f>
        <v/>
      </c>
      <c r="K36" s="129">
        <f>Anchor!S105</f>
        <v/>
      </c>
      <c r="L36" s="129">
        <f>Anchor!T105</f>
        <v/>
      </c>
      <c r="M36" s="129">
        <f>Anchor!U105</f>
        <v/>
      </c>
      <c r="N36" s="129">
        <f>Anchor!V105</f>
        <v/>
      </c>
      <c r="O36" s="129">
        <f>Anchor!W105</f>
        <v/>
      </c>
      <c r="P36" s="129">
        <f>Anchor!X105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Anchor!Y105</f>
        <v/>
      </c>
      <c r="S36" s="129">
        <f>Anchor!Z105</f>
        <v/>
      </c>
      <c r="T36" s="132" t="n"/>
      <c r="U36" s="129">
        <f>Test!L105</f>
        <v/>
      </c>
      <c r="V36" s="129">
        <f>Test!M105</f>
        <v/>
      </c>
      <c r="W36" s="129">
        <f>Test!N105</f>
        <v/>
      </c>
      <c r="X36" s="129">
        <f>Test!O105</f>
        <v/>
      </c>
      <c r="Y36" s="129">
        <f>('Summary (Full)'!$B$34*V36+'Summary (Full)'!$B$35*W36+'Summary (Full)'!$B$36*X36)/'Summary (Full)'!$B$37</f>
        <v/>
      </c>
      <c r="Z36" s="129">
        <f>Test!P105</f>
        <v/>
      </c>
      <c r="AA36" s="129">
        <f>Test!Q105</f>
        <v/>
      </c>
      <c r="AB36" s="129">
        <f>Test!R105</f>
        <v/>
      </c>
      <c r="AC36" s="129">
        <f>Test!S105</f>
        <v/>
      </c>
      <c r="AD36" s="129">
        <f>Test!T105</f>
        <v/>
      </c>
      <c r="AE36" s="129">
        <f>Test!U105</f>
        <v/>
      </c>
      <c r="AF36" s="129">
        <f>Test!V105</f>
        <v/>
      </c>
      <c r="AG36" s="129">
        <f>Test!W105</f>
        <v/>
      </c>
      <c r="AH36" s="129">
        <f>Test!X105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Test!Y105</f>
        <v/>
      </c>
      <c r="AK36" s="129">
        <f>Test!Z105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Anchor!L106</f>
        <v/>
      </c>
      <c r="D37" s="129">
        <f>Anchor!M106</f>
        <v/>
      </c>
      <c r="E37" s="129">
        <f>Anchor!N106</f>
        <v/>
      </c>
      <c r="F37" s="129">
        <f>Anchor!O106</f>
        <v/>
      </c>
      <c r="G37" s="130">
        <f>('Summary (Full)'!$B$34*D37+'Summary (Full)'!$B$35*E37+'Summary (Full)'!$B$36*F37)/'Summary (Full)'!$B$37</f>
        <v/>
      </c>
      <c r="H37" s="129">
        <f>Anchor!P106</f>
        <v/>
      </c>
      <c r="I37" s="129">
        <f>Anchor!Q106</f>
        <v/>
      </c>
      <c r="J37" s="129">
        <f>Anchor!R106</f>
        <v/>
      </c>
      <c r="K37" s="129">
        <f>Anchor!S106</f>
        <v/>
      </c>
      <c r="L37" s="129">
        <f>Anchor!T106</f>
        <v/>
      </c>
      <c r="M37" s="129">
        <f>Anchor!U106</f>
        <v/>
      </c>
      <c r="N37" s="129">
        <f>Anchor!V106</f>
        <v/>
      </c>
      <c r="O37" s="129">
        <f>Anchor!W106</f>
        <v/>
      </c>
      <c r="P37" s="129">
        <f>Anchor!X106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Anchor!Y106</f>
        <v/>
      </c>
      <c r="S37" s="129">
        <f>Anchor!Z106</f>
        <v/>
      </c>
      <c r="T37" s="132" t="n"/>
      <c r="U37" s="129">
        <f>Test!L106</f>
        <v/>
      </c>
      <c r="V37" s="129">
        <f>Test!M106</f>
        <v/>
      </c>
      <c r="W37" s="129">
        <f>Test!N106</f>
        <v/>
      </c>
      <c r="X37" s="129">
        <f>Test!O106</f>
        <v/>
      </c>
      <c r="Y37" s="129">
        <f>('Summary (Full)'!$B$34*V37+'Summary (Full)'!$B$35*W37+'Summary (Full)'!$B$36*X37)/'Summary (Full)'!$B$37</f>
        <v/>
      </c>
      <c r="Z37" s="129">
        <f>Test!P106</f>
        <v/>
      </c>
      <c r="AA37" s="129">
        <f>Test!Q106</f>
        <v/>
      </c>
      <c r="AB37" s="129">
        <f>Test!R106</f>
        <v/>
      </c>
      <c r="AC37" s="129">
        <f>Test!S106</f>
        <v/>
      </c>
      <c r="AD37" s="129">
        <f>Test!T106</f>
        <v/>
      </c>
      <c r="AE37" s="129">
        <f>Test!U106</f>
        <v/>
      </c>
      <c r="AF37" s="129">
        <f>Test!V106</f>
        <v/>
      </c>
      <c r="AG37" s="129">
        <f>Test!W106</f>
        <v/>
      </c>
      <c r="AH37" s="129">
        <f>Test!X106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Test!Y106</f>
        <v/>
      </c>
      <c r="AK37" s="129">
        <f>Test!Z106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Anchor!L107</f>
        <v/>
      </c>
      <c r="D38" s="129">
        <f>Anchor!M107</f>
        <v/>
      </c>
      <c r="E38" s="129">
        <f>Anchor!N107</f>
        <v/>
      </c>
      <c r="F38" s="129">
        <f>Anchor!O107</f>
        <v/>
      </c>
      <c r="G38" s="130">
        <f>('Summary (Full)'!$B$34*D38+'Summary (Full)'!$B$35*E38+'Summary (Full)'!$B$36*F38)/'Summary (Full)'!$B$37</f>
        <v/>
      </c>
      <c r="H38" s="129">
        <f>Anchor!P107</f>
        <v/>
      </c>
      <c r="I38" s="129">
        <f>Anchor!Q107</f>
        <v/>
      </c>
      <c r="J38" s="129">
        <f>Anchor!R107</f>
        <v/>
      </c>
      <c r="K38" s="129">
        <f>Anchor!S107</f>
        <v/>
      </c>
      <c r="L38" s="129">
        <f>Anchor!T107</f>
        <v/>
      </c>
      <c r="M38" s="129">
        <f>Anchor!U107</f>
        <v/>
      </c>
      <c r="N38" s="129">
        <f>Anchor!V107</f>
        <v/>
      </c>
      <c r="O38" s="129">
        <f>Anchor!W107</f>
        <v/>
      </c>
      <c r="P38" s="129">
        <f>Anchor!X107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Anchor!Y107</f>
        <v/>
      </c>
      <c r="S38" s="129">
        <f>Anchor!Z107</f>
        <v/>
      </c>
      <c r="T38" s="132" t="n"/>
      <c r="U38" s="129">
        <f>Test!L107</f>
        <v/>
      </c>
      <c r="V38" s="129">
        <f>Test!M107</f>
        <v/>
      </c>
      <c r="W38" s="129">
        <f>Test!N107</f>
        <v/>
      </c>
      <c r="X38" s="129">
        <f>Test!O107</f>
        <v/>
      </c>
      <c r="Y38" s="129">
        <f>('Summary (Full)'!$B$34*V38+'Summary (Full)'!$B$35*W38+'Summary (Full)'!$B$36*X38)/'Summary (Full)'!$B$37</f>
        <v/>
      </c>
      <c r="Z38" s="129">
        <f>Test!P107</f>
        <v/>
      </c>
      <c r="AA38" s="129">
        <f>Test!Q107</f>
        <v/>
      </c>
      <c r="AB38" s="129">
        <f>Test!R107</f>
        <v/>
      </c>
      <c r="AC38" s="129">
        <f>Test!S107</f>
        <v/>
      </c>
      <c r="AD38" s="129">
        <f>Test!T107</f>
        <v/>
      </c>
      <c r="AE38" s="129">
        <f>Test!U107</f>
        <v/>
      </c>
      <c r="AF38" s="129">
        <f>Test!V107</f>
        <v/>
      </c>
      <c r="AG38" s="129">
        <f>Test!W107</f>
        <v/>
      </c>
      <c r="AH38" s="129">
        <f>Test!X107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Test!Y107</f>
        <v/>
      </c>
      <c r="AK38" s="129">
        <f>Test!Z107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Anchor!L108</f>
        <v/>
      </c>
      <c r="D39" s="129">
        <f>Anchor!M108</f>
        <v/>
      </c>
      <c r="E39" s="129">
        <f>Anchor!N108</f>
        <v/>
      </c>
      <c r="F39" s="129">
        <f>Anchor!O108</f>
        <v/>
      </c>
      <c r="G39" s="130">
        <f>('Summary (Full)'!$B$34*D39+'Summary (Full)'!$B$35*E39+'Summary (Full)'!$B$36*F39)/'Summary (Full)'!$B$37</f>
        <v/>
      </c>
      <c r="H39" s="129">
        <f>Anchor!P108</f>
        <v/>
      </c>
      <c r="I39" s="129">
        <f>Anchor!Q108</f>
        <v/>
      </c>
      <c r="J39" s="129">
        <f>Anchor!R108</f>
        <v/>
      </c>
      <c r="K39" s="129">
        <f>Anchor!S108</f>
        <v/>
      </c>
      <c r="L39" s="129">
        <f>Anchor!T108</f>
        <v/>
      </c>
      <c r="M39" s="129">
        <f>Anchor!U108</f>
        <v/>
      </c>
      <c r="N39" s="129">
        <f>Anchor!V108</f>
        <v/>
      </c>
      <c r="O39" s="129">
        <f>Anchor!W108</f>
        <v/>
      </c>
      <c r="P39" s="129">
        <f>Anchor!X108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Anchor!Y108</f>
        <v/>
      </c>
      <c r="S39" s="129">
        <f>Anchor!Z108</f>
        <v/>
      </c>
      <c r="T39" s="132" t="n"/>
      <c r="U39" s="129">
        <f>Test!L108</f>
        <v/>
      </c>
      <c r="V39" s="129">
        <f>Test!M108</f>
        <v/>
      </c>
      <c r="W39" s="129">
        <f>Test!N108</f>
        <v/>
      </c>
      <c r="X39" s="129">
        <f>Test!O108</f>
        <v/>
      </c>
      <c r="Y39" s="129">
        <f>('Summary (Full)'!$B$34*V39+'Summary (Full)'!$B$35*W39+'Summary (Full)'!$B$36*X39)/'Summary (Full)'!$B$37</f>
        <v/>
      </c>
      <c r="Z39" s="129">
        <f>Test!P108</f>
        <v/>
      </c>
      <c r="AA39" s="129">
        <f>Test!Q108</f>
        <v/>
      </c>
      <c r="AB39" s="129">
        <f>Test!R108</f>
        <v/>
      </c>
      <c r="AC39" s="129">
        <f>Test!S108</f>
        <v/>
      </c>
      <c r="AD39" s="129">
        <f>Test!T108</f>
        <v/>
      </c>
      <c r="AE39" s="129">
        <f>Test!U108</f>
        <v/>
      </c>
      <c r="AF39" s="129">
        <f>Test!V108</f>
        <v/>
      </c>
      <c r="AG39" s="129">
        <f>Test!W108</f>
        <v/>
      </c>
      <c r="AH39" s="129">
        <f>Test!X108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Test!Y108</f>
        <v/>
      </c>
      <c r="AK39" s="129">
        <f>Test!Z108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Anchor!L109</f>
        <v/>
      </c>
      <c r="D40" s="129">
        <f>Anchor!M109</f>
        <v/>
      </c>
      <c r="E40" s="129">
        <f>Anchor!N109</f>
        <v/>
      </c>
      <c r="F40" s="129">
        <f>Anchor!O109</f>
        <v/>
      </c>
      <c r="G40" s="130">
        <f>('Summary (Full)'!$B$34*D40+'Summary (Full)'!$B$35*E40+'Summary (Full)'!$B$36*F40)/'Summary (Full)'!$B$37</f>
        <v/>
      </c>
      <c r="H40" s="129">
        <f>Anchor!P109</f>
        <v/>
      </c>
      <c r="I40" s="129">
        <f>Anchor!Q109</f>
        <v/>
      </c>
      <c r="J40" s="129">
        <f>Anchor!R109</f>
        <v/>
      </c>
      <c r="K40" s="129">
        <f>Anchor!S109</f>
        <v/>
      </c>
      <c r="L40" s="129">
        <f>Anchor!T109</f>
        <v/>
      </c>
      <c r="M40" s="129">
        <f>Anchor!U109</f>
        <v/>
      </c>
      <c r="N40" s="129">
        <f>Anchor!V109</f>
        <v/>
      </c>
      <c r="O40" s="129">
        <f>Anchor!W109</f>
        <v/>
      </c>
      <c r="P40" s="129">
        <f>Anchor!X109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Anchor!Y109</f>
        <v/>
      </c>
      <c r="S40" s="129">
        <f>Anchor!Z109</f>
        <v/>
      </c>
      <c r="T40" s="132" t="n"/>
      <c r="U40" s="129">
        <f>Test!L109</f>
        <v/>
      </c>
      <c r="V40" s="129">
        <f>Test!M109</f>
        <v/>
      </c>
      <c r="W40" s="129">
        <f>Test!N109</f>
        <v/>
      </c>
      <c r="X40" s="129">
        <f>Test!O109</f>
        <v/>
      </c>
      <c r="Y40" s="129">
        <f>('Summary (Full)'!$B$34*V40+'Summary (Full)'!$B$35*W40+'Summary (Full)'!$B$36*X40)/'Summary (Full)'!$B$37</f>
        <v/>
      </c>
      <c r="Z40" s="129">
        <f>Test!P109</f>
        <v/>
      </c>
      <c r="AA40" s="129">
        <f>Test!Q109</f>
        <v/>
      </c>
      <c r="AB40" s="129">
        <f>Test!R109</f>
        <v/>
      </c>
      <c r="AC40" s="129">
        <f>Test!S109</f>
        <v/>
      </c>
      <c r="AD40" s="129">
        <f>Test!T109</f>
        <v/>
      </c>
      <c r="AE40" s="129">
        <f>Test!U109</f>
        <v/>
      </c>
      <c r="AF40" s="129">
        <f>Test!V109</f>
        <v/>
      </c>
      <c r="AG40" s="129">
        <f>Test!W109</f>
        <v/>
      </c>
      <c r="AH40" s="129">
        <f>Test!X109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Test!Y109</f>
        <v/>
      </c>
      <c r="AK40" s="129">
        <f>Test!Z109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25">
    <outlinePr summaryBelow="1" summaryRight="1"/>
    <pageSetUpPr/>
  </sheetPr>
  <dimension ref="A1:FS180"/>
  <sheetViews>
    <sheetView topLeftCell="A8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Anchor!L110</f>
        <v/>
      </c>
      <c r="D5" s="129">
        <f>Anchor!M110</f>
        <v/>
      </c>
      <c r="E5" s="129">
        <f>Anchor!N110</f>
        <v/>
      </c>
      <c r="F5" s="129">
        <f>Anchor!O110</f>
        <v/>
      </c>
      <c r="G5" s="130">
        <f>('Summary (Full)'!$B$34*D5+'Summary (Full)'!$B$35*E5+'Summary (Full)'!$B$36*F5)/'Summary (Full)'!$B$37</f>
        <v/>
      </c>
      <c r="H5" s="129">
        <f>Anchor!P110</f>
        <v/>
      </c>
      <c r="I5" s="129">
        <f>Anchor!Q110</f>
        <v/>
      </c>
      <c r="J5" s="129">
        <f>Anchor!R110</f>
        <v/>
      </c>
      <c r="K5" s="129">
        <f>Anchor!S110</f>
        <v/>
      </c>
      <c r="L5" s="129">
        <f>Anchor!T110</f>
        <v/>
      </c>
      <c r="M5" s="129">
        <f>Anchor!U110</f>
        <v/>
      </c>
      <c r="N5" s="129">
        <f>Anchor!V110</f>
        <v/>
      </c>
      <c r="O5" s="129">
        <f>Anchor!W110</f>
        <v/>
      </c>
      <c r="P5" s="129">
        <f>Anchor!X110</f>
        <v/>
      </c>
      <c r="Q5" s="131">
        <f>10*LOG10(1/(('Summary (Full)'!$B$41/10^(N5/10)+'Summary (Full)'!$B$42/10^(O5/10)+'Summary (Full)'!$B$43/10^(P5/10))/'Summary (Full)'!$B$44))</f>
        <v/>
      </c>
      <c r="R5" s="129">
        <f>Anchor!Y110</f>
        <v/>
      </c>
      <c r="S5" s="129">
        <f>Anchor!Z110</f>
        <v/>
      </c>
      <c r="T5" s="132" t="n"/>
      <c r="U5" s="129">
        <f>Test!L110</f>
        <v/>
      </c>
      <c r="V5" s="129">
        <f>Test!M110</f>
        <v/>
      </c>
      <c r="W5" s="129">
        <f>Test!N110</f>
        <v/>
      </c>
      <c r="X5" s="129">
        <f>Test!O110</f>
        <v/>
      </c>
      <c r="Y5" s="129">
        <f>('Summary (Full)'!$B$34*V5+'Summary (Full)'!$B$35*W5+'Summary (Full)'!$B$36*X5)/'Summary (Full)'!$B$37</f>
        <v/>
      </c>
      <c r="Z5" s="129">
        <f>Test!P110</f>
        <v/>
      </c>
      <c r="AA5" s="129">
        <f>Test!Q110</f>
        <v/>
      </c>
      <c r="AB5" s="129">
        <f>Test!R110</f>
        <v/>
      </c>
      <c r="AC5" s="129">
        <f>Test!S110</f>
        <v/>
      </c>
      <c r="AD5" s="129">
        <f>Test!T110</f>
        <v/>
      </c>
      <c r="AE5" s="129">
        <f>Test!U110</f>
        <v/>
      </c>
      <c r="AF5" s="129">
        <f>Test!V110</f>
        <v/>
      </c>
      <c r="AG5" s="129">
        <f>Test!W110</f>
        <v/>
      </c>
      <c r="AH5" s="129">
        <f>Test!X110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Test!Y110</f>
        <v/>
      </c>
      <c r="AK5" s="129">
        <f>Test!Z110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Anchor!L111</f>
        <v/>
      </c>
      <c r="D6" s="129">
        <f>Anchor!M111</f>
        <v/>
      </c>
      <c r="E6" s="129">
        <f>Anchor!N111</f>
        <v/>
      </c>
      <c r="F6" s="129">
        <f>Anchor!O111</f>
        <v/>
      </c>
      <c r="G6" s="130">
        <f>('Summary (Full)'!$B$34*D6+'Summary (Full)'!$B$35*E6+'Summary (Full)'!$B$36*F6)/'Summary (Full)'!$B$37</f>
        <v/>
      </c>
      <c r="H6" s="129">
        <f>Anchor!P111</f>
        <v/>
      </c>
      <c r="I6" s="129">
        <f>Anchor!Q111</f>
        <v/>
      </c>
      <c r="J6" s="129">
        <f>Anchor!R111</f>
        <v/>
      </c>
      <c r="K6" s="129">
        <f>Anchor!S111</f>
        <v/>
      </c>
      <c r="L6" s="129">
        <f>Anchor!T111</f>
        <v/>
      </c>
      <c r="M6" s="129">
        <f>Anchor!U111</f>
        <v/>
      </c>
      <c r="N6" s="129">
        <f>Anchor!V111</f>
        <v/>
      </c>
      <c r="O6" s="129">
        <f>Anchor!W111</f>
        <v/>
      </c>
      <c r="P6" s="129">
        <f>Anchor!X111</f>
        <v/>
      </c>
      <c r="Q6" s="131">
        <f>10*LOG10(1/(('Summary (Full)'!$B$41/10^(N6/10)+'Summary (Full)'!$B$42/10^(O6/10)+'Summary (Full)'!$B$43/10^(P6/10))/'Summary (Full)'!$B$44))</f>
        <v/>
      </c>
      <c r="R6" s="129">
        <f>Anchor!Y111</f>
        <v/>
      </c>
      <c r="S6" s="129">
        <f>Anchor!Z111</f>
        <v/>
      </c>
      <c r="T6" s="132" t="n"/>
      <c r="U6" s="129">
        <f>Test!L111</f>
        <v/>
      </c>
      <c r="V6" s="129">
        <f>Test!M111</f>
        <v/>
      </c>
      <c r="W6" s="129">
        <f>Test!N111</f>
        <v/>
      </c>
      <c r="X6" s="129">
        <f>Test!O111</f>
        <v/>
      </c>
      <c r="Y6" s="129">
        <f>('Summary (Full)'!$B$34*V6+'Summary (Full)'!$B$35*W6+'Summary (Full)'!$B$36*X6)/'Summary (Full)'!$B$37</f>
        <v/>
      </c>
      <c r="Z6" s="129">
        <f>Test!P111</f>
        <v/>
      </c>
      <c r="AA6" s="129">
        <f>Test!Q111</f>
        <v/>
      </c>
      <c r="AB6" s="129">
        <f>Test!R111</f>
        <v/>
      </c>
      <c r="AC6" s="129">
        <f>Test!S111</f>
        <v/>
      </c>
      <c r="AD6" s="129">
        <f>Test!T111</f>
        <v/>
      </c>
      <c r="AE6" s="129">
        <f>Test!U111</f>
        <v/>
      </c>
      <c r="AF6" s="129">
        <f>Test!V111</f>
        <v/>
      </c>
      <c r="AG6" s="129">
        <f>Test!W111</f>
        <v/>
      </c>
      <c r="AH6" s="129">
        <f>Test!X111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Test!Y111</f>
        <v/>
      </c>
      <c r="AK6" s="129">
        <f>Test!Z111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Anchor!L112</f>
        <v/>
      </c>
      <c r="D7" s="129">
        <f>Anchor!M112</f>
        <v/>
      </c>
      <c r="E7" s="129">
        <f>Anchor!N112</f>
        <v/>
      </c>
      <c r="F7" s="129">
        <f>Anchor!O112</f>
        <v/>
      </c>
      <c r="G7" s="130">
        <f>('Summary (Full)'!$B$34*D7+'Summary (Full)'!$B$35*E7+'Summary (Full)'!$B$36*F7)/'Summary (Full)'!$B$37</f>
        <v/>
      </c>
      <c r="H7" s="129">
        <f>Anchor!P112</f>
        <v/>
      </c>
      <c r="I7" s="129">
        <f>Anchor!Q112</f>
        <v/>
      </c>
      <c r="J7" s="129">
        <f>Anchor!R112</f>
        <v/>
      </c>
      <c r="K7" s="129">
        <f>Anchor!S112</f>
        <v/>
      </c>
      <c r="L7" s="129">
        <f>Anchor!T112</f>
        <v/>
      </c>
      <c r="M7" s="129">
        <f>Anchor!U112</f>
        <v/>
      </c>
      <c r="N7" s="129">
        <f>Anchor!V112</f>
        <v/>
      </c>
      <c r="O7" s="129">
        <f>Anchor!W112</f>
        <v/>
      </c>
      <c r="P7" s="129">
        <f>Anchor!X112</f>
        <v/>
      </c>
      <c r="Q7" s="131">
        <f>10*LOG10(1/(('Summary (Full)'!$B$41/10^(N7/10)+'Summary (Full)'!$B$42/10^(O7/10)+'Summary (Full)'!$B$43/10^(P7/10))/'Summary (Full)'!$B$44))</f>
        <v/>
      </c>
      <c r="R7" s="129">
        <f>Anchor!Y112</f>
        <v/>
      </c>
      <c r="S7" s="129">
        <f>Anchor!Z112</f>
        <v/>
      </c>
      <c r="T7" s="132" t="n"/>
      <c r="U7" s="129">
        <f>Test!L112</f>
        <v/>
      </c>
      <c r="V7" s="129">
        <f>Test!M112</f>
        <v/>
      </c>
      <c r="W7" s="129">
        <f>Test!N112</f>
        <v/>
      </c>
      <c r="X7" s="129">
        <f>Test!O112</f>
        <v/>
      </c>
      <c r="Y7" s="129">
        <f>('Summary (Full)'!$B$34*V7+'Summary (Full)'!$B$35*W7+'Summary (Full)'!$B$36*X7)/'Summary (Full)'!$B$37</f>
        <v/>
      </c>
      <c r="Z7" s="129">
        <f>Test!P112</f>
        <v/>
      </c>
      <c r="AA7" s="129">
        <f>Test!Q112</f>
        <v/>
      </c>
      <c r="AB7" s="129">
        <f>Test!R112</f>
        <v/>
      </c>
      <c r="AC7" s="129">
        <f>Test!S112</f>
        <v/>
      </c>
      <c r="AD7" s="129">
        <f>Test!T112</f>
        <v/>
      </c>
      <c r="AE7" s="129">
        <f>Test!U112</f>
        <v/>
      </c>
      <c r="AF7" s="129">
        <f>Test!V112</f>
        <v/>
      </c>
      <c r="AG7" s="129">
        <f>Test!W112</f>
        <v/>
      </c>
      <c r="AH7" s="129">
        <f>Test!X112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Test!Y112</f>
        <v/>
      </c>
      <c r="AK7" s="129">
        <f>Test!Z112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Anchor!L113</f>
        <v/>
      </c>
      <c r="D8" s="129">
        <f>Anchor!M113</f>
        <v/>
      </c>
      <c r="E8" s="129">
        <f>Anchor!N113</f>
        <v/>
      </c>
      <c r="F8" s="129">
        <f>Anchor!O113</f>
        <v/>
      </c>
      <c r="G8" s="130">
        <f>('Summary (Full)'!$B$34*D8+'Summary (Full)'!$B$35*E8+'Summary (Full)'!$B$36*F8)/'Summary (Full)'!$B$37</f>
        <v/>
      </c>
      <c r="H8" s="129">
        <f>Anchor!P113</f>
        <v/>
      </c>
      <c r="I8" s="129">
        <f>Anchor!Q113</f>
        <v/>
      </c>
      <c r="J8" s="129">
        <f>Anchor!R113</f>
        <v/>
      </c>
      <c r="K8" s="129">
        <f>Anchor!S113</f>
        <v/>
      </c>
      <c r="L8" s="129">
        <f>Anchor!T113</f>
        <v/>
      </c>
      <c r="M8" s="129">
        <f>Anchor!U113</f>
        <v/>
      </c>
      <c r="N8" s="129">
        <f>Anchor!V113</f>
        <v/>
      </c>
      <c r="O8" s="129">
        <f>Anchor!W113</f>
        <v/>
      </c>
      <c r="P8" s="129">
        <f>Anchor!X113</f>
        <v/>
      </c>
      <c r="Q8" s="131">
        <f>10*LOG10(1/(('Summary (Full)'!$B$41/10^(N8/10)+'Summary (Full)'!$B$42/10^(O8/10)+'Summary (Full)'!$B$43/10^(P8/10))/'Summary (Full)'!$B$44))</f>
        <v/>
      </c>
      <c r="R8" s="129">
        <f>Anchor!Y113</f>
        <v/>
      </c>
      <c r="S8" s="129">
        <f>Anchor!Z113</f>
        <v/>
      </c>
      <c r="T8" s="132" t="n"/>
      <c r="U8" s="129">
        <f>Test!L113</f>
        <v/>
      </c>
      <c r="V8" s="129">
        <f>Test!M113</f>
        <v/>
      </c>
      <c r="W8" s="129">
        <f>Test!N113</f>
        <v/>
      </c>
      <c r="X8" s="129">
        <f>Test!O113</f>
        <v/>
      </c>
      <c r="Y8" s="129">
        <f>('Summary (Full)'!$B$34*V8+'Summary (Full)'!$B$35*W8+'Summary (Full)'!$B$36*X8)/'Summary (Full)'!$B$37</f>
        <v/>
      </c>
      <c r="Z8" s="129">
        <f>Test!P113</f>
        <v/>
      </c>
      <c r="AA8" s="129">
        <f>Test!Q113</f>
        <v/>
      </c>
      <c r="AB8" s="129">
        <f>Test!R113</f>
        <v/>
      </c>
      <c r="AC8" s="129">
        <f>Test!S113</f>
        <v/>
      </c>
      <c r="AD8" s="129">
        <f>Test!T113</f>
        <v/>
      </c>
      <c r="AE8" s="129">
        <f>Test!U113</f>
        <v/>
      </c>
      <c r="AF8" s="129">
        <f>Test!V113</f>
        <v/>
      </c>
      <c r="AG8" s="129">
        <f>Test!W113</f>
        <v/>
      </c>
      <c r="AH8" s="129">
        <f>Test!X113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Test!Y113</f>
        <v/>
      </c>
      <c r="AK8" s="129">
        <f>Test!Z113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Anchor!L114</f>
        <v/>
      </c>
      <c r="D9" s="129">
        <f>Anchor!M114</f>
        <v/>
      </c>
      <c r="E9" s="129">
        <f>Anchor!N114</f>
        <v/>
      </c>
      <c r="F9" s="129">
        <f>Anchor!O114</f>
        <v/>
      </c>
      <c r="G9" s="130">
        <f>('Summary (Full)'!$B$34*D9+'Summary (Full)'!$B$35*E9+'Summary (Full)'!$B$36*F9)/'Summary (Full)'!$B$37</f>
        <v/>
      </c>
      <c r="H9" s="129">
        <f>Anchor!P114</f>
        <v/>
      </c>
      <c r="I9" s="129">
        <f>Anchor!Q114</f>
        <v/>
      </c>
      <c r="J9" s="129">
        <f>Anchor!R114</f>
        <v/>
      </c>
      <c r="K9" s="129">
        <f>Anchor!S114</f>
        <v/>
      </c>
      <c r="L9" s="129">
        <f>Anchor!T114</f>
        <v/>
      </c>
      <c r="M9" s="129">
        <f>Anchor!U114</f>
        <v/>
      </c>
      <c r="N9" s="129">
        <f>Anchor!V114</f>
        <v/>
      </c>
      <c r="O9" s="129">
        <f>Anchor!W114</f>
        <v/>
      </c>
      <c r="P9" s="129">
        <f>Anchor!X114</f>
        <v/>
      </c>
      <c r="Q9" s="131">
        <f>10*LOG10(1/(('Summary (Full)'!$B$41/10^(N9/10)+'Summary (Full)'!$B$42/10^(O9/10)+'Summary (Full)'!$B$43/10^(P9/10))/'Summary (Full)'!$B$44))</f>
        <v/>
      </c>
      <c r="R9" s="129">
        <f>Anchor!Y114</f>
        <v/>
      </c>
      <c r="S9" s="129">
        <f>Anchor!Z114</f>
        <v/>
      </c>
      <c r="T9" s="132" t="n"/>
      <c r="U9" s="129">
        <f>Test!L114</f>
        <v/>
      </c>
      <c r="V9" s="129">
        <f>Test!M114</f>
        <v/>
      </c>
      <c r="W9" s="129">
        <f>Test!N114</f>
        <v/>
      </c>
      <c r="X9" s="129">
        <f>Test!O114</f>
        <v/>
      </c>
      <c r="Y9" s="129">
        <f>('Summary (Full)'!$B$34*V9+'Summary (Full)'!$B$35*W9+'Summary (Full)'!$B$36*X9)/'Summary (Full)'!$B$37</f>
        <v/>
      </c>
      <c r="Z9" s="129">
        <f>Test!P114</f>
        <v/>
      </c>
      <c r="AA9" s="129">
        <f>Test!Q114</f>
        <v/>
      </c>
      <c r="AB9" s="129">
        <f>Test!R114</f>
        <v/>
      </c>
      <c r="AC9" s="129">
        <f>Test!S114</f>
        <v/>
      </c>
      <c r="AD9" s="129">
        <f>Test!T114</f>
        <v/>
      </c>
      <c r="AE9" s="129">
        <f>Test!U114</f>
        <v/>
      </c>
      <c r="AF9" s="129">
        <f>Test!V114</f>
        <v/>
      </c>
      <c r="AG9" s="129">
        <f>Test!W114</f>
        <v/>
      </c>
      <c r="AH9" s="129">
        <f>Test!X114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Test!Y114</f>
        <v/>
      </c>
      <c r="AK9" s="129">
        <f>Test!Z114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Anchor!L115</f>
        <v/>
      </c>
      <c r="D10" s="129">
        <f>Anchor!M115</f>
        <v/>
      </c>
      <c r="E10" s="129">
        <f>Anchor!N115</f>
        <v/>
      </c>
      <c r="F10" s="129">
        <f>Anchor!O115</f>
        <v/>
      </c>
      <c r="G10" s="130">
        <f>('Summary (Full)'!$B$34*D10+'Summary (Full)'!$B$35*E10+'Summary (Full)'!$B$36*F10)/'Summary (Full)'!$B$37</f>
        <v/>
      </c>
      <c r="H10" s="129">
        <f>Anchor!P115</f>
        <v/>
      </c>
      <c r="I10" s="129">
        <f>Anchor!Q115</f>
        <v/>
      </c>
      <c r="J10" s="129">
        <f>Anchor!R115</f>
        <v/>
      </c>
      <c r="K10" s="129">
        <f>Anchor!S115</f>
        <v/>
      </c>
      <c r="L10" s="129">
        <f>Anchor!T115</f>
        <v/>
      </c>
      <c r="M10" s="129">
        <f>Anchor!U115</f>
        <v/>
      </c>
      <c r="N10" s="129">
        <f>Anchor!V115</f>
        <v/>
      </c>
      <c r="O10" s="129">
        <f>Anchor!W115</f>
        <v/>
      </c>
      <c r="P10" s="129">
        <f>Anchor!X115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Anchor!Y115</f>
        <v/>
      </c>
      <c r="S10" s="129">
        <f>Anchor!Z115</f>
        <v/>
      </c>
      <c r="T10" s="132" t="n"/>
      <c r="U10" s="129">
        <f>Test!L115</f>
        <v/>
      </c>
      <c r="V10" s="129">
        <f>Test!M115</f>
        <v/>
      </c>
      <c r="W10" s="129">
        <f>Test!N115</f>
        <v/>
      </c>
      <c r="X10" s="129">
        <f>Test!O115</f>
        <v/>
      </c>
      <c r="Y10" s="129">
        <f>('Summary (Full)'!$B$34*V10+'Summary (Full)'!$B$35*W10+'Summary (Full)'!$B$36*X10)/'Summary (Full)'!$B$37</f>
        <v/>
      </c>
      <c r="Z10" s="129">
        <f>Test!P115</f>
        <v/>
      </c>
      <c r="AA10" s="129">
        <f>Test!Q115</f>
        <v/>
      </c>
      <c r="AB10" s="129">
        <f>Test!R115</f>
        <v/>
      </c>
      <c r="AC10" s="129">
        <f>Test!S115</f>
        <v/>
      </c>
      <c r="AD10" s="129">
        <f>Test!T115</f>
        <v/>
      </c>
      <c r="AE10" s="129">
        <f>Test!U115</f>
        <v/>
      </c>
      <c r="AF10" s="129">
        <f>Test!V115</f>
        <v/>
      </c>
      <c r="AG10" s="129">
        <f>Test!W115</f>
        <v/>
      </c>
      <c r="AH10" s="129">
        <f>Test!X115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Test!Y115</f>
        <v/>
      </c>
      <c r="AK10" s="129">
        <f>Test!Z115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Anchor!L116</f>
        <v/>
      </c>
      <c r="D11" s="129">
        <f>Anchor!M116</f>
        <v/>
      </c>
      <c r="E11" s="129">
        <f>Anchor!N116</f>
        <v/>
      </c>
      <c r="F11" s="129">
        <f>Anchor!O116</f>
        <v/>
      </c>
      <c r="G11" s="130">
        <f>('Summary (Full)'!$B$34*D11+'Summary (Full)'!$B$35*E11+'Summary (Full)'!$B$36*F11)/'Summary (Full)'!$B$37</f>
        <v/>
      </c>
      <c r="H11" s="129">
        <f>Anchor!P116</f>
        <v/>
      </c>
      <c r="I11" s="129">
        <f>Anchor!Q116</f>
        <v/>
      </c>
      <c r="J11" s="129">
        <f>Anchor!R116</f>
        <v/>
      </c>
      <c r="K11" s="129">
        <f>Anchor!S116</f>
        <v/>
      </c>
      <c r="L11" s="129">
        <f>Anchor!T116</f>
        <v/>
      </c>
      <c r="M11" s="129">
        <f>Anchor!U116</f>
        <v/>
      </c>
      <c r="N11" s="129">
        <f>Anchor!V116</f>
        <v/>
      </c>
      <c r="O11" s="129">
        <f>Anchor!W116</f>
        <v/>
      </c>
      <c r="P11" s="129">
        <f>Anchor!X116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Anchor!Y116</f>
        <v/>
      </c>
      <c r="S11" s="129">
        <f>Anchor!Z116</f>
        <v/>
      </c>
      <c r="T11" s="132" t="n"/>
      <c r="U11" s="129">
        <f>Test!L116</f>
        <v/>
      </c>
      <c r="V11" s="129">
        <f>Test!M116</f>
        <v/>
      </c>
      <c r="W11" s="129">
        <f>Test!N116</f>
        <v/>
      </c>
      <c r="X11" s="129">
        <f>Test!O116</f>
        <v/>
      </c>
      <c r="Y11" s="129">
        <f>('Summary (Full)'!$B$34*V11+'Summary (Full)'!$B$35*W11+'Summary (Full)'!$B$36*X11)/'Summary (Full)'!$B$37</f>
        <v/>
      </c>
      <c r="Z11" s="129">
        <f>Test!P116</f>
        <v/>
      </c>
      <c r="AA11" s="129">
        <f>Test!Q116</f>
        <v/>
      </c>
      <c r="AB11" s="129">
        <f>Test!R116</f>
        <v/>
      </c>
      <c r="AC11" s="129">
        <f>Test!S116</f>
        <v/>
      </c>
      <c r="AD11" s="129">
        <f>Test!T116</f>
        <v/>
      </c>
      <c r="AE11" s="129">
        <f>Test!U116</f>
        <v/>
      </c>
      <c r="AF11" s="129">
        <f>Test!V116</f>
        <v/>
      </c>
      <c r="AG11" s="129">
        <f>Test!W116</f>
        <v/>
      </c>
      <c r="AH11" s="129">
        <f>Test!X116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Test!Y116</f>
        <v/>
      </c>
      <c r="AK11" s="129">
        <f>Test!Z116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Anchor!L117</f>
        <v/>
      </c>
      <c r="D12" s="129">
        <f>Anchor!M117</f>
        <v/>
      </c>
      <c r="E12" s="129">
        <f>Anchor!N117</f>
        <v/>
      </c>
      <c r="F12" s="129">
        <f>Anchor!O117</f>
        <v/>
      </c>
      <c r="G12" s="130">
        <f>('Summary (Full)'!$B$34*D12+'Summary (Full)'!$B$35*E12+'Summary (Full)'!$B$36*F12)/'Summary (Full)'!$B$37</f>
        <v/>
      </c>
      <c r="H12" s="129">
        <f>Anchor!P117</f>
        <v/>
      </c>
      <c r="I12" s="129">
        <f>Anchor!Q117</f>
        <v/>
      </c>
      <c r="J12" s="129">
        <f>Anchor!R117</f>
        <v/>
      </c>
      <c r="K12" s="129">
        <f>Anchor!S117</f>
        <v/>
      </c>
      <c r="L12" s="129">
        <f>Anchor!T117</f>
        <v/>
      </c>
      <c r="M12" s="129">
        <f>Anchor!U117</f>
        <v/>
      </c>
      <c r="N12" s="129">
        <f>Anchor!V117</f>
        <v/>
      </c>
      <c r="O12" s="129">
        <f>Anchor!W117</f>
        <v/>
      </c>
      <c r="P12" s="129">
        <f>Anchor!X117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Anchor!Y117</f>
        <v/>
      </c>
      <c r="S12" s="129">
        <f>Anchor!Z117</f>
        <v/>
      </c>
      <c r="T12" s="132" t="n"/>
      <c r="U12" s="129">
        <f>Test!L117</f>
        <v/>
      </c>
      <c r="V12" s="129">
        <f>Test!M117</f>
        <v/>
      </c>
      <c r="W12" s="129">
        <f>Test!N117</f>
        <v/>
      </c>
      <c r="X12" s="129">
        <f>Test!O117</f>
        <v/>
      </c>
      <c r="Y12" s="129">
        <f>('Summary (Full)'!$B$34*V12+'Summary (Full)'!$B$35*W12+'Summary (Full)'!$B$36*X12)/'Summary (Full)'!$B$37</f>
        <v/>
      </c>
      <c r="Z12" s="129">
        <f>Test!P117</f>
        <v/>
      </c>
      <c r="AA12" s="129">
        <f>Test!Q117</f>
        <v/>
      </c>
      <c r="AB12" s="129">
        <f>Test!R117</f>
        <v/>
      </c>
      <c r="AC12" s="129">
        <f>Test!S117</f>
        <v/>
      </c>
      <c r="AD12" s="129">
        <f>Test!T117</f>
        <v/>
      </c>
      <c r="AE12" s="129">
        <f>Test!U117</f>
        <v/>
      </c>
      <c r="AF12" s="129">
        <f>Test!V117</f>
        <v/>
      </c>
      <c r="AG12" s="129">
        <f>Test!W117</f>
        <v/>
      </c>
      <c r="AH12" s="129">
        <f>Test!X117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Test!Y117</f>
        <v/>
      </c>
      <c r="AK12" s="129">
        <f>Test!Z117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Anchor!L118</f>
        <v/>
      </c>
      <c r="D13" s="129">
        <f>Anchor!M118</f>
        <v/>
      </c>
      <c r="E13" s="129">
        <f>Anchor!N118</f>
        <v/>
      </c>
      <c r="F13" s="129">
        <f>Anchor!O118</f>
        <v/>
      </c>
      <c r="G13" s="130">
        <f>('Summary (Full)'!$B$34*D13+'Summary (Full)'!$B$35*E13+'Summary (Full)'!$B$36*F13)/'Summary (Full)'!$B$37</f>
        <v/>
      </c>
      <c r="H13" s="129">
        <f>Anchor!P118</f>
        <v/>
      </c>
      <c r="I13" s="129">
        <f>Anchor!Q118</f>
        <v/>
      </c>
      <c r="J13" s="129">
        <f>Anchor!R118</f>
        <v/>
      </c>
      <c r="K13" s="129">
        <f>Anchor!S118</f>
        <v/>
      </c>
      <c r="L13" s="129">
        <f>Anchor!T118</f>
        <v/>
      </c>
      <c r="M13" s="129">
        <f>Anchor!U118</f>
        <v/>
      </c>
      <c r="N13" s="129">
        <f>Anchor!V118</f>
        <v/>
      </c>
      <c r="O13" s="129">
        <f>Anchor!W118</f>
        <v/>
      </c>
      <c r="P13" s="129">
        <f>Anchor!X118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Anchor!Y118</f>
        <v/>
      </c>
      <c r="S13" s="129">
        <f>Anchor!Z118</f>
        <v/>
      </c>
      <c r="T13" s="132" t="n"/>
      <c r="U13" s="129">
        <f>Test!L118</f>
        <v/>
      </c>
      <c r="V13" s="129">
        <f>Test!M118</f>
        <v/>
      </c>
      <c r="W13" s="129">
        <f>Test!N118</f>
        <v/>
      </c>
      <c r="X13" s="129">
        <f>Test!O118</f>
        <v/>
      </c>
      <c r="Y13" s="129">
        <f>('Summary (Full)'!$B$34*V13+'Summary (Full)'!$B$35*W13+'Summary (Full)'!$B$36*X13)/'Summary (Full)'!$B$37</f>
        <v/>
      </c>
      <c r="Z13" s="129">
        <f>Test!P118</f>
        <v/>
      </c>
      <c r="AA13" s="129">
        <f>Test!Q118</f>
        <v/>
      </c>
      <c r="AB13" s="129">
        <f>Test!R118</f>
        <v/>
      </c>
      <c r="AC13" s="129">
        <f>Test!S118</f>
        <v/>
      </c>
      <c r="AD13" s="129">
        <f>Test!T118</f>
        <v/>
      </c>
      <c r="AE13" s="129">
        <f>Test!U118</f>
        <v/>
      </c>
      <c r="AF13" s="129">
        <f>Test!V118</f>
        <v/>
      </c>
      <c r="AG13" s="129">
        <f>Test!W118</f>
        <v/>
      </c>
      <c r="AH13" s="129">
        <f>Test!X118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Test!Y118</f>
        <v/>
      </c>
      <c r="AK13" s="129">
        <f>Test!Z118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Anchor!L119</f>
        <v/>
      </c>
      <c r="D14" s="129">
        <f>Anchor!M119</f>
        <v/>
      </c>
      <c r="E14" s="129">
        <f>Anchor!N119</f>
        <v/>
      </c>
      <c r="F14" s="129">
        <f>Anchor!O119</f>
        <v/>
      </c>
      <c r="G14" s="130">
        <f>('Summary (Full)'!$B$34*D14+'Summary (Full)'!$B$35*E14+'Summary (Full)'!$B$36*F14)/'Summary (Full)'!$B$37</f>
        <v/>
      </c>
      <c r="H14" s="129">
        <f>Anchor!P119</f>
        <v/>
      </c>
      <c r="I14" s="129">
        <f>Anchor!Q119</f>
        <v/>
      </c>
      <c r="J14" s="129">
        <f>Anchor!R119</f>
        <v/>
      </c>
      <c r="K14" s="129">
        <f>Anchor!S119</f>
        <v/>
      </c>
      <c r="L14" s="129">
        <f>Anchor!T119</f>
        <v/>
      </c>
      <c r="M14" s="129">
        <f>Anchor!U119</f>
        <v/>
      </c>
      <c r="N14" s="129">
        <f>Anchor!V119</f>
        <v/>
      </c>
      <c r="O14" s="129">
        <f>Anchor!W119</f>
        <v/>
      </c>
      <c r="P14" s="129">
        <f>Anchor!X119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Anchor!Y119</f>
        <v/>
      </c>
      <c r="S14" s="129">
        <f>Anchor!Z119</f>
        <v/>
      </c>
      <c r="T14" s="132" t="n"/>
      <c r="U14" s="129">
        <f>Test!L119</f>
        <v/>
      </c>
      <c r="V14" s="129">
        <f>Test!M119</f>
        <v/>
      </c>
      <c r="W14" s="129">
        <f>Test!N119</f>
        <v/>
      </c>
      <c r="X14" s="129">
        <f>Test!O119</f>
        <v/>
      </c>
      <c r="Y14" s="129">
        <f>('Summary (Full)'!$B$34*V14+'Summary (Full)'!$B$35*W14+'Summary (Full)'!$B$36*X14)/'Summary (Full)'!$B$37</f>
        <v/>
      </c>
      <c r="Z14" s="129">
        <f>Test!P119</f>
        <v/>
      </c>
      <c r="AA14" s="129">
        <f>Test!Q119</f>
        <v/>
      </c>
      <c r="AB14" s="129">
        <f>Test!R119</f>
        <v/>
      </c>
      <c r="AC14" s="129">
        <f>Test!S119</f>
        <v/>
      </c>
      <c r="AD14" s="129">
        <f>Test!T119</f>
        <v/>
      </c>
      <c r="AE14" s="129">
        <f>Test!U119</f>
        <v/>
      </c>
      <c r="AF14" s="129">
        <f>Test!V119</f>
        <v/>
      </c>
      <c r="AG14" s="129">
        <f>Test!W119</f>
        <v/>
      </c>
      <c r="AH14" s="129">
        <f>Test!X119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Test!Y119</f>
        <v/>
      </c>
      <c r="AK14" s="129">
        <f>Test!Z119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Anchor!L120</f>
        <v/>
      </c>
      <c r="D15" s="129">
        <f>Anchor!M120</f>
        <v/>
      </c>
      <c r="E15" s="129">
        <f>Anchor!N120</f>
        <v/>
      </c>
      <c r="F15" s="129">
        <f>Anchor!O120</f>
        <v/>
      </c>
      <c r="G15" s="130">
        <f>('Summary (Full)'!$B$34*D15+'Summary (Full)'!$B$35*E15+'Summary (Full)'!$B$36*F15)/'Summary (Full)'!$B$37</f>
        <v/>
      </c>
      <c r="H15" s="129">
        <f>Anchor!P120</f>
        <v/>
      </c>
      <c r="I15" s="129">
        <f>Anchor!Q120</f>
        <v/>
      </c>
      <c r="J15" s="129">
        <f>Anchor!R120</f>
        <v/>
      </c>
      <c r="K15" s="129">
        <f>Anchor!S120</f>
        <v/>
      </c>
      <c r="L15" s="129">
        <f>Anchor!T120</f>
        <v/>
      </c>
      <c r="M15" s="129">
        <f>Anchor!U120</f>
        <v/>
      </c>
      <c r="N15" s="129">
        <f>Anchor!V120</f>
        <v/>
      </c>
      <c r="O15" s="129">
        <f>Anchor!W120</f>
        <v/>
      </c>
      <c r="P15" s="129">
        <f>Anchor!X120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Anchor!Y120</f>
        <v/>
      </c>
      <c r="S15" s="129">
        <f>Anchor!Z120</f>
        <v/>
      </c>
      <c r="T15" s="132" t="n"/>
      <c r="U15" s="129">
        <f>Test!L120</f>
        <v/>
      </c>
      <c r="V15" s="129">
        <f>Test!M120</f>
        <v/>
      </c>
      <c r="W15" s="129">
        <f>Test!N120</f>
        <v/>
      </c>
      <c r="X15" s="129">
        <f>Test!O120</f>
        <v/>
      </c>
      <c r="Y15" s="129">
        <f>('Summary (Full)'!$B$34*V15+'Summary (Full)'!$B$35*W15+'Summary (Full)'!$B$36*X15)/'Summary (Full)'!$B$37</f>
        <v/>
      </c>
      <c r="Z15" s="129">
        <f>Test!P120</f>
        <v/>
      </c>
      <c r="AA15" s="129">
        <f>Test!Q120</f>
        <v/>
      </c>
      <c r="AB15" s="129">
        <f>Test!R120</f>
        <v/>
      </c>
      <c r="AC15" s="129">
        <f>Test!S120</f>
        <v/>
      </c>
      <c r="AD15" s="129">
        <f>Test!T120</f>
        <v/>
      </c>
      <c r="AE15" s="129">
        <f>Test!U120</f>
        <v/>
      </c>
      <c r="AF15" s="129">
        <f>Test!V120</f>
        <v/>
      </c>
      <c r="AG15" s="129">
        <f>Test!W120</f>
        <v/>
      </c>
      <c r="AH15" s="129">
        <f>Test!X120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Test!Y120</f>
        <v/>
      </c>
      <c r="AK15" s="129">
        <f>Test!Z120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Anchor!L121</f>
        <v/>
      </c>
      <c r="D16" s="129">
        <f>Anchor!M121</f>
        <v/>
      </c>
      <c r="E16" s="129">
        <f>Anchor!N121</f>
        <v/>
      </c>
      <c r="F16" s="129">
        <f>Anchor!O121</f>
        <v/>
      </c>
      <c r="G16" s="130">
        <f>('Summary (Full)'!$B$34*D16+'Summary (Full)'!$B$35*E16+'Summary (Full)'!$B$36*F16)/'Summary (Full)'!$B$37</f>
        <v/>
      </c>
      <c r="H16" s="129">
        <f>Anchor!P121</f>
        <v/>
      </c>
      <c r="I16" s="129">
        <f>Anchor!Q121</f>
        <v/>
      </c>
      <c r="J16" s="129">
        <f>Anchor!R121</f>
        <v/>
      </c>
      <c r="K16" s="129">
        <f>Anchor!S121</f>
        <v/>
      </c>
      <c r="L16" s="129">
        <f>Anchor!T121</f>
        <v/>
      </c>
      <c r="M16" s="129">
        <f>Anchor!U121</f>
        <v/>
      </c>
      <c r="N16" s="129">
        <f>Anchor!V121</f>
        <v/>
      </c>
      <c r="O16" s="129">
        <f>Anchor!W121</f>
        <v/>
      </c>
      <c r="P16" s="129">
        <f>Anchor!X121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Anchor!Y121</f>
        <v/>
      </c>
      <c r="S16" s="129">
        <f>Anchor!Z121</f>
        <v/>
      </c>
      <c r="T16" s="132" t="n"/>
      <c r="U16" s="129">
        <f>Test!L121</f>
        <v/>
      </c>
      <c r="V16" s="129">
        <f>Test!M121</f>
        <v/>
      </c>
      <c r="W16" s="129">
        <f>Test!N121</f>
        <v/>
      </c>
      <c r="X16" s="129">
        <f>Test!O121</f>
        <v/>
      </c>
      <c r="Y16" s="129">
        <f>('Summary (Full)'!$B$34*V16+'Summary (Full)'!$B$35*W16+'Summary (Full)'!$B$36*X16)/'Summary (Full)'!$B$37</f>
        <v/>
      </c>
      <c r="Z16" s="129">
        <f>Test!P121</f>
        <v/>
      </c>
      <c r="AA16" s="129">
        <f>Test!Q121</f>
        <v/>
      </c>
      <c r="AB16" s="129">
        <f>Test!R121</f>
        <v/>
      </c>
      <c r="AC16" s="129">
        <f>Test!S121</f>
        <v/>
      </c>
      <c r="AD16" s="129">
        <f>Test!T121</f>
        <v/>
      </c>
      <c r="AE16" s="129">
        <f>Test!U121</f>
        <v/>
      </c>
      <c r="AF16" s="129">
        <f>Test!V121</f>
        <v/>
      </c>
      <c r="AG16" s="129">
        <f>Test!W121</f>
        <v/>
      </c>
      <c r="AH16" s="129">
        <f>Test!X121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Test!Y121</f>
        <v/>
      </c>
      <c r="AK16" s="129">
        <f>Test!Z121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Anchor!L122</f>
        <v/>
      </c>
      <c r="D17" s="129">
        <f>Anchor!M122</f>
        <v/>
      </c>
      <c r="E17" s="129">
        <f>Anchor!N122</f>
        <v/>
      </c>
      <c r="F17" s="129">
        <f>Anchor!O122</f>
        <v/>
      </c>
      <c r="G17" s="130">
        <f>('Summary (Full)'!$B$34*D17+'Summary (Full)'!$B$35*E17+'Summary (Full)'!$B$36*F17)/'Summary (Full)'!$B$37</f>
        <v/>
      </c>
      <c r="H17" s="129">
        <f>Anchor!P122</f>
        <v/>
      </c>
      <c r="I17" s="129">
        <f>Anchor!Q122</f>
        <v/>
      </c>
      <c r="J17" s="129">
        <f>Anchor!R122</f>
        <v/>
      </c>
      <c r="K17" s="129">
        <f>Anchor!S122</f>
        <v/>
      </c>
      <c r="L17" s="129">
        <f>Anchor!T122</f>
        <v/>
      </c>
      <c r="M17" s="129">
        <f>Anchor!U122</f>
        <v/>
      </c>
      <c r="N17" s="129">
        <f>Anchor!V122</f>
        <v/>
      </c>
      <c r="O17" s="129">
        <f>Anchor!W122</f>
        <v/>
      </c>
      <c r="P17" s="129">
        <f>Anchor!X122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Anchor!Y122</f>
        <v/>
      </c>
      <c r="S17" s="129">
        <f>Anchor!Z122</f>
        <v/>
      </c>
      <c r="T17" s="132" t="n"/>
      <c r="U17" s="129">
        <f>Test!L122</f>
        <v/>
      </c>
      <c r="V17" s="129">
        <f>Test!M122</f>
        <v/>
      </c>
      <c r="W17" s="129">
        <f>Test!N122</f>
        <v/>
      </c>
      <c r="X17" s="129">
        <f>Test!O122</f>
        <v/>
      </c>
      <c r="Y17" s="129">
        <f>('Summary (Full)'!$B$34*V17+'Summary (Full)'!$B$35*W17+'Summary (Full)'!$B$36*X17)/'Summary (Full)'!$B$37</f>
        <v/>
      </c>
      <c r="Z17" s="129">
        <f>Test!P122</f>
        <v/>
      </c>
      <c r="AA17" s="129">
        <f>Test!Q122</f>
        <v/>
      </c>
      <c r="AB17" s="129">
        <f>Test!R122</f>
        <v/>
      </c>
      <c r="AC17" s="129">
        <f>Test!S122</f>
        <v/>
      </c>
      <c r="AD17" s="129">
        <f>Test!T122</f>
        <v/>
      </c>
      <c r="AE17" s="129">
        <f>Test!U122</f>
        <v/>
      </c>
      <c r="AF17" s="129">
        <f>Test!V122</f>
        <v/>
      </c>
      <c r="AG17" s="129">
        <f>Test!W122</f>
        <v/>
      </c>
      <c r="AH17" s="129">
        <f>Test!X122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Test!Y122</f>
        <v/>
      </c>
      <c r="AK17" s="129">
        <f>Test!Z122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Anchor!L123</f>
        <v/>
      </c>
      <c r="D18" s="129">
        <f>Anchor!M123</f>
        <v/>
      </c>
      <c r="E18" s="129">
        <f>Anchor!N123</f>
        <v/>
      </c>
      <c r="F18" s="129">
        <f>Anchor!O123</f>
        <v/>
      </c>
      <c r="G18" s="130">
        <f>('Summary (Full)'!$B$34*D18+'Summary (Full)'!$B$35*E18+'Summary (Full)'!$B$36*F18)/'Summary (Full)'!$B$37</f>
        <v/>
      </c>
      <c r="H18" s="129">
        <f>Anchor!P123</f>
        <v/>
      </c>
      <c r="I18" s="129">
        <f>Anchor!Q123</f>
        <v/>
      </c>
      <c r="J18" s="129">
        <f>Anchor!R123</f>
        <v/>
      </c>
      <c r="K18" s="129">
        <f>Anchor!S123</f>
        <v/>
      </c>
      <c r="L18" s="129">
        <f>Anchor!T123</f>
        <v/>
      </c>
      <c r="M18" s="129">
        <f>Anchor!U123</f>
        <v/>
      </c>
      <c r="N18" s="129">
        <f>Anchor!V123</f>
        <v/>
      </c>
      <c r="O18" s="129">
        <f>Anchor!W123</f>
        <v/>
      </c>
      <c r="P18" s="129">
        <f>Anchor!X123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Anchor!Y123</f>
        <v/>
      </c>
      <c r="S18" s="129">
        <f>Anchor!Z123</f>
        <v/>
      </c>
      <c r="T18" s="132" t="n"/>
      <c r="U18" s="129">
        <f>Test!L123</f>
        <v/>
      </c>
      <c r="V18" s="129">
        <f>Test!M123</f>
        <v/>
      </c>
      <c r="W18" s="129">
        <f>Test!N123</f>
        <v/>
      </c>
      <c r="X18" s="129">
        <f>Test!O123</f>
        <v/>
      </c>
      <c r="Y18" s="129">
        <f>('Summary (Full)'!$B$34*V18+'Summary (Full)'!$B$35*W18+'Summary (Full)'!$B$36*X18)/'Summary (Full)'!$B$37</f>
        <v/>
      </c>
      <c r="Z18" s="129">
        <f>Test!P123</f>
        <v/>
      </c>
      <c r="AA18" s="129">
        <f>Test!Q123</f>
        <v/>
      </c>
      <c r="AB18" s="129">
        <f>Test!R123</f>
        <v/>
      </c>
      <c r="AC18" s="129">
        <f>Test!S123</f>
        <v/>
      </c>
      <c r="AD18" s="129">
        <f>Test!T123</f>
        <v/>
      </c>
      <c r="AE18" s="129">
        <f>Test!U123</f>
        <v/>
      </c>
      <c r="AF18" s="129">
        <f>Test!V123</f>
        <v/>
      </c>
      <c r="AG18" s="129">
        <f>Test!W123</f>
        <v/>
      </c>
      <c r="AH18" s="129">
        <f>Test!X123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Test!Y123</f>
        <v/>
      </c>
      <c r="AK18" s="129">
        <f>Test!Z123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Anchor!L124</f>
        <v/>
      </c>
      <c r="D19" s="129">
        <f>Anchor!M124</f>
        <v/>
      </c>
      <c r="E19" s="129">
        <f>Anchor!N124</f>
        <v/>
      </c>
      <c r="F19" s="129">
        <f>Anchor!O124</f>
        <v/>
      </c>
      <c r="G19" s="130">
        <f>('Summary (Full)'!$B$34*D19+'Summary (Full)'!$B$35*E19+'Summary (Full)'!$B$36*F19)/'Summary (Full)'!$B$37</f>
        <v/>
      </c>
      <c r="H19" s="129">
        <f>Anchor!P124</f>
        <v/>
      </c>
      <c r="I19" s="129">
        <f>Anchor!Q124</f>
        <v/>
      </c>
      <c r="J19" s="129">
        <f>Anchor!R124</f>
        <v/>
      </c>
      <c r="K19" s="129">
        <f>Anchor!S124</f>
        <v/>
      </c>
      <c r="L19" s="129">
        <f>Anchor!T124</f>
        <v/>
      </c>
      <c r="M19" s="129">
        <f>Anchor!U124</f>
        <v/>
      </c>
      <c r="N19" s="129">
        <f>Anchor!V124</f>
        <v/>
      </c>
      <c r="O19" s="129">
        <f>Anchor!W124</f>
        <v/>
      </c>
      <c r="P19" s="129">
        <f>Anchor!X124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Anchor!Y124</f>
        <v/>
      </c>
      <c r="S19" s="129">
        <f>Anchor!Z124</f>
        <v/>
      </c>
      <c r="T19" s="132" t="n"/>
      <c r="U19" s="129">
        <f>Test!L124</f>
        <v/>
      </c>
      <c r="V19" s="129">
        <f>Test!M124</f>
        <v/>
      </c>
      <c r="W19" s="129">
        <f>Test!N124</f>
        <v/>
      </c>
      <c r="X19" s="129">
        <f>Test!O124</f>
        <v/>
      </c>
      <c r="Y19" s="129">
        <f>('Summary (Full)'!$B$34*V19+'Summary (Full)'!$B$35*W19+'Summary (Full)'!$B$36*X19)/'Summary (Full)'!$B$37</f>
        <v/>
      </c>
      <c r="Z19" s="129">
        <f>Test!P124</f>
        <v/>
      </c>
      <c r="AA19" s="129">
        <f>Test!Q124</f>
        <v/>
      </c>
      <c r="AB19" s="129">
        <f>Test!R124</f>
        <v/>
      </c>
      <c r="AC19" s="129">
        <f>Test!S124</f>
        <v/>
      </c>
      <c r="AD19" s="129">
        <f>Test!T124</f>
        <v/>
      </c>
      <c r="AE19" s="129">
        <f>Test!U124</f>
        <v/>
      </c>
      <c r="AF19" s="129">
        <f>Test!V124</f>
        <v/>
      </c>
      <c r="AG19" s="129">
        <f>Test!W124</f>
        <v/>
      </c>
      <c r="AH19" s="129">
        <f>Test!X124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Test!Y124</f>
        <v/>
      </c>
      <c r="AK19" s="129">
        <f>Test!Z124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Anchor!L125</f>
        <v/>
      </c>
      <c r="D20" s="129">
        <f>Anchor!M125</f>
        <v/>
      </c>
      <c r="E20" s="129">
        <f>Anchor!N125</f>
        <v/>
      </c>
      <c r="F20" s="129">
        <f>Anchor!O125</f>
        <v/>
      </c>
      <c r="G20" s="130">
        <f>('Summary (Full)'!$B$34*D20+'Summary (Full)'!$B$35*E20+'Summary (Full)'!$B$36*F20)/'Summary (Full)'!$B$37</f>
        <v/>
      </c>
      <c r="H20" s="129">
        <f>Anchor!P125</f>
        <v/>
      </c>
      <c r="I20" s="129">
        <f>Anchor!Q125</f>
        <v/>
      </c>
      <c r="J20" s="129">
        <f>Anchor!R125</f>
        <v/>
      </c>
      <c r="K20" s="129">
        <f>Anchor!S125</f>
        <v/>
      </c>
      <c r="L20" s="129">
        <f>Anchor!T125</f>
        <v/>
      </c>
      <c r="M20" s="129">
        <f>Anchor!U125</f>
        <v/>
      </c>
      <c r="N20" s="129">
        <f>Anchor!V125</f>
        <v/>
      </c>
      <c r="O20" s="129">
        <f>Anchor!W125</f>
        <v/>
      </c>
      <c r="P20" s="129">
        <f>Anchor!X125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Anchor!Y125</f>
        <v/>
      </c>
      <c r="S20" s="129">
        <f>Anchor!Z125</f>
        <v/>
      </c>
      <c r="T20" s="132" t="n"/>
      <c r="U20" s="129">
        <f>Test!L125</f>
        <v/>
      </c>
      <c r="V20" s="129">
        <f>Test!M125</f>
        <v/>
      </c>
      <c r="W20" s="129">
        <f>Test!N125</f>
        <v/>
      </c>
      <c r="X20" s="129">
        <f>Test!O125</f>
        <v/>
      </c>
      <c r="Y20" s="129">
        <f>('Summary (Full)'!$B$34*V20+'Summary (Full)'!$B$35*W20+'Summary (Full)'!$B$36*X20)/'Summary (Full)'!$B$37</f>
        <v/>
      </c>
      <c r="Z20" s="129">
        <f>Test!P125</f>
        <v/>
      </c>
      <c r="AA20" s="129">
        <f>Test!Q125</f>
        <v/>
      </c>
      <c r="AB20" s="129">
        <f>Test!R125</f>
        <v/>
      </c>
      <c r="AC20" s="129">
        <f>Test!S125</f>
        <v/>
      </c>
      <c r="AD20" s="129">
        <f>Test!T125</f>
        <v/>
      </c>
      <c r="AE20" s="129">
        <f>Test!U125</f>
        <v/>
      </c>
      <c r="AF20" s="129">
        <f>Test!V125</f>
        <v/>
      </c>
      <c r="AG20" s="129">
        <f>Test!W125</f>
        <v/>
      </c>
      <c r="AH20" s="129">
        <f>Test!X125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Test!Y125</f>
        <v/>
      </c>
      <c r="AK20" s="129">
        <f>Test!Z125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Anchor!L126</f>
        <v/>
      </c>
      <c r="D21" s="129">
        <f>Anchor!M126</f>
        <v/>
      </c>
      <c r="E21" s="129">
        <f>Anchor!N126</f>
        <v/>
      </c>
      <c r="F21" s="129">
        <f>Anchor!O126</f>
        <v/>
      </c>
      <c r="G21" s="130">
        <f>('Summary (Full)'!$B$34*D21+'Summary (Full)'!$B$35*E21+'Summary (Full)'!$B$36*F21)/'Summary (Full)'!$B$37</f>
        <v/>
      </c>
      <c r="H21" s="129">
        <f>Anchor!P126</f>
        <v/>
      </c>
      <c r="I21" s="129">
        <f>Anchor!Q126</f>
        <v/>
      </c>
      <c r="J21" s="129">
        <f>Anchor!R126</f>
        <v/>
      </c>
      <c r="K21" s="129">
        <f>Anchor!S126</f>
        <v/>
      </c>
      <c r="L21" s="129">
        <f>Anchor!T126</f>
        <v/>
      </c>
      <c r="M21" s="129">
        <f>Anchor!U126</f>
        <v/>
      </c>
      <c r="N21" s="129">
        <f>Anchor!V126</f>
        <v/>
      </c>
      <c r="O21" s="129">
        <f>Anchor!W126</f>
        <v/>
      </c>
      <c r="P21" s="129">
        <f>Anchor!X126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Anchor!Y126</f>
        <v/>
      </c>
      <c r="S21" s="129">
        <f>Anchor!Z126</f>
        <v/>
      </c>
      <c r="T21" s="132" t="n"/>
      <c r="U21" s="129">
        <f>Test!L126</f>
        <v/>
      </c>
      <c r="V21" s="129">
        <f>Test!M126</f>
        <v/>
      </c>
      <c r="W21" s="129">
        <f>Test!N126</f>
        <v/>
      </c>
      <c r="X21" s="129">
        <f>Test!O126</f>
        <v/>
      </c>
      <c r="Y21" s="129">
        <f>('Summary (Full)'!$B$34*V21+'Summary (Full)'!$B$35*W21+'Summary (Full)'!$B$36*X21)/'Summary (Full)'!$B$37</f>
        <v/>
      </c>
      <c r="Z21" s="129">
        <f>Test!P126</f>
        <v/>
      </c>
      <c r="AA21" s="129">
        <f>Test!Q126</f>
        <v/>
      </c>
      <c r="AB21" s="129">
        <f>Test!R126</f>
        <v/>
      </c>
      <c r="AC21" s="129">
        <f>Test!S126</f>
        <v/>
      </c>
      <c r="AD21" s="129">
        <f>Test!T126</f>
        <v/>
      </c>
      <c r="AE21" s="129">
        <f>Test!U126</f>
        <v/>
      </c>
      <c r="AF21" s="129">
        <f>Test!V126</f>
        <v/>
      </c>
      <c r="AG21" s="129">
        <f>Test!W126</f>
        <v/>
      </c>
      <c r="AH21" s="129">
        <f>Test!X126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Test!Y126</f>
        <v/>
      </c>
      <c r="AK21" s="129">
        <f>Test!Z126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Anchor!L127</f>
        <v/>
      </c>
      <c r="D22" s="129">
        <f>Anchor!M127</f>
        <v/>
      </c>
      <c r="E22" s="129">
        <f>Anchor!N127</f>
        <v/>
      </c>
      <c r="F22" s="129">
        <f>Anchor!O127</f>
        <v/>
      </c>
      <c r="G22" s="130">
        <f>('Summary (Full)'!$B$34*D22+'Summary (Full)'!$B$35*E22+'Summary (Full)'!$B$36*F22)/'Summary (Full)'!$B$37</f>
        <v/>
      </c>
      <c r="H22" s="129">
        <f>Anchor!P127</f>
        <v/>
      </c>
      <c r="I22" s="129">
        <f>Anchor!Q127</f>
        <v/>
      </c>
      <c r="J22" s="129">
        <f>Anchor!R127</f>
        <v/>
      </c>
      <c r="K22" s="129">
        <f>Anchor!S127</f>
        <v/>
      </c>
      <c r="L22" s="129">
        <f>Anchor!T127</f>
        <v/>
      </c>
      <c r="M22" s="129">
        <f>Anchor!U127</f>
        <v/>
      </c>
      <c r="N22" s="129">
        <f>Anchor!V127</f>
        <v/>
      </c>
      <c r="O22" s="129">
        <f>Anchor!W127</f>
        <v/>
      </c>
      <c r="P22" s="129">
        <f>Anchor!X127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Anchor!Y127</f>
        <v/>
      </c>
      <c r="S22" s="129">
        <f>Anchor!Z127</f>
        <v/>
      </c>
      <c r="T22" s="132" t="n"/>
      <c r="U22" s="129">
        <f>Test!L127</f>
        <v/>
      </c>
      <c r="V22" s="129">
        <f>Test!M127</f>
        <v/>
      </c>
      <c r="W22" s="129">
        <f>Test!N127</f>
        <v/>
      </c>
      <c r="X22" s="129">
        <f>Test!O127</f>
        <v/>
      </c>
      <c r="Y22" s="129">
        <f>('Summary (Full)'!$B$34*V22+'Summary (Full)'!$B$35*W22+'Summary (Full)'!$B$36*X22)/'Summary (Full)'!$B$37</f>
        <v/>
      </c>
      <c r="Z22" s="129">
        <f>Test!P127</f>
        <v/>
      </c>
      <c r="AA22" s="129">
        <f>Test!Q127</f>
        <v/>
      </c>
      <c r="AB22" s="129">
        <f>Test!R127</f>
        <v/>
      </c>
      <c r="AC22" s="129">
        <f>Test!S127</f>
        <v/>
      </c>
      <c r="AD22" s="129">
        <f>Test!T127</f>
        <v/>
      </c>
      <c r="AE22" s="129">
        <f>Test!U127</f>
        <v/>
      </c>
      <c r="AF22" s="129">
        <f>Test!V127</f>
        <v/>
      </c>
      <c r="AG22" s="129">
        <f>Test!W127</f>
        <v/>
      </c>
      <c r="AH22" s="129">
        <f>Test!X127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Test!Y127</f>
        <v/>
      </c>
      <c r="AK22" s="129">
        <f>Test!Z127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Anchor!L128</f>
        <v/>
      </c>
      <c r="D23" s="129">
        <f>Anchor!M128</f>
        <v/>
      </c>
      <c r="E23" s="129">
        <f>Anchor!N128</f>
        <v/>
      </c>
      <c r="F23" s="129">
        <f>Anchor!O128</f>
        <v/>
      </c>
      <c r="G23" s="130">
        <f>('Summary (Full)'!$B$34*D23+'Summary (Full)'!$B$35*E23+'Summary (Full)'!$B$36*F23)/'Summary (Full)'!$B$37</f>
        <v/>
      </c>
      <c r="H23" s="129">
        <f>Anchor!P128</f>
        <v/>
      </c>
      <c r="I23" s="129">
        <f>Anchor!Q128</f>
        <v/>
      </c>
      <c r="J23" s="129">
        <f>Anchor!R128</f>
        <v/>
      </c>
      <c r="K23" s="129">
        <f>Anchor!S128</f>
        <v/>
      </c>
      <c r="L23" s="129">
        <f>Anchor!T128</f>
        <v/>
      </c>
      <c r="M23" s="129">
        <f>Anchor!U128</f>
        <v/>
      </c>
      <c r="N23" s="129">
        <f>Anchor!V128</f>
        <v/>
      </c>
      <c r="O23" s="129">
        <f>Anchor!W128</f>
        <v/>
      </c>
      <c r="P23" s="129">
        <f>Anchor!X128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Anchor!Y128</f>
        <v/>
      </c>
      <c r="S23" s="129">
        <f>Anchor!Z128</f>
        <v/>
      </c>
      <c r="T23" s="132" t="n"/>
      <c r="U23" s="129">
        <f>Test!L128</f>
        <v/>
      </c>
      <c r="V23" s="129">
        <f>Test!M128</f>
        <v/>
      </c>
      <c r="W23" s="129">
        <f>Test!N128</f>
        <v/>
      </c>
      <c r="X23" s="129">
        <f>Test!O128</f>
        <v/>
      </c>
      <c r="Y23" s="129">
        <f>('Summary (Full)'!$B$34*V23+'Summary (Full)'!$B$35*W23+'Summary (Full)'!$B$36*X23)/'Summary (Full)'!$B$37</f>
        <v/>
      </c>
      <c r="Z23" s="129">
        <f>Test!P128</f>
        <v/>
      </c>
      <c r="AA23" s="129">
        <f>Test!Q128</f>
        <v/>
      </c>
      <c r="AB23" s="129">
        <f>Test!R128</f>
        <v/>
      </c>
      <c r="AC23" s="129">
        <f>Test!S128</f>
        <v/>
      </c>
      <c r="AD23" s="129">
        <f>Test!T128</f>
        <v/>
      </c>
      <c r="AE23" s="129">
        <f>Test!U128</f>
        <v/>
      </c>
      <c r="AF23" s="129">
        <f>Test!V128</f>
        <v/>
      </c>
      <c r="AG23" s="129">
        <f>Test!W128</f>
        <v/>
      </c>
      <c r="AH23" s="129">
        <f>Test!X128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Test!Y128</f>
        <v/>
      </c>
      <c r="AK23" s="129">
        <f>Test!Z128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Anchor!L129</f>
        <v/>
      </c>
      <c r="D24" s="129">
        <f>Anchor!M129</f>
        <v/>
      </c>
      <c r="E24" s="129">
        <f>Anchor!N129</f>
        <v/>
      </c>
      <c r="F24" s="129">
        <f>Anchor!O129</f>
        <v/>
      </c>
      <c r="G24" s="130">
        <f>('Summary (Full)'!$B$34*D24+'Summary (Full)'!$B$35*E24+'Summary (Full)'!$B$36*F24)/'Summary (Full)'!$B$37</f>
        <v/>
      </c>
      <c r="H24" s="129">
        <f>Anchor!P129</f>
        <v/>
      </c>
      <c r="I24" s="129">
        <f>Anchor!Q129</f>
        <v/>
      </c>
      <c r="J24" s="129">
        <f>Anchor!R129</f>
        <v/>
      </c>
      <c r="K24" s="129">
        <f>Anchor!S129</f>
        <v/>
      </c>
      <c r="L24" s="129">
        <f>Anchor!T129</f>
        <v/>
      </c>
      <c r="M24" s="129">
        <f>Anchor!U129</f>
        <v/>
      </c>
      <c r="N24" s="129">
        <f>Anchor!V129</f>
        <v/>
      </c>
      <c r="O24" s="129">
        <f>Anchor!W129</f>
        <v/>
      </c>
      <c r="P24" s="129">
        <f>Anchor!X129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Anchor!Y129</f>
        <v/>
      </c>
      <c r="S24" s="129">
        <f>Anchor!Z129</f>
        <v/>
      </c>
      <c r="T24" s="132" t="n"/>
      <c r="U24" s="129">
        <f>Test!L129</f>
        <v/>
      </c>
      <c r="V24" s="129">
        <f>Test!M129</f>
        <v/>
      </c>
      <c r="W24" s="129">
        <f>Test!N129</f>
        <v/>
      </c>
      <c r="X24" s="129">
        <f>Test!O129</f>
        <v/>
      </c>
      <c r="Y24" s="129">
        <f>('Summary (Full)'!$B$34*V24+'Summary (Full)'!$B$35*W24+'Summary (Full)'!$B$36*X24)/'Summary (Full)'!$B$37</f>
        <v/>
      </c>
      <c r="Z24" s="129">
        <f>Test!P129</f>
        <v/>
      </c>
      <c r="AA24" s="129">
        <f>Test!Q129</f>
        <v/>
      </c>
      <c r="AB24" s="129">
        <f>Test!R129</f>
        <v/>
      </c>
      <c r="AC24" s="129">
        <f>Test!S129</f>
        <v/>
      </c>
      <c r="AD24" s="129">
        <f>Test!T129</f>
        <v/>
      </c>
      <c r="AE24" s="129">
        <f>Test!U129</f>
        <v/>
      </c>
      <c r="AF24" s="129">
        <f>Test!V129</f>
        <v/>
      </c>
      <c r="AG24" s="129">
        <f>Test!W129</f>
        <v/>
      </c>
      <c r="AH24" s="129">
        <f>Test!X129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Test!Y129</f>
        <v/>
      </c>
      <c r="AK24" s="129">
        <f>Test!Z129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Anchor!L130</f>
        <v/>
      </c>
      <c r="D25" s="129">
        <f>Anchor!M130</f>
        <v/>
      </c>
      <c r="E25" s="129">
        <f>Anchor!N130</f>
        <v/>
      </c>
      <c r="F25" s="129">
        <f>Anchor!O130</f>
        <v/>
      </c>
      <c r="G25" s="130">
        <f>('Summary (Full)'!$B$34*D25+'Summary (Full)'!$B$35*E25+'Summary (Full)'!$B$36*F25)/'Summary (Full)'!$B$37</f>
        <v/>
      </c>
      <c r="H25" s="129">
        <f>Anchor!P130</f>
        <v/>
      </c>
      <c r="I25" s="129">
        <f>Anchor!Q130</f>
        <v/>
      </c>
      <c r="J25" s="129">
        <f>Anchor!R130</f>
        <v/>
      </c>
      <c r="K25" s="129">
        <f>Anchor!S130</f>
        <v/>
      </c>
      <c r="L25" s="129">
        <f>Anchor!T130</f>
        <v/>
      </c>
      <c r="M25" s="129">
        <f>Anchor!U130</f>
        <v/>
      </c>
      <c r="N25" s="129">
        <f>Anchor!V130</f>
        <v/>
      </c>
      <c r="O25" s="129">
        <f>Anchor!W130</f>
        <v/>
      </c>
      <c r="P25" s="129">
        <f>Anchor!X130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Anchor!Y130</f>
        <v/>
      </c>
      <c r="S25" s="129">
        <f>Anchor!Z130</f>
        <v/>
      </c>
      <c r="T25" s="132" t="n"/>
      <c r="U25" s="129">
        <f>Test!L130</f>
        <v/>
      </c>
      <c r="V25" s="129">
        <f>Test!M130</f>
        <v/>
      </c>
      <c r="W25" s="129">
        <f>Test!N130</f>
        <v/>
      </c>
      <c r="X25" s="129">
        <f>Test!O130</f>
        <v/>
      </c>
      <c r="Y25" s="129">
        <f>('Summary (Full)'!$B$34*V25+'Summary (Full)'!$B$35*W25+'Summary (Full)'!$B$36*X25)/'Summary (Full)'!$B$37</f>
        <v/>
      </c>
      <c r="Z25" s="129">
        <f>Test!P130</f>
        <v/>
      </c>
      <c r="AA25" s="129">
        <f>Test!Q130</f>
        <v/>
      </c>
      <c r="AB25" s="129">
        <f>Test!R130</f>
        <v/>
      </c>
      <c r="AC25" s="129">
        <f>Test!S130</f>
        <v/>
      </c>
      <c r="AD25" s="129">
        <f>Test!T130</f>
        <v/>
      </c>
      <c r="AE25" s="129">
        <f>Test!U130</f>
        <v/>
      </c>
      <c r="AF25" s="129">
        <f>Test!V130</f>
        <v/>
      </c>
      <c r="AG25" s="129">
        <f>Test!W130</f>
        <v/>
      </c>
      <c r="AH25" s="129">
        <f>Test!X130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Test!Y130</f>
        <v/>
      </c>
      <c r="AK25" s="129">
        <f>Test!Z130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Anchor!L131</f>
        <v/>
      </c>
      <c r="D26" s="129">
        <f>Anchor!M131</f>
        <v/>
      </c>
      <c r="E26" s="129">
        <f>Anchor!N131</f>
        <v/>
      </c>
      <c r="F26" s="129">
        <f>Anchor!O131</f>
        <v/>
      </c>
      <c r="G26" s="130">
        <f>('Summary (Full)'!$B$34*D26+'Summary (Full)'!$B$35*E26+'Summary (Full)'!$B$36*F26)/'Summary (Full)'!$B$37</f>
        <v/>
      </c>
      <c r="H26" s="129">
        <f>Anchor!P131</f>
        <v/>
      </c>
      <c r="I26" s="129">
        <f>Anchor!Q131</f>
        <v/>
      </c>
      <c r="J26" s="129">
        <f>Anchor!R131</f>
        <v/>
      </c>
      <c r="K26" s="129">
        <f>Anchor!S131</f>
        <v/>
      </c>
      <c r="L26" s="129">
        <f>Anchor!T131</f>
        <v/>
      </c>
      <c r="M26" s="129">
        <f>Anchor!U131</f>
        <v/>
      </c>
      <c r="N26" s="129">
        <f>Anchor!V131</f>
        <v/>
      </c>
      <c r="O26" s="129">
        <f>Anchor!W131</f>
        <v/>
      </c>
      <c r="P26" s="129">
        <f>Anchor!X131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Anchor!Y131</f>
        <v/>
      </c>
      <c r="S26" s="129">
        <f>Anchor!Z131</f>
        <v/>
      </c>
      <c r="T26" s="132" t="n"/>
      <c r="U26" s="129">
        <f>Test!L131</f>
        <v/>
      </c>
      <c r="V26" s="129">
        <f>Test!M131</f>
        <v/>
      </c>
      <c r="W26" s="129">
        <f>Test!N131</f>
        <v/>
      </c>
      <c r="X26" s="129">
        <f>Test!O131</f>
        <v/>
      </c>
      <c r="Y26" s="129">
        <f>('Summary (Full)'!$B$34*V26+'Summary (Full)'!$B$35*W26+'Summary (Full)'!$B$36*X26)/'Summary (Full)'!$B$37</f>
        <v/>
      </c>
      <c r="Z26" s="129">
        <f>Test!P131</f>
        <v/>
      </c>
      <c r="AA26" s="129">
        <f>Test!Q131</f>
        <v/>
      </c>
      <c r="AB26" s="129">
        <f>Test!R131</f>
        <v/>
      </c>
      <c r="AC26" s="129">
        <f>Test!S131</f>
        <v/>
      </c>
      <c r="AD26" s="129">
        <f>Test!T131</f>
        <v/>
      </c>
      <c r="AE26" s="129">
        <f>Test!U131</f>
        <v/>
      </c>
      <c r="AF26" s="129">
        <f>Test!V131</f>
        <v/>
      </c>
      <c r="AG26" s="129">
        <f>Test!W131</f>
        <v/>
      </c>
      <c r="AH26" s="129">
        <f>Test!X131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Test!Y131</f>
        <v/>
      </c>
      <c r="AK26" s="129">
        <f>Test!Z131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Anchor!L132</f>
        <v/>
      </c>
      <c r="D27" s="129">
        <f>Anchor!M132</f>
        <v/>
      </c>
      <c r="E27" s="129">
        <f>Anchor!N132</f>
        <v/>
      </c>
      <c r="F27" s="129">
        <f>Anchor!O132</f>
        <v/>
      </c>
      <c r="G27" s="130">
        <f>('Summary (Full)'!$B$34*D27+'Summary (Full)'!$B$35*E27+'Summary (Full)'!$B$36*F27)/'Summary (Full)'!$B$37</f>
        <v/>
      </c>
      <c r="H27" s="129">
        <f>Anchor!P132</f>
        <v/>
      </c>
      <c r="I27" s="129">
        <f>Anchor!Q132</f>
        <v/>
      </c>
      <c r="J27" s="129">
        <f>Anchor!R132</f>
        <v/>
      </c>
      <c r="K27" s="129">
        <f>Anchor!S132</f>
        <v/>
      </c>
      <c r="L27" s="129">
        <f>Anchor!T132</f>
        <v/>
      </c>
      <c r="M27" s="129">
        <f>Anchor!U132</f>
        <v/>
      </c>
      <c r="N27" s="129">
        <f>Anchor!V132</f>
        <v/>
      </c>
      <c r="O27" s="129">
        <f>Anchor!W132</f>
        <v/>
      </c>
      <c r="P27" s="129">
        <f>Anchor!X132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Anchor!Y132</f>
        <v/>
      </c>
      <c r="S27" s="129">
        <f>Anchor!Z132</f>
        <v/>
      </c>
      <c r="T27" s="132" t="n"/>
      <c r="U27" s="129">
        <f>Test!L132</f>
        <v/>
      </c>
      <c r="V27" s="129">
        <f>Test!M132</f>
        <v/>
      </c>
      <c r="W27" s="129">
        <f>Test!N132</f>
        <v/>
      </c>
      <c r="X27" s="129">
        <f>Test!O132</f>
        <v/>
      </c>
      <c r="Y27" s="129">
        <f>('Summary (Full)'!$B$34*V27+'Summary (Full)'!$B$35*W27+'Summary (Full)'!$B$36*X27)/'Summary (Full)'!$B$37</f>
        <v/>
      </c>
      <c r="Z27" s="129">
        <f>Test!P132</f>
        <v/>
      </c>
      <c r="AA27" s="129">
        <f>Test!Q132</f>
        <v/>
      </c>
      <c r="AB27" s="129">
        <f>Test!R132</f>
        <v/>
      </c>
      <c r="AC27" s="129">
        <f>Test!S132</f>
        <v/>
      </c>
      <c r="AD27" s="129">
        <f>Test!T132</f>
        <v/>
      </c>
      <c r="AE27" s="129">
        <f>Test!U132</f>
        <v/>
      </c>
      <c r="AF27" s="129">
        <f>Test!V132</f>
        <v/>
      </c>
      <c r="AG27" s="129">
        <f>Test!W132</f>
        <v/>
      </c>
      <c r="AH27" s="129">
        <f>Test!X132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Test!Y132</f>
        <v/>
      </c>
      <c r="AK27" s="129">
        <f>Test!Z132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Anchor!L133</f>
        <v/>
      </c>
      <c r="D28" s="129">
        <f>Anchor!M133</f>
        <v/>
      </c>
      <c r="E28" s="129">
        <f>Anchor!N133</f>
        <v/>
      </c>
      <c r="F28" s="129">
        <f>Anchor!O133</f>
        <v/>
      </c>
      <c r="G28" s="130">
        <f>('Summary (Full)'!$B$34*D28+'Summary (Full)'!$B$35*E28+'Summary (Full)'!$B$36*F28)/'Summary (Full)'!$B$37</f>
        <v/>
      </c>
      <c r="H28" s="129">
        <f>Anchor!P133</f>
        <v/>
      </c>
      <c r="I28" s="129">
        <f>Anchor!Q133</f>
        <v/>
      </c>
      <c r="J28" s="129">
        <f>Anchor!R133</f>
        <v/>
      </c>
      <c r="K28" s="129">
        <f>Anchor!S133</f>
        <v/>
      </c>
      <c r="L28" s="129">
        <f>Anchor!T133</f>
        <v/>
      </c>
      <c r="M28" s="129">
        <f>Anchor!U133</f>
        <v/>
      </c>
      <c r="N28" s="129">
        <f>Anchor!V133</f>
        <v/>
      </c>
      <c r="O28" s="129">
        <f>Anchor!W133</f>
        <v/>
      </c>
      <c r="P28" s="129">
        <f>Anchor!X133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Anchor!Y133</f>
        <v/>
      </c>
      <c r="S28" s="129">
        <f>Anchor!Z133</f>
        <v/>
      </c>
      <c r="T28" s="132" t="n"/>
      <c r="U28" s="129">
        <f>Test!L133</f>
        <v/>
      </c>
      <c r="V28" s="129">
        <f>Test!M133</f>
        <v/>
      </c>
      <c r="W28" s="129">
        <f>Test!N133</f>
        <v/>
      </c>
      <c r="X28" s="129">
        <f>Test!O133</f>
        <v/>
      </c>
      <c r="Y28" s="129">
        <f>('Summary (Full)'!$B$34*V28+'Summary (Full)'!$B$35*W28+'Summary (Full)'!$B$36*X28)/'Summary (Full)'!$B$37</f>
        <v/>
      </c>
      <c r="Z28" s="129">
        <f>Test!P133</f>
        <v/>
      </c>
      <c r="AA28" s="129">
        <f>Test!Q133</f>
        <v/>
      </c>
      <c r="AB28" s="129">
        <f>Test!R133</f>
        <v/>
      </c>
      <c r="AC28" s="129">
        <f>Test!S133</f>
        <v/>
      </c>
      <c r="AD28" s="129">
        <f>Test!T133</f>
        <v/>
      </c>
      <c r="AE28" s="129">
        <f>Test!U133</f>
        <v/>
      </c>
      <c r="AF28" s="129">
        <f>Test!V133</f>
        <v/>
      </c>
      <c r="AG28" s="129">
        <f>Test!W133</f>
        <v/>
      </c>
      <c r="AH28" s="129">
        <f>Test!X133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Test!Y133</f>
        <v/>
      </c>
      <c r="AK28" s="129">
        <f>Test!Z133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Anchor!L134</f>
        <v/>
      </c>
      <c r="D29" s="129">
        <f>Anchor!M134</f>
        <v/>
      </c>
      <c r="E29" s="129">
        <f>Anchor!N134</f>
        <v/>
      </c>
      <c r="F29" s="129">
        <f>Anchor!O134</f>
        <v/>
      </c>
      <c r="G29" s="130">
        <f>('Summary (Full)'!$B$34*D29+'Summary (Full)'!$B$35*E29+'Summary (Full)'!$B$36*F29)/'Summary (Full)'!$B$37</f>
        <v/>
      </c>
      <c r="H29" s="129">
        <f>Anchor!P134</f>
        <v/>
      </c>
      <c r="I29" s="129">
        <f>Anchor!Q134</f>
        <v/>
      </c>
      <c r="J29" s="129">
        <f>Anchor!R134</f>
        <v/>
      </c>
      <c r="K29" s="129">
        <f>Anchor!S134</f>
        <v/>
      </c>
      <c r="L29" s="129">
        <f>Anchor!T134</f>
        <v/>
      </c>
      <c r="M29" s="129">
        <f>Anchor!U134</f>
        <v/>
      </c>
      <c r="N29" s="129">
        <f>Anchor!V134</f>
        <v/>
      </c>
      <c r="O29" s="129">
        <f>Anchor!W134</f>
        <v/>
      </c>
      <c r="P29" s="129">
        <f>Anchor!X134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Anchor!Y134</f>
        <v/>
      </c>
      <c r="S29" s="129">
        <f>Anchor!Z134</f>
        <v/>
      </c>
      <c r="T29" s="132" t="n"/>
      <c r="U29" s="129">
        <f>Test!L134</f>
        <v/>
      </c>
      <c r="V29" s="129">
        <f>Test!M134</f>
        <v/>
      </c>
      <c r="W29" s="129">
        <f>Test!N134</f>
        <v/>
      </c>
      <c r="X29" s="129">
        <f>Test!O134</f>
        <v/>
      </c>
      <c r="Y29" s="129">
        <f>('Summary (Full)'!$B$34*V29+'Summary (Full)'!$B$35*W29+'Summary (Full)'!$B$36*X29)/'Summary (Full)'!$B$37</f>
        <v/>
      </c>
      <c r="Z29" s="129">
        <f>Test!P134</f>
        <v/>
      </c>
      <c r="AA29" s="129">
        <f>Test!Q134</f>
        <v/>
      </c>
      <c r="AB29" s="129">
        <f>Test!R134</f>
        <v/>
      </c>
      <c r="AC29" s="129">
        <f>Test!S134</f>
        <v/>
      </c>
      <c r="AD29" s="129">
        <f>Test!T134</f>
        <v/>
      </c>
      <c r="AE29" s="129">
        <f>Test!U134</f>
        <v/>
      </c>
      <c r="AF29" s="129">
        <f>Test!V134</f>
        <v/>
      </c>
      <c r="AG29" s="129">
        <f>Test!W134</f>
        <v/>
      </c>
      <c r="AH29" s="129">
        <f>Test!X134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Test!Y134</f>
        <v/>
      </c>
      <c r="AK29" s="129">
        <f>Test!Z134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Anchor!L135</f>
        <v/>
      </c>
      <c r="D30" s="129">
        <f>Anchor!M135</f>
        <v/>
      </c>
      <c r="E30" s="129">
        <f>Anchor!N135</f>
        <v/>
      </c>
      <c r="F30" s="129">
        <f>Anchor!O135</f>
        <v/>
      </c>
      <c r="G30" s="130">
        <f>('Summary (Full)'!$B$34*D30+'Summary (Full)'!$B$35*E30+'Summary (Full)'!$B$36*F30)/'Summary (Full)'!$B$37</f>
        <v/>
      </c>
      <c r="H30" s="129">
        <f>Anchor!P135</f>
        <v/>
      </c>
      <c r="I30" s="129">
        <f>Anchor!Q135</f>
        <v/>
      </c>
      <c r="J30" s="129">
        <f>Anchor!R135</f>
        <v/>
      </c>
      <c r="K30" s="129">
        <f>Anchor!S135</f>
        <v/>
      </c>
      <c r="L30" s="129">
        <f>Anchor!T135</f>
        <v/>
      </c>
      <c r="M30" s="129">
        <f>Anchor!U135</f>
        <v/>
      </c>
      <c r="N30" s="129">
        <f>Anchor!V135</f>
        <v/>
      </c>
      <c r="O30" s="129">
        <f>Anchor!W135</f>
        <v/>
      </c>
      <c r="P30" s="129">
        <f>Anchor!X135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Anchor!Y135</f>
        <v/>
      </c>
      <c r="S30" s="129">
        <f>Anchor!Z135</f>
        <v/>
      </c>
      <c r="T30" s="132" t="n"/>
      <c r="U30" s="129">
        <f>Test!L135</f>
        <v/>
      </c>
      <c r="V30" s="129">
        <f>Test!M135</f>
        <v/>
      </c>
      <c r="W30" s="129">
        <f>Test!N135</f>
        <v/>
      </c>
      <c r="X30" s="129">
        <f>Test!O135</f>
        <v/>
      </c>
      <c r="Y30" s="129">
        <f>('Summary (Full)'!$B$34*V30+'Summary (Full)'!$B$35*W30+'Summary (Full)'!$B$36*X30)/'Summary (Full)'!$B$37</f>
        <v/>
      </c>
      <c r="Z30" s="129">
        <f>Test!P135</f>
        <v/>
      </c>
      <c r="AA30" s="129">
        <f>Test!Q135</f>
        <v/>
      </c>
      <c r="AB30" s="129">
        <f>Test!R135</f>
        <v/>
      </c>
      <c r="AC30" s="129">
        <f>Test!S135</f>
        <v/>
      </c>
      <c r="AD30" s="129">
        <f>Test!T135</f>
        <v/>
      </c>
      <c r="AE30" s="129">
        <f>Test!U135</f>
        <v/>
      </c>
      <c r="AF30" s="129">
        <f>Test!V135</f>
        <v/>
      </c>
      <c r="AG30" s="129">
        <f>Test!W135</f>
        <v/>
      </c>
      <c r="AH30" s="129">
        <f>Test!X135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Test!Y135</f>
        <v/>
      </c>
      <c r="AK30" s="129">
        <f>Test!Z135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Anchor!L136</f>
        <v/>
      </c>
      <c r="D31" s="129">
        <f>Anchor!M136</f>
        <v/>
      </c>
      <c r="E31" s="129">
        <f>Anchor!N136</f>
        <v/>
      </c>
      <c r="F31" s="129">
        <f>Anchor!O136</f>
        <v/>
      </c>
      <c r="G31" s="130">
        <f>('Summary (Full)'!$B$34*D31+'Summary (Full)'!$B$35*E31+'Summary (Full)'!$B$36*F31)/'Summary (Full)'!$B$37</f>
        <v/>
      </c>
      <c r="H31" s="129">
        <f>Anchor!P136</f>
        <v/>
      </c>
      <c r="I31" s="129">
        <f>Anchor!Q136</f>
        <v/>
      </c>
      <c r="J31" s="129">
        <f>Anchor!R136</f>
        <v/>
      </c>
      <c r="K31" s="129">
        <f>Anchor!S136</f>
        <v/>
      </c>
      <c r="L31" s="129">
        <f>Anchor!T136</f>
        <v/>
      </c>
      <c r="M31" s="129">
        <f>Anchor!U136</f>
        <v/>
      </c>
      <c r="N31" s="129">
        <f>Anchor!V136</f>
        <v/>
      </c>
      <c r="O31" s="129">
        <f>Anchor!W136</f>
        <v/>
      </c>
      <c r="P31" s="129">
        <f>Anchor!X136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Anchor!Y136</f>
        <v/>
      </c>
      <c r="S31" s="129">
        <f>Anchor!Z136</f>
        <v/>
      </c>
      <c r="T31" s="132" t="n"/>
      <c r="U31" s="129">
        <f>Test!L136</f>
        <v/>
      </c>
      <c r="V31" s="129">
        <f>Test!M136</f>
        <v/>
      </c>
      <c r="W31" s="129">
        <f>Test!N136</f>
        <v/>
      </c>
      <c r="X31" s="129">
        <f>Test!O136</f>
        <v/>
      </c>
      <c r="Y31" s="129">
        <f>('Summary (Full)'!$B$34*V31+'Summary (Full)'!$B$35*W31+'Summary (Full)'!$B$36*X31)/'Summary (Full)'!$B$37</f>
        <v/>
      </c>
      <c r="Z31" s="129">
        <f>Test!P136</f>
        <v/>
      </c>
      <c r="AA31" s="129">
        <f>Test!Q136</f>
        <v/>
      </c>
      <c r="AB31" s="129">
        <f>Test!R136</f>
        <v/>
      </c>
      <c r="AC31" s="129">
        <f>Test!S136</f>
        <v/>
      </c>
      <c r="AD31" s="129">
        <f>Test!T136</f>
        <v/>
      </c>
      <c r="AE31" s="129">
        <f>Test!U136</f>
        <v/>
      </c>
      <c r="AF31" s="129">
        <f>Test!V136</f>
        <v/>
      </c>
      <c r="AG31" s="129">
        <f>Test!W136</f>
        <v/>
      </c>
      <c r="AH31" s="129">
        <f>Test!X136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Test!Y136</f>
        <v/>
      </c>
      <c r="AK31" s="129">
        <f>Test!Z136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Anchor!L137</f>
        <v/>
      </c>
      <c r="D32" s="129">
        <f>Anchor!M137</f>
        <v/>
      </c>
      <c r="E32" s="129">
        <f>Anchor!N137</f>
        <v/>
      </c>
      <c r="F32" s="129">
        <f>Anchor!O137</f>
        <v/>
      </c>
      <c r="G32" s="130">
        <f>('Summary (Full)'!$B$34*D32+'Summary (Full)'!$B$35*E32+'Summary (Full)'!$B$36*F32)/'Summary (Full)'!$B$37</f>
        <v/>
      </c>
      <c r="H32" s="129">
        <f>Anchor!P137</f>
        <v/>
      </c>
      <c r="I32" s="129">
        <f>Anchor!Q137</f>
        <v/>
      </c>
      <c r="J32" s="129">
        <f>Anchor!R137</f>
        <v/>
      </c>
      <c r="K32" s="129">
        <f>Anchor!S137</f>
        <v/>
      </c>
      <c r="L32" s="129">
        <f>Anchor!T137</f>
        <v/>
      </c>
      <c r="M32" s="129">
        <f>Anchor!U137</f>
        <v/>
      </c>
      <c r="N32" s="129">
        <f>Anchor!V137</f>
        <v/>
      </c>
      <c r="O32" s="129">
        <f>Anchor!W137</f>
        <v/>
      </c>
      <c r="P32" s="129">
        <f>Anchor!X137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Anchor!Y137</f>
        <v/>
      </c>
      <c r="S32" s="129">
        <f>Anchor!Z137</f>
        <v/>
      </c>
      <c r="T32" s="132" t="n"/>
      <c r="U32" s="129">
        <f>Test!L137</f>
        <v/>
      </c>
      <c r="V32" s="129">
        <f>Test!M137</f>
        <v/>
      </c>
      <c r="W32" s="129">
        <f>Test!N137</f>
        <v/>
      </c>
      <c r="X32" s="129">
        <f>Test!O137</f>
        <v/>
      </c>
      <c r="Y32" s="129">
        <f>('Summary (Full)'!$B$34*V32+'Summary (Full)'!$B$35*W32+'Summary (Full)'!$B$36*X32)/'Summary (Full)'!$B$37</f>
        <v/>
      </c>
      <c r="Z32" s="129">
        <f>Test!P137</f>
        <v/>
      </c>
      <c r="AA32" s="129">
        <f>Test!Q137</f>
        <v/>
      </c>
      <c r="AB32" s="129">
        <f>Test!R137</f>
        <v/>
      </c>
      <c r="AC32" s="129">
        <f>Test!S137</f>
        <v/>
      </c>
      <c r="AD32" s="129">
        <f>Test!T137</f>
        <v/>
      </c>
      <c r="AE32" s="129">
        <f>Test!U137</f>
        <v/>
      </c>
      <c r="AF32" s="129">
        <f>Test!V137</f>
        <v/>
      </c>
      <c r="AG32" s="129">
        <f>Test!W137</f>
        <v/>
      </c>
      <c r="AH32" s="129">
        <f>Test!X137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Test!Y137</f>
        <v/>
      </c>
      <c r="AK32" s="129">
        <f>Test!Z137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Anchor!L138</f>
        <v/>
      </c>
      <c r="D33" s="129">
        <f>Anchor!M138</f>
        <v/>
      </c>
      <c r="E33" s="129">
        <f>Anchor!N138</f>
        <v/>
      </c>
      <c r="F33" s="129">
        <f>Anchor!O138</f>
        <v/>
      </c>
      <c r="G33" s="130">
        <f>('Summary (Full)'!$B$34*D33+'Summary (Full)'!$B$35*E33+'Summary (Full)'!$B$36*F33)/'Summary (Full)'!$B$37</f>
        <v/>
      </c>
      <c r="H33" s="129">
        <f>Anchor!P138</f>
        <v/>
      </c>
      <c r="I33" s="129">
        <f>Anchor!Q138</f>
        <v/>
      </c>
      <c r="J33" s="129">
        <f>Anchor!R138</f>
        <v/>
      </c>
      <c r="K33" s="129">
        <f>Anchor!S138</f>
        <v/>
      </c>
      <c r="L33" s="129">
        <f>Anchor!T138</f>
        <v/>
      </c>
      <c r="M33" s="129">
        <f>Anchor!U138</f>
        <v/>
      </c>
      <c r="N33" s="129">
        <f>Anchor!V138</f>
        <v/>
      </c>
      <c r="O33" s="129">
        <f>Anchor!W138</f>
        <v/>
      </c>
      <c r="P33" s="129">
        <f>Anchor!X138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Anchor!Y138</f>
        <v/>
      </c>
      <c r="S33" s="129">
        <f>Anchor!Z138</f>
        <v/>
      </c>
      <c r="T33" s="132" t="n"/>
      <c r="U33" s="129">
        <f>Test!L138</f>
        <v/>
      </c>
      <c r="V33" s="129">
        <f>Test!M138</f>
        <v/>
      </c>
      <c r="W33" s="129">
        <f>Test!N138</f>
        <v/>
      </c>
      <c r="X33" s="129">
        <f>Test!O138</f>
        <v/>
      </c>
      <c r="Y33" s="129">
        <f>('Summary (Full)'!$B$34*V33+'Summary (Full)'!$B$35*W33+'Summary (Full)'!$B$36*X33)/'Summary (Full)'!$B$37</f>
        <v/>
      </c>
      <c r="Z33" s="129">
        <f>Test!P138</f>
        <v/>
      </c>
      <c r="AA33" s="129">
        <f>Test!Q138</f>
        <v/>
      </c>
      <c r="AB33" s="129">
        <f>Test!R138</f>
        <v/>
      </c>
      <c r="AC33" s="129">
        <f>Test!S138</f>
        <v/>
      </c>
      <c r="AD33" s="129">
        <f>Test!T138</f>
        <v/>
      </c>
      <c r="AE33" s="129">
        <f>Test!U138</f>
        <v/>
      </c>
      <c r="AF33" s="129">
        <f>Test!V138</f>
        <v/>
      </c>
      <c r="AG33" s="129">
        <f>Test!W138</f>
        <v/>
      </c>
      <c r="AH33" s="129">
        <f>Test!X138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Test!Y138</f>
        <v/>
      </c>
      <c r="AK33" s="129">
        <f>Test!Z138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Anchor!L139</f>
        <v/>
      </c>
      <c r="D34" s="129">
        <f>Anchor!M139</f>
        <v/>
      </c>
      <c r="E34" s="129">
        <f>Anchor!N139</f>
        <v/>
      </c>
      <c r="F34" s="129">
        <f>Anchor!O139</f>
        <v/>
      </c>
      <c r="G34" s="130">
        <f>('Summary (Full)'!$B$34*D34+'Summary (Full)'!$B$35*E34+'Summary (Full)'!$B$36*F34)/'Summary (Full)'!$B$37</f>
        <v/>
      </c>
      <c r="H34" s="129">
        <f>Anchor!P139</f>
        <v/>
      </c>
      <c r="I34" s="129">
        <f>Anchor!Q139</f>
        <v/>
      </c>
      <c r="J34" s="129">
        <f>Anchor!R139</f>
        <v/>
      </c>
      <c r="K34" s="129">
        <f>Anchor!S139</f>
        <v/>
      </c>
      <c r="L34" s="129">
        <f>Anchor!T139</f>
        <v/>
      </c>
      <c r="M34" s="129">
        <f>Anchor!U139</f>
        <v/>
      </c>
      <c r="N34" s="129">
        <f>Anchor!V139</f>
        <v/>
      </c>
      <c r="O34" s="129">
        <f>Anchor!W139</f>
        <v/>
      </c>
      <c r="P34" s="129">
        <f>Anchor!X139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Anchor!Y139</f>
        <v/>
      </c>
      <c r="S34" s="129">
        <f>Anchor!Z139</f>
        <v/>
      </c>
      <c r="T34" s="132" t="n"/>
      <c r="U34" s="129">
        <f>Test!L139</f>
        <v/>
      </c>
      <c r="V34" s="129">
        <f>Test!M139</f>
        <v/>
      </c>
      <c r="W34" s="129">
        <f>Test!N139</f>
        <v/>
      </c>
      <c r="X34" s="129">
        <f>Test!O139</f>
        <v/>
      </c>
      <c r="Y34" s="129">
        <f>('Summary (Full)'!$B$34*V34+'Summary (Full)'!$B$35*W34+'Summary (Full)'!$B$36*X34)/'Summary (Full)'!$B$37</f>
        <v/>
      </c>
      <c r="Z34" s="129">
        <f>Test!P139</f>
        <v/>
      </c>
      <c r="AA34" s="129">
        <f>Test!Q139</f>
        <v/>
      </c>
      <c r="AB34" s="129">
        <f>Test!R139</f>
        <v/>
      </c>
      <c r="AC34" s="129">
        <f>Test!S139</f>
        <v/>
      </c>
      <c r="AD34" s="129">
        <f>Test!T139</f>
        <v/>
      </c>
      <c r="AE34" s="129">
        <f>Test!U139</f>
        <v/>
      </c>
      <c r="AF34" s="129">
        <f>Test!V139</f>
        <v/>
      </c>
      <c r="AG34" s="129">
        <f>Test!W139</f>
        <v/>
      </c>
      <c r="AH34" s="129">
        <f>Test!X139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Test!Y139</f>
        <v/>
      </c>
      <c r="AK34" s="129">
        <f>Test!Z139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Anchor!L140</f>
        <v/>
      </c>
      <c r="D35" s="129">
        <f>Anchor!M140</f>
        <v/>
      </c>
      <c r="E35" s="129">
        <f>Anchor!N140</f>
        <v/>
      </c>
      <c r="F35" s="129">
        <f>Anchor!O140</f>
        <v/>
      </c>
      <c r="G35" s="130">
        <f>('Summary (Full)'!$B$34*D35+'Summary (Full)'!$B$35*E35+'Summary (Full)'!$B$36*F35)/'Summary (Full)'!$B$37</f>
        <v/>
      </c>
      <c r="H35" s="129">
        <f>Anchor!P140</f>
        <v/>
      </c>
      <c r="I35" s="129">
        <f>Anchor!Q140</f>
        <v/>
      </c>
      <c r="J35" s="129">
        <f>Anchor!R140</f>
        <v/>
      </c>
      <c r="K35" s="129">
        <f>Anchor!S140</f>
        <v/>
      </c>
      <c r="L35" s="129">
        <f>Anchor!T140</f>
        <v/>
      </c>
      <c r="M35" s="129">
        <f>Anchor!U140</f>
        <v/>
      </c>
      <c r="N35" s="129">
        <f>Anchor!V140</f>
        <v/>
      </c>
      <c r="O35" s="129">
        <f>Anchor!W140</f>
        <v/>
      </c>
      <c r="P35" s="129">
        <f>Anchor!X140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Anchor!Y140</f>
        <v/>
      </c>
      <c r="S35" s="129">
        <f>Anchor!Z140</f>
        <v/>
      </c>
      <c r="T35" s="132" t="n"/>
      <c r="U35" s="129">
        <f>Test!L140</f>
        <v/>
      </c>
      <c r="V35" s="129">
        <f>Test!M140</f>
        <v/>
      </c>
      <c r="W35" s="129">
        <f>Test!N140</f>
        <v/>
      </c>
      <c r="X35" s="129">
        <f>Test!O140</f>
        <v/>
      </c>
      <c r="Y35" s="129">
        <f>('Summary (Full)'!$B$34*V35+'Summary (Full)'!$B$35*W35+'Summary (Full)'!$B$36*X35)/'Summary (Full)'!$B$37</f>
        <v/>
      </c>
      <c r="Z35" s="129">
        <f>Test!P140</f>
        <v/>
      </c>
      <c r="AA35" s="129">
        <f>Test!Q140</f>
        <v/>
      </c>
      <c r="AB35" s="129">
        <f>Test!R140</f>
        <v/>
      </c>
      <c r="AC35" s="129">
        <f>Test!S140</f>
        <v/>
      </c>
      <c r="AD35" s="129">
        <f>Test!T140</f>
        <v/>
      </c>
      <c r="AE35" s="129">
        <f>Test!U140</f>
        <v/>
      </c>
      <c r="AF35" s="129">
        <f>Test!V140</f>
        <v/>
      </c>
      <c r="AG35" s="129">
        <f>Test!W140</f>
        <v/>
      </c>
      <c r="AH35" s="129">
        <f>Test!X140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Test!Y140</f>
        <v/>
      </c>
      <c r="AK35" s="129">
        <f>Test!Z140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Anchor!L141</f>
        <v/>
      </c>
      <c r="D36" s="129">
        <f>Anchor!M141</f>
        <v/>
      </c>
      <c r="E36" s="129">
        <f>Anchor!N141</f>
        <v/>
      </c>
      <c r="F36" s="129">
        <f>Anchor!O141</f>
        <v/>
      </c>
      <c r="G36" s="130">
        <f>('Summary (Full)'!$B$34*D36+'Summary (Full)'!$B$35*E36+'Summary (Full)'!$B$36*F36)/'Summary (Full)'!$B$37</f>
        <v/>
      </c>
      <c r="H36" s="129">
        <f>Anchor!P141</f>
        <v/>
      </c>
      <c r="I36" s="129">
        <f>Anchor!Q141</f>
        <v/>
      </c>
      <c r="J36" s="129">
        <f>Anchor!R141</f>
        <v/>
      </c>
      <c r="K36" s="129">
        <f>Anchor!S141</f>
        <v/>
      </c>
      <c r="L36" s="129">
        <f>Anchor!T141</f>
        <v/>
      </c>
      <c r="M36" s="129">
        <f>Anchor!U141</f>
        <v/>
      </c>
      <c r="N36" s="129">
        <f>Anchor!V141</f>
        <v/>
      </c>
      <c r="O36" s="129">
        <f>Anchor!W141</f>
        <v/>
      </c>
      <c r="P36" s="129">
        <f>Anchor!X141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Anchor!Y141</f>
        <v/>
      </c>
      <c r="S36" s="129">
        <f>Anchor!Z141</f>
        <v/>
      </c>
      <c r="T36" s="132" t="n"/>
      <c r="U36" s="129">
        <f>Test!L141</f>
        <v/>
      </c>
      <c r="V36" s="129">
        <f>Test!M141</f>
        <v/>
      </c>
      <c r="W36" s="129">
        <f>Test!N141</f>
        <v/>
      </c>
      <c r="X36" s="129">
        <f>Test!O141</f>
        <v/>
      </c>
      <c r="Y36" s="129">
        <f>('Summary (Full)'!$B$34*V36+'Summary (Full)'!$B$35*W36+'Summary (Full)'!$B$36*X36)/'Summary (Full)'!$B$37</f>
        <v/>
      </c>
      <c r="Z36" s="129">
        <f>Test!P141</f>
        <v/>
      </c>
      <c r="AA36" s="129">
        <f>Test!Q141</f>
        <v/>
      </c>
      <c r="AB36" s="129">
        <f>Test!R141</f>
        <v/>
      </c>
      <c r="AC36" s="129">
        <f>Test!S141</f>
        <v/>
      </c>
      <c r="AD36" s="129">
        <f>Test!T141</f>
        <v/>
      </c>
      <c r="AE36" s="129">
        <f>Test!U141</f>
        <v/>
      </c>
      <c r="AF36" s="129">
        <f>Test!V141</f>
        <v/>
      </c>
      <c r="AG36" s="129">
        <f>Test!W141</f>
        <v/>
      </c>
      <c r="AH36" s="129">
        <f>Test!X141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Test!Y141</f>
        <v/>
      </c>
      <c r="AK36" s="129">
        <f>Test!Z141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Anchor!L142</f>
        <v/>
      </c>
      <c r="D37" s="129">
        <f>Anchor!M142</f>
        <v/>
      </c>
      <c r="E37" s="129">
        <f>Anchor!N142</f>
        <v/>
      </c>
      <c r="F37" s="129">
        <f>Anchor!O142</f>
        <v/>
      </c>
      <c r="G37" s="130">
        <f>('Summary (Full)'!$B$34*D37+'Summary (Full)'!$B$35*E37+'Summary (Full)'!$B$36*F37)/'Summary (Full)'!$B$37</f>
        <v/>
      </c>
      <c r="H37" s="129">
        <f>Anchor!P142</f>
        <v/>
      </c>
      <c r="I37" s="129">
        <f>Anchor!Q142</f>
        <v/>
      </c>
      <c r="J37" s="129">
        <f>Anchor!R142</f>
        <v/>
      </c>
      <c r="K37" s="129">
        <f>Anchor!S142</f>
        <v/>
      </c>
      <c r="L37" s="129">
        <f>Anchor!T142</f>
        <v/>
      </c>
      <c r="M37" s="129">
        <f>Anchor!U142</f>
        <v/>
      </c>
      <c r="N37" s="129">
        <f>Anchor!V142</f>
        <v/>
      </c>
      <c r="O37" s="129">
        <f>Anchor!W142</f>
        <v/>
      </c>
      <c r="P37" s="129">
        <f>Anchor!X142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Anchor!Y142</f>
        <v/>
      </c>
      <c r="S37" s="129">
        <f>Anchor!Z142</f>
        <v/>
      </c>
      <c r="T37" s="132" t="n"/>
      <c r="U37" s="129">
        <f>Test!L142</f>
        <v/>
      </c>
      <c r="V37" s="129">
        <f>Test!M142</f>
        <v/>
      </c>
      <c r="W37" s="129">
        <f>Test!N142</f>
        <v/>
      </c>
      <c r="X37" s="129">
        <f>Test!O142</f>
        <v/>
      </c>
      <c r="Y37" s="129">
        <f>('Summary (Full)'!$B$34*V37+'Summary (Full)'!$B$35*W37+'Summary (Full)'!$B$36*X37)/'Summary (Full)'!$B$37</f>
        <v/>
      </c>
      <c r="Z37" s="129">
        <f>Test!P142</f>
        <v/>
      </c>
      <c r="AA37" s="129">
        <f>Test!Q142</f>
        <v/>
      </c>
      <c r="AB37" s="129">
        <f>Test!R142</f>
        <v/>
      </c>
      <c r="AC37" s="129">
        <f>Test!S142</f>
        <v/>
      </c>
      <c r="AD37" s="129">
        <f>Test!T142</f>
        <v/>
      </c>
      <c r="AE37" s="129">
        <f>Test!U142</f>
        <v/>
      </c>
      <c r="AF37" s="129">
        <f>Test!V142</f>
        <v/>
      </c>
      <c r="AG37" s="129">
        <f>Test!W142</f>
        <v/>
      </c>
      <c r="AH37" s="129">
        <f>Test!X142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Test!Y142</f>
        <v/>
      </c>
      <c r="AK37" s="129">
        <f>Test!Z142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Anchor!L143</f>
        <v/>
      </c>
      <c r="D38" s="129">
        <f>Anchor!M143</f>
        <v/>
      </c>
      <c r="E38" s="129">
        <f>Anchor!N143</f>
        <v/>
      </c>
      <c r="F38" s="129">
        <f>Anchor!O143</f>
        <v/>
      </c>
      <c r="G38" s="130">
        <f>('Summary (Full)'!$B$34*D38+'Summary (Full)'!$B$35*E38+'Summary (Full)'!$B$36*F38)/'Summary (Full)'!$B$37</f>
        <v/>
      </c>
      <c r="H38" s="129">
        <f>Anchor!P143</f>
        <v/>
      </c>
      <c r="I38" s="129">
        <f>Anchor!Q143</f>
        <v/>
      </c>
      <c r="J38" s="129">
        <f>Anchor!R143</f>
        <v/>
      </c>
      <c r="K38" s="129">
        <f>Anchor!S143</f>
        <v/>
      </c>
      <c r="L38" s="129">
        <f>Anchor!T143</f>
        <v/>
      </c>
      <c r="M38" s="129">
        <f>Anchor!U143</f>
        <v/>
      </c>
      <c r="N38" s="129">
        <f>Anchor!V143</f>
        <v/>
      </c>
      <c r="O38" s="129">
        <f>Anchor!W143</f>
        <v/>
      </c>
      <c r="P38" s="129">
        <f>Anchor!X143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Anchor!Y143</f>
        <v/>
      </c>
      <c r="S38" s="129">
        <f>Anchor!Z143</f>
        <v/>
      </c>
      <c r="T38" s="132" t="n"/>
      <c r="U38" s="129">
        <f>Test!L143</f>
        <v/>
      </c>
      <c r="V38" s="129">
        <f>Test!M143</f>
        <v/>
      </c>
      <c r="W38" s="129">
        <f>Test!N143</f>
        <v/>
      </c>
      <c r="X38" s="129">
        <f>Test!O143</f>
        <v/>
      </c>
      <c r="Y38" s="129">
        <f>('Summary (Full)'!$B$34*V38+'Summary (Full)'!$B$35*W38+'Summary (Full)'!$B$36*X38)/'Summary (Full)'!$B$37</f>
        <v/>
      </c>
      <c r="Z38" s="129">
        <f>Test!P143</f>
        <v/>
      </c>
      <c r="AA38" s="129">
        <f>Test!Q143</f>
        <v/>
      </c>
      <c r="AB38" s="129">
        <f>Test!R143</f>
        <v/>
      </c>
      <c r="AC38" s="129">
        <f>Test!S143</f>
        <v/>
      </c>
      <c r="AD38" s="129">
        <f>Test!T143</f>
        <v/>
      </c>
      <c r="AE38" s="129">
        <f>Test!U143</f>
        <v/>
      </c>
      <c r="AF38" s="129">
        <f>Test!V143</f>
        <v/>
      </c>
      <c r="AG38" s="129">
        <f>Test!W143</f>
        <v/>
      </c>
      <c r="AH38" s="129">
        <f>Test!X143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Test!Y143</f>
        <v/>
      </c>
      <c r="AK38" s="129">
        <f>Test!Z143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Anchor!L144</f>
        <v/>
      </c>
      <c r="D39" s="129">
        <f>Anchor!M144</f>
        <v/>
      </c>
      <c r="E39" s="129">
        <f>Anchor!N144</f>
        <v/>
      </c>
      <c r="F39" s="129">
        <f>Anchor!O144</f>
        <v/>
      </c>
      <c r="G39" s="130">
        <f>('Summary (Full)'!$B$34*D39+'Summary (Full)'!$B$35*E39+'Summary (Full)'!$B$36*F39)/'Summary (Full)'!$B$37</f>
        <v/>
      </c>
      <c r="H39" s="129">
        <f>Anchor!P144</f>
        <v/>
      </c>
      <c r="I39" s="129">
        <f>Anchor!Q144</f>
        <v/>
      </c>
      <c r="J39" s="129">
        <f>Anchor!R144</f>
        <v/>
      </c>
      <c r="K39" s="129">
        <f>Anchor!S144</f>
        <v/>
      </c>
      <c r="L39" s="129">
        <f>Anchor!T144</f>
        <v/>
      </c>
      <c r="M39" s="129">
        <f>Anchor!U144</f>
        <v/>
      </c>
      <c r="N39" s="129">
        <f>Anchor!V144</f>
        <v/>
      </c>
      <c r="O39" s="129">
        <f>Anchor!W144</f>
        <v/>
      </c>
      <c r="P39" s="129">
        <f>Anchor!X144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Anchor!Y144</f>
        <v/>
      </c>
      <c r="S39" s="129">
        <f>Anchor!Z144</f>
        <v/>
      </c>
      <c r="T39" s="132" t="n"/>
      <c r="U39" s="129">
        <f>Test!L144</f>
        <v/>
      </c>
      <c r="V39" s="129">
        <f>Test!M144</f>
        <v/>
      </c>
      <c r="W39" s="129">
        <f>Test!N144</f>
        <v/>
      </c>
      <c r="X39" s="129">
        <f>Test!O144</f>
        <v/>
      </c>
      <c r="Y39" s="129">
        <f>('Summary (Full)'!$B$34*V39+'Summary (Full)'!$B$35*W39+'Summary (Full)'!$B$36*X39)/'Summary (Full)'!$B$37</f>
        <v/>
      </c>
      <c r="Z39" s="129">
        <f>Test!P144</f>
        <v/>
      </c>
      <c r="AA39" s="129">
        <f>Test!Q144</f>
        <v/>
      </c>
      <c r="AB39" s="129">
        <f>Test!R144</f>
        <v/>
      </c>
      <c r="AC39" s="129">
        <f>Test!S144</f>
        <v/>
      </c>
      <c r="AD39" s="129">
        <f>Test!T144</f>
        <v/>
      </c>
      <c r="AE39" s="129">
        <f>Test!U144</f>
        <v/>
      </c>
      <c r="AF39" s="129">
        <f>Test!V144</f>
        <v/>
      </c>
      <c r="AG39" s="129">
        <f>Test!W144</f>
        <v/>
      </c>
      <c r="AH39" s="129">
        <f>Test!X144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Test!Y144</f>
        <v/>
      </c>
      <c r="AK39" s="129">
        <f>Test!Z144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Anchor!L145</f>
        <v/>
      </c>
      <c r="D40" s="129">
        <f>Anchor!M145</f>
        <v/>
      </c>
      <c r="E40" s="129">
        <f>Anchor!N145</f>
        <v/>
      </c>
      <c r="F40" s="129">
        <f>Anchor!O145</f>
        <v/>
      </c>
      <c r="G40" s="130">
        <f>('Summary (Full)'!$B$34*D40+'Summary (Full)'!$B$35*E40+'Summary (Full)'!$B$36*F40)/'Summary (Full)'!$B$37</f>
        <v/>
      </c>
      <c r="H40" s="129">
        <f>Anchor!P145</f>
        <v/>
      </c>
      <c r="I40" s="129">
        <f>Anchor!Q145</f>
        <v/>
      </c>
      <c r="J40" s="129">
        <f>Anchor!R145</f>
        <v/>
      </c>
      <c r="K40" s="129">
        <f>Anchor!S145</f>
        <v/>
      </c>
      <c r="L40" s="129">
        <f>Anchor!T145</f>
        <v/>
      </c>
      <c r="M40" s="129">
        <f>Anchor!U145</f>
        <v/>
      </c>
      <c r="N40" s="129">
        <f>Anchor!V145</f>
        <v/>
      </c>
      <c r="O40" s="129">
        <f>Anchor!W145</f>
        <v/>
      </c>
      <c r="P40" s="129">
        <f>Anchor!X145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Anchor!Y145</f>
        <v/>
      </c>
      <c r="S40" s="129">
        <f>Anchor!Z145</f>
        <v/>
      </c>
      <c r="T40" s="132" t="n"/>
      <c r="U40" s="129">
        <f>Test!L145</f>
        <v/>
      </c>
      <c r="V40" s="129">
        <f>Test!M145</f>
        <v/>
      </c>
      <c r="W40" s="129">
        <f>Test!N145</f>
        <v/>
      </c>
      <c r="X40" s="129">
        <f>Test!O145</f>
        <v/>
      </c>
      <c r="Y40" s="129">
        <f>('Summary (Full)'!$B$34*V40+'Summary (Full)'!$B$35*W40+'Summary (Full)'!$B$36*X40)/'Summary (Full)'!$B$37</f>
        <v/>
      </c>
      <c r="Z40" s="129">
        <f>Test!P145</f>
        <v/>
      </c>
      <c r="AA40" s="129">
        <f>Test!Q145</f>
        <v/>
      </c>
      <c r="AB40" s="129">
        <f>Test!R145</f>
        <v/>
      </c>
      <c r="AC40" s="129">
        <f>Test!S145</f>
        <v/>
      </c>
      <c r="AD40" s="129">
        <f>Test!T145</f>
        <v/>
      </c>
      <c r="AE40" s="129">
        <f>Test!U145</f>
        <v/>
      </c>
      <c r="AF40" s="129">
        <f>Test!V145</f>
        <v/>
      </c>
      <c r="AG40" s="129">
        <f>Test!W145</f>
        <v/>
      </c>
      <c r="AH40" s="129">
        <f>Test!X145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Test!Y145</f>
        <v/>
      </c>
      <c r="AK40" s="129">
        <f>Test!Z145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>
  <sheetPr codeName="Sheet26">
    <outlinePr summaryBelow="1" summaryRight="1"/>
    <pageSetUpPr/>
  </sheetPr>
  <dimension ref="A1:FS180"/>
  <sheetViews>
    <sheetView topLeftCell="BR1" zoomScale="110" zoomScaleNormal="110" workbookViewId="0">
      <selection activeCell="CL9" sqref="CL9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156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Anchor!L146</f>
        <v/>
      </c>
      <c r="D5" s="129">
        <f>Anchor!M146</f>
        <v/>
      </c>
      <c r="E5" s="129">
        <f>Anchor!N146</f>
        <v/>
      </c>
      <c r="F5" s="129">
        <f>Anchor!O146</f>
        <v/>
      </c>
      <c r="G5" s="130">
        <f>('Summary (Full)'!$B$34*D5+'Summary (Full)'!$B$35*E5+'Summary (Full)'!$B$36*F5)/'Summary (Full)'!$B$37</f>
        <v/>
      </c>
      <c r="H5" s="129">
        <f>Anchor!P146</f>
        <v/>
      </c>
      <c r="I5" s="129">
        <f>Anchor!Q146</f>
        <v/>
      </c>
      <c r="J5" s="129">
        <f>Anchor!R146</f>
        <v/>
      </c>
      <c r="K5" s="129">
        <f>Anchor!S146</f>
        <v/>
      </c>
      <c r="L5" s="129">
        <f>Anchor!T146</f>
        <v/>
      </c>
      <c r="M5" s="129">
        <f>Anchor!U146</f>
        <v/>
      </c>
      <c r="N5" s="129">
        <f>Anchor!V146</f>
        <v/>
      </c>
      <c r="O5" s="129">
        <f>Anchor!W146</f>
        <v/>
      </c>
      <c r="P5" s="129">
        <f>Anchor!X146</f>
        <v/>
      </c>
      <c r="Q5" s="131">
        <f>10*LOG10(1/(('Summary (Full)'!$B$41/10^(N5/10)+'Summary (Full)'!$B$42/10^(O5/10)+'Summary (Full)'!$B$43/10^(P5/10))/'Summary (Full)'!$B$44))</f>
        <v/>
      </c>
      <c r="R5" s="129">
        <f>Anchor!Y146</f>
        <v/>
      </c>
      <c r="S5" s="129">
        <f>Anchor!Z146</f>
        <v/>
      </c>
      <c r="T5" s="129" t="n"/>
      <c r="U5" s="129">
        <f>Test!L146</f>
        <v/>
      </c>
      <c r="V5" s="129">
        <f>Test!M146</f>
        <v/>
      </c>
      <c r="W5" s="129">
        <f>Test!N146</f>
        <v/>
      </c>
      <c r="X5" s="129">
        <f>Test!O146</f>
        <v/>
      </c>
      <c r="Y5" s="129">
        <f>('Summary (Full)'!$B$34*V5+'Summary (Full)'!$B$35*W5+'Summary (Full)'!$B$36*X5)/'Summary (Full)'!$B$37</f>
        <v/>
      </c>
      <c r="Z5" s="129">
        <f>Test!P146</f>
        <v/>
      </c>
      <c r="AA5" s="129">
        <f>Test!Q146</f>
        <v/>
      </c>
      <c r="AB5" s="129">
        <f>Test!R146</f>
        <v/>
      </c>
      <c r="AC5" s="129">
        <f>Test!S146</f>
        <v/>
      </c>
      <c r="AD5" s="129">
        <f>Test!T146</f>
        <v/>
      </c>
      <c r="AE5" s="129">
        <f>Test!U146</f>
        <v/>
      </c>
      <c r="AF5" s="129">
        <f>Test!V146</f>
        <v/>
      </c>
      <c r="AG5" s="129">
        <f>Test!W146</f>
        <v/>
      </c>
      <c r="AH5" s="129">
        <f>Test!X146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Test!Y146</f>
        <v/>
      </c>
      <c r="AK5" s="129">
        <f>Test!Z146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Anchor!L147</f>
        <v/>
      </c>
      <c r="D6" s="129">
        <f>Anchor!M147</f>
        <v/>
      </c>
      <c r="E6" s="129">
        <f>Anchor!N147</f>
        <v/>
      </c>
      <c r="F6" s="129">
        <f>Anchor!O147</f>
        <v/>
      </c>
      <c r="G6" s="130">
        <f>('Summary (Full)'!$B$34*D6+'Summary (Full)'!$B$35*E6+'Summary (Full)'!$B$36*F6)/'Summary (Full)'!$B$37</f>
        <v/>
      </c>
      <c r="H6" s="129">
        <f>Anchor!P147</f>
        <v/>
      </c>
      <c r="I6" s="129">
        <f>Anchor!Q147</f>
        <v/>
      </c>
      <c r="J6" s="129">
        <f>Anchor!R147</f>
        <v/>
      </c>
      <c r="K6" s="129">
        <f>Anchor!S147</f>
        <v/>
      </c>
      <c r="L6" s="129">
        <f>Anchor!T147</f>
        <v/>
      </c>
      <c r="M6" s="129">
        <f>Anchor!U147</f>
        <v/>
      </c>
      <c r="N6" s="129">
        <f>Anchor!V147</f>
        <v/>
      </c>
      <c r="O6" s="129">
        <f>Anchor!W147</f>
        <v/>
      </c>
      <c r="P6" s="129">
        <f>Anchor!X147</f>
        <v/>
      </c>
      <c r="Q6" s="131">
        <f>10*LOG10(1/(('Summary (Full)'!$B$41/10^(N6/10)+'Summary (Full)'!$B$42/10^(O6/10)+'Summary (Full)'!$B$43/10^(P6/10))/'Summary (Full)'!$B$44))</f>
        <v/>
      </c>
      <c r="R6" s="129">
        <f>Anchor!Y147</f>
        <v/>
      </c>
      <c r="S6" s="129">
        <f>Anchor!Z147</f>
        <v/>
      </c>
      <c r="T6" s="129" t="n"/>
      <c r="U6" s="129">
        <f>Test!L147</f>
        <v/>
      </c>
      <c r="V6" s="129">
        <f>Test!M147</f>
        <v/>
      </c>
      <c r="W6" s="129">
        <f>Test!N147</f>
        <v/>
      </c>
      <c r="X6" s="129">
        <f>Test!O147</f>
        <v/>
      </c>
      <c r="Y6" s="129">
        <f>('Summary (Full)'!$B$34*V6+'Summary (Full)'!$B$35*W6+'Summary (Full)'!$B$36*X6)/'Summary (Full)'!$B$37</f>
        <v/>
      </c>
      <c r="Z6" s="129">
        <f>Test!P147</f>
        <v/>
      </c>
      <c r="AA6" s="129">
        <f>Test!Q147</f>
        <v/>
      </c>
      <c r="AB6" s="129">
        <f>Test!R147</f>
        <v/>
      </c>
      <c r="AC6" s="129">
        <f>Test!S147</f>
        <v/>
      </c>
      <c r="AD6" s="129">
        <f>Test!T147</f>
        <v/>
      </c>
      <c r="AE6" s="129">
        <f>Test!U147</f>
        <v/>
      </c>
      <c r="AF6" s="129">
        <f>Test!V147</f>
        <v/>
      </c>
      <c r="AG6" s="129">
        <f>Test!W147</f>
        <v/>
      </c>
      <c r="AH6" s="129">
        <f>Test!X147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Test!Y147</f>
        <v/>
      </c>
      <c r="AK6" s="129">
        <f>Test!Z147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Anchor!L148</f>
        <v/>
      </c>
      <c r="D7" s="129">
        <f>Anchor!M148</f>
        <v/>
      </c>
      <c r="E7" s="129">
        <f>Anchor!N148</f>
        <v/>
      </c>
      <c r="F7" s="129">
        <f>Anchor!O148</f>
        <v/>
      </c>
      <c r="G7" s="130">
        <f>('Summary (Full)'!$B$34*D7+'Summary (Full)'!$B$35*E7+'Summary (Full)'!$B$36*F7)/'Summary (Full)'!$B$37</f>
        <v/>
      </c>
      <c r="H7" s="129">
        <f>Anchor!P148</f>
        <v/>
      </c>
      <c r="I7" s="129">
        <f>Anchor!Q148</f>
        <v/>
      </c>
      <c r="J7" s="129">
        <f>Anchor!R148</f>
        <v/>
      </c>
      <c r="K7" s="129">
        <f>Anchor!S148</f>
        <v/>
      </c>
      <c r="L7" s="129">
        <f>Anchor!T148</f>
        <v/>
      </c>
      <c r="M7" s="129">
        <f>Anchor!U148</f>
        <v/>
      </c>
      <c r="N7" s="129">
        <f>Anchor!V148</f>
        <v/>
      </c>
      <c r="O7" s="129">
        <f>Anchor!W148</f>
        <v/>
      </c>
      <c r="P7" s="129">
        <f>Anchor!X148</f>
        <v/>
      </c>
      <c r="Q7" s="131">
        <f>10*LOG10(1/(('Summary (Full)'!$B$41/10^(N7/10)+'Summary (Full)'!$B$42/10^(O7/10)+'Summary (Full)'!$B$43/10^(P7/10))/'Summary (Full)'!$B$44))</f>
        <v/>
      </c>
      <c r="R7" s="129">
        <f>Anchor!Y148</f>
        <v/>
      </c>
      <c r="S7" s="129">
        <f>Anchor!Z148</f>
        <v/>
      </c>
      <c r="T7" s="129" t="n"/>
      <c r="U7" s="129">
        <f>Test!L148</f>
        <v/>
      </c>
      <c r="V7" s="129">
        <f>Test!M148</f>
        <v/>
      </c>
      <c r="W7" s="129">
        <f>Test!N148</f>
        <v/>
      </c>
      <c r="X7" s="129">
        <f>Test!O148</f>
        <v/>
      </c>
      <c r="Y7" s="129">
        <f>('Summary (Full)'!$B$34*V7+'Summary (Full)'!$B$35*W7+'Summary (Full)'!$B$36*X7)/'Summary (Full)'!$B$37</f>
        <v/>
      </c>
      <c r="Z7" s="129">
        <f>Test!P148</f>
        <v/>
      </c>
      <c r="AA7" s="129">
        <f>Test!Q148</f>
        <v/>
      </c>
      <c r="AB7" s="129">
        <f>Test!R148</f>
        <v/>
      </c>
      <c r="AC7" s="129">
        <f>Test!S148</f>
        <v/>
      </c>
      <c r="AD7" s="129">
        <f>Test!T148</f>
        <v/>
      </c>
      <c r="AE7" s="129">
        <f>Test!U148</f>
        <v/>
      </c>
      <c r="AF7" s="129">
        <f>Test!V148</f>
        <v/>
      </c>
      <c r="AG7" s="129">
        <f>Test!W148</f>
        <v/>
      </c>
      <c r="AH7" s="129">
        <f>Test!X148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Test!Y148</f>
        <v/>
      </c>
      <c r="AK7" s="129">
        <f>Test!Z148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Anchor!L149</f>
        <v/>
      </c>
      <c r="D8" s="129">
        <f>Anchor!M149</f>
        <v/>
      </c>
      <c r="E8" s="129">
        <f>Anchor!N149</f>
        <v/>
      </c>
      <c r="F8" s="129">
        <f>Anchor!O149</f>
        <v/>
      </c>
      <c r="G8" s="130">
        <f>('Summary (Full)'!$B$34*D8+'Summary (Full)'!$B$35*E8+'Summary (Full)'!$B$36*F8)/'Summary (Full)'!$B$37</f>
        <v/>
      </c>
      <c r="H8" s="129">
        <f>Anchor!P149</f>
        <v/>
      </c>
      <c r="I8" s="129">
        <f>Anchor!Q149</f>
        <v/>
      </c>
      <c r="J8" s="129">
        <f>Anchor!R149</f>
        <v/>
      </c>
      <c r="K8" s="129">
        <f>Anchor!S149</f>
        <v/>
      </c>
      <c r="L8" s="129">
        <f>Anchor!T149</f>
        <v/>
      </c>
      <c r="M8" s="129">
        <f>Anchor!U149</f>
        <v/>
      </c>
      <c r="N8" s="129">
        <f>Anchor!V149</f>
        <v/>
      </c>
      <c r="O8" s="129">
        <f>Anchor!W149</f>
        <v/>
      </c>
      <c r="P8" s="129">
        <f>Anchor!X149</f>
        <v/>
      </c>
      <c r="Q8" s="131">
        <f>10*LOG10(1/(('Summary (Full)'!$B$41/10^(N8/10)+'Summary (Full)'!$B$42/10^(O8/10)+'Summary (Full)'!$B$43/10^(P8/10))/'Summary (Full)'!$B$44))</f>
        <v/>
      </c>
      <c r="R8" s="129">
        <f>Anchor!Y149</f>
        <v/>
      </c>
      <c r="S8" s="129">
        <f>Anchor!Z149</f>
        <v/>
      </c>
      <c r="T8" s="129" t="n"/>
      <c r="U8" s="129">
        <f>Test!L149</f>
        <v/>
      </c>
      <c r="V8" s="129">
        <f>Test!M149</f>
        <v/>
      </c>
      <c r="W8" s="129">
        <f>Test!N149</f>
        <v/>
      </c>
      <c r="X8" s="129">
        <f>Test!O149</f>
        <v/>
      </c>
      <c r="Y8" s="129">
        <f>('Summary (Full)'!$B$34*V8+'Summary (Full)'!$B$35*W8+'Summary (Full)'!$B$36*X8)/'Summary (Full)'!$B$37</f>
        <v/>
      </c>
      <c r="Z8" s="129">
        <f>Test!P149</f>
        <v/>
      </c>
      <c r="AA8" s="129">
        <f>Test!Q149</f>
        <v/>
      </c>
      <c r="AB8" s="129">
        <f>Test!R149</f>
        <v/>
      </c>
      <c r="AC8" s="129">
        <f>Test!S149</f>
        <v/>
      </c>
      <c r="AD8" s="129">
        <f>Test!T149</f>
        <v/>
      </c>
      <c r="AE8" s="129">
        <f>Test!U149</f>
        <v/>
      </c>
      <c r="AF8" s="129">
        <f>Test!V149</f>
        <v/>
      </c>
      <c r="AG8" s="129">
        <f>Test!W149</f>
        <v/>
      </c>
      <c r="AH8" s="129">
        <f>Test!X149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Test!Y149</f>
        <v/>
      </c>
      <c r="AK8" s="129">
        <f>Test!Z149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Anchor!L150</f>
        <v/>
      </c>
      <c r="D9" s="129">
        <f>Anchor!M150</f>
        <v/>
      </c>
      <c r="E9" s="129">
        <f>Anchor!N150</f>
        <v/>
      </c>
      <c r="F9" s="129">
        <f>Anchor!O150</f>
        <v/>
      </c>
      <c r="G9" s="130">
        <f>('Summary (Full)'!$B$34*D9+'Summary (Full)'!$B$35*E9+'Summary (Full)'!$B$36*F9)/'Summary (Full)'!$B$37</f>
        <v/>
      </c>
      <c r="H9" s="129">
        <f>Anchor!P150</f>
        <v/>
      </c>
      <c r="I9" s="129">
        <f>Anchor!Q150</f>
        <v/>
      </c>
      <c r="J9" s="129">
        <f>Anchor!R150</f>
        <v/>
      </c>
      <c r="K9" s="129">
        <f>Anchor!S150</f>
        <v/>
      </c>
      <c r="L9" s="129">
        <f>Anchor!T150</f>
        <v/>
      </c>
      <c r="M9" s="129">
        <f>Anchor!U150</f>
        <v/>
      </c>
      <c r="N9" s="129">
        <f>Anchor!V150</f>
        <v/>
      </c>
      <c r="O9" s="129">
        <f>Anchor!W150</f>
        <v/>
      </c>
      <c r="P9" s="129">
        <f>Anchor!X150</f>
        <v/>
      </c>
      <c r="Q9" s="131">
        <f>10*LOG10(1/(('Summary (Full)'!$B$41/10^(N9/10)+'Summary (Full)'!$B$42/10^(O9/10)+'Summary (Full)'!$B$43/10^(P9/10))/'Summary (Full)'!$B$44))</f>
        <v/>
      </c>
      <c r="R9" s="129">
        <f>Anchor!Y150</f>
        <v/>
      </c>
      <c r="S9" s="129">
        <f>Anchor!Z150</f>
        <v/>
      </c>
      <c r="T9" s="129" t="n"/>
      <c r="U9" s="129">
        <f>Test!L150</f>
        <v/>
      </c>
      <c r="V9" s="129">
        <f>Test!M150</f>
        <v/>
      </c>
      <c r="W9" s="129">
        <f>Test!N150</f>
        <v/>
      </c>
      <c r="X9" s="129">
        <f>Test!O150</f>
        <v/>
      </c>
      <c r="Y9" s="129">
        <f>('Summary (Full)'!$B$34*V9+'Summary (Full)'!$B$35*W9+'Summary (Full)'!$B$36*X9)/'Summary (Full)'!$B$37</f>
        <v/>
      </c>
      <c r="Z9" s="129">
        <f>Test!P150</f>
        <v/>
      </c>
      <c r="AA9" s="129">
        <f>Test!Q150</f>
        <v/>
      </c>
      <c r="AB9" s="129">
        <f>Test!R150</f>
        <v/>
      </c>
      <c r="AC9" s="129">
        <f>Test!S150</f>
        <v/>
      </c>
      <c r="AD9" s="129">
        <f>Test!T150</f>
        <v/>
      </c>
      <c r="AE9" s="129">
        <f>Test!U150</f>
        <v/>
      </c>
      <c r="AF9" s="129">
        <f>Test!V150</f>
        <v/>
      </c>
      <c r="AG9" s="129">
        <f>Test!W150</f>
        <v/>
      </c>
      <c r="AH9" s="129">
        <f>Test!X150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Test!Y150</f>
        <v/>
      </c>
      <c r="AK9" s="129">
        <f>Test!Z150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Anchor!L151</f>
        <v/>
      </c>
      <c r="D10" s="129">
        <f>Anchor!M151</f>
        <v/>
      </c>
      <c r="E10" s="129">
        <f>Anchor!N151</f>
        <v/>
      </c>
      <c r="F10" s="129">
        <f>Anchor!O151</f>
        <v/>
      </c>
      <c r="G10" s="130">
        <f>('Summary (Full)'!$B$34*D10+'Summary (Full)'!$B$35*E10+'Summary (Full)'!$B$36*F10)/'Summary (Full)'!$B$37</f>
        <v/>
      </c>
      <c r="H10" s="129">
        <f>Anchor!P151</f>
        <v/>
      </c>
      <c r="I10" s="129">
        <f>Anchor!Q151</f>
        <v/>
      </c>
      <c r="J10" s="129">
        <f>Anchor!R151</f>
        <v/>
      </c>
      <c r="K10" s="129">
        <f>Anchor!S151</f>
        <v/>
      </c>
      <c r="L10" s="129">
        <f>Anchor!T151</f>
        <v/>
      </c>
      <c r="M10" s="129">
        <f>Anchor!U151</f>
        <v/>
      </c>
      <c r="N10" s="129">
        <f>Anchor!V151</f>
        <v/>
      </c>
      <c r="O10" s="129">
        <f>Anchor!W151</f>
        <v/>
      </c>
      <c r="P10" s="129">
        <f>Anchor!X151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Anchor!Y151</f>
        <v/>
      </c>
      <c r="S10" s="129">
        <f>Anchor!Z151</f>
        <v/>
      </c>
      <c r="T10" s="129" t="n"/>
      <c r="U10" s="129">
        <f>Test!L151</f>
        <v/>
      </c>
      <c r="V10" s="129">
        <f>Test!M151</f>
        <v/>
      </c>
      <c r="W10" s="129">
        <f>Test!N151</f>
        <v/>
      </c>
      <c r="X10" s="129">
        <f>Test!O151</f>
        <v/>
      </c>
      <c r="Y10" s="129">
        <f>('Summary (Full)'!$B$34*V10+'Summary (Full)'!$B$35*W10+'Summary (Full)'!$B$36*X10)/'Summary (Full)'!$B$37</f>
        <v/>
      </c>
      <c r="Z10" s="129">
        <f>Test!P151</f>
        <v/>
      </c>
      <c r="AA10" s="129">
        <f>Test!Q151</f>
        <v/>
      </c>
      <c r="AB10" s="129">
        <f>Test!R151</f>
        <v/>
      </c>
      <c r="AC10" s="129">
        <f>Test!S151</f>
        <v/>
      </c>
      <c r="AD10" s="129">
        <f>Test!T151</f>
        <v/>
      </c>
      <c r="AE10" s="129">
        <f>Test!U151</f>
        <v/>
      </c>
      <c r="AF10" s="129">
        <f>Test!V151</f>
        <v/>
      </c>
      <c r="AG10" s="129">
        <f>Test!W151</f>
        <v/>
      </c>
      <c r="AH10" s="129">
        <f>Test!X151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Test!Y151</f>
        <v/>
      </c>
      <c r="AK10" s="129">
        <f>Test!Z151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Anchor!L152</f>
        <v/>
      </c>
      <c r="D11" s="129">
        <f>Anchor!M152</f>
        <v/>
      </c>
      <c r="E11" s="129">
        <f>Anchor!N152</f>
        <v/>
      </c>
      <c r="F11" s="129">
        <f>Anchor!O152</f>
        <v/>
      </c>
      <c r="G11" s="130">
        <f>('Summary (Full)'!$B$34*D11+'Summary (Full)'!$B$35*E11+'Summary (Full)'!$B$36*F11)/'Summary (Full)'!$B$37</f>
        <v/>
      </c>
      <c r="H11" s="129">
        <f>Anchor!P152</f>
        <v/>
      </c>
      <c r="I11" s="129">
        <f>Anchor!Q152</f>
        <v/>
      </c>
      <c r="J11" s="129">
        <f>Anchor!R152</f>
        <v/>
      </c>
      <c r="K11" s="129">
        <f>Anchor!S152</f>
        <v/>
      </c>
      <c r="L11" s="129">
        <f>Anchor!T152</f>
        <v/>
      </c>
      <c r="M11" s="129">
        <f>Anchor!U152</f>
        <v/>
      </c>
      <c r="N11" s="129">
        <f>Anchor!V152</f>
        <v/>
      </c>
      <c r="O11" s="129">
        <f>Anchor!W152</f>
        <v/>
      </c>
      <c r="P11" s="129">
        <f>Anchor!X152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Anchor!Y152</f>
        <v/>
      </c>
      <c r="S11" s="129">
        <f>Anchor!Z152</f>
        <v/>
      </c>
      <c r="T11" s="129" t="n"/>
      <c r="U11" s="129">
        <f>Test!L152</f>
        <v/>
      </c>
      <c r="V11" s="129">
        <f>Test!M152</f>
        <v/>
      </c>
      <c r="W11" s="129">
        <f>Test!N152</f>
        <v/>
      </c>
      <c r="X11" s="129">
        <f>Test!O152</f>
        <v/>
      </c>
      <c r="Y11" s="129">
        <f>('Summary (Full)'!$B$34*V11+'Summary (Full)'!$B$35*W11+'Summary (Full)'!$B$36*X11)/'Summary (Full)'!$B$37</f>
        <v/>
      </c>
      <c r="Z11" s="129">
        <f>Test!P152</f>
        <v/>
      </c>
      <c r="AA11" s="129">
        <f>Test!Q152</f>
        <v/>
      </c>
      <c r="AB11" s="129">
        <f>Test!R152</f>
        <v/>
      </c>
      <c r="AC11" s="129">
        <f>Test!S152</f>
        <v/>
      </c>
      <c r="AD11" s="129">
        <f>Test!T152</f>
        <v/>
      </c>
      <c r="AE11" s="129">
        <f>Test!U152</f>
        <v/>
      </c>
      <c r="AF11" s="129">
        <f>Test!V152</f>
        <v/>
      </c>
      <c r="AG11" s="129">
        <f>Test!W152</f>
        <v/>
      </c>
      <c r="AH11" s="129">
        <f>Test!X152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Test!Y152</f>
        <v/>
      </c>
      <c r="AK11" s="129">
        <f>Test!Z152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Anchor!L153</f>
        <v/>
      </c>
      <c r="D12" s="129">
        <f>Anchor!M153</f>
        <v/>
      </c>
      <c r="E12" s="129">
        <f>Anchor!N153</f>
        <v/>
      </c>
      <c r="F12" s="129">
        <f>Anchor!O153</f>
        <v/>
      </c>
      <c r="G12" s="130">
        <f>('Summary (Full)'!$B$34*D12+'Summary (Full)'!$B$35*E12+'Summary (Full)'!$B$36*F12)/'Summary (Full)'!$B$37</f>
        <v/>
      </c>
      <c r="H12" s="129">
        <f>Anchor!P153</f>
        <v/>
      </c>
      <c r="I12" s="129">
        <f>Anchor!Q153</f>
        <v/>
      </c>
      <c r="J12" s="129">
        <f>Anchor!R153</f>
        <v/>
      </c>
      <c r="K12" s="129">
        <f>Anchor!S153</f>
        <v/>
      </c>
      <c r="L12" s="129">
        <f>Anchor!T153</f>
        <v/>
      </c>
      <c r="M12" s="129">
        <f>Anchor!U153</f>
        <v/>
      </c>
      <c r="N12" s="129">
        <f>Anchor!V153</f>
        <v/>
      </c>
      <c r="O12" s="129">
        <f>Anchor!W153</f>
        <v/>
      </c>
      <c r="P12" s="129">
        <f>Anchor!X153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Anchor!Y153</f>
        <v/>
      </c>
      <c r="S12" s="129">
        <f>Anchor!Z153</f>
        <v/>
      </c>
      <c r="T12" s="129" t="n"/>
      <c r="U12" s="129">
        <f>Test!L153</f>
        <v/>
      </c>
      <c r="V12" s="129">
        <f>Test!M153</f>
        <v/>
      </c>
      <c r="W12" s="129">
        <f>Test!N153</f>
        <v/>
      </c>
      <c r="X12" s="129">
        <f>Test!O153</f>
        <v/>
      </c>
      <c r="Y12" s="129">
        <f>('Summary (Full)'!$B$34*V12+'Summary (Full)'!$B$35*W12+'Summary (Full)'!$B$36*X12)/'Summary (Full)'!$B$37</f>
        <v/>
      </c>
      <c r="Z12" s="129">
        <f>Test!P153</f>
        <v/>
      </c>
      <c r="AA12" s="129">
        <f>Test!Q153</f>
        <v/>
      </c>
      <c r="AB12" s="129">
        <f>Test!R153</f>
        <v/>
      </c>
      <c r="AC12" s="129">
        <f>Test!S153</f>
        <v/>
      </c>
      <c r="AD12" s="129">
        <f>Test!T153</f>
        <v/>
      </c>
      <c r="AE12" s="129">
        <f>Test!U153</f>
        <v/>
      </c>
      <c r="AF12" s="129">
        <f>Test!V153</f>
        <v/>
      </c>
      <c r="AG12" s="129">
        <f>Test!W153</f>
        <v/>
      </c>
      <c r="AH12" s="129">
        <f>Test!X153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Test!Y153</f>
        <v/>
      </c>
      <c r="AK12" s="129">
        <f>Test!Z153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Anchor!L154</f>
        <v/>
      </c>
      <c r="D13" s="129">
        <f>Anchor!M154</f>
        <v/>
      </c>
      <c r="E13" s="129">
        <f>Anchor!N154</f>
        <v/>
      </c>
      <c r="F13" s="129">
        <f>Anchor!O154</f>
        <v/>
      </c>
      <c r="G13" s="130">
        <f>('Summary (Full)'!$B$34*D13+'Summary (Full)'!$B$35*E13+'Summary (Full)'!$B$36*F13)/'Summary (Full)'!$B$37</f>
        <v/>
      </c>
      <c r="H13" s="129">
        <f>Anchor!P154</f>
        <v/>
      </c>
      <c r="I13" s="129">
        <f>Anchor!Q154</f>
        <v/>
      </c>
      <c r="J13" s="129">
        <f>Anchor!R154</f>
        <v/>
      </c>
      <c r="K13" s="129">
        <f>Anchor!S154</f>
        <v/>
      </c>
      <c r="L13" s="129">
        <f>Anchor!T154</f>
        <v/>
      </c>
      <c r="M13" s="129">
        <f>Anchor!U154</f>
        <v/>
      </c>
      <c r="N13" s="129">
        <f>Anchor!V154</f>
        <v/>
      </c>
      <c r="O13" s="129">
        <f>Anchor!W154</f>
        <v/>
      </c>
      <c r="P13" s="129">
        <f>Anchor!X154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Anchor!Y154</f>
        <v/>
      </c>
      <c r="S13" s="129">
        <f>Anchor!Z154</f>
        <v/>
      </c>
      <c r="T13" s="129" t="n"/>
      <c r="U13" s="129">
        <f>Test!L154</f>
        <v/>
      </c>
      <c r="V13" s="129">
        <f>Test!M154</f>
        <v/>
      </c>
      <c r="W13" s="129">
        <f>Test!N154</f>
        <v/>
      </c>
      <c r="X13" s="129">
        <f>Test!O154</f>
        <v/>
      </c>
      <c r="Y13" s="129">
        <f>('Summary (Full)'!$B$34*V13+'Summary (Full)'!$B$35*W13+'Summary (Full)'!$B$36*X13)/'Summary (Full)'!$B$37</f>
        <v/>
      </c>
      <c r="Z13" s="129">
        <f>Test!P154</f>
        <v/>
      </c>
      <c r="AA13" s="129">
        <f>Test!Q154</f>
        <v/>
      </c>
      <c r="AB13" s="129">
        <f>Test!R154</f>
        <v/>
      </c>
      <c r="AC13" s="129">
        <f>Test!S154</f>
        <v/>
      </c>
      <c r="AD13" s="129">
        <f>Test!T154</f>
        <v/>
      </c>
      <c r="AE13" s="129">
        <f>Test!U154</f>
        <v/>
      </c>
      <c r="AF13" s="129">
        <f>Test!V154</f>
        <v/>
      </c>
      <c r="AG13" s="129">
        <f>Test!W154</f>
        <v/>
      </c>
      <c r="AH13" s="129">
        <f>Test!X154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Test!Y154</f>
        <v/>
      </c>
      <c r="AK13" s="129">
        <f>Test!Z154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Anchor!L155</f>
        <v/>
      </c>
      <c r="D14" s="129">
        <f>Anchor!M155</f>
        <v/>
      </c>
      <c r="E14" s="129">
        <f>Anchor!N155</f>
        <v/>
      </c>
      <c r="F14" s="129">
        <f>Anchor!O155</f>
        <v/>
      </c>
      <c r="G14" s="130">
        <f>('Summary (Full)'!$B$34*D14+'Summary (Full)'!$B$35*E14+'Summary (Full)'!$B$36*F14)/'Summary (Full)'!$B$37</f>
        <v/>
      </c>
      <c r="H14" s="129">
        <f>Anchor!P155</f>
        <v/>
      </c>
      <c r="I14" s="129">
        <f>Anchor!Q155</f>
        <v/>
      </c>
      <c r="J14" s="129">
        <f>Anchor!R155</f>
        <v/>
      </c>
      <c r="K14" s="129">
        <f>Anchor!S155</f>
        <v/>
      </c>
      <c r="L14" s="129">
        <f>Anchor!T155</f>
        <v/>
      </c>
      <c r="M14" s="129">
        <f>Anchor!U155</f>
        <v/>
      </c>
      <c r="N14" s="129">
        <f>Anchor!V155</f>
        <v/>
      </c>
      <c r="O14" s="129">
        <f>Anchor!W155</f>
        <v/>
      </c>
      <c r="P14" s="129">
        <f>Anchor!X155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Anchor!Y155</f>
        <v/>
      </c>
      <c r="S14" s="129">
        <f>Anchor!Z155</f>
        <v/>
      </c>
      <c r="T14" s="129" t="n"/>
      <c r="U14" s="129">
        <f>Test!L155</f>
        <v/>
      </c>
      <c r="V14" s="129">
        <f>Test!M155</f>
        <v/>
      </c>
      <c r="W14" s="129">
        <f>Test!N155</f>
        <v/>
      </c>
      <c r="X14" s="129">
        <f>Test!O155</f>
        <v/>
      </c>
      <c r="Y14" s="129">
        <f>('Summary (Full)'!$B$34*V14+'Summary (Full)'!$B$35*W14+'Summary (Full)'!$B$36*X14)/'Summary (Full)'!$B$37</f>
        <v/>
      </c>
      <c r="Z14" s="129">
        <f>Test!P155</f>
        <v/>
      </c>
      <c r="AA14" s="129">
        <f>Test!Q155</f>
        <v/>
      </c>
      <c r="AB14" s="129">
        <f>Test!R155</f>
        <v/>
      </c>
      <c r="AC14" s="129">
        <f>Test!S155</f>
        <v/>
      </c>
      <c r="AD14" s="129">
        <f>Test!T155</f>
        <v/>
      </c>
      <c r="AE14" s="129">
        <f>Test!U155</f>
        <v/>
      </c>
      <c r="AF14" s="129">
        <f>Test!V155</f>
        <v/>
      </c>
      <c r="AG14" s="129">
        <f>Test!W155</f>
        <v/>
      </c>
      <c r="AH14" s="129">
        <f>Test!X155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Test!Y155</f>
        <v/>
      </c>
      <c r="AK14" s="129">
        <f>Test!Z155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Anchor!L156</f>
        <v/>
      </c>
      <c r="D15" s="129">
        <f>Anchor!M156</f>
        <v/>
      </c>
      <c r="E15" s="129">
        <f>Anchor!N156</f>
        <v/>
      </c>
      <c r="F15" s="129">
        <f>Anchor!O156</f>
        <v/>
      </c>
      <c r="G15" s="130">
        <f>('Summary (Full)'!$B$34*D15+'Summary (Full)'!$B$35*E15+'Summary (Full)'!$B$36*F15)/'Summary (Full)'!$B$37</f>
        <v/>
      </c>
      <c r="H15" s="129">
        <f>Anchor!P156</f>
        <v/>
      </c>
      <c r="I15" s="129">
        <f>Anchor!Q156</f>
        <v/>
      </c>
      <c r="J15" s="129">
        <f>Anchor!R156</f>
        <v/>
      </c>
      <c r="K15" s="129">
        <f>Anchor!S156</f>
        <v/>
      </c>
      <c r="L15" s="129">
        <f>Anchor!T156</f>
        <v/>
      </c>
      <c r="M15" s="129">
        <f>Anchor!U156</f>
        <v/>
      </c>
      <c r="N15" s="129">
        <f>Anchor!V156</f>
        <v/>
      </c>
      <c r="O15" s="129">
        <f>Anchor!W156</f>
        <v/>
      </c>
      <c r="P15" s="129">
        <f>Anchor!X156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Anchor!Y156</f>
        <v/>
      </c>
      <c r="S15" s="129">
        <f>Anchor!Z156</f>
        <v/>
      </c>
      <c r="T15" s="129" t="n"/>
      <c r="U15" s="129">
        <f>Test!L156</f>
        <v/>
      </c>
      <c r="V15" s="129">
        <f>Test!M156</f>
        <v/>
      </c>
      <c r="W15" s="129">
        <f>Test!N156</f>
        <v/>
      </c>
      <c r="X15" s="129">
        <f>Test!O156</f>
        <v/>
      </c>
      <c r="Y15" s="129">
        <f>('Summary (Full)'!$B$34*V15+'Summary (Full)'!$B$35*W15+'Summary (Full)'!$B$36*X15)/'Summary (Full)'!$B$37</f>
        <v/>
      </c>
      <c r="Z15" s="129">
        <f>Test!P156</f>
        <v/>
      </c>
      <c r="AA15" s="129">
        <f>Test!Q156</f>
        <v/>
      </c>
      <c r="AB15" s="129">
        <f>Test!R156</f>
        <v/>
      </c>
      <c r="AC15" s="129">
        <f>Test!S156</f>
        <v/>
      </c>
      <c r="AD15" s="129">
        <f>Test!T156</f>
        <v/>
      </c>
      <c r="AE15" s="129">
        <f>Test!U156</f>
        <v/>
      </c>
      <c r="AF15" s="129">
        <f>Test!V156</f>
        <v/>
      </c>
      <c r="AG15" s="129">
        <f>Test!W156</f>
        <v/>
      </c>
      <c r="AH15" s="129">
        <f>Test!X156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Test!Y156</f>
        <v/>
      </c>
      <c r="AK15" s="129">
        <f>Test!Z156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Anchor!L157</f>
        <v/>
      </c>
      <c r="D16" s="129">
        <f>Anchor!M157</f>
        <v/>
      </c>
      <c r="E16" s="129">
        <f>Anchor!N157</f>
        <v/>
      </c>
      <c r="F16" s="129">
        <f>Anchor!O157</f>
        <v/>
      </c>
      <c r="G16" s="130">
        <f>('Summary (Full)'!$B$34*D16+'Summary (Full)'!$B$35*E16+'Summary (Full)'!$B$36*F16)/'Summary (Full)'!$B$37</f>
        <v/>
      </c>
      <c r="H16" s="129">
        <f>Anchor!P157</f>
        <v/>
      </c>
      <c r="I16" s="129">
        <f>Anchor!Q157</f>
        <v/>
      </c>
      <c r="J16" s="129">
        <f>Anchor!R157</f>
        <v/>
      </c>
      <c r="K16" s="129">
        <f>Anchor!S157</f>
        <v/>
      </c>
      <c r="L16" s="129">
        <f>Anchor!T157</f>
        <v/>
      </c>
      <c r="M16" s="129">
        <f>Anchor!U157</f>
        <v/>
      </c>
      <c r="N16" s="129">
        <f>Anchor!V157</f>
        <v/>
      </c>
      <c r="O16" s="129">
        <f>Anchor!W157</f>
        <v/>
      </c>
      <c r="P16" s="129">
        <f>Anchor!X157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Anchor!Y157</f>
        <v/>
      </c>
      <c r="S16" s="129">
        <f>Anchor!Z157</f>
        <v/>
      </c>
      <c r="T16" s="129" t="n"/>
      <c r="U16" s="129">
        <f>Test!L157</f>
        <v/>
      </c>
      <c r="V16" s="129">
        <f>Test!M157</f>
        <v/>
      </c>
      <c r="W16" s="129">
        <f>Test!N157</f>
        <v/>
      </c>
      <c r="X16" s="129">
        <f>Test!O157</f>
        <v/>
      </c>
      <c r="Y16" s="129">
        <f>('Summary (Full)'!$B$34*V16+'Summary (Full)'!$B$35*W16+'Summary (Full)'!$B$36*X16)/'Summary (Full)'!$B$37</f>
        <v/>
      </c>
      <c r="Z16" s="129">
        <f>Test!P157</f>
        <v/>
      </c>
      <c r="AA16" s="129">
        <f>Test!Q157</f>
        <v/>
      </c>
      <c r="AB16" s="129">
        <f>Test!R157</f>
        <v/>
      </c>
      <c r="AC16" s="129">
        <f>Test!S157</f>
        <v/>
      </c>
      <c r="AD16" s="129">
        <f>Test!T157</f>
        <v/>
      </c>
      <c r="AE16" s="129">
        <f>Test!U157</f>
        <v/>
      </c>
      <c r="AF16" s="129">
        <f>Test!V157</f>
        <v/>
      </c>
      <c r="AG16" s="129">
        <f>Test!W157</f>
        <v/>
      </c>
      <c r="AH16" s="129">
        <f>Test!X157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Test!Y157</f>
        <v/>
      </c>
      <c r="AK16" s="129">
        <f>Test!Z157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Anchor!L158</f>
        <v/>
      </c>
      <c r="D17" s="129">
        <f>Anchor!M158</f>
        <v/>
      </c>
      <c r="E17" s="129">
        <f>Anchor!N158</f>
        <v/>
      </c>
      <c r="F17" s="129">
        <f>Anchor!O158</f>
        <v/>
      </c>
      <c r="G17" s="130">
        <f>('Summary (Full)'!$B$34*D17+'Summary (Full)'!$B$35*E17+'Summary (Full)'!$B$36*F17)/'Summary (Full)'!$B$37</f>
        <v/>
      </c>
      <c r="H17" s="129">
        <f>Anchor!P158</f>
        <v/>
      </c>
      <c r="I17" s="129">
        <f>Anchor!Q158</f>
        <v/>
      </c>
      <c r="J17" s="129">
        <f>Anchor!R158</f>
        <v/>
      </c>
      <c r="K17" s="129">
        <f>Anchor!S158</f>
        <v/>
      </c>
      <c r="L17" s="129">
        <f>Anchor!T158</f>
        <v/>
      </c>
      <c r="M17" s="129">
        <f>Anchor!U158</f>
        <v/>
      </c>
      <c r="N17" s="129">
        <f>Anchor!V158</f>
        <v/>
      </c>
      <c r="O17" s="129">
        <f>Anchor!W158</f>
        <v/>
      </c>
      <c r="P17" s="129">
        <f>Anchor!X158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Anchor!Y158</f>
        <v/>
      </c>
      <c r="S17" s="129">
        <f>Anchor!Z158</f>
        <v/>
      </c>
      <c r="T17" s="129" t="n"/>
      <c r="U17" s="129">
        <f>Test!L158</f>
        <v/>
      </c>
      <c r="V17" s="129">
        <f>Test!M158</f>
        <v/>
      </c>
      <c r="W17" s="129">
        <f>Test!N158</f>
        <v/>
      </c>
      <c r="X17" s="129">
        <f>Test!O158</f>
        <v/>
      </c>
      <c r="Y17" s="129">
        <f>('Summary (Full)'!$B$34*V17+'Summary (Full)'!$B$35*W17+'Summary (Full)'!$B$36*X17)/'Summary (Full)'!$B$37</f>
        <v/>
      </c>
      <c r="Z17" s="129">
        <f>Test!P158</f>
        <v/>
      </c>
      <c r="AA17" s="129">
        <f>Test!Q158</f>
        <v/>
      </c>
      <c r="AB17" s="129">
        <f>Test!R158</f>
        <v/>
      </c>
      <c r="AC17" s="129">
        <f>Test!S158</f>
        <v/>
      </c>
      <c r="AD17" s="129">
        <f>Test!T158</f>
        <v/>
      </c>
      <c r="AE17" s="129">
        <f>Test!U158</f>
        <v/>
      </c>
      <c r="AF17" s="129">
        <f>Test!V158</f>
        <v/>
      </c>
      <c r="AG17" s="129">
        <f>Test!W158</f>
        <v/>
      </c>
      <c r="AH17" s="129">
        <f>Test!X158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Test!Y158</f>
        <v/>
      </c>
      <c r="AK17" s="129">
        <f>Test!Z158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Anchor!L159</f>
        <v/>
      </c>
      <c r="D18" s="129">
        <f>Anchor!M159</f>
        <v/>
      </c>
      <c r="E18" s="129">
        <f>Anchor!N159</f>
        <v/>
      </c>
      <c r="F18" s="129">
        <f>Anchor!O159</f>
        <v/>
      </c>
      <c r="G18" s="130">
        <f>('Summary (Full)'!$B$34*D18+'Summary (Full)'!$B$35*E18+'Summary (Full)'!$B$36*F18)/'Summary (Full)'!$B$37</f>
        <v/>
      </c>
      <c r="H18" s="129">
        <f>Anchor!P159</f>
        <v/>
      </c>
      <c r="I18" s="129">
        <f>Anchor!Q159</f>
        <v/>
      </c>
      <c r="J18" s="129">
        <f>Anchor!R159</f>
        <v/>
      </c>
      <c r="K18" s="129">
        <f>Anchor!S159</f>
        <v/>
      </c>
      <c r="L18" s="129">
        <f>Anchor!T159</f>
        <v/>
      </c>
      <c r="M18" s="129">
        <f>Anchor!U159</f>
        <v/>
      </c>
      <c r="N18" s="129">
        <f>Anchor!V159</f>
        <v/>
      </c>
      <c r="O18" s="129">
        <f>Anchor!W159</f>
        <v/>
      </c>
      <c r="P18" s="129">
        <f>Anchor!X159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Anchor!Y159</f>
        <v/>
      </c>
      <c r="S18" s="129">
        <f>Anchor!Z159</f>
        <v/>
      </c>
      <c r="T18" s="129" t="n"/>
      <c r="U18" s="129">
        <f>Test!L159</f>
        <v/>
      </c>
      <c r="V18" s="129">
        <f>Test!M159</f>
        <v/>
      </c>
      <c r="W18" s="129">
        <f>Test!N159</f>
        <v/>
      </c>
      <c r="X18" s="129">
        <f>Test!O159</f>
        <v/>
      </c>
      <c r="Y18" s="129">
        <f>('Summary (Full)'!$B$34*V18+'Summary (Full)'!$B$35*W18+'Summary (Full)'!$B$36*X18)/'Summary (Full)'!$B$37</f>
        <v/>
      </c>
      <c r="Z18" s="129">
        <f>Test!P159</f>
        <v/>
      </c>
      <c r="AA18" s="129">
        <f>Test!Q159</f>
        <v/>
      </c>
      <c r="AB18" s="129">
        <f>Test!R159</f>
        <v/>
      </c>
      <c r="AC18" s="129">
        <f>Test!S159</f>
        <v/>
      </c>
      <c r="AD18" s="129">
        <f>Test!T159</f>
        <v/>
      </c>
      <c r="AE18" s="129">
        <f>Test!U159</f>
        <v/>
      </c>
      <c r="AF18" s="129">
        <f>Test!V159</f>
        <v/>
      </c>
      <c r="AG18" s="129">
        <f>Test!W159</f>
        <v/>
      </c>
      <c r="AH18" s="129">
        <f>Test!X159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Test!Y159</f>
        <v/>
      </c>
      <c r="AK18" s="129">
        <f>Test!Z159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Anchor!L160</f>
        <v/>
      </c>
      <c r="D19" s="129">
        <f>Anchor!M160</f>
        <v/>
      </c>
      <c r="E19" s="129">
        <f>Anchor!N160</f>
        <v/>
      </c>
      <c r="F19" s="129">
        <f>Anchor!O160</f>
        <v/>
      </c>
      <c r="G19" s="130">
        <f>('Summary (Full)'!$B$34*D19+'Summary (Full)'!$B$35*E19+'Summary (Full)'!$B$36*F19)/'Summary (Full)'!$B$37</f>
        <v/>
      </c>
      <c r="H19" s="129">
        <f>Anchor!P160</f>
        <v/>
      </c>
      <c r="I19" s="129">
        <f>Anchor!Q160</f>
        <v/>
      </c>
      <c r="J19" s="129">
        <f>Anchor!R160</f>
        <v/>
      </c>
      <c r="K19" s="129">
        <f>Anchor!S160</f>
        <v/>
      </c>
      <c r="L19" s="129">
        <f>Anchor!T160</f>
        <v/>
      </c>
      <c r="M19" s="129">
        <f>Anchor!U160</f>
        <v/>
      </c>
      <c r="N19" s="129">
        <f>Anchor!V160</f>
        <v/>
      </c>
      <c r="O19" s="129">
        <f>Anchor!W160</f>
        <v/>
      </c>
      <c r="P19" s="129">
        <f>Anchor!X160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Anchor!Y160</f>
        <v/>
      </c>
      <c r="S19" s="129">
        <f>Anchor!Z160</f>
        <v/>
      </c>
      <c r="T19" s="129" t="n"/>
      <c r="U19" s="129">
        <f>Test!L160</f>
        <v/>
      </c>
      <c r="V19" s="129">
        <f>Test!M160</f>
        <v/>
      </c>
      <c r="W19" s="129">
        <f>Test!N160</f>
        <v/>
      </c>
      <c r="X19" s="129">
        <f>Test!O160</f>
        <v/>
      </c>
      <c r="Y19" s="129">
        <f>('Summary (Full)'!$B$34*V19+'Summary (Full)'!$B$35*W19+'Summary (Full)'!$B$36*X19)/'Summary (Full)'!$B$37</f>
        <v/>
      </c>
      <c r="Z19" s="129">
        <f>Test!P160</f>
        <v/>
      </c>
      <c r="AA19" s="129">
        <f>Test!Q160</f>
        <v/>
      </c>
      <c r="AB19" s="129">
        <f>Test!R160</f>
        <v/>
      </c>
      <c r="AC19" s="129">
        <f>Test!S160</f>
        <v/>
      </c>
      <c r="AD19" s="129">
        <f>Test!T160</f>
        <v/>
      </c>
      <c r="AE19" s="129">
        <f>Test!U160</f>
        <v/>
      </c>
      <c r="AF19" s="129">
        <f>Test!V160</f>
        <v/>
      </c>
      <c r="AG19" s="129">
        <f>Test!W160</f>
        <v/>
      </c>
      <c r="AH19" s="129">
        <f>Test!X160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Test!Y160</f>
        <v/>
      </c>
      <c r="AK19" s="129">
        <f>Test!Z160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Anchor!L161</f>
        <v/>
      </c>
      <c r="D20" s="129">
        <f>Anchor!M161</f>
        <v/>
      </c>
      <c r="E20" s="129">
        <f>Anchor!N161</f>
        <v/>
      </c>
      <c r="F20" s="129">
        <f>Anchor!O161</f>
        <v/>
      </c>
      <c r="G20" s="130">
        <f>('Summary (Full)'!$B$34*D20+'Summary (Full)'!$B$35*E20+'Summary (Full)'!$B$36*F20)/'Summary (Full)'!$B$37</f>
        <v/>
      </c>
      <c r="H20" s="129">
        <f>Anchor!P161</f>
        <v/>
      </c>
      <c r="I20" s="129">
        <f>Anchor!Q161</f>
        <v/>
      </c>
      <c r="J20" s="129">
        <f>Anchor!R161</f>
        <v/>
      </c>
      <c r="K20" s="129">
        <f>Anchor!S161</f>
        <v/>
      </c>
      <c r="L20" s="129">
        <f>Anchor!T161</f>
        <v/>
      </c>
      <c r="M20" s="129">
        <f>Anchor!U161</f>
        <v/>
      </c>
      <c r="N20" s="129">
        <f>Anchor!V161</f>
        <v/>
      </c>
      <c r="O20" s="129">
        <f>Anchor!W161</f>
        <v/>
      </c>
      <c r="P20" s="129">
        <f>Anchor!X161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Anchor!Y161</f>
        <v/>
      </c>
      <c r="S20" s="129">
        <f>Anchor!Z161</f>
        <v/>
      </c>
      <c r="T20" s="129" t="n"/>
      <c r="U20" s="129">
        <f>Test!L161</f>
        <v/>
      </c>
      <c r="V20" s="129">
        <f>Test!M161</f>
        <v/>
      </c>
      <c r="W20" s="129">
        <f>Test!N161</f>
        <v/>
      </c>
      <c r="X20" s="129">
        <f>Test!O161</f>
        <v/>
      </c>
      <c r="Y20" s="129">
        <f>('Summary (Full)'!$B$34*V20+'Summary (Full)'!$B$35*W20+'Summary (Full)'!$B$36*X20)/'Summary (Full)'!$B$37</f>
        <v/>
      </c>
      <c r="Z20" s="129">
        <f>Test!P161</f>
        <v/>
      </c>
      <c r="AA20" s="129">
        <f>Test!Q161</f>
        <v/>
      </c>
      <c r="AB20" s="129">
        <f>Test!R161</f>
        <v/>
      </c>
      <c r="AC20" s="129">
        <f>Test!S161</f>
        <v/>
      </c>
      <c r="AD20" s="129">
        <f>Test!T161</f>
        <v/>
      </c>
      <c r="AE20" s="129">
        <f>Test!U161</f>
        <v/>
      </c>
      <c r="AF20" s="129">
        <f>Test!V161</f>
        <v/>
      </c>
      <c r="AG20" s="129">
        <f>Test!W161</f>
        <v/>
      </c>
      <c r="AH20" s="129">
        <f>Test!X161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Test!Y161</f>
        <v/>
      </c>
      <c r="AK20" s="129">
        <f>Test!Z161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Anchor!L162</f>
        <v/>
      </c>
      <c r="D21" s="129">
        <f>Anchor!M162</f>
        <v/>
      </c>
      <c r="E21" s="129">
        <f>Anchor!N162</f>
        <v/>
      </c>
      <c r="F21" s="129">
        <f>Anchor!O162</f>
        <v/>
      </c>
      <c r="G21" s="130">
        <f>('Summary (Full)'!$B$34*D21+'Summary (Full)'!$B$35*E21+'Summary (Full)'!$B$36*F21)/'Summary (Full)'!$B$37</f>
        <v/>
      </c>
      <c r="H21" s="129">
        <f>Anchor!P162</f>
        <v/>
      </c>
      <c r="I21" s="129">
        <f>Anchor!Q162</f>
        <v/>
      </c>
      <c r="J21" s="129">
        <f>Anchor!R162</f>
        <v/>
      </c>
      <c r="K21" s="129">
        <f>Anchor!S162</f>
        <v/>
      </c>
      <c r="L21" s="129">
        <f>Anchor!T162</f>
        <v/>
      </c>
      <c r="M21" s="129">
        <f>Anchor!U162</f>
        <v/>
      </c>
      <c r="N21" s="129">
        <f>Anchor!V162</f>
        <v/>
      </c>
      <c r="O21" s="129">
        <f>Anchor!W162</f>
        <v/>
      </c>
      <c r="P21" s="129">
        <f>Anchor!X162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Anchor!Y162</f>
        <v/>
      </c>
      <c r="S21" s="129">
        <f>Anchor!Z162</f>
        <v/>
      </c>
      <c r="T21" s="129" t="n"/>
      <c r="U21" s="129">
        <f>Test!L162</f>
        <v/>
      </c>
      <c r="V21" s="129">
        <f>Test!M162</f>
        <v/>
      </c>
      <c r="W21" s="129">
        <f>Test!N162</f>
        <v/>
      </c>
      <c r="X21" s="129">
        <f>Test!O162</f>
        <v/>
      </c>
      <c r="Y21" s="129">
        <f>('Summary (Full)'!$B$34*V21+'Summary (Full)'!$B$35*W21+'Summary (Full)'!$B$36*X21)/'Summary (Full)'!$B$37</f>
        <v/>
      </c>
      <c r="Z21" s="129">
        <f>Test!P162</f>
        <v/>
      </c>
      <c r="AA21" s="129">
        <f>Test!Q162</f>
        <v/>
      </c>
      <c r="AB21" s="129">
        <f>Test!R162</f>
        <v/>
      </c>
      <c r="AC21" s="129">
        <f>Test!S162</f>
        <v/>
      </c>
      <c r="AD21" s="129">
        <f>Test!T162</f>
        <v/>
      </c>
      <c r="AE21" s="129">
        <f>Test!U162</f>
        <v/>
      </c>
      <c r="AF21" s="129">
        <f>Test!V162</f>
        <v/>
      </c>
      <c r="AG21" s="129">
        <f>Test!W162</f>
        <v/>
      </c>
      <c r="AH21" s="129">
        <f>Test!X162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Test!Y162</f>
        <v/>
      </c>
      <c r="AK21" s="129">
        <f>Test!Z162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Anchor!L163</f>
        <v/>
      </c>
      <c r="D22" s="129">
        <f>Anchor!M163</f>
        <v/>
      </c>
      <c r="E22" s="129">
        <f>Anchor!N163</f>
        <v/>
      </c>
      <c r="F22" s="129">
        <f>Anchor!O163</f>
        <v/>
      </c>
      <c r="G22" s="130">
        <f>('Summary (Full)'!$B$34*D22+'Summary (Full)'!$B$35*E22+'Summary (Full)'!$B$36*F22)/'Summary (Full)'!$B$37</f>
        <v/>
      </c>
      <c r="H22" s="129">
        <f>Anchor!P163</f>
        <v/>
      </c>
      <c r="I22" s="129">
        <f>Anchor!Q163</f>
        <v/>
      </c>
      <c r="J22" s="129">
        <f>Anchor!R163</f>
        <v/>
      </c>
      <c r="K22" s="129">
        <f>Anchor!S163</f>
        <v/>
      </c>
      <c r="L22" s="129">
        <f>Anchor!T163</f>
        <v/>
      </c>
      <c r="M22" s="129">
        <f>Anchor!U163</f>
        <v/>
      </c>
      <c r="N22" s="129">
        <f>Anchor!V163</f>
        <v/>
      </c>
      <c r="O22" s="129">
        <f>Anchor!W163</f>
        <v/>
      </c>
      <c r="P22" s="129">
        <f>Anchor!X163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Anchor!Y163</f>
        <v/>
      </c>
      <c r="S22" s="129">
        <f>Anchor!Z163</f>
        <v/>
      </c>
      <c r="T22" s="129" t="n"/>
      <c r="U22" s="129">
        <f>Test!L163</f>
        <v/>
      </c>
      <c r="V22" s="129">
        <f>Test!M163</f>
        <v/>
      </c>
      <c r="W22" s="129">
        <f>Test!N163</f>
        <v/>
      </c>
      <c r="X22" s="129">
        <f>Test!O163</f>
        <v/>
      </c>
      <c r="Y22" s="129">
        <f>('Summary (Full)'!$B$34*V22+'Summary (Full)'!$B$35*W22+'Summary (Full)'!$B$36*X22)/'Summary (Full)'!$B$37</f>
        <v/>
      </c>
      <c r="Z22" s="129">
        <f>Test!P163</f>
        <v/>
      </c>
      <c r="AA22" s="129">
        <f>Test!Q163</f>
        <v/>
      </c>
      <c r="AB22" s="129">
        <f>Test!R163</f>
        <v/>
      </c>
      <c r="AC22" s="129">
        <f>Test!S163</f>
        <v/>
      </c>
      <c r="AD22" s="129">
        <f>Test!T163</f>
        <v/>
      </c>
      <c r="AE22" s="129">
        <f>Test!U163</f>
        <v/>
      </c>
      <c r="AF22" s="129">
        <f>Test!V163</f>
        <v/>
      </c>
      <c r="AG22" s="129">
        <f>Test!W163</f>
        <v/>
      </c>
      <c r="AH22" s="129">
        <f>Test!X163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Test!Y163</f>
        <v/>
      </c>
      <c r="AK22" s="129">
        <f>Test!Z163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Anchor!L164</f>
        <v/>
      </c>
      <c r="D23" s="129">
        <f>Anchor!M164</f>
        <v/>
      </c>
      <c r="E23" s="129">
        <f>Anchor!N164</f>
        <v/>
      </c>
      <c r="F23" s="129">
        <f>Anchor!O164</f>
        <v/>
      </c>
      <c r="G23" s="130">
        <f>('Summary (Full)'!$B$34*D23+'Summary (Full)'!$B$35*E23+'Summary (Full)'!$B$36*F23)/'Summary (Full)'!$B$37</f>
        <v/>
      </c>
      <c r="H23" s="129">
        <f>Anchor!P164</f>
        <v/>
      </c>
      <c r="I23" s="129">
        <f>Anchor!Q164</f>
        <v/>
      </c>
      <c r="J23" s="129">
        <f>Anchor!R164</f>
        <v/>
      </c>
      <c r="K23" s="129">
        <f>Anchor!S164</f>
        <v/>
      </c>
      <c r="L23" s="129">
        <f>Anchor!T164</f>
        <v/>
      </c>
      <c r="M23" s="129">
        <f>Anchor!U164</f>
        <v/>
      </c>
      <c r="N23" s="129">
        <f>Anchor!V164</f>
        <v/>
      </c>
      <c r="O23" s="129">
        <f>Anchor!W164</f>
        <v/>
      </c>
      <c r="P23" s="129">
        <f>Anchor!X164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Anchor!Y164</f>
        <v/>
      </c>
      <c r="S23" s="129">
        <f>Anchor!Z164</f>
        <v/>
      </c>
      <c r="T23" s="129" t="n"/>
      <c r="U23" s="129">
        <f>Test!L164</f>
        <v/>
      </c>
      <c r="V23" s="129">
        <f>Test!M164</f>
        <v/>
      </c>
      <c r="W23" s="129">
        <f>Test!N164</f>
        <v/>
      </c>
      <c r="X23" s="129">
        <f>Test!O164</f>
        <v/>
      </c>
      <c r="Y23" s="129">
        <f>('Summary (Full)'!$B$34*V23+'Summary (Full)'!$B$35*W23+'Summary (Full)'!$B$36*X23)/'Summary (Full)'!$B$37</f>
        <v/>
      </c>
      <c r="Z23" s="129">
        <f>Test!P164</f>
        <v/>
      </c>
      <c r="AA23" s="129">
        <f>Test!Q164</f>
        <v/>
      </c>
      <c r="AB23" s="129">
        <f>Test!R164</f>
        <v/>
      </c>
      <c r="AC23" s="129">
        <f>Test!S164</f>
        <v/>
      </c>
      <c r="AD23" s="129">
        <f>Test!T164</f>
        <v/>
      </c>
      <c r="AE23" s="129">
        <f>Test!U164</f>
        <v/>
      </c>
      <c r="AF23" s="129">
        <f>Test!V164</f>
        <v/>
      </c>
      <c r="AG23" s="129">
        <f>Test!W164</f>
        <v/>
      </c>
      <c r="AH23" s="129">
        <f>Test!X164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Test!Y164</f>
        <v/>
      </c>
      <c r="AK23" s="129">
        <f>Test!Z164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Anchor!L165</f>
        <v/>
      </c>
      <c r="D24" s="129">
        <f>Anchor!M165</f>
        <v/>
      </c>
      <c r="E24" s="129">
        <f>Anchor!N165</f>
        <v/>
      </c>
      <c r="F24" s="129">
        <f>Anchor!O165</f>
        <v/>
      </c>
      <c r="G24" s="130">
        <f>('Summary (Full)'!$B$34*D24+'Summary (Full)'!$B$35*E24+'Summary (Full)'!$B$36*F24)/'Summary (Full)'!$B$37</f>
        <v/>
      </c>
      <c r="H24" s="129">
        <f>Anchor!P165</f>
        <v/>
      </c>
      <c r="I24" s="129">
        <f>Anchor!Q165</f>
        <v/>
      </c>
      <c r="J24" s="129">
        <f>Anchor!R165</f>
        <v/>
      </c>
      <c r="K24" s="129">
        <f>Anchor!S165</f>
        <v/>
      </c>
      <c r="L24" s="129">
        <f>Anchor!T165</f>
        <v/>
      </c>
      <c r="M24" s="129">
        <f>Anchor!U165</f>
        <v/>
      </c>
      <c r="N24" s="129">
        <f>Anchor!V165</f>
        <v/>
      </c>
      <c r="O24" s="129">
        <f>Anchor!W165</f>
        <v/>
      </c>
      <c r="P24" s="129">
        <f>Anchor!X165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Anchor!Y165</f>
        <v/>
      </c>
      <c r="S24" s="129">
        <f>Anchor!Z165</f>
        <v/>
      </c>
      <c r="T24" s="129" t="n"/>
      <c r="U24" s="129">
        <f>Test!L165</f>
        <v/>
      </c>
      <c r="V24" s="129">
        <f>Test!M165</f>
        <v/>
      </c>
      <c r="W24" s="129">
        <f>Test!N165</f>
        <v/>
      </c>
      <c r="X24" s="129">
        <f>Test!O165</f>
        <v/>
      </c>
      <c r="Y24" s="129">
        <f>('Summary (Full)'!$B$34*V24+'Summary (Full)'!$B$35*W24+'Summary (Full)'!$B$36*X24)/'Summary (Full)'!$B$37</f>
        <v/>
      </c>
      <c r="Z24" s="129">
        <f>Test!P165</f>
        <v/>
      </c>
      <c r="AA24" s="129">
        <f>Test!Q165</f>
        <v/>
      </c>
      <c r="AB24" s="129">
        <f>Test!R165</f>
        <v/>
      </c>
      <c r="AC24" s="129">
        <f>Test!S165</f>
        <v/>
      </c>
      <c r="AD24" s="129">
        <f>Test!T165</f>
        <v/>
      </c>
      <c r="AE24" s="129">
        <f>Test!U165</f>
        <v/>
      </c>
      <c r="AF24" s="129">
        <f>Test!V165</f>
        <v/>
      </c>
      <c r="AG24" s="129">
        <f>Test!W165</f>
        <v/>
      </c>
      <c r="AH24" s="129">
        <f>Test!X165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Test!Y165</f>
        <v/>
      </c>
      <c r="AK24" s="129">
        <f>Test!Z165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Anchor!L166</f>
        <v/>
      </c>
      <c r="D25" s="129">
        <f>Anchor!M166</f>
        <v/>
      </c>
      <c r="E25" s="129">
        <f>Anchor!N166</f>
        <v/>
      </c>
      <c r="F25" s="129">
        <f>Anchor!O166</f>
        <v/>
      </c>
      <c r="G25" s="130">
        <f>('Summary (Full)'!$B$34*D25+'Summary (Full)'!$B$35*E25+'Summary (Full)'!$B$36*F25)/'Summary (Full)'!$B$37</f>
        <v/>
      </c>
      <c r="H25" s="129">
        <f>Anchor!P166</f>
        <v/>
      </c>
      <c r="I25" s="129">
        <f>Anchor!Q166</f>
        <v/>
      </c>
      <c r="J25" s="129">
        <f>Anchor!R166</f>
        <v/>
      </c>
      <c r="K25" s="129">
        <f>Anchor!S166</f>
        <v/>
      </c>
      <c r="L25" s="129">
        <f>Anchor!T166</f>
        <v/>
      </c>
      <c r="M25" s="129">
        <f>Anchor!U166</f>
        <v/>
      </c>
      <c r="N25" s="129">
        <f>Anchor!V166</f>
        <v/>
      </c>
      <c r="O25" s="129">
        <f>Anchor!W166</f>
        <v/>
      </c>
      <c r="P25" s="129">
        <f>Anchor!X166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Anchor!Y166</f>
        <v/>
      </c>
      <c r="S25" s="129">
        <f>Anchor!Z166</f>
        <v/>
      </c>
      <c r="T25" s="129" t="n"/>
      <c r="U25" s="129">
        <f>Test!L166</f>
        <v/>
      </c>
      <c r="V25" s="129">
        <f>Test!M166</f>
        <v/>
      </c>
      <c r="W25" s="129">
        <f>Test!N166</f>
        <v/>
      </c>
      <c r="X25" s="129">
        <f>Test!O166</f>
        <v/>
      </c>
      <c r="Y25" s="129">
        <f>('Summary (Full)'!$B$34*V25+'Summary (Full)'!$B$35*W25+'Summary (Full)'!$B$36*X25)/'Summary (Full)'!$B$37</f>
        <v/>
      </c>
      <c r="Z25" s="129">
        <f>Test!P166</f>
        <v/>
      </c>
      <c r="AA25" s="129">
        <f>Test!Q166</f>
        <v/>
      </c>
      <c r="AB25" s="129">
        <f>Test!R166</f>
        <v/>
      </c>
      <c r="AC25" s="129">
        <f>Test!S166</f>
        <v/>
      </c>
      <c r="AD25" s="129">
        <f>Test!T166</f>
        <v/>
      </c>
      <c r="AE25" s="129">
        <f>Test!U166</f>
        <v/>
      </c>
      <c r="AF25" s="129">
        <f>Test!V166</f>
        <v/>
      </c>
      <c r="AG25" s="129">
        <f>Test!W166</f>
        <v/>
      </c>
      <c r="AH25" s="129">
        <f>Test!X166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Test!Y166</f>
        <v/>
      </c>
      <c r="AK25" s="129">
        <f>Test!Z166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Anchor!L167</f>
        <v/>
      </c>
      <c r="D26" s="129">
        <f>Anchor!M167</f>
        <v/>
      </c>
      <c r="E26" s="129">
        <f>Anchor!N167</f>
        <v/>
      </c>
      <c r="F26" s="129">
        <f>Anchor!O167</f>
        <v/>
      </c>
      <c r="G26" s="130">
        <f>('Summary (Full)'!$B$34*D26+'Summary (Full)'!$B$35*E26+'Summary (Full)'!$B$36*F26)/'Summary (Full)'!$B$37</f>
        <v/>
      </c>
      <c r="H26" s="129">
        <f>Anchor!P167</f>
        <v/>
      </c>
      <c r="I26" s="129">
        <f>Anchor!Q167</f>
        <v/>
      </c>
      <c r="J26" s="129">
        <f>Anchor!R167</f>
        <v/>
      </c>
      <c r="K26" s="129">
        <f>Anchor!S167</f>
        <v/>
      </c>
      <c r="L26" s="129">
        <f>Anchor!T167</f>
        <v/>
      </c>
      <c r="M26" s="129">
        <f>Anchor!U167</f>
        <v/>
      </c>
      <c r="N26" s="129">
        <f>Anchor!V167</f>
        <v/>
      </c>
      <c r="O26" s="129">
        <f>Anchor!W167</f>
        <v/>
      </c>
      <c r="P26" s="129">
        <f>Anchor!X167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Anchor!Y167</f>
        <v/>
      </c>
      <c r="S26" s="129">
        <f>Anchor!Z167</f>
        <v/>
      </c>
      <c r="T26" s="129" t="n"/>
      <c r="U26" s="129">
        <f>Test!L167</f>
        <v/>
      </c>
      <c r="V26" s="129">
        <f>Test!M167</f>
        <v/>
      </c>
      <c r="W26" s="129">
        <f>Test!N167</f>
        <v/>
      </c>
      <c r="X26" s="129">
        <f>Test!O167</f>
        <v/>
      </c>
      <c r="Y26" s="129">
        <f>('Summary (Full)'!$B$34*V26+'Summary (Full)'!$B$35*W26+'Summary (Full)'!$B$36*X26)/'Summary (Full)'!$B$37</f>
        <v/>
      </c>
      <c r="Z26" s="129">
        <f>Test!P167</f>
        <v/>
      </c>
      <c r="AA26" s="129">
        <f>Test!Q167</f>
        <v/>
      </c>
      <c r="AB26" s="129">
        <f>Test!R167</f>
        <v/>
      </c>
      <c r="AC26" s="129">
        <f>Test!S167</f>
        <v/>
      </c>
      <c r="AD26" s="129">
        <f>Test!T167</f>
        <v/>
      </c>
      <c r="AE26" s="129">
        <f>Test!U167</f>
        <v/>
      </c>
      <c r="AF26" s="129">
        <f>Test!V167</f>
        <v/>
      </c>
      <c r="AG26" s="129">
        <f>Test!W167</f>
        <v/>
      </c>
      <c r="AH26" s="129">
        <f>Test!X167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Test!Y167</f>
        <v/>
      </c>
      <c r="AK26" s="129">
        <f>Test!Z167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Anchor!L168</f>
        <v/>
      </c>
      <c r="D27" s="129">
        <f>Anchor!M168</f>
        <v/>
      </c>
      <c r="E27" s="129">
        <f>Anchor!N168</f>
        <v/>
      </c>
      <c r="F27" s="129">
        <f>Anchor!O168</f>
        <v/>
      </c>
      <c r="G27" s="130">
        <f>('Summary (Full)'!$B$34*D27+'Summary (Full)'!$B$35*E27+'Summary (Full)'!$B$36*F27)/'Summary (Full)'!$B$37</f>
        <v/>
      </c>
      <c r="H27" s="129">
        <f>Anchor!P168</f>
        <v/>
      </c>
      <c r="I27" s="129">
        <f>Anchor!Q168</f>
        <v/>
      </c>
      <c r="J27" s="129">
        <f>Anchor!R168</f>
        <v/>
      </c>
      <c r="K27" s="129">
        <f>Anchor!S168</f>
        <v/>
      </c>
      <c r="L27" s="129">
        <f>Anchor!T168</f>
        <v/>
      </c>
      <c r="M27" s="129">
        <f>Anchor!U168</f>
        <v/>
      </c>
      <c r="N27" s="129">
        <f>Anchor!V168</f>
        <v/>
      </c>
      <c r="O27" s="129">
        <f>Anchor!W168</f>
        <v/>
      </c>
      <c r="P27" s="129">
        <f>Anchor!X168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Anchor!Y168</f>
        <v/>
      </c>
      <c r="S27" s="129">
        <f>Anchor!Z168</f>
        <v/>
      </c>
      <c r="T27" s="129" t="n"/>
      <c r="U27" s="129">
        <f>Test!L168</f>
        <v/>
      </c>
      <c r="V27" s="129">
        <f>Test!M168</f>
        <v/>
      </c>
      <c r="W27" s="129">
        <f>Test!N168</f>
        <v/>
      </c>
      <c r="X27" s="129">
        <f>Test!O168</f>
        <v/>
      </c>
      <c r="Y27" s="129">
        <f>('Summary (Full)'!$B$34*V27+'Summary (Full)'!$B$35*W27+'Summary (Full)'!$B$36*X27)/'Summary (Full)'!$B$37</f>
        <v/>
      </c>
      <c r="Z27" s="129">
        <f>Test!P168</f>
        <v/>
      </c>
      <c r="AA27" s="129">
        <f>Test!Q168</f>
        <v/>
      </c>
      <c r="AB27" s="129">
        <f>Test!R168</f>
        <v/>
      </c>
      <c r="AC27" s="129">
        <f>Test!S168</f>
        <v/>
      </c>
      <c r="AD27" s="129">
        <f>Test!T168</f>
        <v/>
      </c>
      <c r="AE27" s="129">
        <f>Test!U168</f>
        <v/>
      </c>
      <c r="AF27" s="129">
        <f>Test!V168</f>
        <v/>
      </c>
      <c r="AG27" s="129">
        <f>Test!W168</f>
        <v/>
      </c>
      <c r="AH27" s="129">
        <f>Test!X168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Test!Y168</f>
        <v/>
      </c>
      <c r="AK27" s="129">
        <f>Test!Z168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Anchor!L169</f>
        <v/>
      </c>
      <c r="D28" s="129">
        <f>Anchor!M169</f>
        <v/>
      </c>
      <c r="E28" s="129">
        <f>Anchor!N169</f>
        <v/>
      </c>
      <c r="F28" s="129">
        <f>Anchor!O169</f>
        <v/>
      </c>
      <c r="G28" s="130">
        <f>('Summary (Full)'!$B$34*D28+'Summary (Full)'!$B$35*E28+'Summary (Full)'!$B$36*F28)/'Summary (Full)'!$B$37</f>
        <v/>
      </c>
      <c r="H28" s="129">
        <f>Anchor!P169</f>
        <v/>
      </c>
      <c r="I28" s="129">
        <f>Anchor!Q169</f>
        <v/>
      </c>
      <c r="J28" s="129">
        <f>Anchor!R169</f>
        <v/>
      </c>
      <c r="K28" s="129">
        <f>Anchor!S169</f>
        <v/>
      </c>
      <c r="L28" s="129">
        <f>Anchor!T169</f>
        <v/>
      </c>
      <c r="M28" s="129">
        <f>Anchor!U169</f>
        <v/>
      </c>
      <c r="N28" s="129">
        <f>Anchor!V169</f>
        <v/>
      </c>
      <c r="O28" s="129">
        <f>Anchor!W169</f>
        <v/>
      </c>
      <c r="P28" s="129">
        <f>Anchor!X169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Anchor!Y169</f>
        <v/>
      </c>
      <c r="S28" s="129">
        <f>Anchor!Z169</f>
        <v/>
      </c>
      <c r="T28" s="129" t="n"/>
      <c r="U28" s="129">
        <f>Test!L169</f>
        <v/>
      </c>
      <c r="V28" s="129">
        <f>Test!M169</f>
        <v/>
      </c>
      <c r="W28" s="129">
        <f>Test!N169</f>
        <v/>
      </c>
      <c r="X28" s="129">
        <f>Test!O169</f>
        <v/>
      </c>
      <c r="Y28" s="129">
        <f>('Summary (Full)'!$B$34*V28+'Summary (Full)'!$B$35*W28+'Summary (Full)'!$B$36*X28)/'Summary (Full)'!$B$37</f>
        <v/>
      </c>
      <c r="Z28" s="129">
        <f>Test!P169</f>
        <v/>
      </c>
      <c r="AA28" s="129">
        <f>Test!Q169</f>
        <v/>
      </c>
      <c r="AB28" s="129">
        <f>Test!R169</f>
        <v/>
      </c>
      <c r="AC28" s="129">
        <f>Test!S169</f>
        <v/>
      </c>
      <c r="AD28" s="129">
        <f>Test!T169</f>
        <v/>
      </c>
      <c r="AE28" s="129">
        <f>Test!U169</f>
        <v/>
      </c>
      <c r="AF28" s="129">
        <f>Test!V169</f>
        <v/>
      </c>
      <c r="AG28" s="129">
        <f>Test!W169</f>
        <v/>
      </c>
      <c r="AH28" s="129">
        <f>Test!X169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Test!Y169</f>
        <v/>
      </c>
      <c r="AK28" s="129">
        <f>Test!Z169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Anchor!L170</f>
        <v/>
      </c>
      <c r="D29" s="129">
        <f>Anchor!M170</f>
        <v/>
      </c>
      <c r="E29" s="129">
        <f>Anchor!N170</f>
        <v/>
      </c>
      <c r="F29" s="129">
        <f>Anchor!O170</f>
        <v/>
      </c>
      <c r="G29" s="130">
        <f>('Summary (Full)'!$B$34*D29+'Summary (Full)'!$B$35*E29+'Summary (Full)'!$B$36*F29)/'Summary (Full)'!$B$37</f>
        <v/>
      </c>
      <c r="H29" s="129">
        <f>Anchor!P170</f>
        <v/>
      </c>
      <c r="I29" s="129">
        <f>Anchor!Q170</f>
        <v/>
      </c>
      <c r="J29" s="129">
        <f>Anchor!R170</f>
        <v/>
      </c>
      <c r="K29" s="129">
        <f>Anchor!S170</f>
        <v/>
      </c>
      <c r="L29" s="129">
        <f>Anchor!T170</f>
        <v/>
      </c>
      <c r="M29" s="129">
        <f>Anchor!U170</f>
        <v/>
      </c>
      <c r="N29" s="129">
        <f>Anchor!V170</f>
        <v/>
      </c>
      <c r="O29" s="129">
        <f>Anchor!W170</f>
        <v/>
      </c>
      <c r="P29" s="129">
        <f>Anchor!X170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Anchor!Y170</f>
        <v/>
      </c>
      <c r="S29" s="129">
        <f>Anchor!Z170</f>
        <v/>
      </c>
      <c r="T29" s="129" t="n"/>
      <c r="U29" s="129">
        <f>Test!L170</f>
        <v/>
      </c>
      <c r="V29" s="129">
        <f>Test!M170</f>
        <v/>
      </c>
      <c r="W29" s="129">
        <f>Test!N170</f>
        <v/>
      </c>
      <c r="X29" s="129">
        <f>Test!O170</f>
        <v/>
      </c>
      <c r="Y29" s="129">
        <f>('Summary (Full)'!$B$34*V29+'Summary (Full)'!$B$35*W29+'Summary (Full)'!$B$36*X29)/'Summary (Full)'!$B$37</f>
        <v/>
      </c>
      <c r="Z29" s="129">
        <f>Test!P170</f>
        <v/>
      </c>
      <c r="AA29" s="129">
        <f>Test!Q170</f>
        <v/>
      </c>
      <c r="AB29" s="129">
        <f>Test!R170</f>
        <v/>
      </c>
      <c r="AC29" s="129">
        <f>Test!S170</f>
        <v/>
      </c>
      <c r="AD29" s="129">
        <f>Test!T170</f>
        <v/>
      </c>
      <c r="AE29" s="129">
        <f>Test!U170</f>
        <v/>
      </c>
      <c r="AF29" s="129">
        <f>Test!V170</f>
        <v/>
      </c>
      <c r="AG29" s="129">
        <f>Test!W170</f>
        <v/>
      </c>
      <c r="AH29" s="129">
        <f>Test!X170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Test!Y170</f>
        <v/>
      </c>
      <c r="AK29" s="129">
        <f>Test!Z170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Anchor!L171</f>
        <v/>
      </c>
      <c r="D30" s="129">
        <f>Anchor!M171</f>
        <v/>
      </c>
      <c r="E30" s="129">
        <f>Anchor!N171</f>
        <v/>
      </c>
      <c r="F30" s="129">
        <f>Anchor!O171</f>
        <v/>
      </c>
      <c r="G30" s="130">
        <f>('Summary (Full)'!$B$34*D30+'Summary (Full)'!$B$35*E30+'Summary (Full)'!$B$36*F30)/'Summary (Full)'!$B$37</f>
        <v/>
      </c>
      <c r="H30" s="129">
        <f>Anchor!P171</f>
        <v/>
      </c>
      <c r="I30" s="129">
        <f>Anchor!Q171</f>
        <v/>
      </c>
      <c r="J30" s="129">
        <f>Anchor!R171</f>
        <v/>
      </c>
      <c r="K30" s="129">
        <f>Anchor!S171</f>
        <v/>
      </c>
      <c r="L30" s="129">
        <f>Anchor!T171</f>
        <v/>
      </c>
      <c r="M30" s="129">
        <f>Anchor!U171</f>
        <v/>
      </c>
      <c r="N30" s="129">
        <f>Anchor!V171</f>
        <v/>
      </c>
      <c r="O30" s="129">
        <f>Anchor!W171</f>
        <v/>
      </c>
      <c r="P30" s="129">
        <f>Anchor!X171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Anchor!Y171</f>
        <v/>
      </c>
      <c r="S30" s="129">
        <f>Anchor!Z171</f>
        <v/>
      </c>
      <c r="T30" s="129" t="n"/>
      <c r="U30" s="129">
        <f>Test!L171</f>
        <v/>
      </c>
      <c r="V30" s="129">
        <f>Test!M171</f>
        <v/>
      </c>
      <c r="W30" s="129">
        <f>Test!N171</f>
        <v/>
      </c>
      <c r="X30" s="129">
        <f>Test!O171</f>
        <v/>
      </c>
      <c r="Y30" s="129">
        <f>('Summary (Full)'!$B$34*V30+'Summary (Full)'!$B$35*W30+'Summary (Full)'!$B$36*X30)/'Summary (Full)'!$B$37</f>
        <v/>
      </c>
      <c r="Z30" s="129">
        <f>Test!P171</f>
        <v/>
      </c>
      <c r="AA30" s="129">
        <f>Test!Q171</f>
        <v/>
      </c>
      <c r="AB30" s="129">
        <f>Test!R171</f>
        <v/>
      </c>
      <c r="AC30" s="129">
        <f>Test!S171</f>
        <v/>
      </c>
      <c r="AD30" s="129">
        <f>Test!T171</f>
        <v/>
      </c>
      <c r="AE30" s="129">
        <f>Test!U171</f>
        <v/>
      </c>
      <c r="AF30" s="129">
        <f>Test!V171</f>
        <v/>
      </c>
      <c r="AG30" s="129">
        <f>Test!W171</f>
        <v/>
      </c>
      <c r="AH30" s="129">
        <f>Test!X171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Test!Y171</f>
        <v/>
      </c>
      <c r="AK30" s="129">
        <f>Test!Z171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Anchor!L172</f>
        <v/>
      </c>
      <c r="D31" s="129">
        <f>Anchor!M172</f>
        <v/>
      </c>
      <c r="E31" s="129">
        <f>Anchor!N172</f>
        <v/>
      </c>
      <c r="F31" s="129">
        <f>Anchor!O172</f>
        <v/>
      </c>
      <c r="G31" s="130">
        <f>('Summary (Full)'!$B$34*D31+'Summary (Full)'!$B$35*E31+'Summary (Full)'!$B$36*F31)/'Summary (Full)'!$B$37</f>
        <v/>
      </c>
      <c r="H31" s="129">
        <f>Anchor!P172</f>
        <v/>
      </c>
      <c r="I31" s="129">
        <f>Anchor!Q172</f>
        <v/>
      </c>
      <c r="J31" s="129">
        <f>Anchor!R172</f>
        <v/>
      </c>
      <c r="K31" s="129">
        <f>Anchor!S172</f>
        <v/>
      </c>
      <c r="L31" s="129">
        <f>Anchor!T172</f>
        <v/>
      </c>
      <c r="M31" s="129">
        <f>Anchor!U172</f>
        <v/>
      </c>
      <c r="N31" s="129">
        <f>Anchor!V172</f>
        <v/>
      </c>
      <c r="O31" s="129">
        <f>Anchor!W172</f>
        <v/>
      </c>
      <c r="P31" s="129">
        <f>Anchor!X172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Anchor!Y172</f>
        <v/>
      </c>
      <c r="S31" s="129">
        <f>Anchor!Z172</f>
        <v/>
      </c>
      <c r="T31" s="129" t="n"/>
      <c r="U31" s="129">
        <f>Test!L172</f>
        <v/>
      </c>
      <c r="V31" s="129">
        <f>Test!M172</f>
        <v/>
      </c>
      <c r="W31" s="129">
        <f>Test!N172</f>
        <v/>
      </c>
      <c r="X31" s="129">
        <f>Test!O172</f>
        <v/>
      </c>
      <c r="Y31" s="129">
        <f>('Summary (Full)'!$B$34*V31+'Summary (Full)'!$B$35*W31+'Summary (Full)'!$B$36*X31)/'Summary (Full)'!$B$37</f>
        <v/>
      </c>
      <c r="Z31" s="129">
        <f>Test!P172</f>
        <v/>
      </c>
      <c r="AA31" s="129">
        <f>Test!Q172</f>
        <v/>
      </c>
      <c r="AB31" s="129">
        <f>Test!R172</f>
        <v/>
      </c>
      <c r="AC31" s="129">
        <f>Test!S172</f>
        <v/>
      </c>
      <c r="AD31" s="129">
        <f>Test!T172</f>
        <v/>
      </c>
      <c r="AE31" s="129">
        <f>Test!U172</f>
        <v/>
      </c>
      <c r="AF31" s="129">
        <f>Test!V172</f>
        <v/>
      </c>
      <c r="AG31" s="129">
        <f>Test!W172</f>
        <v/>
      </c>
      <c r="AH31" s="129">
        <f>Test!X172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Test!Y172</f>
        <v/>
      </c>
      <c r="AK31" s="129">
        <f>Test!Z172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Anchor!L173</f>
        <v/>
      </c>
      <c r="D32" s="129">
        <f>Anchor!M173</f>
        <v/>
      </c>
      <c r="E32" s="129">
        <f>Anchor!N173</f>
        <v/>
      </c>
      <c r="F32" s="129">
        <f>Anchor!O173</f>
        <v/>
      </c>
      <c r="G32" s="130">
        <f>('Summary (Full)'!$B$34*D32+'Summary (Full)'!$B$35*E32+'Summary (Full)'!$B$36*F32)/'Summary (Full)'!$B$37</f>
        <v/>
      </c>
      <c r="H32" s="129">
        <f>Anchor!P173</f>
        <v/>
      </c>
      <c r="I32" s="129">
        <f>Anchor!Q173</f>
        <v/>
      </c>
      <c r="J32" s="129">
        <f>Anchor!R173</f>
        <v/>
      </c>
      <c r="K32" s="129">
        <f>Anchor!S173</f>
        <v/>
      </c>
      <c r="L32" s="129">
        <f>Anchor!T173</f>
        <v/>
      </c>
      <c r="M32" s="129">
        <f>Anchor!U173</f>
        <v/>
      </c>
      <c r="N32" s="129">
        <f>Anchor!V173</f>
        <v/>
      </c>
      <c r="O32" s="129">
        <f>Anchor!W173</f>
        <v/>
      </c>
      <c r="P32" s="129">
        <f>Anchor!X173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Anchor!Y173</f>
        <v/>
      </c>
      <c r="S32" s="129">
        <f>Anchor!Z173</f>
        <v/>
      </c>
      <c r="T32" s="129" t="n"/>
      <c r="U32" s="129">
        <f>Test!L173</f>
        <v/>
      </c>
      <c r="V32" s="129">
        <f>Test!M173</f>
        <v/>
      </c>
      <c r="W32" s="129">
        <f>Test!N173</f>
        <v/>
      </c>
      <c r="X32" s="129">
        <f>Test!O173</f>
        <v/>
      </c>
      <c r="Y32" s="129">
        <f>('Summary (Full)'!$B$34*V32+'Summary (Full)'!$B$35*W32+'Summary (Full)'!$B$36*X32)/'Summary (Full)'!$B$37</f>
        <v/>
      </c>
      <c r="Z32" s="129">
        <f>Test!P173</f>
        <v/>
      </c>
      <c r="AA32" s="129">
        <f>Test!Q173</f>
        <v/>
      </c>
      <c r="AB32" s="129">
        <f>Test!R173</f>
        <v/>
      </c>
      <c r="AC32" s="129">
        <f>Test!S173</f>
        <v/>
      </c>
      <c r="AD32" s="129">
        <f>Test!T173</f>
        <v/>
      </c>
      <c r="AE32" s="129">
        <f>Test!U173</f>
        <v/>
      </c>
      <c r="AF32" s="129">
        <f>Test!V173</f>
        <v/>
      </c>
      <c r="AG32" s="129">
        <f>Test!W173</f>
        <v/>
      </c>
      <c r="AH32" s="129">
        <f>Test!X173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Test!Y173</f>
        <v/>
      </c>
      <c r="AK32" s="129">
        <f>Test!Z173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Anchor!L174</f>
        <v/>
      </c>
      <c r="D33" s="129">
        <f>Anchor!M174</f>
        <v/>
      </c>
      <c r="E33" s="129">
        <f>Anchor!N174</f>
        <v/>
      </c>
      <c r="F33" s="129">
        <f>Anchor!O174</f>
        <v/>
      </c>
      <c r="G33" s="130">
        <f>('Summary (Full)'!$B$34*D33+'Summary (Full)'!$B$35*E33+'Summary (Full)'!$B$36*F33)/'Summary (Full)'!$B$37</f>
        <v/>
      </c>
      <c r="H33" s="129">
        <f>Anchor!P174</f>
        <v/>
      </c>
      <c r="I33" s="129">
        <f>Anchor!Q174</f>
        <v/>
      </c>
      <c r="J33" s="129">
        <f>Anchor!R174</f>
        <v/>
      </c>
      <c r="K33" s="129">
        <f>Anchor!S174</f>
        <v/>
      </c>
      <c r="L33" s="129">
        <f>Anchor!T174</f>
        <v/>
      </c>
      <c r="M33" s="129">
        <f>Anchor!U174</f>
        <v/>
      </c>
      <c r="N33" s="129">
        <f>Anchor!V174</f>
        <v/>
      </c>
      <c r="O33" s="129">
        <f>Anchor!W174</f>
        <v/>
      </c>
      <c r="P33" s="129">
        <f>Anchor!X174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Anchor!Y174</f>
        <v/>
      </c>
      <c r="S33" s="129">
        <f>Anchor!Z174</f>
        <v/>
      </c>
      <c r="T33" s="129" t="n"/>
      <c r="U33" s="129">
        <f>Test!L174</f>
        <v/>
      </c>
      <c r="V33" s="129">
        <f>Test!M174</f>
        <v/>
      </c>
      <c r="W33" s="129">
        <f>Test!N174</f>
        <v/>
      </c>
      <c r="X33" s="129">
        <f>Test!O174</f>
        <v/>
      </c>
      <c r="Y33" s="129">
        <f>('Summary (Full)'!$B$34*V33+'Summary (Full)'!$B$35*W33+'Summary (Full)'!$B$36*X33)/'Summary (Full)'!$B$37</f>
        <v/>
      </c>
      <c r="Z33" s="129">
        <f>Test!P174</f>
        <v/>
      </c>
      <c r="AA33" s="129">
        <f>Test!Q174</f>
        <v/>
      </c>
      <c r="AB33" s="129">
        <f>Test!R174</f>
        <v/>
      </c>
      <c r="AC33" s="129">
        <f>Test!S174</f>
        <v/>
      </c>
      <c r="AD33" s="129">
        <f>Test!T174</f>
        <v/>
      </c>
      <c r="AE33" s="129">
        <f>Test!U174</f>
        <v/>
      </c>
      <c r="AF33" s="129">
        <f>Test!V174</f>
        <v/>
      </c>
      <c r="AG33" s="129">
        <f>Test!W174</f>
        <v/>
      </c>
      <c r="AH33" s="129">
        <f>Test!X174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Test!Y174</f>
        <v/>
      </c>
      <c r="AK33" s="129">
        <f>Test!Z174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Anchor!L175</f>
        <v/>
      </c>
      <c r="D34" s="129">
        <f>Anchor!M175</f>
        <v/>
      </c>
      <c r="E34" s="129">
        <f>Anchor!N175</f>
        <v/>
      </c>
      <c r="F34" s="129">
        <f>Anchor!O175</f>
        <v/>
      </c>
      <c r="G34" s="130">
        <f>('Summary (Full)'!$B$34*D34+'Summary (Full)'!$B$35*E34+'Summary (Full)'!$B$36*F34)/'Summary (Full)'!$B$37</f>
        <v/>
      </c>
      <c r="H34" s="129">
        <f>Anchor!P175</f>
        <v/>
      </c>
      <c r="I34" s="129">
        <f>Anchor!Q175</f>
        <v/>
      </c>
      <c r="J34" s="129">
        <f>Anchor!R175</f>
        <v/>
      </c>
      <c r="K34" s="129">
        <f>Anchor!S175</f>
        <v/>
      </c>
      <c r="L34" s="129">
        <f>Anchor!T175</f>
        <v/>
      </c>
      <c r="M34" s="129">
        <f>Anchor!U175</f>
        <v/>
      </c>
      <c r="N34" s="129">
        <f>Anchor!V175</f>
        <v/>
      </c>
      <c r="O34" s="129">
        <f>Anchor!W175</f>
        <v/>
      </c>
      <c r="P34" s="129">
        <f>Anchor!X175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Anchor!Y175</f>
        <v/>
      </c>
      <c r="S34" s="129">
        <f>Anchor!Z175</f>
        <v/>
      </c>
      <c r="T34" s="129" t="n"/>
      <c r="U34" s="129">
        <f>Test!L175</f>
        <v/>
      </c>
      <c r="V34" s="129">
        <f>Test!M175</f>
        <v/>
      </c>
      <c r="W34" s="129">
        <f>Test!N175</f>
        <v/>
      </c>
      <c r="X34" s="129">
        <f>Test!O175</f>
        <v/>
      </c>
      <c r="Y34" s="129">
        <f>('Summary (Full)'!$B$34*V34+'Summary (Full)'!$B$35*W34+'Summary (Full)'!$B$36*X34)/'Summary (Full)'!$B$37</f>
        <v/>
      </c>
      <c r="Z34" s="129">
        <f>Test!P175</f>
        <v/>
      </c>
      <c r="AA34" s="129">
        <f>Test!Q175</f>
        <v/>
      </c>
      <c r="AB34" s="129">
        <f>Test!R175</f>
        <v/>
      </c>
      <c r="AC34" s="129">
        <f>Test!S175</f>
        <v/>
      </c>
      <c r="AD34" s="129">
        <f>Test!T175</f>
        <v/>
      </c>
      <c r="AE34" s="129">
        <f>Test!U175</f>
        <v/>
      </c>
      <c r="AF34" s="129">
        <f>Test!V175</f>
        <v/>
      </c>
      <c r="AG34" s="129">
        <f>Test!W175</f>
        <v/>
      </c>
      <c r="AH34" s="129">
        <f>Test!X175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Test!Y175</f>
        <v/>
      </c>
      <c r="AK34" s="129">
        <f>Test!Z175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Anchor!L176</f>
        <v/>
      </c>
      <c r="D35" s="129">
        <f>Anchor!M176</f>
        <v/>
      </c>
      <c r="E35" s="129">
        <f>Anchor!N176</f>
        <v/>
      </c>
      <c r="F35" s="129">
        <f>Anchor!O176</f>
        <v/>
      </c>
      <c r="G35" s="130">
        <f>('Summary (Full)'!$B$34*D35+'Summary (Full)'!$B$35*E35+'Summary (Full)'!$B$36*F35)/'Summary (Full)'!$B$37</f>
        <v/>
      </c>
      <c r="H35" s="129">
        <f>Anchor!P176</f>
        <v/>
      </c>
      <c r="I35" s="129">
        <f>Anchor!Q176</f>
        <v/>
      </c>
      <c r="J35" s="129">
        <f>Anchor!R176</f>
        <v/>
      </c>
      <c r="K35" s="129">
        <f>Anchor!S176</f>
        <v/>
      </c>
      <c r="L35" s="129">
        <f>Anchor!T176</f>
        <v/>
      </c>
      <c r="M35" s="129">
        <f>Anchor!U176</f>
        <v/>
      </c>
      <c r="N35" s="129">
        <f>Anchor!V176</f>
        <v/>
      </c>
      <c r="O35" s="129">
        <f>Anchor!W176</f>
        <v/>
      </c>
      <c r="P35" s="129">
        <f>Anchor!X176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Anchor!Y176</f>
        <v/>
      </c>
      <c r="S35" s="129">
        <f>Anchor!Z176</f>
        <v/>
      </c>
      <c r="T35" s="129" t="n"/>
      <c r="U35" s="129">
        <f>Test!L176</f>
        <v/>
      </c>
      <c r="V35" s="129">
        <f>Test!M176</f>
        <v/>
      </c>
      <c r="W35" s="129">
        <f>Test!N176</f>
        <v/>
      </c>
      <c r="X35" s="129">
        <f>Test!O176</f>
        <v/>
      </c>
      <c r="Y35" s="129">
        <f>('Summary (Full)'!$B$34*V35+'Summary (Full)'!$B$35*W35+'Summary (Full)'!$B$36*X35)/'Summary (Full)'!$B$37</f>
        <v/>
      </c>
      <c r="Z35" s="129">
        <f>Test!P176</f>
        <v/>
      </c>
      <c r="AA35" s="129">
        <f>Test!Q176</f>
        <v/>
      </c>
      <c r="AB35" s="129">
        <f>Test!R176</f>
        <v/>
      </c>
      <c r="AC35" s="129">
        <f>Test!S176</f>
        <v/>
      </c>
      <c r="AD35" s="129">
        <f>Test!T176</f>
        <v/>
      </c>
      <c r="AE35" s="129">
        <f>Test!U176</f>
        <v/>
      </c>
      <c r="AF35" s="129">
        <f>Test!V176</f>
        <v/>
      </c>
      <c r="AG35" s="129">
        <f>Test!W176</f>
        <v/>
      </c>
      <c r="AH35" s="129">
        <f>Test!X176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Test!Y176</f>
        <v/>
      </c>
      <c r="AK35" s="129">
        <f>Test!Z176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Anchor!L177</f>
        <v/>
      </c>
      <c r="D36" s="129">
        <f>Anchor!M177</f>
        <v/>
      </c>
      <c r="E36" s="129">
        <f>Anchor!N177</f>
        <v/>
      </c>
      <c r="F36" s="129">
        <f>Anchor!O177</f>
        <v/>
      </c>
      <c r="G36" s="130">
        <f>('Summary (Full)'!$B$34*D36+'Summary (Full)'!$B$35*E36+'Summary (Full)'!$B$36*F36)/'Summary (Full)'!$B$37</f>
        <v/>
      </c>
      <c r="H36" s="129">
        <f>Anchor!P177</f>
        <v/>
      </c>
      <c r="I36" s="129">
        <f>Anchor!Q177</f>
        <v/>
      </c>
      <c r="J36" s="129">
        <f>Anchor!R177</f>
        <v/>
      </c>
      <c r="K36" s="129">
        <f>Anchor!S177</f>
        <v/>
      </c>
      <c r="L36" s="129">
        <f>Anchor!T177</f>
        <v/>
      </c>
      <c r="M36" s="129">
        <f>Anchor!U177</f>
        <v/>
      </c>
      <c r="N36" s="129">
        <f>Anchor!V177</f>
        <v/>
      </c>
      <c r="O36" s="129">
        <f>Anchor!W177</f>
        <v/>
      </c>
      <c r="P36" s="129">
        <f>Anchor!X177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Anchor!Y177</f>
        <v/>
      </c>
      <c r="S36" s="129">
        <f>Anchor!Z177</f>
        <v/>
      </c>
      <c r="T36" s="129" t="n"/>
      <c r="U36" s="129">
        <f>Test!L177</f>
        <v/>
      </c>
      <c r="V36" s="129">
        <f>Test!M177</f>
        <v/>
      </c>
      <c r="W36" s="129">
        <f>Test!N177</f>
        <v/>
      </c>
      <c r="X36" s="129">
        <f>Test!O177</f>
        <v/>
      </c>
      <c r="Y36" s="129">
        <f>('Summary (Full)'!$B$34*V36+'Summary (Full)'!$B$35*W36+'Summary (Full)'!$B$36*X36)/'Summary (Full)'!$B$37</f>
        <v/>
      </c>
      <c r="Z36" s="129">
        <f>Test!P177</f>
        <v/>
      </c>
      <c r="AA36" s="129">
        <f>Test!Q177</f>
        <v/>
      </c>
      <c r="AB36" s="129">
        <f>Test!R177</f>
        <v/>
      </c>
      <c r="AC36" s="129">
        <f>Test!S177</f>
        <v/>
      </c>
      <c r="AD36" s="129">
        <f>Test!T177</f>
        <v/>
      </c>
      <c r="AE36" s="129">
        <f>Test!U177</f>
        <v/>
      </c>
      <c r="AF36" s="129">
        <f>Test!V177</f>
        <v/>
      </c>
      <c r="AG36" s="129">
        <f>Test!W177</f>
        <v/>
      </c>
      <c r="AH36" s="129">
        <f>Test!X177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Test!Y177</f>
        <v/>
      </c>
      <c r="AK36" s="129">
        <f>Test!Z177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Anchor!L178</f>
        <v/>
      </c>
      <c r="D37" s="129">
        <f>Anchor!M178</f>
        <v/>
      </c>
      <c r="E37" s="129">
        <f>Anchor!N178</f>
        <v/>
      </c>
      <c r="F37" s="129">
        <f>Anchor!O178</f>
        <v/>
      </c>
      <c r="G37" s="130">
        <f>('Summary (Full)'!$B$34*D37+'Summary (Full)'!$B$35*E37+'Summary (Full)'!$B$36*F37)/'Summary (Full)'!$B$37</f>
        <v/>
      </c>
      <c r="H37" s="129">
        <f>Anchor!P178</f>
        <v/>
      </c>
      <c r="I37" s="129">
        <f>Anchor!Q178</f>
        <v/>
      </c>
      <c r="J37" s="129">
        <f>Anchor!R178</f>
        <v/>
      </c>
      <c r="K37" s="129">
        <f>Anchor!S178</f>
        <v/>
      </c>
      <c r="L37" s="129">
        <f>Anchor!T178</f>
        <v/>
      </c>
      <c r="M37" s="129">
        <f>Anchor!U178</f>
        <v/>
      </c>
      <c r="N37" s="129">
        <f>Anchor!V178</f>
        <v/>
      </c>
      <c r="O37" s="129">
        <f>Anchor!W178</f>
        <v/>
      </c>
      <c r="P37" s="129">
        <f>Anchor!X178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Anchor!Y178</f>
        <v/>
      </c>
      <c r="S37" s="129">
        <f>Anchor!Z178</f>
        <v/>
      </c>
      <c r="T37" s="129" t="n"/>
      <c r="U37" s="129">
        <f>Test!L178</f>
        <v/>
      </c>
      <c r="V37" s="129">
        <f>Test!M178</f>
        <v/>
      </c>
      <c r="W37" s="129">
        <f>Test!N178</f>
        <v/>
      </c>
      <c r="X37" s="129">
        <f>Test!O178</f>
        <v/>
      </c>
      <c r="Y37" s="129">
        <f>('Summary (Full)'!$B$34*V37+'Summary (Full)'!$B$35*W37+'Summary (Full)'!$B$36*X37)/'Summary (Full)'!$B$37</f>
        <v/>
      </c>
      <c r="Z37" s="129">
        <f>Test!P178</f>
        <v/>
      </c>
      <c r="AA37" s="129">
        <f>Test!Q178</f>
        <v/>
      </c>
      <c r="AB37" s="129">
        <f>Test!R178</f>
        <v/>
      </c>
      <c r="AC37" s="129">
        <f>Test!S178</f>
        <v/>
      </c>
      <c r="AD37" s="129">
        <f>Test!T178</f>
        <v/>
      </c>
      <c r="AE37" s="129">
        <f>Test!U178</f>
        <v/>
      </c>
      <c r="AF37" s="129">
        <f>Test!V178</f>
        <v/>
      </c>
      <c r="AG37" s="129">
        <f>Test!W178</f>
        <v/>
      </c>
      <c r="AH37" s="129">
        <f>Test!X178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Test!Y178</f>
        <v/>
      </c>
      <c r="AK37" s="129">
        <f>Test!Z178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Anchor!L179</f>
        <v/>
      </c>
      <c r="D38" s="129">
        <f>Anchor!M179</f>
        <v/>
      </c>
      <c r="E38" s="129">
        <f>Anchor!N179</f>
        <v/>
      </c>
      <c r="F38" s="129">
        <f>Anchor!O179</f>
        <v/>
      </c>
      <c r="G38" s="130">
        <f>('Summary (Full)'!$B$34*D38+'Summary (Full)'!$B$35*E38+'Summary (Full)'!$B$36*F38)/'Summary (Full)'!$B$37</f>
        <v/>
      </c>
      <c r="H38" s="129">
        <f>Anchor!P179</f>
        <v/>
      </c>
      <c r="I38" s="129">
        <f>Anchor!Q179</f>
        <v/>
      </c>
      <c r="J38" s="129">
        <f>Anchor!R179</f>
        <v/>
      </c>
      <c r="K38" s="129">
        <f>Anchor!S179</f>
        <v/>
      </c>
      <c r="L38" s="129">
        <f>Anchor!T179</f>
        <v/>
      </c>
      <c r="M38" s="129">
        <f>Anchor!U179</f>
        <v/>
      </c>
      <c r="N38" s="129">
        <f>Anchor!V179</f>
        <v/>
      </c>
      <c r="O38" s="129">
        <f>Anchor!W179</f>
        <v/>
      </c>
      <c r="P38" s="129">
        <f>Anchor!X179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Anchor!Y179</f>
        <v/>
      </c>
      <c r="S38" s="129">
        <f>Anchor!Z179</f>
        <v/>
      </c>
      <c r="T38" s="129" t="n"/>
      <c r="U38" s="129">
        <f>Test!L179</f>
        <v/>
      </c>
      <c r="V38" s="129">
        <f>Test!M179</f>
        <v/>
      </c>
      <c r="W38" s="129">
        <f>Test!N179</f>
        <v/>
      </c>
      <c r="X38" s="129">
        <f>Test!O179</f>
        <v/>
      </c>
      <c r="Y38" s="129">
        <f>('Summary (Full)'!$B$34*V38+'Summary (Full)'!$B$35*W38+'Summary (Full)'!$B$36*X38)/'Summary (Full)'!$B$37</f>
        <v/>
      </c>
      <c r="Z38" s="129">
        <f>Test!P179</f>
        <v/>
      </c>
      <c r="AA38" s="129">
        <f>Test!Q179</f>
        <v/>
      </c>
      <c r="AB38" s="129">
        <f>Test!R179</f>
        <v/>
      </c>
      <c r="AC38" s="129">
        <f>Test!S179</f>
        <v/>
      </c>
      <c r="AD38" s="129">
        <f>Test!T179</f>
        <v/>
      </c>
      <c r="AE38" s="129">
        <f>Test!U179</f>
        <v/>
      </c>
      <c r="AF38" s="129">
        <f>Test!V179</f>
        <v/>
      </c>
      <c r="AG38" s="129">
        <f>Test!W179</f>
        <v/>
      </c>
      <c r="AH38" s="129">
        <f>Test!X179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Test!Y179</f>
        <v/>
      </c>
      <c r="AK38" s="129">
        <f>Test!Z179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Anchor!L180</f>
        <v/>
      </c>
      <c r="D39" s="129">
        <f>Anchor!M180</f>
        <v/>
      </c>
      <c r="E39" s="129">
        <f>Anchor!N180</f>
        <v/>
      </c>
      <c r="F39" s="129">
        <f>Anchor!O180</f>
        <v/>
      </c>
      <c r="G39" s="130">
        <f>('Summary (Full)'!$B$34*D39+'Summary (Full)'!$B$35*E39+'Summary (Full)'!$B$36*F39)/'Summary (Full)'!$B$37</f>
        <v/>
      </c>
      <c r="H39" s="129">
        <f>Anchor!P180</f>
        <v/>
      </c>
      <c r="I39" s="129">
        <f>Anchor!Q180</f>
        <v/>
      </c>
      <c r="J39" s="129">
        <f>Anchor!R180</f>
        <v/>
      </c>
      <c r="K39" s="129">
        <f>Anchor!S180</f>
        <v/>
      </c>
      <c r="L39" s="129">
        <f>Anchor!T180</f>
        <v/>
      </c>
      <c r="M39" s="129">
        <f>Anchor!U180</f>
        <v/>
      </c>
      <c r="N39" s="129">
        <f>Anchor!V180</f>
        <v/>
      </c>
      <c r="O39" s="129">
        <f>Anchor!W180</f>
        <v/>
      </c>
      <c r="P39" s="129">
        <f>Anchor!X180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Anchor!Y180</f>
        <v/>
      </c>
      <c r="S39" s="129">
        <f>Anchor!Z180</f>
        <v/>
      </c>
      <c r="T39" s="129" t="n"/>
      <c r="U39" s="129">
        <f>Test!L180</f>
        <v/>
      </c>
      <c r="V39" s="129">
        <f>Test!M180</f>
        <v/>
      </c>
      <c r="W39" s="129">
        <f>Test!N180</f>
        <v/>
      </c>
      <c r="X39" s="129">
        <f>Test!O180</f>
        <v/>
      </c>
      <c r="Y39" s="129">
        <f>('Summary (Full)'!$B$34*V39+'Summary (Full)'!$B$35*W39+'Summary (Full)'!$B$36*X39)/'Summary (Full)'!$B$37</f>
        <v/>
      </c>
      <c r="Z39" s="129">
        <f>Test!P180</f>
        <v/>
      </c>
      <c r="AA39" s="129">
        <f>Test!Q180</f>
        <v/>
      </c>
      <c r="AB39" s="129">
        <f>Test!R180</f>
        <v/>
      </c>
      <c r="AC39" s="129">
        <f>Test!S180</f>
        <v/>
      </c>
      <c r="AD39" s="129">
        <f>Test!T180</f>
        <v/>
      </c>
      <c r="AE39" s="129">
        <f>Test!U180</f>
        <v/>
      </c>
      <c r="AF39" s="129">
        <f>Test!V180</f>
        <v/>
      </c>
      <c r="AG39" s="129">
        <f>Test!W180</f>
        <v/>
      </c>
      <c r="AH39" s="129">
        <f>Test!X180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Test!Y180</f>
        <v/>
      </c>
      <c r="AK39" s="129">
        <f>Test!Z180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Anchor!L181</f>
        <v/>
      </c>
      <c r="D40" s="129">
        <f>Anchor!M181</f>
        <v/>
      </c>
      <c r="E40" s="129">
        <f>Anchor!N181</f>
        <v/>
      </c>
      <c r="F40" s="129">
        <f>Anchor!O181</f>
        <v/>
      </c>
      <c r="G40" s="130">
        <f>('Summary (Full)'!$B$34*D40+'Summary (Full)'!$B$35*E40+'Summary (Full)'!$B$36*F40)/'Summary (Full)'!$B$37</f>
        <v/>
      </c>
      <c r="H40" s="129">
        <f>Anchor!P181</f>
        <v/>
      </c>
      <c r="I40" s="129">
        <f>Anchor!Q181</f>
        <v/>
      </c>
      <c r="J40" s="129">
        <f>Anchor!R181</f>
        <v/>
      </c>
      <c r="K40" s="129">
        <f>Anchor!S181</f>
        <v/>
      </c>
      <c r="L40" s="129">
        <f>Anchor!T181</f>
        <v/>
      </c>
      <c r="M40" s="129">
        <f>Anchor!U181</f>
        <v/>
      </c>
      <c r="N40" s="129">
        <f>Anchor!V181</f>
        <v/>
      </c>
      <c r="O40" s="129">
        <f>Anchor!W181</f>
        <v/>
      </c>
      <c r="P40" s="129">
        <f>Anchor!X181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Anchor!Y181</f>
        <v/>
      </c>
      <c r="S40" s="129">
        <f>Anchor!Z181</f>
        <v/>
      </c>
      <c r="T40" s="129" t="n"/>
      <c r="U40" s="129">
        <f>Test!L181</f>
        <v/>
      </c>
      <c r="V40" s="129">
        <f>Test!M181</f>
        <v/>
      </c>
      <c r="W40" s="129">
        <f>Test!N181</f>
        <v/>
      </c>
      <c r="X40" s="129">
        <f>Test!O181</f>
        <v/>
      </c>
      <c r="Y40" s="129">
        <f>('Summary (Full)'!$B$34*V40+'Summary (Full)'!$B$35*W40+'Summary (Full)'!$B$36*X40)/'Summary (Full)'!$B$37</f>
        <v/>
      </c>
      <c r="Z40" s="129">
        <f>Test!P181</f>
        <v/>
      </c>
      <c r="AA40" s="129">
        <f>Test!Q181</f>
        <v/>
      </c>
      <c r="AB40" s="129">
        <f>Test!R181</f>
        <v/>
      </c>
      <c r="AC40" s="129">
        <f>Test!S181</f>
        <v/>
      </c>
      <c r="AD40" s="129">
        <f>Test!T181</f>
        <v/>
      </c>
      <c r="AE40" s="129">
        <f>Test!U181</f>
        <v/>
      </c>
      <c r="AF40" s="129">
        <f>Test!V181</f>
        <v/>
      </c>
      <c r="AG40" s="129">
        <f>Test!W181</f>
        <v/>
      </c>
      <c r="AH40" s="129">
        <f>Test!X181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Test!Y181</f>
        <v/>
      </c>
      <c r="AK40" s="129">
        <f>Test!Z181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61" operator="greaterThan" dxfId="3" stopIfTrue="1">
      <formula>0.03</formula>
    </cfRule>
    <cfRule type="cellIs" priority="662" operator="lessThan" dxfId="2" stopIfTrue="1">
      <formula>-0.03</formula>
    </cfRule>
  </conditionalFormatting>
  <conditionalFormatting sqref="AQ5">
    <cfRule type="cellIs" priority="679" operator="greaterThan" dxfId="3" stopIfTrue="1">
      <formula>0.03</formula>
    </cfRule>
    <cfRule type="cellIs" priority="680" operator="lessThan" dxfId="2" stopIfTrue="1">
      <formula>-0.03</formula>
    </cfRule>
  </conditionalFormatting>
  <conditionalFormatting sqref="CH5">
    <cfRule type="cellIs" priority="681" operator="greaterThan" dxfId="3" stopIfTrue="1">
      <formula>0.03</formula>
    </cfRule>
    <cfRule type="cellIs" priority="682" operator="lessThan" dxfId="2" stopIfTrue="1">
      <formula>-0.03</formula>
    </cfRule>
  </conditionalFormatting>
  <conditionalFormatting sqref="AQ5:AQ10">
    <cfRule type="cellIs" priority="683" operator="greaterThan" dxfId="1" stopIfTrue="1">
      <formula>0</formula>
    </cfRule>
    <cfRule type="cellIs" priority="684" operator="lessThan" dxfId="0" stopIfTrue="1">
      <formula>0</formula>
    </cfRule>
  </conditionalFormatting>
  <conditionalFormatting sqref="AR5:AS5">
    <cfRule type="cellIs" priority="675" operator="greaterThan" dxfId="3" stopIfTrue="1">
      <formula>0.03</formula>
    </cfRule>
    <cfRule type="cellIs" priority="676" operator="lessThan" dxfId="2" stopIfTrue="1">
      <formula>-0.03</formula>
    </cfRule>
  </conditionalFormatting>
  <conditionalFormatting sqref="AR5:AS10">
    <cfRule type="cellIs" priority="677" operator="greaterThan" dxfId="1" stopIfTrue="1">
      <formula>0</formula>
    </cfRule>
    <cfRule type="cellIs" priority="678" operator="lessThan" dxfId="0" stopIfTrue="1">
      <formula>0</formula>
    </cfRule>
  </conditionalFormatting>
  <conditionalFormatting sqref="AU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AU5:AU10">
    <cfRule type="cellIs" priority="673" operator="greaterThan" dxfId="1" stopIfTrue="1">
      <formula>0</formula>
    </cfRule>
    <cfRule type="cellIs" priority="674" operator="lessThan" dxfId="0" stopIfTrue="1">
      <formula>0</formula>
    </cfRule>
  </conditionalFormatting>
  <conditionalFormatting sqref="AW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W5:AW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Y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Y5:AY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P5:AP6">
    <cfRule type="cellIs" priority="685" operator="greaterThan" dxfId="1" stopIfTrue="1">
      <formula>0</formula>
    </cfRule>
    <cfRule type="cellIs" priority="686" operator="lessThan" dxfId="4">
      <formula>0</formula>
    </cfRule>
  </conditionalFormatting>
  <conditionalFormatting sqref="AP7">
    <cfRule type="cellIs" priority="657" operator="greaterThan" dxfId="3" stopIfTrue="1">
      <formula>0.03</formula>
    </cfRule>
    <cfRule type="cellIs" priority="658" operator="lessThan" dxfId="2" stopIfTrue="1">
      <formula>-0.03</formula>
    </cfRule>
  </conditionalFormatting>
  <conditionalFormatting sqref="AP7:AP8">
    <cfRule type="cellIs" priority="659" operator="greaterThan" dxfId="1" stopIfTrue="1">
      <formula>0</formula>
    </cfRule>
    <cfRule type="cellIs" priority="660" operator="lessThan" dxfId="4">
      <formula>0</formula>
    </cfRule>
  </conditionalFormatting>
  <conditionalFormatting sqref="AP9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P9:AP10">
    <cfRule type="cellIs" priority="655" operator="greaterThan" dxfId="1" stopIfTrue="1">
      <formula>0</formula>
    </cfRule>
    <cfRule type="cellIs" priority="656" operator="lessThan" dxfId="4">
      <formula>0</formula>
    </cfRule>
  </conditionalFormatting>
  <conditionalFormatting sqref="AT5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T5:AT6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T7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T7:AT8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9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9:AT10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V5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V5:AV6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V7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V7:AV8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9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9:AV10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X5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X5:AX6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X7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X7:AX8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9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9:AX10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P11">
    <cfRule type="cellIs" priority="593" operator="greaterThan" dxfId="3" stopIfTrue="1">
      <formula>0.03</formula>
    </cfRule>
    <cfRule type="cellIs" priority="594" operator="lessThan" dxfId="2" stopIfTrue="1">
      <formula>-0.03</formula>
    </cfRule>
  </conditionalFormatting>
  <conditionalFormatting sqref="AQ11">
    <cfRule type="cellIs" priority="611" operator="greaterThan" dxfId="3" stopIfTrue="1">
      <formula>0.03</formula>
    </cfRule>
    <cfRule type="cellIs" priority="612" operator="lessThan" dxfId="2" stopIfTrue="1">
      <formula>-0.03</formula>
    </cfRule>
  </conditionalFormatting>
  <conditionalFormatting sqref="AQ11:AQ16">
    <cfRule type="cellIs" priority="613" operator="greaterThan" dxfId="1" stopIfTrue="1">
      <formula>0</formula>
    </cfRule>
    <cfRule type="cellIs" priority="614" operator="lessThan" dxfId="0" stopIfTrue="1">
      <formula>0</formula>
    </cfRule>
  </conditionalFormatting>
  <conditionalFormatting sqref="AR11:AS11">
    <cfRule type="cellIs" priority="607" operator="greaterThan" dxfId="3" stopIfTrue="1">
      <formula>0.03</formula>
    </cfRule>
    <cfRule type="cellIs" priority="608" operator="lessThan" dxfId="2" stopIfTrue="1">
      <formula>-0.03</formula>
    </cfRule>
  </conditionalFormatting>
  <conditionalFormatting sqref="AR11:AS16">
    <cfRule type="cellIs" priority="609" operator="greaterThan" dxfId="1" stopIfTrue="1">
      <formula>0</formula>
    </cfRule>
    <cfRule type="cellIs" priority="610" operator="lessThan" dxfId="0" stopIfTrue="1">
      <formula>0</formula>
    </cfRule>
  </conditionalFormatting>
  <conditionalFormatting sqref="AU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U11:AU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W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W11:AW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Y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Y11:AY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P11:AP12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P13">
    <cfRule type="cellIs" priority="589" operator="greaterThan" dxfId="3" stopIfTrue="1">
      <formula>0.03</formula>
    </cfRule>
    <cfRule type="cellIs" priority="590" operator="lessThan" dxfId="2" stopIfTrue="1">
      <formula>-0.03</formula>
    </cfRule>
  </conditionalFormatting>
  <conditionalFormatting sqref="AP13:AP14">
    <cfRule type="cellIs" priority="591" operator="greaterThan" dxfId="1" stopIfTrue="1">
      <formula>0</formula>
    </cfRule>
    <cfRule type="cellIs" priority="592" operator="lessThan" dxfId="4">
      <formula>0</formula>
    </cfRule>
  </conditionalFormatting>
  <conditionalFormatting sqref="AP15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P15:AP16">
    <cfRule type="cellIs" priority="587" operator="greaterThan" dxfId="1" stopIfTrue="1">
      <formula>0</formula>
    </cfRule>
    <cfRule type="cellIs" priority="588" operator="lessThan" dxfId="4">
      <formula>0</formula>
    </cfRule>
  </conditionalFormatting>
  <conditionalFormatting sqref="AT11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T11:AT12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T13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T13:AT14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5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5:AT16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V11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V11:AV12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V13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V13:AV14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5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5:AV16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P17 AP23 AP29 AP35">
    <cfRule type="cellIs" priority="541" operator="greaterThan" dxfId="3" stopIfTrue="1">
      <formula>0.03</formula>
    </cfRule>
    <cfRule type="cellIs" priority="542" operator="lessThan" dxfId="2" stopIfTrue="1">
      <formula>-0.03</formula>
    </cfRule>
  </conditionalFormatting>
  <conditionalFormatting sqref="AQ17 AQ23 AQ29 AQ35">
    <cfRule type="cellIs" priority="555" operator="greaterThan" dxfId="3" stopIfTrue="1">
      <formula>0.03</formula>
    </cfRule>
    <cfRule type="cellIs" priority="556" operator="lessThan" dxfId="2" stopIfTrue="1">
      <formula>-0.03</formula>
    </cfRule>
  </conditionalFormatting>
  <conditionalFormatting sqref="AQ17:AQ40">
    <cfRule type="cellIs" priority="557" operator="greaterThan" dxfId="1" stopIfTrue="1">
      <formula>0</formula>
    </cfRule>
    <cfRule type="cellIs" priority="558" operator="lessThan" dxfId="0" stopIfTrue="1">
      <formula>0</formula>
    </cfRule>
  </conditionalFormatting>
  <conditionalFormatting sqref="AR17:AS17 AR23:AS23 AR29:AS29 AR35:AS35">
    <cfRule type="cellIs" priority="551" operator="greaterThan" dxfId="3" stopIfTrue="1">
      <formula>0.03</formula>
    </cfRule>
    <cfRule type="cellIs" priority="552" operator="lessThan" dxfId="2" stopIfTrue="1">
      <formula>-0.03</formula>
    </cfRule>
  </conditionalFormatting>
  <conditionalFormatting sqref="AR17:AS40">
    <cfRule type="cellIs" priority="553" operator="greaterThan" dxfId="1" stopIfTrue="1">
      <formula>0</formula>
    </cfRule>
    <cfRule type="cellIs" priority="554" operator="lessThan" dxfId="0" stopIfTrue="1">
      <formula>0</formula>
    </cfRule>
  </conditionalFormatting>
  <conditionalFormatting sqref="AU17 AU23 AU29 AU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U17:AU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W17 AW23 AW29 AW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W17:AW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P17:AP18 AP23:AP24 AP29:AP30 AP35:AP36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P19 AP25 AP31 AP37">
    <cfRule type="cellIs" priority="537" operator="greaterThan" dxfId="3" stopIfTrue="1">
      <formula>0.03</formula>
    </cfRule>
    <cfRule type="cellIs" priority="538" operator="lessThan" dxfId="2" stopIfTrue="1">
      <formula>-0.03</formula>
    </cfRule>
  </conditionalFormatting>
  <conditionalFormatting sqref="AP19:AP20 AP25:AP26 AP31:AP32 AP37:AP38">
    <cfRule type="cellIs" priority="539" operator="greaterThan" dxfId="1" stopIfTrue="1">
      <formula>0</formula>
    </cfRule>
    <cfRule type="cellIs" priority="540" operator="lessThan" dxfId="4">
      <formula>0</formula>
    </cfRule>
  </conditionalFormatting>
  <conditionalFormatting sqref="AP21 AP27 AP33 AP39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P21:AP22 AP27:AP28 AP33:AP34 AP39:AP40">
    <cfRule type="cellIs" priority="535" operator="greaterThan" dxfId="1" stopIfTrue="1">
      <formula>0</formula>
    </cfRule>
    <cfRule type="cellIs" priority="536" operator="lessThan" dxfId="4">
      <formula>0</formula>
    </cfRule>
  </conditionalFormatting>
  <conditionalFormatting sqref="AT17 AT23 AT29 AT35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T17:AT18 AT23:AT24 AT29:AT30 AT35:AT36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T19 AT25 AT31 AT37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T19:AT20 AT25:AT26 AT31:AT32 AT37:AT38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21 AT27 AT33 AT39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21:AT22 AT27:AT28 AT33:AT34 AT39:AT40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V17 AV23 AV29 AV35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V17:AV18 AV23:AV24 AV29:AV30 AV35:AV36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V19 AV25 AV31 AV37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V19:AV20 AV25:AV26 AV31:AV32 AV37:AV38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21 AV27 AV33 AV39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21:AV22 AV27:AV28 AV33:AV34 AV39:AV40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BA11">
    <cfRule type="cellIs" priority="341" operator="greaterThan" dxfId="3" stopIfTrue="1">
      <formula>0.03</formula>
    </cfRule>
    <cfRule type="cellIs" priority="342" operator="lessThan" dxfId="2" stopIfTrue="1">
      <formula>-0.03</formula>
    </cfRule>
  </conditionalFormatting>
  <conditionalFormatting sqref="BA11:BA16">
    <cfRule type="cellIs" priority="343" operator="greaterThan" dxfId="1" stopIfTrue="1">
      <formula>0</formula>
    </cfRule>
    <cfRule type="cellIs" priority="344" operator="lessThan" dxfId="0" stopIfTrue="1">
      <formula>0</formula>
    </cfRule>
  </conditionalFormatting>
  <conditionalFormatting sqref="AZ11">
    <cfRule type="cellIs" priority="337" operator="greaterThan" dxfId="3" stopIfTrue="1">
      <formula>0.03</formula>
    </cfRule>
    <cfRule type="cellIs" priority="338" operator="lessThan" dxfId="2" stopIfTrue="1">
      <formula>-0.03</formula>
    </cfRule>
  </conditionalFormatting>
  <conditionalFormatting sqref="AZ11:AZ12">
    <cfRule type="cellIs" priority="339" operator="greaterThan" dxfId="1" stopIfTrue="1">
      <formula>0</formula>
    </cfRule>
    <cfRule type="cellIs" priority="340" operator="lessThan" dxfId="4">
      <formula>0</formula>
    </cfRule>
  </conditionalFormatting>
  <conditionalFormatting sqref="AZ13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AZ13:AZ14">
    <cfRule type="cellIs" priority="335" operator="greaterThan" dxfId="1" stopIfTrue="1">
      <formula>0</formula>
    </cfRule>
    <cfRule type="cellIs" priority="336" operator="lessThan" dxfId="4">
      <formula>0</formula>
    </cfRule>
  </conditionalFormatting>
  <conditionalFormatting sqref="AZ15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5:AZ16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BA5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BA5:BA10">
    <cfRule type="cellIs" priority="327" operator="greaterThan" dxfId="1" stopIfTrue="1">
      <formula>0</formula>
    </cfRule>
    <cfRule type="cellIs" priority="328" operator="lessThan" dxfId="0" stopIfTrue="1">
      <formula>0</formula>
    </cfRule>
  </conditionalFormatting>
  <conditionalFormatting sqref="AZ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5:AZ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AZ7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AZ7:AZ8">
    <cfRule type="cellIs" priority="319" operator="greaterThan" dxfId="1" stopIfTrue="1">
      <formula>0</formula>
    </cfRule>
    <cfRule type="cellIs" priority="320" operator="lessThan" dxfId="4">
      <formula>0</formula>
    </cfRule>
  </conditionalFormatting>
  <conditionalFormatting sqref="AZ9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9:AZ10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BA1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BA17:BA22">
    <cfRule type="cellIs" priority="311" operator="greaterThan" dxfId="1" stopIfTrue="1">
      <formula>0</formula>
    </cfRule>
    <cfRule type="cellIs" priority="312" operator="lessThan" dxfId="0" stopIfTrue="1">
      <formula>0</formula>
    </cfRule>
  </conditionalFormatting>
  <conditionalFormatting sqref="AZ17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17:AZ18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AZ19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AZ19:AZ20">
    <cfRule type="cellIs" priority="303" operator="greaterThan" dxfId="1" stopIfTrue="1">
      <formula>0</formula>
    </cfRule>
    <cfRule type="cellIs" priority="304" operator="lessThan" dxfId="4">
      <formula>0</formula>
    </cfRule>
  </conditionalFormatting>
  <conditionalFormatting sqref="AZ21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21:AZ22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BA2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BA29:BA34">
    <cfRule type="cellIs" priority="295" operator="greaterThan" dxfId="1" stopIfTrue="1">
      <formula>0</formula>
    </cfRule>
    <cfRule type="cellIs" priority="296" operator="lessThan" dxfId="0" stopIfTrue="1">
      <formula>0</formula>
    </cfRule>
  </conditionalFormatting>
  <conditionalFormatting sqref="AZ29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9:AZ30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AZ31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AZ31:AZ32">
    <cfRule type="cellIs" priority="287" operator="greaterThan" dxfId="1" stopIfTrue="1">
      <formula>0</formula>
    </cfRule>
    <cfRule type="cellIs" priority="288" operator="lessThan" dxfId="4">
      <formula>0</formula>
    </cfRule>
  </conditionalFormatting>
  <conditionalFormatting sqref="AZ33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33:AZ34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BA23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BA23:BA28">
    <cfRule type="cellIs" priority="279" operator="greaterThan" dxfId="1" stopIfTrue="1">
      <formula>0</formula>
    </cfRule>
    <cfRule type="cellIs" priority="280" operator="lessThan" dxfId="0" stopIfTrue="1">
      <formula>0</formula>
    </cfRule>
  </conditionalFormatting>
  <conditionalFormatting sqref="AZ2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23:AZ2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AZ25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AZ25:AZ26">
    <cfRule type="cellIs" priority="271" operator="greaterThan" dxfId="1" stopIfTrue="1">
      <formula>0</formula>
    </cfRule>
    <cfRule type="cellIs" priority="272" operator="lessThan" dxfId="4">
      <formula>0</formula>
    </cfRule>
  </conditionalFormatting>
  <conditionalFormatting sqref="AZ27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7:AZ28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BA3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BA35:BA40">
    <cfRule type="cellIs" priority="263" operator="greaterThan" dxfId="1" stopIfTrue="1">
      <formula>0</formula>
    </cfRule>
    <cfRule type="cellIs" priority="264" operator="lessThan" dxfId="0" stopIfTrue="1">
      <formula>0</formula>
    </cfRule>
  </conditionalFormatting>
  <conditionalFormatting sqref="AZ35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35:AZ36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AZ37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AZ37:AZ38">
    <cfRule type="cellIs" priority="255" operator="greaterThan" dxfId="1" stopIfTrue="1">
      <formula>0</formula>
    </cfRule>
    <cfRule type="cellIs" priority="256" operator="lessThan" dxfId="4">
      <formula>0</formula>
    </cfRule>
  </conditionalFormatting>
  <conditionalFormatting sqref="AZ39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9:AZ40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X11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X11:AX12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X13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X13:AX14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5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5:AX16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Y17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Y17:AY22">
    <cfRule type="cellIs" priority="235" operator="greaterThan" dxfId="1" stopIfTrue="1">
      <formula>0</formula>
    </cfRule>
    <cfRule type="cellIs" priority="236" operator="lessThan" dxfId="0" stopIfTrue="1">
      <formula>0</formula>
    </cfRule>
  </conditionalFormatting>
  <conditionalFormatting sqref="AX17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7:AX18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X19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X19:AX20">
    <cfRule type="cellIs" priority="227" operator="greaterThan" dxfId="1" stopIfTrue="1">
      <formula>0</formula>
    </cfRule>
    <cfRule type="cellIs" priority="228" operator="lessThan" dxfId="4">
      <formula>0</formula>
    </cfRule>
  </conditionalFormatting>
  <conditionalFormatting sqref="AX21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21:AX22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Y23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Y23:AY28">
    <cfRule type="cellIs" priority="219" operator="greaterThan" dxfId="1" stopIfTrue="1">
      <formula>0</formula>
    </cfRule>
    <cfRule type="cellIs" priority="220" operator="lessThan" dxfId="0" stopIfTrue="1">
      <formula>0</formula>
    </cfRule>
  </conditionalFormatting>
  <conditionalFormatting sqref="AX23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3:AX24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X25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X25:AX26">
    <cfRule type="cellIs" priority="211" operator="greaterThan" dxfId="1" stopIfTrue="1">
      <formula>0</formula>
    </cfRule>
    <cfRule type="cellIs" priority="212" operator="lessThan" dxfId="4">
      <formula>0</formula>
    </cfRule>
  </conditionalFormatting>
  <conditionalFormatting sqref="AX27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7:AX28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Y29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Y29:AY34">
    <cfRule type="cellIs" priority="203" operator="greaterThan" dxfId="1" stopIfTrue="1">
      <formula>0</formula>
    </cfRule>
    <cfRule type="cellIs" priority="204" operator="lessThan" dxfId="0" stopIfTrue="1">
      <formula>0</formula>
    </cfRule>
  </conditionalFormatting>
  <conditionalFormatting sqref="AX29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9:AX30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X31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X31:AX32">
    <cfRule type="cellIs" priority="195" operator="greaterThan" dxfId="1" stopIfTrue="1">
      <formula>0</formula>
    </cfRule>
    <cfRule type="cellIs" priority="196" operator="lessThan" dxfId="4">
      <formula>0</formula>
    </cfRule>
  </conditionalFormatting>
  <conditionalFormatting sqref="AX33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33:AX34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Y35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Y35:AY40">
    <cfRule type="cellIs" priority="187" operator="greaterThan" dxfId="1" stopIfTrue="1">
      <formula>0</formula>
    </cfRule>
    <cfRule type="cellIs" priority="188" operator="lessThan" dxfId="0" stopIfTrue="1">
      <formula>0</formula>
    </cfRule>
  </conditionalFormatting>
  <conditionalFormatting sqref="AX35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5:AX36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X37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X37:AX38">
    <cfRule type="cellIs" priority="179" operator="greaterThan" dxfId="1" stopIfTrue="1">
      <formula>0</formula>
    </cfRule>
    <cfRule type="cellIs" priority="180" operator="lessThan" dxfId="4">
      <formula>0</formula>
    </cfRule>
  </conditionalFormatting>
  <conditionalFormatting sqref="AX39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9:AX40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>
  <sheetPr codeName="Sheet27">
    <outlinePr summaryBelow="1" summaryRight="1"/>
    <pageSetUpPr/>
  </sheetPr>
  <dimension ref="A1:FS180"/>
  <sheetViews>
    <sheetView topLeftCell="A5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6640625" bestFit="1" customWidth="1" style="262" min="3" max="6"/>
    <col width="12.1640625" customWidth="1" style="262" min="7" max="7"/>
    <col width="12.6640625" bestFit="1" customWidth="1" style="262" min="8" max="8"/>
    <col width="12.1640625" customWidth="1" style="262" min="9" max="9"/>
    <col width="12.1640625" bestFit="1" customWidth="1" style="262" min="10" max="11"/>
    <col width="11.6640625" customWidth="1" style="262" min="12" max="17"/>
    <col width="12.6640625" bestFit="1" customWidth="1" style="262" min="18" max="19"/>
    <col width="13" customWidth="1" style="262" min="20" max="20"/>
    <col width="14.6640625" bestFit="1" customWidth="1" style="262" min="21" max="21"/>
    <col width="12.6640625" bestFit="1" customWidth="1" style="262" min="22" max="24"/>
    <col width="12.1640625" customWidth="1" style="262" min="25" max="25"/>
    <col width="12.6640625" bestFit="1" customWidth="1" style="262" min="26" max="26"/>
    <col width="12.1640625" customWidth="1" style="262" min="27" max="27"/>
    <col width="12.1640625" bestFit="1" customWidth="1" style="262" min="28" max="29"/>
    <col width="11.6640625" customWidth="1" style="262" min="30" max="35"/>
    <col width="14.6640625" bestFit="1" customWidth="1" style="262" min="36" max="36"/>
    <col width="12.6640625" bestFit="1" customWidth="1" style="262" min="37" max="37"/>
    <col width="12.1640625" customWidth="1" style="26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8.1640625" customWidth="1" style="261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8.1640625" customWidth="1" style="261" min="83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48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48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48" t="n"/>
      <c r="AM1" s="248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48" t="n"/>
      <c r="AM2" s="248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48" t="n"/>
      <c r="D3" s="248" t="inlineStr">
        <is>
          <t>PSNR</t>
        </is>
      </c>
      <c r="E3" s="233" t="n"/>
      <c r="F3" s="233" t="n"/>
      <c r="G3" s="234" t="n"/>
      <c r="H3" s="248" t="n"/>
      <c r="I3" s="248" t="n"/>
      <c r="J3" s="248" t="n"/>
      <c r="K3" s="248" t="n"/>
      <c r="L3" s="248" t="n"/>
      <c r="M3" s="248" t="n"/>
      <c r="N3" s="271" t="inlineStr">
        <is>
          <t>APSNR</t>
        </is>
      </c>
      <c r="O3" s="233" t="n"/>
      <c r="P3" s="233" t="n"/>
      <c r="Q3" s="234" t="n"/>
      <c r="R3" s="248" t="n"/>
      <c r="S3" s="248" t="n"/>
      <c r="T3" s="2" t="n"/>
      <c r="U3" s="248" t="n"/>
      <c r="V3" s="248" t="inlineStr">
        <is>
          <t>PSNR</t>
        </is>
      </c>
      <c r="W3" s="233" t="n"/>
      <c r="X3" s="233" t="n"/>
      <c r="Y3" s="234" t="n"/>
      <c r="Z3" s="248" t="n"/>
      <c r="AA3" s="248" t="n"/>
      <c r="AB3" s="248" t="n"/>
      <c r="AC3" s="248" t="n"/>
      <c r="AD3" s="248" t="n"/>
      <c r="AE3" s="248" t="n"/>
      <c r="AF3" s="260" t="inlineStr">
        <is>
          <t>APSNR</t>
        </is>
      </c>
      <c r="AG3" s="233" t="n"/>
      <c r="AH3" s="233" t="n"/>
      <c r="AI3" s="234" t="n"/>
      <c r="AJ3" s="248" t="n"/>
      <c r="AK3" s="248" t="n"/>
      <c r="AL3" s="248" t="n"/>
      <c r="AM3" s="248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36" t="inlineStr">
        <is>
          <t>Bit-rate</t>
        </is>
      </c>
      <c r="D4" s="36" t="inlineStr">
        <is>
          <t>Y</t>
        </is>
      </c>
      <c r="E4" s="36" t="inlineStr">
        <is>
          <t>U</t>
        </is>
      </c>
      <c r="F4" s="36" t="inlineStr">
        <is>
          <t>V</t>
        </is>
      </c>
      <c r="G4" s="36" t="inlineStr">
        <is>
          <t>YUV</t>
        </is>
      </c>
      <c r="H4" s="36" t="inlineStr">
        <is>
          <t>SSIM_Y</t>
        </is>
      </c>
      <c r="I4" s="36" t="inlineStr">
        <is>
          <t>MS-SSIM</t>
        </is>
      </c>
      <c r="J4" s="36" t="inlineStr">
        <is>
          <t>VMAF</t>
        </is>
      </c>
      <c r="K4" s="36" t="inlineStr">
        <is>
          <t>nVMAF</t>
        </is>
      </c>
      <c r="L4" s="36" t="inlineStr">
        <is>
          <t>PSNR-HVS</t>
        </is>
      </c>
      <c r="M4" s="36" t="inlineStr">
        <is>
          <t>DE-2K</t>
        </is>
      </c>
      <c r="N4" s="37" t="inlineStr">
        <is>
          <t>Y</t>
        </is>
      </c>
      <c r="O4" s="37" t="inlineStr">
        <is>
          <t>U</t>
        </is>
      </c>
      <c r="P4" s="37" t="inlineStr">
        <is>
          <t>V</t>
        </is>
      </c>
      <c r="Q4" s="37" t="inlineStr">
        <is>
          <t>YUV</t>
        </is>
      </c>
      <c r="R4" s="36" t="inlineStr">
        <is>
          <t>Enc-Time</t>
        </is>
      </c>
      <c r="S4" s="36" t="inlineStr">
        <is>
          <t>Dec-Time</t>
        </is>
      </c>
      <c r="T4" s="2" t="n"/>
      <c r="U4" s="36" t="inlineStr">
        <is>
          <t>Bit-rate</t>
        </is>
      </c>
      <c r="V4" s="36" t="inlineStr">
        <is>
          <t>Y</t>
        </is>
      </c>
      <c r="W4" s="36" t="inlineStr">
        <is>
          <t>U</t>
        </is>
      </c>
      <c r="X4" s="36" t="inlineStr">
        <is>
          <t>V</t>
        </is>
      </c>
      <c r="Y4" s="36" t="inlineStr">
        <is>
          <t>YUV</t>
        </is>
      </c>
      <c r="Z4" s="36" t="inlineStr">
        <is>
          <t>SSIM_Y</t>
        </is>
      </c>
      <c r="AA4" s="36" t="inlineStr">
        <is>
          <t>MS-SSIM</t>
        </is>
      </c>
      <c r="AB4" s="36" t="inlineStr">
        <is>
          <t>VMAF</t>
        </is>
      </c>
      <c r="AC4" s="36" t="inlineStr">
        <is>
          <t>nVMAF</t>
        </is>
      </c>
      <c r="AD4" s="36" t="inlineStr">
        <is>
          <t>PSNR-HVS</t>
        </is>
      </c>
      <c r="AE4" s="36" t="inlineStr">
        <is>
          <t>DE-2K</t>
        </is>
      </c>
      <c r="AF4" s="39" t="inlineStr">
        <is>
          <t>Y</t>
        </is>
      </c>
      <c r="AG4" s="39" t="inlineStr">
        <is>
          <t>U</t>
        </is>
      </c>
      <c r="AH4" s="39" t="inlineStr">
        <is>
          <t>V</t>
        </is>
      </c>
      <c r="AI4" s="39" t="inlineStr">
        <is>
          <t>YUV</t>
        </is>
      </c>
      <c r="AJ4" s="36" t="inlineStr">
        <is>
          <t>Enc-Time</t>
        </is>
      </c>
      <c r="AK4" s="36" t="inlineStr">
        <is>
          <t>Dec-Time</t>
        </is>
      </c>
      <c r="AL4" s="36" t="inlineStr">
        <is>
          <t>EncR</t>
        </is>
      </c>
      <c r="AM4" s="36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 ht="13" customHeight="1" s="241">
      <c r="A5" s="237" t="inlineStr">
        <is>
          <t>3840x2160</t>
        </is>
      </c>
      <c r="B5" s="38" t="n">
        <v>110</v>
      </c>
      <c r="C5" s="129">
        <f>Anchor!L182</f>
        <v/>
      </c>
      <c r="D5" s="129">
        <f>Anchor!M182</f>
        <v/>
      </c>
      <c r="E5" s="129">
        <f>Anchor!N182</f>
        <v/>
      </c>
      <c r="F5" s="129">
        <f>Anchor!O182</f>
        <v/>
      </c>
      <c r="G5" s="130">
        <f>('Summary (Full)'!$B$34*D5+'Summary (Full)'!$B$35*E5+'Summary (Full)'!$B$36*F5)/'Summary (Full)'!$B$37</f>
        <v/>
      </c>
      <c r="H5" s="129">
        <f>Anchor!P182</f>
        <v/>
      </c>
      <c r="I5" s="129">
        <f>Anchor!Q182</f>
        <v/>
      </c>
      <c r="J5" s="129">
        <f>Anchor!R182</f>
        <v/>
      </c>
      <c r="K5" s="129">
        <f>Anchor!S182</f>
        <v/>
      </c>
      <c r="L5" s="129">
        <f>Anchor!T182</f>
        <v/>
      </c>
      <c r="M5" s="129">
        <f>Anchor!U182</f>
        <v/>
      </c>
      <c r="N5" s="129">
        <f>Anchor!V182</f>
        <v/>
      </c>
      <c r="O5" s="129">
        <f>Anchor!W182</f>
        <v/>
      </c>
      <c r="P5" s="129">
        <f>Anchor!X182</f>
        <v/>
      </c>
      <c r="Q5" s="131">
        <f>10*LOG10(1/(('Summary (Full)'!$B$41/10^(N5/10)+'Summary (Full)'!$B$42/10^(O5/10)+'Summary (Full)'!$B$43/10^(P5/10))/'Summary (Full)'!$B$44))</f>
        <v/>
      </c>
      <c r="R5" s="129">
        <f>Anchor!Y182</f>
        <v/>
      </c>
      <c r="S5" s="129">
        <f>Anchor!Z182</f>
        <v/>
      </c>
      <c r="T5" s="132" t="n"/>
      <c r="U5" s="129">
        <f>Test!L182</f>
        <v/>
      </c>
      <c r="V5" s="129">
        <f>Test!M182</f>
        <v/>
      </c>
      <c r="W5" s="129">
        <f>Test!N182</f>
        <v/>
      </c>
      <c r="X5" s="129">
        <f>Test!O182</f>
        <v/>
      </c>
      <c r="Y5" s="129">
        <f>('Summary (Full)'!$B$34*V5+'Summary (Full)'!$B$35*W5+'Summary (Full)'!$B$36*X5)/'Summary (Full)'!$B$37</f>
        <v/>
      </c>
      <c r="Z5" s="129">
        <f>Test!P182</f>
        <v/>
      </c>
      <c r="AA5" s="129">
        <f>Test!Q182</f>
        <v/>
      </c>
      <c r="AB5" s="129">
        <f>Test!R182</f>
        <v/>
      </c>
      <c r="AC5" s="129">
        <f>Test!S182</f>
        <v/>
      </c>
      <c r="AD5" s="129">
        <f>Test!T182</f>
        <v/>
      </c>
      <c r="AE5" s="129">
        <f>Test!U182</f>
        <v/>
      </c>
      <c r="AF5" s="129">
        <f>Test!V182</f>
        <v/>
      </c>
      <c r="AG5" s="129">
        <f>Test!W182</f>
        <v/>
      </c>
      <c r="AH5" s="129">
        <f>Test!X182</f>
        <v/>
      </c>
      <c r="AI5" s="129">
        <f>10*LOG10(1/(('Summary (Full)'!$B$41/10^(AF5/10)+'Summary (Full)'!$B$42/10^(AG5/10)+'Summary (Full)'!$B$43/10^(AH5/10))/'Summary (Full)'!$B$44))</f>
        <v/>
      </c>
      <c r="AJ5" s="129">
        <f>Test!Y182</f>
        <v/>
      </c>
      <c r="AK5" s="129">
        <f>Test!Z182</f>
        <v/>
      </c>
      <c r="AL5" s="129">
        <f>AJ5/R5</f>
        <v/>
      </c>
      <c r="AM5" s="129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29">
        <f>Anchor!L183</f>
        <v/>
      </c>
      <c r="D6" s="129">
        <f>Anchor!M183</f>
        <v/>
      </c>
      <c r="E6" s="129">
        <f>Anchor!N183</f>
        <v/>
      </c>
      <c r="F6" s="129">
        <f>Anchor!O183</f>
        <v/>
      </c>
      <c r="G6" s="130">
        <f>('Summary (Full)'!$B$34*D6+'Summary (Full)'!$B$35*E6+'Summary (Full)'!$B$36*F6)/'Summary (Full)'!$B$37</f>
        <v/>
      </c>
      <c r="H6" s="129">
        <f>Anchor!P183</f>
        <v/>
      </c>
      <c r="I6" s="129">
        <f>Anchor!Q183</f>
        <v/>
      </c>
      <c r="J6" s="129">
        <f>Anchor!R183</f>
        <v/>
      </c>
      <c r="K6" s="129">
        <f>Anchor!S183</f>
        <v/>
      </c>
      <c r="L6" s="129">
        <f>Anchor!T183</f>
        <v/>
      </c>
      <c r="M6" s="129">
        <f>Anchor!U183</f>
        <v/>
      </c>
      <c r="N6" s="129">
        <f>Anchor!V183</f>
        <v/>
      </c>
      <c r="O6" s="129">
        <f>Anchor!W183</f>
        <v/>
      </c>
      <c r="P6" s="129">
        <f>Anchor!X183</f>
        <v/>
      </c>
      <c r="Q6" s="131">
        <f>10*LOG10(1/(('Summary (Full)'!$B$41/10^(N6/10)+'Summary (Full)'!$B$42/10^(O6/10)+'Summary (Full)'!$B$43/10^(P6/10))/'Summary (Full)'!$B$44))</f>
        <v/>
      </c>
      <c r="R6" s="129">
        <f>Anchor!Y183</f>
        <v/>
      </c>
      <c r="S6" s="129">
        <f>Anchor!Z183</f>
        <v/>
      </c>
      <c r="T6" s="132" t="n"/>
      <c r="U6" s="129">
        <f>Test!L183</f>
        <v/>
      </c>
      <c r="V6" s="129">
        <f>Test!M183</f>
        <v/>
      </c>
      <c r="W6" s="129">
        <f>Test!N183</f>
        <v/>
      </c>
      <c r="X6" s="129">
        <f>Test!O183</f>
        <v/>
      </c>
      <c r="Y6" s="129">
        <f>('Summary (Full)'!$B$34*V6+'Summary (Full)'!$B$35*W6+'Summary (Full)'!$B$36*X6)/'Summary (Full)'!$B$37</f>
        <v/>
      </c>
      <c r="Z6" s="129">
        <f>Test!P183</f>
        <v/>
      </c>
      <c r="AA6" s="129">
        <f>Test!Q183</f>
        <v/>
      </c>
      <c r="AB6" s="129">
        <f>Test!R183</f>
        <v/>
      </c>
      <c r="AC6" s="129">
        <f>Test!S183</f>
        <v/>
      </c>
      <c r="AD6" s="129">
        <f>Test!T183</f>
        <v/>
      </c>
      <c r="AE6" s="129">
        <f>Test!U183</f>
        <v/>
      </c>
      <c r="AF6" s="129">
        <f>Test!V183</f>
        <v/>
      </c>
      <c r="AG6" s="129">
        <f>Test!W183</f>
        <v/>
      </c>
      <c r="AH6" s="129">
        <f>Test!X183</f>
        <v/>
      </c>
      <c r="AI6" s="129">
        <f>10*LOG10(1/(('Summary (Full)'!$B$41/10^(AF6/10)+'Summary (Full)'!$B$42/10^(AG6/10)+'Summary (Full)'!$B$43/10^(AH6/10))/'Summary (Full)'!$B$44))</f>
        <v/>
      </c>
      <c r="AJ6" s="129">
        <f>Test!Y183</f>
        <v/>
      </c>
      <c r="AK6" s="129">
        <f>Test!Z183</f>
        <v/>
      </c>
      <c r="AL6" s="129">
        <f>AJ6/R6</f>
        <v/>
      </c>
      <c r="AM6" s="129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 ht="13" customHeight="1" s="241">
      <c r="A7" s="238" t="n"/>
      <c r="B7" s="38" t="n">
        <v>160</v>
      </c>
      <c r="C7" s="129">
        <f>Anchor!L184</f>
        <v/>
      </c>
      <c r="D7" s="129">
        <f>Anchor!M184</f>
        <v/>
      </c>
      <c r="E7" s="129">
        <f>Anchor!N184</f>
        <v/>
      </c>
      <c r="F7" s="129">
        <f>Anchor!O184</f>
        <v/>
      </c>
      <c r="G7" s="130">
        <f>('Summary (Full)'!$B$34*D7+'Summary (Full)'!$B$35*E7+'Summary (Full)'!$B$36*F7)/'Summary (Full)'!$B$37</f>
        <v/>
      </c>
      <c r="H7" s="129">
        <f>Anchor!P184</f>
        <v/>
      </c>
      <c r="I7" s="129">
        <f>Anchor!Q184</f>
        <v/>
      </c>
      <c r="J7" s="129">
        <f>Anchor!R184</f>
        <v/>
      </c>
      <c r="K7" s="129">
        <f>Anchor!S184</f>
        <v/>
      </c>
      <c r="L7" s="129">
        <f>Anchor!T184</f>
        <v/>
      </c>
      <c r="M7" s="129">
        <f>Anchor!U184</f>
        <v/>
      </c>
      <c r="N7" s="129">
        <f>Anchor!V184</f>
        <v/>
      </c>
      <c r="O7" s="129">
        <f>Anchor!W184</f>
        <v/>
      </c>
      <c r="P7" s="129">
        <f>Anchor!X184</f>
        <v/>
      </c>
      <c r="Q7" s="131">
        <f>10*LOG10(1/(('Summary (Full)'!$B$41/10^(N7/10)+'Summary (Full)'!$B$42/10^(O7/10)+'Summary (Full)'!$B$43/10^(P7/10))/'Summary (Full)'!$B$44))</f>
        <v/>
      </c>
      <c r="R7" s="129">
        <f>Anchor!Y184</f>
        <v/>
      </c>
      <c r="S7" s="129">
        <f>Anchor!Z184</f>
        <v/>
      </c>
      <c r="T7" s="132" t="n"/>
      <c r="U7" s="129">
        <f>Test!L184</f>
        <v/>
      </c>
      <c r="V7" s="129">
        <f>Test!M184</f>
        <v/>
      </c>
      <c r="W7" s="129">
        <f>Test!N184</f>
        <v/>
      </c>
      <c r="X7" s="129">
        <f>Test!O184</f>
        <v/>
      </c>
      <c r="Y7" s="129">
        <f>('Summary (Full)'!$B$34*V7+'Summary (Full)'!$B$35*W7+'Summary (Full)'!$B$36*X7)/'Summary (Full)'!$B$37</f>
        <v/>
      </c>
      <c r="Z7" s="129">
        <f>Test!P184</f>
        <v/>
      </c>
      <c r="AA7" s="129">
        <f>Test!Q184</f>
        <v/>
      </c>
      <c r="AB7" s="129">
        <f>Test!R184</f>
        <v/>
      </c>
      <c r="AC7" s="129">
        <f>Test!S184</f>
        <v/>
      </c>
      <c r="AD7" s="129">
        <f>Test!T184</f>
        <v/>
      </c>
      <c r="AE7" s="129">
        <f>Test!U184</f>
        <v/>
      </c>
      <c r="AF7" s="129">
        <f>Test!V184</f>
        <v/>
      </c>
      <c r="AG7" s="129">
        <f>Test!W184</f>
        <v/>
      </c>
      <c r="AH7" s="129">
        <f>Test!X184</f>
        <v/>
      </c>
      <c r="AI7" s="129">
        <f>10*LOG10(1/(('Summary (Full)'!$B$41/10^(AF7/10)+'Summary (Full)'!$B$42/10^(AG7/10)+'Summary (Full)'!$B$43/10^(AH7/10))/'Summary (Full)'!$B$44))</f>
        <v/>
      </c>
      <c r="AJ7" s="129">
        <f>Test!Y184</f>
        <v/>
      </c>
      <c r="AK7" s="129">
        <f>Test!Z184</f>
        <v/>
      </c>
      <c r="AL7" s="129">
        <f>AJ7/R7</f>
        <v/>
      </c>
      <c r="AM7" s="129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29">
        <f>Anchor!L185</f>
        <v/>
      </c>
      <c r="D8" s="129">
        <f>Anchor!M185</f>
        <v/>
      </c>
      <c r="E8" s="129">
        <f>Anchor!N185</f>
        <v/>
      </c>
      <c r="F8" s="129">
        <f>Anchor!O185</f>
        <v/>
      </c>
      <c r="G8" s="130">
        <f>('Summary (Full)'!$B$34*D8+'Summary (Full)'!$B$35*E8+'Summary (Full)'!$B$36*F8)/'Summary (Full)'!$B$37</f>
        <v/>
      </c>
      <c r="H8" s="129">
        <f>Anchor!P185</f>
        <v/>
      </c>
      <c r="I8" s="129">
        <f>Anchor!Q185</f>
        <v/>
      </c>
      <c r="J8" s="129">
        <f>Anchor!R185</f>
        <v/>
      </c>
      <c r="K8" s="129">
        <f>Anchor!S185</f>
        <v/>
      </c>
      <c r="L8" s="129">
        <f>Anchor!T185</f>
        <v/>
      </c>
      <c r="M8" s="129">
        <f>Anchor!U185</f>
        <v/>
      </c>
      <c r="N8" s="129">
        <f>Anchor!V185</f>
        <v/>
      </c>
      <c r="O8" s="129">
        <f>Anchor!W185</f>
        <v/>
      </c>
      <c r="P8" s="129">
        <f>Anchor!X185</f>
        <v/>
      </c>
      <c r="Q8" s="131">
        <f>10*LOG10(1/(('Summary (Full)'!$B$41/10^(N8/10)+'Summary (Full)'!$B$42/10^(O8/10)+'Summary (Full)'!$B$43/10^(P8/10))/'Summary (Full)'!$B$44))</f>
        <v/>
      </c>
      <c r="R8" s="129">
        <f>Anchor!Y185</f>
        <v/>
      </c>
      <c r="S8" s="129">
        <f>Anchor!Z185</f>
        <v/>
      </c>
      <c r="T8" s="132" t="n"/>
      <c r="U8" s="129">
        <f>Test!L185</f>
        <v/>
      </c>
      <c r="V8" s="129">
        <f>Test!M185</f>
        <v/>
      </c>
      <c r="W8" s="129">
        <f>Test!N185</f>
        <v/>
      </c>
      <c r="X8" s="129">
        <f>Test!O185</f>
        <v/>
      </c>
      <c r="Y8" s="129">
        <f>('Summary (Full)'!$B$34*V8+'Summary (Full)'!$B$35*W8+'Summary (Full)'!$B$36*X8)/'Summary (Full)'!$B$37</f>
        <v/>
      </c>
      <c r="Z8" s="129">
        <f>Test!P185</f>
        <v/>
      </c>
      <c r="AA8" s="129">
        <f>Test!Q185</f>
        <v/>
      </c>
      <c r="AB8" s="129">
        <f>Test!R185</f>
        <v/>
      </c>
      <c r="AC8" s="129">
        <f>Test!S185</f>
        <v/>
      </c>
      <c r="AD8" s="129">
        <f>Test!T185</f>
        <v/>
      </c>
      <c r="AE8" s="129">
        <f>Test!U185</f>
        <v/>
      </c>
      <c r="AF8" s="129">
        <f>Test!V185</f>
        <v/>
      </c>
      <c r="AG8" s="129">
        <f>Test!W185</f>
        <v/>
      </c>
      <c r="AH8" s="129">
        <f>Test!X185</f>
        <v/>
      </c>
      <c r="AI8" s="129">
        <f>10*LOG10(1/(('Summary (Full)'!$B$41/10^(AF8/10)+'Summary (Full)'!$B$42/10^(AG8/10)+'Summary (Full)'!$B$43/10^(AH8/10))/'Summary (Full)'!$B$44))</f>
        <v/>
      </c>
      <c r="AJ8" s="129">
        <f>Test!Y185</f>
        <v/>
      </c>
      <c r="AK8" s="129">
        <f>Test!Z185</f>
        <v/>
      </c>
      <c r="AL8" s="129">
        <f>AJ8/R8</f>
        <v/>
      </c>
      <c r="AM8" s="129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 ht="13" customHeight="1" s="241">
      <c r="A9" s="238" t="n"/>
      <c r="B9" s="38" t="n">
        <v>210</v>
      </c>
      <c r="C9" s="129">
        <f>Anchor!L186</f>
        <v/>
      </c>
      <c r="D9" s="129">
        <f>Anchor!M186</f>
        <v/>
      </c>
      <c r="E9" s="129">
        <f>Anchor!N186</f>
        <v/>
      </c>
      <c r="F9" s="129">
        <f>Anchor!O186</f>
        <v/>
      </c>
      <c r="G9" s="130">
        <f>('Summary (Full)'!$B$34*D9+'Summary (Full)'!$B$35*E9+'Summary (Full)'!$B$36*F9)/'Summary (Full)'!$B$37</f>
        <v/>
      </c>
      <c r="H9" s="129">
        <f>Anchor!P186</f>
        <v/>
      </c>
      <c r="I9" s="129">
        <f>Anchor!Q186</f>
        <v/>
      </c>
      <c r="J9" s="129">
        <f>Anchor!R186</f>
        <v/>
      </c>
      <c r="K9" s="129">
        <f>Anchor!S186</f>
        <v/>
      </c>
      <c r="L9" s="129">
        <f>Anchor!T186</f>
        <v/>
      </c>
      <c r="M9" s="129">
        <f>Anchor!U186</f>
        <v/>
      </c>
      <c r="N9" s="129">
        <f>Anchor!V186</f>
        <v/>
      </c>
      <c r="O9" s="129">
        <f>Anchor!W186</f>
        <v/>
      </c>
      <c r="P9" s="129">
        <f>Anchor!X186</f>
        <v/>
      </c>
      <c r="Q9" s="131">
        <f>10*LOG10(1/(('Summary (Full)'!$B$41/10^(N9/10)+'Summary (Full)'!$B$42/10^(O9/10)+'Summary (Full)'!$B$43/10^(P9/10))/'Summary (Full)'!$B$44))</f>
        <v/>
      </c>
      <c r="R9" s="129">
        <f>Anchor!Y186</f>
        <v/>
      </c>
      <c r="S9" s="129">
        <f>Anchor!Z186</f>
        <v/>
      </c>
      <c r="T9" s="132" t="n"/>
      <c r="U9" s="129">
        <f>Test!L186</f>
        <v/>
      </c>
      <c r="V9" s="129">
        <f>Test!M186</f>
        <v/>
      </c>
      <c r="W9" s="129">
        <f>Test!N186</f>
        <v/>
      </c>
      <c r="X9" s="129">
        <f>Test!O186</f>
        <v/>
      </c>
      <c r="Y9" s="129">
        <f>('Summary (Full)'!$B$34*V9+'Summary (Full)'!$B$35*W9+'Summary (Full)'!$B$36*X9)/'Summary (Full)'!$B$37</f>
        <v/>
      </c>
      <c r="Z9" s="129">
        <f>Test!P186</f>
        <v/>
      </c>
      <c r="AA9" s="129">
        <f>Test!Q186</f>
        <v/>
      </c>
      <c r="AB9" s="129">
        <f>Test!R186</f>
        <v/>
      </c>
      <c r="AC9" s="129">
        <f>Test!S186</f>
        <v/>
      </c>
      <c r="AD9" s="129">
        <f>Test!T186</f>
        <v/>
      </c>
      <c r="AE9" s="129">
        <f>Test!U186</f>
        <v/>
      </c>
      <c r="AF9" s="129">
        <f>Test!V186</f>
        <v/>
      </c>
      <c r="AG9" s="129">
        <f>Test!W186</f>
        <v/>
      </c>
      <c r="AH9" s="129">
        <f>Test!X186</f>
        <v/>
      </c>
      <c r="AI9" s="129">
        <f>10*LOG10(1/(('Summary (Full)'!$B$41/10^(AF9/10)+'Summary (Full)'!$B$42/10^(AG9/10)+'Summary (Full)'!$B$43/10^(AH9/10))/'Summary (Full)'!$B$44))</f>
        <v/>
      </c>
      <c r="AJ9" s="129">
        <f>Test!Y186</f>
        <v/>
      </c>
      <c r="AK9" s="129">
        <f>Test!Z186</f>
        <v/>
      </c>
      <c r="AL9" s="129">
        <f>AJ9/R9</f>
        <v/>
      </c>
      <c r="AM9" s="129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29">
        <f>Anchor!L187</f>
        <v/>
      </c>
      <c r="D10" s="129">
        <f>Anchor!M187</f>
        <v/>
      </c>
      <c r="E10" s="129">
        <f>Anchor!N187</f>
        <v/>
      </c>
      <c r="F10" s="129">
        <f>Anchor!O187</f>
        <v/>
      </c>
      <c r="G10" s="130">
        <f>('Summary (Full)'!$B$34*D10+'Summary (Full)'!$B$35*E10+'Summary (Full)'!$B$36*F10)/'Summary (Full)'!$B$37</f>
        <v/>
      </c>
      <c r="H10" s="129">
        <f>Anchor!P187</f>
        <v/>
      </c>
      <c r="I10" s="129">
        <f>Anchor!Q187</f>
        <v/>
      </c>
      <c r="J10" s="129">
        <f>Anchor!R187</f>
        <v/>
      </c>
      <c r="K10" s="129">
        <f>Anchor!S187</f>
        <v/>
      </c>
      <c r="L10" s="129">
        <f>Anchor!T187</f>
        <v/>
      </c>
      <c r="M10" s="129">
        <f>Anchor!U187</f>
        <v/>
      </c>
      <c r="N10" s="129">
        <f>Anchor!V187</f>
        <v/>
      </c>
      <c r="O10" s="129">
        <f>Anchor!W187</f>
        <v/>
      </c>
      <c r="P10" s="129">
        <f>Anchor!X187</f>
        <v/>
      </c>
      <c r="Q10" s="131">
        <f>10*LOG10(1/(('Summary (Full)'!$B$41/10^(N10/10)+'Summary (Full)'!$B$42/10^(O10/10)+'Summary (Full)'!$B$43/10^(P10/10))/'Summary (Full)'!$B$44))</f>
        <v/>
      </c>
      <c r="R10" s="129">
        <f>Anchor!Y187</f>
        <v/>
      </c>
      <c r="S10" s="129">
        <f>Anchor!Z187</f>
        <v/>
      </c>
      <c r="T10" s="132" t="n"/>
      <c r="U10" s="129">
        <f>Test!L187</f>
        <v/>
      </c>
      <c r="V10" s="129">
        <f>Test!M187</f>
        <v/>
      </c>
      <c r="W10" s="129">
        <f>Test!N187</f>
        <v/>
      </c>
      <c r="X10" s="129">
        <f>Test!O187</f>
        <v/>
      </c>
      <c r="Y10" s="129">
        <f>('Summary (Full)'!$B$34*V10+'Summary (Full)'!$B$35*W10+'Summary (Full)'!$B$36*X10)/'Summary (Full)'!$B$37</f>
        <v/>
      </c>
      <c r="Z10" s="129">
        <f>Test!P187</f>
        <v/>
      </c>
      <c r="AA10" s="129">
        <f>Test!Q187</f>
        <v/>
      </c>
      <c r="AB10" s="129">
        <f>Test!R187</f>
        <v/>
      </c>
      <c r="AC10" s="129">
        <f>Test!S187</f>
        <v/>
      </c>
      <c r="AD10" s="129">
        <f>Test!T187</f>
        <v/>
      </c>
      <c r="AE10" s="129">
        <f>Test!U187</f>
        <v/>
      </c>
      <c r="AF10" s="129">
        <f>Test!V187</f>
        <v/>
      </c>
      <c r="AG10" s="129">
        <f>Test!W187</f>
        <v/>
      </c>
      <c r="AH10" s="129">
        <f>Test!X187</f>
        <v/>
      </c>
      <c r="AI10" s="129">
        <f>10*LOG10(1/(('Summary (Full)'!$B$41/10^(AF10/10)+'Summary (Full)'!$B$42/10^(AG10/10)+'Summary (Full)'!$B$43/10^(AH10/10))/'Summary (Full)'!$B$44))</f>
        <v/>
      </c>
      <c r="AJ10" s="129">
        <f>Test!Y187</f>
        <v/>
      </c>
      <c r="AK10" s="129">
        <f>Test!Z187</f>
        <v/>
      </c>
      <c r="AL10" s="129">
        <f>AJ10/R10</f>
        <v/>
      </c>
      <c r="AM10" s="129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 ht="13" customHeight="1" s="241">
      <c r="A11" s="237" t="inlineStr">
        <is>
          <t>2560x1440</t>
        </is>
      </c>
      <c r="B11" s="38" t="n">
        <v>110</v>
      </c>
      <c r="C11" s="129">
        <f>Anchor!L188</f>
        <v/>
      </c>
      <c r="D11" s="129">
        <f>Anchor!M188</f>
        <v/>
      </c>
      <c r="E11" s="129">
        <f>Anchor!N188</f>
        <v/>
      </c>
      <c r="F11" s="129">
        <f>Anchor!O188</f>
        <v/>
      </c>
      <c r="G11" s="130">
        <f>('Summary (Full)'!$B$34*D11+'Summary (Full)'!$B$35*E11+'Summary (Full)'!$B$36*F11)/'Summary (Full)'!$B$37</f>
        <v/>
      </c>
      <c r="H11" s="129">
        <f>Anchor!P188</f>
        <v/>
      </c>
      <c r="I11" s="129">
        <f>Anchor!Q188</f>
        <v/>
      </c>
      <c r="J11" s="129">
        <f>Anchor!R188</f>
        <v/>
      </c>
      <c r="K11" s="129">
        <f>Anchor!S188</f>
        <v/>
      </c>
      <c r="L11" s="129">
        <f>Anchor!T188</f>
        <v/>
      </c>
      <c r="M11" s="129">
        <f>Anchor!U188</f>
        <v/>
      </c>
      <c r="N11" s="129">
        <f>Anchor!V188</f>
        <v/>
      </c>
      <c r="O11" s="129">
        <f>Anchor!W188</f>
        <v/>
      </c>
      <c r="P11" s="129">
        <f>Anchor!X188</f>
        <v/>
      </c>
      <c r="Q11" s="131">
        <f>10*LOG10(1/(('Summary (Full)'!$B$41/10^(N11/10)+'Summary (Full)'!$B$42/10^(O11/10)+'Summary (Full)'!$B$43/10^(P11/10))/'Summary (Full)'!$B$44))</f>
        <v/>
      </c>
      <c r="R11" s="129">
        <f>Anchor!Y188</f>
        <v/>
      </c>
      <c r="S11" s="129">
        <f>Anchor!Z188</f>
        <v/>
      </c>
      <c r="T11" s="132" t="n"/>
      <c r="U11" s="129">
        <f>Test!L188</f>
        <v/>
      </c>
      <c r="V11" s="129">
        <f>Test!M188</f>
        <v/>
      </c>
      <c r="W11" s="129">
        <f>Test!N188</f>
        <v/>
      </c>
      <c r="X11" s="129">
        <f>Test!O188</f>
        <v/>
      </c>
      <c r="Y11" s="129">
        <f>('Summary (Full)'!$B$34*V11+'Summary (Full)'!$B$35*W11+'Summary (Full)'!$B$36*X11)/'Summary (Full)'!$B$37</f>
        <v/>
      </c>
      <c r="Z11" s="129">
        <f>Test!P188</f>
        <v/>
      </c>
      <c r="AA11" s="129">
        <f>Test!Q188</f>
        <v/>
      </c>
      <c r="AB11" s="129">
        <f>Test!R188</f>
        <v/>
      </c>
      <c r="AC11" s="129">
        <f>Test!S188</f>
        <v/>
      </c>
      <c r="AD11" s="129">
        <f>Test!T188</f>
        <v/>
      </c>
      <c r="AE11" s="129">
        <f>Test!U188</f>
        <v/>
      </c>
      <c r="AF11" s="129">
        <f>Test!V188</f>
        <v/>
      </c>
      <c r="AG11" s="129">
        <f>Test!W188</f>
        <v/>
      </c>
      <c r="AH11" s="129">
        <f>Test!X188</f>
        <v/>
      </c>
      <c r="AI11" s="129">
        <f>10*LOG10(1/(('Summary (Full)'!$B$41/10^(AF11/10)+'Summary (Full)'!$B$42/10^(AG11/10)+'Summary (Full)'!$B$43/10^(AH11/10))/'Summary (Full)'!$B$44))</f>
        <v/>
      </c>
      <c r="AJ11" s="129">
        <f>Test!Y188</f>
        <v/>
      </c>
      <c r="AK11" s="129">
        <f>Test!Z188</f>
        <v/>
      </c>
      <c r="AL11" s="129">
        <f>AJ11/R11</f>
        <v/>
      </c>
      <c r="AM11" s="129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29">
        <f>Anchor!L189</f>
        <v/>
      </c>
      <c r="D12" s="129">
        <f>Anchor!M189</f>
        <v/>
      </c>
      <c r="E12" s="129">
        <f>Anchor!N189</f>
        <v/>
      </c>
      <c r="F12" s="129">
        <f>Anchor!O189</f>
        <v/>
      </c>
      <c r="G12" s="130">
        <f>('Summary (Full)'!$B$34*D12+'Summary (Full)'!$B$35*E12+'Summary (Full)'!$B$36*F12)/'Summary (Full)'!$B$37</f>
        <v/>
      </c>
      <c r="H12" s="129">
        <f>Anchor!P189</f>
        <v/>
      </c>
      <c r="I12" s="129">
        <f>Anchor!Q189</f>
        <v/>
      </c>
      <c r="J12" s="129">
        <f>Anchor!R189</f>
        <v/>
      </c>
      <c r="K12" s="129">
        <f>Anchor!S189</f>
        <v/>
      </c>
      <c r="L12" s="129">
        <f>Anchor!T189</f>
        <v/>
      </c>
      <c r="M12" s="129">
        <f>Anchor!U189</f>
        <v/>
      </c>
      <c r="N12" s="129">
        <f>Anchor!V189</f>
        <v/>
      </c>
      <c r="O12" s="129">
        <f>Anchor!W189</f>
        <v/>
      </c>
      <c r="P12" s="129">
        <f>Anchor!X189</f>
        <v/>
      </c>
      <c r="Q12" s="131">
        <f>10*LOG10(1/(('Summary (Full)'!$B$41/10^(N12/10)+'Summary (Full)'!$B$42/10^(O12/10)+'Summary (Full)'!$B$43/10^(P12/10))/'Summary (Full)'!$B$44))</f>
        <v/>
      </c>
      <c r="R12" s="129">
        <f>Anchor!Y189</f>
        <v/>
      </c>
      <c r="S12" s="129">
        <f>Anchor!Z189</f>
        <v/>
      </c>
      <c r="T12" s="132" t="n"/>
      <c r="U12" s="129">
        <f>Test!L189</f>
        <v/>
      </c>
      <c r="V12" s="129">
        <f>Test!M189</f>
        <v/>
      </c>
      <c r="W12" s="129">
        <f>Test!N189</f>
        <v/>
      </c>
      <c r="X12" s="129">
        <f>Test!O189</f>
        <v/>
      </c>
      <c r="Y12" s="129">
        <f>('Summary (Full)'!$B$34*V12+'Summary (Full)'!$B$35*W12+'Summary (Full)'!$B$36*X12)/'Summary (Full)'!$B$37</f>
        <v/>
      </c>
      <c r="Z12" s="129">
        <f>Test!P189</f>
        <v/>
      </c>
      <c r="AA12" s="129">
        <f>Test!Q189</f>
        <v/>
      </c>
      <c r="AB12" s="129">
        <f>Test!R189</f>
        <v/>
      </c>
      <c r="AC12" s="129">
        <f>Test!S189</f>
        <v/>
      </c>
      <c r="AD12" s="129">
        <f>Test!T189</f>
        <v/>
      </c>
      <c r="AE12" s="129">
        <f>Test!U189</f>
        <v/>
      </c>
      <c r="AF12" s="129">
        <f>Test!V189</f>
        <v/>
      </c>
      <c r="AG12" s="129">
        <f>Test!W189</f>
        <v/>
      </c>
      <c r="AH12" s="129">
        <f>Test!X189</f>
        <v/>
      </c>
      <c r="AI12" s="129">
        <f>10*LOG10(1/(('Summary (Full)'!$B$41/10^(AF12/10)+'Summary (Full)'!$B$42/10^(AG12/10)+'Summary (Full)'!$B$43/10^(AH12/10))/'Summary (Full)'!$B$44))</f>
        <v/>
      </c>
      <c r="AJ12" s="129">
        <f>Test!Y189</f>
        <v/>
      </c>
      <c r="AK12" s="129">
        <f>Test!Z189</f>
        <v/>
      </c>
      <c r="AL12" s="129">
        <f>AJ12/R12</f>
        <v/>
      </c>
      <c r="AM12" s="129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 ht="13" customHeight="1" s="241">
      <c r="A13" s="238" t="n"/>
      <c r="B13" s="38" t="n">
        <v>160</v>
      </c>
      <c r="C13" s="129">
        <f>Anchor!L190</f>
        <v/>
      </c>
      <c r="D13" s="129">
        <f>Anchor!M190</f>
        <v/>
      </c>
      <c r="E13" s="129">
        <f>Anchor!N190</f>
        <v/>
      </c>
      <c r="F13" s="129">
        <f>Anchor!O190</f>
        <v/>
      </c>
      <c r="G13" s="130">
        <f>('Summary (Full)'!$B$34*D13+'Summary (Full)'!$B$35*E13+'Summary (Full)'!$B$36*F13)/'Summary (Full)'!$B$37</f>
        <v/>
      </c>
      <c r="H13" s="129">
        <f>Anchor!P190</f>
        <v/>
      </c>
      <c r="I13" s="129">
        <f>Anchor!Q190</f>
        <v/>
      </c>
      <c r="J13" s="129">
        <f>Anchor!R190</f>
        <v/>
      </c>
      <c r="K13" s="129">
        <f>Anchor!S190</f>
        <v/>
      </c>
      <c r="L13" s="129">
        <f>Anchor!T190</f>
        <v/>
      </c>
      <c r="M13" s="129">
        <f>Anchor!U190</f>
        <v/>
      </c>
      <c r="N13" s="129">
        <f>Anchor!V190</f>
        <v/>
      </c>
      <c r="O13" s="129">
        <f>Anchor!W190</f>
        <v/>
      </c>
      <c r="P13" s="129">
        <f>Anchor!X190</f>
        <v/>
      </c>
      <c r="Q13" s="131">
        <f>10*LOG10(1/(('Summary (Full)'!$B$41/10^(N13/10)+'Summary (Full)'!$B$42/10^(O13/10)+'Summary (Full)'!$B$43/10^(P13/10))/'Summary (Full)'!$B$44))</f>
        <v/>
      </c>
      <c r="R13" s="129">
        <f>Anchor!Y190</f>
        <v/>
      </c>
      <c r="S13" s="129">
        <f>Anchor!Z190</f>
        <v/>
      </c>
      <c r="T13" s="132" t="n"/>
      <c r="U13" s="129">
        <f>Test!L190</f>
        <v/>
      </c>
      <c r="V13" s="129">
        <f>Test!M190</f>
        <v/>
      </c>
      <c r="W13" s="129">
        <f>Test!N190</f>
        <v/>
      </c>
      <c r="X13" s="129">
        <f>Test!O190</f>
        <v/>
      </c>
      <c r="Y13" s="129">
        <f>('Summary (Full)'!$B$34*V13+'Summary (Full)'!$B$35*W13+'Summary (Full)'!$B$36*X13)/'Summary (Full)'!$B$37</f>
        <v/>
      </c>
      <c r="Z13" s="129">
        <f>Test!P190</f>
        <v/>
      </c>
      <c r="AA13" s="129">
        <f>Test!Q190</f>
        <v/>
      </c>
      <c r="AB13" s="129">
        <f>Test!R190</f>
        <v/>
      </c>
      <c r="AC13" s="129">
        <f>Test!S190</f>
        <v/>
      </c>
      <c r="AD13" s="129">
        <f>Test!T190</f>
        <v/>
      </c>
      <c r="AE13" s="129">
        <f>Test!U190</f>
        <v/>
      </c>
      <c r="AF13" s="129">
        <f>Test!V190</f>
        <v/>
      </c>
      <c r="AG13" s="129">
        <f>Test!W190</f>
        <v/>
      </c>
      <c r="AH13" s="129">
        <f>Test!X190</f>
        <v/>
      </c>
      <c r="AI13" s="129">
        <f>10*LOG10(1/(('Summary (Full)'!$B$41/10^(AF13/10)+'Summary (Full)'!$B$42/10^(AG13/10)+'Summary (Full)'!$B$43/10^(AH13/10))/'Summary (Full)'!$B$44))</f>
        <v/>
      </c>
      <c r="AJ13" s="129">
        <f>Test!Y190</f>
        <v/>
      </c>
      <c r="AK13" s="129">
        <f>Test!Z190</f>
        <v/>
      </c>
      <c r="AL13" s="129">
        <f>AJ13/R13</f>
        <v/>
      </c>
      <c r="AM13" s="129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29">
        <f>Anchor!L191</f>
        <v/>
      </c>
      <c r="D14" s="129">
        <f>Anchor!M191</f>
        <v/>
      </c>
      <c r="E14" s="129">
        <f>Anchor!N191</f>
        <v/>
      </c>
      <c r="F14" s="129">
        <f>Anchor!O191</f>
        <v/>
      </c>
      <c r="G14" s="130">
        <f>('Summary (Full)'!$B$34*D14+'Summary (Full)'!$B$35*E14+'Summary (Full)'!$B$36*F14)/'Summary (Full)'!$B$37</f>
        <v/>
      </c>
      <c r="H14" s="129">
        <f>Anchor!P191</f>
        <v/>
      </c>
      <c r="I14" s="129">
        <f>Anchor!Q191</f>
        <v/>
      </c>
      <c r="J14" s="129">
        <f>Anchor!R191</f>
        <v/>
      </c>
      <c r="K14" s="129">
        <f>Anchor!S191</f>
        <v/>
      </c>
      <c r="L14" s="129">
        <f>Anchor!T191</f>
        <v/>
      </c>
      <c r="M14" s="129">
        <f>Anchor!U191</f>
        <v/>
      </c>
      <c r="N14" s="129">
        <f>Anchor!V191</f>
        <v/>
      </c>
      <c r="O14" s="129">
        <f>Anchor!W191</f>
        <v/>
      </c>
      <c r="P14" s="129">
        <f>Anchor!X191</f>
        <v/>
      </c>
      <c r="Q14" s="131">
        <f>10*LOG10(1/(('Summary (Full)'!$B$41/10^(N14/10)+'Summary (Full)'!$B$42/10^(O14/10)+'Summary (Full)'!$B$43/10^(P14/10))/'Summary (Full)'!$B$44))</f>
        <v/>
      </c>
      <c r="R14" s="129">
        <f>Anchor!Y191</f>
        <v/>
      </c>
      <c r="S14" s="129">
        <f>Anchor!Z191</f>
        <v/>
      </c>
      <c r="T14" s="132" t="n"/>
      <c r="U14" s="129">
        <f>Test!L191</f>
        <v/>
      </c>
      <c r="V14" s="129">
        <f>Test!M191</f>
        <v/>
      </c>
      <c r="W14" s="129">
        <f>Test!N191</f>
        <v/>
      </c>
      <c r="X14" s="129">
        <f>Test!O191</f>
        <v/>
      </c>
      <c r="Y14" s="129">
        <f>('Summary (Full)'!$B$34*V14+'Summary (Full)'!$B$35*W14+'Summary (Full)'!$B$36*X14)/'Summary (Full)'!$B$37</f>
        <v/>
      </c>
      <c r="Z14" s="129">
        <f>Test!P191</f>
        <v/>
      </c>
      <c r="AA14" s="129">
        <f>Test!Q191</f>
        <v/>
      </c>
      <c r="AB14" s="129">
        <f>Test!R191</f>
        <v/>
      </c>
      <c r="AC14" s="129">
        <f>Test!S191</f>
        <v/>
      </c>
      <c r="AD14" s="129">
        <f>Test!T191</f>
        <v/>
      </c>
      <c r="AE14" s="129">
        <f>Test!U191</f>
        <v/>
      </c>
      <c r="AF14" s="129">
        <f>Test!V191</f>
        <v/>
      </c>
      <c r="AG14" s="129">
        <f>Test!W191</f>
        <v/>
      </c>
      <c r="AH14" s="129">
        <f>Test!X191</f>
        <v/>
      </c>
      <c r="AI14" s="129">
        <f>10*LOG10(1/(('Summary (Full)'!$B$41/10^(AF14/10)+'Summary (Full)'!$B$42/10^(AG14/10)+'Summary (Full)'!$B$43/10^(AH14/10))/'Summary (Full)'!$B$44))</f>
        <v/>
      </c>
      <c r="AJ14" s="129">
        <f>Test!Y191</f>
        <v/>
      </c>
      <c r="AK14" s="129">
        <f>Test!Z191</f>
        <v/>
      </c>
      <c r="AL14" s="129">
        <f>AJ14/R14</f>
        <v/>
      </c>
      <c r="AM14" s="129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 ht="13" customHeight="1" s="241">
      <c r="A15" s="238" t="n"/>
      <c r="B15" s="38" t="n">
        <v>210</v>
      </c>
      <c r="C15" s="129">
        <f>Anchor!L192</f>
        <v/>
      </c>
      <c r="D15" s="129">
        <f>Anchor!M192</f>
        <v/>
      </c>
      <c r="E15" s="129">
        <f>Anchor!N192</f>
        <v/>
      </c>
      <c r="F15" s="129">
        <f>Anchor!O192</f>
        <v/>
      </c>
      <c r="G15" s="130">
        <f>('Summary (Full)'!$B$34*D15+'Summary (Full)'!$B$35*E15+'Summary (Full)'!$B$36*F15)/'Summary (Full)'!$B$37</f>
        <v/>
      </c>
      <c r="H15" s="129">
        <f>Anchor!P192</f>
        <v/>
      </c>
      <c r="I15" s="129">
        <f>Anchor!Q192</f>
        <v/>
      </c>
      <c r="J15" s="129">
        <f>Anchor!R192</f>
        <v/>
      </c>
      <c r="K15" s="129">
        <f>Anchor!S192</f>
        <v/>
      </c>
      <c r="L15" s="129">
        <f>Anchor!T192</f>
        <v/>
      </c>
      <c r="M15" s="129">
        <f>Anchor!U192</f>
        <v/>
      </c>
      <c r="N15" s="129">
        <f>Anchor!V192</f>
        <v/>
      </c>
      <c r="O15" s="129">
        <f>Anchor!W192</f>
        <v/>
      </c>
      <c r="P15" s="129">
        <f>Anchor!X192</f>
        <v/>
      </c>
      <c r="Q15" s="131">
        <f>10*LOG10(1/(('Summary (Full)'!$B$41/10^(N15/10)+'Summary (Full)'!$B$42/10^(O15/10)+'Summary (Full)'!$B$43/10^(P15/10))/'Summary (Full)'!$B$44))</f>
        <v/>
      </c>
      <c r="R15" s="129">
        <f>Anchor!Y192</f>
        <v/>
      </c>
      <c r="S15" s="129">
        <f>Anchor!Z192</f>
        <v/>
      </c>
      <c r="T15" s="132" t="n"/>
      <c r="U15" s="129">
        <f>Test!L192</f>
        <v/>
      </c>
      <c r="V15" s="129">
        <f>Test!M192</f>
        <v/>
      </c>
      <c r="W15" s="129">
        <f>Test!N192</f>
        <v/>
      </c>
      <c r="X15" s="129">
        <f>Test!O192</f>
        <v/>
      </c>
      <c r="Y15" s="129">
        <f>('Summary (Full)'!$B$34*V15+'Summary (Full)'!$B$35*W15+'Summary (Full)'!$B$36*X15)/'Summary (Full)'!$B$37</f>
        <v/>
      </c>
      <c r="Z15" s="129">
        <f>Test!P192</f>
        <v/>
      </c>
      <c r="AA15" s="129">
        <f>Test!Q192</f>
        <v/>
      </c>
      <c r="AB15" s="129">
        <f>Test!R192</f>
        <v/>
      </c>
      <c r="AC15" s="129">
        <f>Test!S192</f>
        <v/>
      </c>
      <c r="AD15" s="129">
        <f>Test!T192</f>
        <v/>
      </c>
      <c r="AE15" s="129">
        <f>Test!U192</f>
        <v/>
      </c>
      <c r="AF15" s="129">
        <f>Test!V192</f>
        <v/>
      </c>
      <c r="AG15" s="129">
        <f>Test!W192</f>
        <v/>
      </c>
      <c r="AH15" s="129">
        <f>Test!X192</f>
        <v/>
      </c>
      <c r="AI15" s="129">
        <f>10*LOG10(1/(('Summary (Full)'!$B$41/10^(AF15/10)+'Summary (Full)'!$B$42/10^(AG15/10)+'Summary (Full)'!$B$43/10^(AH15/10))/'Summary (Full)'!$B$44))</f>
        <v/>
      </c>
      <c r="AJ15" s="129">
        <f>Test!Y192</f>
        <v/>
      </c>
      <c r="AK15" s="129">
        <f>Test!Z192</f>
        <v/>
      </c>
      <c r="AL15" s="129">
        <f>AJ15/R15</f>
        <v/>
      </c>
      <c r="AM15" s="129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29">
        <f>Anchor!L193</f>
        <v/>
      </c>
      <c r="D16" s="129">
        <f>Anchor!M193</f>
        <v/>
      </c>
      <c r="E16" s="129">
        <f>Anchor!N193</f>
        <v/>
      </c>
      <c r="F16" s="129">
        <f>Anchor!O193</f>
        <v/>
      </c>
      <c r="G16" s="130">
        <f>('Summary (Full)'!$B$34*D16+'Summary (Full)'!$B$35*E16+'Summary (Full)'!$B$36*F16)/'Summary (Full)'!$B$37</f>
        <v/>
      </c>
      <c r="H16" s="129">
        <f>Anchor!P193</f>
        <v/>
      </c>
      <c r="I16" s="129">
        <f>Anchor!Q193</f>
        <v/>
      </c>
      <c r="J16" s="129">
        <f>Anchor!R193</f>
        <v/>
      </c>
      <c r="K16" s="129">
        <f>Anchor!S193</f>
        <v/>
      </c>
      <c r="L16" s="129">
        <f>Anchor!T193</f>
        <v/>
      </c>
      <c r="M16" s="129">
        <f>Anchor!U193</f>
        <v/>
      </c>
      <c r="N16" s="129">
        <f>Anchor!V193</f>
        <v/>
      </c>
      <c r="O16" s="129">
        <f>Anchor!W193</f>
        <v/>
      </c>
      <c r="P16" s="129">
        <f>Anchor!X193</f>
        <v/>
      </c>
      <c r="Q16" s="131">
        <f>10*LOG10(1/(('Summary (Full)'!$B$41/10^(N16/10)+'Summary (Full)'!$B$42/10^(O16/10)+'Summary (Full)'!$B$43/10^(P16/10))/'Summary (Full)'!$B$44))</f>
        <v/>
      </c>
      <c r="R16" s="129">
        <f>Anchor!Y193</f>
        <v/>
      </c>
      <c r="S16" s="129">
        <f>Anchor!Z193</f>
        <v/>
      </c>
      <c r="T16" s="132" t="n"/>
      <c r="U16" s="129">
        <f>Test!L193</f>
        <v/>
      </c>
      <c r="V16" s="129">
        <f>Test!M193</f>
        <v/>
      </c>
      <c r="W16" s="129">
        <f>Test!N193</f>
        <v/>
      </c>
      <c r="X16" s="129">
        <f>Test!O193</f>
        <v/>
      </c>
      <c r="Y16" s="129">
        <f>('Summary (Full)'!$B$34*V16+'Summary (Full)'!$B$35*W16+'Summary (Full)'!$B$36*X16)/'Summary (Full)'!$B$37</f>
        <v/>
      </c>
      <c r="Z16" s="129">
        <f>Test!P193</f>
        <v/>
      </c>
      <c r="AA16" s="129">
        <f>Test!Q193</f>
        <v/>
      </c>
      <c r="AB16" s="129">
        <f>Test!R193</f>
        <v/>
      </c>
      <c r="AC16" s="129">
        <f>Test!S193</f>
        <v/>
      </c>
      <c r="AD16" s="129">
        <f>Test!T193</f>
        <v/>
      </c>
      <c r="AE16" s="129">
        <f>Test!U193</f>
        <v/>
      </c>
      <c r="AF16" s="129">
        <f>Test!V193</f>
        <v/>
      </c>
      <c r="AG16" s="129">
        <f>Test!W193</f>
        <v/>
      </c>
      <c r="AH16" s="129">
        <f>Test!X193</f>
        <v/>
      </c>
      <c r="AI16" s="129">
        <f>10*LOG10(1/(('Summary (Full)'!$B$41/10^(AF16/10)+'Summary (Full)'!$B$42/10^(AG16/10)+'Summary (Full)'!$B$43/10^(AH16/10))/'Summary (Full)'!$B$44))</f>
        <v/>
      </c>
      <c r="AJ16" s="129">
        <f>Test!Y193</f>
        <v/>
      </c>
      <c r="AK16" s="129">
        <f>Test!Z193</f>
        <v/>
      </c>
      <c r="AL16" s="129">
        <f>AJ16/R16</f>
        <v/>
      </c>
      <c r="AM16" s="129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 ht="13" customHeight="1" s="241">
      <c r="A17" s="237" t="inlineStr">
        <is>
          <t>1920x1080</t>
        </is>
      </c>
      <c r="B17" s="38" t="n">
        <v>110</v>
      </c>
      <c r="C17" s="129">
        <f>Anchor!L194</f>
        <v/>
      </c>
      <c r="D17" s="129">
        <f>Anchor!M194</f>
        <v/>
      </c>
      <c r="E17" s="129">
        <f>Anchor!N194</f>
        <v/>
      </c>
      <c r="F17" s="129">
        <f>Anchor!O194</f>
        <v/>
      </c>
      <c r="G17" s="130">
        <f>('Summary (Full)'!$B$34*D17+'Summary (Full)'!$B$35*E17+'Summary (Full)'!$B$36*F17)/'Summary (Full)'!$B$37</f>
        <v/>
      </c>
      <c r="H17" s="129">
        <f>Anchor!P194</f>
        <v/>
      </c>
      <c r="I17" s="129">
        <f>Anchor!Q194</f>
        <v/>
      </c>
      <c r="J17" s="129">
        <f>Anchor!R194</f>
        <v/>
      </c>
      <c r="K17" s="129">
        <f>Anchor!S194</f>
        <v/>
      </c>
      <c r="L17" s="129">
        <f>Anchor!T194</f>
        <v/>
      </c>
      <c r="M17" s="129">
        <f>Anchor!U194</f>
        <v/>
      </c>
      <c r="N17" s="129">
        <f>Anchor!V194</f>
        <v/>
      </c>
      <c r="O17" s="129">
        <f>Anchor!W194</f>
        <v/>
      </c>
      <c r="P17" s="129">
        <f>Anchor!X194</f>
        <v/>
      </c>
      <c r="Q17" s="131">
        <f>10*LOG10(1/(('Summary (Full)'!$B$41/10^(N17/10)+'Summary (Full)'!$B$42/10^(O17/10)+'Summary (Full)'!$B$43/10^(P17/10))/'Summary (Full)'!$B$44))</f>
        <v/>
      </c>
      <c r="R17" s="129">
        <f>Anchor!Y194</f>
        <v/>
      </c>
      <c r="S17" s="129">
        <f>Anchor!Z194</f>
        <v/>
      </c>
      <c r="T17" s="132" t="n"/>
      <c r="U17" s="129">
        <f>Test!L194</f>
        <v/>
      </c>
      <c r="V17" s="129">
        <f>Test!M194</f>
        <v/>
      </c>
      <c r="W17" s="129">
        <f>Test!N194</f>
        <v/>
      </c>
      <c r="X17" s="129">
        <f>Test!O194</f>
        <v/>
      </c>
      <c r="Y17" s="129">
        <f>('Summary (Full)'!$B$34*V17+'Summary (Full)'!$B$35*W17+'Summary (Full)'!$B$36*X17)/'Summary (Full)'!$B$37</f>
        <v/>
      </c>
      <c r="Z17" s="129">
        <f>Test!P194</f>
        <v/>
      </c>
      <c r="AA17" s="129">
        <f>Test!Q194</f>
        <v/>
      </c>
      <c r="AB17" s="129">
        <f>Test!R194</f>
        <v/>
      </c>
      <c r="AC17" s="129">
        <f>Test!S194</f>
        <v/>
      </c>
      <c r="AD17" s="129">
        <f>Test!T194</f>
        <v/>
      </c>
      <c r="AE17" s="129">
        <f>Test!U194</f>
        <v/>
      </c>
      <c r="AF17" s="129">
        <f>Test!V194</f>
        <v/>
      </c>
      <c r="AG17" s="129">
        <f>Test!W194</f>
        <v/>
      </c>
      <c r="AH17" s="129">
        <f>Test!X194</f>
        <v/>
      </c>
      <c r="AI17" s="129">
        <f>10*LOG10(1/(('Summary (Full)'!$B$41/10^(AF17/10)+'Summary (Full)'!$B$42/10^(AG17/10)+'Summary (Full)'!$B$43/10^(AH17/10))/'Summary (Full)'!$B$44))</f>
        <v/>
      </c>
      <c r="AJ17" s="129">
        <f>Test!Y194</f>
        <v/>
      </c>
      <c r="AK17" s="129">
        <f>Test!Z194</f>
        <v/>
      </c>
      <c r="AL17" s="129">
        <f>AJ17/R17</f>
        <v/>
      </c>
      <c r="AM17" s="129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29">
        <f>Anchor!L195</f>
        <v/>
      </c>
      <c r="D18" s="129">
        <f>Anchor!M195</f>
        <v/>
      </c>
      <c r="E18" s="129">
        <f>Anchor!N195</f>
        <v/>
      </c>
      <c r="F18" s="129">
        <f>Anchor!O195</f>
        <v/>
      </c>
      <c r="G18" s="130">
        <f>('Summary (Full)'!$B$34*D18+'Summary (Full)'!$B$35*E18+'Summary (Full)'!$B$36*F18)/'Summary (Full)'!$B$37</f>
        <v/>
      </c>
      <c r="H18" s="129">
        <f>Anchor!P195</f>
        <v/>
      </c>
      <c r="I18" s="129">
        <f>Anchor!Q195</f>
        <v/>
      </c>
      <c r="J18" s="129">
        <f>Anchor!R195</f>
        <v/>
      </c>
      <c r="K18" s="129">
        <f>Anchor!S195</f>
        <v/>
      </c>
      <c r="L18" s="129">
        <f>Anchor!T195</f>
        <v/>
      </c>
      <c r="M18" s="129">
        <f>Anchor!U195</f>
        <v/>
      </c>
      <c r="N18" s="129">
        <f>Anchor!V195</f>
        <v/>
      </c>
      <c r="O18" s="129">
        <f>Anchor!W195</f>
        <v/>
      </c>
      <c r="P18" s="129">
        <f>Anchor!X195</f>
        <v/>
      </c>
      <c r="Q18" s="131">
        <f>10*LOG10(1/(('Summary (Full)'!$B$41/10^(N18/10)+'Summary (Full)'!$B$42/10^(O18/10)+'Summary (Full)'!$B$43/10^(P18/10))/'Summary (Full)'!$B$44))</f>
        <v/>
      </c>
      <c r="R18" s="129">
        <f>Anchor!Y195</f>
        <v/>
      </c>
      <c r="S18" s="129">
        <f>Anchor!Z195</f>
        <v/>
      </c>
      <c r="T18" s="132" t="n"/>
      <c r="U18" s="129">
        <f>Test!L195</f>
        <v/>
      </c>
      <c r="V18" s="129">
        <f>Test!M195</f>
        <v/>
      </c>
      <c r="W18" s="129">
        <f>Test!N195</f>
        <v/>
      </c>
      <c r="X18" s="129">
        <f>Test!O195</f>
        <v/>
      </c>
      <c r="Y18" s="129">
        <f>('Summary (Full)'!$B$34*V18+'Summary (Full)'!$B$35*W18+'Summary (Full)'!$B$36*X18)/'Summary (Full)'!$B$37</f>
        <v/>
      </c>
      <c r="Z18" s="129">
        <f>Test!P195</f>
        <v/>
      </c>
      <c r="AA18" s="129">
        <f>Test!Q195</f>
        <v/>
      </c>
      <c r="AB18" s="129">
        <f>Test!R195</f>
        <v/>
      </c>
      <c r="AC18" s="129">
        <f>Test!S195</f>
        <v/>
      </c>
      <c r="AD18" s="129">
        <f>Test!T195</f>
        <v/>
      </c>
      <c r="AE18" s="129">
        <f>Test!U195</f>
        <v/>
      </c>
      <c r="AF18" s="129">
        <f>Test!V195</f>
        <v/>
      </c>
      <c r="AG18" s="129">
        <f>Test!W195</f>
        <v/>
      </c>
      <c r="AH18" s="129">
        <f>Test!X195</f>
        <v/>
      </c>
      <c r="AI18" s="129">
        <f>10*LOG10(1/(('Summary (Full)'!$B$41/10^(AF18/10)+'Summary (Full)'!$B$42/10^(AG18/10)+'Summary (Full)'!$B$43/10^(AH18/10))/'Summary (Full)'!$B$44))</f>
        <v/>
      </c>
      <c r="AJ18" s="129">
        <f>Test!Y195</f>
        <v/>
      </c>
      <c r="AK18" s="129">
        <f>Test!Z195</f>
        <v/>
      </c>
      <c r="AL18" s="129">
        <f>AJ18/R18</f>
        <v/>
      </c>
      <c r="AM18" s="129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 ht="13" customHeight="1" s="241">
      <c r="A19" s="238" t="n"/>
      <c r="B19" s="38" t="n">
        <v>160</v>
      </c>
      <c r="C19" s="129">
        <f>Anchor!L196</f>
        <v/>
      </c>
      <c r="D19" s="129">
        <f>Anchor!M196</f>
        <v/>
      </c>
      <c r="E19" s="129">
        <f>Anchor!N196</f>
        <v/>
      </c>
      <c r="F19" s="129">
        <f>Anchor!O196</f>
        <v/>
      </c>
      <c r="G19" s="130">
        <f>('Summary (Full)'!$B$34*D19+'Summary (Full)'!$B$35*E19+'Summary (Full)'!$B$36*F19)/'Summary (Full)'!$B$37</f>
        <v/>
      </c>
      <c r="H19" s="129">
        <f>Anchor!P196</f>
        <v/>
      </c>
      <c r="I19" s="129">
        <f>Anchor!Q196</f>
        <v/>
      </c>
      <c r="J19" s="129">
        <f>Anchor!R196</f>
        <v/>
      </c>
      <c r="K19" s="129">
        <f>Anchor!S196</f>
        <v/>
      </c>
      <c r="L19" s="129">
        <f>Anchor!T196</f>
        <v/>
      </c>
      <c r="M19" s="129">
        <f>Anchor!U196</f>
        <v/>
      </c>
      <c r="N19" s="129">
        <f>Anchor!V196</f>
        <v/>
      </c>
      <c r="O19" s="129">
        <f>Anchor!W196</f>
        <v/>
      </c>
      <c r="P19" s="129">
        <f>Anchor!X196</f>
        <v/>
      </c>
      <c r="Q19" s="131">
        <f>10*LOG10(1/(('Summary (Full)'!$B$41/10^(N19/10)+'Summary (Full)'!$B$42/10^(O19/10)+'Summary (Full)'!$B$43/10^(P19/10))/'Summary (Full)'!$B$44))</f>
        <v/>
      </c>
      <c r="R19" s="129">
        <f>Anchor!Y196</f>
        <v/>
      </c>
      <c r="S19" s="129">
        <f>Anchor!Z196</f>
        <v/>
      </c>
      <c r="T19" s="132" t="n"/>
      <c r="U19" s="129">
        <f>Test!L196</f>
        <v/>
      </c>
      <c r="V19" s="129">
        <f>Test!M196</f>
        <v/>
      </c>
      <c r="W19" s="129">
        <f>Test!N196</f>
        <v/>
      </c>
      <c r="X19" s="129">
        <f>Test!O196</f>
        <v/>
      </c>
      <c r="Y19" s="129">
        <f>('Summary (Full)'!$B$34*V19+'Summary (Full)'!$B$35*W19+'Summary (Full)'!$B$36*X19)/'Summary (Full)'!$B$37</f>
        <v/>
      </c>
      <c r="Z19" s="129">
        <f>Test!P196</f>
        <v/>
      </c>
      <c r="AA19" s="129">
        <f>Test!Q196</f>
        <v/>
      </c>
      <c r="AB19" s="129">
        <f>Test!R196</f>
        <v/>
      </c>
      <c r="AC19" s="129">
        <f>Test!S196</f>
        <v/>
      </c>
      <c r="AD19" s="129">
        <f>Test!T196</f>
        <v/>
      </c>
      <c r="AE19" s="129">
        <f>Test!U196</f>
        <v/>
      </c>
      <c r="AF19" s="129">
        <f>Test!V196</f>
        <v/>
      </c>
      <c r="AG19" s="129">
        <f>Test!W196</f>
        <v/>
      </c>
      <c r="AH19" s="129">
        <f>Test!X196</f>
        <v/>
      </c>
      <c r="AI19" s="129">
        <f>10*LOG10(1/(('Summary (Full)'!$B$41/10^(AF19/10)+'Summary (Full)'!$B$42/10^(AG19/10)+'Summary (Full)'!$B$43/10^(AH19/10))/'Summary (Full)'!$B$44))</f>
        <v/>
      </c>
      <c r="AJ19" s="129">
        <f>Test!Y196</f>
        <v/>
      </c>
      <c r="AK19" s="129">
        <f>Test!Z196</f>
        <v/>
      </c>
      <c r="AL19" s="129">
        <f>AJ19/R19</f>
        <v/>
      </c>
      <c r="AM19" s="129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29">
        <f>Anchor!L197</f>
        <v/>
      </c>
      <c r="D20" s="129">
        <f>Anchor!M197</f>
        <v/>
      </c>
      <c r="E20" s="129">
        <f>Anchor!N197</f>
        <v/>
      </c>
      <c r="F20" s="129">
        <f>Anchor!O197</f>
        <v/>
      </c>
      <c r="G20" s="130">
        <f>('Summary (Full)'!$B$34*D20+'Summary (Full)'!$B$35*E20+'Summary (Full)'!$B$36*F20)/'Summary (Full)'!$B$37</f>
        <v/>
      </c>
      <c r="H20" s="129">
        <f>Anchor!P197</f>
        <v/>
      </c>
      <c r="I20" s="129">
        <f>Anchor!Q197</f>
        <v/>
      </c>
      <c r="J20" s="129">
        <f>Anchor!R197</f>
        <v/>
      </c>
      <c r="K20" s="129">
        <f>Anchor!S197</f>
        <v/>
      </c>
      <c r="L20" s="129">
        <f>Anchor!T197</f>
        <v/>
      </c>
      <c r="M20" s="129">
        <f>Anchor!U197</f>
        <v/>
      </c>
      <c r="N20" s="129">
        <f>Anchor!V197</f>
        <v/>
      </c>
      <c r="O20" s="129">
        <f>Anchor!W197</f>
        <v/>
      </c>
      <c r="P20" s="129">
        <f>Anchor!X197</f>
        <v/>
      </c>
      <c r="Q20" s="131">
        <f>10*LOG10(1/(('Summary (Full)'!$B$41/10^(N20/10)+'Summary (Full)'!$B$42/10^(O20/10)+'Summary (Full)'!$B$43/10^(P20/10))/'Summary (Full)'!$B$44))</f>
        <v/>
      </c>
      <c r="R20" s="129">
        <f>Anchor!Y197</f>
        <v/>
      </c>
      <c r="S20" s="129">
        <f>Anchor!Z197</f>
        <v/>
      </c>
      <c r="T20" s="132" t="n"/>
      <c r="U20" s="129">
        <f>Test!L197</f>
        <v/>
      </c>
      <c r="V20" s="129">
        <f>Test!M197</f>
        <v/>
      </c>
      <c r="W20" s="129">
        <f>Test!N197</f>
        <v/>
      </c>
      <c r="X20" s="129">
        <f>Test!O197</f>
        <v/>
      </c>
      <c r="Y20" s="129">
        <f>('Summary (Full)'!$B$34*V20+'Summary (Full)'!$B$35*W20+'Summary (Full)'!$B$36*X20)/'Summary (Full)'!$B$37</f>
        <v/>
      </c>
      <c r="Z20" s="129">
        <f>Test!P197</f>
        <v/>
      </c>
      <c r="AA20" s="129">
        <f>Test!Q197</f>
        <v/>
      </c>
      <c r="AB20" s="129">
        <f>Test!R197</f>
        <v/>
      </c>
      <c r="AC20" s="129">
        <f>Test!S197</f>
        <v/>
      </c>
      <c r="AD20" s="129">
        <f>Test!T197</f>
        <v/>
      </c>
      <c r="AE20" s="129">
        <f>Test!U197</f>
        <v/>
      </c>
      <c r="AF20" s="129">
        <f>Test!V197</f>
        <v/>
      </c>
      <c r="AG20" s="129">
        <f>Test!W197</f>
        <v/>
      </c>
      <c r="AH20" s="129">
        <f>Test!X197</f>
        <v/>
      </c>
      <c r="AI20" s="129">
        <f>10*LOG10(1/(('Summary (Full)'!$B$41/10^(AF20/10)+'Summary (Full)'!$B$42/10^(AG20/10)+'Summary (Full)'!$B$43/10^(AH20/10))/'Summary (Full)'!$B$44))</f>
        <v/>
      </c>
      <c r="AJ20" s="129">
        <f>Test!Y197</f>
        <v/>
      </c>
      <c r="AK20" s="129">
        <f>Test!Z197</f>
        <v/>
      </c>
      <c r="AL20" s="129">
        <f>AJ20/R20</f>
        <v/>
      </c>
      <c r="AM20" s="129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 ht="13" customHeight="1" s="241">
      <c r="A21" s="238" t="n"/>
      <c r="B21" s="38" t="n">
        <v>210</v>
      </c>
      <c r="C21" s="129">
        <f>Anchor!L198</f>
        <v/>
      </c>
      <c r="D21" s="129">
        <f>Anchor!M198</f>
        <v/>
      </c>
      <c r="E21" s="129">
        <f>Anchor!N198</f>
        <v/>
      </c>
      <c r="F21" s="129">
        <f>Anchor!O198</f>
        <v/>
      </c>
      <c r="G21" s="130">
        <f>('Summary (Full)'!$B$34*D21+'Summary (Full)'!$B$35*E21+'Summary (Full)'!$B$36*F21)/'Summary (Full)'!$B$37</f>
        <v/>
      </c>
      <c r="H21" s="129">
        <f>Anchor!P198</f>
        <v/>
      </c>
      <c r="I21" s="129">
        <f>Anchor!Q198</f>
        <v/>
      </c>
      <c r="J21" s="129">
        <f>Anchor!R198</f>
        <v/>
      </c>
      <c r="K21" s="129">
        <f>Anchor!S198</f>
        <v/>
      </c>
      <c r="L21" s="129">
        <f>Anchor!T198</f>
        <v/>
      </c>
      <c r="M21" s="129">
        <f>Anchor!U198</f>
        <v/>
      </c>
      <c r="N21" s="129">
        <f>Anchor!V198</f>
        <v/>
      </c>
      <c r="O21" s="129">
        <f>Anchor!W198</f>
        <v/>
      </c>
      <c r="P21" s="129">
        <f>Anchor!X198</f>
        <v/>
      </c>
      <c r="Q21" s="131">
        <f>10*LOG10(1/(('Summary (Full)'!$B$41/10^(N21/10)+'Summary (Full)'!$B$42/10^(O21/10)+'Summary (Full)'!$B$43/10^(P21/10))/'Summary (Full)'!$B$44))</f>
        <v/>
      </c>
      <c r="R21" s="129">
        <f>Anchor!Y198</f>
        <v/>
      </c>
      <c r="S21" s="129">
        <f>Anchor!Z198</f>
        <v/>
      </c>
      <c r="T21" s="132" t="n"/>
      <c r="U21" s="129">
        <f>Test!L198</f>
        <v/>
      </c>
      <c r="V21" s="129">
        <f>Test!M198</f>
        <v/>
      </c>
      <c r="W21" s="129">
        <f>Test!N198</f>
        <v/>
      </c>
      <c r="X21" s="129">
        <f>Test!O198</f>
        <v/>
      </c>
      <c r="Y21" s="129">
        <f>('Summary (Full)'!$B$34*V21+'Summary (Full)'!$B$35*W21+'Summary (Full)'!$B$36*X21)/'Summary (Full)'!$B$37</f>
        <v/>
      </c>
      <c r="Z21" s="129">
        <f>Test!P198</f>
        <v/>
      </c>
      <c r="AA21" s="129">
        <f>Test!Q198</f>
        <v/>
      </c>
      <c r="AB21" s="129">
        <f>Test!R198</f>
        <v/>
      </c>
      <c r="AC21" s="129">
        <f>Test!S198</f>
        <v/>
      </c>
      <c r="AD21" s="129">
        <f>Test!T198</f>
        <v/>
      </c>
      <c r="AE21" s="129">
        <f>Test!U198</f>
        <v/>
      </c>
      <c r="AF21" s="129">
        <f>Test!V198</f>
        <v/>
      </c>
      <c r="AG21" s="129">
        <f>Test!W198</f>
        <v/>
      </c>
      <c r="AH21" s="129">
        <f>Test!X198</f>
        <v/>
      </c>
      <c r="AI21" s="129">
        <f>10*LOG10(1/(('Summary (Full)'!$B$41/10^(AF21/10)+'Summary (Full)'!$B$42/10^(AG21/10)+'Summary (Full)'!$B$43/10^(AH21/10))/'Summary (Full)'!$B$44))</f>
        <v/>
      </c>
      <c r="AJ21" s="129">
        <f>Test!Y198</f>
        <v/>
      </c>
      <c r="AK21" s="129">
        <f>Test!Z198</f>
        <v/>
      </c>
      <c r="AL21" s="129">
        <f>AJ21/R21</f>
        <v/>
      </c>
      <c r="AM21" s="129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29">
        <f>Anchor!L199</f>
        <v/>
      </c>
      <c r="D22" s="129">
        <f>Anchor!M199</f>
        <v/>
      </c>
      <c r="E22" s="129">
        <f>Anchor!N199</f>
        <v/>
      </c>
      <c r="F22" s="129">
        <f>Anchor!O199</f>
        <v/>
      </c>
      <c r="G22" s="130">
        <f>('Summary (Full)'!$B$34*D22+'Summary (Full)'!$B$35*E22+'Summary (Full)'!$B$36*F22)/'Summary (Full)'!$B$37</f>
        <v/>
      </c>
      <c r="H22" s="129">
        <f>Anchor!P199</f>
        <v/>
      </c>
      <c r="I22" s="129">
        <f>Anchor!Q199</f>
        <v/>
      </c>
      <c r="J22" s="129">
        <f>Anchor!R199</f>
        <v/>
      </c>
      <c r="K22" s="129">
        <f>Anchor!S199</f>
        <v/>
      </c>
      <c r="L22" s="129">
        <f>Anchor!T199</f>
        <v/>
      </c>
      <c r="M22" s="129">
        <f>Anchor!U199</f>
        <v/>
      </c>
      <c r="N22" s="129">
        <f>Anchor!V199</f>
        <v/>
      </c>
      <c r="O22" s="129">
        <f>Anchor!W199</f>
        <v/>
      </c>
      <c r="P22" s="129">
        <f>Anchor!X199</f>
        <v/>
      </c>
      <c r="Q22" s="131">
        <f>10*LOG10(1/(('Summary (Full)'!$B$41/10^(N22/10)+'Summary (Full)'!$B$42/10^(O22/10)+'Summary (Full)'!$B$43/10^(P22/10))/'Summary (Full)'!$B$44))</f>
        <v/>
      </c>
      <c r="R22" s="129">
        <f>Anchor!Y199</f>
        <v/>
      </c>
      <c r="S22" s="129">
        <f>Anchor!Z199</f>
        <v/>
      </c>
      <c r="T22" s="132" t="n"/>
      <c r="U22" s="129">
        <f>Test!L199</f>
        <v/>
      </c>
      <c r="V22" s="129">
        <f>Test!M199</f>
        <v/>
      </c>
      <c r="W22" s="129">
        <f>Test!N199</f>
        <v/>
      </c>
      <c r="X22" s="129">
        <f>Test!O199</f>
        <v/>
      </c>
      <c r="Y22" s="129">
        <f>('Summary (Full)'!$B$34*V22+'Summary (Full)'!$B$35*W22+'Summary (Full)'!$B$36*X22)/'Summary (Full)'!$B$37</f>
        <v/>
      </c>
      <c r="Z22" s="129">
        <f>Test!P199</f>
        <v/>
      </c>
      <c r="AA22" s="129">
        <f>Test!Q199</f>
        <v/>
      </c>
      <c r="AB22" s="129">
        <f>Test!R199</f>
        <v/>
      </c>
      <c r="AC22" s="129">
        <f>Test!S199</f>
        <v/>
      </c>
      <c r="AD22" s="129">
        <f>Test!T199</f>
        <v/>
      </c>
      <c r="AE22" s="129">
        <f>Test!U199</f>
        <v/>
      </c>
      <c r="AF22" s="129">
        <f>Test!V199</f>
        <v/>
      </c>
      <c r="AG22" s="129">
        <f>Test!W199</f>
        <v/>
      </c>
      <c r="AH22" s="129">
        <f>Test!X199</f>
        <v/>
      </c>
      <c r="AI22" s="129">
        <f>10*LOG10(1/(('Summary (Full)'!$B$41/10^(AF22/10)+'Summary (Full)'!$B$42/10^(AG22/10)+'Summary (Full)'!$B$43/10^(AH22/10))/'Summary (Full)'!$B$44))</f>
        <v/>
      </c>
      <c r="AJ22" s="129">
        <f>Test!Y199</f>
        <v/>
      </c>
      <c r="AK22" s="129">
        <f>Test!Z199</f>
        <v/>
      </c>
      <c r="AL22" s="129">
        <f>AJ22/R22</f>
        <v/>
      </c>
      <c r="AM22" s="129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 ht="13" customHeight="1" s="241">
      <c r="A23" s="242" t="inlineStr">
        <is>
          <t>1280x720</t>
        </is>
      </c>
      <c r="B23" s="38" t="n">
        <v>110</v>
      </c>
      <c r="C23" s="129">
        <f>Anchor!L200</f>
        <v/>
      </c>
      <c r="D23" s="129">
        <f>Anchor!M200</f>
        <v/>
      </c>
      <c r="E23" s="129">
        <f>Anchor!N200</f>
        <v/>
      </c>
      <c r="F23" s="129">
        <f>Anchor!O200</f>
        <v/>
      </c>
      <c r="G23" s="130">
        <f>('Summary (Full)'!$B$34*D23+'Summary (Full)'!$B$35*E23+'Summary (Full)'!$B$36*F23)/'Summary (Full)'!$B$37</f>
        <v/>
      </c>
      <c r="H23" s="129">
        <f>Anchor!P200</f>
        <v/>
      </c>
      <c r="I23" s="129">
        <f>Anchor!Q200</f>
        <v/>
      </c>
      <c r="J23" s="129">
        <f>Anchor!R200</f>
        <v/>
      </c>
      <c r="K23" s="129">
        <f>Anchor!S200</f>
        <v/>
      </c>
      <c r="L23" s="129">
        <f>Anchor!T200</f>
        <v/>
      </c>
      <c r="M23" s="129">
        <f>Anchor!U200</f>
        <v/>
      </c>
      <c r="N23" s="129">
        <f>Anchor!V200</f>
        <v/>
      </c>
      <c r="O23" s="129">
        <f>Anchor!W200</f>
        <v/>
      </c>
      <c r="P23" s="129">
        <f>Anchor!X200</f>
        <v/>
      </c>
      <c r="Q23" s="131">
        <f>10*LOG10(1/(('Summary (Full)'!$B$41/10^(N23/10)+'Summary (Full)'!$B$42/10^(O23/10)+'Summary (Full)'!$B$43/10^(P23/10))/'Summary (Full)'!$B$44))</f>
        <v/>
      </c>
      <c r="R23" s="129">
        <f>Anchor!Y200</f>
        <v/>
      </c>
      <c r="S23" s="129">
        <f>Anchor!Z200</f>
        <v/>
      </c>
      <c r="T23" s="132" t="n"/>
      <c r="U23" s="129">
        <f>Test!L200</f>
        <v/>
      </c>
      <c r="V23" s="129">
        <f>Test!M200</f>
        <v/>
      </c>
      <c r="W23" s="129">
        <f>Test!N200</f>
        <v/>
      </c>
      <c r="X23" s="129">
        <f>Test!O200</f>
        <v/>
      </c>
      <c r="Y23" s="129">
        <f>('Summary (Full)'!$B$34*V23+'Summary (Full)'!$B$35*W23+'Summary (Full)'!$B$36*X23)/'Summary (Full)'!$B$37</f>
        <v/>
      </c>
      <c r="Z23" s="129">
        <f>Test!P200</f>
        <v/>
      </c>
      <c r="AA23" s="129">
        <f>Test!Q200</f>
        <v/>
      </c>
      <c r="AB23" s="129">
        <f>Test!R200</f>
        <v/>
      </c>
      <c r="AC23" s="129">
        <f>Test!S200</f>
        <v/>
      </c>
      <c r="AD23" s="129">
        <f>Test!T200</f>
        <v/>
      </c>
      <c r="AE23" s="129">
        <f>Test!U200</f>
        <v/>
      </c>
      <c r="AF23" s="129">
        <f>Test!V200</f>
        <v/>
      </c>
      <c r="AG23" s="129">
        <f>Test!W200</f>
        <v/>
      </c>
      <c r="AH23" s="129">
        <f>Test!X200</f>
        <v/>
      </c>
      <c r="AI23" s="129">
        <f>10*LOG10(1/(('Summary (Full)'!$B$41/10^(AF23/10)+'Summary (Full)'!$B$42/10^(AG23/10)+'Summary (Full)'!$B$43/10^(AH23/10))/'Summary (Full)'!$B$44))</f>
        <v/>
      </c>
      <c r="AJ23" s="129">
        <f>Test!Y200</f>
        <v/>
      </c>
      <c r="AK23" s="129">
        <f>Test!Z200</f>
        <v/>
      </c>
      <c r="AL23" s="129">
        <f>AJ23/R23</f>
        <v/>
      </c>
      <c r="AM23" s="129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29">
        <f>Anchor!L201</f>
        <v/>
      </c>
      <c r="D24" s="129">
        <f>Anchor!M201</f>
        <v/>
      </c>
      <c r="E24" s="129">
        <f>Anchor!N201</f>
        <v/>
      </c>
      <c r="F24" s="129">
        <f>Anchor!O201</f>
        <v/>
      </c>
      <c r="G24" s="130">
        <f>('Summary (Full)'!$B$34*D24+'Summary (Full)'!$B$35*E24+'Summary (Full)'!$B$36*F24)/'Summary (Full)'!$B$37</f>
        <v/>
      </c>
      <c r="H24" s="129">
        <f>Anchor!P201</f>
        <v/>
      </c>
      <c r="I24" s="129">
        <f>Anchor!Q201</f>
        <v/>
      </c>
      <c r="J24" s="129">
        <f>Anchor!R201</f>
        <v/>
      </c>
      <c r="K24" s="129">
        <f>Anchor!S201</f>
        <v/>
      </c>
      <c r="L24" s="129">
        <f>Anchor!T201</f>
        <v/>
      </c>
      <c r="M24" s="129">
        <f>Anchor!U201</f>
        <v/>
      </c>
      <c r="N24" s="129">
        <f>Anchor!V201</f>
        <v/>
      </c>
      <c r="O24" s="129">
        <f>Anchor!W201</f>
        <v/>
      </c>
      <c r="P24" s="129">
        <f>Anchor!X201</f>
        <v/>
      </c>
      <c r="Q24" s="131">
        <f>10*LOG10(1/(('Summary (Full)'!$B$41/10^(N24/10)+'Summary (Full)'!$B$42/10^(O24/10)+'Summary (Full)'!$B$43/10^(P24/10))/'Summary (Full)'!$B$44))</f>
        <v/>
      </c>
      <c r="R24" s="129">
        <f>Anchor!Y201</f>
        <v/>
      </c>
      <c r="S24" s="129">
        <f>Anchor!Z201</f>
        <v/>
      </c>
      <c r="T24" s="132" t="n"/>
      <c r="U24" s="129">
        <f>Test!L201</f>
        <v/>
      </c>
      <c r="V24" s="129">
        <f>Test!M201</f>
        <v/>
      </c>
      <c r="W24" s="129">
        <f>Test!N201</f>
        <v/>
      </c>
      <c r="X24" s="129">
        <f>Test!O201</f>
        <v/>
      </c>
      <c r="Y24" s="129">
        <f>('Summary (Full)'!$B$34*V24+'Summary (Full)'!$B$35*W24+'Summary (Full)'!$B$36*X24)/'Summary (Full)'!$B$37</f>
        <v/>
      </c>
      <c r="Z24" s="129">
        <f>Test!P201</f>
        <v/>
      </c>
      <c r="AA24" s="129">
        <f>Test!Q201</f>
        <v/>
      </c>
      <c r="AB24" s="129">
        <f>Test!R201</f>
        <v/>
      </c>
      <c r="AC24" s="129">
        <f>Test!S201</f>
        <v/>
      </c>
      <c r="AD24" s="129">
        <f>Test!T201</f>
        <v/>
      </c>
      <c r="AE24" s="129">
        <f>Test!U201</f>
        <v/>
      </c>
      <c r="AF24" s="129">
        <f>Test!V201</f>
        <v/>
      </c>
      <c r="AG24" s="129">
        <f>Test!W201</f>
        <v/>
      </c>
      <c r="AH24" s="129">
        <f>Test!X201</f>
        <v/>
      </c>
      <c r="AI24" s="129">
        <f>10*LOG10(1/(('Summary (Full)'!$B$41/10^(AF24/10)+'Summary (Full)'!$B$42/10^(AG24/10)+'Summary (Full)'!$B$43/10^(AH24/10))/'Summary (Full)'!$B$44))</f>
        <v/>
      </c>
      <c r="AJ24" s="129">
        <f>Test!Y201</f>
        <v/>
      </c>
      <c r="AK24" s="129">
        <f>Test!Z201</f>
        <v/>
      </c>
      <c r="AL24" s="129">
        <f>AJ24/R24</f>
        <v/>
      </c>
      <c r="AM24" s="129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 ht="13" customHeight="1" s="241">
      <c r="A25" s="238" t="n"/>
      <c r="B25" s="38" t="n">
        <v>160</v>
      </c>
      <c r="C25" s="129">
        <f>Anchor!L202</f>
        <v/>
      </c>
      <c r="D25" s="129">
        <f>Anchor!M202</f>
        <v/>
      </c>
      <c r="E25" s="129">
        <f>Anchor!N202</f>
        <v/>
      </c>
      <c r="F25" s="129">
        <f>Anchor!O202</f>
        <v/>
      </c>
      <c r="G25" s="130">
        <f>('Summary (Full)'!$B$34*D25+'Summary (Full)'!$B$35*E25+'Summary (Full)'!$B$36*F25)/'Summary (Full)'!$B$37</f>
        <v/>
      </c>
      <c r="H25" s="129">
        <f>Anchor!P202</f>
        <v/>
      </c>
      <c r="I25" s="129">
        <f>Anchor!Q202</f>
        <v/>
      </c>
      <c r="J25" s="129">
        <f>Anchor!R202</f>
        <v/>
      </c>
      <c r="K25" s="129">
        <f>Anchor!S202</f>
        <v/>
      </c>
      <c r="L25" s="129">
        <f>Anchor!T202</f>
        <v/>
      </c>
      <c r="M25" s="129">
        <f>Anchor!U202</f>
        <v/>
      </c>
      <c r="N25" s="129">
        <f>Anchor!V202</f>
        <v/>
      </c>
      <c r="O25" s="129">
        <f>Anchor!W202</f>
        <v/>
      </c>
      <c r="P25" s="129">
        <f>Anchor!X202</f>
        <v/>
      </c>
      <c r="Q25" s="131">
        <f>10*LOG10(1/(('Summary (Full)'!$B$41/10^(N25/10)+'Summary (Full)'!$B$42/10^(O25/10)+'Summary (Full)'!$B$43/10^(P25/10))/'Summary (Full)'!$B$44))</f>
        <v/>
      </c>
      <c r="R25" s="129">
        <f>Anchor!Y202</f>
        <v/>
      </c>
      <c r="S25" s="129">
        <f>Anchor!Z202</f>
        <v/>
      </c>
      <c r="T25" s="132" t="n"/>
      <c r="U25" s="129">
        <f>Test!L202</f>
        <v/>
      </c>
      <c r="V25" s="129">
        <f>Test!M202</f>
        <v/>
      </c>
      <c r="W25" s="129">
        <f>Test!N202</f>
        <v/>
      </c>
      <c r="X25" s="129">
        <f>Test!O202</f>
        <v/>
      </c>
      <c r="Y25" s="129">
        <f>('Summary (Full)'!$B$34*V25+'Summary (Full)'!$B$35*W25+'Summary (Full)'!$B$36*X25)/'Summary (Full)'!$B$37</f>
        <v/>
      </c>
      <c r="Z25" s="129">
        <f>Test!P202</f>
        <v/>
      </c>
      <c r="AA25" s="129">
        <f>Test!Q202</f>
        <v/>
      </c>
      <c r="AB25" s="129">
        <f>Test!R202</f>
        <v/>
      </c>
      <c r="AC25" s="129">
        <f>Test!S202</f>
        <v/>
      </c>
      <c r="AD25" s="129">
        <f>Test!T202</f>
        <v/>
      </c>
      <c r="AE25" s="129">
        <f>Test!U202</f>
        <v/>
      </c>
      <c r="AF25" s="129">
        <f>Test!V202</f>
        <v/>
      </c>
      <c r="AG25" s="129">
        <f>Test!W202</f>
        <v/>
      </c>
      <c r="AH25" s="129">
        <f>Test!X202</f>
        <v/>
      </c>
      <c r="AI25" s="129">
        <f>10*LOG10(1/(('Summary (Full)'!$B$41/10^(AF25/10)+'Summary (Full)'!$B$42/10^(AG25/10)+'Summary (Full)'!$B$43/10^(AH25/10))/'Summary (Full)'!$B$44))</f>
        <v/>
      </c>
      <c r="AJ25" s="129">
        <f>Test!Y202</f>
        <v/>
      </c>
      <c r="AK25" s="129">
        <f>Test!Z202</f>
        <v/>
      </c>
      <c r="AL25" s="129">
        <f>AJ25/R25</f>
        <v/>
      </c>
      <c r="AM25" s="129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29">
        <f>Anchor!L203</f>
        <v/>
      </c>
      <c r="D26" s="129">
        <f>Anchor!M203</f>
        <v/>
      </c>
      <c r="E26" s="129">
        <f>Anchor!N203</f>
        <v/>
      </c>
      <c r="F26" s="129">
        <f>Anchor!O203</f>
        <v/>
      </c>
      <c r="G26" s="130">
        <f>('Summary (Full)'!$B$34*D26+'Summary (Full)'!$B$35*E26+'Summary (Full)'!$B$36*F26)/'Summary (Full)'!$B$37</f>
        <v/>
      </c>
      <c r="H26" s="129">
        <f>Anchor!P203</f>
        <v/>
      </c>
      <c r="I26" s="129">
        <f>Anchor!Q203</f>
        <v/>
      </c>
      <c r="J26" s="129">
        <f>Anchor!R203</f>
        <v/>
      </c>
      <c r="K26" s="129">
        <f>Anchor!S203</f>
        <v/>
      </c>
      <c r="L26" s="129">
        <f>Anchor!T203</f>
        <v/>
      </c>
      <c r="M26" s="129">
        <f>Anchor!U203</f>
        <v/>
      </c>
      <c r="N26" s="129">
        <f>Anchor!V203</f>
        <v/>
      </c>
      <c r="O26" s="129">
        <f>Anchor!W203</f>
        <v/>
      </c>
      <c r="P26" s="129">
        <f>Anchor!X203</f>
        <v/>
      </c>
      <c r="Q26" s="131">
        <f>10*LOG10(1/(('Summary (Full)'!$B$41/10^(N26/10)+'Summary (Full)'!$B$42/10^(O26/10)+'Summary (Full)'!$B$43/10^(P26/10))/'Summary (Full)'!$B$44))</f>
        <v/>
      </c>
      <c r="R26" s="129">
        <f>Anchor!Y203</f>
        <v/>
      </c>
      <c r="S26" s="129">
        <f>Anchor!Z203</f>
        <v/>
      </c>
      <c r="T26" s="132" t="n"/>
      <c r="U26" s="129">
        <f>Test!L203</f>
        <v/>
      </c>
      <c r="V26" s="129">
        <f>Test!M203</f>
        <v/>
      </c>
      <c r="W26" s="129">
        <f>Test!N203</f>
        <v/>
      </c>
      <c r="X26" s="129">
        <f>Test!O203</f>
        <v/>
      </c>
      <c r="Y26" s="129">
        <f>('Summary (Full)'!$B$34*V26+'Summary (Full)'!$B$35*W26+'Summary (Full)'!$B$36*X26)/'Summary (Full)'!$B$37</f>
        <v/>
      </c>
      <c r="Z26" s="129">
        <f>Test!P203</f>
        <v/>
      </c>
      <c r="AA26" s="129">
        <f>Test!Q203</f>
        <v/>
      </c>
      <c r="AB26" s="129">
        <f>Test!R203</f>
        <v/>
      </c>
      <c r="AC26" s="129">
        <f>Test!S203</f>
        <v/>
      </c>
      <c r="AD26" s="129">
        <f>Test!T203</f>
        <v/>
      </c>
      <c r="AE26" s="129">
        <f>Test!U203</f>
        <v/>
      </c>
      <c r="AF26" s="129">
        <f>Test!V203</f>
        <v/>
      </c>
      <c r="AG26" s="129">
        <f>Test!W203</f>
        <v/>
      </c>
      <c r="AH26" s="129">
        <f>Test!X203</f>
        <v/>
      </c>
      <c r="AI26" s="129">
        <f>10*LOG10(1/(('Summary (Full)'!$B$41/10^(AF26/10)+'Summary (Full)'!$B$42/10^(AG26/10)+'Summary (Full)'!$B$43/10^(AH26/10))/'Summary (Full)'!$B$44))</f>
        <v/>
      </c>
      <c r="AJ26" s="129">
        <f>Test!Y203</f>
        <v/>
      </c>
      <c r="AK26" s="129">
        <f>Test!Z203</f>
        <v/>
      </c>
      <c r="AL26" s="129">
        <f>AJ26/R26</f>
        <v/>
      </c>
      <c r="AM26" s="129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 ht="13" customHeight="1" s="241">
      <c r="A27" s="238" t="n"/>
      <c r="B27" s="38" t="n">
        <v>210</v>
      </c>
      <c r="C27" s="129">
        <f>Anchor!L204</f>
        <v/>
      </c>
      <c r="D27" s="129">
        <f>Anchor!M204</f>
        <v/>
      </c>
      <c r="E27" s="129">
        <f>Anchor!N204</f>
        <v/>
      </c>
      <c r="F27" s="129">
        <f>Anchor!O204</f>
        <v/>
      </c>
      <c r="G27" s="130">
        <f>('Summary (Full)'!$B$34*D27+'Summary (Full)'!$B$35*E27+'Summary (Full)'!$B$36*F27)/'Summary (Full)'!$B$37</f>
        <v/>
      </c>
      <c r="H27" s="129">
        <f>Anchor!P204</f>
        <v/>
      </c>
      <c r="I27" s="129">
        <f>Anchor!Q204</f>
        <v/>
      </c>
      <c r="J27" s="129">
        <f>Anchor!R204</f>
        <v/>
      </c>
      <c r="K27" s="129">
        <f>Anchor!S204</f>
        <v/>
      </c>
      <c r="L27" s="129">
        <f>Anchor!T204</f>
        <v/>
      </c>
      <c r="M27" s="129">
        <f>Anchor!U204</f>
        <v/>
      </c>
      <c r="N27" s="129">
        <f>Anchor!V204</f>
        <v/>
      </c>
      <c r="O27" s="129">
        <f>Anchor!W204</f>
        <v/>
      </c>
      <c r="P27" s="129">
        <f>Anchor!X204</f>
        <v/>
      </c>
      <c r="Q27" s="131">
        <f>10*LOG10(1/(('Summary (Full)'!$B$41/10^(N27/10)+'Summary (Full)'!$B$42/10^(O27/10)+'Summary (Full)'!$B$43/10^(P27/10))/'Summary (Full)'!$B$44))</f>
        <v/>
      </c>
      <c r="R27" s="129">
        <f>Anchor!Y204</f>
        <v/>
      </c>
      <c r="S27" s="129">
        <f>Anchor!Z204</f>
        <v/>
      </c>
      <c r="T27" s="132" t="n"/>
      <c r="U27" s="129">
        <f>Test!L204</f>
        <v/>
      </c>
      <c r="V27" s="129">
        <f>Test!M204</f>
        <v/>
      </c>
      <c r="W27" s="129">
        <f>Test!N204</f>
        <v/>
      </c>
      <c r="X27" s="129">
        <f>Test!O204</f>
        <v/>
      </c>
      <c r="Y27" s="129">
        <f>('Summary (Full)'!$B$34*V27+'Summary (Full)'!$B$35*W27+'Summary (Full)'!$B$36*X27)/'Summary (Full)'!$B$37</f>
        <v/>
      </c>
      <c r="Z27" s="129">
        <f>Test!P204</f>
        <v/>
      </c>
      <c r="AA27" s="129">
        <f>Test!Q204</f>
        <v/>
      </c>
      <c r="AB27" s="129">
        <f>Test!R204</f>
        <v/>
      </c>
      <c r="AC27" s="129">
        <f>Test!S204</f>
        <v/>
      </c>
      <c r="AD27" s="129">
        <f>Test!T204</f>
        <v/>
      </c>
      <c r="AE27" s="129">
        <f>Test!U204</f>
        <v/>
      </c>
      <c r="AF27" s="129">
        <f>Test!V204</f>
        <v/>
      </c>
      <c r="AG27" s="129">
        <f>Test!W204</f>
        <v/>
      </c>
      <c r="AH27" s="129">
        <f>Test!X204</f>
        <v/>
      </c>
      <c r="AI27" s="129">
        <f>10*LOG10(1/(('Summary (Full)'!$B$41/10^(AF27/10)+'Summary (Full)'!$B$42/10^(AG27/10)+'Summary (Full)'!$B$43/10^(AH27/10))/'Summary (Full)'!$B$44))</f>
        <v/>
      </c>
      <c r="AJ27" s="129">
        <f>Test!Y204</f>
        <v/>
      </c>
      <c r="AK27" s="129">
        <f>Test!Z204</f>
        <v/>
      </c>
      <c r="AL27" s="129">
        <f>AJ27/R27</f>
        <v/>
      </c>
      <c r="AM27" s="129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29">
        <f>Anchor!L205</f>
        <v/>
      </c>
      <c r="D28" s="129">
        <f>Anchor!M205</f>
        <v/>
      </c>
      <c r="E28" s="129">
        <f>Anchor!N205</f>
        <v/>
      </c>
      <c r="F28" s="129">
        <f>Anchor!O205</f>
        <v/>
      </c>
      <c r="G28" s="130">
        <f>('Summary (Full)'!$B$34*D28+'Summary (Full)'!$B$35*E28+'Summary (Full)'!$B$36*F28)/'Summary (Full)'!$B$37</f>
        <v/>
      </c>
      <c r="H28" s="129">
        <f>Anchor!P205</f>
        <v/>
      </c>
      <c r="I28" s="129">
        <f>Anchor!Q205</f>
        <v/>
      </c>
      <c r="J28" s="129">
        <f>Anchor!R205</f>
        <v/>
      </c>
      <c r="K28" s="129">
        <f>Anchor!S205</f>
        <v/>
      </c>
      <c r="L28" s="129">
        <f>Anchor!T205</f>
        <v/>
      </c>
      <c r="M28" s="129">
        <f>Anchor!U205</f>
        <v/>
      </c>
      <c r="N28" s="129">
        <f>Anchor!V205</f>
        <v/>
      </c>
      <c r="O28" s="129">
        <f>Anchor!W205</f>
        <v/>
      </c>
      <c r="P28" s="129">
        <f>Anchor!X205</f>
        <v/>
      </c>
      <c r="Q28" s="131">
        <f>10*LOG10(1/(('Summary (Full)'!$B$41/10^(N28/10)+'Summary (Full)'!$B$42/10^(O28/10)+'Summary (Full)'!$B$43/10^(P28/10))/'Summary (Full)'!$B$44))</f>
        <v/>
      </c>
      <c r="R28" s="129">
        <f>Anchor!Y205</f>
        <v/>
      </c>
      <c r="S28" s="129">
        <f>Anchor!Z205</f>
        <v/>
      </c>
      <c r="T28" s="132" t="n"/>
      <c r="U28" s="129">
        <f>Test!L205</f>
        <v/>
      </c>
      <c r="V28" s="129">
        <f>Test!M205</f>
        <v/>
      </c>
      <c r="W28" s="129">
        <f>Test!N205</f>
        <v/>
      </c>
      <c r="X28" s="129">
        <f>Test!O205</f>
        <v/>
      </c>
      <c r="Y28" s="129">
        <f>('Summary (Full)'!$B$34*V28+'Summary (Full)'!$B$35*W28+'Summary (Full)'!$B$36*X28)/'Summary (Full)'!$B$37</f>
        <v/>
      </c>
      <c r="Z28" s="129">
        <f>Test!P205</f>
        <v/>
      </c>
      <c r="AA28" s="129">
        <f>Test!Q205</f>
        <v/>
      </c>
      <c r="AB28" s="129">
        <f>Test!R205</f>
        <v/>
      </c>
      <c r="AC28" s="129">
        <f>Test!S205</f>
        <v/>
      </c>
      <c r="AD28" s="129">
        <f>Test!T205</f>
        <v/>
      </c>
      <c r="AE28" s="129">
        <f>Test!U205</f>
        <v/>
      </c>
      <c r="AF28" s="129">
        <f>Test!V205</f>
        <v/>
      </c>
      <c r="AG28" s="129">
        <f>Test!W205</f>
        <v/>
      </c>
      <c r="AH28" s="129">
        <f>Test!X205</f>
        <v/>
      </c>
      <c r="AI28" s="129">
        <f>10*LOG10(1/(('Summary (Full)'!$B$41/10^(AF28/10)+'Summary (Full)'!$B$42/10^(AG28/10)+'Summary (Full)'!$B$43/10^(AH28/10))/'Summary (Full)'!$B$44))</f>
        <v/>
      </c>
      <c r="AJ28" s="129">
        <f>Test!Y205</f>
        <v/>
      </c>
      <c r="AK28" s="129">
        <f>Test!Z205</f>
        <v/>
      </c>
      <c r="AL28" s="129">
        <f>AJ28/R28</f>
        <v/>
      </c>
      <c r="AM28" s="129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 ht="13" customHeight="1" s="241">
      <c r="A29" s="242" t="inlineStr">
        <is>
          <t>960x540</t>
        </is>
      </c>
      <c r="B29" s="38" t="n">
        <v>110</v>
      </c>
      <c r="C29" s="129">
        <f>Anchor!L206</f>
        <v/>
      </c>
      <c r="D29" s="129">
        <f>Anchor!M206</f>
        <v/>
      </c>
      <c r="E29" s="129">
        <f>Anchor!N206</f>
        <v/>
      </c>
      <c r="F29" s="129">
        <f>Anchor!O206</f>
        <v/>
      </c>
      <c r="G29" s="130">
        <f>('Summary (Full)'!$B$34*D29+'Summary (Full)'!$B$35*E29+'Summary (Full)'!$B$36*F29)/'Summary (Full)'!$B$37</f>
        <v/>
      </c>
      <c r="H29" s="129">
        <f>Anchor!P206</f>
        <v/>
      </c>
      <c r="I29" s="129">
        <f>Anchor!Q206</f>
        <v/>
      </c>
      <c r="J29" s="129">
        <f>Anchor!R206</f>
        <v/>
      </c>
      <c r="K29" s="129">
        <f>Anchor!S206</f>
        <v/>
      </c>
      <c r="L29" s="129">
        <f>Anchor!T206</f>
        <v/>
      </c>
      <c r="M29" s="129">
        <f>Anchor!U206</f>
        <v/>
      </c>
      <c r="N29" s="129">
        <f>Anchor!V206</f>
        <v/>
      </c>
      <c r="O29" s="129">
        <f>Anchor!W206</f>
        <v/>
      </c>
      <c r="P29" s="129">
        <f>Anchor!X206</f>
        <v/>
      </c>
      <c r="Q29" s="131">
        <f>10*LOG10(1/(('Summary (Full)'!$B$41/10^(N29/10)+'Summary (Full)'!$B$42/10^(O29/10)+'Summary (Full)'!$B$43/10^(P29/10))/'Summary (Full)'!$B$44))</f>
        <v/>
      </c>
      <c r="R29" s="129">
        <f>Anchor!Y206</f>
        <v/>
      </c>
      <c r="S29" s="129">
        <f>Anchor!Z206</f>
        <v/>
      </c>
      <c r="T29" s="132" t="n"/>
      <c r="U29" s="129">
        <f>Test!L206</f>
        <v/>
      </c>
      <c r="V29" s="129">
        <f>Test!M206</f>
        <v/>
      </c>
      <c r="W29" s="129">
        <f>Test!N206</f>
        <v/>
      </c>
      <c r="X29" s="129">
        <f>Test!O206</f>
        <v/>
      </c>
      <c r="Y29" s="129">
        <f>('Summary (Full)'!$B$34*V29+'Summary (Full)'!$B$35*W29+'Summary (Full)'!$B$36*X29)/'Summary (Full)'!$B$37</f>
        <v/>
      </c>
      <c r="Z29" s="129">
        <f>Test!P206</f>
        <v/>
      </c>
      <c r="AA29" s="129">
        <f>Test!Q206</f>
        <v/>
      </c>
      <c r="AB29" s="129">
        <f>Test!R206</f>
        <v/>
      </c>
      <c r="AC29" s="129">
        <f>Test!S206</f>
        <v/>
      </c>
      <c r="AD29" s="129">
        <f>Test!T206</f>
        <v/>
      </c>
      <c r="AE29" s="129">
        <f>Test!U206</f>
        <v/>
      </c>
      <c r="AF29" s="129">
        <f>Test!V206</f>
        <v/>
      </c>
      <c r="AG29" s="129">
        <f>Test!W206</f>
        <v/>
      </c>
      <c r="AH29" s="129">
        <f>Test!X206</f>
        <v/>
      </c>
      <c r="AI29" s="129">
        <f>10*LOG10(1/(('Summary (Full)'!$B$41/10^(AF29/10)+'Summary (Full)'!$B$42/10^(AG29/10)+'Summary (Full)'!$B$43/10^(AH29/10))/'Summary (Full)'!$B$44))</f>
        <v/>
      </c>
      <c r="AJ29" s="129">
        <f>Test!Y206</f>
        <v/>
      </c>
      <c r="AK29" s="129">
        <f>Test!Z206</f>
        <v/>
      </c>
      <c r="AL29" s="129">
        <f>AJ29/R29</f>
        <v/>
      </c>
      <c r="AM29" s="129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29">
        <f>Anchor!L207</f>
        <v/>
      </c>
      <c r="D30" s="129">
        <f>Anchor!M207</f>
        <v/>
      </c>
      <c r="E30" s="129">
        <f>Anchor!N207</f>
        <v/>
      </c>
      <c r="F30" s="129">
        <f>Anchor!O207</f>
        <v/>
      </c>
      <c r="G30" s="130">
        <f>('Summary (Full)'!$B$34*D30+'Summary (Full)'!$B$35*E30+'Summary (Full)'!$B$36*F30)/'Summary (Full)'!$B$37</f>
        <v/>
      </c>
      <c r="H30" s="129">
        <f>Anchor!P207</f>
        <v/>
      </c>
      <c r="I30" s="129">
        <f>Anchor!Q207</f>
        <v/>
      </c>
      <c r="J30" s="129">
        <f>Anchor!R207</f>
        <v/>
      </c>
      <c r="K30" s="129">
        <f>Anchor!S207</f>
        <v/>
      </c>
      <c r="L30" s="129">
        <f>Anchor!T207</f>
        <v/>
      </c>
      <c r="M30" s="129">
        <f>Anchor!U207</f>
        <v/>
      </c>
      <c r="N30" s="129">
        <f>Anchor!V207</f>
        <v/>
      </c>
      <c r="O30" s="129">
        <f>Anchor!W207</f>
        <v/>
      </c>
      <c r="P30" s="129">
        <f>Anchor!X207</f>
        <v/>
      </c>
      <c r="Q30" s="131">
        <f>10*LOG10(1/(('Summary (Full)'!$B$41/10^(N30/10)+'Summary (Full)'!$B$42/10^(O30/10)+'Summary (Full)'!$B$43/10^(P30/10))/'Summary (Full)'!$B$44))</f>
        <v/>
      </c>
      <c r="R30" s="129">
        <f>Anchor!Y207</f>
        <v/>
      </c>
      <c r="S30" s="129">
        <f>Anchor!Z207</f>
        <v/>
      </c>
      <c r="T30" s="132" t="n"/>
      <c r="U30" s="129">
        <f>Test!L207</f>
        <v/>
      </c>
      <c r="V30" s="129">
        <f>Test!M207</f>
        <v/>
      </c>
      <c r="W30" s="129">
        <f>Test!N207</f>
        <v/>
      </c>
      <c r="X30" s="129">
        <f>Test!O207</f>
        <v/>
      </c>
      <c r="Y30" s="129">
        <f>('Summary (Full)'!$B$34*V30+'Summary (Full)'!$B$35*W30+'Summary (Full)'!$B$36*X30)/'Summary (Full)'!$B$37</f>
        <v/>
      </c>
      <c r="Z30" s="129">
        <f>Test!P207</f>
        <v/>
      </c>
      <c r="AA30" s="129">
        <f>Test!Q207</f>
        <v/>
      </c>
      <c r="AB30" s="129">
        <f>Test!R207</f>
        <v/>
      </c>
      <c r="AC30" s="129">
        <f>Test!S207</f>
        <v/>
      </c>
      <c r="AD30" s="129">
        <f>Test!T207</f>
        <v/>
      </c>
      <c r="AE30" s="129">
        <f>Test!U207</f>
        <v/>
      </c>
      <c r="AF30" s="129">
        <f>Test!V207</f>
        <v/>
      </c>
      <c r="AG30" s="129">
        <f>Test!W207</f>
        <v/>
      </c>
      <c r="AH30" s="129">
        <f>Test!X207</f>
        <v/>
      </c>
      <c r="AI30" s="129">
        <f>10*LOG10(1/(('Summary (Full)'!$B$41/10^(AF30/10)+'Summary (Full)'!$B$42/10^(AG30/10)+'Summary (Full)'!$B$43/10^(AH30/10))/'Summary (Full)'!$B$44))</f>
        <v/>
      </c>
      <c r="AJ30" s="129">
        <f>Test!Y207</f>
        <v/>
      </c>
      <c r="AK30" s="129">
        <f>Test!Z207</f>
        <v/>
      </c>
      <c r="AL30" s="129">
        <f>AJ30/R30</f>
        <v/>
      </c>
      <c r="AM30" s="129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 ht="13" customHeight="1" s="241">
      <c r="A31" s="238" t="n"/>
      <c r="B31" s="38" t="n">
        <v>160</v>
      </c>
      <c r="C31" s="129">
        <f>Anchor!L208</f>
        <v/>
      </c>
      <c r="D31" s="129">
        <f>Anchor!M208</f>
        <v/>
      </c>
      <c r="E31" s="129">
        <f>Anchor!N208</f>
        <v/>
      </c>
      <c r="F31" s="129">
        <f>Anchor!O208</f>
        <v/>
      </c>
      <c r="G31" s="130">
        <f>('Summary (Full)'!$B$34*D31+'Summary (Full)'!$B$35*E31+'Summary (Full)'!$B$36*F31)/'Summary (Full)'!$B$37</f>
        <v/>
      </c>
      <c r="H31" s="129">
        <f>Anchor!P208</f>
        <v/>
      </c>
      <c r="I31" s="129">
        <f>Anchor!Q208</f>
        <v/>
      </c>
      <c r="J31" s="129">
        <f>Anchor!R208</f>
        <v/>
      </c>
      <c r="K31" s="129">
        <f>Anchor!S208</f>
        <v/>
      </c>
      <c r="L31" s="129">
        <f>Anchor!T208</f>
        <v/>
      </c>
      <c r="M31" s="129">
        <f>Anchor!U208</f>
        <v/>
      </c>
      <c r="N31" s="129">
        <f>Anchor!V208</f>
        <v/>
      </c>
      <c r="O31" s="129">
        <f>Anchor!W208</f>
        <v/>
      </c>
      <c r="P31" s="129">
        <f>Anchor!X208</f>
        <v/>
      </c>
      <c r="Q31" s="131">
        <f>10*LOG10(1/(('Summary (Full)'!$B$41/10^(N31/10)+'Summary (Full)'!$B$42/10^(O31/10)+'Summary (Full)'!$B$43/10^(P31/10))/'Summary (Full)'!$B$44))</f>
        <v/>
      </c>
      <c r="R31" s="129">
        <f>Anchor!Y208</f>
        <v/>
      </c>
      <c r="S31" s="129">
        <f>Anchor!Z208</f>
        <v/>
      </c>
      <c r="T31" s="132" t="n"/>
      <c r="U31" s="129">
        <f>Test!L208</f>
        <v/>
      </c>
      <c r="V31" s="129">
        <f>Test!M208</f>
        <v/>
      </c>
      <c r="W31" s="129">
        <f>Test!N208</f>
        <v/>
      </c>
      <c r="X31" s="129">
        <f>Test!O208</f>
        <v/>
      </c>
      <c r="Y31" s="129">
        <f>('Summary (Full)'!$B$34*V31+'Summary (Full)'!$B$35*W31+'Summary (Full)'!$B$36*X31)/'Summary (Full)'!$B$37</f>
        <v/>
      </c>
      <c r="Z31" s="129">
        <f>Test!P208</f>
        <v/>
      </c>
      <c r="AA31" s="129">
        <f>Test!Q208</f>
        <v/>
      </c>
      <c r="AB31" s="129">
        <f>Test!R208</f>
        <v/>
      </c>
      <c r="AC31" s="129">
        <f>Test!S208</f>
        <v/>
      </c>
      <c r="AD31" s="129">
        <f>Test!T208</f>
        <v/>
      </c>
      <c r="AE31" s="129">
        <f>Test!U208</f>
        <v/>
      </c>
      <c r="AF31" s="129">
        <f>Test!V208</f>
        <v/>
      </c>
      <c r="AG31" s="129">
        <f>Test!W208</f>
        <v/>
      </c>
      <c r="AH31" s="129">
        <f>Test!X208</f>
        <v/>
      </c>
      <c r="AI31" s="129">
        <f>10*LOG10(1/(('Summary (Full)'!$B$41/10^(AF31/10)+'Summary (Full)'!$B$42/10^(AG31/10)+'Summary (Full)'!$B$43/10^(AH31/10))/'Summary (Full)'!$B$44))</f>
        <v/>
      </c>
      <c r="AJ31" s="129">
        <f>Test!Y208</f>
        <v/>
      </c>
      <c r="AK31" s="129">
        <f>Test!Z208</f>
        <v/>
      </c>
      <c r="AL31" s="129">
        <f>AJ31/R31</f>
        <v/>
      </c>
      <c r="AM31" s="129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29">
        <f>Anchor!L209</f>
        <v/>
      </c>
      <c r="D32" s="129">
        <f>Anchor!M209</f>
        <v/>
      </c>
      <c r="E32" s="129">
        <f>Anchor!N209</f>
        <v/>
      </c>
      <c r="F32" s="129">
        <f>Anchor!O209</f>
        <v/>
      </c>
      <c r="G32" s="130">
        <f>('Summary (Full)'!$B$34*D32+'Summary (Full)'!$B$35*E32+'Summary (Full)'!$B$36*F32)/'Summary (Full)'!$B$37</f>
        <v/>
      </c>
      <c r="H32" s="129">
        <f>Anchor!P209</f>
        <v/>
      </c>
      <c r="I32" s="129">
        <f>Anchor!Q209</f>
        <v/>
      </c>
      <c r="J32" s="129">
        <f>Anchor!R209</f>
        <v/>
      </c>
      <c r="K32" s="129">
        <f>Anchor!S209</f>
        <v/>
      </c>
      <c r="L32" s="129">
        <f>Anchor!T209</f>
        <v/>
      </c>
      <c r="M32" s="129">
        <f>Anchor!U209</f>
        <v/>
      </c>
      <c r="N32" s="129">
        <f>Anchor!V209</f>
        <v/>
      </c>
      <c r="O32" s="129">
        <f>Anchor!W209</f>
        <v/>
      </c>
      <c r="P32" s="129">
        <f>Anchor!X209</f>
        <v/>
      </c>
      <c r="Q32" s="131">
        <f>10*LOG10(1/(('Summary (Full)'!$B$41/10^(N32/10)+'Summary (Full)'!$B$42/10^(O32/10)+'Summary (Full)'!$B$43/10^(P32/10))/'Summary (Full)'!$B$44))</f>
        <v/>
      </c>
      <c r="R32" s="129">
        <f>Anchor!Y209</f>
        <v/>
      </c>
      <c r="S32" s="129">
        <f>Anchor!Z209</f>
        <v/>
      </c>
      <c r="T32" s="132" t="n"/>
      <c r="U32" s="129">
        <f>Test!L209</f>
        <v/>
      </c>
      <c r="V32" s="129">
        <f>Test!M209</f>
        <v/>
      </c>
      <c r="W32" s="129">
        <f>Test!N209</f>
        <v/>
      </c>
      <c r="X32" s="129">
        <f>Test!O209</f>
        <v/>
      </c>
      <c r="Y32" s="129">
        <f>('Summary (Full)'!$B$34*V32+'Summary (Full)'!$B$35*W32+'Summary (Full)'!$B$36*X32)/'Summary (Full)'!$B$37</f>
        <v/>
      </c>
      <c r="Z32" s="129">
        <f>Test!P209</f>
        <v/>
      </c>
      <c r="AA32" s="129">
        <f>Test!Q209</f>
        <v/>
      </c>
      <c r="AB32" s="129">
        <f>Test!R209</f>
        <v/>
      </c>
      <c r="AC32" s="129">
        <f>Test!S209</f>
        <v/>
      </c>
      <c r="AD32" s="129">
        <f>Test!T209</f>
        <v/>
      </c>
      <c r="AE32" s="129">
        <f>Test!U209</f>
        <v/>
      </c>
      <c r="AF32" s="129">
        <f>Test!V209</f>
        <v/>
      </c>
      <c r="AG32" s="129">
        <f>Test!W209</f>
        <v/>
      </c>
      <c r="AH32" s="129">
        <f>Test!X209</f>
        <v/>
      </c>
      <c r="AI32" s="129">
        <f>10*LOG10(1/(('Summary (Full)'!$B$41/10^(AF32/10)+'Summary (Full)'!$B$42/10^(AG32/10)+'Summary (Full)'!$B$43/10^(AH32/10))/'Summary (Full)'!$B$44))</f>
        <v/>
      </c>
      <c r="AJ32" s="129">
        <f>Test!Y209</f>
        <v/>
      </c>
      <c r="AK32" s="129">
        <f>Test!Z209</f>
        <v/>
      </c>
      <c r="AL32" s="129">
        <f>AJ32/R32</f>
        <v/>
      </c>
      <c r="AM32" s="129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 ht="13" customHeight="1" s="241">
      <c r="A33" s="238" t="n"/>
      <c r="B33" s="38" t="n">
        <v>210</v>
      </c>
      <c r="C33" s="129">
        <f>Anchor!L210</f>
        <v/>
      </c>
      <c r="D33" s="129">
        <f>Anchor!M210</f>
        <v/>
      </c>
      <c r="E33" s="129">
        <f>Anchor!N210</f>
        <v/>
      </c>
      <c r="F33" s="129">
        <f>Anchor!O210</f>
        <v/>
      </c>
      <c r="G33" s="130">
        <f>('Summary (Full)'!$B$34*D33+'Summary (Full)'!$B$35*E33+'Summary (Full)'!$B$36*F33)/'Summary (Full)'!$B$37</f>
        <v/>
      </c>
      <c r="H33" s="129">
        <f>Anchor!P210</f>
        <v/>
      </c>
      <c r="I33" s="129">
        <f>Anchor!Q210</f>
        <v/>
      </c>
      <c r="J33" s="129">
        <f>Anchor!R210</f>
        <v/>
      </c>
      <c r="K33" s="129">
        <f>Anchor!S210</f>
        <v/>
      </c>
      <c r="L33" s="129">
        <f>Anchor!T210</f>
        <v/>
      </c>
      <c r="M33" s="129">
        <f>Anchor!U210</f>
        <v/>
      </c>
      <c r="N33" s="129">
        <f>Anchor!V210</f>
        <v/>
      </c>
      <c r="O33" s="129">
        <f>Anchor!W210</f>
        <v/>
      </c>
      <c r="P33" s="129">
        <f>Anchor!X210</f>
        <v/>
      </c>
      <c r="Q33" s="131">
        <f>10*LOG10(1/(('Summary (Full)'!$B$41/10^(N33/10)+'Summary (Full)'!$B$42/10^(O33/10)+'Summary (Full)'!$B$43/10^(P33/10))/'Summary (Full)'!$B$44))</f>
        <v/>
      </c>
      <c r="R33" s="129">
        <f>Anchor!Y210</f>
        <v/>
      </c>
      <c r="S33" s="129">
        <f>Anchor!Z210</f>
        <v/>
      </c>
      <c r="T33" s="132" t="n"/>
      <c r="U33" s="129">
        <f>Test!L210</f>
        <v/>
      </c>
      <c r="V33" s="129">
        <f>Test!M210</f>
        <v/>
      </c>
      <c r="W33" s="129">
        <f>Test!N210</f>
        <v/>
      </c>
      <c r="X33" s="129">
        <f>Test!O210</f>
        <v/>
      </c>
      <c r="Y33" s="129">
        <f>('Summary (Full)'!$B$34*V33+'Summary (Full)'!$B$35*W33+'Summary (Full)'!$B$36*X33)/'Summary (Full)'!$B$37</f>
        <v/>
      </c>
      <c r="Z33" s="129">
        <f>Test!P210</f>
        <v/>
      </c>
      <c r="AA33" s="129">
        <f>Test!Q210</f>
        <v/>
      </c>
      <c r="AB33" s="129">
        <f>Test!R210</f>
        <v/>
      </c>
      <c r="AC33" s="129">
        <f>Test!S210</f>
        <v/>
      </c>
      <c r="AD33" s="129">
        <f>Test!T210</f>
        <v/>
      </c>
      <c r="AE33" s="129">
        <f>Test!U210</f>
        <v/>
      </c>
      <c r="AF33" s="129">
        <f>Test!V210</f>
        <v/>
      </c>
      <c r="AG33" s="129">
        <f>Test!W210</f>
        <v/>
      </c>
      <c r="AH33" s="129">
        <f>Test!X210</f>
        <v/>
      </c>
      <c r="AI33" s="129">
        <f>10*LOG10(1/(('Summary (Full)'!$B$41/10^(AF33/10)+'Summary (Full)'!$B$42/10^(AG33/10)+'Summary (Full)'!$B$43/10^(AH33/10))/'Summary (Full)'!$B$44))</f>
        <v/>
      </c>
      <c r="AJ33" s="129">
        <f>Test!Y210</f>
        <v/>
      </c>
      <c r="AK33" s="129">
        <f>Test!Z210</f>
        <v/>
      </c>
      <c r="AL33" s="129">
        <f>AJ33/R33</f>
        <v/>
      </c>
      <c r="AM33" s="129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29">
        <f>Anchor!L211</f>
        <v/>
      </c>
      <c r="D34" s="129">
        <f>Anchor!M211</f>
        <v/>
      </c>
      <c r="E34" s="129">
        <f>Anchor!N211</f>
        <v/>
      </c>
      <c r="F34" s="129">
        <f>Anchor!O211</f>
        <v/>
      </c>
      <c r="G34" s="130">
        <f>('Summary (Full)'!$B$34*D34+'Summary (Full)'!$B$35*E34+'Summary (Full)'!$B$36*F34)/'Summary (Full)'!$B$37</f>
        <v/>
      </c>
      <c r="H34" s="129">
        <f>Anchor!P211</f>
        <v/>
      </c>
      <c r="I34" s="129">
        <f>Anchor!Q211</f>
        <v/>
      </c>
      <c r="J34" s="129">
        <f>Anchor!R211</f>
        <v/>
      </c>
      <c r="K34" s="129">
        <f>Anchor!S211</f>
        <v/>
      </c>
      <c r="L34" s="129">
        <f>Anchor!T211</f>
        <v/>
      </c>
      <c r="M34" s="129">
        <f>Anchor!U211</f>
        <v/>
      </c>
      <c r="N34" s="129">
        <f>Anchor!V211</f>
        <v/>
      </c>
      <c r="O34" s="129">
        <f>Anchor!W211</f>
        <v/>
      </c>
      <c r="P34" s="129">
        <f>Anchor!X211</f>
        <v/>
      </c>
      <c r="Q34" s="131">
        <f>10*LOG10(1/(('Summary (Full)'!$B$41/10^(N34/10)+'Summary (Full)'!$B$42/10^(O34/10)+'Summary (Full)'!$B$43/10^(P34/10))/'Summary (Full)'!$B$44))</f>
        <v/>
      </c>
      <c r="R34" s="129">
        <f>Anchor!Y211</f>
        <v/>
      </c>
      <c r="S34" s="129">
        <f>Anchor!Z211</f>
        <v/>
      </c>
      <c r="T34" s="132" t="n"/>
      <c r="U34" s="129">
        <f>Test!L211</f>
        <v/>
      </c>
      <c r="V34" s="129">
        <f>Test!M211</f>
        <v/>
      </c>
      <c r="W34" s="129">
        <f>Test!N211</f>
        <v/>
      </c>
      <c r="X34" s="129">
        <f>Test!O211</f>
        <v/>
      </c>
      <c r="Y34" s="129">
        <f>('Summary (Full)'!$B$34*V34+'Summary (Full)'!$B$35*W34+'Summary (Full)'!$B$36*X34)/'Summary (Full)'!$B$37</f>
        <v/>
      </c>
      <c r="Z34" s="129">
        <f>Test!P211</f>
        <v/>
      </c>
      <c r="AA34" s="129">
        <f>Test!Q211</f>
        <v/>
      </c>
      <c r="AB34" s="129">
        <f>Test!R211</f>
        <v/>
      </c>
      <c r="AC34" s="129">
        <f>Test!S211</f>
        <v/>
      </c>
      <c r="AD34" s="129">
        <f>Test!T211</f>
        <v/>
      </c>
      <c r="AE34" s="129">
        <f>Test!U211</f>
        <v/>
      </c>
      <c r="AF34" s="129">
        <f>Test!V211</f>
        <v/>
      </c>
      <c r="AG34" s="129">
        <f>Test!W211</f>
        <v/>
      </c>
      <c r="AH34" s="129">
        <f>Test!X211</f>
        <v/>
      </c>
      <c r="AI34" s="129">
        <f>10*LOG10(1/(('Summary (Full)'!$B$41/10^(AF34/10)+'Summary (Full)'!$B$42/10^(AG34/10)+'Summary (Full)'!$B$43/10^(AH34/10))/'Summary (Full)'!$B$44))</f>
        <v/>
      </c>
      <c r="AJ34" s="129">
        <f>Test!Y211</f>
        <v/>
      </c>
      <c r="AK34" s="129">
        <f>Test!Z211</f>
        <v/>
      </c>
      <c r="AL34" s="129">
        <f>AJ34/R34</f>
        <v/>
      </c>
      <c r="AM34" s="129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 ht="13" customHeight="1" s="241">
      <c r="A35" s="242" t="inlineStr">
        <is>
          <t>640x360</t>
        </is>
      </c>
      <c r="B35" s="38" t="n">
        <v>110</v>
      </c>
      <c r="C35" s="129">
        <f>Anchor!L212</f>
        <v/>
      </c>
      <c r="D35" s="129">
        <f>Anchor!M212</f>
        <v/>
      </c>
      <c r="E35" s="129">
        <f>Anchor!N212</f>
        <v/>
      </c>
      <c r="F35" s="129">
        <f>Anchor!O212</f>
        <v/>
      </c>
      <c r="G35" s="130">
        <f>('Summary (Full)'!$B$34*D35+'Summary (Full)'!$B$35*E35+'Summary (Full)'!$B$36*F35)/'Summary (Full)'!$B$37</f>
        <v/>
      </c>
      <c r="H35" s="129">
        <f>Anchor!P212</f>
        <v/>
      </c>
      <c r="I35" s="129">
        <f>Anchor!Q212</f>
        <v/>
      </c>
      <c r="J35" s="129">
        <f>Anchor!R212</f>
        <v/>
      </c>
      <c r="K35" s="129">
        <f>Anchor!S212</f>
        <v/>
      </c>
      <c r="L35" s="129">
        <f>Anchor!T212</f>
        <v/>
      </c>
      <c r="M35" s="129">
        <f>Anchor!U212</f>
        <v/>
      </c>
      <c r="N35" s="129">
        <f>Anchor!V212</f>
        <v/>
      </c>
      <c r="O35" s="129">
        <f>Anchor!W212</f>
        <v/>
      </c>
      <c r="P35" s="129">
        <f>Anchor!X212</f>
        <v/>
      </c>
      <c r="Q35" s="131">
        <f>10*LOG10(1/(('Summary (Full)'!$B$41/10^(N35/10)+'Summary (Full)'!$B$42/10^(O35/10)+'Summary (Full)'!$B$43/10^(P35/10))/'Summary (Full)'!$B$44))</f>
        <v/>
      </c>
      <c r="R35" s="129">
        <f>Anchor!Y212</f>
        <v/>
      </c>
      <c r="S35" s="129">
        <f>Anchor!Z212</f>
        <v/>
      </c>
      <c r="T35" s="132" t="n"/>
      <c r="U35" s="129">
        <f>Test!L212</f>
        <v/>
      </c>
      <c r="V35" s="129">
        <f>Test!M212</f>
        <v/>
      </c>
      <c r="W35" s="129">
        <f>Test!N212</f>
        <v/>
      </c>
      <c r="X35" s="129">
        <f>Test!O212</f>
        <v/>
      </c>
      <c r="Y35" s="129">
        <f>('Summary (Full)'!$B$34*V35+'Summary (Full)'!$B$35*W35+'Summary (Full)'!$B$36*X35)/'Summary (Full)'!$B$37</f>
        <v/>
      </c>
      <c r="Z35" s="129">
        <f>Test!P212</f>
        <v/>
      </c>
      <c r="AA35" s="129">
        <f>Test!Q212</f>
        <v/>
      </c>
      <c r="AB35" s="129">
        <f>Test!R212</f>
        <v/>
      </c>
      <c r="AC35" s="129">
        <f>Test!S212</f>
        <v/>
      </c>
      <c r="AD35" s="129">
        <f>Test!T212</f>
        <v/>
      </c>
      <c r="AE35" s="129">
        <f>Test!U212</f>
        <v/>
      </c>
      <c r="AF35" s="129">
        <f>Test!V212</f>
        <v/>
      </c>
      <c r="AG35" s="129">
        <f>Test!W212</f>
        <v/>
      </c>
      <c r="AH35" s="129">
        <f>Test!X212</f>
        <v/>
      </c>
      <c r="AI35" s="129">
        <f>10*LOG10(1/(('Summary (Full)'!$B$41/10^(AF35/10)+'Summary (Full)'!$B$42/10^(AG35/10)+'Summary (Full)'!$B$43/10^(AH35/10))/'Summary (Full)'!$B$44))</f>
        <v/>
      </c>
      <c r="AJ35" s="129">
        <f>Test!Y212</f>
        <v/>
      </c>
      <c r="AK35" s="129">
        <f>Test!Z212</f>
        <v/>
      </c>
      <c r="AL35" s="129">
        <f>AJ35/R35</f>
        <v/>
      </c>
      <c r="AM35" s="129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29">
        <f>Anchor!L213</f>
        <v/>
      </c>
      <c r="D36" s="129">
        <f>Anchor!M213</f>
        <v/>
      </c>
      <c r="E36" s="129">
        <f>Anchor!N213</f>
        <v/>
      </c>
      <c r="F36" s="129">
        <f>Anchor!O213</f>
        <v/>
      </c>
      <c r="G36" s="130">
        <f>('Summary (Full)'!$B$34*D36+'Summary (Full)'!$B$35*E36+'Summary (Full)'!$B$36*F36)/'Summary (Full)'!$B$37</f>
        <v/>
      </c>
      <c r="H36" s="129">
        <f>Anchor!P213</f>
        <v/>
      </c>
      <c r="I36" s="129">
        <f>Anchor!Q213</f>
        <v/>
      </c>
      <c r="J36" s="129">
        <f>Anchor!R213</f>
        <v/>
      </c>
      <c r="K36" s="129">
        <f>Anchor!S213</f>
        <v/>
      </c>
      <c r="L36" s="129">
        <f>Anchor!T213</f>
        <v/>
      </c>
      <c r="M36" s="129">
        <f>Anchor!U213</f>
        <v/>
      </c>
      <c r="N36" s="129">
        <f>Anchor!V213</f>
        <v/>
      </c>
      <c r="O36" s="129">
        <f>Anchor!W213</f>
        <v/>
      </c>
      <c r="P36" s="129">
        <f>Anchor!X213</f>
        <v/>
      </c>
      <c r="Q36" s="131">
        <f>10*LOG10(1/(('Summary (Full)'!$B$41/10^(N36/10)+'Summary (Full)'!$B$42/10^(O36/10)+'Summary (Full)'!$B$43/10^(P36/10))/'Summary (Full)'!$B$44))</f>
        <v/>
      </c>
      <c r="R36" s="129">
        <f>Anchor!Y213</f>
        <v/>
      </c>
      <c r="S36" s="129">
        <f>Anchor!Z213</f>
        <v/>
      </c>
      <c r="T36" s="132" t="n"/>
      <c r="U36" s="129">
        <f>Test!L213</f>
        <v/>
      </c>
      <c r="V36" s="129">
        <f>Test!M213</f>
        <v/>
      </c>
      <c r="W36" s="129">
        <f>Test!N213</f>
        <v/>
      </c>
      <c r="X36" s="129">
        <f>Test!O213</f>
        <v/>
      </c>
      <c r="Y36" s="129">
        <f>('Summary (Full)'!$B$34*V36+'Summary (Full)'!$B$35*W36+'Summary (Full)'!$B$36*X36)/'Summary (Full)'!$B$37</f>
        <v/>
      </c>
      <c r="Z36" s="129">
        <f>Test!P213</f>
        <v/>
      </c>
      <c r="AA36" s="129">
        <f>Test!Q213</f>
        <v/>
      </c>
      <c r="AB36" s="129">
        <f>Test!R213</f>
        <v/>
      </c>
      <c r="AC36" s="129">
        <f>Test!S213</f>
        <v/>
      </c>
      <c r="AD36" s="129">
        <f>Test!T213</f>
        <v/>
      </c>
      <c r="AE36" s="129">
        <f>Test!U213</f>
        <v/>
      </c>
      <c r="AF36" s="129">
        <f>Test!V213</f>
        <v/>
      </c>
      <c r="AG36" s="129">
        <f>Test!W213</f>
        <v/>
      </c>
      <c r="AH36" s="129">
        <f>Test!X213</f>
        <v/>
      </c>
      <c r="AI36" s="129">
        <f>10*LOG10(1/(('Summary (Full)'!$B$41/10^(AF36/10)+'Summary (Full)'!$B$42/10^(AG36/10)+'Summary (Full)'!$B$43/10^(AH36/10))/'Summary (Full)'!$B$44))</f>
        <v/>
      </c>
      <c r="AJ36" s="129">
        <f>Test!Y213</f>
        <v/>
      </c>
      <c r="AK36" s="129">
        <f>Test!Z213</f>
        <v/>
      </c>
      <c r="AL36" s="129">
        <f>AJ36/R36</f>
        <v/>
      </c>
      <c r="AM36" s="129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 ht="13" customHeight="1" s="241">
      <c r="A37" s="238" t="n"/>
      <c r="B37" s="38" t="n">
        <v>160</v>
      </c>
      <c r="C37" s="129">
        <f>Anchor!L214</f>
        <v/>
      </c>
      <c r="D37" s="129">
        <f>Anchor!M214</f>
        <v/>
      </c>
      <c r="E37" s="129">
        <f>Anchor!N214</f>
        <v/>
      </c>
      <c r="F37" s="129">
        <f>Anchor!O214</f>
        <v/>
      </c>
      <c r="G37" s="130">
        <f>('Summary (Full)'!$B$34*D37+'Summary (Full)'!$B$35*E37+'Summary (Full)'!$B$36*F37)/'Summary (Full)'!$B$37</f>
        <v/>
      </c>
      <c r="H37" s="129">
        <f>Anchor!P214</f>
        <v/>
      </c>
      <c r="I37" s="129">
        <f>Anchor!Q214</f>
        <v/>
      </c>
      <c r="J37" s="129">
        <f>Anchor!R214</f>
        <v/>
      </c>
      <c r="K37" s="129">
        <f>Anchor!S214</f>
        <v/>
      </c>
      <c r="L37" s="129">
        <f>Anchor!T214</f>
        <v/>
      </c>
      <c r="M37" s="129">
        <f>Anchor!U214</f>
        <v/>
      </c>
      <c r="N37" s="129">
        <f>Anchor!V214</f>
        <v/>
      </c>
      <c r="O37" s="129">
        <f>Anchor!W214</f>
        <v/>
      </c>
      <c r="P37" s="129">
        <f>Anchor!X214</f>
        <v/>
      </c>
      <c r="Q37" s="131">
        <f>10*LOG10(1/(('Summary (Full)'!$B$41/10^(N37/10)+'Summary (Full)'!$B$42/10^(O37/10)+'Summary (Full)'!$B$43/10^(P37/10))/'Summary (Full)'!$B$44))</f>
        <v/>
      </c>
      <c r="R37" s="129">
        <f>Anchor!Y214</f>
        <v/>
      </c>
      <c r="S37" s="129">
        <f>Anchor!Z214</f>
        <v/>
      </c>
      <c r="T37" s="132" t="n"/>
      <c r="U37" s="129">
        <f>Test!L214</f>
        <v/>
      </c>
      <c r="V37" s="129">
        <f>Test!M214</f>
        <v/>
      </c>
      <c r="W37" s="129">
        <f>Test!N214</f>
        <v/>
      </c>
      <c r="X37" s="129">
        <f>Test!O214</f>
        <v/>
      </c>
      <c r="Y37" s="129">
        <f>('Summary (Full)'!$B$34*V37+'Summary (Full)'!$B$35*W37+'Summary (Full)'!$B$36*X37)/'Summary (Full)'!$B$37</f>
        <v/>
      </c>
      <c r="Z37" s="129">
        <f>Test!P214</f>
        <v/>
      </c>
      <c r="AA37" s="129">
        <f>Test!Q214</f>
        <v/>
      </c>
      <c r="AB37" s="129">
        <f>Test!R214</f>
        <v/>
      </c>
      <c r="AC37" s="129">
        <f>Test!S214</f>
        <v/>
      </c>
      <c r="AD37" s="129">
        <f>Test!T214</f>
        <v/>
      </c>
      <c r="AE37" s="129">
        <f>Test!U214</f>
        <v/>
      </c>
      <c r="AF37" s="129">
        <f>Test!V214</f>
        <v/>
      </c>
      <c r="AG37" s="129">
        <f>Test!W214</f>
        <v/>
      </c>
      <c r="AH37" s="129">
        <f>Test!X214</f>
        <v/>
      </c>
      <c r="AI37" s="129">
        <f>10*LOG10(1/(('Summary (Full)'!$B$41/10^(AF37/10)+'Summary (Full)'!$B$42/10^(AG37/10)+'Summary (Full)'!$B$43/10^(AH37/10))/'Summary (Full)'!$B$44))</f>
        <v/>
      </c>
      <c r="AJ37" s="129">
        <f>Test!Y214</f>
        <v/>
      </c>
      <c r="AK37" s="129">
        <f>Test!Z214</f>
        <v/>
      </c>
      <c r="AL37" s="129">
        <f>AJ37/R37</f>
        <v/>
      </c>
      <c r="AM37" s="129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29">
        <f>Anchor!L215</f>
        <v/>
      </c>
      <c r="D38" s="129">
        <f>Anchor!M215</f>
        <v/>
      </c>
      <c r="E38" s="129">
        <f>Anchor!N215</f>
        <v/>
      </c>
      <c r="F38" s="129">
        <f>Anchor!O215</f>
        <v/>
      </c>
      <c r="G38" s="130">
        <f>('Summary (Full)'!$B$34*D38+'Summary (Full)'!$B$35*E38+'Summary (Full)'!$B$36*F38)/'Summary (Full)'!$B$37</f>
        <v/>
      </c>
      <c r="H38" s="129">
        <f>Anchor!P215</f>
        <v/>
      </c>
      <c r="I38" s="129">
        <f>Anchor!Q215</f>
        <v/>
      </c>
      <c r="J38" s="129">
        <f>Anchor!R215</f>
        <v/>
      </c>
      <c r="K38" s="129">
        <f>Anchor!S215</f>
        <v/>
      </c>
      <c r="L38" s="129">
        <f>Anchor!T215</f>
        <v/>
      </c>
      <c r="M38" s="129">
        <f>Anchor!U215</f>
        <v/>
      </c>
      <c r="N38" s="129">
        <f>Anchor!V215</f>
        <v/>
      </c>
      <c r="O38" s="129">
        <f>Anchor!W215</f>
        <v/>
      </c>
      <c r="P38" s="129">
        <f>Anchor!X215</f>
        <v/>
      </c>
      <c r="Q38" s="131">
        <f>10*LOG10(1/(('Summary (Full)'!$B$41/10^(N38/10)+'Summary (Full)'!$B$42/10^(O38/10)+'Summary (Full)'!$B$43/10^(P38/10))/'Summary (Full)'!$B$44))</f>
        <v/>
      </c>
      <c r="R38" s="129">
        <f>Anchor!Y215</f>
        <v/>
      </c>
      <c r="S38" s="129">
        <f>Anchor!Z215</f>
        <v/>
      </c>
      <c r="T38" s="132" t="n"/>
      <c r="U38" s="129">
        <f>Test!L215</f>
        <v/>
      </c>
      <c r="V38" s="129">
        <f>Test!M215</f>
        <v/>
      </c>
      <c r="W38" s="129">
        <f>Test!N215</f>
        <v/>
      </c>
      <c r="X38" s="129">
        <f>Test!O215</f>
        <v/>
      </c>
      <c r="Y38" s="129">
        <f>('Summary (Full)'!$B$34*V38+'Summary (Full)'!$B$35*W38+'Summary (Full)'!$B$36*X38)/'Summary (Full)'!$B$37</f>
        <v/>
      </c>
      <c r="Z38" s="129">
        <f>Test!P215</f>
        <v/>
      </c>
      <c r="AA38" s="129">
        <f>Test!Q215</f>
        <v/>
      </c>
      <c r="AB38" s="129">
        <f>Test!R215</f>
        <v/>
      </c>
      <c r="AC38" s="129">
        <f>Test!S215</f>
        <v/>
      </c>
      <c r="AD38" s="129">
        <f>Test!T215</f>
        <v/>
      </c>
      <c r="AE38" s="129">
        <f>Test!U215</f>
        <v/>
      </c>
      <c r="AF38" s="129">
        <f>Test!V215</f>
        <v/>
      </c>
      <c r="AG38" s="129">
        <f>Test!W215</f>
        <v/>
      </c>
      <c r="AH38" s="129">
        <f>Test!X215</f>
        <v/>
      </c>
      <c r="AI38" s="129">
        <f>10*LOG10(1/(('Summary (Full)'!$B$41/10^(AF38/10)+'Summary (Full)'!$B$42/10^(AG38/10)+'Summary (Full)'!$B$43/10^(AH38/10))/'Summary (Full)'!$B$44))</f>
        <v/>
      </c>
      <c r="AJ38" s="129">
        <f>Test!Y215</f>
        <v/>
      </c>
      <c r="AK38" s="129">
        <f>Test!Z215</f>
        <v/>
      </c>
      <c r="AL38" s="129">
        <f>AJ38/R38</f>
        <v/>
      </c>
      <c r="AM38" s="129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 ht="13" customHeight="1" s="241">
      <c r="A39" s="238" t="n"/>
      <c r="B39" s="38" t="n">
        <v>210</v>
      </c>
      <c r="C39" s="129">
        <f>Anchor!L216</f>
        <v/>
      </c>
      <c r="D39" s="129">
        <f>Anchor!M216</f>
        <v/>
      </c>
      <c r="E39" s="129">
        <f>Anchor!N216</f>
        <v/>
      </c>
      <c r="F39" s="129">
        <f>Anchor!O216</f>
        <v/>
      </c>
      <c r="G39" s="130">
        <f>('Summary (Full)'!$B$34*D39+'Summary (Full)'!$B$35*E39+'Summary (Full)'!$B$36*F39)/'Summary (Full)'!$B$37</f>
        <v/>
      </c>
      <c r="H39" s="129">
        <f>Anchor!P216</f>
        <v/>
      </c>
      <c r="I39" s="129">
        <f>Anchor!Q216</f>
        <v/>
      </c>
      <c r="J39" s="129">
        <f>Anchor!R216</f>
        <v/>
      </c>
      <c r="K39" s="129">
        <f>Anchor!S216</f>
        <v/>
      </c>
      <c r="L39" s="129">
        <f>Anchor!T216</f>
        <v/>
      </c>
      <c r="M39" s="129">
        <f>Anchor!U216</f>
        <v/>
      </c>
      <c r="N39" s="129">
        <f>Anchor!V216</f>
        <v/>
      </c>
      <c r="O39" s="129">
        <f>Anchor!W216</f>
        <v/>
      </c>
      <c r="P39" s="129">
        <f>Anchor!X216</f>
        <v/>
      </c>
      <c r="Q39" s="131">
        <f>10*LOG10(1/(('Summary (Full)'!$B$41/10^(N39/10)+'Summary (Full)'!$B$42/10^(O39/10)+'Summary (Full)'!$B$43/10^(P39/10))/'Summary (Full)'!$B$44))</f>
        <v/>
      </c>
      <c r="R39" s="129">
        <f>Anchor!Y216</f>
        <v/>
      </c>
      <c r="S39" s="129">
        <f>Anchor!Z216</f>
        <v/>
      </c>
      <c r="T39" s="132" t="n"/>
      <c r="U39" s="129">
        <f>Test!L216</f>
        <v/>
      </c>
      <c r="V39" s="129">
        <f>Test!M216</f>
        <v/>
      </c>
      <c r="W39" s="129">
        <f>Test!N216</f>
        <v/>
      </c>
      <c r="X39" s="129">
        <f>Test!O216</f>
        <v/>
      </c>
      <c r="Y39" s="129">
        <f>('Summary (Full)'!$B$34*V39+'Summary (Full)'!$B$35*W39+'Summary (Full)'!$B$36*X39)/'Summary (Full)'!$B$37</f>
        <v/>
      </c>
      <c r="Z39" s="129">
        <f>Test!P216</f>
        <v/>
      </c>
      <c r="AA39" s="129">
        <f>Test!Q216</f>
        <v/>
      </c>
      <c r="AB39" s="129">
        <f>Test!R216</f>
        <v/>
      </c>
      <c r="AC39" s="129">
        <f>Test!S216</f>
        <v/>
      </c>
      <c r="AD39" s="129">
        <f>Test!T216</f>
        <v/>
      </c>
      <c r="AE39" s="129">
        <f>Test!U216</f>
        <v/>
      </c>
      <c r="AF39" s="129">
        <f>Test!V216</f>
        <v/>
      </c>
      <c r="AG39" s="129">
        <f>Test!W216</f>
        <v/>
      </c>
      <c r="AH39" s="129">
        <f>Test!X216</f>
        <v/>
      </c>
      <c r="AI39" s="129">
        <f>10*LOG10(1/(('Summary (Full)'!$B$41/10^(AF39/10)+'Summary (Full)'!$B$42/10^(AG39/10)+'Summary (Full)'!$B$43/10^(AH39/10))/'Summary (Full)'!$B$44))</f>
        <v/>
      </c>
      <c r="AJ39" s="129">
        <f>Test!Y216</f>
        <v/>
      </c>
      <c r="AK39" s="129">
        <f>Test!Z216</f>
        <v/>
      </c>
      <c r="AL39" s="129">
        <f>AJ39/R39</f>
        <v/>
      </c>
      <c r="AM39" s="129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29">
        <f>Anchor!L217</f>
        <v/>
      </c>
      <c r="D40" s="129">
        <f>Anchor!M217</f>
        <v/>
      </c>
      <c r="E40" s="129">
        <f>Anchor!N217</f>
        <v/>
      </c>
      <c r="F40" s="129">
        <f>Anchor!O217</f>
        <v/>
      </c>
      <c r="G40" s="130">
        <f>('Summary (Full)'!$B$34*D40+'Summary (Full)'!$B$35*E40+'Summary (Full)'!$B$36*F40)/'Summary (Full)'!$B$37</f>
        <v/>
      </c>
      <c r="H40" s="129">
        <f>Anchor!P217</f>
        <v/>
      </c>
      <c r="I40" s="129">
        <f>Anchor!Q217</f>
        <v/>
      </c>
      <c r="J40" s="129">
        <f>Anchor!R217</f>
        <v/>
      </c>
      <c r="K40" s="129">
        <f>Anchor!S217</f>
        <v/>
      </c>
      <c r="L40" s="129">
        <f>Anchor!T217</f>
        <v/>
      </c>
      <c r="M40" s="129">
        <f>Anchor!U217</f>
        <v/>
      </c>
      <c r="N40" s="129">
        <f>Anchor!V217</f>
        <v/>
      </c>
      <c r="O40" s="129">
        <f>Anchor!W217</f>
        <v/>
      </c>
      <c r="P40" s="129">
        <f>Anchor!X217</f>
        <v/>
      </c>
      <c r="Q40" s="131">
        <f>10*LOG10(1/(('Summary (Full)'!$B$41/10^(N40/10)+'Summary (Full)'!$B$42/10^(O40/10)+'Summary (Full)'!$B$43/10^(P40/10))/'Summary (Full)'!$B$44))</f>
        <v/>
      </c>
      <c r="R40" s="129">
        <f>Anchor!Y217</f>
        <v/>
      </c>
      <c r="S40" s="129">
        <f>Anchor!Z217</f>
        <v/>
      </c>
      <c r="T40" s="132" t="n"/>
      <c r="U40" s="129">
        <f>Test!L217</f>
        <v/>
      </c>
      <c r="V40" s="129">
        <f>Test!M217</f>
        <v/>
      </c>
      <c r="W40" s="129">
        <f>Test!N217</f>
        <v/>
      </c>
      <c r="X40" s="129">
        <f>Test!O217</f>
        <v/>
      </c>
      <c r="Y40" s="129">
        <f>('Summary (Full)'!$B$34*V40+'Summary (Full)'!$B$35*W40+'Summary (Full)'!$B$36*X40)/'Summary (Full)'!$B$37</f>
        <v/>
      </c>
      <c r="Z40" s="129">
        <f>Test!P217</f>
        <v/>
      </c>
      <c r="AA40" s="129">
        <f>Test!Q217</f>
        <v/>
      </c>
      <c r="AB40" s="129">
        <f>Test!R217</f>
        <v/>
      </c>
      <c r="AC40" s="129">
        <f>Test!S217</f>
        <v/>
      </c>
      <c r="AD40" s="129">
        <f>Test!T217</f>
        <v/>
      </c>
      <c r="AE40" s="129">
        <f>Test!U217</f>
        <v/>
      </c>
      <c r="AF40" s="129">
        <f>Test!V217</f>
        <v/>
      </c>
      <c r="AG40" s="129">
        <f>Test!W217</f>
        <v/>
      </c>
      <c r="AH40" s="129">
        <f>Test!X217</f>
        <v/>
      </c>
      <c r="AI40" s="129">
        <f>10*LOG10(1/(('Summary (Full)'!$B$41/10^(AF40/10)+'Summary (Full)'!$B$42/10^(AG40/10)+'Summary (Full)'!$B$43/10^(AH40/10))/'Summary (Full)'!$B$44))</f>
        <v/>
      </c>
      <c r="AJ40" s="129">
        <f>Test!Y217</f>
        <v/>
      </c>
      <c r="AK40" s="129">
        <f>Test!Z217</f>
        <v/>
      </c>
      <c r="AL40" s="129">
        <f>AJ40/R40</f>
        <v/>
      </c>
      <c r="AM40" s="129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94" t="n"/>
      <c r="X43" s="94" t="n"/>
      <c r="Y43" s="94" t="n"/>
      <c r="Z43" s="94" t="n"/>
      <c r="AA43" s="94" t="n"/>
      <c r="AB43" s="94" t="n"/>
      <c r="AC43" s="94" t="n"/>
      <c r="AD43" s="94" t="n"/>
      <c r="AE43" s="94" t="n"/>
      <c r="AF43" s="94" t="n"/>
      <c r="AG43" s="94" t="n"/>
      <c r="AH43" s="94" t="n"/>
      <c r="AI43" s="96" t="n"/>
      <c r="AJ43" s="96" t="n"/>
      <c r="AK43" s="96" t="n"/>
      <c r="AL43" s="97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45" t="n"/>
      <c r="N44" s="245" t="n"/>
      <c r="O44" s="245" t="n"/>
      <c r="P44" s="245" t="n"/>
      <c r="Q44" s="245" t="inlineStr">
        <is>
          <t>SSIM</t>
        </is>
      </c>
      <c r="R44" s="234" t="n"/>
      <c r="S44" s="245" t="inlineStr">
        <is>
          <t>MS-SSIM</t>
        </is>
      </c>
      <c r="T44" s="234" t="n"/>
      <c r="U44" s="245" t="inlineStr">
        <is>
          <t>VMAF</t>
        </is>
      </c>
      <c r="V44" s="234" t="n"/>
      <c r="W44" s="245" t="inlineStr">
        <is>
          <t>VMAF-neg</t>
        </is>
      </c>
      <c r="X44" s="234" t="n"/>
      <c r="Y44" s="259" t="inlineStr">
        <is>
          <t>PSNR-HVS</t>
        </is>
      </c>
      <c r="Z44" s="234" t="n"/>
      <c r="AA44" s="259" t="inlineStr">
        <is>
          <t>DE2K Based</t>
        </is>
      </c>
      <c r="AB44" s="234" t="n"/>
      <c r="AC44" s="259" t="inlineStr">
        <is>
          <t>APSNR Based</t>
        </is>
      </c>
      <c r="AD44" s="233" t="n"/>
      <c r="AE44" s="233" t="n"/>
      <c r="AF44" s="233" t="n"/>
      <c r="AG44" s="233" t="n"/>
      <c r="AH44" s="234" t="n"/>
      <c r="AI44" s="263" t="inlineStr">
        <is>
          <t>PSNR</t>
        </is>
      </c>
      <c r="AJ44" s="234" t="n"/>
      <c r="AK44" s="276" t="inlineStr">
        <is>
          <t>APSNR</t>
        </is>
      </c>
      <c r="AL44" s="277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45" t="inlineStr">
        <is>
          <t>PSNR</t>
        </is>
      </c>
      <c r="D45" s="233" t="n"/>
      <c r="E45" s="233" t="n"/>
      <c r="F45" s="234" t="n"/>
      <c r="G45" s="245" t="n"/>
      <c r="H45" s="245" t="n"/>
      <c r="I45" s="245" t="n"/>
      <c r="J45" s="245" t="n"/>
      <c r="K45" s="245" t="n"/>
      <c r="L45" s="245" t="n"/>
      <c r="M45" s="245" t="inlineStr">
        <is>
          <t>APSNR</t>
        </is>
      </c>
      <c r="N45" s="233" t="n"/>
      <c r="O45" s="233" t="n"/>
      <c r="P45" s="234" t="n"/>
      <c r="Q45" s="245" t="n"/>
      <c r="R45" s="245" t="n"/>
      <c r="S45" s="245" t="n"/>
      <c r="T45" s="245" t="n"/>
      <c r="U45" s="245" t="n"/>
      <c r="V45" s="245" t="n"/>
      <c r="W45" s="245" t="n"/>
      <c r="X45" s="245" t="n"/>
      <c r="Y45" s="245" t="n"/>
      <c r="Z45" s="245" t="n"/>
      <c r="AA45" s="245" t="n"/>
      <c r="AB45" s="245" t="n"/>
      <c r="AC45" s="245" t="n"/>
      <c r="AD45" s="245" t="n"/>
      <c r="AE45" s="245" t="n"/>
      <c r="AF45" s="245" t="n"/>
      <c r="AG45" s="245" t="n"/>
      <c r="AH45" s="245" t="n"/>
      <c r="AI45" s="263" t="n"/>
      <c r="AJ45" s="263" t="n"/>
      <c r="AK45" s="263" t="n"/>
      <c r="AL45" s="99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7" customHeight="1" s="241" thickBot="1">
      <c r="A46" s="275" t="inlineStr">
        <is>
          <t>Range</t>
        </is>
      </c>
      <c r="B46" s="254" t="n"/>
      <c r="C46" s="117" t="inlineStr">
        <is>
          <t>Y</t>
        </is>
      </c>
      <c r="D46" s="117" t="inlineStr">
        <is>
          <t>U</t>
        </is>
      </c>
      <c r="E46" s="117" t="inlineStr">
        <is>
          <t>V</t>
        </is>
      </c>
      <c r="F46" s="117" t="inlineStr">
        <is>
          <t>YUV</t>
        </is>
      </c>
      <c r="G46" s="117" t="inlineStr">
        <is>
          <t>SSIM_Y</t>
        </is>
      </c>
      <c r="H46" s="117" t="inlineStr">
        <is>
          <t>MS-SSIM</t>
        </is>
      </c>
      <c r="I46" s="117" t="inlineStr">
        <is>
          <t>VMAF</t>
        </is>
      </c>
      <c r="J46" s="117" t="inlineStr">
        <is>
          <t>nVMAF</t>
        </is>
      </c>
      <c r="K46" s="117" t="inlineStr">
        <is>
          <t>PSNR-HVS</t>
        </is>
      </c>
      <c r="L46" s="117" t="inlineStr">
        <is>
          <t>DE-2K</t>
        </is>
      </c>
      <c r="M46" s="117" t="inlineStr">
        <is>
          <t>Y</t>
        </is>
      </c>
      <c r="N46" s="117" t="inlineStr">
        <is>
          <t>U</t>
        </is>
      </c>
      <c r="O46" s="117" t="inlineStr">
        <is>
          <t>V</t>
        </is>
      </c>
      <c r="P46" s="117" t="inlineStr">
        <is>
          <t>YUV</t>
        </is>
      </c>
      <c r="Q46" s="117" t="inlineStr">
        <is>
          <t>Range</t>
        </is>
      </c>
      <c r="R46" s="117" t="inlineStr">
        <is>
          <t>Y</t>
        </is>
      </c>
      <c r="S46" s="117" t="inlineStr">
        <is>
          <t>Range</t>
        </is>
      </c>
      <c r="T46" s="117" t="inlineStr">
        <is>
          <t>Y</t>
        </is>
      </c>
      <c r="U46" s="117" t="inlineStr">
        <is>
          <t>Range</t>
        </is>
      </c>
      <c r="V46" s="117" t="inlineStr">
        <is>
          <t>Y</t>
        </is>
      </c>
      <c r="W46" s="117" t="inlineStr">
        <is>
          <t>Range</t>
        </is>
      </c>
      <c r="X46" s="117" t="inlineStr">
        <is>
          <t>Y</t>
        </is>
      </c>
      <c r="Y46" s="117" t="inlineStr">
        <is>
          <t>Range</t>
        </is>
      </c>
      <c r="Z46" s="117" t="inlineStr">
        <is>
          <t>Y</t>
        </is>
      </c>
      <c r="AA46" s="117" t="inlineStr">
        <is>
          <t>Range</t>
        </is>
      </c>
      <c r="AB46" s="117" t="inlineStr">
        <is>
          <t>Y</t>
        </is>
      </c>
      <c r="AC46" s="117" t="inlineStr">
        <is>
          <t>Range</t>
        </is>
      </c>
      <c r="AD46" s="117" t="inlineStr">
        <is>
          <t>Y</t>
        </is>
      </c>
      <c r="AE46" s="117" t="inlineStr">
        <is>
          <t>Y</t>
        </is>
      </c>
      <c r="AF46" s="117" t="inlineStr">
        <is>
          <t>U</t>
        </is>
      </c>
      <c r="AG46" s="117" t="inlineStr">
        <is>
          <t>V</t>
        </is>
      </c>
      <c r="AH46" s="117" t="inlineStr">
        <is>
          <t>YUV</t>
        </is>
      </c>
      <c r="AI46" s="253" t="inlineStr">
        <is>
          <t>YUV</t>
        </is>
      </c>
      <c r="AJ46" s="254" t="n"/>
      <c r="AK46" s="255" t="inlineStr">
        <is>
          <t>YUV</t>
        </is>
      </c>
      <c r="AL46" s="256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262">
        <f>COUNTIFS(C5:C40, "&lt;&gt;",C5:C40, "&lt;&gt;0")</f>
        <v/>
      </c>
      <c r="U56" s="262">
        <f>COUNTIFS(U5:U40, "&lt;&gt;",U5:U40, "&lt;&gt;0")</f>
        <v/>
      </c>
      <c r="AM56" s="262">
        <f>U56/C56</f>
        <v/>
      </c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262">
        <f>GEOMEAN(R5:R40)</f>
        <v/>
      </c>
      <c r="S57" s="262">
        <f>GEOMEAN(S5:S40)</f>
        <v/>
      </c>
      <c r="AJ57" s="262">
        <f>GEOMEAN(AJ5:AJ40)</f>
        <v/>
      </c>
      <c r="AK57" s="262">
        <f>GEOMEAN(AK5:AK40)</f>
        <v/>
      </c>
      <c r="AL57" s="262">
        <f>GEOMEAN(AL5:AL40)</f>
        <v/>
      </c>
      <c r="AM57" s="262">
        <f>GEOMEAN(AM5:AM40)</f>
        <v/>
      </c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262">
        <f>SUM(R5:R40)</f>
        <v/>
      </c>
      <c r="S58" s="262">
        <f>SUM(S5:S40)</f>
        <v/>
      </c>
      <c r="AJ58" s="262">
        <f>SUM(AJ5:AJ40)</f>
        <v/>
      </c>
      <c r="AK58" s="262">
        <f>SUM(AK5:AK40)</f>
        <v/>
      </c>
      <c r="AL58" s="262">
        <f>AVERAGE(AL5:AL40)</f>
        <v/>
      </c>
      <c r="AM58" s="262">
        <f>AVERAGE(AM5:AM40)</f>
        <v/>
      </c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262">
        <f>MAX(R5:R40)</f>
        <v/>
      </c>
      <c r="S59" s="262">
        <f>MAX(S5:S40)</f>
        <v/>
      </c>
      <c r="AJ59" s="262">
        <f>MAX(AJ5:AJ40)</f>
        <v/>
      </c>
      <c r="AK59" s="262">
        <f>MAX(AK5:AK40)</f>
        <v/>
      </c>
      <c r="AL59" s="262">
        <f>MAX(AL5:AL40)</f>
        <v/>
      </c>
      <c r="AM59" s="262">
        <f>MAX(AM5:AM40)</f>
        <v/>
      </c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262">
        <f>MIN(R5:R40)</f>
        <v/>
      </c>
      <c r="S60" s="262">
        <f>MIN(S5:S40)</f>
        <v/>
      </c>
      <c r="AJ60" s="262">
        <f>MIN(AJ5:AJ40)</f>
        <v/>
      </c>
      <c r="AK60" s="262">
        <f>MIN(AK5:AK40)</f>
        <v/>
      </c>
      <c r="AL60" s="262">
        <f>MIN(AL5:AL40)</f>
        <v/>
      </c>
      <c r="AM60" s="262">
        <f>MIN(AM5:AM40)</f>
        <v/>
      </c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262">
        <f>AJ57/R57</f>
        <v/>
      </c>
      <c r="AK61" s="262">
        <f>AK57/S57</f>
        <v/>
      </c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29">
    <outlinePr summaryBelow="1" summaryRight="1"/>
    <pageSetUpPr/>
  </sheetPr>
  <dimension ref="A1:FS180"/>
  <sheetViews>
    <sheetView topLeftCell="A7" zoomScale="110" zoomScaleNormal="110" workbookViewId="0">
      <selection activeCell="CL3" sqref="CL1:FS1048576"/>
    </sheetView>
  </sheetViews>
  <sheetFormatPr baseColWidth="10" defaultColWidth="10.83203125" defaultRowHeight="13"/>
  <cols>
    <col width="10.83203125" customWidth="1" style="262" min="1" max="2"/>
    <col width="12.33203125" bestFit="1" customWidth="1" style="143" min="3" max="6"/>
    <col width="12.1640625" customWidth="1" style="143" min="7" max="7"/>
    <col width="12.33203125" bestFit="1" customWidth="1" style="143" min="8" max="8"/>
    <col width="12.1640625" customWidth="1" style="143" min="9" max="9"/>
    <col width="11.83203125" bestFit="1" customWidth="1" style="143" min="10" max="11"/>
    <col width="11.6640625" customWidth="1" style="143" min="12" max="17"/>
    <col width="12.6640625" bestFit="1" customWidth="1" style="143" min="18" max="18"/>
    <col width="12.33203125" bestFit="1" customWidth="1" style="143" min="19" max="19"/>
    <col width="13" customWidth="1" style="262" min="20" max="20"/>
    <col width="14.6640625" bestFit="1" customWidth="1" style="132" min="21" max="21"/>
    <col width="12.6640625" bestFit="1" customWidth="1" style="132" min="22" max="24"/>
    <col width="12.1640625" customWidth="1" style="132" min="25" max="25"/>
    <col width="12.6640625" bestFit="1" customWidth="1" style="132" min="26" max="26"/>
    <col width="12.1640625" customWidth="1" style="132" min="27" max="27"/>
    <col width="12.1640625" bestFit="1" customWidth="1" style="132" min="28" max="29"/>
    <col width="11.6640625" customWidth="1" style="132" min="30" max="35"/>
    <col width="15.6640625" bestFit="1" customWidth="1" style="132" min="36" max="36"/>
    <col width="12.6640625" bestFit="1" customWidth="1" style="132" min="37" max="37"/>
    <col width="12.1640625" customWidth="1" style="132" min="38" max="39"/>
    <col width="1" customWidth="1" style="262" min="40" max="40"/>
    <col outlineLevel="1" width="10.83203125" customWidth="1" style="261" min="41" max="47"/>
    <col outlineLevel="1" width="12.1640625" customWidth="1" style="261" min="48" max="51"/>
    <col outlineLevel="1" width="10.83203125" customWidth="1" style="261" min="52" max="69"/>
    <col outlineLevel="1" width="12.1640625" customWidth="1" style="261" min="70" max="72"/>
    <col outlineLevel="1" width="8.1640625" customWidth="1" style="261" min="73" max="73"/>
    <col outlineLevel="1" width="12.1640625" customWidth="1" style="261" min="74" max="74"/>
    <col outlineLevel="1" width="11.5" customWidth="1" style="123" min="75" max="75"/>
    <col outlineLevel="1" width="12.1640625" customWidth="1" style="261" min="76" max="76"/>
    <col outlineLevel="1" width="8.1640625" customWidth="1" style="261" min="77" max="77"/>
    <col outlineLevel="1" width="12.1640625" customWidth="1" style="261" min="78" max="78"/>
    <col outlineLevel="1" width="8.1640625" customWidth="1" style="261" min="79" max="79"/>
    <col outlineLevel="1" width="12.1640625" customWidth="1" style="261" min="80" max="80"/>
    <col outlineLevel="1" width="8.1640625" customWidth="1" style="261" min="81" max="81"/>
    <col outlineLevel="1" width="12.1640625" customWidth="1" style="261" min="82" max="82"/>
    <col outlineLevel="1" width="25" bestFit="1" customWidth="1" style="261" min="83" max="84"/>
    <col outlineLevel="1" width="8.1640625" customWidth="1" style="261" min="85" max="86"/>
    <col outlineLevel="1" width="12" customWidth="1" style="10" min="87" max="87"/>
    <col outlineLevel="1" width="8.1640625" customWidth="1" style="10" min="88" max="88"/>
    <col outlineLevel="1" width="8.1640625" customWidth="1" style="261" min="89" max="89"/>
    <col outlineLevel="1" width="10.83203125" customWidth="1" style="261" min="90" max="107"/>
    <col outlineLevel="1" width="1" customWidth="1" style="261" min="108" max="108"/>
    <col outlineLevel="1" width="10.83203125" customWidth="1" style="261" min="109" max="109"/>
    <col outlineLevel="1" width="12.1640625" customWidth="1" style="261" min="110" max="110"/>
    <col outlineLevel="1" width="0.83203125" customWidth="1" style="261" min="111" max="111"/>
    <col outlineLevel="1" width="10.83203125" customWidth="1" style="261" min="112" max="112"/>
    <col outlineLevel="1" width="12.1640625" customWidth="1" style="261" min="113" max="113"/>
    <col width="0.83203125" customWidth="1" style="261" min="114" max="114"/>
    <col width="12.1640625" customWidth="1" style="261" min="115" max="128"/>
    <col width="1.33203125" customWidth="1" style="262" min="129" max="129"/>
    <col width="10.83203125" customWidth="1" style="261" min="130" max="148"/>
    <col width="12.1640625" customWidth="1" style="261" min="149" max="151"/>
    <col width="12.1640625" customWidth="1" style="8" min="152" max="159"/>
    <col width="12.1640625" customWidth="1" style="261" min="160" max="171"/>
    <col width="10.83203125" customWidth="1" style="261" min="172" max="172"/>
    <col width="12.1640625" customWidth="1" style="261" min="173" max="173"/>
    <col width="10.83203125" customWidth="1" style="261" min="174" max="174"/>
    <col width="12.1640625" customWidth="1" style="261" min="175" max="175"/>
    <col width="10.83203125" customWidth="1" style="262" min="176" max="176"/>
    <col width="10.83203125" customWidth="1" style="262" min="177" max="16384"/>
  </cols>
  <sheetData>
    <row r="1" ht="16" customHeight="1" s="241">
      <c r="C1" s="291" t="inlineStr">
        <is>
          <t>Anchor</t>
        </is>
      </c>
      <c r="D1" s="264" t="n"/>
      <c r="E1" s="264" t="n"/>
      <c r="F1" s="264" t="n"/>
      <c r="G1" s="264" t="n"/>
      <c r="H1" s="264" t="n"/>
      <c r="I1" s="264" t="n"/>
      <c r="J1" s="264" t="n"/>
      <c r="K1" s="264" t="n"/>
      <c r="L1" s="264" t="n"/>
      <c r="M1" s="264" t="n"/>
      <c r="N1" s="264" t="n"/>
      <c r="O1" s="264" t="n"/>
      <c r="P1" s="264" t="n"/>
      <c r="Q1" s="264" t="n"/>
      <c r="R1" s="264" t="n"/>
      <c r="S1" s="254" t="n"/>
      <c r="T1" s="2" t="n"/>
      <c r="U1" s="279" t="inlineStr">
        <is>
          <t>Test</t>
        </is>
      </c>
      <c r="V1" s="264" t="n"/>
      <c r="W1" s="264" t="n"/>
      <c r="X1" s="264" t="n"/>
      <c r="Y1" s="264" t="n"/>
      <c r="Z1" s="264" t="n"/>
      <c r="AA1" s="264" t="n"/>
      <c r="AB1" s="264" t="n"/>
      <c r="AC1" s="264" t="n"/>
      <c r="AD1" s="264" t="n"/>
      <c r="AE1" s="264" t="n"/>
      <c r="AF1" s="264" t="n"/>
      <c r="AG1" s="264" t="n"/>
      <c r="AH1" s="264" t="n"/>
      <c r="AI1" s="264" t="n"/>
      <c r="AJ1" s="264" t="n"/>
      <c r="AK1" s="254" t="n"/>
      <c r="AL1" s="279" t="n"/>
      <c r="AM1" s="279" t="n"/>
      <c r="AN1" s="2" t="n"/>
      <c r="AO1" s="272" t="inlineStr">
        <is>
          <t>BD-rate</t>
        </is>
      </c>
      <c r="AP1" s="250" t="n"/>
      <c r="AQ1" s="250" t="n"/>
      <c r="AR1" s="250" t="n"/>
      <c r="AS1" s="250" t="n"/>
      <c r="AT1" s="250" t="n"/>
      <c r="AU1" s="250" t="n"/>
      <c r="AV1" s="250" t="n"/>
      <c r="AW1" s="250" t="n"/>
      <c r="AX1" s="250" t="n"/>
      <c r="AY1" s="251" t="n"/>
      <c r="CH1" s="19" t="n"/>
      <c r="CK1" s="18" t="n"/>
      <c r="CL1" s="243" t="inlineStr">
        <is>
          <t>Convex Hull Anchor</t>
        </is>
      </c>
      <c r="CM1" s="233" t="n"/>
      <c r="CN1" s="233" t="n"/>
      <c r="CO1" s="233" t="n"/>
      <c r="CP1" s="233" t="n"/>
      <c r="CQ1" s="233" t="n"/>
      <c r="CR1" s="233" t="n"/>
      <c r="CS1" s="233" t="n"/>
      <c r="CT1" s="233" t="n"/>
      <c r="CU1" s="233" t="n"/>
      <c r="CV1" s="233" t="n"/>
      <c r="CW1" s="233" t="n"/>
      <c r="CX1" s="233" t="n"/>
      <c r="CY1" s="233" t="n"/>
      <c r="CZ1" s="233" t="n"/>
      <c r="DA1" s="233" t="n"/>
      <c r="DB1" s="233" t="n"/>
      <c r="DC1" s="233" t="n"/>
      <c r="DD1" s="233" t="n"/>
      <c r="DE1" s="233" t="n"/>
      <c r="DF1" s="233" t="n"/>
      <c r="DG1" s="233" t="n"/>
      <c r="DH1" s="233" t="n"/>
      <c r="DI1" s="233" t="n"/>
      <c r="DJ1" s="233" t="n"/>
      <c r="DK1" s="233" t="n"/>
      <c r="DL1" s="234" t="n"/>
      <c r="DM1" s="243" t="n"/>
      <c r="DN1" s="243" t="n"/>
      <c r="DO1" s="243" t="n"/>
      <c r="DP1" s="243" t="n"/>
      <c r="DQ1" s="243" t="n"/>
      <c r="DR1" s="243" t="n"/>
      <c r="DS1" s="243" t="n"/>
      <c r="DT1" s="243" t="n"/>
      <c r="DU1" s="243" t="n"/>
      <c r="DV1" s="243" t="n"/>
      <c r="DW1" s="243" t="n"/>
      <c r="DX1" s="243" t="n"/>
      <c r="DY1" s="2" t="n"/>
      <c r="DZ1" s="243" t="inlineStr">
        <is>
          <t>Convex Hull Anchor Test</t>
        </is>
      </c>
      <c r="EA1" s="233" t="n"/>
      <c r="EB1" s="233" t="n"/>
      <c r="EC1" s="233" t="n"/>
      <c r="ED1" s="233" t="n"/>
      <c r="EE1" s="233" t="n"/>
      <c r="EF1" s="233" t="n"/>
      <c r="EG1" s="233" t="n"/>
      <c r="EH1" s="233" t="n"/>
      <c r="EI1" s="233" t="n"/>
      <c r="EJ1" s="233" t="n"/>
      <c r="EK1" s="233" t="n"/>
      <c r="EL1" s="233" t="n"/>
      <c r="EM1" s="233" t="n"/>
      <c r="EN1" s="233" t="n"/>
      <c r="EO1" s="233" t="n"/>
      <c r="EP1" s="233" t="n"/>
      <c r="EQ1" s="233" t="n"/>
      <c r="ER1" s="233" t="n"/>
      <c r="ES1" s="233" t="n"/>
      <c r="ET1" s="233" t="n"/>
      <c r="EU1" s="233" t="n"/>
      <c r="EV1" s="233" t="n"/>
      <c r="EW1" s="234" t="n"/>
      <c r="EX1" s="262" t="n"/>
      <c r="EY1" s="262" t="n"/>
      <c r="EZ1" s="262" t="n"/>
      <c r="FA1" s="262" t="n"/>
      <c r="FB1" s="262" t="n"/>
      <c r="FC1" s="262" t="n"/>
      <c r="FD1" s="243" t="n"/>
      <c r="FE1" s="243" t="n"/>
      <c r="FF1" s="243" t="n"/>
      <c r="FG1" s="243" t="n"/>
      <c r="FH1" s="243" t="n"/>
      <c r="FI1" s="15" t="n"/>
      <c r="FK1" s="16" t="n"/>
      <c r="FL1" s="243" t="n"/>
      <c r="FM1" s="243" t="n"/>
      <c r="FN1" s="15" t="n"/>
      <c r="FP1" s="262" t="n"/>
      <c r="FQ1" s="262" t="n"/>
      <c r="FR1" s="262" t="n"/>
      <c r="FS1" s="262" t="n"/>
    </row>
    <row r="2" ht="16" customHeight="1" s="241">
      <c r="C2" s="265" t="n"/>
      <c r="D2" s="266" t="n"/>
      <c r="E2" s="266" t="n"/>
      <c r="F2" s="266" t="n"/>
      <c r="G2" s="266" t="n"/>
      <c r="H2" s="266" t="n"/>
      <c r="I2" s="266" t="n"/>
      <c r="J2" s="266" t="n"/>
      <c r="K2" s="266" t="n"/>
      <c r="L2" s="266" t="n"/>
      <c r="M2" s="266" t="n"/>
      <c r="N2" s="266" t="n"/>
      <c r="O2" s="266" t="n"/>
      <c r="P2" s="266" t="n"/>
      <c r="Q2" s="266" t="n"/>
      <c r="R2" s="266" t="n"/>
      <c r="S2" s="267" t="n"/>
      <c r="T2" s="2" t="n"/>
      <c r="U2" s="265" t="n"/>
      <c r="V2" s="266" t="n"/>
      <c r="W2" s="266" t="n"/>
      <c r="X2" s="266" t="n"/>
      <c r="Y2" s="266" t="n"/>
      <c r="Z2" s="266" t="n"/>
      <c r="AA2" s="266" t="n"/>
      <c r="AB2" s="266" t="n"/>
      <c r="AC2" s="266" t="n"/>
      <c r="AD2" s="266" t="n"/>
      <c r="AE2" s="266" t="n"/>
      <c r="AF2" s="266" t="n"/>
      <c r="AG2" s="266" t="n"/>
      <c r="AH2" s="266" t="n"/>
      <c r="AI2" s="266" t="n"/>
      <c r="AJ2" s="266" t="n"/>
      <c r="AK2" s="267" t="n"/>
      <c r="AL2" s="279" t="n"/>
      <c r="AM2" s="279" t="n"/>
      <c r="AN2" s="2" t="n"/>
      <c r="AO2" s="274" t="inlineStr">
        <is>
          <t>PSNR</t>
        </is>
      </c>
      <c r="AP2" s="233" t="n"/>
      <c r="AQ2" s="233" t="n"/>
      <c r="AR2" s="233" t="n"/>
      <c r="AS2" s="234" t="n"/>
      <c r="AT2" s="269" t="inlineStr">
        <is>
          <t>SSIM</t>
        </is>
      </c>
      <c r="AU2" s="234" t="n"/>
      <c r="AV2" s="269" t="inlineStr">
        <is>
          <t>MS-SSIM</t>
        </is>
      </c>
      <c r="AW2" s="234" t="n"/>
      <c r="AX2" s="269" t="inlineStr">
        <is>
          <t>VMAF</t>
        </is>
      </c>
      <c r="AY2" s="234" t="n"/>
      <c r="CH2" s="20" t="n"/>
      <c r="CI2" s="20" t="n"/>
      <c r="CJ2" s="20" t="n"/>
      <c r="CK2" s="18" t="n"/>
      <c r="CL2" s="243" t="inlineStr">
        <is>
          <t>PSNR</t>
        </is>
      </c>
      <c r="CM2" s="233" t="n"/>
      <c r="CN2" s="233" t="n"/>
      <c r="CO2" s="233" t="n"/>
      <c r="CP2" s="233" t="n"/>
      <c r="CQ2" s="233" t="n"/>
      <c r="CR2" s="233" t="n"/>
      <c r="CS2" s="233" t="n"/>
      <c r="CT2" s="233" t="n"/>
      <c r="CU2" s="233" t="n"/>
      <c r="CV2" s="233" t="n"/>
      <c r="CW2" s="233" t="n"/>
      <c r="CX2" s="233" t="n"/>
      <c r="CY2" s="233" t="n"/>
      <c r="CZ2" s="233" t="n"/>
      <c r="DA2" s="233" t="n"/>
      <c r="DB2" s="233" t="n"/>
      <c r="DC2" s="234" t="n"/>
      <c r="DD2" s="243" t="n"/>
      <c r="DE2" s="243" t="inlineStr">
        <is>
          <t>SSIM Based</t>
        </is>
      </c>
      <c r="DF2" s="234" t="n"/>
      <c r="DG2" s="243" t="n"/>
      <c r="DH2" s="243" t="inlineStr">
        <is>
          <t>MS-SSIM Based</t>
        </is>
      </c>
      <c r="DI2" s="234" t="n"/>
      <c r="DJ2" s="243" t="n"/>
      <c r="DK2" s="243" t="inlineStr">
        <is>
          <t>VMAF Based</t>
        </is>
      </c>
      <c r="DL2" s="234" t="n"/>
      <c r="DM2" s="243" t="inlineStr">
        <is>
          <t>VMAF-neg Based</t>
        </is>
      </c>
      <c r="DN2" s="234" t="n"/>
      <c r="DO2" s="243" t="inlineStr">
        <is>
          <t>PSNR-HVS</t>
        </is>
      </c>
      <c r="DP2" s="234" t="n"/>
      <c r="DQ2" s="243" t="inlineStr">
        <is>
          <t>DE2K Based</t>
        </is>
      </c>
      <c r="DR2" s="234" t="n"/>
      <c r="DS2" s="243" t="inlineStr">
        <is>
          <t>APSNR Based</t>
        </is>
      </c>
      <c r="DT2" s="233" t="n"/>
      <c r="DU2" s="233" t="n"/>
      <c r="DV2" s="233" t="n"/>
      <c r="DW2" s="233" t="n"/>
      <c r="DX2" s="234" t="n"/>
      <c r="DY2" s="2" t="n"/>
      <c r="DZ2" s="243" t="inlineStr">
        <is>
          <t>PSNR</t>
        </is>
      </c>
      <c r="EA2" s="233" t="n"/>
      <c r="EB2" s="233" t="n"/>
      <c r="EC2" s="233" t="n"/>
      <c r="ED2" s="233" t="n"/>
      <c r="EE2" s="233" t="n"/>
      <c r="EF2" s="233" t="n"/>
      <c r="EG2" s="233" t="n"/>
      <c r="EH2" s="233" t="n"/>
      <c r="EI2" s="233" t="n"/>
      <c r="EJ2" s="233" t="n"/>
      <c r="EK2" s="233" t="n"/>
      <c r="EL2" s="233" t="n"/>
      <c r="EM2" s="233" t="n"/>
      <c r="EN2" s="233" t="n"/>
      <c r="EO2" s="233" t="n"/>
      <c r="EP2" s="233" t="n"/>
      <c r="EQ2" s="234" t="n"/>
      <c r="ER2" s="243" t="inlineStr">
        <is>
          <t>SSIM Based</t>
        </is>
      </c>
      <c r="ES2" s="234" t="n"/>
      <c r="ET2" s="243" t="inlineStr">
        <is>
          <t>MS-SSIM Based</t>
        </is>
      </c>
      <c r="EU2" s="234" t="n"/>
      <c r="EV2" s="268" t="inlineStr">
        <is>
          <t>VMAF Based</t>
        </is>
      </c>
      <c r="EW2" s="234" t="n"/>
      <c r="EX2" s="268" t="inlineStr">
        <is>
          <t>nVMAF Based</t>
        </is>
      </c>
      <c r="EY2" s="234" t="n"/>
      <c r="EZ2" s="268" t="inlineStr">
        <is>
          <t>PSNR HVS</t>
        </is>
      </c>
      <c r="FA2" s="234" t="n"/>
      <c r="FB2" s="268" t="inlineStr">
        <is>
          <t>DE-2K</t>
        </is>
      </c>
      <c r="FC2" s="234" t="n"/>
      <c r="FD2" s="243" t="inlineStr">
        <is>
          <t>APSNR Based</t>
        </is>
      </c>
      <c r="FE2" s="233" t="n"/>
      <c r="FF2" s="233" t="n"/>
      <c r="FG2" s="233" t="n"/>
      <c r="FH2" s="233" t="n"/>
      <c r="FI2" s="234" t="n"/>
      <c r="FK2" s="243" t="inlineStr">
        <is>
          <t>YUV PSNR Based Anchor</t>
        </is>
      </c>
      <c r="FL2" s="234" t="n"/>
      <c r="FM2" s="243" t="inlineStr">
        <is>
          <t>YUV APSNR Based Anchor</t>
        </is>
      </c>
      <c r="FN2" s="234" t="n"/>
      <c r="FP2" s="243" t="inlineStr">
        <is>
          <t>YUV PSNR Based Test</t>
        </is>
      </c>
      <c r="FQ2" s="234" t="n"/>
      <c r="FR2" s="243" t="inlineStr">
        <is>
          <t>YUV APSNR Based Test</t>
        </is>
      </c>
      <c r="FS2" s="234" t="n"/>
    </row>
    <row r="3" ht="16" customHeight="1" s="241">
      <c r="C3" s="291" t="n"/>
      <c r="D3" s="291" t="inlineStr">
        <is>
          <t>PSNR</t>
        </is>
      </c>
      <c r="E3" s="233" t="n"/>
      <c r="F3" s="233" t="n"/>
      <c r="G3" s="234" t="n"/>
      <c r="H3" s="291" t="n"/>
      <c r="I3" s="291" t="n"/>
      <c r="J3" s="291" t="n"/>
      <c r="K3" s="291" t="n"/>
      <c r="L3" s="291" t="n"/>
      <c r="M3" s="291" t="n"/>
      <c r="N3" s="291" t="inlineStr">
        <is>
          <t>APSNR</t>
        </is>
      </c>
      <c r="O3" s="233" t="n"/>
      <c r="P3" s="233" t="n"/>
      <c r="Q3" s="234" t="n"/>
      <c r="R3" s="291" t="n"/>
      <c r="S3" s="291" t="n"/>
      <c r="T3" s="2" t="n"/>
      <c r="U3" s="279" t="n"/>
      <c r="V3" s="279" t="inlineStr">
        <is>
          <t>PSNR</t>
        </is>
      </c>
      <c r="W3" s="233" t="n"/>
      <c r="X3" s="233" t="n"/>
      <c r="Y3" s="234" t="n"/>
      <c r="Z3" s="279" t="n"/>
      <c r="AA3" s="279" t="n"/>
      <c r="AB3" s="279" t="n"/>
      <c r="AC3" s="279" t="n"/>
      <c r="AD3" s="279" t="n"/>
      <c r="AE3" s="279" t="n"/>
      <c r="AF3" s="290" t="inlineStr">
        <is>
          <t>APSNR</t>
        </is>
      </c>
      <c r="AG3" s="233" t="n"/>
      <c r="AH3" s="233" t="n"/>
      <c r="AI3" s="234" t="n"/>
      <c r="AJ3" s="279" t="n"/>
      <c r="AK3" s="279" t="n"/>
      <c r="AL3" s="279" t="n"/>
      <c r="AM3" s="279" t="n"/>
      <c r="AN3" s="2" t="n"/>
      <c r="AO3" s="13" t="n"/>
      <c r="AP3" s="14" t="n"/>
      <c r="AQ3" s="14" t="n"/>
      <c r="AR3" s="14" t="n"/>
      <c r="AS3" s="14" t="n"/>
      <c r="AT3" s="14" t="n"/>
      <c r="AU3" s="14" t="n"/>
      <c r="AV3" s="14" t="n"/>
      <c r="AW3" s="14" t="n"/>
      <c r="AX3" s="14" t="n"/>
      <c r="AY3" s="14" t="n"/>
      <c r="CH3" s="19" t="n"/>
      <c r="CK3" s="18" t="n"/>
      <c r="CL3" s="243" t="n"/>
      <c r="CM3" s="243" t="n"/>
      <c r="CN3" s="243" t="inlineStr">
        <is>
          <t>PSNR</t>
        </is>
      </c>
      <c r="CO3" s="233" t="n"/>
      <c r="CP3" s="233" t="n"/>
      <c r="CQ3" s="234" t="n"/>
      <c r="CR3" s="243" t="n"/>
      <c r="CS3" s="243" t="n"/>
      <c r="CT3" s="243" t="n"/>
      <c r="CU3" s="243" t="n"/>
      <c r="CV3" s="243" t="n"/>
      <c r="CW3" s="243" t="n"/>
      <c r="CX3" s="243" t="inlineStr">
        <is>
          <t>APSNR</t>
        </is>
      </c>
      <c r="CY3" s="233" t="n"/>
      <c r="CZ3" s="233" t="n"/>
      <c r="DA3" s="234" t="n"/>
      <c r="DB3" s="243" t="n"/>
      <c r="DC3" s="243" t="n"/>
      <c r="DD3" s="243" t="n"/>
      <c r="DE3" s="243" t="n"/>
      <c r="DF3" s="243" t="n"/>
      <c r="DG3" s="243" t="n"/>
      <c r="DH3" s="243" t="n"/>
      <c r="DI3" s="243" t="n"/>
      <c r="DJ3" s="243" t="n"/>
      <c r="DK3" s="243" t="n"/>
      <c r="DL3" s="243" t="n"/>
      <c r="DM3" s="243" t="n"/>
      <c r="DN3" s="243" t="n"/>
      <c r="DO3" s="243" t="n"/>
      <c r="DP3" s="243" t="n"/>
      <c r="DQ3" s="243" t="n"/>
      <c r="DR3" s="243" t="n"/>
      <c r="DS3" s="243" t="n"/>
      <c r="DT3" s="243" t="n"/>
      <c r="DU3" s="243" t="n"/>
      <c r="DV3" s="243" t="n"/>
      <c r="DW3" s="243" t="n"/>
      <c r="DX3" s="243" t="n"/>
      <c r="DY3" s="2" t="n"/>
      <c r="DZ3" s="243" t="n"/>
      <c r="EA3" s="243" t="n"/>
      <c r="EB3" s="243" t="inlineStr">
        <is>
          <t>PSNR</t>
        </is>
      </c>
      <c r="EC3" s="233" t="n"/>
      <c r="ED3" s="233" t="n"/>
      <c r="EE3" s="234" t="n"/>
      <c r="EF3" s="243" t="n"/>
      <c r="EG3" s="243" t="n"/>
      <c r="EH3" s="243" t="n"/>
      <c r="EI3" s="243" t="n"/>
      <c r="EJ3" s="243" t="n"/>
      <c r="EK3" s="243" t="n"/>
      <c r="EL3" s="243" t="inlineStr">
        <is>
          <t>APSNR</t>
        </is>
      </c>
      <c r="EM3" s="233" t="n"/>
      <c r="EN3" s="233" t="n"/>
      <c r="EO3" s="234" t="n"/>
      <c r="EP3" s="243" t="n"/>
      <c r="EQ3" s="243" t="n"/>
      <c r="ER3" s="243" t="n"/>
      <c r="ES3" s="243" t="n"/>
      <c r="ET3" s="243" t="n"/>
      <c r="EU3" s="243" t="n"/>
      <c r="EV3" s="268" t="n"/>
      <c r="EW3" s="268" t="n"/>
      <c r="EX3" s="268" t="n"/>
      <c r="EY3" s="268" t="n"/>
      <c r="EZ3" s="268" t="n"/>
      <c r="FA3" s="268" t="n"/>
      <c r="FB3" s="268" t="n"/>
      <c r="FC3" s="268" t="n"/>
      <c r="FD3" s="243" t="n"/>
      <c r="FE3" s="243" t="n"/>
      <c r="FF3" s="243" t="n"/>
      <c r="FG3" s="243" t="n"/>
      <c r="FH3" s="243" t="n"/>
      <c r="FI3" s="15" t="n"/>
      <c r="FK3" s="16" t="n"/>
      <c r="FL3" s="243" t="n"/>
      <c r="FM3" s="243" t="n"/>
      <c r="FN3" s="15" t="n"/>
      <c r="FP3" s="16" t="n"/>
      <c r="FQ3" s="243" t="n"/>
      <c r="FR3" s="16" t="n"/>
      <c r="FS3" s="243" t="n"/>
    </row>
    <row r="4" ht="14" customHeight="1" s="241" thickBot="1">
      <c r="B4" s="262" t="inlineStr">
        <is>
          <t>QP</t>
        </is>
      </c>
      <c r="C4" s="139" t="inlineStr">
        <is>
          <t>Bit-rate</t>
        </is>
      </c>
      <c r="D4" s="139" t="inlineStr">
        <is>
          <t>Y</t>
        </is>
      </c>
      <c r="E4" s="139" t="inlineStr">
        <is>
          <t>U</t>
        </is>
      </c>
      <c r="F4" s="139" t="inlineStr">
        <is>
          <t>V</t>
        </is>
      </c>
      <c r="G4" s="139" t="inlineStr">
        <is>
          <t>YUV</t>
        </is>
      </c>
      <c r="H4" s="139" t="inlineStr">
        <is>
          <t>SSIM_Y</t>
        </is>
      </c>
      <c r="I4" s="139" t="inlineStr">
        <is>
          <t>MS-SSIM</t>
        </is>
      </c>
      <c r="J4" s="139" t="inlineStr">
        <is>
          <t>VMAF</t>
        </is>
      </c>
      <c r="K4" s="139" t="inlineStr">
        <is>
          <t>nVMAF</t>
        </is>
      </c>
      <c r="L4" s="139" t="inlineStr">
        <is>
          <t>PSNR-HVS</t>
        </is>
      </c>
      <c r="M4" s="139" t="inlineStr">
        <is>
          <t>DE-2K</t>
        </is>
      </c>
      <c r="N4" s="139" t="inlineStr">
        <is>
          <t>Y</t>
        </is>
      </c>
      <c r="O4" s="139" t="inlineStr">
        <is>
          <t>U</t>
        </is>
      </c>
      <c r="P4" s="139" t="inlineStr">
        <is>
          <t>V</t>
        </is>
      </c>
      <c r="Q4" s="139" t="inlineStr">
        <is>
          <t>YUV</t>
        </is>
      </c>
      <c r="R4" s="139" t="inlineStr">
        <is>
          <t>Enc-Time</t>
        </is>
      </c>
      <c r="S4" s="139" t="inlineStr">
        <is>
          <t>Dec-Time</t>
        </is>
      </c>
      <c r="T4" s="2" t="n"/>
      <c r="U4" s="135" t="inlineStr">
        <is>
          <t>Bit-rate</t>
        </is>
      </c>
      <c r="V4" s="135" t="inlineStr">
        <is>
          <t>Y</t>
        </is>
      </c>
      <c r="W4" s="135" t="inlineStr">
        <is>
          <t>U</t>
        </is>
      </c>
      <c r="X4" s="135" t="inlineStr">
        <is>
          <t>V</t>
        </is>
      </c>
      <c r="Y4" s="135" t="inlineStr">
        <is>
          <t>YUV</t>
        </is>
      </c>
      <c r="Z4" s="135" t="inlineStr">
        <is>
          <t>SSIM_Y</t>
        </is>
      </c>
      <c r="AA4" s="135" t="inlineStr">
        <is>
          <t>MS-SSIM</t>
        </is>
      </c>
      <c r="AB4" s="135" t="inlineStr">
        <is>
          <t>VMAF</t>
        </is>
      </c>
      <c r="AC4" s="135" t="inlineStr">
        <is>
          <t>nVMAF</t>
        </is>
      </c>
      <c r="AD4" s="135" t="inlineStr">
        <is>
          <t>PSNR-HVS</t>
        </is>
      </c>
      <c r="AE4" s="135" t="inlineStr">
        <is>
          <t>DE-2K</t>
        </is>
      </c>
      <c r="AF4" s="146" t="inlineStr">
        <is>
          <t>Y</t>
        </is>
      </c>
      <c r="AG4" s="146" t="inlineStr">
        <is>
          <t>U</t>
        </is>
      </c>
      <c r="AH4" s="146" t="inlineStr">
        <is>
          <t>V</t>
        </is>
      </c>
      <c r="AI4" s="146" t="inlineStr">
        <is>
          <t>YUV</t>
        </is>
      </c>
      <c r="AJ4" s="135" t="inlineStr">
        <is>
          <t>Enc-Time</t>
        </is>
      </c>
      <c r="AK4" s="135" t="inlineStr">
        <is>
          <t>Dec-Time</t>
        </is>
      </c>
      <c r="AL4" s="135" t="inlineStr">
        <is>
          <t>EncR</t>
        </is>
      </c>
      <c r="AM4" s="135" t="inlineStr">
        <is>
          <t>DecR</t>
        </is>
      </c>
      <c r="AN4" s="2" t="n"/>
      <c r="AO4" s="270" t="inlineStr">
        <is>
          <t>Range</t>
        </is>
      </c>
      <c r="AP4" s="254" t="n"/>
      <c r="AQ4" s="116" t="inlineStr">
        <is>
          <t>Y</t>
        </is>
      </c>
      <c r="AR4" s="116" t="inlineStr">
        <is>
          <t>U</t>
        </is>
      </c>
      <c r="AS4" s="116" t="inlineStr">
        <is>
          <t>V</t>
        </is>
      </c>
      <c r="AT4" s="116" t="inlineStr">
        <is>
          <t>Range</t>
        </is>
      </c>
      <c r="AU4" s="116" t="inlineStr">
        <is>
          <t>Y</t>
        </is>
      </c>
      <c r="AV4" s="116" t="inlineStr">
        <is>
          <t>Range</t>
        </is>
      </c>
      <c r="AW4" s="116" t="inlineStr">
        <is>
          <t>Y</t>
        </is>
      </c>
      <c r="AX4" s="116" t="inlineStr">
        <is>
          <t>Range</t>
        </is>
      </c>
      <c r="AY4" s="116" t="inlineStr">
        <is>
          <t>Y</t>
        </is>
      </c>
      <c r="CH4" s="21" t="n"/>
      <c r="CK4" s="18" t="n"/>
      <c r="CL4" s="243">
        <f>C4</f>
        <v/>
      </c>
      <c r="CM4" s="243">
        <f>D4</f>
        <v/>
      </c>
      <c r="CN4" s="243">
        <f>D4</f>
        <v/>
      </c>
      <c r="CO4" s="243">
        <f>E4</f>
        <v/>
      </c>
      <c r="CP4" s="243">
        <f>F4</f>
        <v/>
      </c>
      <c r="CQ4" s="243">
        <f>G4</f>
        <v/>
      </c>
      <c r="CR4" s="243">
        <f>H4</f>
        <v/>
      </c>
      <c r="CS4" s="243">
        <f>I4</f>
        <v/>
      </c>
      <c r="CT4" s="243">
        <f>J4</f>
        <v/>
      </c>
      <c r="CU4" s="243">
        <f>K4</f>
        <v/>
      </c>
      <c r="CV4" s="243">
        <f>L4</f>
        <v/>
      </c>
      <c r="CW4" s="243">
        <f>M4</f>
        <v/>
      </c>
      <c r="CX4" s="243">
        <f>N4</f>
        <v/>
      </c>
      <c r="CY4" s="243">
        <f>O4</f>
        <v/>
      </c>
      <c r="CZ4" s="243">
        <f>P4</f>
        <v/>
      </c>
      <c r="DA4" s="243">
        <f>Q4</f>
        <v/>
      </c>
      <c r="DB4" s="243">
        <f>R4</f>
        <v/>
      </c>
      <c r="DC4" s="243">
        <f>S4</f>
        <v/>
      </c>
      <c r="DD4" s="243" t="n"/>
      <c r="DE4" s="243" t="inlineStr">
        <is>
          <t>Bit-rate</t>
        </is>
      </c>
      <c r="DF4" s="243">
        <f>Z4</f>
        <v/>
      </c>
      <c r="DG4" s="243" t="n"/>
      <c r="DH4" s="243" t="inlineStr">
        <is>
          <t>Bit-rate</t>
        </is>
      </c>
      <c r="DI4" s="243">
        <f>I4</f>
        <v/>
      </c>
      <c r="DJ4" s="243" t="n"/>
      <c r="DK4" s="243" t="inlineStr">
        <is>
          <t>Bit-rate</t>
        </is>
      </c>
      <c r="DL4" s="243">
        <f>J4</f>
        <v/>
      </c>
      <c r="DM4" s="243" t="inlineStr">
        <is>
          <t>Bit-rate</t>
        </is>
      </c>
      <c r="DN4" s="243">
        <f>K4</f>
        <v/>
      </c>
      <c r="DO4" s="243" t="inlineStr">
        <is>
          <t>Bit-rate</t>
        </is>
      </c>
      <c r="DP4" s="243">
        <f>L4</f>
        <v/>
      </c>
      <c r="DQ4" s="243" t="inlineStr">
        <is>
          <t>Bit-rate</t>
        </is>
      </c>
      <c r="DR4" s="243">
        <f>M4</f>
        <v/>
      </c>
      <c r="DS4" s="243" t="inlineStr">
        <is>
          <t>Bit-rate</t>
        </is>
      </c>
      <c r="DT4" s="243">
        <f>N4</f>
        <v/>
      </c>
      <c r="DU4" s="243">
        <f>N4</f>
        <v/>
      </c>
      <c r="DV4" s="243">
        <f>O4</f>
        <v/>
      </c>
      <c r="DW4" s="243">
        <f>P4</f>
        <v/>
      </c>
      <c r="DX4" s="243">
        <f>Q4</f>
        <v/>
      </c>
      <c r="DY4" s="2" t="n"/>
      <c r="DZ4" s="243" t="inlineStr">
        <is>
          <t>Bit-rate</t>
        </is>
      </c>
      <c r="EA4" s="243" t="inlineStr">
        <is>
          <t>PSNR_Y</t>
        </is>
      </c>
      <c r="EB4" s="243">
        <f>V4</f>
        <v/>
      </c>
      <c r="EC4" s="243">
        <f>W4</f>
        <v/>
      </c>
      <c r="ED4" s="243">
        <f>X4</f>
        <v/>
      </c>
      <c r="EE4" s="243">
        <f>Y4</f>
        <v/>
      </c>
      <c r="EF4" s="243">
        <f>Z4</f>
        <v/>
      </c>
      <c r="EG4" s="243">
        <f>AA4</f>
        <v/>
      </c>
      <c r="EH4" s="243">
        <f>AB4</f>
        <v/>
      </c>
      <c r="EI4" s="243">
        <f>AC4</f>
        <v/>
      </c>
      <c r="EJ4" s="243">
        <f>AD4</f>
        <v/>
      </c>
      <c r="EK4" s="243">
        <f>AE4</f>
        <v/>
      </c>
      <c r="EL4" s="243">
        <f>AF4</f>
        <v/>
      </c>
      <c r="EM4" s="243">
        <f>AG4</f>
        <v/>
      </c>
      <c r="EN4" s="243">
        <f>AH4</f>
        <v/>
      </c>
      <c r="EO4" s="243">
        <f>AI4</f>
        <v/>
      </c>
      <c r="EP4" s="243">
        <f>AJ4</f>
        <v/>
      </c>
      <c r="EQ4" s="243">
        <f>AK4</f>
        <v/>
      </c>
      <c r="ER4" s="243" t="inlineStr">
        <is>
          <t>Bit-rate</t>
        </is>
      </c>
      <c r="ES4" s="243" t="inlineStr">
        <is>
          <t>SSIM</t>
        </is>
      </c>
      <c r="ET4" s="243" t="inlineStr">
        <is>
          <t>Bit-rate</t>
        </is>
      </c>
      <c r="EU4" s="243" t="inlineStr">
        <is>
          <t>SSIM</t>
        </is>
      </c>
      <c r="EV4" s="268" t="inlineStr">
        <is>
          <t>Bit-rate</t>
        </is>
      </c>
      <c r="EW4" s="268" t="inlineStr">
        <is>
          <t>VMAF</t>
        </is>
      </c>
      <c r="EX4" s="268" t="inlineStr">
        <is>
          <t>Bit-rate</t>
        </is>
      </c>
      <c r="EY4" s="268" t="inlineStr">
        <is>
          <t>nVMAF</t>
        </is>
      </c>
      <c r="EZ4" s="268" t="inlineStr">
        <is>
          <t>Bit-rate</t>
        </is>
      </c>
      <c r="FA4" s="268" t="inlineStr">
        <is>
          <t>nVMAF</t>
        </is>
      </c>
      <c r="FB4" s="268" t="inlineStr">
        <is>
          <t>Bit-rate</t>
        </is>
      </c>
      <c r="FC4" s="268" t="inlineStr">
        <is>
          <t>nVMAF</t>
        </is>
      </c>
      <c r="FD4" s="243" t="inlineStr">
        <is>
          <t>Bit-rate</t>
        </is>
      </c>
      <c r="FE4" s="243" t="inlineStr">
        <is>
          <t>Y</t>
        </is>
      </c>
      <c r="FF4" s="243" t="inlineStr">
        <is>
          <t>Y</t>
        </is>
      </c>
      <c r="FG4" s="243" t="inlineStr">
        <is>
          <t>U</t>
        </is>
      </c>
      <c r="FH4" s="243" t="inlineStr">
        <is>
          <t>V</t>
        </is>
      </c>
      <c r="FI4" s="15" t="inlineStr">
        <is>
          <t>YUV</t>
        </is>
      </c>
      <c r="FK4" s="16" t="inlineStr">
        <is>
          <t>Bit-rate</t>
        </is>
      </c>
      <c r="FL4" s="243">
        <f>BH4</f>
        <v/>
      </c>
      <c r="FM4" s="243" t="inlineStr">
        <is>
          <t>Bit-rate</t>
        </is>
      </c>
      <c r="FN4" s="15">
        <f>BJ4</f>
        <v/>
      </c>
      <c r="FP4" s="16" t="inlineStr">
        <is>
          <t>Bit-rate</t>
        </is>
      </c>
      <c r="FQ4" s="243" t="inlineStr">
        <is>
          <t>YUV PSNR</t>
        </is>
      </c>
      <c r="FR4" s="16" t="inlineStr">
        <is>
          <t>Bit-rate</t>
        </is>
      </c>
      <c r="FS4" s="243" t="inlineStr">
        <is>
          <t>YUV PSNR</t>
        </is>
      </c>
    </row>
    <row r="5">
      <c r="A5" s="237" t="inlineStr">
        <is>
          <t>3840x2160</t>
        </is>
      </c>
      <c r="B5" s="38" t="n">
        <v>110</v>
      </c>
      <c r="C5" s="140">
        <f>Anchor!L254</f>
        <v/>
      </c>
      <c r="D5" s="140">
        <f>Anchor!M254</f>
        <v/>
      </c>
      <c r="E5" s="140">
        <f>Anchor!N254</f>
        <v/>
      </c>
      <c r="F5" s="140">
        <f>Anchor!O254</f>
        <v/>
      </c>
      <c r="G5" s="141">
        <f>('Summary (Full)'!$B$34*D5+'Summary (Full)'!$B$35*E5+'Summary (Full)'!$B$36*F5)/'Summary (Full)'!$B$37</f>
        <v/>
      </c>
      <c r="H5" s="140">
        <f>Anchor!P254</f>
        <v/>
      </c>
      <c r="I5" s="140">
        <f>Anchor!Q254</f>
        <v/>
      </c>
      <c r="J5" s="140">
        <f>Anchor!R254</f>
        <v/>
      </c>
      <c r="K5" s="140">
        <f>Anchor!S254</f>
        <v/>
      </c>
      <c r="L5" s="140">
        <f>Anchor!T254</f>
        <v/>
      </c>
      <c r="M5" s="140">
        <f>Anchor!U254</f>
        <v/>
      </c>
      <c r="N5" s="140">
        <f>Anchor!V254</f>
        <v/>
      </c>
      <c r="O5" s="140">
        <f>Anchor!W254</f>
        <v/>
      </c>
      <c r="P5" s="140">
        <f>Anchor!X254</f>
        <v/>
      </c>
      <c r="Q5" s="142">
        <f>10*LOG10(1/(('Summary (Full)'!$B$41/10^(N5/10)+'Summary (Full)'!$B$42/10^(O5/10)+'Summary (Full)'!$B$43/10^(P5/10))/'Summary (Full)'!$B$44))</f>
        <v/>
      </c>
      <c r="R5" s="140">
        <f>Anchor!Y254</f>
        <v/>
      </c>
      <c r="S5" s="140">
        <f>Anchor!Z254</f>
        <v/>
      </c>
      <c r="U5" s="129">
        <f>Test!L254</f>
        <v/>
      </c>
      <c r="V5" s="129">
        <f>Test!M254</f>
        <v/>
      </c>
      <c r="W5" s="129">
        <f>Test!N254</f>
        <v/>
      </c>
      <c r="X5" s="129">
        <f>Test!O254</f>
        <v/>
      </c>
      <c r="Y5" s="129">
        <f>('Summary (Full)'!$B$34*V5+'Summary (Full)'!$B$35*W5+'Summary (Full)'!$B$36*X5)/'Summary (Full)'!$B$37</f>
        <v/>
      </c>
      <c r="Z5" s="129">
        <f>Test!P254</f>
        <v/>
      </c>
      <c r="AA5" s="129">
        <f>Test!Q254</f>
        <v/>
      </c>
      <c r="AB5" s="129">
        <f>Test!R254</f>
        <v/>
      </c>
      <c r="AC5" s="129">
        <f>Test!S254</f>
        <v/>
      </c>
      <c r="AD5" s="129">
        <f>Test!T254</f>
        <v/>
      </c>
      <c r="AE5" s="129">
        <f>Test!U254</f>
        <v/>
      </c>
      <c r="AF5" s="129">
        <f>Test!V254</f>
        <v/>
      </c>
      <c r="AG5" s="129">
        <f>Test!W254</f>
        <v/>
      </c>
      <c r="AH5" s="129">
        <f>Test!X254</f>
        <v/>
      </c>
      <c r="AI5" s="129">
        <f>10*LOG10(1/(('Summary (Full)'!$B$41/10^(AF5/10)+'Summary (Full)'!$B$42/10^(AG5/10)+'Summary (Full)'!$B$43/10^(AH5/10))/'Summary (Full)'!$B$44))</f>
        <v/>
      </c>
      <c r="AJ5" s="155">
        <f>Test!Y254</f>
        <v/>
      </c>
      <c r="AK5" s="152">
        <f>Test!Z254</f>
        <v/>
      </c>
      <c r="AL5" s="152">
        <f>AJ5/R5</f>
        <v/>
      </c>
      <c r="AM5" s="152">
        <f>AK5/S5</f>
        <v/>
      </c>
      <c r="AO5" s="244" t="inlineStr">
        <is>
          <t>High</t>
        </is>
      </c>
      <c r="AP5" s="180">
        <f t="array" ref="AP5">bdRateExtend($C5:$C8,D5:D8,$U5:$U8,V5:V8)</f>
        <v/>
      </c>
      <c r="AQ5" s="180">
        <f t="array" ref="AQ5">bdRateExtend($C5:$C10,D5:D10,$U5:$U10,V5:V10)</f>
        <v/>
      </c>
      <c r="AR5" s="180">
        <f t="array" ref="AR5">bdRateExtend($C5:$C10,E5:E10,$U5:$U10,W5:W10)</f>
        <v/>
      </c>
      <c r="AS5" s="180">
        <f t="array" ref="AS5">bdRateExtend($C5:$C10,F5:F10,$U5:$U10,X5:X10)</f>
        <v/>
      </c>
      <c r="AT5" s="180">
        <f t="array" ref="AT5">bdRateExtend($C5:$C8,H5:H8,$U5:$U8,Z5:Z8)</f>
        <v/>
      </c>
      <c r="AU5" s="180">
        <f t="array" ref="AU5">bdRateExtend($C5:$C10,H5:H10,$U5:$U10,Z5:Z10)</f>
        <v/>
      </c>
      <c r="AV5" s="180">
        <f t="array" ref="AV5">bdRateExtend($C5:$C8,I5:I8,$U5:$U8,AA5:AA8)</f>
        <v/>
      </c>
      <c r="AW5" s="180">
        <f t="array" ref="AW5">bdRateExtend($C5:$C10,I5:I10,$U5:$U10,AA5:AA10)</f>
        <v/>
      </c>
      <c r="AX5" s="180">
        <f t="array" ref="AX5">bdRateExtend($C5:$C8,J5:J8,$U5:$U8,AB5:AB8,"None", FALSE,1)</f>
        <v/>
      </c>
      <c r="AY5" s="184">
        <f t="array" ref="AY5">bdRateExtend($C5:$C10,J5:J10,$U5:$U10,AB5:AB10,"None", FALSE,1)</f>
        <v/>
      </c>
      <c r="AZ5" s="247">
        <f t="array" ref="AZ5">testVMAFRange($C5:$C8,J5:J8,$U5:$U8,AB5:AB8)</f>
        <v/>
      </c>
      <c r="BA5" s="198">
        <f t="array" ref="BA5">testVMAFRange($C5:$C10,J5:J10,$U5:$U10,AB5:AB10)</f>
        <v/>
      </c>
      <c r="CH5" s="5" t="n"/>
      <c r="CI5" s="11" t="inlineStr">
        <is>
          <t>Min</t>
        </is>
      </c>
      <c r="CJ5" s="10">
        <f t="array" ref="CJ5">MIN(IF(CL1:CL201&gt;0,CL1:CL201))</f>
        <v/>
      </c>
      <c r="CK5" s="5" t="n"/>
      <c r="CL5" s="261">
        <f t="array" ref="CL5">ConvexHullInterpolate(C5:C40,D5:D40,TRUE,6,'Summary (Full)'!B30,D5:S40)</f>
        <v/>
      </c>
      <c r="DE5" s="261">
        <f t="array" ref="DE5">ConvexHullInterpolate(C5:C40,H5:H40,TRUE,6,'Summary (Full)'!B30)</f>
        <v/>
      </c>
      <c r="DH5" s="261">
        <f t="array" ref="DH5">ConvexHullInterpolate($C5:$C40,I5:I40,TRUE,6,'Summary (Full)'!B30)</f>
        <v/>
      </c>
      <c r="DK5" s="261">
        <f t="array" ref="DK5">ConvexHullInterpolate($C5:$C40,J5:J40,TRUE,6,'Summary (Full)'!B30)</f>
        <v/>
      </c>
      <c r="DM5" s="261">
        <f t="array" ref="DM5">ConvexHullInterpolate($C5:$C40,K5:K40,TRUE,6,'Summary (Full)'!B30)</f>
        <v/>
      </c>
      <c r="DO5" s="261">
        <f t="array" ref="DO5">ConvexHullInterpolate($C5:$C40,L5:L40,TRUE,6,'Summary (Full)'!B30)</f>
        <v/>
      </c>
      <c r="DQ5" s="261">
        <f t="array" ref="DQ5">ConvexHullInterpolate($C5:$C40,M5:M40,TRUE,6,'Summary (Full)'!B30)</f>
        <v/>
      </c>
      <c r="DS5" s="261">
        <f t="array" ref="DS5">ConvexHullInterpolate($C5:$C40,N5:N40,TRUE,6,'Summary (Full)'!B30, N5:Q40)</f>
        <v/>
      </c>
      <c r="DZ5" s="261">
        <f t="array" ref="DZ5">ConvexHullInterpolate(U5:U40,V5:V40,TRUE,6,'Summary (Full)'!B30,V5:AK40)</f>
        <v/>
      </c>
      <c r="ER5" s="261">
        <f t="array" ref="ER5">ConvexHullInterpolate($U5:$U40,Z5:Z40,TRUE,6,'Summary (Full)'!B30)</f>
        <v/>
      </c>
      <c r="ET5" s="261">
        <f t="array" ref="ET5">ConvexHullInterpolate($U5:$U40,AA5:AA40,TRUE,6,'Summary (Full)'!B30)</f>
        <v/>
      </c>
      <c r="EV5" s="7">
        <f t="array" ref="EV5">ConvexHullInterpolate($U5:$U40,AB5:AB40,TRUE,6,'Summary (Full)'!B30)</f>
        <v/>
      </c>
      <c r="EW5" s="7" t="n"/>
      <c r="EX5" s="7">
        <f t="array" ref="EX5">ConvexHullInterpolate($U5:$U40,AC5:AC40,TRUE,6,'Summary (Full)'!B30)</f>
        <v/>
      </c>
      <c r="EY5" s="7" t="n"/>
      <c r="EZ5" s="7">
        <f t="array" ref="EZ5">ConvexHullInterpolate($U5:$U40,AD5:AD40,TRUE,6,'Summary (Full)'!B30)</f>
        <v/>
      </c>
      <c r="FA5" s="7" t="n"/>
      <c r="FB5" s="7">
        <f t="array" ref="FB5">ConvexHullInterpolate($U5:$U40,AE5:AE40,TRUE,6,'Summary (Full)'!B30)</f>
        <v/>
      </c>
      <c r="FC5" s="7" t="n"/>
      <c r="FD5" s="261">
        <f t="array" ref="FD5">ConvexHullInterpolate($U5:$U40,AF5:AF40,TRUE,6,'Summary (Full)'!B30, AF5:AI40)</f>
        <v/>
      </c>
      <c r="FK5" s="261">
        <f t="array" ref="FK5">ConvexHullInterpolate($C5:$C40,G5:G40,TRUE,6,'Summary (Full)'!B30)</f>
        <v/>
      </c>
      <c r="FM5" s="261">
        <f t="array" ref="FM5">ConvexHullInterpolate($C5:$C40,Q5:Q40,TRUE,6,'Summary (Full)'!B30)</f>
        <v/>
      </c>
      <c r="FP5" s="261">
        <f t="array" ref="FP5">ConvexHullInterpolate($U5:$U40,Y5:Y40,TRUE,6,'Summary (Full)'!B30)</f>
        <v/>
      </c>
      <c r="FR5" s="261">
        <f t="array" ref="FR5">ConvexHullInterpolate($U5:$U40,AI5:AI40,TRUE,6,'Summary (Full)'!B30)</f>
        <v/>
      </c>
    </row>
    <row r="6">
      <c r="A6" s="238" t="n"/>
      <c r="B6" s="38" t="n">
        <v>135</v>
      </c>
      <c r="C6" s="140">
        <f>Anchor!L255</f>
        <v/>
      </c>
      <c r="D6" s="140">
        <f>Anchor!M255</f>
        <v/>
      </c>
      <c r="E6" s="140">
        <f>Anchor!N255</f>
        <v/>
      </c>
      <c r="F6" s="140">
        <f>Anchor!O255</f>
        <v/>
      </c>
      <c r="G6" s="141">
        <f>('Summary (Full)'!$B$34*D6+'Summary (Full)'!$B$35*E6+'Summary (Full)'!$B$36*F6)/'Summary (Full)'!$B$37</f>
        <v/>
      </c>
      <c r="H6" s="140">
        <f>Anchor!P255</f>
        <v/>
      </c>
      <c r="I6" s="140">
        <f>Anchor!Q255</f>
        <v/>
      </c>
      <c r="J6" s="140">
        <f>Anchor!R255</f>
        <v/>
      </c>
      <c r="K6" s="140">
        <f>Anchor!S255</f>
        <v/>
      </c>
      <c r="L6" s="140">
        <f>Anchor!T255</f>
        <v/>
      </c>
      <c r="M6" s="140">
        <f>Anchor!U255</f>
        <v/>
      </c>
      <c r="N6" s="140">
        <f>Anchor!V255</f>
        <v/>
      </c>
      <c r="O6" s="140">
        <f>Anchor!W255</f>
        <v/>
      </c>
      <c r="P6" s="140">
        <f>Anchor!X255</f>
        <v/>
      </c>
      <c r="Q6" s="142">
        <f>10*LOG10(1/(('Summary (Full)'!$B$41/10^(N6/10)+'Summary (Full)'!$B$42/10^(O6/10)+'Summary (Full)'!$B$43/10^(P6/10))/'Summary (Full)'!$B$44))</f>
        <v/>
      </c>
      <c r="R6" s="140">
        <f>Anchor!Y255</f>
        <v/>
      </c>
      <c r="S6" s="140">
        <f>Anchor!Z255</f>
        <v/>
      </c>
      <c r="U6" s="129">
        <f>Test!L255</f>
        <v/>
      </c>
      <c r="V6" s="129">
        <f>Test!M255</f>
        <v/>
      </c>
      <c r="W6" s="129">
        <f>Test!N255</f>
        <v/>
      </c>
      <c r="X6" s="129">
        <f>Test!O255</f>
        <v/>
      </c>
      <c r="Y6" s="129">
        <f>('Summary (Full)'!$B$34*V6+'Summary (Full)'!$B$35*W6+'Summary (Full)'!$B$36*X6)/'Summary (Full)'!$B$37</f>
        <v/>
      </c>
      <c r="Z6" s="129">
        <f>Test!P255</f>
        <v/>
      </c>
      <c r="AA6" s="129">
        <f>Test!Q255</f>
        <v/>
      </c>
      <c r="AB6" s="129">
        <f>Test!R255</f>
        <v/>
      </c>
      <c r="AC6" s="129">
        <f>Test!S255</f>
        <v/>
      </c>
      <c r="AD6" s="129">
        <f>Test!T255</f>
        <v/>
      </c>
      <c r="AE6" s="129">
        <f>Test!U255</f>
        <v/>
      </c>
      <c r="AF6" s="129">
        <f>Test!V255</f>
        <v/>
      </c>
      <c r="AG6" s="129">
        <f>Test!W255</f>
        <v/>
      </c>
      <c r="AH6" s="129">
        <f>Test!X255</f>
        <v/>
      </c>
      <c r="AI6" s="129">
        <f>10*LOG10(1/(('Summary (Full)'!$B$41/10^(AF6/10)+'Summary (Full)'!$B$42/10^(AG6/10)+'Summary (Full)'!$B$43/10^(AH6/10))/'Summary (Full)'!$B$44))</f>
        <v/>
      </c>
      <c r="AJ6" s="155">
        <f>Test!Y255</f>
        <v/>
      </c>
      <c r="AK6" s="152">
        <f>Test!Z255</f>
        <v/>
      </c>
      <c r="AL6" s="152">
        <f>AJ6/R6</f>
        <v/>
      </c>
      <c r="AM6" s="152">
        <f>AK6/S6</f>
        <v/>
      </c>
      <c r="AO6" s="196" t="n"/>
      <c r="AP6" s="179" t="n"/>
      <c r="AQ6" s="178" t="n"/>
      <c r="AR6" s="178" t="n"/>
      <c r="AS6" s="178" t="n"/>
      <c r="AT6" s="179" t="n"/>
      <c r="AU6" s="178" t="n"/>
      <c r="AV6" s="179" t="n"/>
      <c r="AW6" s="178" t="n"/>
      <c r="AX6" s="179" t="n"/>
      <c r="AY6" s="185" t="n"/>
      <c r="AZ6" s="179" t="n"/>
      <c r="BA6" s="185" t="n"/>
      <c r="CH6" s="5" t="n"/>
      <c r="CI6" s="11" t="inlineStr">
        <is>
          <t>Max</t>
        </is>
      </c>
      <c r="CJ6" s="10">
        <f>MAX(CL1:CL201)</f>
        <v/>
      </c>
      <c r="CK6" s="5" t="n"/>
      <c r="EV6" s="7" t="n"/>
      <c r="EW6" s="7" t="n"/>
      <c r="EX6" s="7" t="n"/>
      <c r="EY6" s="7" t="n"/>
      <c r="EZ6" s="7" t="n"/>
      <c r="FA6" s="7" t="n"/>
      <c r="FB6" s="7" t="n"/>
      <c r="FC6" s="7" t="n"/>
    </row>
    <row r="7">
      <c r="A7" s="238" t="n"/>
      <c r="B7" s="38" t="n">
        <v>160</v>
      </c>
      <c r="C7" s="140">
        <f>Anchor!L256</f>
        <v/>
      </c>
      <c r="D7" s="140">
        <f>Anchor!M256</f>
        <v/>
      </c>
      <c r="E7" s="140">
        <f>Anchor!N256</f>
        <v/>
      </c>
      <c r="F7" s="140">
        <f>Anchor!O256</f>
        <v/>
      </c>
      <c r="G7" s="141">
        <f>('Summary (Full)'!$B$34*D7+'Summary (Full)'!$B$35*E7+'Summary (Full)'!$B$36*F7)/'Summary (Full)'!$B$37</f>
        <v/>
      </c>
      <c r="H7" s="140">
        <f>Anchor!P256</f>
        <v/>
      </c>
      <c r="I7" s="140">
        <f>Anchor!Q256</f>
        <v/>
      </c>
      <c r="J7" s="140">
        <f>Anchor!R256</f>
        <v/>
      </c>
      <c r="K7" s="140">
        <f>Anchor!S256</f>
        <v/>
      </c>
      <c r="L7" s="140">
        <f>Anchor!T256</f>
        <v/>
      </c>
      <c r="M7" s="140">
        <f>Anchor!U256</f>
        <v/>
      </c>
      <c r="N7" s="140">
        <f>Anchor!V256</f>
        <v/>
      </c>
      <c r="O7" s="140">
        <f>Anchor!W256</f>
        <v/>
      </c>
      <c r="P7" s="140">
        <f>Anchor!X256</f>
        <v/>
      </c>
      <c r="Q7" s="142">
        <f>10*LOG10(1/(('Summary (Full)'!$B$41/10^(N7/10)+'Summary (Full)'!$B$42/10^(O7/10)+'Summary (Full)'!$B$43/10^(P7/10))/'Summary (Full)'!$B$44))</f>
        <v/>
      </c>
      <c r="R7" s="140">
        <f>Anchor!Y256</f>
        <v/>
      </c>
      <c r="S7" s="140">
        <f>Anchor!Z256</f>
        <v/>
      </c>
      <c r="U7" s="129">
        <f>Test!L256</f>
        <v/>
      </c>
      <c r="V7" s="129">
        <f>Test!M256</f>
        <v/>
      </c>
      <c r="W7" s="129">
        <f>Test!N256</f>
        <v/>
      </c>
      <c r="X7" s="129">
        <f>Test!O256</f>
        <v/>
      </c>
      <c r="Y7" s="129">
        <f>('Summary (Full)'!$B$34*V7+'Summary (Full)'!$B$35*W7+'Summary (Full)'!$B$36*X7)/'Summary (Full)'!$B$37</f>
        <v/>
      </c>
      <c r="Z7" s="129">
        <f>Test!P256</f>
        <v/>
      </c>
      <c r="AA7" s="129">
        <f>Test!Q256</f>
        <v/>
      </c>
      <c r="AB7" s="129">
        <f>Test!R256</f>
        <v/>
      </c>
      <c r="AC7" s="129">
        <f>Test!S256</f>
        <v/>
      </c>
      <c r="AD7" s="129">
        <f>Test!T256</f>
        <v/>
      </c>
      <c r="AE7" s="129">
        <f>Test!U256</f>
        <v/>
      </c>
      <c r="AF7" s="129">
        <f>Test!V256</f>
        <v/>
      </c>
      <c r="AG7" s="129">
        <f>Test!W256</f>
        <v/>
      </c>
      <c r="AH7" s="129">
        <f>Test!X256</f>
        <v/>
      </c>
      <c r="AI7" s="129">
        <f>10*LOG10(1/(('Summary (Full)'!$B$41/10^(AF7/10)+'Summary (Full)'!$B$42/10^(AG7/10)+'Summary (Full)'!$B$43/10^(AH7/10))/'Summary (Full)'!$B$44))</f>
        <v/>
      </c>
      <c r="AJ7" s="155">
        <f>Test!Y256</f>
        <v/>
      </c>
      <c r="AK7" s="152">
        <f>Test!Z256</f>
        <v/>
      </c>
      <c r="AL7" s="152">
        <f>AJ7/R7</f>
        <v/>
      </c>
      <c r="AM7" s="152">
        <f>AK7/S7</f>
        <v/>
      </c>
      <c r="AO7" s="257" t="inlineStr">
        <is>
          <t>Med</t>
        </is>
      </c>
      <c r="AP7" s="177">
        <f t="array" ref="AP7">bdRateExtend($C6:$C9,D6:D9,$U6:$U9,V6:V9)</f>
        <v/>
      </c>
      <c r="AQ7" s="178" t="n"/>
      <c r="AR7" s="178" t="n"/>
      <c r="AS7" s="178" t="n"/>
      <c r="AT7" s="177">
        <f t="array" ref="AT7">bdRateExtend($C6:$C9,H6:H9,$U6:$U9,Z6:Z9)</f>
        <v/>
      </c>
      <c r="AU7" s="178" t="n"/>
      <c r="AV7" s="177">
        <f t="array" ref="AV7">bdRateExtend($C6:$C9,I6:I9,$U6:$U9,AA6:AA9)</f>
        <v/>
      </c>
      <c r="AW7" s="178" t="n"/>
      <c r="AX7" s="177">
        <f t="array" ref="AX7">bdRateExtend($C6:$C9,J6:J9,$U6:$U9,AB6:AB9,"None", FALSE,1)</f>
        <v/>
      </c>
      <c r="AY7" s="185" t="n"/>
      <c r="AZ7" s="246">
        <f t="array" ref="AZ7">testVMAFRange($C6:$C9,J6:J9,$U6:$U9,AB6:AB9)</f>
        <v/>
      </c>
      <c r="BA7" s="185" t="n"/>
      <c r="CH7" s="5" t="n"/>
      <c r="CI7" s="11" t="inlineStr">
        <is>
          <t>delta</t>
        </is>
      </c>
      <c r="CJ7" s="10">
        <f>CJ6-CJ5</f>
        <v/>
      </c>
      <c r="CK7" s="5" t="n"/>
      <c r="EV7" s="7" t="n"/>
      <c r="EW7" s="7" t="n"/>
      <c r="EX7" s="7" t="n"/>
      <c r="EY7" s="7" t="n"/>
      <c r="EZ7" s="7" t="n"/>
      <c r="FA7" s="7" t="n"/>
      <c r="FB7" s="7" t="n"/>
      <c r="FC7" s="7" t="n"/>
    </row>
    <row r="8">
      <c r="A8" s="238" t="n"/>
      <c r="B8" s="38" t="n">
        <v>185</v>
      </c>
      <c r="C8" s="140">
        <f>Anchor!L257</f>
        <v/>
      </c>
      <c r="D8" s="140">
        <f>Anchor!M257</f>
        <v/>
      </c>
      <c r="E8" s="140">
        <f>Anchor!N257</f>
        <v/>
      </c>
      <c r="F8" s="140">
        <f>Anchor!O257</f>
        <v/>
      </c>
      <c r="G8" s="141">
        <f>('Summary (Full)'!$B$34*D8+'Summary (Full)'!$B$35*E8+'Summary (Full)'!$B$36*F8)/'Summary (Full)'!$B$37</f>
        <v/>
      </c>
      <c r="H8" s="140">
        <f>Anchor!P257</f>
        <v/>
      </c>
      <c r="I8" s="140">
        <f>Anchor!Q257</f>
        <v/>
      </c>
      <c r="J8" s="140">
        <f>Anchor!R257</f>
        <v/>
      </c>
      <c r="K8" s="140">
        <f>Anchor!S257</f>
        <v/>
      </c>
      <c r="L8" s="140">
        <f>Anchor!T257</f>
        <v/>
      </c>
      <c r="M8" s="140">
        <f>Anchor!U257</f>
        <v/>
      </c>
      <c r="N8" s="140">
        <f>Anchor!V257</f>
        <v/>
      </c>
      <c r="O8" s="140">
        <f>Anchor!W257</f>
        <v/>
      </c>
      <c r="P8" s="140">
        <f>Anchor!X257</f>
        <v/>
      </c>
      <c r="Q8" s="142">
        <f>10*LOG10(1/(('Summary (Full)'!$B$41/10^(N8/10)+'Summary (Full)'!$B$42/10^(O8/10)+'Summary (Full)'!$B$43/10^(P8/10))/'Summary (Full)'!$B$44))</f>
        <v/>
      </c>
      <c r="R8" s="140">
        <f>Anchor!Y257</f>
        <v/>
      </c>
      <c r="S8" s="140">
        <f>Anchor!Z257</f>
        <v/>
      </c>
      <c r="U8" s="129">
        <f>Test!L257</f>
        <v/>
      </c>
      <c r="V8" s="129">
        <f>Test!M257</f>
        <v/>
      </c>
      <c r="W8" s="129">
        <f>Test!N257</f>
        <v/>
      </c>
      <c r="X8" s="129">
        <f>Test!O257</f>
        <v/>
      </c>
      <c r="Y8" s="129">
        <f>('Summary (Full)'!$B$34*V8+'Summary (Full)'!$B$35*W8+'Summary (Full)'!$B$36*X8)/'Summary (Full)'!$B$37</f>
        <v/>
      </c>
      <c r="Z8" s="129">
        <f>Test!P257</f>
        <v/>
      </c>
      <c r="AA8" s="129">
        <f>Test!Q257</f>
        <v/>
      </c>
      <c r="AB8" s="129">
        <f>Test!R257</f>
        <v/>
      </c>
      <c r="AC8" s="129">
        <f>Test!S257</f>
        <v/>
      </c>
      <c r="AD8" s="129">
        <f>Test!T257</f>
        <v/>
      </c>
      <c r="AE8" s="129">
        <f>Test!U257</f>
        <v/>
      </c>
      <c r="AF8" s="129">
        <f>Test!V257</f>
        <v/>
      </c>
      <c r="AG8" s="129">
        <f>Test!W257</f>
        <v/>
      </c>
      <c r="AH8" s="129">
        <f>Test!X257</f>
        <v/>
      </c>
      <c r="AI8" s="129">
        <f>10*LOG10(1/(('Summary (Full)'!$B$41/10^(AF8/10)+'Summary (Full)'!$B$42/10^(AG8/10)+'Summary (Full)'!$B$43/10^(AH8/10))/'Summary (Full)'!$B$44))</f>
        <v/>
      </c>
      <c r="AJ8" s="155">
        <f>Test!Y257</f>
        <v/>
      </c>
      <c r="AK8" s="152">
        <f>Test!Z257</f>
        <v/>
      </c>
      <c r="AL8" s="152">
        <f>AJ8/R8</f>
        <v/>
      </c>
      <c r="AM8" s="152">
        <f>AK8/S8</f>
        <v/>
      </c>
      <c r="AO8" s="196" t="n"/>
      <c r="AP8" s="179" t="n"/>
      <c r="AQ8" s="178" t="n"/>
      <c r="AR8" s="178" t="n"/>
      <c r="AS8" s="178" t="n"/>
      <c r="AT8" s="179" t="n"/>
      <c r="AU8" s="178" t="n"/>
      <c r="AV8" s="179" t="n"/>
      <c r="AW8" s="178" t="n"/>
      <c r="AX8" s="179" t="n"/>
      <c r="AY8" s="185" t="n"/>
      <c r="AZ8" s="179" t="n"/>
      <c r="BA8" s="185" t="n"/>
      <c r="CH8" s="5" t="n"/>
      <c r="CI8" s="11" t="inlineStr">
        <is>
          <t>delta^(3/4)</t>
        </is>
      </c>
      <c r="CJ8" s="10">
        <f>CJ7^(3/4)</f>
        <v/>
      </c>
      <c r="CK8" s="5" t="n"/>
      <c r="EV8" s="7" t="n"/>
      <c r="EW8" s="7" t="n"/>
      <c r="EX8" s="7" t="n"/>
      <c r="EY8" s="7" t="n"/>
      <c r="EZ8" s="7" t="n"/>
      <c r="FA8" s="7" t="n"/>
      <c r="FB8" s="7" t="n"/>
      <c r="FC8" s="7" t="n"/>
    </row>
    <row r="9">
      <c r="A9" s="238" t="n"/>
      <c r="B9" s="38" t="n">
        <v>210</v>
      </c>
      <c r="C9" s="140">
        <f>Anchor!L258</f>
        <v/>
      </c>
      <c r="D9" s="140">
        <f>Anchor!M258</f>
        <v/>
      </c>
      <c r="E9" s="140">
        <f>Anchor!N258</f>
        <v/>
      </c>
      <c r="F9" s="140">
        <f>Anchor!O258</f>
        <v/>
      </c>
      <c r="G9" s="141">
        <f>('Summary (Full)'!$B$34*D9+'Summary (Full)'!$B$35*E9+'Summary (Full)'!$B$36*F9)/'Summary (Full)'!$B$37</f>
        <v/>
      </c>
      <c r="H9" s="140">
        <f>Anchor!P258</f>
        <v/>
      </c>
      <c r="I9" s="140">
        <f>Anchor!Q258</f>
        <v/>
      </c>
      <c r="J9" s="140">
        <f>Anchor!R258</f>
        <v/>
      </c>
      <c r="K9" s="140">
        <f>Anchor!S258</f>
        <v/>
      </c>
      <c r="L9" s="140">
        <f>Anchor!T258</f>
        <v/>
      </c>
      <c r="M9" s="140">
        <f>Anchor!U258</f>
        <v/>
      </c>
      <c r="N9" s="140">
        <f>Anchor!V258</f>
        <v/>
      </c>
      <c r="O9" s="140">
        <f>Anchor!W258</f>
        <v/>
      </c>
      <c r="P9" s="140">
        <f>Anchor!X258</f>
        <v/>
      </c>
      <c r="Q9" s="142">
        <f>10*LOG10(1/(('Summary (Full)'!$B$41/10^(N9/10)+'Summary (Full)'!$B$42/10^(O9/10)+'Summary (Full)'!$B$43/10^(P9/10))/'Summary (Full)'!$B$44))</f>
        <v/>
      </c>
      <c r="R9" s="140">
        <f>Anchor!Y258</f>
        <v/>
      </c>
      <c r="S9" s="140">
        <f>Anchor!Z258</f>
        <v/>
      </c>
      <c r="U9" s="129">
        <f>Test!L258</f>
        <v/>
      </c>
      <c r="V9" s="129">
        <f>Test!M258</f>
        <v/>
      </c>
      <c r="W9" s="129">
        <f>Test!N258</f>
        <v/>
      </c>
      <c r="X9" s="129">
        <f>Test!O258</f>
        <v/>
      </c>
      <c r="Y9" s="129">
        <f>('Summary (Full)'!$B$34*V9+'Summary (Full)'!$B$35*W9+'Summary (Full)'!$B$36*X9)/'Summary (Full)'!$B$37</f>
        <v/>
      </c>
      <c r="Z9" s="129">
        <f>Test!P258</f>
        <v/>
      </c>
      <c r="AA9" s="129">
        <f>Test!Q258</f>
        <v/>
      </c>
      <c r="AB9" s="129">
        <f>Test!R258</f>
        <v/>
      </c>
      <c r="AC9" s="129">
        <f>Test!S258</f>
        <v/>
      </c>
      <c r="AD9" s="129">
        <f>Test!T258</f>
        <v/>
      </c>
      <c r="AE9" s="129">
        <f>Test!U258</f>
        <v/>
      </c>
      <c r="AF9" s="129">
        <f>Test!V258</f>
        <v/>
      </c>
      <c r="AG9" s="129">
        <f>Test!W258</f>
        <v/>
      </c>
      <c r="AH9" s="129">
        <f>Test!X258</f>
        <v/>
      </c>
      <c r="AI9" s="129">
        <f>10*LOG10(1/(('Summary (Full)'!$B$41/10^(AF9/10)+'Summary (Full)'!$B$42/10^(AG9/10)+'Summary (Full)'!$B$43/10^(AH9/10))/'Summary (Full)'!$B$44))</f>
        <v/>
      </c>
      <c r="AJ9" s="155">
        <f>Test!Y258</f>
        <v/>
      </c>
      <c r="AK9" s="152">
        <f>Test!Z258</f>
        <v/>
      </c>
      <c r="AL9" s="152">
        <f>AJ9/R9</f>
        <v/>
      </c>
      <c r="AM9" s="152">
        <f>AK9/S9</f>
        <v/>
      </c>
      <c r="AO9" s="257" t="inlineStr">
        <is>
          <t>Low</t>
        </is>
      </c>
      <c r="AP9" s="177">
        <f t="array" ref="AP9">bdRateExtend($C7:$C10,D7:D10,$U7:$U10,V7:V10)</f>
        <v/>
      </c>
      <c r="AQ9" s="178" t="n"/>
      <c r="AR9" s="178" t="n"/>
      <c r="AS9" s="178" t="n"/>
      <c r="AT9" s="177">
        <f t="array" ref="AT9">bdRateExtend($C7:$C10,H7:H10,$U7:$U10,Z7:Z10)</f>
        <v/>
      </c>
      <c r="AU9" s="178" t="n"/>
      <c r="AV9" s="177">
        <f t="array" ref="AV9">bdRateExtend($C7:$C10,I7:I10,$U7:$U10,AA7:AA10)</f>
        <v/>
      </c>
      <c r="AW9" s="178" t="n"/>
      <c r="AX9" s="177">
        <f t="array" ref="AX9">bdRateExtend($C7:$C10,J7:J10,$U7:$U10,AB7:AB10,"None", FALSE,1)</f>
        <v/>
      </c>
      <c r="AY9" s="185" t="n"/>
      <c r="AZ9" s="246">
        <f t="array" ref="AZ9">testVMAFRange($C7:$C10,J7:J10,$U7:$U10,AB7:AB10)</f>
        <v/>
      </c>
      <c r="BA9" s="185" t="n"/>
      <c r="CH9" s="5" t="n"/>
      <c r="CI9" s="11" t="inlineStr">
        <is>
          <t>delta^(1/2)</t>
        </is>
      </c>
      <c r="CJ9" s="10">
        <f>CJ7^(1/2)</f>
        <v/>
      </c>
      <c r="CK9" s="5" t="n"/>
      <c r="EV9" s="7" t="n"/>
      <c r="EW9" s="7" t="n"/>
      <c r="EX9" s="7" t="n"/>
      <c r="EY9" s="7" t="n"/>
      <c r="EZ9" s="7" t="n"/>
      <c r="FA9" s="7" t="n"/>
      <c r="FB9" s="7" t="n"/>
      <c r="FC9" s="7" t="n"/>
    </row>
    <row r="10" ht="14" customHeight="1" s="241" thickBot="1">
      <c r="A10" s="239" t="n"/>
      <c r="B10" s="38" t="n">
        <v>235</v>
      </c>
      <c r="C10" s="140">
        <f>Anchor!L259</f>
        <v/>
      </c>
      <c r="D10" s="140">
        <f>Anchor!M259</f>
        <v/>
      </c>
      <c r="E10" s="140">
        <f>Anchor!N259</f>
        <v/>
      </c>
      <c r="F10" s="140">
        <f>Anchor!O259</f>
        <v/>
      </c>
      <c r="G10" s="141">
        <f>('Summary (Full)'!$B$34*D10+'Summary (Full)'!$B$35*E10+'Summary (Full)'!$B$36*F10)/'Summary (Full)'!$B$37</f>
        <v/>
      </c>
      <c r="H10" s="140">
        <f>Anchor!P259</f>
        <v/>
      </c>
      <c r="I10" s="140">
        <f>Anchor!Q259</f>
        <v/>
      </c>
      <c r="J10" s="140">
        <f>Anchor!R259</f>
        <v/>
      </c>
      <c r="K10" s="140">
        <f>Anchor!S259</f>
        <v/>
      </c>
      <c r="L10" s="140">
        <f>Anchor!T259</f>
        <v/>
      </c>
      <c r="M10" s="140">
        <f>Anchor!U259</f>
        <v/>
      </c>
      <c r="N10" s="140">
        <f>Anchor!V259</f>
        <v/>
      </c>
      <c r="O10" s="140">
        <f>Anchor!W259</f>
        <v/>
      </c>
      <c r="P10" s="140">
        <f>Anchor!X259</f>
        <v/>
      </c>
      <c r="Q10" s="142">
        <f>10*LOG10(1/(('Summary (Full)'!$B$41/10^(N10/10)+'Summary (Full)'!$B$42/10^(O10/10)+'Summary (Full)'!$B$43/10^(P10/10))/'Summary (Full)'!$B$44))</f>
        <v/>
      </c>
      <c r="R10" s="140">
        <f>Anchor!Y259</f>
        <v/>
      </c>
      <c r="S10" s="140">
        <f>Anchor!Z259</f>
        <v/>
      </c>
      <c r="U10" s="129">
        <f>Test!L259</f>
        <v/>
      </c>
      <c r="V10" s="129">
        <f>Test!M259</f>
        <v/>
      </c>
      <c r="W10" s="129">
        <f>Test!N259</f>
        <v/>
      </c>
      <c r="X10" s="129">
        <f>Test!O259</f>
        <v/>
      </c>
      <c r="Y10" s="129">
        <f>('Summary (Full)'!$B$34*V10+'Summary (Full)'!$B$35*W10+'Summary (Full)'!$B$36*X10)/'Summary (Full)'!$B$37</f>
        <v/>
      </c>
      <c r="Z10" s="129">
        <f>Test!P259</f>
        <v/>
      </c>
      <c r="AA10" s="129">
        <f>Test!Q259</f>
        <v/>
      </c>
      <c r="AB10" s="129">
        <f>Test!R259</f>
        <v/>
      </c>
      <c r="AC10" s="129">
        <f>Test!S259</f>
        <v/>
      </c>
      <c r="AD10" s="129">
        <f>Test!T259</f>
        <v/>
      </c>
      <c r="AE10" s="129">
        <f>Test!U259</f>
        <v/>
      </c>
      <c r="AF10" s="129">
        <f>Test!V259</f>
        <v/>
      </c>
      <c r="AG10" s="129">
        <f>Test!W259</f>
        <v/>
      </c>
      <c r="AH10" s="129">
        <f>Test!X259</f>
        <v/>
      </c>
      <c r="AI10" s="129">
        <f>10*LOG10(1/(('Summary (Full)'!$B$41/10^(AF10/10)+'Summary (Full)'!$B$42/10^(AG10/10)+'Summary (Full)'!$B$43/10^(AH10/10))/'Summary (Full)'!$B$44))</f>
        <v/>
      </c>
      <c r="AJ10" s="155">
        <f>Test!Y259</f>
        <v/>
      </c>
      <c r="AK10" s="152">
        <f>Test!Z259</f>
        <v/>
      </c>
      <c r="AL10" s="152">
        <f>AJ10/R10</f>
        <v/>
      </c>
      <c r="AM10" s="152">
        <f>AK10/S10</f>
        <v/>
      </c>
      <c r="AO10" s="196" t="n"/>
      <c r="AP10" s="179" t="n"/>
      <c r="AQ10" s="179" t="n"/>
      <c r="AR10" s="179" t="n"/>
      <c r="AS10" s="179" t="n"/>
      <c r="AT10" s="179" t="n"/>
      <c r="AU10" s="179" t="n"/>
      <c r="AV10" s="179" t="n"/>
      <c r="AW10" s="179" t="n"/>
      <c r="AX10" s="179" t="n"/>
      <c r="AY10" s="186" t="n"/>
      <c r="AZ10" s="179" t="n"/>
      <c r="BA10" s="186" t="n"/>
      <c r="CH10" s="5" t="n"/>
      <c r="CI10" s="11" t="inlineStr">
        <is>
          <t>min+delta^1/2</t>
        </is>
      </c>
      <c r="CJ10" s="10">
        <f>CJ5+CJ9</f>
        <v/>
      </c>
      <c r="CK10" s="5" t="n"/>
      <c r="EV10" s="7" t="n"/>
      <c r="EW10" s="7" t="n"/>
      <c r="EX10" s="7" t="n"/>
      <c r="EY10" s="7" t="n"/>
      <c r="EZ10" s="7" t="n"/>
      <c r="FA10" s="7" t="n"/>
      <c r="FB10" s="7" t="n"/>
      <c r="FC10" s="7" t="n"/>
    </row>
    <row r="11">
      <c r="A11" s="237" t="inlineStr">
        <is>
          <t>2560x1440</t>
        </is>
      </c>
      <c r="B11" s="38" t="n">
        <v>110</v>
      </c>
      <c r="C11" s="140">
        <f>Anchor!L260</f>
        <v/>
      </c>
      <c r="D11" s="140">
        <f>Anchor!M260</f>
        <v/>
      </c>
      <c r="E11" s="140">
        <f>Anchor!N260</f>
        <v/>
      </c>
      <c r="F11" s="140">
        <f>Anchor!O260</f>
        <v/>
      </c>
      <c r="G11" s="141">
        <f>('Summary (Full)'!$B$34*D11+'Summary (Full)'!$B$35*E11+'Summary (Full)'!$B$36*F11)/'Summary (Full)'!$B$37</f>
        <v/>
      </c>
      <c r="H11" s="140">
        <f>Anchor!P260</f>
        <v/>
      </c>
      <c r="I11" s="140">
        <f>Anchor!Q260</f>
        <v/>
      </c>
      <c r="J11" s="140">
        <f>Anchor!R260</f>
        <v/>
      </c>
      <c r="K11" s="140">
        <f>Anchor!S260</f>
        <v/>
      </c>
      <c r="L11" s="140">
        <f>Anchor!T260</f>
        <v/>
      </c>
      <c r="M11" s="140">
        <f>Anchor!U260</f>
        <v/>
      </c>
      <c r="N11" s="140">
        <f>Anchor!V260</f>
        <v/>
      </c>
      <c r="O11" s="140">
        <f>Anchor!W260</f>
        <v/>
      </c>
      <c r="P11" s="140">
        <f>Anchor!X260</f>
        <v/>
      </c>
      <c r="Q11" s="142">
        <f>10*LOG10(1/(('Summary (Full)'!$B$41/10^(N11/10)+'Summary (Full)'!$B$42/10^(O11/10)+'Summary (Full)'!$B$43/10^(P11/10))/'Summary (Full)'!$B$44))</f>
        <v/>
      </c>
      <c r="R11" s="140">
        <f>Anchor!Y260</f>
        <v/>
      </c>
      <c r="S11" s="140">
        <f>Anchor!Z260</f>
        <v/>
      </c>
      <c r="U11" s="129">
        <f>Test!L260</f>
        <v/>
      </c>
      <c r="V11" s="129">
        <f>Test!M260</f>
        <v/>
      </c>
      <c r="W11" s="129">
        <f>Test!N260</f>
        <v/>
      </c>
      <c r="X11" s="129">
        <f>Test!O260</f>
        <v/>
      </c>
      <c r="Y11" s="129">
        <f>('Summary (Full)'!$B$34*V11+'Summary (Full)'!$B$35*W11+'Summary (Full)'!$B$36*X11)/'Summary (Full)'!$B$37</f>
        <v/>
      </c>
      <c r="Z11" s="129">
        <f>Test!P260</f>
        <v/>
      </c>
      <c r="AA11" s="129">
        <f>Test!Q260</f>
        <v/>
      </c>
      <c r="AB11" s="129">
        <f>Test!R260</f>
        <v/>
      </c>
      <c r="AC11" s="129">
        <f>Test!S260</f>
        <v/>
      </c>
      <c r="AD11" s="129">
        <f>Test!T260</f>
        <v/>
      </c>
      <c r="AE11" s="129">
        <f>Test!U260</f>
        <v/>
      </c>
      <c r="AF11" s="129">
        <f>Test!V260</f>
        <v/>
      </c>
      <c r="AG11" s="129">
        <f>Test!W260</f>
        <v/>
      </c>
      <c r="AH11" s="129">
        <f>Test!X260</f>
        <v/>
      </c>
      <c r="AI11" s="129">
        <f>10*LOG10(1/(('Summary (Full)'!$B$41/10^(AF11/10)+'Summary (Full)'!$B$42/10^(AG11/10)+'Summary (Full)'!$B$43/10^(AH11/10))/'Summary (Full)'!$B$44))</f>
        <v/>
      </c>
      <c r="AJ11" s="155">
        <f>Test!Y260</f>
        <v/>
      </c>
      <c r="AK11" s="152">
        <f>Test!Z260</f>
        <v/>
      </c>
      <c r="AL11" s="152">
        <f>AJ11/R11</f>
        <v/>
      </c>
      <c r="AM11" s="152">
        <f>AK11/S11</f>
        <v/>
      </c>
      <c r="AO11" s="244" t="inlineStr">
        <is>
          <t>High</t>
        </is>
      </c>
      <c r="AP11" s="180">
        <f t="array" ref="AP11">bdRateExtend($C11:$C14,D11:D14,$U11:$U14,V11:V14)</f>
        <v/>
      </c>
      <c r="AQ11" s="180">
        <f t="array" ref="AQ11">bdRateExtend($C11:$C16,D11:D16,$U11:$U16,V11:V16)</f>
        <v/>
      </c>
      <c r="AR11" s="180">
        <f t="array" ref="AR11">bdRateExtend($C11:$C16,E11:E16,$U11:$U16,W11:W16)</f>
        <v/>
      </c>
      <c r="AS11" s="180">
        <f t="array" ref="AS11">bdRateExtend($C11:$C16,F11:F16,$U11:$U16,X11:X16)</f>
        <v/>
      </c>
      <c r="AT11" s="180">
        <f t="array" ref="AT11">bdRateExtend($C11:$C14,H11:H14,$U11:$U14,Z11:Z14)</f>
        <v/>
      </c>
      <c r="AU11" s="180">
        <f t="array" ref="AU11">bdRateExtend($C11:$C16,H11:H16,$U11:$U16,Z11:Z16)</f>
        <v/>
      </c>
      <c r="AV11" s="180">
        <f t="array" ref="AV11">bdRateExtend($C11:$C14,I11:I14,$U11:$U14,AA11:AA14)</f>
        <v/>
      </c>
      <c r="AW11" s="180">
        <f t="array" ref="AW11">bdRateExtend($C11:$C16,I11:I16,$U11:$U16,AA11:AA16)</f>
        <v/>
      </c>
      <c r="AX11" s="180">
        <f t="array" ref="AX11">bdRateExtend($C11:$C14,J11:J14,$U11:$U14,AB11:AB14,"None", FALSE,1)</f>
        <v/>
      </c>
      <c r="AY11" s="184">
        <f t="array" ref="AY11">bdRateExtend($C11:$C16,J11:J16,$U11:$U16,AB11:AB16,"None", FALSE,TRUE)</f>
        <v/>
      </c>
      <c r="AZ11" s="247">
        <f t="array" ref="AZ11">testVMAFRange($C11:$C14,J11:J14,$U11:$U14,AB11:AB14)</f>
        <v/>
      </c>
      <c r="BA11" s="198">
        <f t="array" ref="BA11">testVMAFRange($C11:$C16,J11:J16,$U11:$U16,AB11:AB16)</f>
        <v/>
      </c>
      <c r="CI11" s="11" t="inlineStr">
        <is>
          <t>min+delta^3/4</t>
        </is>
      </c>
      <c r="CJ11" s="10">
        <f>CJ5+CJ8</f>
        <v/>
      </c>
      <c r="CK11" s="5" t="n"/>
      <c r="EV11" s="7" t="n"/>
      <c r="EW11" s="7" t="n"/>
      <c r="EX11" s="7" t="n"/>
      <c r="EY11" s="7" t="n"/>
      <c r="EZ11" s="7" t="n"/>
      <c r="FA11" s="7" t="n"/>
      <c r="FB11" s="7" t="n"/>
      <c r="FC11" s="7" t="n"/>
    </row>
    <row r="12">
      <c r="A12" s="238" t="n"/>
      <c r="B12" s="38" t="n">
        <v>135</v>
      </c>
      <c r="C12" s="140">
        <f>Anchor!L261</f>
        <v/>
      </c>
      <c r="D12" s="140">
        <f>Anchor!M261</f>
        <v/>
      </c>
      <c r="E12" s="140">
        <f>Anchor!N261</f>
        <v/>
      </c>
      <c r="F12" s="140">
        <f>Anchor!O261</f>
        <v/>
      </c>
      <c r="G12" s="141">
        <f>('Summary (Full)'!$B$34*D12+'Summary (Full)'!$B$35*E12+'Summary (Full)'!$B$36*F12)/'Summary (Full)'!$B$37</f>
        <v/>
      </c>
      <c r="H12" s="140">
        <f>Anchor!P261</f>
        <v/>
      </c>
      <c r="I12" s="140">
        <f>Anchor!Q261</f>
        <v/>
      </c>
      <c r="J12" s="140">
        <f>Anchor!R261</f>
        <v/>
      </c>
      <c r="K12" s="140">
        <f>Anchor!S261</f>
        <v/>
      </c>
      <c r="L12" s="140">
        <f>Anchor!T261</f>
        <v/>
      </c>
      <c r="M12" s="140">
        <f>Anchor!U261</f>
        <v/>
      </c>
      <c r="N12" s="140">
        <f>Anchor!V261</f>
        <v/>
      </c>
      <c r="O12" s="140">
        <f>Anchor!W261</f>
        <v/>
      </c>
      <c r="P12" s="140">
        <f>Anchor!X261</f>
        <v/>
      </c>
      <c r="Q12" s="142">
        <f>10*LOG10(1/(('Summary (Full)'!$B$41/10^(N12/10)+'Summary (Full)'!$B$42/10^(O12/10)+'Summary (Full)'!$B$43/10^(P12/10))/'Summary (Full)'!$B$44))</f>
        <v/>
      </c>
      <c r="R12" s="140">
        <f>Anchor!Y261</f>
        <v/>
      </c>
      <c r="S12" s="140">
        <f>Anchor!Z261</f>
        <v/>
      </c>
      <c r="U12" s="129">
        <f>Test!L261</f>
        <v/>
      </c>
      <c r="V12" s="129">
        <f>Test!M261</f>
        <v/>
      </c>
      <c r="W12" s="129">
        <f>Test!N261</f>
        <v/>
      </c>
      <c r="X12" s="129">
        <f>Test!O261</f>
        <v/>
      </c>
      <c r="Y12" s="129">
        <f>('Summary (Full)'!$B$34*V12+'Summary (Full)'!$B$35*W12+'Summary (Full)'!$B$36*X12)/'Summary (Full)'!$B$37</f>
        <v/>
      </c>
      <c r="Z12" s="129">
        <f>Test!P261</f>
        <v/>
      </c>
      <c r="AA12" s="129">
        <f>Test!Q261</f>
        <v/>
      </c>
      <c r="AB12" s="129">
        <f>Test!R261</f>
        <v/>
      </c>
      <c r="AC12" s="129">
        <f>Test!S261</f>
        <v/>
      </c>
      <c r="AD12" s="129">
        <f>Test!T261</f>
        <v/>
      </c>
      <c r="AE12" s="129">
        <f>Test!U261</f>
        <v/>
      </c>
      <c r="AF12" s="129">
        <f>Test!V261</f>
        <v/>
      </c>
      <c r="AG12" s="129">
        <f>Test!W261</f>
        <v/>
      </c>
      <c r="AH12" s="129">
        <f>Test!X261</f>
        <v/>
      </c>
      <c r="AI12" s="129">
        <f>10*LOG10(1/(('Summary (Full)'!$B$41/10^(AF12/10)+'Summary (Full)'!$B$42/10^(AG12/10)+'Summary (Full)'!$B$43/10^(AH12/10))/'Summary (Full)'!$B$44))</f>
        <v/>
      </c>
      <c r="AJ12" s="155">
        <f>Test!Y261</f>
        <v/>
      </c>
      <c r="AK12" s="152">
        <f>Test!Z261</f>
        <v/>
      </c>
      <c r="AL12" s="152">
        <f>AJ12/R12</f>
        <v/>
      </c>
      <c r="AM12" s="152">
        <f>AK12/S12</f>
        <v/>
      </c>
      <c r="AO12" s="196" t="n"/>
      <c r="AP12" s="179" t="n"/>
      <c r="AQ12" s="178" t="n"/>
      <c r="AR12" s="178" t="n"/>
      <c r="AS12" s="178" t="n"/>
      <c r="AT12" s="179" t="n"/>
      <c r="AU12" s="178" t="n"/>
      <c r="AV12" s="179" t="n"/>
      <c r="AW12" s="178" t="n"/>
      <c r="AX12" s="179" t="n"/>
      <c r="AY12" s="185" t="n"/>
      <c r="AZ12" s="179" t="n"/>
      <c r="BA12" s="185" t="n"/>
      <c r="CK12" s="5" t="n"/>
      <c r="EV12" s="7" t="n"/>
      <c r="EW12" s="7" t="n"/>
      <c r="EX12" s="7" t="n"/>
      <c r="EY12" s="7" t="n"/>
      <c r="EZ12" s="7" t="n"/>
      <c r="FA12" s="7" t="n"/>
      <c r="FB12" s="7" t="n"/>
      <c r="FC12" s="7" t="n"/>
    </row>
    <row r="13">
      <c r="A13" s="238" t="n"/>
      <c r="B13" s="38" t="n">
        <v>160</v>
      </c>
      <c r="C13" s="140">
        <f>Anchor!L262</f>
        <v/>
      </c>
      <c r="D13" s="140">
        <f>Anchor!M262</f>
        <v/>
      </c>
      <c r="E13" s="140">
        <f>Anchor!N262</f>
        <v/>
      </c>
      <c r="F13" s="140">
        <f>Anchor!O262</f>
        <v/>
      </c>
      <c r="G13" s="141">
        <f>('Summary (Full)'!$B$34*D13+'Summary (Full)'!$B$35*E13+'Summary (Full)'!$B$36*F13)/'Summary (Full)'!$B$37</f>
        <v/>
      </c>
      <c r="H13" s="140">
        <f>Anchor!P262</f>
        <v/>
      </c>
      <c r="I13" s="140">
        <f>Anchor!Q262</f>
        <v/>
      </c>
      <c r="J13" s="140">
        <f>Anchor!R262</f>
        <v/>
      </c>
      <c r="K13" s="140">
        <f>Anchor!S262</f>
        <v/>
      </c>
      <c r="L13" s="140">
        <f>Anchor!T262</f>
        <v/>
      </c>
      <c r="M13" s="140">
        <f>Anchor!U262</f>
        <v/>
      </c>
      <c r="N13" s="140">
        <f>Anchor!V262</f>
        <v/>
      </c>
      <c r="O13" s="140">
        <f>Anchor!W262</f>
        <v/>
      </c>
      <c r="P13" s="140">
        <f>Anchor!X262</f>
        <v/>
      </c>
      <c r="Q13" s="142">
        <f>10*LOG10(1/(('Summary (Full)'!$B$41/10^(N13/10)+'Summary (Full)'!$B$42/10^(O13/10)+'Summary (Full)'!$B$43/10^(P13/10))/'Summary (Full)'!$B$44))</f>
        <v/>
      </c>
      <c r="R13" s="140">
        <f>Anchor!Y262</f>
        <v/>
      </c>
      <c r="S13" s="140">
        <f>Anchor!Z262</f>
        <v/>
      </c>
      <c r="U13" s="129">
        <f>Test!L262</f>
        <v/>
      </c>
      <c r="V13" s="129">
        <f>Test!M262</f>
        <v/>
      </c>
      <c r="W13" s="129">
        <f>Test!N262</f>
        <v/>
      </c>
      <c r="X13" s="129">
        <f>Test!O262</f>
        <v/>
      </c>
      <c r="Y13" s="129">
        <f>('Summary (Full)'!$B$34*V13+'Summary (Full)'!$B$35*W13+'Summary (Full)'!$B$36*X13)/'Summary (Full)'!$B$37</f>
        <v/>
      </c>
      <c r="Z13" s="129">
        <f>Test!P262</f>
        <v/>
      </c>
      <c r="AA13" s="129">
        <f>Test!Q262</f>
        <v/>
      </c>
      <c r="AB13" s="129">
        <f>Test!R262</f>
        <v/>
      </c>
      <c r="AC13" s="129">
        <f>Test!S262</f>
        <v/>
      </c>
      <c r="AD13" s="129">
        <f>Test!T262</f>
        <v/>
      </c>
      <c r="AE13" s="129">
        <f>Test!U262</f>
        <v/>
      </c>
      <c r="AF13" s="129">
        <f>Test!V262</f>
        <v/>
      </c>
      <c r="AG13" s="129">
        <f>Test!W262</f>
        <v/>
      </c>
      <c r="AH13" s="129">
        <f>Test!X262</f>
        <v/>
      </c>
      <c r="AI13" s="129">
        <f>10*LOG10(1/(('Summary (Full)'!$B$41/10^(AF13/10)+'Summary (Full)'!$B$42/10^(AG13/10)+'Summary (Full)'!$B$43/10^(AH13/10))/'Summary (Full)'!$B$44))</f>
        <v/>
      </c>
      <c r="AJ13" s="155">
        <f>Test!Y262</f>
        <v/>
      </c>
      <c r="AK13" s="152">
        <f>Test!Z262</f>
        <v/>
      </c>
      <c r="AL13" s="152">
        <f>AJ13/R13</f>
        <v/>
      </c>
      <c r="AM13" s="152">
        <f>AK13/S13</f>
        <v/>
      </c>
      <c r="AO13" s="257" t="inlineStr">
        <is>
          <t>Med</t>
        </is>
      </c>
      <c r="AP13" s="177">
        <f t="array" ref="AP13">bdRateExtend($C12:$C15,D12:D15,$U12:$U15,V12:V15)</f>
        <v/>
      </c>
      <c r="AQ13" s="178" t="n"/>
      <c r="AR13" s="178" t="n"/>
      <c r="AS13" s="178" t="n"/>
      <c r="AT13" s="177">
        <f t="array" ref="AT13">bdRateExtend($C12:$C15,H12:H15,$U12:$U15,Z12:Z15)</f>
        <v/>
      </c>
      <c r="AU13" s="178" t="n"/>
      <c r="AV13" s="177">
        <f t="array" ref="AV13">bdRateExtend($C12:$C15,I12:I15,$U12:$U15,AA12:AA15)</f>
        <v/>
      </c>
      <c r="AW13" s="178" t="n"/>
      <c r="AX13" s="177">
        <f t="array" ref="AX13">bdRateExtend($C12:$C15,J12:J15,$U12:$U15,AB12:AB15,"None", FALSE,1)</f>
        <v/>
      </c>
      <c r="AY13" s="185" t="n"/>
      <c r="AZ13" s="246">
        <f t="array" ref="AZ13">testVMAFRange($C12:$C15,J12:J15,$U12:$U15,AB12:AB15)</f>
        <v/>
      </c>
      <c r="BA13" s="185" t="n"/>
      <c r="CK13" s="5" t="n"/>
      <c r="EV13" s="7" t="n"/>
      <c r="EW13" s="7" t="n"/>
      <c r="EX13" s="7" t="n"/>
      <c r="EY13" s="7" t="n"/>
      <c r="EZ13" s="7" t="n"/>
      <c r="FA13" s="7" t="n"/>
      <c r="FB13" s="7" t="n"/>
      <c r="FC13" s="7" t="n"/>
    </row>
    <row r="14">
      <c r="A14" s="238" t="n"/>
      <c r="B14" s="38" t="n">
        <v>185</v>
      </c>
      <c r="C14" s="140">
        <f>Anchor!L263</f>
        <v/>
      </c>
      <c r="D14" s="140">
        <f>Anchor!M263</f>
        <v/>
      </c>
      <c r="E14" s="140">
        <f>Anchor!N263</f>
        <v/>
      </c>
      <c r="F14" s="140">
        <f>Anchor!O263</f>
        <v/>
      </c>
      <c r="G14" s="141">
        <f>('Summary (Full)'!$B$34*D14+'Summary (Full)'!$B$35*E14+'Summary (Full)'!$B$36*F14)/'Summary (Full)'!$B$37</f>
        <v/>
      </c>
      <c r="H14" s="140">
        <f>Anchor!P263</f>
        <v/>
      </c>
      <c r="I14" s="140">
        <f>Anchor!Q263</f>
        <v/>
      </c>
      <c r="J14" s="140">
        <f>Anchor!R263</f>
        <v/>
      </c>
      <c r="K14" s="140">
        <f>Anchor!S263</f>
        <v/>
      </c>
      <c r="L14" s="140">
        <f>Anchor!T263</f>
        <v/>
      </c>
      <c r="M14" s="140">
        <f>Anchor!U263</f>
        <v/>
      </c>
      <c r="N14" s="140">
        <f>Anchor!V263</f>
        <v/>
      </c>
      <c r="O14" s="140">
        <f>Anchor!W263</f>
        <v/>
      </c>
      <c r="P14" s="140">
        <f>Anchor!X263</f>
        <v/>
      </c>
      <c r="Q14" s="142">
        <f>10*LOG10(1/(('Summary (Full)'!$B$41/10^(N14/10)+'Summary (Full)'!$B$42/10^(O14/10)+'Summary (Full)'!$B$43/10^(P14/10))/'Summary (Full)'!$B$44))</f>
        <v/>
      </c>
      <c r="R14" s="140">
        <f>Anchor!Y263</f>
        <v/>
      </c>
      <c r="S14" s="140">
        <f>Anchor!Z263</f>
        <v/>
      </c>
      <c r="U14" s="129">
        <f>Test!L263</f>
        <v/>
      </c>
      <c r="V14" s="129">
        <f>Test!M263</f>
        <v/>
      </c>
      <c r="W14" s="129">
        <f>Test!N263</f>
        <v/>
      </c>
      <c r="X14" s="129">
        <f>Test!O263</f>
        <v/>
      </c>
      <c r="Y14" s="129">
        <f>('Summary (Full)'!$B$34*V14+'Summary (Full)'!$B$35*W14+'Summary (Full)'!$B$36*X14)/'Summary (Full)'!$B$37</f>
        <v/>
      </c>
      <c r="Z14" s="129">
        <f>Test!P263</f>
        <v/>
      </c>
      <c r="AA14" s="129">
        <f>Test!Q263</f>
        <v/>
      </c>
      <c r="AB14" s="129">
        <f>Test!R263</f>
        <v/>
      </c>
      <c r="AC14" s="129">
        <f>Test!S263</f>
        <v/>
      </c>
      <c r="AD14" s="129">
        <f>Test!T263</f>
        <v/>
      </c>
      <c r="AE14" s="129">
        <f>Test!U263</f>
        <v/>
      </c>
      <c r="AF14" s="129">
        <f>Test!V263</f>
        <v/>
      </c>
      <c r="AG14" s="129">
        <f>Test!W263</f>
        <v/>
      </c>
      <c r="AH14" s="129">
        <f>Test!X263</f>
        <v/>
      </c>
      <c r="AI14" s="129">
        <f>10*LOG10(1/(('Summary (Full)'!$B$41/10^(AF14/10)+'Summary (Full)'!$B$42/10^(AG14/10)+'Summary (Full)'!$B$43/10^(AH14/10))/'Summary (Full)'!$B$44))</f>
        <v/>
      </c>
      <c r="AJ14" s="155">
        <f>Test!Y263</f>
        <v/>
      </c>
      <c r="AK14" s="152">
        <f>Test!Z263</f>
        <v/>
      </c>
      <c r="AL14" s="152">
        <f>AJ14/R14</f>
        <v/>
      </c>
      <c r="AM14" s="152">
        <f>AK14/S14</f>
        <v/>
      </c>
      <c r="AO14" s="196" t="n"/>
      <c r="AP14" s="179" t="n"/>
      <c r="AQ14" s="178" t="n"/>
      <c r="AR14" s="178" t="n"/>
      <c r="AS14" s="178" t="n"/>
      <c r="AT14" s="179" t="n"/>
      <c r="AU14" s="178" t="n"/>
      <c r="AV14" s="179" t="n"/>
      <c r="AW14" s="178" t="n"/>
      <c r="AX14" s="179" t="n"/>
      <c r="AY14" s="185" t="n"/>
      <c r="AZ14" s="179" t="n"/>
      <c r="BA14" s="185" t="n"/>
      <c r="CK14" s="5" t="n"/>
      <c r="EV14" s="7" t="n"/>
      <c r="EW14" s="7" t="n"/>
      <c r="EX14" s="7" t="n"/>
      <c r="EY14" s="7" t="n"/>
      <c r="EZ14" s="7" t="n"/>
      <c r="FA14" s="7" t="n"/>
      <c r="FB14" s="7" t="n"/>
      <c r="FC14" s="7" t="n"/>
    </row>
    <row r="15">
      <c r="A15" s="238" t="n"/>
      <c r="B15" s="38" t="n">
        <v>210</v>
      </c>
      <c r="C15" s="140">
        <f>Anchor!L264</f>
        <v/>
      </c>
      <c r="D15" s="140">
        <f>Anchor!M264</f>
        <v/>
      </c>
      <c r="E15" s="140">
        <f>Anchor!N264</f>
        <v/>
      </c>
      <c r="F15" s="140">
        <f>Anchor!O264</f>
        <v/>
      </c>
      <c r="G15" s="141">
        <f>('Summary (Full)'!$B$34*D15+'Summary (Full)'!$B$35*E15+'Summary (Full)'!$B$36*F15)/'Summary (Full)'!$B$37</f>
        <v/>
      </c>
      <c r="H15" s="140">
        <f>Anchor!P264</f>
        <v/>
      </c>
      <c r="I15" s="140">
        <f>Anchor!Q264</f>
        <v/>
      </c>
      <c r="J15" s="140">
        <f>Anchor!R264</f>
        <v/>
      </c>
      <c r="K15" s="140">
        <f>Anchor!S264</f>
        <v/>
      </c>
      <c r="L15" s="140">
        <f>Anchor!T264</f>
        <v/>
      </c>
      <c r="M15" s="140">
        <f>Anchor!U264</f>
        <v/>
      </c>
      <c r="N15" s="140">
        <f>Anchor!V264</f>
        <v/>
      </c>
      <c r="O15" s="140">
        <f>Anchor!W264</f>
        <v/>
      </c>
      <c r="P15" s="140">
        <f>Anchor!X264</f>
        <v/>
      </c>
      <c r="Q15" s="142">
        <f>10*LOG10(1/(('Summary (Full)'!$B$41/10^(N15/10)+'Summary (Full)'!$B$42/10^(O15/10)+'Summary (Full)'!$B$43/10^(P15/10))/'Summary (Full)'!$B$44))</f>
        <v/>
      </c>
      <c r="R15" s="140">
        <f>Anchor!Y264</f>
        <v/>
      </c>
      <c r="S15" s="140">
        <f>Anchor!Z264</f>
        <v/>
      </c>
      <c r="U15" s="129">
        <f>Test!L264</f>
        <v/>
      </c>
      <c r="V15" s="129">
        <f>Test!M264</f>
        <v/>
      </c>
      <c r="W15" s="129">
        <f>Test!N264</f>
        <v/>
      </c>
      <c r="X15" s="129">
        <f>Test!O264</f>
        <v/>
      </c>
      <c r="Y15" s="129">
        <f>('Summary (Full)'!$B$34*V15+'Summary (Full)'!$B$35*W15+'Summary (Full)'!$B$36*X15)/'Summary (Full)'!$B$37</f>
        <v/>
      </c>
      <c r="Z15" s="129">
        <f>Test!P264</f>
        <v/>
      </c>
      <c r="AA15" s="129">
        <f>Test!Q264</f>
        <v/>
      </c>
      <c r="AB15" s="129">
        <f>Test!R264</f>
        <v/>
      </c>
      <c r="AC15" s="129">
        <f>Test!S264</f>
        <v/>
      </c>
      <c r="AD15" s="129">
        <f>Test!T264</f>
        <v/>
      </c>
      <c r="AE15" s="129">
        <f>Test!U264</f>
        <v/>
      </c>
      <c r="AF15" s="129">
        <f>Test!V264</f>
        <v/>
      </c>
      <c r="AG15" s="129">
        <f>Test!W264</f>
        <v/>
      </c>
      <c r="AH15" s="129">
        <f>Test!X264</f>
        <v/>
      </c>
      <c r="AI15" s="129">
        <f>10*LOG10(1/(('Summary (Full)'!$B$41/10^(AF15/10)+'Summary (Full)'!$B$42/10^(AG15/10)+'Summary (Full)'!$B$43/10^(AH15/10))/'Summary (Full)'!$B$44))</f>
        <v/>
      </c>
      <c r="AJ15" s="155">
        <f>Test!Y264</f>
        <v/>
      </c>
      <c r="AK15" s="152">
        <f>Test!Z264</f>
        <v/>
      </c>
      <c r="AL15" s="152">
        <f>AJ15/R15</f>
        <v/>
      </c>
      <c r="AM15" s="152">
        <f>AK15/S15</f>
        <v/>
      </c>
      <c r="AO15" s="257" t="inlineStr">
        <is>
          <t>Low</t>
        </is>
      </c>
      <c r="AP15" s="177">
        <f t="array" ref="AP15">bdRateExtend($C13:$C16,D13:D16,$U13:$U16,V13:V16)</f>
        <v/>
      </c>
      <c r="AQ15" s="178" t="n"/>
      <c r="AR15" s="178" t="n"/>
      <c r="AS15" s="178" t="n"/>
      <c r="AT15" s="177">
        <f t="array" ref="AT15">bdRateExtend($C13:$C16,H13:H16,$U13:$U16,Z13:Z16)</f>
        <v/>
      </c>
      <c r="AU15" s="178" t="n"/>
      <c r="AV15" s="177">
        <f t="array" ref="AV15">bdRateExtend($C13:$C16,I13:I16,$U13:$U16,AA13:AA16)</f>
        <v/>
      </c>
      <c r="AW15" s="178" t="n"/>
      <c r="AX15" s="177">
        <f t="array" ref="AX15">bdRateExtend($C13:$C16,J13:J16,$U13:$U16,AB13:AB16,"None", FALSE,1)</f>
        <v/>
      </c>
      <c r="AY15" s="185" t="n"/>
      <c r="AZ15" s="246">
        <f t="array" ref="AZ15">testVMAFRange($C13:$C16,J13:J16,$U13:$U16,AB13:AB16)</f>
        <v/>
      </c>
      <c r="BA15" s="185" t="n"/>
      <c r="CK15" s="5" t="n"/>
      <c r="EV15" s="7" t="n"/>
      <c r="EW15" s="7" t="n"/>
      <c r="EX15" s="7" t="n"/>
      <c r="EY15" s="7" t="n"/>
      <c r="EZ15" s="7" t="n"/>
      <c r="FA15" s="7" t="n"/>
      <c r="FB15" s="7" t="n"/>
      <c r="FC15" s="7" t="n"/>
    </row>
    <row r="16" ht="14" customHeight="1" s="241" thickBot="1">
      <c r="A16" s="239" t="n"/>
      <c r="B16" s="38" t="n">
        <v>235</v>
      </c>
      <c r="C16" s="140">
        <f>Anchor!L265</f>
        <v/>
      </c>
      <c r="D16" s="140">
        <f>Anchor!M265</f>
        <v/>
      </c>
      <c r="E16" s="140">
        <f>Anchor!N265</f>
        <v/>
      </c>
      <c r="F16" s="140">
        <f>Anchor!O265</f>
        <v/>
      </c>
      <c r="G16" s="141">
        <f>('Summary (Full)'!$B$34*D16+'Summary (Full)'!$B$35*E16+'Summary (Full)'!$B$36*F16)/'Summary (Full)'!$B$37</f>
        <v/>
      </c>
      <c r="H16" s="140">
        <f>Anchor!P265</f>
        <v/>
      </c>
      <c r="I16" s="140">
        <f>Anchor!Q265</f>
        <v/>
      </c>
      <c r="J16" s="140">
        <f>Anchor!R265</f>
        <v/>
      </c>
      <c r="K16" s="140">
        <f>Anchor!S265</f>
        <v/>
      </c>
      <c r="L16" s="140">
        <f>Anchor!T265</f>
        <v/>
      </c>
      <c r="M16" s="140">
        <f>Anchor!U265</f>
        <v/>
      </c>
      <c r="N16" s="140">
        <f>Anchor!V265</f>
        <v/>
      </c>
      <c r="O16" s="140">
        <f>Anchor!W265</f>
        <v/>
      </c>
      <c r="P16" s="140">
        <f>Anchor!X265</f>
        <v/>
      </c>
      <c r="Q16" s="142">
        <f>10*LOG10(1/(('Summary (Full)'!$B$41/10^(N16/10)+'Summary (Full)'!$B$42/10^(O16/10)+'Summary (Full)'!$B$43/10^(P16/10))/'Summary (Full)'!$B$44))</f>
        <v/>
      </c>
      <c r="R16" s="140">
        <f>Anchor!Y265</f>
        <v/>
      </c>
      <c r="S16" s="140">
        <f>Anchor!Z265</f>
        <v/>
      </c>
      <c r="U16" s="129">
        <f>Test!L265</f>
        <v/>
      </c>
      <c r="V16" s="129">
        <f>Test!M265</f>
        <v/>
      </c>
      <c r="W16" s="129">
        <f>Test!N265</f>
        <v/>
      </c>
      <c r="X16" s="129">
        <f>Test!O265</f>
        <v/>
      </c>
      <c r="Y16" s="129">
        <f>('Summary (Full)'!$B$34*V16+'Summary (Full)'!$B$35*W16+'Summary (Full)'!$B$36*X16)/'Summary (Full)'!$B$37</f>
        <v/>
      </c>
      <c r="Z16" s="129">
        <f>Test!P265</f>
        <v/>
      </c>
      <c r="AA16" s="129">
        <f>Test!Q265</f>
        <v/>
      </c>
      <c r="AB16" s="129">
        <f>Test!R265</f>
        <v/>
      </c>
      <c r="AC16" s="129">
        <f>Test!S265</f>
        <v/>
      </c>
      <c r="AD16" s="129">
        <f>Test!T265</f>
        <v/>
      </c>
      <c r="AE16" s="129">
        <f>Test!U265</f>
        <v/>
      </c>
      <c r="AF16" s="129">
        <f>Test!V265</f>
        <v/>
      </c>
      <c r="AG16" s="129">
        <f>Test!W265</f>
        <v/>
      </c>
      <c r="AH16" s="129">
        <f>Test!X265</f>
        <v/>
      </c>
      <c r="AI16" s="129">
        <f>10*LOG10(1/(('Summary (Full)'!$B$41/10^(AF16/10)+'Summary (Full)'!$B$42/10^(AG16/10)+'Summary (Full)'!$B$43/10^(AH16/10))/'Summary (Full)'!$B$44))</f>
        <v/>
      </c>
      <c r="AJ16" s="155">
        <f>Test!Y265</f>
        <v/>
      </c>
      <c r="AK16" s="152">
        <f>Test!Z265</f>
        <v/>
      </c>
      <c r="AL16" s="152">
        <f>AJ16/R16</f>
        <v/>
      </c>
      <c r="AM16" s="152">
        <f>AK16/S16</f>
        <v/>
      </c>
      <c r="AO16" s="196" t="n"/>
      <c r="AP16" s="179" t="n"/>
      <c r="AQ16" s="179" t="n"/>
      <c r="AR16" s="179" t="n"/>
      <c r="AS16" s="179" t="n"/>
      <c r="AT16" s="179" t="n"/>
      <c r="AU16" s="179" t="n"/>
      <c r="AV16" s="179" t="n"/>
      <c r="AW16" s="179" t="n"/>
      <c r="AX16" s="179" t="n"/>
      <c r="AY16" s="186" t="n"/>
      <c r="AZ16" s="179" t="n"/>
      <c r="BA16" s="186" t="n"/>
      <c r="CK16" s="5" t="n"/>
      <c r="EV16" s="7" t="n"/>
      <c r="EW16" s="7" t="n"/>
      <c r="EX16" s="7" t="n"/>
      <c r="EY16" s="7" t="n"/>
      <c r="EZ16" s="7" t="n"/>
      <c r="FA16" s="7" t="n"/>
      <c r="FB16" s="7" t="n"/>
      <c r="FC16" s="7" t="n"/>
    </row>
    <row r="17">
      <c r="A17" s="237" t="inlineStr">
        <is>
          <t>1920x1080</t>
        </is>
      </c>
      <c r="B17" s="38" t="n">
        <v>110</v>
      </c>
      <c r="C17" s="140">
        <f>Anchor!L266</f>
        <v/>
      </c>
      <c r="D17" s="140">
        <f>Anchor!M266</f>
        <v/>
      </c>
      <c r="E17" s="140">
        <f>Anchor!N266</f>
        <v/>
      </c>
      <c r="F17" s="140">
        <f>Anchor!O266</f>
        <v/>
      </c>
      <c r="G17" s="141">
        <f>('Summary (Full)'!$B$34*D17+'Summary (Full)'!$B$35*E17+'Summary (Full)'!$B$36*F17)/'Summary (Full)'!$B$37</f>
        <v/>
      </c>
      <c r="H17" s="140">
        <f>Anchor!P266</f>
        <v/>
      </c>
      <c r="I17" s="140">
        <f>Anchor!Q266</f>
        <v/>
      </c>
      <c r="J17" s="140">
        <f>Anchor!R266</f>
        <v/>
      </c>
      <c r="K17" s="140">
        <f>Anchor!S266</f>
        <v/>
      </c>
      <c r="L17" s="140">
        <f>Anchor!T266</f>
        <v/>
      </c>
      <c r="M17" s="140">
        <f>Anchor!U266</f>
        <v/>
      </c>
      <c r="N17" s="140">
        <f>Anchor!V266</f>
        <v/>
      </c>
      <c r="O17" s="140">
        <f>Anchor!W266</f>
        <v/>
      </c>
      <c r="P17" s="140">
        <f>Anchor!X266</f>
        <v/>
      </c>
      <c r="Q17" s="142">
        <f>10*LOG10(1/(('Summary (Full)'!$B$41/10^(N17/10)+'Summary (Full)'!$B$42/10^(O17/10)+'Summary (Full)'!$B$43/10^(P17/10))/'Summary (Full)'!$B$44))</f>
        <v/>
      </c>
      <c r="R17" s="140">
        <f>Anchor!Y266</f>
        <v/>
      </c>
      <c r="S17" s="140">
        <f>Anchor!Z266</f>
        <v/>
      </c>
      <c r="U17" s="129">
        <f>Test!L266</f>
        <v/>
      </c>
      <c r="V17" s="129">
        <f>Test!M266</f>
        <v/>
      </c>
      <c r="W17" s="129">
        <f>Test!N266</f>
        <v/>
      </c>
      <c r="X17" s="129">
        <f>Test!O266</f>
        <v/>
      </c>
      <c r="Y17" s="129">
        <f>('Summary (Full)'!$B$34*V17+'Summary (Full)'!$B$35*W17+'Summary (Full)'!$B$36*X17)/'Summary (Full)'!$B$37</f>
        <v/>
      </c>
      <c r="Z17" s="129">
        <f>Test!P266</f>
        <v/>
      </c>
      <c r="AA17" s="129">
        <f>Test!Q266</f>
        <v/>
      </c>
      <c r="AB17" s="129">
        <f>Test!R266</f>
        <v/>
      </c>
      <c r="AC17" s="129">
        <f>Test!S266</f>
        <v/>
      </c>
      <c r="AD17" s="129">
        <f>Test!T266</f>
        <v/>
      </c>
      <c r="AE17" s="129">
        <f>Test!U266</f>
        <v/>
      </c>
      <c r="AF17" s="129">
        <f>Test!V266</f>
        <v/>
      </c>
      <c r="AG17" s="129">
        <f>Test!W266</f>
        <v/>
      </c>
      <c r="AH17" s="129">
        <f>Test!X266</f>
        <v/>
      </c>
      <c r="AI17" s="129">
        <f>10*LOG10(1/(('Summary (Full)'!$B$41/10^(AF17/10)+'Summary (Full)'!$B$42/10^(AG17/10)+'Summary (Full)'!$B$43/10^(AH17/10))/'Summary (Full)'!$B$44))</f>
        <v/>
      </c>
      <c r="AJ17" s="155">
        <f>Test!Y266</f>
        <v/>
      </c>
      <c r="AK17" s="152">
        <f>Test!Z266</f>
        <v/>
      </c>
      <c r="AL17" s="152">
        <f>AJ17/R17</f>
        <v/>
      </c>
      <c r="AM17" s="152">
        <f>AK17/S17</f>
        <v/>
      </c>
      <c r="AO17" s="244" t="inlineStr">
        <is>
          <t>High</t>
        </is>
      </c>
      <c r="AP17" s="180">
        <f t="array" ref="AP17">bdRateExtend($C17:$C20,D17:D20,$U17:$U20,V17:V20)</f>
        <v/>
      </c>
      <c r="AQ17" s="180">
        <f t="array" ref="AQ17">bdRateExtend($C17:$C22,D17:D22,$U17:$U22,V17:V22)</f>
        <v/>
      </c>
      <c r="AR17" s="180">
        <f t="array" ref="AR17">bdRateExtend($C17:$C22,E17:E22,$U17:$U22,W17:W22)</f>
        <v/>
      </c>
      <c r="AS17" s="180">
        <f t="array" ref="AS17">bdRateExtend($C17:$C22,F17:F22,$U17:$U22,X17:X22)</f>
        <v/>
      </c>
      <c r="AT17" s="180">
        <f t="array" ref="AT17">bdRateExtend($C17:$C20,H17:H20,$U17:$U20,Z17:Z20)</f>
        <v/>
      </c>
      <c r="AU17" s="180">
        <f t="array" ref="AU17">bdRateExtend($C17:$C22,H17:H22,$U17:$U22,Z17:Z22)</f>
        <v/>
      </c>
      <c r="AV17" s="180">
        <f t="array" ref="AV17">bdRateExtend($C17:$C20,I17:I20,$U17:$U20,AA17:AA20)</f>
        <v/>
      </c>
      <c r="AW17" s="180">
        <f t="array" ref="AW17">bdRateExtend($C17:$C22,I17:I22,$U17:$U22,AA17:AA22)</f>
        <v/>
      </c>
      <c r="AX17" s="180">
        <f t="array" ref="AX17">bdRateExtend($C17:$C20,J17:J20,$U17:$U20,AB17:AB20,"None", FALSE,1)</f>
        <v/>
      </c>
      <c r="AY17" s="184">
        <f t="array" ref="AY17">bdRateExtend($C17:$C22,J17:J22,$U17:$U22,AB17:AB22,"None", FALSE,TRUE)</f>
        <v/>
      </c>
      <c r="AZ17" s="247">
        <f t="array" ref="AZ17">testVMAFRange($C17:$C20,J17:J20,$U17:$U20,AB17:AB20)</f>
        <v/>
      </c>
      <c r="BA17" s="198">
        <f t="array" ref="BA17">testVMAFRange($C17:$C22,J17:J22,$U17:$U22,AB17:AB22)</f>
        <v/>
      </c>
      <c r="CK17" s="5" t="n"/>
      <c r="EV17" s="7" t="n"/>
      <c r="EW17" s="7" t="n"/>
      <c r="EX17" s="7" t="n"/>
      <c r="EY17" s="7" t="n"/>
      <c r="EZ17" s="7" t="n"/>
      <c r="FA17" s="7" t="n"/>
      <c r="FB17" s="7" t="n"/>
      <c r="FC17" s="7" t="n"/>
    </row>
    <row r="18">
      <c r="A18" s="238" t="n"/>
      <c r="B18" s="38" t="n">
        <v>135</v>
      </c>
      <c r="C18" s="140">
        <f>Anchor!L267</f>
        <v/>
      </c>
      <c r="D18" s="140">
        <f>Anchor!M267</f>
        <v/>
      </c>
      <c r="E18" s="140">
        <f>Anchor!N267</f>
        <v/>
      </c>
      <c r="F18" s="140">
        <f>Anchor!O267</f>
        <v/>
      </c>
      <c r="G18" s="141">
        <f>('Summary (Full)'!$B$34*D18+'Summary (Full)'!$B$35*E18+'Summary (Full)'!$B$36*F18)/'Summary (Full)'!$B$37</f>
        <v/>
      </c>
      <c r="H18" s="140">
        <f>Anchor!P267</f>
        <v/>
      </c>
      <c r="I18" s="140">
        <f>Anchor!Q267</f>
        <v/>
      </c>
      <c r="J18" s="140">
        <f>Anchor!R267</f>
        <v/>
      </c>
      <c r="K18" s="140">
        <f>Anchor!S267</f>
        <v/>
      </c>
      <c r="L18" s="140">
        <f>Anchor!T267</f>
        <v/>
      </c>
      <c r="M18" s="140">
        <f>Anchor!U267</f>
        <v/>
      </c>
      <c r="N18" s="140">
        <f>Anchor!V267</f>
        <v/>
      </c>
      <c r="O18" s="140">
        <f>Anchor!W267</f>
        <v/>
      </c>
      <c r="P18" s="140">
        <f>Anchor!X267</f>
        <v/>
      </c>
      <c r="Q18" s="142">
        <f>10*LOG10(1/(('Summary (Full)'!$B$41/10^(N18/10)+'Summary (Full)'!$B$42/10^(O18/10)+'Summary (Full)'!$B$43/10^(P18/10))/'Summary (Full)'!$B$44))</f>
        <v/>
      </c>
      <c r="R18" s="140">
        <f>Anchor!Y267</f>
        <v/>
      </c>
      <c r="S18" s="140">
        <f>Anchor!Z267</f>
        <v/>
      </c>
      <c r="U18" s="129">
        <f>Test!L267</f>
        <v/>
      </c>
      <c r="V18" s="129">
        <f>Test!M267</f>
        <v/>
      </c>
      <c r="W18" s="129">
        <f>Test!N267</f>
        <v/>
      </c>
      <c r="X18" s="129">
        <f>Test!O267</f>
        <v/>
      </c>
      <c r="Y18" s="129">
        <f>('Summary (Full)'!$B$34*V18+'Summary (Full)'!$B$35*W18+'Summary (Full)'!$B$36*X18)/'Summary (Full)'!$B$37</f>
        <v/>
      </c>
      <c r="Z18" s="129">
        <f>Test!P267</f>
        <v/>
      </c>
      <c r="AA18" s="129">
        <f>Test!Q267</f>
        <v/>
      </c>
      <c r="AB18" s="129">
        <f>Test!R267</f>
        <v/>
      </c>
      <c r="AC18" s="129">
        <f>Test!S267</f>
        <v/>
      </c>
      <c r="AD18" s="129">
        <f>Test!T267</f>
        <v/>
      </c>
      <c r="AE18" s="129">
        <f>Test!U267</f>
        <v/>
      </c>
      <c r="AF18" s="129">
        <f>Test!V267</f>
        <v/>
      </c>
      <c r="AG18" s="129">
        <f>Test!W267</f>
        <v/>
      </c>
      <c r="AH18" s="129">
        <f>Test!X267</f>
        <v/>
      </c>
      <c r="AI18" s="129">
        <f>10*LOG10(1/(('Summary (Full)'!$B$41/10^(AF18/10)+'Summary (Full)'!$B$42/10^(AG18/10)+'Summary (Full)'!$B$43/10^(AH18/10))/'Summary (Full)'!$B$44))</f>
        <v/>
      </c>
      <c r="AJ18" s="155">
        <f>Test!Y267</f>
        <v/>
      </c>
      <c r="AK18" s="152">
        <f>Test!Z267</f>
        <v/>
      </c>
      <c r="AL18" s="152">
        <f>AJ18/R18</f>
        <v/>
      </c>
      <c r="AM18" s="152">
        <f>AK18/S18</f>
        <v/>
      </c>
      <c r="AO18" s="196" t="n"/>
      <c r="AP18" s="179" t="n"/>
      <c r="AQ18" s="178" t="n"/>
      <c r="AR18" s="178" t="n"/>
      <c r="AS18" s="178" t="n"/>
      <c r="AT18" s="179" t="n"/>
      <c r="AU18" s="178" t="n"/>
      <c r="AV18" s="179" t="n"/>
      <c r="AW18" s="178" t="n"/>
      <c r="AX18" s="179" t="n"/>
      <c r="AY18" s="185" t="n"/>
      <c r="AZ18" s="179" t="n"/>
      <c r="BA18" s="185" t="n"/>
      <c r="CK18" s="5" t="n"/>
      <c r="EV18" s="7" t="n"/>
      <c r="EW18" s="7" t="n"/>
      <c r="EX18" s="7" t="n"/>
      <c r="EY18" s="7" t="n"/>
      <c r="EZ18" s="7" t="n"/>
      <c r="FA18" s="7" t="n"/>
      <c r="FB18" s="7" t="n"/>
      <c r="FC18" s="7" t="n"/>
    </row>
    <row r="19">
      <c r="A19" s="238" t="n"/>
      <c r="B19" s="38" t="n">
        <v>160</v>
      </c>
      <c r="C19" s="140">
        <f>Anchor!L268</f>
        <v/>
      </c>
      <c r="D19" s="140">
        <f>Anchor!M268</f>
        <v/>
      </c>
      <c r="E19" s="140">
        <f>Anchor!N268</f>
        <v/>
      </c>
      <c r="F19" s="140">
        <f>Anchor!O268</f>
        <v/>
      </c>
      <c r="G19" s="141">
        <f>('Summary (Full)'!$B$34*D19+'Summary (Full)'!$B$35*E19+'Summary (Full)'!$B$36*F19)/'Summary (Full)'!$B$37</f>
        <v/>
      </c>
      <c r="H19" s="140">
        <f>Anchor!P268</f>
        <v/>
      </c>
      <c r="I19" s="140">
        <f>Anchor!Q268</f>
        <v/>
      </c>
      <c r="J19" s="140">
        <f>Anchor!R268</f>
        <v/>
      </c>
      <c r="K19" s="140">
        <f>Anchor!S268</f>
        <v/>
      </c>
      <c r="L19" s="140">
        <f>Anchor!T268</f>
        <v/>
      </c>
      <c r="M19" s="140">
        <f>Anchor!U268</f>
        <v/>
      </c>
      <c r="N19" s="140">
        <f>Anchor!V268</f>
        <v/>
      </c>
      <c r="O19" s="140">
        <f>Anchor!W268</f>
        <v/>
      </c>
      <c r="P19" s="140">
        <f>Anchor!X268</f>
        <v/>
      </c>
      <c r="Q19" s="142">
        <f>10*LOG10(1/(('Summary (Full)'!$B$41/10^(N19/10)+'Summary (Full)'!$B$42/10^(O19/10)+'Summary (Full)'!$B$43/10^(P19/10))/'Summary (Full)'!$B$44))</f>
        <v/>
      </c>
      <c r="R19" s="140">
        <f>Anchor!Y268</f>
        <v/>
      </c>
      <c r="S19" s="140">
        <f>Anchor!Z268</f>
        <v/>
      </c>
      <c r="U19" s="129">
        <f>Test!L268</f>
        <v/>
      </c>
      <c r="V19" s="129">
        <f>Test!M268</f>
        <v/>
      </c>
      <c r="W19" s="129">
        <f>Test!N268</f>
        <v/>
      </c>
      <c r="X19" s="129">
        <f>Test!O268</f>
        <v/>
      </c>
      <c r="Y19" s="129">
        <f>('Summary (Full)'!$B$34*V19+'Summary (Full)'!$B$35*W19+'Summary (Full)'!$B$36*X19)/'Summary (Full)'!$B$37</f>
        <v/>
      </c>
      <c r="Z19" s="129">
        <f>Test!P268</f>
        <v/>
      </c>
      <c r="AA19" s="129">
        <f>Test!Q268</f>
        <v/>
      </c>
      <c r="AB19" s="129">
        <f>Test!R268</f>
        <v/>
      </c>
      <c r="AC19" s="129">
        <f>Test!S268</f>
        <v/>
      </c>
      <c r="AD19" s="129">
        <f>Test!T268</f>
        <v/>
      </c>
      <c r="AE19" s="129">
        <f>Test!U268</f>
        <v/>
      </c>
      <c r="AF19" s="129">
        <f>Test!V268</f>
        <v/>
      </c>
      <c r="AG19" s="129">
        <f>Test!W268</f>
        <v/>
      </c>
      <c r="AH19" s="129">
        <f>Test!X268</f>
        <v/>
      </c>
      <c r="AI19" s="129">
        <f>10*LOG10(1/(('Summary (Full)'!$B$41/10^(AF19/10)+'Summary (Full)'!$B$42/10^(AG19/10)+'Summary (Full)'!$B$43/10^(AH19/10))/'Summary (Full)'!$B$44))</f>
        <v/>
      </c>
      <c r="AJ19" s="155">
        <f>Test!Y268</f>
        <v/>
      </c>
      <c r="AK19" s="152">
        <f>Test!Z268</f>
        <v/>
      </c>
      <c r="AL19" s="152">
        <f>AJ19/R19</f>
        <v/>
      </c>
      <c r="AM19" s="152">
        <f>AK19/S19</f>
        <v/>
      </c>
      <c r="AO19" s="257" t="inlineStr">
        <is>
          <t>Med</t>
        </is>
      </c>
      <c r="AP19" s="177">
        <f t="array" ref="AP19">bdRateExtend($C18:$C21,D18:D21,$U18:$U21,V18:V21)</f>
        <v/>
      </c>
      <c r="AQ19" s="178" t="n"/>
      <c r="AR19" s="178" t="n"/>
      <c r="AS19" s="178" t="n"/>
      <c r="AT19" s="177">
        <f t="array" ref="AT19">bdRateExtend($C18:$C21,H18:H21,$U18:$U21,Z18:Z21)</f>
        <v/>
      </c>
      <c r="AU19" s="178" t="n"/>
      <c r="AV19" s="177">
        <f t="array" ref="AV19">bdRateExtend($C18:$C21,I18:I21,$U18:$U21,AA18:AA21)</f>
        <v/>
      </c>
      <c r="AW19" s="178" t="n"/>
      <c r="AX19" s="177">
        <f t="array" ref="AX19">bdRateExtend($C18:$C21,J18:J21,$U18:$U21,AB18:AB21,"None", FALSE,1)</f>
        <v/>
      </c>
      <c r="AY19" s="185" t="n"/>
      <c r="AZ19" s="246">
        <f t="array" ref="AZ19">testVMAFRange($C18:$C21,J18:J21,$U18:$U21,AB18:AB21)</f>
        <v/>
      </c>
      <c r="BA19" s="185" t="n"/>
      <c r="CK19" s="5" t="n"/>
      <c r="EV19" s="7" t="n"/>
      <c r="EW19" s="7" t="n"/>
      <c r="EX19" s="7" t="n"/>
      <c r="EY19" s="7" t="n"/>
      <c r="EZ19" s="7" t="n"/>
      <c r="FA19" s="7" t="n"/>
      <c r="FB19" s="7" t="n"/>
      <c r="FC19" s="7" t="n"/>
    </row>
    <row r="20">
      <c r="A20" s="238" t="n"/>
      <c r="B20" s="38" t="n">
        <v>185</v>
      </c>
      <c r="C20" s="140">
        <f>Anchor!L269</f>
        <v/>
      </c>
      <c r="D20" s="140">
        <f>Anchor!M269</f>
        <v/>
      </c>
      <c r="E20" s="140">
        <f>Anchor!N269</f>
        <v/>
      </c>
      <c r="F20" s="140">
        <f>Anchor!O269</f>
        <v/>
      </c>
      <c r="G20" s="141">
        <f>('Summary (Full)'!$B$34*D20+'Summary (Full)'!$B$35*E20+'Summary (Full)'!$B$36*F20)/'Summary (Full)'!$B$37</f>
        <v/>
      </c>
      <c r="H20" s="140">
        <f>Anchor!P269</f>
        <v/>
      </c>
      <c r="I20" s="140">
        <f>Anchor!Q269</f>
        <v/>
      </c>
      <c r="J20" s="140">
        <f>Anchor!R269</f>
        <v/>
      </c>
      <c r="K20" s="140">
        <f>Anchor!S269</f>
        <v/>
      </c>
      <c r="L20" s="140">
        <f>Anchor!T269</f>
        <v/>
      </c>
      <c r="M20" s="140">
        <f>Anchor!U269</f>
        <v/>
      </c>
      <c r="N20" s="140">
        <f>Anchor!V269</f>
        <v/>
      </c>
      <c r="O20" s="140">
        <f>Anchor!W269</f>
        <v/>
      </c>
      <c r="P20" s="140">
        <f>Anchor!X269</f>
        <v/>
      </c>
      <c r="Q20" s="142">
        <f>10*LOG10(1/(('Summary (Full)'!$B$41/10^(N20/10)+'Summary (Full)'!$B$42/10^(O20/10)+'Summary (Full)'!$B$43/10^(P20/10))/'Summary (Full)'!$B$44))</f>
        <v/>
      </c>
      <c r="R20" s="140">
        <f>Anchor!Y269</f>
        <v/>
      </c>
      <c r="S20" s="140">
        <f>Anchor!Z269</f>
        <v/>
      </c>
      <c r="U20" s="129">
        <f>Test!L269</f>
        <v/>
      </c>
      <c r="V20" s="129">
        <f>Test!M269</f>
        <v/>
      </c>
      <c r="W20" s="129">
        <f>Test!N269</f>
        <v/>
      </c>
      <c r="X20" s="129">
        <f>Test!O269</f>
        <v/>
      </c>
      <c r="Y20" s="129">
        <f>('Summary (Full)'!$B$34*V20+'Summary (Full)'!$B$35*W20+'Summary (Full)'!$B$36*X20)/'Summary (Full)'!$B$37</f>
        <v/>
      </c>
      <c r="Z20" s="129">
        <f>Test!P269</f>
        <v/>
      </c>
      <c r="AA20" s="129">
        <f>Test!Q269</f>
        <v/>
      </c>
      <c r="AB20" s="129">
        <f>Test!R269</f>
        <v/>
      </c>
      <c r="AC20" s="129">
        <f>Test!S269</f>
        <v/>
      </c>
      <c r="AD20" s="129">
        <f>Test!T269</f>
        <v/>
      </c>
      <c r="AE20" s="129">
        <f>Test!U269</f>
        <v/>
      </c>
      <c r="AF20" s="129">
        <f>Test!V269</f>
        <v/>
      </c>
      <c r="AG20" s="129">
        <f>Test!W269</f>
        <v/>
      </c>
      <c r="AH20" s="129">
        <f>Test!X269</f>
        <v/>
      </c>
      <c r="AI20" s="129">
        <f>10*LOG10(1/(('Summary (Full)'!$B$41/10^(AF20/10)+'Summary (Full)'!$B$42/10^(AG20/10)+'Summary (Full)'!$B$43/10^(AH20/10))/'Summary (Full)'!$B$44))</f>
        <v/>
      </c>
      <c r="AJ20" s="155">
        <f>Test!Y269</f>
        <v/>
      </c>
      <c r="AK20" s="152">
        <f>Test!Z269</f>
        <v/>
      </c>
      <c r="AL20" s="152">
        <f>AJ20/R20</f>
        <v/>
      </c>
      <c r="AM20" s="152">
        <f>AK20/S20</f>
        <v/>
      </c>
      <c r="AO20" s="196" t="n"/>
      <c r="AP20" s="179" t="n"/>
      <c r="AQ20" s="178" t="n"/>
      <c r="AR20" s="178" t="n"/>
      <c r="AS20" s="178" t="n"/>
      <c r="AT20" s="179" t="n"/>
      <c r="AU20" s="178" t="n"/>
      <c r="AV20" s="179" t="n"/>
      <c r="AW20" s="178" t="n"/>
      <c r="AX20" s="179" t="n"/>
      <c r="AY20" s="185" t="n"/>
      <c r="AZ20" s="179" t="n"/>
      <c r="BA20" s="185" t="n"/>
      <c r="CK20" s="5" t="n"/>
      <c r="EV20" s="7" t="n"/>
      <c r="EW20" s="7" t="n"/>
      <c r="EX20" s="7" t="n"/>
      <c r="EY20" s="7" t="n"/>
      <c r="EZ20" s="7" t="n"/>
      <c r="FA20" s="7" t="n"/>
      <c r="FB20" s="7" t="n"/>
      <c r="FC20" s="7" t="n"/>
    </row>
    <row r="21">
      <c r="A21" s="238" t="n"/>
      <c r="B21" s="38" t="n">
        <v>210</v>
      </c>
      <c r="C21" s="140">
        <f>Anchor!L270</f>
        <v/>
      </c>
      <c r="D21" s="140">
        <f>Anchor!M270</f>
        <v/>
      </c>
      <c r="E21" s="140">
        <f>Anchor!N270</f>
        <v/>
      </c>
      <c r="F21" s="140">
        <f>Anchor!O270</f>
        <v/>
      </c>
      <c r="G21" s="141">
        <f>('Summary (Full)'!$B$34*D21+'Summary (Full)'!$B$35*E21+'Summary (Full)'!$B$36*F21)/'Summary (Full)'!$B$37</f>
        <v/>
      </c>
      <c r="H21" s="140">
        <f>Anchor!P270</f>
        <v/>
      </c>
      <c r="I21" s="140">
        <f>Anchor!Q270</f>
        <v/>
      </c>
      <c r="J21" s="140">
        <f>Anchor!R270</f>
        <v/>
      </c>
      <c r="K21" s="140">
        <f>Anchor!S270</f>
        <v/>
      </c>
      <c r="L21" s="140">
        <f>Anchor!T270</f>
        <v/>
      </c>
      <c r="M21" s="140">
        <f>Anchor!U270</f>
        <v/>
      </c>
      <c r="N21" s="140">
        <f>Anchor!V270</f>
        <v/>
      </c>
      <c r="O21" s="140">
        <f>Anchor!W270</f>
        <v/>
      </c>
      <c r="P21" s="140">
        <f>Anchor!X270</f>
        <v/>
      </c>
      <c r="Q21" s="142">
        <f>10*LOG10(1/(('Summary (Full)'!$B$41/10^(N21/10)+'Summary (Full)'!$B$42/10^(O21/10)+'Summary (Full)'!$B$43/10^(P21/10))/'Summary (Full)'!$B$44))</f>
        <v/>
      </c>
      <c r="R21" s="140">
        <f>Anchor!Y270</f>
        <v/>
      </c>
      <c r="S21" s="140">
        <f>Anchor!Z270</f>
        <v/>
      </c>
      <c r="U21" s="129">
        <f>Test!L270</f>
        <v/>
      </c>
      <c r="V21" s="129">
        <f>Test!M270</f>
        <v/>
      </c>
      <c r="W21" s="129">
        <f>Test!N270</f>
        <v/>
      </c>
      <c r="X21" s="129">
        <f>Test!O270</f>
        <v/>
      </c>
      <c r="Y21" s="129">
        <f>('Summary (Full)'!$B$34*V21+'Summary (Full)'!$B$35*W21+'Summary (Full)'!$B$36*X21)/'Summary (Full)'!$B$37</f>
        <v/>
      </c>
      <c r="Z21" s="129">
        <f>Test!P270</f>
        <v/>
      </c>
      <c r="AA21" s="129">
        <f>Test!Q270</f>
        <v/>
      </c>
      <c r="AB21" s="129">
        <f>Test!R270</f>
        <v/>
      </c>
      <c r="AC21" s="129">
        <f>Test!S270</f>
        <v/>
      </c>
      <c r="AD21" s="129">
        <f>Test!T270</f>
        <v/>
      </c>
      <c r="AE21" s="129">
        <f>Test!U270</f>
        <v/>
      </c>
      <c r="AF21" s="129">
        <f>Test!V270</f>
        <v/>
      </c>
      <c r="AG21" s="129">
        <f>Test!W270</f>
        <v/>
      </c>
      <c r="AH21" s="129">
        <f>Test!X270</f>
        <v/>
      </c>
      <c r="AI21" s="129">
        <f>10*LOG10(1/(('Summary (Full)'!$B$41/10^(AF21/10)+'Summary (Full)'!$B$42/10^(AG21/10)+'Summary (Full)'!$B$43/10^(AH21/10))/'Summary (Full)'!$B$44))</f>
        <v/>
      </c>
      <c r="AJ21" s="155">
        <f>Test!Y270</f>
        <v/>
      </c>
      <c r="AK21" s="152">
        <f>Test!Z270</f>
        <v/>
      </c>
      <c r="AL21" s="152">
        <f>AJ21/R21</f>
        <v/>
      </c>
      <c r="AM21" s="152">
        <f>AK21/S21</f>
        <v/>
      </c>
      <c r="AO21" s="257" t="inlineStr">
        <is>
          <t>Low</t>
        </is>
      </c>
      <c r="AP21" s="177">
        <f t="array" ref="AP21">bdRateExtend($C19:$C22,D19:D22,$U19:$U22,V19:V22)</f>
        <v/>
      </c>
      <c r="AQ21" s="178" t="n"/>
      <c r="AR21" s="178" t="n"/>
      <c r="AS21" s="178" t="n"/>
      <c r="AT21" s="177">
        <f t="array" ref="AT21">bdRateExtend($C19:$C22,H19:H22,$U19:$U22,Z19:Z22)</f>
        <v/>
      </c>
      <c r="AU21" s="178" t="n"/>
      <c r="AV21" s="177">
        <f t="array" ref="AV21">bdRateExtend($C19:$C22,I19:I22,$U19:$U22,AA19:AA22)</f>
        <v/>
      </c>
      <c r="AW21" s="178" t="n"/>
      <c r="AX21" s="177">
        <f t="array" ref="AX21">bdRateExtend($C19:$C22,J19:J22,$U19:$U22,AB19:AB22,"None", FALSE,1)</f>
        <v/>
      </c>
      <c r="AY21" s="185" t="n"/>
      <c r="AZ21" s="246">
        <f t="array" ref="AZ21">testVMAFRange($C19:$C22,J19:J22,$U19:$U22,AB19:AB22)</f>
        <v/>
      </c>
      <c r="BA21" s="185" t="n"/>
      <c r="CK21" s="5" t="n"/>
      <c r="EV21" s="7" t="n"/>
      <c r="EW21" s="7" t="n"/>
      <c r="EX21" s="7" t="n"/>
      <c r="EY21" s="7" t="n"/>
      <c r="EZ21" s="7" t="n"/>
      <c r="FA21" s="7" t="n"/>
      <c r="FB21" s="7" t="n"/>
      <c r="FC21" s="7" t="n"/>
    </row>
    <row r="22" ht="14" customHeight="1" s="241" thickBot="1">
      <c r="A22" s="239" t="n"/>
      <c r="B22" s="38" t="n">
        <v>235</v>
      </c>
      <c r="C22" s="140">
        <f>Anchor!L271</f>
        <v/>
      </c>
      <c r="D22" s="140">
        <f>Anchor!M271</f>
        <v/>
      </c>
      <c r="E22" s="140">
        <f>Anchor!N271</f>
        <v/>
      </c>
      <c r="F22" s="140">
        <f>Anchor!O271</f>
        <v/>
      </c>
      <c r="G22" s="141">
        <f>('Summary (Full)'!$B$34*D22+'Summary (Full)'!$B$35*E22+'Summary (Full)'!$B$36*F22)/'Summary (Full)'!$B$37</f>
        <v/>
      </c>
      <c r="H22" s="140">
        <f>Anchor!P271</f>
        <v/>
      </c>
      <c r="I22" s="140">
        <f>Anchor!Q271</f>
        <v/>
      </c>
      <c r="J22" s="140">
        <f>Anchor!R271</f>
        <v/>
      </c>
      <c r="K22" s="140">
        <f>Anchor!S271</f>
        <v/>
      </c>
      <c r="L22" s="140">
        <f>Anchor!T271</f>
        <v/>
      </c>
      <c r="M22" s="140">
        <f>Anchor!U271</f>
        <v/>
      </c>
      <c r="N22" s="140">
        <f>Anchor!V271</f>
        <v/>
      </c>
      <c r="O22" s="140">
        <f>Anchor!W271</f>
        <v/>
      </c>
      <c r="P22" s="140">
        <f>Anchor!X271</f>
        <v/>
      </c>
      <c r="Q22" s="142">
        <f>10*LOG10(1/(('Summary (Full)'!$B$41/10^(N22/10)+'Summary (Full)'!$B$42/10^(O22/10)+'Summary (Full)'!$B$43/10^(P22/10))/'Summary (Full)'!$B$44))</f>
        <v/>
      </c>
      <c r="R22" s="140">
        <f>Anchor!Y271</f>
        <v/>
      </c>
      <c r="S22" s="140">
        <f>Anchor!Z271</f>
        <v/>
      </c>
      <c r="U22" s="129">
        <f>Test!L271</f>
        <v/>
      </c>
      <c r="V22" s="129">
        <f>Test!M271</f>
        <v/>
      </c>
      <c r="W22" s="129">
        <f>Test!N271</f>
        <v/>
      </c>
      <c r="X22" s="129">
        <f>Test!O271</f>
        <v/>
      </c>
      <c r="Y22" s="129">
        <f>('Summary (Full)'!$B$34*V22+'Summary (Full)'!$B$35*W22+'Summary (Full)'!$B$36*X22)/'Summary (Full)'!$B$37</f>
        <v/>
      </c>
      <c r="Z22" s="129">
        <f>Test!P271</f>
        <v/>
      </c>
      <c r="AA22" s="129">
        <f>Test!Q271</f>
        <v/>
      </c>
      <c r="AB22" s="129">
        <f>Test!R271</f>
        <v/>
      </c>
      <c r="AC22" s="129">
        <f>Test!S271</f>
        <v/>
      </c>
      <c r="AD22" s="129">
        <f>Test!T271</f>
        <v/>
      </c>
      <c r="AE22" s="129">
        <f>Test!U271</f>
        <v/>
      </c>
      <c r="AF22" s="129">
        <f>Test!V271</f>
        <v/>
      </c>
      <c r="AG22" s="129">
        <f>Test!W271</f>
        <v/>
      </c>
      <c r="AH22" s="129">
        <f>Test!X271</f>
        <v/>
      </c>
      <c r="AI22" s="129">
        <f>10*LOG10(1/(('Summary (Full)'!$B$41/10^(AF22/10)+'Summary (Full)'!$B$42/10^(AG22/10)+'Summary (Full)'!$B$43/10^(AH22/10))/'Summary (Full)'!$B$44))</f>
        <v/>
      </c>
      <c r="AJ22" s="155">
        <f>Test!Y271</f>
        <v/>
      </c>
      <c r="AK22" s="152">
        <f>Test!Z271</f>
        <v/>
      </c>
      <c r="AL22" s="152">
        <f>AJ22/R22</f>
        <v/>
      </c>
      <c r="AM22" s="152">
        <f>AK22/S22</f>
        <v/>
      </c>
      <c r="AO22" s="196" t="n"/>
      <c r="AP22" s="179" t="n"/>
      <c r="AQ22" s="179" t="n"/>
      <c r="AR22" s="179" t="n"/>
      <c r="AS22" s="179" t="n"/>
      <c r="AT22" s="179" t="n"/>
      <c r="AU22" s="179" t="n"/>
      <c r="AV22" s="179" t="n"/>
      <c r="AW22" s="179" t="n"/>
      <c r="AX22" s="179" t="n"/>
      <c r="AY22" s="186" t="n"/>
      <c r="AZ22" s="179" t="n"/>
      <c r="BA22" s="186" t="n"/>
      <c r="CK22" s="5" t="n"/>
      <c r="EV22" s="7" t="n"/>
      <c r="EW22" s="7" t="n"/>
      <c r="EX22" s="7" t="n"/>
      <c r="EY22" s="7" t="n"/>
      <c r="EZ22" s="7" t="n"/>
      <c r="FA22" s="7" t="n"/>
      <c r="FB22" s="7" t="n"/>
      <c r="FC22" s="7" t="n"/>
    </row>
    <row r="23">
      <c r="A23" s="242" t="inlineStr">
        <is>
          <t>1280x720</t>
        </is>
      </c>
      <c r="B23" s="38" t="n">
        <v>110</v>
      </c>
      <c r="C23" s="140">
        <f>Anchor!L272</f>
        <v/>
      </c>
      <c r="D23" s="140">
        <f>Anchor!M272</f>
        <v/>
      </c>
      <c r="E23" s="140">
        <f>Anchor!N272</f>
        <v/>
      </c>
      <c r="F23" s="140">
        <f>Anchor!O272</f>
        <v/>
      </c>
      <c r="G23" s="141">
        <f>('Summary (Full)'!$B$34*D23+'Summary (Full)'!$B$35*E23+'Summary (Full)'!$B$36*F23)/'Summary (Full)'!$B$37</f>
        <v/>
      </c>
      <c r="H23" s="140">
        <f>Anchor!P272</f>
        <v/>
      </c>
      <c r="I23" s="140">
        <f>Anchor!Q272</f>
        <v/>
      </c>
      <c r="J23" s="140">
        <f>Anchor!R272</f>
        <v/>
      </c>
      <c r="K23" s="140">
        <f>Anchor!S272</f>
        <v/>
      </c>
      <c r="L23" s="140">
        <f>Anchor!T272</f>
        <v/>
      </c>
      <c r="M23" s="140">
        <f>Anchor!U272</f>
        <v/>
      </c>
      <c r="N23" s="140">
        <f>Anchor!V272</f>
        <v/>
      </c>
      <c r="O23" s="140">
        <f>Anchor!W272</f>
        <v/>
      </c>
      <c r="P23" s="140">
        <f>Anchor!X272</f>
        <v/>
      </c>
      <c r="Q23" s="142">
        <f>10*LOG10(1/(('Summary (Full)'!$B$41/10^(N23/10)+'Summary (Full)'!$B$42/10^(O23/10)+'Summary (Full)'!$B$43/10^(P23/10))/'Summary (Full)'!$B$44))</f>
        <v/>
      </c>
      <c r="R23" s="140">
        <f>Anchor!Y272</f>
        <v/>
      </c>
      <c r="S23" s="140">
        <f>Anchor!Z272</f>
        <v/>
      </c>
      <c r="U23" s="129">
        <f>Test!L272</f>
        <v/>
      </c>
      <c r="V23" s="129">
        <f>Test!M272</f>
        <v/>
      </c>
      <c r="W23" s="129">
        <f>Test!N272</f>
        <v/>
      </c>
      <c r="X23" s="129">
        <f>Test!O272</f>
        <v/>
      </c>
      <c r="Y23" s="129">
        <f>('Summary (Full)'!$B$34*V23+'Summary (Full)'!$B$35*W23+'Summary (Full)'!$B$36*X23)/'Summary (Full)'!$B$37</f>
        <v/>
      </c>
      <c r="Z23" s="129">
        <f>Test!P272</f>
        <v/>
      </c>
      <c r="AA23" s="129">
        <f>Test!Q272</f>
        <v/>
      </c>
      <c r="AB23" s="129">
        <f>Test!R272</f>
        <v/>
      </c>
      <c r="AC23" s="129">
        <f>Test!S272</f>
        <v/>
      </c>
      <c r="AD23" s="129">
        <f>Test!T272</f>
        <v/>
      </c>
      <c r="AE23" s="129">
        <f>Test!U272</f>
        <v/>
      </c>
      <c r="AF23" s="129">
        <f>Test!V272</f>
        <v/>
      </c>
      <c r="AG23" s="129">
        <f>Test!W272</f>
        <v/>
      </c>
      <c r="AH23" s="129">
        <f>Test!X272</f>
        <v/>
      </c>
      <c r="AI23" s="129">
        <f>10*LOG10(1/(('Summary (Full)'!$B$41/10^(AF23/10)+'Summary (Full)'!$B$42/10^(AG23/10)+'Summary (Full)'!$B$43/10^(AH23/10))/'Summary (Full)'!$B$44))</f>
        <v/>
      </c>
      <c r="AJ23" s="155">
        <f>Test!Y272</f>
        <v/>
      </c>
      <c r="AK23" s="152">
        <f>Test!Z272</f>
        <v/>
      </c>
      <c r="AL23" s="152">
        <f>AJ23/R23</f>
        <v/>
      </c>
      <c r="AM23" s="152">
        <f>AK23/S23</f>
        <v/>
      </c>
      <c r="AO23" s="244" t="inlineStr">
        <is>
          <t>High</t>
        </is>
      </c>
      <c r="AP23" s="180">
        <f t="array" ref="AP23">bdRateExtend($C23:$C26,D23:D26,$U23:$U26,V23:V26)</f>
        <v/>
      </c>
      <c r="AQ23" s="180">
        <f t="array" ref="AQ23">bdRateExtend($C23:$C28,D23:D28,$U23:$U28,V23:V28)</f>
        <v/>
      </c>
      <c r="AR23" s="180">
        <f t="array" ref="AR23">bdRateExtend($C23:$C28,E23:E28,$U23:$U28,W23:W28)</f>
        <v/>
      </c>
      <c r="AS23" s="180">
        <f t="array" ref="AS23">bdRateExtend($C23:$C28,F23:F28,$U23:$U28,X23:X28)</f>
        <v/>
      </c>
      <c r="AT23" s="180">
        <f t="array" ref="AT23">bdRateExtend($C23:$C26,H23:H26,$U23:$U26,Z23:Z26)</f>
        <v/>
      </c>
      <c r="AU23" s="180">
        <f t="array" ref="AU23">bdRateExtend($C23:$C28,H23:H28,$U23:$U28,Z23:Z28)</f>
        <v/>
      </c>
      <c r="AV23" s="180">
        <f t="array" ref="AV23">bdRateExtend($C23:$C26,I23:I26,$U23:$U26,AA23:AA26)</f>
        <v/>
      </c>
      <c r="AW23" s="180">
        <f t="array" ref="AW23">bdRateExtend($C23:$C28,I23:I28,$U23:$U28,AA23:AA28)</f>
        <v/>
      </c>
      <c r="AX23" s="180">
        <f t="array" ref="AX23">bdRateExtend($C23:$C26,J23:J26,$U23:$U26,AB23:AB26,"None", FALSE,1)</f>
        <v/>
      </c>
      <c r="AY23" s="184">
        <f t="array" ref="AY23">bdRateExtend($C23:$C28,J23:J28,$U23:$U28,AB23:AB28,"None", FALSE,TRUE)</f>
        <v/>
      </c>
      <c r="AZ23" s="247">
        <f t="array" ref="AZ23">testVMAFRange($C23:$C26,J23:J26,$U23:$U26,AB23:AB26)</f>
        <v/>
      </c>
      <c r="BA23" s="198">
        <f t="array" ref="BA23">testVMAFRange($C23:$C28,J23:J28,$U23:$U28,AB23:AB28)</f>
        <v/>
      </c>
      <c r="CK23" s="5" t="n"/>
      <c r="EV23" s="7" t="n"/>
      <c r="EW23" s="7" t="n"/>
      <c r="EX23" s="7" t="n"/>
      <c r="EY23" s="7" t="n"/>
      <c r="EZ23" s="7" t="n"/>
      <c r="FA23" s="7" t="n"/>
      <c r="FB23" s="7" t="n"/>
      <c r="FC23" s="7" t="n"/>
    </row>
    <row r="24">
      <c r="A24" s="238" t="n"/>
      <c r="B24" s="38" t="n">
        <v>135</v>
      </c>
      <c r="C24" s="140">
        <f>Anchor!L273</f>
        <v/>
      </c>
      <c r="D24" s="140">
        <f>Anchor!M273</f>
        <v/>
      </c>
      <c r="E24" s="140">
        <f>Anchor!N273</f>
        <v/>
      </c>
      <c r="F24" s="140">
        <f>Anchor!O273</f>
        <v/>
      </c>
      <c r="G24" s="141">
        <f>('Summary (Full)'!$B$34*D24+'Summary (Full)'!$B$35*E24+'Summary (Full)'!$B$36*F24)/'Summary (Full)'!$B$37</f>
        <v/>
      </c>
      <c r="H24" s="140">
        <f>Anchor!P273</f>
        <v/>
      </c>
      <c r="I24" s="140">
        <f>Anchor!Q273</f>
        <v/>
      </c>
      <c r="J24" s="140">
        <f>Anchor!R273</f>
        <v/>
      </c>
      <c r="K24" s="140">
        <f>Anchor!S273</f>
        <v/>
      </c>
      <c r="L24" s="140">
        <f>Anchor!T273</f>
        <v/>
      </c>
      <c r="M24" s="140">
        <f>Anchor!U273</f>
        <v/>
      </c>
      <c r="N24" s="140">
        <f>Anchor!V273</f>
        <v/>
      </c>
      <c r="O24" s="140">
        <f>Anchor!W273</f>
        <v/>
      </c>
      <c r="P24" s="140">
        <f>Anchor!X273</f>
        <v/>
      </c>
      <c r="Q24" s="142">
        <f>10*LOG10(1/(('Summary (Full)'!$B$41/10^(N24/10)+'Summary (Full)'!$B$42/10^(O24/10)+'Summary (Full)'!$B$43/10^(P24/10))/'Summary (Full)'!$B$44))</f>
        <v/>
      </c>
      <c r="R24" s="140">
        <f>Anchor!Y273</f>
        <v/>
      </c>
      <c r="S24" s="140">
        <f>Anchor!Z273</f>
        <v/>
      </c>
      <c r="U24" s="129">
        <f>Test!L273</f>
        <v/>
      </c>
      <c r="V24" s="129">
        <f>Test!M273</f>
        <v/>
      </c>
      <c r="W24" s="129">
        <f>Test!N273</f>
        <v/>
      </c>
      <c r="X24" s="129">
        <f>Test!O273</f>
        <v/>
      </c>
      <c r="Y24" s="129">
        <f>('Summary (Full)'!$B$34*V24+'Summary (Full)'!$B$35*W24+'Summary (Full)'!$B$36*X24)/'Summary (Full)'!$B$37</f>
        <v/>
      </c>
      <c r="Z24" s="129">
        <f>Test!P273</f>
        <v/>
      </c>
      <c r="AA24" s="129">
        <f>Test!Q273</f>
        <v/>
      </c>
      <c r="AB24" s="129">
        <f>Test!R273</f>
        <v/>
      </c>
      <c r="AC24" s="129">
        <f>Test!S273</f>
        <v/>
      </c>
      <c r="AD24" s="129">
        <f>Test!T273</f>
        <v/>
      </c>
      <c r="AE24" s="129">
        <f>Test!U273</f>
        <v/>
      </c>
      <c r="AF24" s="129">
        <f>Test!V273</f>
        <v/>
      </c>
      <c r="AG24" s="129">
        <f>Test!W273</f>
        <v/>
      </c>
      <c r="AH24" s="129">
        <f>Test!X273</f>
        <v/>
      </c>
      <c r="AI24" s="129">
        <f>10*LOG10(1/(('Summary (Full)'!$B$41/10^(AF24/10)+'Summary (Full)'!$B$42/10^(AG24/10)+'Summary (Full)'!$B$43/10^(AH24/10))/'Summary (Full)'!$B$44))</f>
        <v/>
      </c>
      <c r="AJ24" s="155">
        <f>Test!Y273</f>
        <v/>
      </c>
      <c r="AK24" s="152">
        <f>Test!Z273</f>
        <v/>
      </c>
      <c r="AL24" s="152">
        <f>AJ24/R24</f>
        <v/>
      </c>
      <c r="AM24" s="152">
        <f>AK24/S24</f>
        <v/>
      </c>
      <c r="AO24" s="196" t="n"/>
      <c r="AP24" s="179" t="n"/>
      <c r="AQ24" s="178" t="n"/>
      <c r="AR24" s="178" t="n"/>
      <c r="AS24" s="178" t="n"/>
      <c r="AT24" s="179" t="n"/>
      <c r="AU24" s="178" t="n"/>
      <c r="AV24" s="179" t="n"/>
      <c r="AW24" s="178" t="n"/>
      <c r="AX24" s="179" t="n"/>
      <c r="AY24" s="185" t="n"/>
      <c r="AZ24" s="179" t="n"/>
      <c r="BA24" s="185" t="n"/>
      <c r="CK24" s="5" t="n"/>
      <c r="EV24" s="7" t="n"/>
      <c r="EW24" s="7" t="n"/>
      <c r="EX24" s="7" t="n"/>
      <c r="EY24" s="7" t="n"/>
      <c r="EZ24" s="7" t="n"/>
      <c r="FA24" s="7" t="n"/>
      <c r="FB24" s="7" t="n"/>
      <c r="FC24" s="7" t="n"/>
    </row>
    <row r="25">
      <c r="A25" s="238" t="n"/>
      <c r="B25" s="38" t="n">
        <v>160</v>
      </c>
      <c r="C25" s="140">
        <f>Anchor!L274</f>
        <v/>
      </c>
      <c r="D25" s="140">
        <f>Anchor!M274</f>
        <v/>
      </c>
      <c r="E25" s="140">
        <f>Anchor!N274</f>
        <v/>
      </c>
      <c r="F25" s="140">
        <f>Anchor!O274</f>
        <v/>
      </c>
      <c r="G25" s="141">
        <f>('Summary (Full)'!$B$34*D25+'Summary (Full)'!$B$35*E25+'Summary (Full)'!$B$36*F25)/'Summary (Full)'!$B$37</f>
        <v/>
      </c>
      <c r="H25" s="140">
        <f>Anchor!P274</f>
        <v/>
      </c>
      <c r="I25" s="140">
        <f>Anchor!Q274</f>
        <v/>
      </c>
      <c r="J25" s="140">
        <f>Anchor!R274</f>
        <v/>
      </c>
      <c r="K25" s="140">
        <f>Anchor!S274</f>
        <v/>
      </c>
      <c r="L25" s="140">
        <f>Anchor!T274</f>
        <v/>
      </c>
      <c r="M25" s="140">
        <f>Anchor!U274</f>
        <v/>
      </c>
      <c r="N25" s="140">
        <f>Anchor!V274</f>
        <v/>
      </c>
      <c r="O25" s="140">
        <f>Anchor!W274</f>
        <v/>
      </c>
      <c r="P25" s="140">
        <f>Anchor!X274</f>
        <v/>
      </c>
      <c r="Q25" s="142">
        <f>10*LOG10(1/(('Summary (Full)'!$B$41/10^(N25/10)+'Summary (Full)'!$B$42/10^(O25/10)+'Summary (Full)'!$B$43/10^(P25/10))/'Summary (Full)'!$B$44))</f>
        <v/>
      </c>
      <c r="R25" s="140">
        <f>Anchor!Y274</f>
        <v/>
      </c>
      <c r="S25" s="140">
        <f>Anchor!Z274</f>
        <v/>
      </c>
      <c r="U25" s="129">
        <f>Test!L274</f>
        <v/>
      </c>
      <c r="V25" s="129">
        <f>Test!M274</f>
        <v/>
      </c>
      <c r="W25" s="129">
        <f>Test!N274</f>
        <v/>
      </c>
      <c r="X25" s="129">
        <f>Test!O274</f>
        <v/>
      </c>
      <c r="Y25" s="129">
        <f>('Summary (Full)'!$B$34*V25+'Summary (Full)'!$B$35*W25+'Summary (Full)'!$B$36*X25)/'Summary (Full)'!$B$37</f>
        <v/>
      </c>
      <c r="Z25" s="129">
        <f>Test!P274</f>
        <v/>
      </c>
      <c r="AA25" s="129">
        <f>Test!Q274</f>
        <v/>
      </c>
      <c r="AB25" s="129">
        <f>Test!R274</f>
        <v/>
      </c>
      <c r="AC25" s="129">
        <f>Test!S274</f>
        <v/>
      </c>
      <c r="AD25" s="129">
        <f>Test!T274</f>
        <v/>
      </c>
      <c r="AE25" s="129">
        <f>Test!U274</f>
        <v/>
      </c>
      <c r="AF25" s="129">
        <f>Test!V274</f>
        <v/>
      </c>
      <c r="AG25" s="129">
        <f>Test!W274</f>
        <v/>
      </c>
      <c r="AH25" s="129">
        <f>Test!X274</f>
        <v/>
      </c>
      <c r="AI25" s="129">
        <f>10*LOG10(1/(('Summary (Full)'!$B$41/10^(AF25/10)+'Summary (Full)'!$B$42/10^(AG25/10)+'Summary (Full)'!$B$43/10^(AH25/10))/'Summary (Full)'!$B$44))</f>
        <v/>
      </c>
      <c r="AJ25" s="155">
        <f>Test!Y274</f>
        <v/>
      </c>
      <c r="AK25" s="152">
        <f>Test!Z274</f>
        <v/>
      </c>
      <c r="AL25" s="152">
        <f>AJ25/R25</f>
        <v/>
      </c>
      <c r="AM25" s="152">
        <f>AK25/S25</f>
        <v/>
      </c>
      <c r="AO25" s="257" t="inlineStr">
        <is>
          <t>Med</t>
        </is>
      </c>
      <c r="AP25" s="177">
        <f t="array" ref="AP25">bdRateExtend($C24:$C27,D24:D27,$U24:$U27,V24:V27)</f>
        <v/>
      </c>
      <c r="AQ25" s="178" t="n"/>
      <c r="AR25" s="178" t="n"/>
      <c r="AS25" s="178" t="n"/>
      <c r="AT25" s="177">
        <f t="array" ref="AT25">bdRateExtend($C24:$C27,H24:H27,$U24:$U27,Z24:Z27)</f>
        <v/>
      </c>
      <c r="AU25" s="178" t="n"/>
      <c r="AV25" s="177">
        <f t="array" ref="AV25">bdRateExtend($C24:$C27,I24:I27,$U24:$U27,AA24:AA27)</f>
        <v/>
      </c>
      <c r="AW25" s="178" t="n"/>
      <c r="AX25" s="177">
        <f t="array" ref="AX25">bdRateExtend($C24:$C27,J24:J27,$U24:$U27,AB24:AB27,"None", FALSE,1)</f>
        <v/>
      </c>
      <c r="AY25" s="185" t="n"/>
      <c r="AZ25" s="246">
        <f t="array" ref="AZ25">testVMAFRange($C24:$C27,J24:J27,$U24:$U27,AB24:AB27)</f>
        <v/>
      </c>
      <c r="BA25" s="185" t="n"/>
      <c r="CK25" s="5" t="n"/>
      <c r="EV25" s="7" t="n"/>
      <c r="EW25" s="7" t="n"/>
      <c r="EX25" s="7" t="n"/>
      <c r="EY25" s="7" t="n"/>
      <c r="EZ25" s="7" t="n"/>
      <c r="FA25" s="7" t="n"/>
      <c r="FB25" s="7" t="n"/>
      <c r="FC25" s="7" t="n"/>
    </row>
    <row r="26">
      <c r="A26" s="238" t="n"/>
      <c r="B26" s="38" t="n">
        <v>185</v>
      </c>
      <c r="C26" s="140">
        <f>Anchor!L275</f>
        <v/>
      </c>
      <c r="D26" s="140">
        <f>Anchor!M275</f>
        <v/>
      </c>
      <c r="E26" s="140">
        <f>Anchor!N275</f>
        <v/>
      </c>
      <c r="F26" s="140">
        <f>Anchor!O275</f>
        <v/>
      </c>
      <c r="G26" s="141">
        <f>('Summary (Full)'!$B$34*D26+'Summary (Full)'!$B$35*E26+'Summary (Full)'!$B$36*F26)/'Summary (Full)'!$B$37</f>
        <v/>
      </c>
      <c r="H26" s="140">
        <f>Anchor!P275</f>
        <v/>
      </c>
      <c r="I26" s="140">
        <f>Anchor!Q275</f>
        <v/>
      </c>
      <c r="J26" s="140">
        <f>Anchor!R275</f>
        <v/>
      </c>
      <c r="K26" s="140">
        <f>Anchor!S275</f>
        <v/>
      </c>
      <c r="L26" s="140">
        <f>Anchor!T275</f>
        <v/>
      </c>
      <c r="M26" s="140">
        <f>Anchor!U275</f>
        <v/>
      </c>
      <c r="N26" s="140">
        <f>Anchor!V275</f>
        <v/>
      </c>
      <c r="O26" s="140">
        <f>Anchor!W275</f>
        <v/>
      </c>
      <c r="P26" s="140">
        <f>Anchor!X275</f>
        <v/>
      </c>
      <c r="Q26" s="142">
        <f>10*LOG10(1/(('Summary (Full)'!$B$41/10^(N26/10)+'Summary (Full)'!$B$42/10^(O26/10)+'Summary (Full)'!$B$43/10^(P26/10))/'Summary (Full)'!$B$44))</f>
        <v/>
      </c>
      <c r="R26" s="140">
        <f>Anchor!Y275</f>
        <v/>
      </c>
      <c r="S26" s="140">
        <f>Anchor!Z275</f>
        <v/>
      </c>
      <c r="U26" s="129">
        <f>Test!L275</f>
        <v/>
      </c>
      <c r="V26" s="129">
        <f>Test!M275</f>
        <v/>
      </c>
      <c r="W26" s="129">
        <f>Test!N275</f>
        <v/>
      </c>
      <c r="X26" s="129">
        <f>Test!O275</f>
        <v/>
      </c>
      <c r="Y26" s="129">
        <f>('Summary (Full)'!$B$34*V26+'Summary (Full)'!$B$35*W26+'Summary (Full)'!$B$36*X26)/'Summary (Full)'!$B$37</f>
        <v/>
      </c>
      <c r="Z26" s="129">
        <f>Test!P275</f>
        <v/>
      </c>
      <c r="AA26" s="129">
        <f>Test!Q275</f>
        <v/>
      </c>
      <c r="AB26" s="129">
        <f>Test!R275</f>
        <v/>
      </c>
      <c r="AC26" s="129">
        <f>Test!S275</f>
        <v/>
      </c>
      <c r="AD26" s="129">
        <f>Test!T275</f>
        <v/>
      </c>
      <c r="AE26" s="129">
        <f>Test!U275</f>
        <v/>
      </c>
      <c r="AF26" s="129">
        <f>Test!V275</f>
        <v/>
      </c>
      <c r="AG26" s="129">
        <f>Test!W275</f>
        <v/>
      </c>
      <c r="AH26" s="129">
        <f>Test!X275</f>
        <v/>
      </c>
      <c r="AI26" s="129">
        <f>10*LOG10(1/(('Summary (Full)'!$B$41/10^(AF26/10)+'Summary (Full)'!$B$42/10^(AG26/10)+'Summary (Full)'!$B$43/10^(AH26/10))/'Summary (Full)'!$B$44))</f>
        <v/>
      </c>
      <c r="AJ26" s="155">
        <f>Test!Y275</f>
        <v/>
      </c>
      <c r="AK26" s="152">
        <f>Test!Z275</f>
        <v/>
      </c>
      <c r="AL26" s="152">
        <f>AJ26/R26</f>
        <v/>
      </c>
      <c r="AM26" s="152">
        <f>AK26/S26</f>
        <v/>
      </c>
      <c r="AO26" s="196" t="n"/>
      <c r="AP26" s="179" t="n"/>
      <c r="AQ26" s="178" t="n"/>
      <c r="AR26" s="178" t="n"/>
      <c r="AS26" s="178" t="n"/>
      <c r="AT26" s="179" t="n"/>
      <c r="AU26" s="178" t="n"/>
      <c r="AV26" s="179" t="n"/>
      <c r="AW26" s="178" t="n"/>
      <c r="AX26" s="179" t="n"/>
      <c r="AY26" s="185" t="n"/>
      <c r="AZ26" s="179" t="n"/>
      <c r="BA26" s="185" t="n"/>
      <c r="CK26" s="5" t="n"/>
      <c r="EV26" s="7" t="n"/>
      <c r="EW26" s="7" t="n"/>
      <c r="EX26" s="7" t="n"/>
      <c r="EY26" s="7" t="n"/>
      <c r="EZ26" s="7" t="n"/>
      <c r="FA26" s="7" t="n"/>
      <c r="FB26" s="7" t="n"/>
      <c r="FC26" s="7" t="n"/>
    </row>
    <row r="27">
      <c r="A27" s="238" t="n"/>
      <c r="B27" s="38" t="n">
        <v>210</v>
      </c>
      <c r="C27" s="140">
        <f>Anchor!L276</f>
        <v/>
      </c>
      <c r="D27" s="140">
        <f>Anchor!M276</f>
        <v/>
      </c>
      <c r="E27" s="140">
        <f>Anchor!N276</f>
        <v/>
      </c>
      <c r="F27" s="140">
        <f>Anchor!O276</f>
        <v/>
      </c>
      <c r="G27" s="141">
        <f>('Summary (Full)'!$B$34*D27+'Summary (Full)'!$B$35*E27+'Summary (Full)'!$B$36*F27)/'Summary (Full)'!$B$37</f>
        <v/>
      </c>
      <c r="H27" s="140">
        <f>Anchor!P276</f>
        <v/>
      </c>
      <c r="I27" s="140">
        <f>Anchor!Q276</f>
        <v/>
      </c>
      <c r="J27" s="140">
        <f>Anchor!R276</f>
        <v/>
      </c>
      <c r="K27" s="140">
        <f>Anchor!S276</f>
        <v/>
      </c>
      <c r="L27" s="140">
        <f>Anchor!T276</f>
        <v/>
      </c>
      <c r="M27" s="140">
        <f>Anchor!U276</f>
        <v/>
      </c>
      <c r="N27" s="140">
        <f>Anchor!V276</f>
        <v/>
      </c>
      <c r="O27" s="140">
        <f>Anchor!W276</f>
        <v/>
      </c>
      <c r="P27" s="140">
        <f>Anchor!X276</f>
        <v/>
      </c>
      <c r="Q27" s="142">
        <f>10*LOG10(1/(('Summary (Full)'!$B$41/10^(N27/10)+'Summary (Full)'!$B$42/10^(O27/10)+'Summary (Full)'!$B$43/10^(P27/10))/'Summary (Full)'!$B$44))</f>
        <v/>
      </c>
      <c r="R27" s="140">
        <f>Anchor!Y276</f>
        <v/>
      </c>
      <c r="S27" s="140">
        <f>Anchor!Z276</f>
        <v/>
      </c>
      <c r="U27" s="129">
        <f>Test!L276</f>
        <v/>
      </c>
      <c r="V27" s="129">
        <f>Test!M276</f>
        <v/>
      </c>
      <c r="W27" s="129">
        <f>Test!N276</f>
        <v/>
      </c>
      <c r="X27" s="129">
        <f>Test!O276</f>
        <v/>
      </c>
      <c r="Y27" s="129">
        <f>('Summary (Full)'!$B$34*V27+'Summary (Full)'!$B$35*W27+'Summary (Full)'!$B$36*X27)/'Summary (Full)'!$B$37</f>
        <v/>
      </c>
      <c r="Z27" s="129">
        <f>Test!P276</f>
        <v/>
      </c>
      <c r="AA27" s="129">
        <f>Test!Q276</f>
        <v/>
      </c>
      <c r="AB27" s="129">
        <f>Test!R276</f>
        <v/>
      </c>
      <c r="AC27" s="129">
        <f>Test!S276</f>
        <v/>
      </c>
      <c r="AD27" s="129">
        <f>Test!T276</f>
        <v/>
      </c>
      <c r="AE27" s="129">
        <f>Test!U276</f>
        <v/>
      </c>
      <c r="AF27" s="129">
        <f>Test!V276</f>
        <v/>
      </c>
      <c r="AG27" s="129">
        <f>Test!W276</f>
        <v/>
      </c>
      <c r="AH27" s="129">
        <f>Test!X276</f>
        <v/>
      </c>
      <c r="AI27" s="129">
        <f>10*LOG10(1/(('Summary (Full)'!$B$41/10^(AF27/10)+'Summary (Full)'!$B$42/10^(AG27/10)+'Summary (Full)'!$B$43/10^(AH27/10))/'Summary (Full)'!$B$44))</f>
        <v/>
      </c>
      <c r="AJ27" s="155">
        <f>Test!Y276</f>
        <v/>
      </c>
      <c r="AK27" s="152">
        <f>Test!Z276</f>
        <v/>
      </c>
      <c r="AL27" s="152">
        <f>AJ27/R27</f>
        <v/>
      </c>
      <c r="AM27" s="152">
        <f>AK27/S27</f>
        <v/>
      </c>
      <c r="AO27" s="257" t="inlineStr">
        <is>
          <t>Low</t>
        </is>
      </c>
      <c r="AP27" s="177">
        <f t="array" ref="AP27">bdRateExtend($C25:$C28,D25:D28,$U25:$U28,V25:V28)</f>
        <v/>
      </c>
      <c r="AQ27" s="178" t="n"/>
      <c r="AR27" s="178" t="n"/>
      <c r="AS27" s="178" t="n"/>
      <c r="AT27" s="177">
        <f t="array" ref="AT27">bdRateExtend($C25:$C28,H25:H28,$U25:$U28,Z25:Z28)</f>
        <v/>
      </c>
      <c r="AU27" s="178" t="n"/>
      <c r="AV27" s="177">
        <f t="array" ref="AV27">bdRateExtend($C25:$C28,I25:I28,$U25:$U28,AA25:AA28)</f>
        <v/>
      </c>
      <c r="AW27" s="178" t="n"/>
      <c r="AX27" s="177">
        <f t="array" ref="AX27">bdRateExtend($C25:$C28,J25:J28,$U25:$U28,AB25:AB28,"None", FALSE,1)</f>
        <v/>
      </c>
      <c r="AY27" s="185" t="n"/>
      <c r="AZ27" s="246">
        <f t="array" ref="AZ27">testVMAFRange($C25:$C28,J25:J28,$U25:$U28,AB25:AB28)</f>
        <v/>
      </c>
      <c r="BA27" s="185" t="n"/>
      <c r="CK27" s="5" t="n"/>
      <c r="EV27" s="7" t="n"/>
      <c r="EW27" s="7" t="n"/>
      <c r="EX27" s="7" t="n"/>
      <c r="EY27" s="7" t="n"/>
      <c r="EZ27" s="7" t="n"/>
      <c r="FA27" s="7" t="n"/>
      <c r="FB27" s="7" t="n"/>
      <c r="FC27" s="7" t="n"/>
    </row>
    <row r="28" ht="14" customHeight="1" s="241" thickBot="1">
      <c r="A28" s="239" t="n"/>
      <c r="B28" s="38" t="n">
        <v>235</v>
      </c>
      <c r="C28" s="140">
        <f>Anchor!L277</f>
        <v/>
      </c>
      <c r="D28" s="140">
        <f>Anchor!M277</f>
        <v/>
      </c>
      <c r="E28" s="140">
        <f>Anchor!N277</f>
        <v/>
      </c>
      <c r="F28" s="140">
        <f>Anchor!O277</f>
        <v/>
      </c>
      <c r="G28" s="141">
        <f>('Summary (Full)'!$B$34*D28+'Summary (Full)'!$B$35*E28+'Summary (Full)'!$B$36*F28)/'Summary (Full)'!$B$37</f>
        <v/>
      </c>
      <c r="H28" s="140">
        <f>Anchor!P277</f>
        <v/>
      </c>
      <c r="I28" s="140">
        <f>Anchor!Q277</f>
        <v/>
      </c>
      <c r="J28" s="140">
        <f>Anchor!R277</f>
        <v/>
      </c>
      <c r="K28" s="140">
        <f>Anchor!S277</f>
        <v/>
      </c>
      <c r="L28" s="140">
        <f>Anchor!T277</f>
        <v/>
      </c>
      <c r="M28" s="140">
        <f>Anchor!U277</f>
        <v/>
      </c>
      <c r="N28" s="140">
        <f>Anchor!V277</f>
        <v/>
      </c>
      <c r="O28" s="140">
        <f>Anchor!W277</f>
        <v/>
      </c>
      <c r="P28" s="140">
        <f>Anchor!X277</f>
        <v/>
      </c>
      <c r="Q28" s="142">
        <f>10*LOG10(1/(('Summary (Full)'!$B$41/10^(N28/10)+'Summary (Full)'!$B$42/10^(O28/10)+'Summary (Full)'!$B$43/10^(P28/10))/'Summary (Full)'!$B$44))</f>
        <v/>
      </c>
      <c r="R28" s="140">
        <f>Anchor!Y277</f>
        <v/>
      </c>
      <c r="S28" s="140">
        <f>Anchor!Z277</f>
        <v/>
      </c>
      <c r="U28" s="129">
        <f>Test!L277</f>
        <v/>
      </c>
      <c r="V28" s="129">
        <f>Test!M277</f>
        <v/>
      </c>
      <c r="W28" s="129">
        <f>Test!N277</f>
        <v/>
      </c>
      <c r="X28" s="129">
        <f>Test!O277</f>
        <v/>
      </c>
      <c r="Y28" s="129">
        <f>('Summary (Full)'!$B$34*V28+'Summary (Full)'!$B$35*W28+'Summary (Full)'!$B$36*X28)/'Summary (Full)'!$B$37</f>
        <v/>
      </c>
      <c r="Z28" s="129">
        <f>Test!P277</f>
        <v/>
      </c>
      <c r="AA28" s="129">
        <f>Test!Q277</f>
        <v/>
      </c>
      <c r="AB28" s="129">
        <f>Test!R277</f>
        <v/>
      </c>
      <c r="AC28" s="129">
        <f>Test!S277</f>
        <v/>
      </c>
      <c r="AD28" s="129">
        <f>Test!T277</f>
        <v/>
      </c>
      <c r="AE28" s="129">
        <f>Test!U277</f>
        <v/>
      </c>
      <c r="AF28" s="129">
        <f>Test!V277</f>
        <v/>
      </c>
      <c r="AG28" s="129">
        <f>Test!W277</f>
        <v/>
      </c>
      <c r="AH28" s="129">
        <f>Test!X277</f>
        <v/>
      </c>
      <c r="AI28" s="129">
        <f>10*LOG10(1/(('Summary (Full)'!$B$41/10^(AF28/10)+'Summary (Full)'!$B$42/10^(AG28/10)+'Summary (Full)'!$B$43/10^(AH28/10))/'Summary (Full)'!$B$44))</f>
        <v/>
      </c>
      <c r="AJ28" s="155">
        <f>Test!Y277</f>
        <v/>
      </c>
      <c r="AK28" s="152">
        <f>Test!Z277</f>
        <v/>
      </c>
      <c r="AL28" s="152">
        <f>AJ28/R28</f>
        <v/>
      </c>
      <c r="AM28" s="152">
        <f>AK28/S28</f>
        <v/>
      </c>
      <c r="AO28" s="196" t="n"/>
      <c r="AP28" s="179" t="n"/>
      <c r="AQ28" s="179" t="n"/>
      <c r="AR28" s="179" t="n"/>
      <c r="AS28" s="179" t="n"/>
      <c r="AT28" s="179" t="n"/>
      <c r="AU28" s="179" t="n"/>
      <c r="AV28" s="179" t="n"/>
      <c r="AW28" s="179" t="n"/>
      <c r="AX28" s="179" t="n"/>
      <c r="AY28" s="186" t="n"/>
      <c r="AZ28" s="179" t="n"/>
      <c r="BA28" s="186" t="n"/>
      <c r="CK28" s="5" t="n"/>
      <c r="EV28" s="7" t="n"/>
      <c r="EW28" s="7" t="n"/>
      <c r="EX28" s="7" t="n"/>
      <c r="EY28" s="7" t="n"/>
      <c r="EZ28" s="7" t="n"/>
      <c r="FA28" s="7" t="n"/>
      <c r="FB28" s="7" t="n"/>
      <c r="FC28" s="7" t="n"/>
    </row>
    <row r="29">
      <c r="A29" s="242" t="inlineStr">
        <is>
          <t>960x540</t>
        </is>
      </c>
      <c r="B29" s="38" t="n">
        <v>110</v>
      </c>
      <c r="C29" s="140">
        <f>Anchor!L278</f>
        <v/>
      </c>
      <c r="D29" s="140">
        <f>Anchor!M278</f>
        <v/>
      </c>
      <c r="E29" s="140">
        <f>Anchor!N278</f>
        <v/>
      </c>
      <c r="F29" s="140">
        <f>Anchor!O278</f>
        <v/>
      </c>
      <c r="G29" s="141">
        <f>('Summary (Full)'!$B$34*D29+'Summary (Full)'!$B$35*E29+'Summary (Full)'!$B$36*F29)/'Summary (Full)'!$B$37</f>
        <v/>
      </c>
      <c r="H29" s="140">
        <f>Anchor!P278</f>
        <v/>
      </c>
      <c r="I29" s="140">
        <f>Anchor!Q278</f>
        <v/>
      </c>
      <c r="J29" s="140">
        <f>Anchor!R278</f>
        <v/>
      </c>
      <c r="K29" s="140">
        <f>Anchor!S278</f>
        <v/>
      </c>
      <c r="L29" s="140">
        <f>Anchor!T278</f>
        <v/>
      </c>
      <c r="M29" s="140">
        <f>Anchor!U278</f>
        <v/>
      </c>
      <c r="N29" s="140">
        <f>Anchor!V278</f>
        <v/>
      </c>
      <c r="O29" s="140">
        <f>Anchor!W278</f>
        <v/>
      </c>
      <c r="P29" s="140">
        <f>Anchor!X278</f>
        <v/>
      </c>
      <c r="Q29" s="142">
        <f>10*LOG10(1/(('Summary (Full)'!$B$41/10^(N29/10)+'Summary (Full)'!$B$42/10^(O29/10)+'Summary (Full)'!$B$43/10^(P29/10))/'Summary (Full)'!$B$44))</f>
        <v/>
      </c>
      <c r="R29" s="140">
        <f>Anchor!Y278</f>
        <v/>
      </c>
      <c r="S29" s="140">
        <f>Anchor!Z278</f>
        <v/>
      </c>
      <c r="U29" s="129">
        <f>Test!L278</f>
        <v/>
      </c>
      <c r="V29" s="129">
        <f>Test!M278</f>
        <v/>
      </c>
      <c r="W29" s="129">
        <f>Test!N278</f>
        <v/>
      </c>
      <c r="X29" s="129">
        <f>Test!O278</f>
        <v/>
      </c>
      <c r="Y29" s="129">
        <f>('Summary (Full)'!$B$34*V29+'Summary (Full)'!$B$35*W29+'Summary (Full)'!$B$36*X29)/'Summary (Full)'!$B$37</f>
        <v/>
      </c>
      <c r="Z29" s="129">
        <f>Test!P278</f>
        <v/>
      </c>
      <c r="AA29" s="129">
        <f>Test!Q278</f>
        <v/>
      </c>
      <c r="AB29" s="129">
        <f>Test!R278</f>
        <v/>
      </c>
      <c r="AC29" s="129">
        <f>Test!S278</f>
        <v/>
      </c>
      <c r="AD29" s="129">
        <f>Test!T278</f>
        <v/>
      </c>
      <c r="AE29" s="129">
        <f>Test!U278</f>
        <v/>
      </c>
      <c r="AF29" s="129">
        <f>Test!V278</f>
        <v/>
      </c>
      <c r="AG29" s="129">
        <f>Test!W278</f>
        <v/>
      </c>
      <c r="AH29" s="129">
        <f>Test!X278</f>
        <v/>
      </c>
      <c r="AI29" s="129">
        <f>10*LOG10(1/(('Summary (Full)'!$B$41/10^(AF29/10)+'Summary (Full)'!$B$42/10^(AG29/10)+'Summary (Full)'!$B$43/10^(AH29/10))/'Summary (Full)'!$B$44))</f>
        <v/>
      </c>
      <c r="AJ29" s="155">
        <f>Test!Y278</f>
        <v/>
      </c>
      <c r="AK29" s="152">
        <f>Test!Z278</f>
        <v/>
      </c>
      <c r="AL29" s="152">
        <f>AJ29/R29</f>
        <v/>
      </c>
      <c r="AM29" s="152">
        <f>AK29/S29</f>
        <v/>
      </c>
      <c r="AO29" s="244" t="inlineStr">
        <is>
          <t>High</t>
        </is>
      </c>
      <c r="AP29" s="180">
        <f t="array" ref="AP29">bdRateExtend($C29:$C32,D29:D32,$U29:$U32,V29:V32)</f>
        <v/>
      </c>
      <c r="AQ29" s="180">
        <f t="array" ref="AQ29">bdRateExtend($C29:$C34,D29:D34,$U29:$U34,V29:V34)</f>
        <v/>
      </c>
      <c r="AR29" s="180">
        <f t="array" ref="AR29">bdRateExtend($C29:$C34,E29:E34,$U29:$U34,W29:W34)</f>
        <v/>
      </c>
      <c r="AS29" s="180">
        <f t="array" ref="AS29">bdRateExtend($C29:$C34,F29:F34,$U29:$U34,X29:X34)</f>
        <v/>
      </c>
      <c r="AT29" s="180">
        <f t="array" ref="AT29">bdRateExtend($C29:$C32,H29:H32,$U29:$U32,Z29:Z32)</f>
        <v/>
      </c>
      <c r="AU29" s="180">
        <f t="array" ref="AU29">bdRateExtend($C29:$C34,H29:H34,$U29:$U34,Z29:Z34)</f>
        <v/>
      </c>
      <c r="AV29" s="180">
        <f t="array" ref="AV29">bdRateExtend($C29:$C32,I29:I32,$U29:$U32,AA29:AA32)</f>
        <v/>
      </c>
      <c r="AW29" s="180">
        <f t="array" ref="AW29">bdRateExtend($C29:$C34,I29:I34,$U29:$U34,AA29:AA34)</f>
        <v/>
      </c>
      <c r="AX29" s="180">
        <f t="array" ref="AX29">bdRateExtend($C29:$C32,J29:J32,$U29:$U32,AB29:AB32,"None", FALSE,1)</f>
        <v/>
      </c>
      <c r="AY29" s="184">
        <f t="array" ref="AY29">bdRateExtend($C29:$C34,J29:J34,$U29:$U34,AB29:AB34,"None", FALSE,TRUE)</f>
        <v/>
      </c>
      <c r="AZ29" s="247">
        <f t="array" ref="AZ29">testVMAFRange($C29:$C32,J29:J32,$U29:$U32,AB29:AB32)</f>
        <v/>
      </c>
      <c r="BA29" s="198">
        <f t="array" ref="BA29">testVMAFRange($C29:$C34,J29:J34,$U29:$U34,AB29:AB34)</f>
        <v/>
      </c>
      <c r="CK29" s="5" t="n"/>
      <c r="EV29" s="7" t="n"/>
      <c r="EW29" s="7" t="n"/>
      <c r="EX29" s="7" t="n"/>
      <c r="EY29" s="7" t="n"/>
      <c r="EZ29" s="7" t="n"/>
      <c r="FA29" s="7" t="n"/>
      <c r="FB29" s="7" t="n"/>
      <c r="FC29" s="7" t="n"/>
    </row>
    <row r="30">
      <c r="A30" s="238" t="n"/>
      <c r="B30" s="38" t="n">
        <v>135</v>
      </c>
      <c r="C30" s="140">
        <f>Anchor!L279</f>
        <v/>
      </c>
      <c r="D30" s="140">
        <f>Anchor!M279</f>
        <v/>
      </c>
      <c r="E30" s="140">
        <f>Anchor!N279</f>
        <v/>
      </c>
      <c r="F30" s="140">
        <f>Anchor!O279</f>
        <v/>
      </c>
      <c r="G30" s="141">
        <f>('Summary (Full)'!$B$34*D30+'Summary (Full)'!$B$35*E30+'Summary (Full)'!$B$36*F30)/'Summary (Full)'!$B$37</f>
        <v/>
      </c>
      <c r="H30" s="140">
        <f>Anchor!P279</f>
        <v/>
      </c>
      <c r="I30" s="140">
        <f>Anchor!Q279</f>
        <v/>
      </c>
      <c r="J30" s="140">
        <f>Anchor!R279</f>
        <v/>
      </c>
      <c r="K30" s="140">
        <f>Anchor!S279</f>
        <v/>
      </c>
      <c r="L30" s="140">
        <f>Anchor!T279</f>
        <v/>
      </c>
      <c r="M30" s="140">
        <f>Anchor!U279</f>
        <v/>
      </c>
      <c r="N30" s="140">
        <f>Anchor!V279</f>
        <v/>
      </c>
      <c r="O30" s="140">
        <f>Anchor!W279</f>
        <v/>
      </c>
      <c r="P30" s="140">
        <f>Anchor!X279</f>
        <v/>
      </c>
      <c r="Q30" s="142">
        <f>10*LOG10(1/(('Summary (Full)'!$B$41/10^(N30/10)+'Summary (Full)'!$B$42/10^(O30/10)+'Summary (Full)'!$B$43/10^(P30/10))/'Summary (Full)'!$B$44))</f>
        <v/>
      </c>
      <c r="R30" s="140">
        <f>Anchor!Y279</f>
        <v/>
      </c>
      <c r="S30" s="140">
        <f>Anchor!Z279</f>
        <v/>
      </c>
      <c r="U30" s="129">
        <f>Test!L279</f>
        <v/>
      </c>
      <c r="V30" s="129">
        <f>Test!M279</f>
        <v/>
      </c>
      <c r="W30" s="129">
        <f>Test!N279</f>
        <v/>
      </c>
      <c r="X30" s="129">
        <f>Test!O279</f>
        <v/>
      </c>
      <c r="Y30" s="129">
        <f>('Summary (Full)'!$B$34*V30+'Summary (Full)'!$B$35*W30+'Summary (Full)'!$B$36*X30)/'Summary (Full)'!$B$37</f>
        <v/>
      </c>
      <c r="Z30" s="129">
        <f>Test!P279</f>
        <v/>
      </c>
      <c r="AA30" s="129">
        <f>Test!Q279</f>
        <v/>
      </c>
      <c r="AB30" s="129">
        <f>Test!R279</f>
        <v/>
      </c>
      <c r="AC30" s="129">
        <f>Test!S279</f>
        <v/>
      </c>
      <c r="AD30" s="129">
        <f>Test!T279</f>
        <v/>
      </c>
      <c r="AE30" s="129">
        <f>Test!U279</f>
        <v/>
      </c>
      <c r="AF30" s="129">
        <f>Test!V279</f>
        <v/>
      </c>
      <c r="AG30" s="129">
        <f>Test!W279</f>
        <v/>
      </c>
      <c r="AH30" s="129">
        <f>Test!X279</f>
        <v/>
      </c>
      <c r="AI30" s="129">
        <f>10*LOG10(1/(('Summary (Full)'!$B$41/10^(AF30/10)+'Summary (Full)'!$B$42/10^(AG30/10)+'Summary (Full)'!$B$43/10^(AH30/10))/'Summary (Full)'!$B$44))</f>
        <v/>
      </c>
      <c r="AJ30" s="155">
        <f>Test!Y279</f>
        <v/>
      </c>
      <c r="AK30" s="152">
        <f>Test!Z279</f>
        <v/>
      </c>
      <c r="AL30" s="152">
        <f>AJ30/R30</f>
        <v/>
      </c>
      <c r="AM30" s="152">
        <f>AK30/S30</f>
        <v/>
      </c>
      <c r="AO30" s="196" t="n"/>
      <c r="AP30" s="179" t="n"/>
      <c r="AQ30" s="178" t="n"/>
      <c r="AR30" s="178" t="n"/>
      <c r="AS30" s="178" t="n"/>
      <c r="AT30" s="179" t="n"/>
      <c r="AU30" s="178" t="n"/>
      <c r="AV30" s="179" t="n"/>
      <c r="AW30" s="178" t="n"/>
      <c r="AX30" s="179" t="n"/>
      <c r="AY30" s="185" t="n"/>
      <c r="AZ30" s="179" t="n"/>
      <c r="BA30" s="185" t="n"/>
      <c r="CK30" s="5" t="n"/>
      <c r="EV30" s="7" t="n"/>
      <c r="EW30" s="7" t="n"/>
      <c r="EX30" s="7" t="n"/>
      <c r="EY30" s="7" t="n"/>
      <c r="EZ30" s="7" t="n"/>
      <c r="FA30" s="7" t="n"/>
      <c r="FB30" s="7" t="n"/>
      <c r="FC30" s="7" t="n"/>
    </row>
    <row r="31">
      <c r="A31" s="238" t="n"/>
      <c r="B31" s="38" t="n">
        <v>160</v>
      </c>
      <c r="C31" s="140">
        <f>Anchor!L280</f>
        <v/>
      </c>
      <c r="D31" s="140">
        <f>Anchor!M280</f>
        <v/>
      </c>
      <c r="E31" s="140">
        <f>Anchor!N280</f>
        <v/>
      </c>
      <c r="F31" s="140">
        <f>Anchor!O280</f>
        <v/>
      </c>
      <c r="G31" s="141">
        <f>('Summary (Full)'!$B$34*D31+'Summary (Full)'!$B$35*E31+'Summary (Full)'!$B$36*F31)/'Summary (Full)'!$B$37</f>
        <v/>
      </c>
      <c r="H31" s="140">
        <f>Anchor!P280</f>
        <v/>
      </c>
      <c r="I31" s="140">
        <f>Anchor!Q280</f>
        <v/>
      </c>
      <c r="J31" s="140">
        <f>Anchor!R280</f>
        <v/>
      </c>
      <c r="K31" s="140">
        <f>Anchor!S280</f>
        <v/>
      </c>
      <c r="L31" s="140">
        <f>Anchor!T280</f>
        <v/>
      </c>
      <c r="M31" s="140">
        <f>Anchor!U280</f>
        <v/>
      </c>
      <c r="N31" s="140">
        <f>Anchor!V280</f>
        <v/>
      </c>
      <c r="O31" s="140">
        <f>Anchor!W280</f>
        <v/>
      </c>
      <c r="P31" s="140">
        <f>Anchor!X280</f>
        <v/>
      </c>
      <c r="Q31" s="142">
        <f>10*LOG10(1/(('Summary (Full)'!$B$41/10^(N31/10)+'Summary (Full)'!$B$42/10^(O31/10)+'Summary (Full)'!$B$43/10^(P31/10))/'Summary (Full)'!$B$44))</f>
        <v/>
      </c>
      <c r="R31" s="140">
        <f>Anchor!Y280</f>
        <v/>
      </c>
      <c r="S31" s="140">
        <f>Anchor!Z280</f>
        <v/>
      </c>
      <c r="U31" s="129">
        <f>Test!L280</f>
        <v/>
      </c>
      <c r="V31" s="129">
        <f>Test!M280</f>
        <v/>
      </c>
      <c r="W31" s="129">
        <f>Test!N280</f>
        <v/>
      </c>
      <c r="X31" s="129">
        <f>Test!O280</f>
        <v/>
      </c>
      <c r="Y31" s="129">
        <f>('Summary (Full)'!$B$34*V31+'Summary (Full)'!$B$35*W31+'Summary (Full)'!$B$36*X31)/'Summary (Full)'!$B$37</f>
        <v/>
      </c>
      <c r="Z31" s="129">
        <f>Test!P280</f>
        <v/>
      </c>
      <c r="AA31" s="129">
        <f>Test!Q280</f>
        <v/>
      </c>
      <c r="AB31" s="129">
        <f>Test!R280</f>
        <v/>
      </c>
      <c r="AC31" s="129">
        <f>Test!S280</f>
        <v/>
      </c>
      <c r="AD31" s="129">
        <f>Test!T280</f>
        <v/>
      </c>
      <c r="AE31" s="129">
        <f>Test!U280</f>
        <v/>
      </c>
      <c r="AF31" s="129">
        <f>Test!V280</f>
        <v/>
      </c>
      <c r="AG31" s="129">
        <f>Test!W280</f>
        <v/>
      </c>
      <c r="AH31" s="129">
        <f>Test!X280</f>
        <v/>
      </c>
      <c r="AI31" s="129">
        <f>10*LOG10(1/(('Summary (Full)'!$B$41/10^(AF31/10)+'Summary (Full)'!$B$42/10^(AG31/10)+'Summary (Full)'!$B$43/10^(AH31/10))/'Summary (Full)'!$B$44))</f>
        <v/>
      </c>
      <c r="AJ31" s="155">
        <f>Test!Y280</f>
        <v/>
      </c>
      <c r="AK31" s="152">
        <f>Test!Z280</f>
        <v/>
      </c>
      <c r="AL31" s="152">
        <f>AJ31/R31</f>
        <v/>
      </c>
      <c r="AM31" s="152">
        <f>AK31/S31</f>
        <v/>
      </c>
      <c r="AO31" s="257" t="inlineStr">
        <is>
          <t>Med</t>
        </is>
      </c>
      <c r="AP31" s="177">
        <f t="array" ref="AP31">bdRateExtend($C30:$C33,D30:D33,$U30:$U33,V30:V33)</f>
        <v/>
      </c>
      <c r="AQ31" s="178" t="n"/>
      <c r="AR31" s="178" t="n"/>
      <c r="AS31" s="178" t="n"/>
      <c r="AT31" s="177">
        <f t="array" ref="AT31">bdRateExtend($C30:$C33,H30:H33,$U30:$U33,Z30:Z33)</f>
        <v/>
      </c>
      <c r="AU31" s="178" t="n"/>
      <c r="AV31" s="177">
        <f t="array" ref="AV31">bdRateExtend($C30:$C33,I30:I33,$U30:$U33,AA30:AA33)</f>
        <v/>
      </c>
      <c r="AW31" s="178" t="n"/>
      <c r="AX31" s="177">
        <f t="array" ref="AX31">bdRateExtend($C30:$C33,J30:J33,$U30:$U33,AB30:AB33,"None", FALSE,1)</f>
        <v/>
      </c>
      <c r="AY31" s="185" t="n"/>
      <c r="AZ31" s="246">
        <f t="array" ref="AZ31">testVMAFRange($C30:$C33,J30:J33,$U30:$U33,AB30:AB33)</f>
        <v/>
      </c>
      <c r="BA31" s="185" t="n"/>
      <c r="CK31" s="5" t="n"/>
      <c r="EV31" s="7" t="n"/>
      <c r="EW31" s="7" t="n"/>
      <c r="EX31" s="7" t="n"/>
      <c r="EY31" s="7" t="n"/>
      <c r="EZ31" s="7" t="n"/>
      <c r="FA31" s="7" t="n"/>
      <c r="FB31" s="7" t="n"/>
      <c r="FC31" s="7" t="n"/>
    </row>
    <row r="32">
      <c r="A32" s="238" t="n"/>
      <c r="B32" s="38" t="n">
        <v>185</v>
      </c>
      <c r="C32" s="140">
        <f>Anchor!L281</f>
        <v/>
      </c>
      <c r="D32" s="140">
        <f>Anchor!M281</f>
        <v/>
      </c>
      <c r="E32" s="140">
        <f>Anchor!N281</f>
        <v/>
      </c>
      <c r="F32" s="140">
        <f>Anchor!O281</f>
        <v/>
      </c>
      <c r="G32" s="141">
        <f>('Summary (Full)'!$B$34*D32+'Summary (Full)'!$B$35*E32+'Summary (Full)'!$B$36*F32)/'Summary (Full)'!$B$37</f>
        <v/>
      </c>
      <c r="H32" s="140">
        <f>Anchor!P281</f>
        <v/>
      </c>
      <c r="I32" s="140">
        <f>Anchor!Q281</f>
        <v/>
      </c>
      <c r="J32" s="140">
        <f>Anchor!R281</f>
        <v/>
      </c>
      <c r="K32" s="140">
        <f>Anchor!S281</f>
        <v/>
      </c>
      <c r="L32" s="140">
        <f>Anchor!T281</f>
        <v/>
      </c>
      <c r="M32" s="140">
        <f>Anchor!U281</f>
        <v/>
      </c>
      <c r="N32" s="140">
        <f>Anchor!V281</f>
        <v/>
      </c>
      <c r="O32" s="140">
        <f>Anchor!W281</f>
        <v/>
      </c>
      <c r="P32" s="140">
        <f>Anchor!X281</f>
        <v/>
      </c>
      <c r="Q32" s="142">
        <f>10*LOG10(1/(('Summary (Full)'!$B$41/10^(N32/10)+'Summary (Full)'!$B$42/10^(O32/10)+'Summary (Full)'!$B$43/10^(P32/10))/'Summary (Full)'!$B$44))</f>
        <v/>
      </c>
      <c r="R32" s="140">
        <f>Anchor!Y281</f>
        <v/>
      </c>
      <c r="S32" s="140">
        <f>Anchor!Z281</f>
        <v/>
      </c>
      <c r="U32" s="129">
        <f>Test!L281</f>
        <v/>
      </c>
      <c r="V32" s="129">
        <f>Test!M281</f>
        <v/>
      </c>
      <c r="W32" s="129">
        <f>Test!N281</f>
        <v/>
      </c>
      <c r="X32" s="129">
        <f>Test!O281</f>
        <v/>
      </c>
      <c r="Y32" s="129">
        <f>('Summary (Full)'!$B$34*V32+'Summary (Full)'!$B$35*W32+'Summary (Full)'!$B$36*X32)/'Summary (Full)'!$B$37</f>
        <v/>
      </c>
      <c r="Z32" s="129">
        <f>Test!P281</f>
        <v/>
      </c>
      <c r="AA32" s="129">
        <f>Test!Q281</f>
        <v/>
      </c>
      <c r="AB32" s="129">
        <f>Test!R281</f>
        <v/>
      </c>
      <c r="AC32" s="129">
        <f>Test!S281</f>
        <v/>
      </c>
      <c r="AD32" s="129">
        <f>Test!T281</f>
        <v/>
      </c>
      <c r="AE32" s="129">
        <f>Test!U281</f>
        <v/>
      </c>
      <c r="AF32" s="129">
        <f>Test!V281</f>
        <v/>
      </c>
      <c r="AG32" s="129">
        <f>Test!W281</f>
        <v/>
      </c>
      <c r="AH32" s="129">
        <f>Test!X281</f>
        <v/>
      </c>
      <c r="AI32" s="129">
        <f>10*LOG10(1/(('Summary (Full)'!$B$41/10^(AF32/10)+'Summary (Full)'!$B$42/10^(AG32/10)+'Summary (Full)'!$B$43/10^(AH32/10))/'Summary (Full)'!$B$44))</f>
        <v/>
      </c>
      <c r="AJ32" s="155">
        <f>Test!Y281</f>
        <v/>
      </c>
      <c r="AK32" s="152">
        <f>Test!Z281</f>
        <v/>
      </c>
      <c r="AL32" s="152">
        <f>AJ32/R32</f>
        <v/>
      </c>
      <c r="AM32" s="152">
        <f>AK32/S32</f>
        <v/>
      </c>
      <c r="AO32" s="196" t="n"/>
      <c r="AP32" s="179" t="n"/>
      <c r="AQ32" s="178" t="n"/>
      <c r="AR32" s="178" t="n"/>
      <c r="AS32" s="178" t="n"/>
      <c r="AT32" s="179" t="n"/>
      <c r="AU32" s="178" t="n"/>
      <c r="AV32" s="179" t="n"/>
      <c r="AW32" s="178" t="n"/>
      <c r="AX32" s="179" t="n"/>
      <c r="AY32" s="185" t="n"/>
      <c r="AZ32" s="179" t="n"/>
      <c r="BA32" s="185" t="n"/>
      <c r="CC32" s="133" t="n"/>
      <c r="CE32" s="119" t="n"/>
      <c r="CF32" s="119" t="n"/>
      <c r="CK32" s="5" t="n"/>
      <c r="EV32" s="7" t="n"/>
      <c r="EW32" s="7" t="n"/>
      <c r="EX32" s="7" t="n"/>
      <c r="EY32" s="7" t="n"/>
      <c r="EZ32" s="7" t="n"/>
      <c r="FA32" s="7" t="n"/>
      <c r="FB32" s="7" t="n"/>
      <c r="FC32" s="7" t="n"/>
    </row>
    <row r="33">
      <c r="A33" s="238" t="n"/>
      <c r="B33" s="38" t="n">
        <v>210</v>
      </c>
      <c r="C33" s="140">
        <f>Anchor!L282</f>
        <v/>
      </c>
      <c r="D33" s="140">
        <f>Anchor!M282</f>
        <v/>
      </c>
      <c r="E33" s="140">
        <f>Anchor!N282</f>
        <v/>
      </c>
      <c r="F33" s="140">
        <f>Anchor!O282</f>
        <v/>
      </c>
      <c r="G33" s="141">
        <f>('Summary (Full)'!$B$34*D33+'Summary (Full)'!$B$35*E33+'Summary (Full)'!$B$36*F33)/'Summary (Full)'!$B$37</f>
        <v/>
      </c>
      <c r="H33" s="140">
        <f>Anchor!P282</f>
        <v/>
      </c>
      <c r="I33" s="140">
        <f>Anchor!Q282</f>
        <v/>
      </c>
      <c r="J33" s="140">
        <f>Anchor!R282</f>
        <v/>
      </c>
      <c r="K33" s="140">
        <f>Anchor!S282</f>
        <v/>
      </c>
      <c r="L33" s="140">
        <f>Anchor!T282</f>
        <v/>
      </c>
      <c r="M33" s="140">
        <f>Anchor!U282</f>
        <v/>
      </c>
      <c r="N33" s="140">
        <f>Anchor!V282</f>
        <v/>
      </c>
      <c r="O33" s="140">
        <f>Anchor!W282</f>
        <v/>
      </c>
      <c r="P33" s="140">
        <f>Anchor!X282</f>
        <v/>
      </c>
      <c r="Q33" s="142">
        <f>10*LOG10(1/(('Summary (Full)'!$B$41/10^(N33/10)+'Summary (Full)'!$B$42/10^(O33/10)+'Summary (Full)'!$B$43/10^(P33/10))/'Summary (Full)'!$B$44))</f>
        <v/>
      </c>
      <c r="R33" s="140">
        <f>Anchor!Y282</f>
        <v/>
      </c>
      <c r="S33" s="140">
        <f>Anchor!Z282</f>
        <v/>
      </c>
      <c r="U33" s="129">
        <f>Test!L282</f>
        <v/>
      </c>
      <c r="V33" s="129">
        <f>Test!M282</f>
        <v/>
      </c>
      <c r="W33" s="129">
        <f>Test!N282</f>
        <v/>
      </c>
      <c r="X33" s="129">
        <f>Test!O282</f>
        <v/>
      </c>
      <c r="Y33" s="129">
        <f>('Summary (Full)'!$B$34*V33+'Summary (Full)'!$B$35*W33+'Summary (Full)'!$B$36*X33)/'Summary (Full)'!$B$37</f>
        <v/>
      </c>
      <c r="Z33" s="129">
        <f>Test!P282</f>
        <v/>
      </c>
      <c r="AA33" s="129">
        <f>Test!Q282</f>
        <v/>
      </c>
      <c r="AB33" s="129">
        <f>Test!R282</f>
        <v/>
      </c>
      <c r="AC33" s="129">
        <f>Test!S282</f>
        <v/>
      </c>
      <c r="AD33" s="129">
        <f>Test!T282</f>
        <v/>
      </c>
      <c r="AE33" s="129">
        <f>Test!U282</f>
        <v/>
      </c>
      <c r="AF33" s="129">
        <f>Test!V282</f>
        <v/>
      </c>
      <c r="AG33" s="129">
        <f>Test!W282</f>
        <v/>
      </c>
      <c r="AH33" s="129">
        <f>Test!X282</f>
        <v/>
      </c>
      <c r="AI33" s="129">
        <f>10*LOG10(1/(('Summary (Full)'!$B$41/10^(AF33/10)+'Summary (Full)'!$B$42/10^(AG33/10)+'Summary (Full)'!$B$43/10^(AH33/10))/'Summary (Full)'!$B$44))</f>
        <v/>
      </c>
      <c r="AJ33" s="155">
        <f>Test!Y282</f>
        <v/>
      </c>
      <c r="AK33" s="152">
        <f>Test!Z282</f>
        <v/>
      </c>
      <c r="AL33" s="152">
        <f>AJ33/R33</f>
        <v/>
      </c>
      <c r="AM33" s="152">
        <f>AK33/S33</f>
        <v/>
      </c>
      <c r="AO33" s="257" t="inlineStr">
        <is>
          <t>Low</t>
        </is>
      </c>
      <c r="AP33" s="177">
        <f t="array" ref="AP33">bdRateExtend($C31:$C34,D31:D34,$U31:$U34,V31:V34)</f>
        <v/>
      </c>
      <c r="AQ33" s="178" t="n"/>
      <c r="AR33" s="178" t="n"/>
      <c r="AS33" s="178" t="n"/>
      <c r="AT33" s="177">
        <f t="array" ref="AT33">bdRateExtend($C31:$C34,H31:H34,$U31:$U34,Z31:Z34)</f>
        <v/>
      </c>
      <c r="AU33" s="178" t="n"/>
      <c r="AV33" s="177">
        <f t="array" ref="AV33">bdRateExtend($C31:$C34,I31:I34,$U31:$U34,AA31:AA34)</f>
        <v/>
      </c>
      <c r="AW33" s="178" t="n"/>
      <c r="AX33" s="177">
        <f t="array" ref="AX33">bdRateExtend($C31:$C34,J31:J34,$U31:$U34,AB31:AB34,"None", FALSE,1)</f>
        <v/>
      </c>
      <c r="AY33" s="185" t="n"/>
      <c r="AZ33" s="246">
        <f t="array" ref="AZ33">testVMAFRange($C31:$C34,J31:J34,$U31:$U34,AB31:AB34)</f>
        <v/>
      </c>
      <c r="BA33" s="185" t="n"/>
      <c r="CE33" s="119" t="n"/>
      <c r="CF33" s="119" t="n"/>
      <c r="CK33" s="5" t="n"/>
      <c r="EV33" s="7" t="n"/>
      <c r="EW33" s="7" t="n"/>
      <c r="EX33" s="7" t="n"/>
      <c r="EY33" s="7" t="n"/>
      <c r="EZ33" s="7" t="n"/>
      <c r="FA33" s="7" t="n"/>
      <c r="FB33" s="7" t="n"/>
      <c r="FC33" s="7" t="n"/>
    </row>
    <row r="34" ht="14" customHeight="1" s="241" thickBot="1">
      <c r="A34" s="239" t="n"/>
      <c r="B34" s="38" t="n">
        <v>235</v>
      </c>
      <c r="C34" s="140">
        <f>Anchor!L283</f>
        <v/>
      </c>
      <c r="D34" s="140">
        <f>Anchor!M283</f>
        <v/>
      </c>
      <c r="E34" s="140">
        <f>Anchor!N283</f>
        <v/>
      </c>
      <c r="F34" s="140">
        <f>Anchor!O283</f>
        <v/>
      </c>
      <c r="G34" s="141">
        <f>('Summary (Full)'!$B$34*D34+'Summary (Full)'!$B$35*E34+'Summary (Full)'!$B$36*F34)/'Summary (Full)'!$B$37</f>
        <v/>
      </c>
      <c r="H34" s="140">
        <f>Anchor!P283</f>
        <v/>
      </c>
      <c r="I34" s="140">
        <f>Anchor!Q283</f>
        <v/>
      </c>
      <c r="J34" s="140">
        <f>Anchor!R283</f>
        <v/>
      </c>
      <c r="K34" s="140">
        <f>Anchor!S283</f>
        <v/>
      </c>
      <c r="L34" s="140">
        <f>Anchor!T283</f>
        <v/>
      </c>
      <c r="M34" s="140">
        <f>Anchor!U283</f>
        <v/>
      </c>
      <c r="N34" s="140">
        <f>Anchor!V283</f>
        <v/>
      </c>
      <c r="O34" s="140">
        <f>Anchor!W283</f>
        <v/>
      </c>
      <c r="P34" s="140">
        <f>Anchor!X283</f>
        <v/>
      </c>
      <c r="Q34" s="142">
        <f>10*LOG10(1/(('Summary (Full)'!$B$41/10^(N34/10)+'Summary (Full)'!$B$42/10^(O34/10)+'Summary (Full)'!$B$43/10^(P34/10))/'Summary (Full)'!$B$44))</f>
        <v/>
      </c>
      <c r="R34" s="140">
        <f>Anchor!Y283</f>
        <v/>
      </c>
      <c r="S34" s="140">
        <f>Anchor!Z283</f>
        <v/>
      </c>
      <c r="U34" s="129">
        <f>Test!L283</f>
        <v/>
      </c>
      <c r="V34" s="129">
        <f>Test!M283</f>
        <v/>
      </c>
      <c r="W34" s="129">
        <f>Test!N283</f>
        <v/>
      </c>
      <c r="X34" s="129">
        <f>Test!O283</f>
        <v/>
      </c>
      <c r="Y34" s="129">
        <f>('Summary (Full)'!$B$34*V34+'Summary (Full)'!$B$35*W34+'Summary (Full)'!$B$36*X34)/'Summary (Full)'!$B$37</f>
        <v/>
      </c>
      <c r="Z34" s="129">
        <f>Test!P283</f>
        <v/>
      </c>
      <c r="AA34" s="129">
        <f>Test!Q283</f>
        <v/>
      </c>
      <c r="AB34" s="129">
        <f>Test!R283</f>
        <v/>
      </c>
      <c r="AC34" s="129">
        <f>Test!S283</f>
        <v/>
      </c>
      <c r="AD34" s="129">
        <f>Test!T283</f>
        <v/>
      </c>
      <c r="AE34" s="129">
        <f>Test!U283</f>
        <v/>
      </c>
      <c r="AF34" s="129">
        <f>Test!V283</f>
        <v/>
      </c>
      <c r="AG34" s="129">
        <f>Test!W283</f>
        <v/>
      </c>
      <c r="AH34" s="129">
        <f>Test!X283</f>
        <v/>
      </c>
      <c r="AI34" s="129">
        <f>10*LOG10(1/(('Summary (Full)'!$B$41/10^(AF34/10)+'Summary (Full)'!$B$42/10^(AG34/10)+'Summary (Full)'!$B$43/10^(AH34/10))/'Summary (Full)'!$B$44))</f>
        <v/>
      </c>
      <c r="AJ34" s="155">
        <f>Test!Y283</f>
        <v/>
      </c>
      <c r="AK34" s="152">
        <f>Test!Z283</f>
        <v/>
      </c>
      <c r="AL34" s="152">
        <f>AJ34/R34</f>
        <v/>
      </c>
      <c r="AM34" s="152">
        <f>AK34/S34</f>
        <v/>
      </c>
      <c r="AO34" s="196" t="n"/>
      <c r="AP34" s="179" t="n"/>
      <c r="AQ34" s="179" t="n"/>
      <c r="AR34" s="179" t="n"/>
      <c r="AS34" s="179" t="n"/>
      <c r="AT34" s="179" t="n"/>
      <c r="AU34" s="179" t="n"/>
      <c r="AV34" s="179" t="n"/>
      <c r="AW34" s="179" t="n"/>
      <c r="AX34" s="179" t="n"/>
      <c r="AY34" s="186" t="n"/>
      <c r="AZ34" s="179" t="n"/>
      <c r="BA34" s="186" t="n"/>
      <c r="CE34" s="119" t="n"/>
      <c r="CF34" s="119" t="n"/>
      <c r="CK34" s="5" t="n"/>
      <c r="EV34" s="7" t="n"/>
      <c r="EW34" s="7" t="n"/>
      <c r="EX34" s="7" t="n"/>
      <c r="EY34" s="7" t="n"/>
      <c r="EZ34" s="7" t="n"/>
      <c r="FA34" s="7" t="n"/>
      <c r="FB34" s="7" t="n"/>
      <c r="FC34" s="7" t="n"/>
    </row>
    <row r="35">
      <c r="A35" s="242" t="inlineStr">
        <is>
          <t>640x360</t>
        </is>
      </c>
      <c r="B35" s="38" t="n">
        <v>110</v>
      </c>
      <c r="C35" s="140">
        <f>Anchor!L284</f>
        <v/>
      </c>
      <c r="D35" s="140">
        <f>Anchor!M284</f>
        <v/>
      </c>
      <c r="E35" s="140">
        <f>Anchor!N284</f>
        <v/>
      </c>
      <c r="F35" s="140">
        <f>Anchor!O284</f>
        <v/>
      </c>
      <c r="G35" s="141">
        <f>('Summary (Full)'!$B$34*D35+'Summary (Full)'!$B$35*E35+'Summary (Full)'!$B$36*F35)/'Summary (Full)'!$B$37</f>
        <v/>
      </c>
      <c r="H35" s="140">
        <f>Anchor!P284</f>
        <v/>
      </c>
      <c r="I35" s="140">
        <f>Anchor!Q284</f>
        <v/>
      </c>
      <c r="J35" s="140">
        <f>Anchor!R284</f>
        <v/>
      </c>
      <c r="K35" s="140">
        <f>Anchor!S284</f>
        <v/>
      </c>
      <c r="L35" s="140">
        <f>Anchor!T284</f>
        <v/>
      </c>
      <c r="M35" s="140">
        <f>Anchor!U284</f>
        <v/>
      </c>
      <c r="N35" s="140">
        <f>Anchor!V284</f>
        <v/>
      </c>
      <c r="O35" s="140">
        <f>Anchor!W284</f>
        <v/>
      </c>
      <c r="P35" s="140">
        <f>Anchor!X284</f>
        <v/>
      </c>
      <c r="Q35" s="142">
        <f>10*LOG10(1/(('Summary (Full)'!$B$41/10^(N35/10)+'Summary (Full)'!$B$42/10^(O35/10)+'Summary (Full)'!$B$43/10^(P35/10))/'Summary (Full)'!$B$44))</f>
        <v/>
      </c>
      <c r="R35" s="140">
        <f>Anchor!Y284</f>
        <v/>
      </c>
      <c r="S35" s="140">
        <f>Anchor!Z284</f>
        <v/>
      </c>
      <c r="U35" s="129">
        <f>Test!L284</f>
        <v/>
      </c>
      <c r="V35" s="129">
        <f>Test!M284</f>
        <v/>
      </c>
      <c r="W35" s="129">
        <f>Test!N284</f>
        <v/>
      </c>
      <c r="X35" s="129">
        <f>Test!O284</f>
        <v/>
      </c>
      <c r="Y35" s="129">
        <f>('Summary (Full)'!$B$34*V35+'Summary (Full)'!$B$35*W35+'Summary (Full)'!$B$36*X35)/'Summary (Full)'!$B$37</f>
        <v/>
      </c>
      <c r="Z35" s="129">
        <f>Test!P284</f>
        <v/>
      </c>
      <c r="AA35" s="129">
        <f>Test!Q284</f>
        <v/>
      </c>
      <c r="AB35" s="129">
        <f>Test!R284</f>
        <v/>
      </c>
      <c r="AC35" s="129">
        <f>Test!S284</f>
        <v/>
      </c>
      <c r="AD35" s="129">
        <f>Test!T284</f>
        <v/>
      </c>
      <c r="AE35" s="129">
        <f>Test!U284</f>
        <v/>
      </c>
      <c r="AF35" s="129">
        <f>Test!V284</f>
        <v/>
      </c>
      <c r="AG35" s="129">
        <f>Test!W284</f>
        <v/>
      </c>
      <c r="AH35" s="129">
        <f>Test!X284</f>
        <v/>
      </c>
      <c r="AI35" s="129">
        <f>10*LOG10(1/(('Summary (Full)'!$B$41/10^(AF35/10)+'Summary (Full)'!$B$42/10^(AG35/10)+'Summary (Full)'!$B$43/10^(AH35/10))/'Summary (Full)'!$B$44))</f>
        <v/>
      </c>
      <c r="AJ35" s="155">
        <f>Test!Y284</f>
        <v/>
      </c>
      <c r="AK35" s="152">
        <f>Test!Z284</f>
        <v/>
      </c>
      <c r="AL35" s="152">
        <f>AJ35/R35</f>
        <v/>
      </c>
      <c r="AM35" s="152">
        <f>AK35/S35</f>
        <v/>
      </c>
      <c r="AO35" s="244" t="inlineStr">
        <is>
          <t>High</t>
        </is>
      </c>
      <c r="AP35" s="180">
        <f t="array" ref="AP35">bdRateExtend($C35:$C38,D35:D38,$U35:$U38,V35:V38)</f>
        <v/>
      </c>
      <c r="AQ35" s="180">
        <f t="array" ref="AQ35">bdRateExtend($C35:$C40,D35:D40,$U35:$U40,V35:V40)</f>
        <v/>
      </c>
      <c r="AR35" s="180">
        <f t="array" ref="AR35">bdRateExtend($C35:$C40,E35:E40,$U35:$U40,W35:W40)</f>
        <v/>
      </c>
      <c r="AS35" s="180">
        <f t="array" ref="AS35">bdRateExtend($C35:$C40,F35:F40,$U35:$U40,X35:X40)</f>
        <v/>
      </c>
      <c r="AT35" s="180">
        <f t="array" ref="AT35">bdRateExtend($C35:$C38,H35:H38,$U35:$U38,Z35:Z38)</f>
        <v/>
      </c>
      <c r="AU35" s="180">
        <f t="array" ref="AU35">bdRateExtend($C35:$C40,H35:H40,$U35:$U40,Z35:Z40)</f>
        <v/>
      </c>
      <c r="AV35" s="180">
        <f t="array" ref="AV35">bdRateExtend($C35:$C38,I35:I38,$U35:$U38,AA35:AA38)</f>
        <v/>
      </c>
      <c r="AW35" s="180">
        <f t="array" ref="AW35">bdRateExtend($C35:$C40,I35:I40,$U35:$U40,AA35:AA40)</f>
        <v/>
      </c>
      <c r="AX35" s="180">
        <f t="array" ref="AX35">bdRateExtend($C35:$C38,J35:J38,$U35:$U38,AB35:AB38,"None", FALSE,1)</f>
        <v/>
      </c>
      <c r="AY35" s="184">
        <f t="array" ref="AY35">bdRateExtend($C35:$C40,J35:J40,$U35:$U40,AB35:AB40,"None", FALSE,TRUE)</f>
        <v/>
      </c>
      <c r="AZ35" s="247">
        <f t="array" ref="AZ35">testVMAFRange($C35:$C38,J35:J38,$U35:$U38,AB35:AB38)</f>
        <v/>
      </c>
      <c r="BA35" s="198">
        <f t="array" ref="BA35">testVMAFRange($C35:$C40,J35:J40,$U35:$U40,AB35:AB40)</f>
        <v/>
      </c>
      <c r="CE35" s="119" t="n"/>
      <c r="CF35" s="119" t="n"/>
      <c r="CK35" s="5" t="n"/>
      <c r="EV35" s="7" t="n"/>
      <c r="EW35" s="7" t="n"/>
      <c r="EX35" s="7" t="n"/>
      <c r="EY35" s="7" t="n"/>
      <c r="EZ35" s="7" t="n"/>
      <c r="FA35" s="7" t="n"/>
      <c r="FB35" s="7" t="n"/>
      <c r="FC35" s="7" t="n"/>
    </row>
    <row r="36">
      <c r="A36" s="238" t="n"/>
      <c r="B36" s="38" t="n">
        <v>135</v>
      </c>
      <c r="C36" s="140">
        <f>Anchor!L285</f>
        <v/>
      </c>
      <c r="D36" s="140">
        <f>Anchor!M285</f>
        <v/>
      </c>
      <c r="E36" s="140">
        <f>Anchor!N285</f>
        <v/>
      </c>
      <c r="F36" s="140">
        <f>Anchor!O285</f>
        <v/>
      </c>
      <c r="G36" s="141">
        <f>('Summary (Full)'!$B$34*D36+'Summary (Full)'!$B$35*E36+'Summary (Full)'!$B$36*F36)/'Summary (Full)'!$B$37</f>
        <v/>
      </c>
      <c r="H36" s="140">
        <f>Anchor!P285</f>
        <v/>
      </c>
      <c r="I36" s="140">
        <f>Anchor!Q285</f>
        <v/>
      </c>
      <c r="J36" s="140">
        <f>Anchor!R285</f>
        <v/>
      </c>
      <c r="K36" s="140">
        <f>Anchor!S285</f>
        <v/>
      </c>
      <c r="L36" s="140">
        <f>Anchor!T285</f>
        <v/>
      </c>
      <c r="M36" s="140">
        <f>Anchor!U285</f>
        <v/>
      </c>
      <c r="N36" s="140">
        <f>Anchor!V285</f>
        <v/>
      </c>
      <c r="O36" s="140">
        <f>Anchor!W285</f>
        <v/>
      </c>
      <c r="P36" s="140">
        <f>Anchor!X285</f>
        <v/>
      </c>
      <c r="Q36" s="142">
        <f>10*LOG10(1/(('Summary (Full)'!$B$41/10^(N36/10)+'Summary (Full)'!$B$42/10^(O36/10)+'Summary (Full)'!$B$43/10^(P36/10))/'Summary (Full)'!$B$44))</f>
        <v/>
      </c>
      <c r="R36" s="140">
        <f>Anchor!Y285</f>
        <v/>
      </c>
      <c r="S36" s="140">
        <f>Anchor!Z285</f>
        <v/>
      </c>
      <c r="U36" s="129">
        <f>Test!L285</f>
        <v/>
      </c>
      <c r="V36" s="129">
        <f>Test!M285</f>
        <v/>
      </c>
      <c r="W36" s="129">
        <f>Test!N285</f>
        <v/>
      </c>
      <c r="X36" s="129">
        <f>Test!O285</f>
        <v/>
      </c>
      <c r="Y36" s="129">
        <f>('Summary (Full)'!$B$34*V36+'Summary (Full)'!$B$35*W36+'Summary (Full)'!$B$36*X36)/'Summary (Full)'!$B$37</f>
        <v/>
      </c>
      <c r="Z36" s="129">
        <f>Test!P285</f>
        <v/>
      </c>
      <c r="AA36" s="129">
        <f>Test!Q285</f>
        <v/>
      </c>
      <c r="AB36" s="129">
        <f>Test!R285</f>
        <v/>
      </c>
      <c r="AC36" s="129">
        <f>Test!S285</f>
        <v/>
      </c>
      <c r="AD36" s="129">
        <f>Test!T285</f>
        <v/>
      </c>
      <c r="AE36" s="129">
        <f>Test!U285</f>
        <v/>
      </c>
      <c r="AF36" s="129">
        <f>Test!V285</f>
        <v/>
      </c>
      <c r="AG36" s="129">
        <f>Test!W285</f>
        <v/>
      </c>
      <c r="AH36" s="129">
        <f>Test!X285</f>
        <v/>
      </c>
      <c r="AI36" s="129">
        <f>10*LOG10(1/(('Summary (Full)'!$B$41/10^(AF36/10)+'Summary (Full)'!$B$42/10^(AG36/10)+'Summary (Full)'!$B$43/10^(AH36/10))/'Summary (Full)'!$B$44))</f>
        <v/>
      </c>
      <c r="AJ36" s="155">
        <f>Test!Y285</f>
        <v/>
      </c>
      <c r="AK36" s="152">
        <f>Test!Z285</f>
        <v/>
      </c>
      <c r="AL36" s="152">
        <f>AJ36/R36</f>
        <v/>
      </c>
      <c r="AM36" s="152">
        <f>AK36/S36</f>
        <v/>
      </c>
      <c r="AO36" s="196" t="n"/>
      <c r="AP36" s="179" t="n"/>
      <c r="AQ36" s="178" t="n"/>
      <c r="AR36" s="178" t="n"/>
      <c r="AS36" s="178" t="n"/>
      <c r="AT36" s="179" t="n"/>
      <c r="AU36" s="178" t="n"/>
      <c r="AV36" s="179" t="n"/>
      <c r="AW36" s="178" t="n"/>
      <c r="AX36" s="179" t="n"/>
      <c r="AY36" s="185" t="n"/>
      <c r="AZ36" s="179" t="n"/>
      <c r="BA36" s="185" t="n"/>
      <c r="CE36" s="119" t="n"/>
      <c r="CF36" s="119" t="n"/>
      <c r="CK36" s="5" t="n"/>
      <c r="EV36" s="7" t="n"/>
      <c r="EW36" s="7" t="n"/>
      <c r="EX36" s="7" t="n"/>
      <c r="EY36" s="7" t="n"/>
      <c r="EZ36" s="7" t="n"/>
      <c r="FA36" s="7" t="n"/>
      <c r="FB36" s="7" t="n"/>
      <c r="FC36" s="7" t="n"/>
    </row>
    <row r="37">
      <c r="A37" s="238" t="n"/>
      <c r="B37" s="38" t="n">
        <v>160</v>
      </c>
      <c r="C37" s="140">
        <f>Anchor!L286</f>
        <v/>
      </c>
      <c r="D37" s="140">
        <f>Anchor!M286</f>
        <v/>
      </c>
      <c r="E37" s="140">
        <f>Anchor!N286</f>
        <v/>
      </c>
      <c r="F37" s="140">
        <f>Anchor!O286</f>
        <v/>
      </c>
      <c r="G37" s="141">
        <f>('Summary (Full)'!$B$34*D37+'Summary (Full)'!$B$35*E37+'Summary (Full)'!$B$36*F37)/'Summary (Full)'!$B$37</f>
        <v/>
      </c>
      <c r="H37" s="140">
        <f>Anchor!P286</f>
        <v/>
      </c>
      <c r="I37" s="140">
        <f>Anchor!Q286</f>
        <v/>
      </c>
      <c r="J37" s="140">
        <f>Anchor!R286</f>
        <v/>
      </c>
      <c r="K37" s="140">
        <f>Anchor!S286</f>
        <v/>
      </c>
      <c r="L37" s="140">
        <f>Anchor!T286</f>
        <v/>
      </c>
      <c r="M37" s="140">
        <f>Anchor!U286</f>
        <v/>
      </c>
      <c r="N37" s="140">
        <f>Anchor!V286</f>
        <v/>
      </c>
      <c r="O37" s="140">
        <f>Anchor!W286</f>
        <v/>
      </c>
      <c r="P37" s="140">
        <f>Anchor!X286</f>
        <v/>
      </c>
      <c r="Q37" s="142">
        <f>10*LOG10(1/(('Summary (Full)'!$B$41/10^(N37/10)+'Summary (Full)'!$B$42/10^(O37/10)+'Summary (Full)'!$B$43/10^(P37/10))/'Summary (Full)'!$B$44))</f>
        <v/>
      </c>
      <c r="R37" s="140">
        <f>Anchor!Y286</f>
        <v/>
      </c>
      <c r="S37" s="140">
        <f>Anchor!Z286</f>
        <v/>
      </c>
      <c r="U37" s="129">
        <f>Test!L286</f>
        <v/>
      </c>
      <c r="V37" s="129">
        <f>Test!M286</f>
        <v/>
      </c>
      <c r="W37" s="129">
        <f>Test!N286</f>
        <v/>
      </c>
      <c r="X37" s="129">
        <f>Test!O286</f>
        <v/>
      </c>
      <c r="Y37" s="129">
        <f>('Summary (Full)'!$B$34*V37+'Summary (Full)'!$B$35*W37+'Summary (Full)'!$B$36*X37)/'Summary (Full)'!$B$37</f>
        <v/>
      </c>
      <c r="Z37" s="129">
        <f>Test!P286</f>
        <v/>
      </c>
      <c r="AA37" s="129">
        <f>Test!Q286</f>
        <v/>
      </c>
      <c r="AB37" s="129">
        <f>Test!R286</f>
        <v/>
      </c>
      <c r="AC37" s="129">
        <f>Test!S286</f>
        <v/>
      </c>
      <c r="AD37" s="129">
        <f>Test!T286</f>
        <v/>
      </c>
      <c r="AE37" s="129">
        <f>Test!U286</f>
        <v/>
      </c>
      <c r="AF37" s="129">
        <f>Test!V286</f>
        <v/>
      </c>
      <c r="AG37" s="129">
        <f>Test!W286</f>
        <v/>
      </c>
      <c r="AH37" s="129">
        <f>Test!X286</f>
        <v/>
      </c>
      <c r="AI37" s="129">
        <f>10*LOG10(1/(('Summary (Full)'!$B$41/10^(AF37/10)+'Summary (Full)'!$B$42/10^(AG37/10)+'Summary (Full)'!$B$43/10^(AH37/10))/'Summary (Full)'!$B$44))</f>
        <v/>
      </c>
      <c r="AJ37" s="155">
        <f>Test!Y286</f>
        <v/>
      </c>
      <c r="AK37" s="152">
        <f>Test!Z286</f>
        <v/>
      </c>
      <c r="AL37" s="152">
        <f>AJ37/R37</f>
        <v/>
      </c>
      <c r="AM37" s="152">
        <f>AK37/S37</f>
        <v/>
      </c>
      <c r="AO37" s="257" t="inlineStr">
        <is>
          <t>Med</t>
        </is>
      </c>
      <c r="AP37" s="177">
        <f t="array" ref="AP37">bdRateExtend($C36:$C39,D36:D39,$U36:$U39,V36:V39)</f>
        <v/>
      </c>
      <c r="AQ37" s="178" t="n"/>
      <c r="AR37" s="178" t="n"/>
      <c r="AS37" s="178" t="n"/>
      <c r="AT37" s="177">
        <f t="array" ref="AT37">bdRateExtend($C36:$C39,H36:H39,$U36:$U39,Z36:Z39)</f>
        <v/>
      </c>
      <c r="AU37" s="178" t="n"/>
      <c r="AV37" s="177">
        <f t="array" ref="AV37">bdRateExtend($C36:$C39,I36:I39,$U36:$U39,AA36:AA39)</f>
        <v/>
      </c>
      <c r="AW37" s="178" t="n"/>
      <c r="AX37" s="177">
        <f t="array" ref="AX37">bdRateExtend($C36:$C39,J36:J39,$U36:$U39,AB36:AB39,"None", FALSE,1)</f>
        <v/>
      </c>
      <c r="AY37" s="185" t="n"/>
      <c r="AZ37" s="246">
        <f t="array" ref="AZ37">testVMAFRange($C36:$C39,J36:J39,$U36:$U39,AB36:AB39)</f>
        <v/>
      </c>
      <c r="BA37" s="185" t="n"/>
      <c r="CE37" s="119" t="n"/>
      <c r="CF37" s="119" t="n"/>
      <c r="CK37" s="5" t="n"/>
      <c r="EV37" s="7" t="n"/>
      <c r="EW37" s="7" t="n"/>
      <c r="EX37" s="7" t="n"/>
      <c r="EY37" s="7" t="n"/>
      <c r="EZ37" s="7" t="n"/>
      <c r="FA37" s="7" t="n"/>
      <c r="FB37" s="7" t="n"/>
      <c r="FC37" s="7" t="n"/>
    </row>
    <row r="38">
      <c r="A38" s="238" t="n"/>
      <c r="B38" s="38" t="n">
        <v>185</v>
      </c>
      <c r="C38" s="140">
        <f>Anchor!L287</f>
        <v/>
      </c>
      <c r="D38" s="140">
        <f>Anchor!M287</f>
        <v/>
      </c>
      <c r="E38" s="140">
        <f>Anchor!N287</f>
        <v/>
      </c>
      <c r="F38" s="140">
        <f>Anchor!O287</f>
        <v/>
      </c>
      <c r="G38" s="141">
        <f>('Summary (Full)'!$B$34*D38+'Summary (Full)'!$B$35*E38+'Summary (Full)'!$B$36*F38)/'Summary (Full)'!$B$37</f>
        <v/>
      </c>
      <c r="H38" s="140">
        <f>Anchor!P287</f>
        <v/>
      </c>
      <c r="I38" s="140">
        <f>Anchor!Q287</f>
        <v/>
      </c>
      <c r="J38" s="140">
        <f>Anchor!R287</f>
        <v/>
      </c>
      <c r="K38" s="140">
        <f>Anchor!S287</f>
        <v/>
      </c>
      <c r="L38" s="140">
        <f>Anchor!T287</f>
        <v/>
      </c>
      <c r="M38" s="140">
        <f>Anchor!U287</f>
        <v/>
      </c>
      <c r="N38" s="140">
        <f>Anchor!V287</f>
        <v/>
      </c>
      <c r="O38" s="140">
        <f>Anchor!W287</f>
        <v/>
      </c>
      <c r="P38" s="140">
        <f>Anchor!X287</f>
        <v/>
      </c>
      <c r="Q38" s="142">
        <f>10*LOG10(1/(('Summary (Full)'!$B$41/10^(N38/10)+'Summary (Full)'!$B$42/10^(O38/10)+'Summary (Full)'!$B$43/10^(P38/10))/'Summary (Full)'!$B$44))</f>
        <v/>
      </c>
      <c r="R38" s="140">
        <f>Anchor!Y287</f>
        <v/>
      </c>
      <c r="S38" s="140">
        <f>Anchor!Z287</f>
        <v/>
      </c>
      <c r="U38" s="129">
        <f>Test!L287</f>
        <v/>
      </c>
      <c r="V38" s="129">
        <f>Test!M287</f>
        <v/>
      </c>
      <c r="W38" s="129">
        <f>Test!N287</f>
        <v/>
      </c>
      <c r="X38" s="129">
        <f>Test!O287</f>
        <v/>
      </c>
      <c r="Y38" s="129">
        <f>('Summary (Full)'!$B$34*V38+'Summary (Full)'!$B$35*W38+'Summary (Full)'!$B$36*X38)/'Summary (Full)'!$B$37</f>
        <v/>
      </c>
      <c r="Z38" s="129">
        <f>Test!P287</f>
        <v/>
      </c>
      <c r="AA38" s="129">
        <f>Test!Q287</f>
        <v/>
      </c>
      <c r="AB38" s="129">
        <f>Test!R287</f>
        <v/>
      </c>
      <c r="AC38" s="129">
        <f>Test!S287</f>
        <v/>
      </c>
      <c r="AD38" s="129">
        <f>Test!T287</f>
        <v/>
      </c>
      <c r="AE38" s="129">
        <f>Test!U287</f>
        <v/>
      </c>
      <c r="AF38" s="129">
        <f>Test!V287</f>
        <v/>
      </c>
      <c r="AG38" s="129">
        <f>Test!W287</f>
        <v/>
      </c>
      <c r="AH38" s="129">
        <f>Test!X287</f>
        <v/>
      </c>
      <c r="AI38" s="129">
        <f>10*LOG10(1/(('Summary (Full)'!$B$41/10^(AF38/10)+'Summary (Full)'!$B$42/10^(AG38/10)+'Summary (Full)'!$B$43/10^(AH38/10))/'Summary (Full)'!$B$44))</f>
        <v/>
      </c>
      <c r="AJ38" s="155">
        <f>Test!Y287</f>
        <v/>
      </c>
      <c r="AK38" s="152">
        <f>Test!Z287</f>
        <v/>
      </c>
      <c r="AL38" s="152">
        <f>AJ38/R38</f>
        <v/>
      </c>
      <c r="AM38" s="152">
        <f>AK38/S38</f>
        <v/>
      </c>
      <c r="AO38" s="196" t="n"/>
      <c r="AP38" s="179" t="n"/>
      <c r="AQ38" s="178" t="n"/>
      <c r="AR38" s="178" t="n"/>
      <c r="AS38" s="178" t="n"/>
      <c r="AT38" s="179" t="n"/>
      <c r="AU38" s="178" t="n"/>
      <c r="AV38" s="179" t="n"/>
      <c r="AW38" s="178" t="n"/>
      <c r="AX38" s="179" t="n"/>
      <c r="AY38" s="185" t="n"/>
      <c r="AZ38" s="179" t="n"/>
      <c r="BA38" s="185" t="n"/>
      <c r="CE38" s="119" t="n"/>
      <c r="CF38" s="119" t="n"/>
      <c r="CK38" s="5" t="n"/>
      <c r="EV38" s="7" t="n"/>
      <c r="EW38" s="7" t="n"/>
      <c r="EX38" s="7" t="n"/>
      <c r="EY38" s="7" t="n"/>
      <c r="EZ38" s="7" t="n"/>
      <c r="FA38" s="7" t="n"/>
      <c r="FB38" s="7" t="n"/>
      <c r="FC38" s="7" t="n"/>
    </row>
    <row r="39">
      <c r="A39" s="238" t="n"/>
      <c r="B39" s="38" t="n">
        <v>210</v>
      </c>
      <c r="C39" s="140">
        <f>Anchor!L288</f>
        <v/>
      </c>
      <c r="D39" s="140">
        <f>Anchor!M288</f>
        <v/>
      </c>
      <c r="E39" s="140">
        <f>Anchor!N288</f>
        <v/>
      </c>
      <c r="F39" s="140">
        <f>Anchor!O288</f>
        <v/>
      </c>
      <c r="G39" s="141">
        <f>('Summary (Full)'!$B$34*D39+'Summary (Full)'!$B$35*E39+'Summary (Full)'!$B$36*F39)/'Summary (Full)'!$B$37</f>
        <v/>
      </c>
      <c r="H39" s="140">
        <f>Anchor!P288</f>
        <v/>
      </c>
      <c r="I39" s="140">
        <f>Anchor!Q288</f>
        <v/>
      </c>
      <c r="J39" s="140">
        <f>Anchor!R288</f>
        <v/>
      </c>
      <c r="K39" s="140">
        <f>Anchor!S288</f>
        <v/>
      </c>
      <c r="L39" s="140">
        <f>Anchor!T288</f>
        <v/>
      </c>
      <c r="M39" s="140">
        <f>Anchor!U288</f>
        <v/>
      </c>
      <c r="N39" s="140">
        <f>Anchor!V288</f>
        <v/>
      </c>
      <c r="O39" s="140">
        <f>Anchor!W288</f>
        <v/>
      </c>
      <c r="P39" s="140">
        <f>Anchor!X288</f>
        <v/>
      </c>
      <c r="Q39" s="142">
        <f>10*LOG10(1/(('Summary (Full)'!$B$41/10^(N39/10)+'Summary (Full)'!$B$42/10^(O39/10)+'Summary (Full)'!$B$43/10^(P39/10))/'Summary (Full)'!$B$44))</f>
        <v/>
      </c>
      <c r="R39" s="140">
        <f>Anchor!Y288</f>
        <v/>
      </c>
      <c r="S39" s="140">
        <f>Anchor!Z288</f>
        <v/>
      </c>
      <c r="U39" s="129">
        <f>Test!L288</f>
        <v/>
      </c>
      <c r="V39" s="129">
        <f>Test!M288</f>
        <v/>
      </c>
      <c r="W39" s="129">
        <f>Test!N288</f>
        <v/>
      </c>
      <c r="X39" s="129">
        <f>Test!O288</f>
        <v/>
      </c>
      <c r="Y39" s="129">
        <f>('Summary (Full)'!$B$34*V39+'Summary (Full)'!$B$35*W39+'Summary (Full)'!$B$36*X39)/'Summary (Full)'!$B$37</f>
        <v/>
      </c>
      <c r="Z39" s="129">
        <f>Test!P288</f>
        <v/>
      </c>
      <c r="AA39" s="129">
        <f>Test!Q288</f>
        <v/>
      </c>
      <c r="AB39" s="129">
        <f>Test!R288</f>
        <v/>
      </c>
      <c r="AC39" s="129">
        <f>Test!S288</f>
        <v/>
      </c>
      <c r="AD39" s="129">
        <f>Test!T288</f>
        <v/>
      </c>
      <c r="AE39" s="129">
        <f>Test!U288</f>
        <v/>
      </c>
      <c r="AF39" s="129">
        <f>Test!V288</f>
        <v/>
      </c>
      <c r="AG39" s="129">
        <f>Test!W288</f>
        <v/>
      </c>
      <c r="AH39" s="129">
        <f>Test!X288</f>
        <v/>
      </c>
      <c r="AI39" s="129">
        <f>10*LOG10(1/(('Summary (Full)'!$B$41/10^(AF39/10)+'Summary (Full)'!$B$42/10^(AG39/10)+'Summary (Full)'!$B$43/10^(AH39/10))/'Summary (Full)'!$B$44))</f>
        <v/>
      </c>
      <c r="AJ39" s="155">
        <f>Test!Y288</f>
        <v/>
      </c>
      <c r="AK39" s="152">
        <f>Test!Z288</f>
        <v/>
      </c>
      <c r="AL39" s="152">
        <f>AJ39/R39</f>
        <v/>
      </c>
      <c r="AM39" s="152">
        <f>AK39/S39</f>
        <v/>
      </c>
      <c r="AO39" s="257" t="inlineStr">
        <is>
          <t>Low</t>
        </is>
      </c>
      <c r="AP39" s="177">
        <f t="array" ref="AP39">bdRateExtend($C37:$C40,D37:D40,$U37:$U40,V37:V40)</f>
        <v/>
      </c>
      <c r="AQ39" s="178" t="n"/>
      <c r="AR39" s="178" t="n"/>
      <c r="AS39" s="178" t="n"/>
      <c r="AT39" s="177">
        <f t="array" ref="AT39">bdRateExtend($C37:$C40,H37:H40,$U37:$U40,Z37:Z40)</f>
        <v/>
      </c>
      <c r="AU39" s="178" t="n"/>
      <c r="AV39" s="177">
        <f t="array" ref="AV39">bdRateExtend($C37:$C40,I37:I40,$U37:$U40,AA37:AA40)</f>
        <v/>
      </c>
      <c r="AW39" s="178" t="n"/>
      <c r="AX39" s="177">
        <f t="array" ref="AX39">bdRateExtend($C37:$C40,J37:J40,$U37:$U40,AB37:AB40,"None", FALSE,1)</f>
        <v/>
      </c>
      <c r="AY39" s="185" t="n"/>
      <c r="AZ39" s="246">
        <f t="array" ref="AZ39">testVMAFRange($C37:$C40,J37:J40,$U37:$U40,AB37:AB40)</f>
        <v/>
      </c>
      <c r="BA39" s="185" t="n"/>
      <c r="CE39" s="119" t="n"/>
      <c r="CF39" s="119" t="n"/>
      <c r="CK39" s="5" t="n"/>
      <c r="EV39" s="7" t="n"/>
      <c r="EW39" s="7" t="n"/>
      <c r="EX39" s="7" t="n"/>
      <c r="EY39" s="7" t="n"/>
      <c r="EZ39" s="7" t="n"/>
      <c r="FA39" s="7" t="n"/>
      <c r="FB39" s="7" t="n"/>
      <c r="FC39" s="7" t="n"/>
    </row>
    <row r="40" ht="14" customHeight="1" s="241">
      <c r="A40" s="239" t="n"/>
      <c r="B40" s="38" t="n">
        <v>235</v>
      </c>
      <c r="C40" s="140">
        <f>Anchor!L289</f>
        <v/>
      </c>
      <c r="D40" s="140">
        <f>Anchor!M289</f>
        <v/>
      </c>
      <c r="E40" s="140">
        <f>Anchor!N289</f>
        <v/>
      </c>
      <c r="F40" s="140">
        <f>Anchor!O289</f>
        <v/>
      </c>
      <c r="G40" s="141">
        <f>('Summary (Full)'!$B$34*D40+'Summary (Full)'!$B$35*E40+'Summary (Full)'!$B$36*F40)/'Summary (Full)'!$B$37</f>
        <v/>
      </c>
      <c r="H40" s="140">
        <f>Anchor!P289</f>
        <v/>
      </c>
      <c r="I40" s="140">
        <f>Anchor!Q289</f>
        <v/>
      </c>
      <c r="J40" s="140">
        <f>Anchor!R289</f>
        <v/>
      </c>
      <c r="K40" s="140">
        <f>Anchor!S289</f>
        <v/>
      </c>
      <c r="L40" s="140">
        <f>Anchor!T289</f>
        <v/>
      </c>
      <c r="M40" s="140">
        <f>Anchor!U289</f>
        <v/>
      </c>
      <c r="N40" s="140">
        <f>Anchor!V289</f>
        <v/>
      </c>
      <c r="O40" s="140">
        <f>Anchor!W289</f>
        <v/>
      </c>
      <c r="P40" s="140">
        <f>Anchor!X289</f>
        <v/>
      </c>
      <c r="Q40" s="142">
        <f>10*LOG10(1/(('Summary (Full)'!$B$41/10^(N40/10)+'Summary (Full)'!$B$42/10^(O40/10)+'Summary (Full)'!$B$43/10^(P40/10))/'Summary (Full)'!$B$44))</f>
        <v/>
      </c>
      <c r="R40" s="140">
        <f>Anchor!Y289</f>
        <v/>
      </c>
      <c r="S40" s="140">
        <f>Anchor!Z289</f>
        <v/>
      </c>
      <c r="U40" s="129">
        <f>Test!L289</f>
        <v/>
      </c>
      <c r="V40" s="129">
        <f>Test!M289</f>
        <v/>
      </c>
      <c r="W40" s="129">
        <f>Test!N289</f>
        <v/>
      </c>
      <c r="X40" s="129">
        <f>Test!O289</f>
        <v/>
      </c>
      <c r="Y40" s="129">
        <f>('Summary (Full)'!$B$34*V40+'Summary (Full)'!$B$35*W40+'Summary (Full)'!$B$36*X40)/'Summary (Full)'!$B$37</f>
        <v/>
      </c>
      <c r="Z40" s="129">
        <f>Test!P289</f>
        <v/>
      </c>
      <c r="AA40" s="129">
        <f>Test!Q289</f>
        <v/>
      </c>
      <c r="AB40" s="129">
        <f>Test!R289</f>
        <v/>
      </c>
      <c r="AC40" s="129">
        <f>Test!S289</f>
        <v/>
      </c>
      <c r="AD40" s="129">
        <f>Test!T289</f>
        <v/>
      </c>
      <c r="AE40" s="129">
        <f>Test!U289</f>
        <v/>
      </c>
      <c r="AF40" s="129">
        <f>Test!V289</f>
        <v/>
      </c>
      <c r="AG40" s="129">
        <f>Test!W289</f>
        <v/>
      </c>
      <c r="AH40" s="129">
        <f>Test!X289</f>
        <v/>
      </c>
      <c r="AI40" s="129">
        <f>10*LOG10(1/(('Summary (Full)'!$B$41/10^(AF40/10)+'Summary (Full)'!$B$42/10^(AG40/10)+'Summary (Full)'!$B$43/10^(AH40/10))/'Summary (Full)'!$B$44))</f>
        <v/>
      </c>
      <c r="AJ40" s="155">
        <f>Test!Y289</f>
        <v/>
      </c>
      <c r="AK40" s="152">
        <f>Test!Z289</f>
        <v/>
      </c>
      <c r="AL40" s="152">
        <f>AJ40/R40</f>
        <v/>
      </c>
      <c r="AM40" s="152">
        <f>AK40/S40</f>
        <v/>
      </c>
      <c r="AO40" s="196" t="n"/>
      <c r="AP40" s="179" t="n"/>
      <c r="AQ40" s="179" t="n"/>
      <c r="AR40" s="179" t="n"/>
      <c r="AS40" s="179" t="n"/>
      <c r="AT40" s="179" t="n"/>
      <c r="AU40" s="179" t="n"/>
      <c r="AV40" s="179" t="n"/>
      <c r="AW40" s="179" t="n"/>
      <c r="AX40" s="179" t="n"/>
      <c r="AY40" s="186" t="n"/>
      <c r="AZ40" s="179" t="n"/>
      <c r="BA40" s="186" t="n"/>
      <c r="CE40" s="119" t="n"/>
      <c r="CF40" s="119" t="n"/>
      <c r="CK40" s="5" t="n"/>
      <c r="EV40" s="7" t="n"/>
      <c r="EW40" s="7" t="n"/>
      <c r="EX40" s="7" t="n"/>
      <c r="EY40" s="7" t="n"/>
      <c r="EZ40" s="7" t="n"/>
      <c r="FA40" s="7" t="n"/>
      <c r="FB40" s="7" t="n"/>
      <c r="FC40" s="7" t="n"/>
    </row>
    <row r="41">
      <c r="CE41" s="119" t="n"/>
      <c r="CF41" s="119" t="n"/>
      <c r="CK41" s="5" t="n"/>
      <c r="EV41" s="7" t="n"/>
      <c r="EW41" s="7" t="n"/>
      <c r="EX41" s="7" t="n"/>
      <c r="EY41" s="7" t="n"/>
      <c r="EZ41" s="7" t="n"/>
      <c r="FA41" s="7" t="n"/>
      <c r="FB41" s="7" t="n"/>
      <c r="FC41" s="7" t="n"/>
    </row>
    <row r="42" ht="14" customHeight="1" s="241" thickBot="1">
      <c r="CE42" s="119" t="n"/>
      <c r="CF42" s="119" t="n"/>
      <c r="CK42" s="5" t="n"/>
      <c r="EV42" s="7" t="n"/>
      <c r="EW42" s="7" t="n"/>
      <c r="EX42" s="7" t="n"/>
      <c r="EY42" s="7" t="n"/>
      <c r="EZ42" s="7" t="n"/>
      <c r="FA42" s="7" t="n"/>
      <c r="FB42" s="7" t="n"/>
      <c r="FC42" s="7" t="n"/>
    </row>
    <row r="43" ht="16" customHeight="1" s="241">
      <c r="A43" s="249" t="inlineStr">
        <is>
          <t>BD-rate convex hull</t>
        </is>
      </c>
      <c r="B43" s="250" t="n"/>
      <c r="C43" s="250" t="n"/>
      <c r="D43" s="250" t="n"/>
      <c r="E43" s="250" t="n"/>
      <c r="F43" s="250" t="n"/>
      <c r="G43" s="250" t="n"/>
      <c r="H43" s="250" t="n"/>
      <c r="I43" s="250" t="n"/>
      <c r="J43" s="250" t="n"/>
      <c r="K43" s="250" t="n"/>
      <c r="L43" s="250" t="n"/>
      <c r="M43" s="250" t="n"/>
      <c r="N43" s="250" t="n"/>
      <c r="O43" s="250" t="n"/>
      <c r="P43" s="250" t="n"/>
      <c r="Q43" s="250" t="n"/>
      <c r="R43" s="250" t="n"/>
      <c r="S43" s="250" t="n"/>
      <c r="T43" s="250" t="n"/>
      <c r="U43" s="250" t="n"/>
      <c r="V43" s="251" t="n"/>
      <c r="W43" s="147" t="n"/>
      <c r="X43" s="147" t="n"/>
      <c r="Y43" s="147" t="n"/>
      <c r="Z43" s="147" t="n"/>
      <c r="AA43" s="147" t="n"/>
      <c r="AB43" s="147" t="n"/>
      <c r="AC43" s="147" t="n"/>
      <c r="AD43" s="147" t="n"/>
      <c r="AE43" s="147" t="n"/>
      <c r="AF43" s="147" t="n"/>
      <c r="AG43" s="147" t="n"/>
      <c r="AH43" s="147" t="n"/>
      <c r="AI43" s="148" t="n"/>
      <c r="AJ43" s="148" t="n"/>
      <c r="AK43" s="148" t="n"/>
      <c r="AL43" s="149" t="n"/>
      <c r="CE43" s="119" t="n"/>
      <c r="CF43" s="119" t="n"/>
      <c r="CK43" s="5" t="n"/>
      <c r="EV43" s="7" t="n"/>
      <c r="EW43" s="7" t="n"/>
      <c r="EX43" s="7" t="n"/>
      <c r="EY43" s="7" t="n"/>
      <c r="EZ43" s="7" t="n"/>
      <c r="FA43" s="7" t="n"/>
      <c r="FB43" s="7" t="n"/>
      <c r="FC43" s="7" t="n"/>
    </row>
    <row r="44" ht="16" customHeight="1" s="241">
      <c r="A44" s="252" t="inlineStr">
        <is>
          <t>PSNR</t>
        </is>
      </c>
      <c r="B44" s="233" t="n"/>
      <c r="C44" s="233" t="n"/>
      <c r="D44" s="233" t="n"/>
      <c r="E44" s="233" t="n"/>
      <c r="F44" s="233" t="n"/>
      <c r="G44" s="233" t="n"/>
      <c r="H44" s="233" t="n"/>
      <c r="I44" s="233" t="n"/>
      <c r="J44" s="233" t="n"/>
      <c r="K44" s="233" t="n"/>
      <c r="L44" s="234" t="n"/>
      <c r="M44" s="292" t="n"/>
      <c r="N44" s="292" t="n"/>
      <c r="O44" s="292" t="n"/>
      <c r="P44" s="292" t="n"/>
      <c r="Q44" s="292" t="inlineStr">
        <is>
          <t>SSIM</t>
        </is>
      </c>
      <c r="R44" s="234" t="n"/>
      <c r="S44" s="245" t="inlineStr">
        <is>
          <t>MS-SSIM</t>
        </is>
      </c>
      <c r="T44" s="234" t="n"/>
      <c r="U44" s="278" t="inlineStr">
        <is>
          <t>VMAF</t>
        </is>
      </c>
      <c r="V44" s="234" t="n"/>
      <c r="W44" s="278" t="inlineStr">
        <is>
          <t>VMAF-neg</t>
        </is>
      </c>
      <c r="X44" s="234" t="n"/>
      <c r="Y44" s="283" t="inlineStr">
        <is>
          <t>PSNR-HVS</t>
        </is>
      </c>
      <c r="Z44" s="234" t="n"/>
      <c r="AA44" s="283" t="inlineStr">
        <is>
          <t>DE2K Based</t>
        </is>
      </c>
      <c r="AB44" s="234" t="n"/>
      <c r="AC44" s="283" t="inlineStr">
        <is>
          <t>APSNR Based</t>
        </is>
      </c>
      <c r="AD44" s="233" t="n"/>
      <c r="AE44" s="233" t="n"/>
      <c r="AF44" s="233" t="n"/>
      <c r="AG44" s="233" t="n"/>
      <c r="AH44" s="234" t="n"/>
      <c r="AI44" s="284" t="inlineStr">
        <is>
          <t>PSNR</t>
        </is>
      </c>
      <c r="AJ44" s="234" t="n"/>
      <c r="AK44" s="285" t="inlineStr">
        <is>
          <t>APSNR</t>
        </is>
      </c>
      <c r="AL44" s="277" t="n"/>
      <c r="CE44" s="119" t="n"/>
      <c r="CF44" s="119" t="n"/>
      <c r="CK44" s="5" t="n"/>
      <c r="EV44" s="7" t="n"/>
      <c r="EW44" s="7" t="n"/>
      <c r="EX44" s="7" t="n"/>
      <c r="EY44" s="7" t="n"/>
      <c r="EZ44" s="7" t="n"/>
      <c r="FA44" s="7" t="n"/>
      <c r="FB44" s="7" t="n"/>
      <c r="FC44" s="7" t="n"/>
    </row>
    <row r="45" ht="16" customHeight="1" s="241">
      <c r="A45" s="252" t="n"/>
      <c r="B45" s="245" t="n"/>
      <c r="C45" s="292" t="inlineStr">
        <is>
          <t>PSNR</t>
        </is>
      </c>
      <c r="D45" s="233" t="n"/>
      <c r="E45" s="233" t="n"/>
      <c r="F45" s="234" t="n"/>
      <c r="G45" s="292" t="n"/>
      <c r="H45" s="292" t="n"/>
      <c r="I45" s="292" t="n"/>
      <c r="J45" s="292" t="n"/>
      <c r="K45" s="292" t="n"/>
      <c r="L45" s="292" t="n"/>
      <c r="M45" s="292" t="inlineStr">
        <is>
          <t>APSNR</t>
        </is>
      </c>
      <c r="N45" s="233" t="n"/>
      <c r="O45" s="233" t="n"/>
      <c r="P45" s="234" t="n"/>
      <c r="Q45" s="292" t="n"/>
      <c r="R45" s="292" t="n"/>
      <c r="S45" s="292" t="n"/>
      <c r="T45" s="245" t="n"/>
      <c r="U45" s="278" t="n"/>
      <c r="V45" s="278" t="n"/>
      <c r="W45" s="278" t="n"/>
      <c r="X45" s="278" t="n"/>
      <c r="Y45" s="278" t="n"/>
      <c r="Z45" s="278" t="n"/>
      <c r="AA45" s="278" t="n"/>
      <c r="AB45" s="278" t="n"/>
      <c r="AC45" s="278" t="n"/>
      <c r="AD45" s="278" t="n"/>
      <c r="AE45" s="278" t="n"/>
      <c r="AF45" s="278" t="n"/>
      <c r="AG45" s="278" t="n"/>
      <c r="AH45" s="278" t="n"/>
      <c r="AI45" s="284" t="n"/>
      <c r="AJ45" s="284" t="n"/>
      <c r="AK45" s="284" t="n"/>
      <c r="AL45" s="151" t="n"/>
      <c r="CE45" s="119" t="n"/>
      <c r="CF45" s="119" t="n"/>
      <c r="CK45" s="5" t="n"/>
      <c r="EV45" s="7" t="n"/>
      <c r="EW45" s="7" t="n"/>
      <c r="EX45" s="7" t="n"/>
      <c r="EY45" s="7" t="n"/>
      <c r="EZ45" s="7" t="n"/>
      <c r="FA45" s="7" t="n"/>
      <c r="FB45" s="7" t="n"/>
      <c r="FC45" s="7" t="n"/>
    </row>
    <row r="46" ht="14" customHeight="1" s="241" thickBot="1">
      <c r="A46" s="275" t="inlineStr">
        <is>
          <t>Range</t>
        </is>
      </c>
      <c r="B46" s="254" t="n"/>
      <c r="C46" s="145" t="inlineStr">
        <is>
          <t>Y</t>
        </is>
      </c>
      <c r="D46" s="145" t="inlineStr">
        <is>
          <t>U</t>
        </is>
      </c>
      <c r="E46" s="145" t="inlineStr">
        <is>
          <t>V</t>
        </is>
      </c>
      <c r="F46" s="145" t="inlineStr">
        <is>
          <t>YUV</t>
        </is>
      </c>
      <c r="G46" s="145" t="inlineStr">
        <is>
          <t>SSIM_Y</t>
        </is>
      </c>
      <c r="H46" s="145" t="inlineStr">
        <is>
          <t>MS-SSIM</t>
        </is>
      </c>
      <c r="I46" s="145" t="inlineStr">
        <is>
          <t>VMAF</t>
        </is>
      </c>
      <c r="J46" s="145" t="inlineStr">
        <is>
          <t>nVMAF</t>
        </is>
      </c>
      <c r="K46" s="145" t="inlineStr">
        <is>
          <t>PSNR-HVS</t>
        </is>
      </c>
      <c r="L46" s="145" t="inlineStr">
        <is>
          <t>DE-2K</t>
        </is>
      </c>
      <c r="M46" s="145" t="inlineStr">
        <is>
          <t>Y</t>
        </is>
      </c>
      <c r="N46" s="145" t="inlineStr">
        <is>
          <t>U</t>
        </is>
      </c>
      <c r="O46" s="145" t="inlineStr">
        <is>
          <t>V</t>
        </is>
      </c>
      <c r="P46" s="145" t="inlineStr">
        <is>
          <t>YUV</t>
        </is>
      </c>
      <c r="Q46" s="145" t="inlineStr">
        <is>
          <t>Range</t>
        </is>
      </c>
      <c r="R46" s="145" t="inlineStr">
        <is>
          <t>Y</t>
        </is>
      </c>
      <c r="S46" s="145" t="inlineStr">
        <is>
          <t>Range</t>
        </is>
      </c>
      <c r="T46" s="117" t="inlineStr">
        <is>
          <t>Y</t>
        </is>
      </c>
      <c r="U46" s="137" t="inlineStr">
        <is>
          <t>Range</t>
        </is>
      </c>
      <c r="V46" s="137" t="inlineStr">
        <is>
          <t>Y</t>
        </is>
      </c>
      <c r="W46" s="137" t="inlineStr">
        <is>
          <t>Range</t>
        </is>
      </c>
      <c r="X46" s="137" t="inlineStr">
        <is>
          <t>Y</t>
        </is>
      </c>
      <c r="Y46" s="137" t="inlineStr">
        <is>
          <t>Range</t>
        </is>
      </c>
      <c r="Z46" s="137" t="inlineStr">
        <is>
          <t>Y</t>
        </is>
      </c>
      <c r="AA46" s="137" t="inlineStr">
        <is>
          <t>Range</t>
        </is>
      </c>
      <c r="AB46" s="137" t="inlineStr">
        <is>
          <t>Y</t>
        </is>
      </c>
      <c r="AC46" s="137" t="inlineStr">
        <is>
          <t>Range</t>
        </is>
      </c>
      <c r="AD46" s="137" t="inlineStr">
        <is>
          <t>Y</t>
        </is>
      </c>
      <c r="AE46" s="137" t="inlineStr">
        <is>
          <t>Y</t>
        </is>
      </c>
      <c r="AF46" s="137" t="inlineStr">
        <is>
          <t>U</t>
        </is>
      </c>
      <c r="AG46" s="137" t="inlineStr">
        <is>
          <t>V</t>
        </is>
      </c>
      <c r="AH46" s="137" t="inlineStr">
        <is>
          <t>YUV</t>
        </is>
      </c>
      <c r="AI46" s="281" t="inlineStr">
        <is>
          <t>YUV</t>
        </is>
      </c>
      <c r="AJ46" s="254" t="n"/>
      <c r="AK46" s="282" t="inlineStr">
        <is>
          <t>YUV</t>
        </is>
      </c>
      <c r="AL46" s="256" t="n"/>
      <c r="CE46" s="119" t="n"/>
      <c r="CF46" s="119" t="n"/>
      <c r="CK46" s="5" t="n"/>
      <c r="EV46" s="7" t="n"/>
      <c r="EW46" s="7" t="n"/>
      <c r="EX46" s="7" t="n"/>
      <c r="EY46" s="7" t="n"/>
      <c r="EZ46" s="7" t="n"/>
      <c r="FA46" s="7" t="n"/>
      <c r="FB46" s="7" t="n"/>
      <c r="FC46" s="7" t="n"/>
    </row>
    <row r="47">
      <c r="A47" s="244" t="inlineStr">
        <is>
          <t>High</t>
        </is>
      </c>
      <c r="B47" s="180">
        <f>bdRateROI($CL5:$CL63,CM5:CM63,$DZ5:$DZ63,EA5:EA63,CJ11,CJ6,1, 0, TRUE)</f>
        <v/>
      </c>
      <c r="C47" s="180">
        <f>bdRateExtend($CL5:$CL63,CN5:CN63,$DZ5:$DZ63,EB5:EB63, "None", FALSE, 0, TRUE)</f>
        <v/>
      </c>
      <c r="D47" s="180">
        <f>bdRateExtend($CL5:$CL63,CO5:CO63,$DZ5:$DZ63,EC5:EC63, "None", FALSE, 0, TRUE)</f>
        <v/>
      </c>
      <c r="E47" s="180">
        <f>bdRateExtend($CL5:$CL63,CP5:CP63,$DZ5:$DZ63,ED5:ED63, "None", FALSE, 0, TRUE)</f>
        <v/>
      </c>
      <c r="F47" s="180">
        <f>bdRateExtend($CL5:$CL63,CQ5:CQ63,$DZ5:$DZ63,EE5:EE63, "None", FALSE, 0, TRUE)</f>
        <v/>
      </c>
      <c r="G47" s="180">
        <f>bdRateExtend($CL5:$CL63,CR5:CR63,$DZ5:$DZ63,EF5:EF63, "None", FALSE, 0, TRUE)</f>
        <v/>
      </c>
      <c r="H47" s="180">
        <f>bdRateExtend($CL5:$CL63,CS5:CS63,$DZ5:$DZ63,EG5:EG63, "None", FALSE, 0, TRUE)</f>
        <v/>
      </c>
      <c r="I47" s="180">
        <f>bdRateExtend($CL5:$CL63,CT5:CT63,$DZ5:$DZ63,EH5:EH63,"None", FALSE,2,TRUE)</f>
        <v/>
      </c>
      <c r="J47" s="180">
        <f>bdRateExtend($CL5:$CL63,CU5:CU63,$DZ5:$DZ63,EI5:EI63,"None", FALSE,2,TRUE)</f>
        <v/>
      </c>
      <c r="K47" s="180">
        <f>bdRateExtend($CL5:$CL63,CV5:CV63,$DZ5:$DZ63,EJ5:EJ63, "None", FALSE, 0, TRUE)</f>
        <v/>
      </c>
      <c r="L47" s="180">
        <f>bdRateExtend($CL5:$CL63,CW5:CW63,$DZ5:$DZ63,EK5:EK63, "None", FALSE, 0, TRUE)</f>
        <v/>
      </c>
      <c r="M47" s="180">
        <f>bdRateExtend($CL5:$CL63,CX5:CX63,$DZ5:$DZ63,EL5:EL63, "None", FALSE, 0, TRUE)</f>
        <v/>
      </c>
      <c r="N47" s="180">
        <f>bdRateExtend($CL5:$CL63,CY5:CY63,$DZ5:$DZ63,EM5:EM63, "None", FALSE, 0, TRUE)</f>
        <v/>
      </c>
      <c r="O47" s="180">
        <f>bdRateExtend($CL5:$CL63,CZ5:CZ63,$DZ5:$DZ63,EN5:EN63, "None", FALSE, 0, TRUE)</f>
        <v/>
      </c>
      <c r="P47" s="180">
        <f>bdRateExtend($CL5:$CL63,DA5:DA63,$DZ5:$DZ63,EO5:EO63, "None", FALSE, 0, TRUE)</f>
        <v/>
      </c>
      <c r="Q47" s="180">
        <f>bdRateROI($DE5:$DE63,DF5:DF63,$ER5:$ER63,ES5:ES63,CJ11,CJ6,1, 0, TRUE)</f>
        <v/>
      </c>
      <c r="R47" s="180">
        <f>bdRateExtend($DE5:$DE63,DF5:DF63,$ER5:$ER63,ES5:ES63, "None", FALSE, 0, TRUE)</f>
        <v/>
      </c>
      <c r="S47" s="180">
        <f>bdRateROI($DH5:$DH63,DI5:DI63,$ET5:$ET63,EU5:EU63,CJ11,CJ6,1, 0, TRUE)</f>
        <v/>
      </c>
      <c r="T47" s="180">
        <f>bdRateExtend($DH5:$DH63,DI5:DI63,$ET5:$ET63,EU5:EU63, "None", FALSE, 0, TRUE)</f>
        <v/>
      </c>
      <c r="U47" s="180">
        <f>bdRateROI($DK5:$DK63,DL5:DL63,$EV5:$EV63,EW5:EW63,$CJ11,$CJ6,1,2,TRUE)</f>
        <v/>
      </c>
      <c r="V47" s="180">
        <f>bdRateExtend($DK5:$DK63,DL5:DL63,$EV5:$EV63,EW5:EW63,"None", FALSE,2,TRUE)</f>
        <v/>
      </c>
      <c r="W47" s="180">
        <f>bdRateROI(DM5:DM63,DN5:DN63,EX5:EX63,EY5:EY63,$CJ11,$CJ6,1,2,TRUE)</f>
        <v/>
      </c>
      <c r="X47" s="180">
        <f>bdRateExtend(DM5:DM63,DN5:DN63,EX5:EX63,EY5:EY63,"None", FALSE,2,TRUE)</f>
        <v/>
      </c>
      <c r="Y47" s="180">
        <f>bdRateROI(DO5:DO63,DP5:DP63,EZ5:EZ63,FA5:FA63,$CJ11,$CJ6,1, 0, TRUE)</f>
        <v/>
      </c>
      <c r="Z47" s="180">
        <f>bdRateExtend(DO5:DO63,DP5:DP63,EZ5:EZ63,FA5:FA63, "None", FALSE, 0, TRUE)</f>
        <v/>
      </c>
      <c r="AA47" s="180">
        <f>bdRateROI(DQ5:DQ63,DR5:DR63,FB5:FB63,FC5:FC63,$CJ11,$CJ6,1, 0, TRUE)</f>
        <v/>
      </c>
      <c r="AB47" s="180">
        <f>bdRateExtend(DQ5:DQ63,DR5:DR63,FB5:FB63,FC5:FC63, "None", FALSE, 0, TRUE)</f>
        <v/>
      </c>
      <c r="AC47" s="180">
        <f>bdRateROI(DS5:DS63,DT5:DT63,FD5:FD63,FE5:FE63,$CJ11,$CJ6,1, 0, TRUE)</f>
        <v/>
      </c>
      <c r="AD47" s="180">
        <f>bdRateExtend(DS5:DS63,DT5:DT63,FD5:FD63,FE5:FE63, "None", FALSE, 0, TRUE)</f>
        <v/>
      </c>
      <c r="AE47" s="180">
        <f>bdRateExtend($DS5:$DS63,DU5:DU63,$FD5:$FD63,FF5:FF63, "None", FALSE, 0, TRUE)</f>
        <v/>
      </c>
      <c r="AF47" s="180">
        <f>bdRateExtend($DS5:$DS63,DV5:DV63,$FD5:$FD63,FG5:FG63, "None", FALSE, 0, TRUE)</f>
        <v/>
      </c>
      <c r="AG47" s="180">
        <f>bdRateExtend($DS5:$DS63,DW5:DW63,$FD5:$FD63,FH5:FH63, "None", FALSE, 0, TRUE)</f>
        <v/>
      </c>
      <c r="AH47" s="180">
        <f>bdRateExtend($DS5:$DS63,DX5:DX63,$FD5:$FD63,FI5:FI63, "None", FALSE, 0, TRUE)</f>
        <v/>
      </c>
      <c r="AI47" s="180">
        <f>bdRateROI($FK5:$FK63,FL5:FL63,$FP5:$FP63,FQ5:FQ63,$CJ11,$CJ6,1, 0, TRUE)</f>
        <v/>
      </c>
      <c r="AJ47" s="180">
        <f>bdRateExtend($FK5:$FK63,FL5:FL63,$FP5:$FP63,FQ5:FQ63, "None", FALSE, 0, TRUE)</f>
        <v/>
      </c>
      <c r="AK47" s="180">
        <f>bdRateROI($FM5:$FM63,FN5:FN63,$FR5:$FR63,FS5:FS63,$CJ11,$CJ6,1, 0, TRUE)</f>
        <v/>
      </c>
      <c r="AL47" s="184">
        <f>bdRateExtend($FM5:$FM63,FN5:FN63,$FR5:$FR63,FS5:FS63, "None", FALSE, 0, TRUE)</f>
        <v/>
      </c>
      <c r="CE47" s="119" t="n"/>
      <c r="CF47" s="119" t="n"/>
      <c r="CK47" s="5" t="n"/>
      <c r="EV47" s="7" t="n"/>
      <c r="EW47" s="7" t="n"/>
      <c r="EX47" s="7" t="n"/>
      <c r="EY47" s="7" t="n"/>
      <c r="EZ47" s="7" t="n"/>
      <c r="FA47" s="7" t="n"/>
      <c r="FB47" s="7" t="n"/>
      <c r="FC47" s="7" t="n"/>
    </row>
    <row r="48">
      <c r="A48" s="196" t="n"/>
      <c r="B48" s="179" t="n"/>
      <c r="C48" s="178" t="n"/>
      <c r="D48" s="178" t="n"/>
      <c r="E48" s="178" t="n"/>
      <c r="F48" s="178" t="n"/>
      <c r="G48" s="178" t="n"/>
      <c r="H48" s="178" t="n"/>
      <c r="I48" s="178" t="n"/>
      <c r="J48" s="178" t="n"/>
      <c r="K48" s="178" t="n"/>
      <c r="L48" s="178" t="n"/>
      <c r="M48" s="178" t="n"/>
      <c r="N48" s="178" t="n"/>
      <c r="O48" s="178" t="n"/>
      <c r="P48" s="178" t="n"/>
      <c r="Q48" s="179" t="n"/>
      <c r="R48" s="178" t="n"/>
      <c r="S48" s="179" t="n"/>
      <c r="T48" s="178" t="n"/>
      <c r="U48" s="179" t="n"/>
      <c r="V48" s="178" t="n"/>
      <c r="W48" s="179" t="n"/>
      <c r="X48" s="178" t="n"/>
      <c r="Y48" s="179" t="n"/>
      <c r="Z48" s="178" t="n"/>
      <c r="AA48" s="179" t="n"/>
      <c r="AB48" s="178" t="n"/>
      <c r="AC48" s="179" t="n"/>
      <c r="AD48" s="178" t="n"/>
      <c r="AE48" s="178" t="n"/>
      <c r="AF48" s="178" t="n"/>
      <c r="AG48" s="178" t="n"/>
      <c r="AH48" s="178" t="n"/>
      <c r="AI48" s="179" t="n"/>
      <c r="AJ48" s="178" t="n"/>
      <c r="AK48" s="179" t="n"/>
      <c r="AL48" s="185" t="n"/>
      <c r="CE48" s="119" t="n"/>
      <c r="CF48" s="119" t="n"/>
      <c r="CK48" s="5" t="n"/>
      <c r="EV48" s="7" t="n"/>
      <c r="EW48" s="7" t="n"/>
      <c r="EX48" s="7" t="n"/>
      <c r="EY48" s="7" t="n"/>
      <c r="EZ48" s="7" t="n"/>
      <c r="FA48" s="7" t="n"/>
      <c r="FB48" s="7" t="n"/>
      <c r="FC48" s="7" t="n"/>
    </row>
    <row r="49">
      <c r="A49" s="257" t="inlineStr">
        <is>
          <t>Med</t>
        </is>
      </c>
      <c r="B49" s="177">
        <f>bdRateROI($CL5:$CL63,CM5:CM63,$DZ5:$DZ63,EA5:EA63,CJ10,CJ11,1, 0, TRUE)</f>
        <v/>
      </c>
      <c r="C49" s="178" t="n"/>
      <c r="D49" s="178" t="n"/>
      <c r="E49" s="178" t="n"/>
      <c r="F49" s="178" t="n"/>
      <c r="G49" s="178" t="n"/>
      <c r="H49" s="178" t="n"/>
      <c r="I49" s="178" t="n"/>
      <c r="J49" s="178" t="n"/>
      <c r="K49" s="178" t="n"/>
      <c r="L49" s="178" t="n"/>
      <c r="M49" s="178" t="n"/>
      <c r="N49" s="178" t="n"/>
      <c r="O49" s="178" t="n"/>
      <c r="P49" s="178" t="n"/>
      <c r="Q49" s="177">
        <f>bdRateROI($DE5:$DE63,DF5:DF63,$ER5:$ER63,ES5:ES63,CJ10,CJ11,1, 0, TRUE)</f>
        <v/>
      </c>
      <c r="R49" s="178" t="n"/>
      <c r="S49" s="177">
        <f>bdRateROI($DH5:$DH63,DI5:DI63,$ET5:$ET63,EU5:EU63,CJ10,CJ11,1, 0, TRUE)</f>
        <v/>
      </c>
      <c r="T49" s="178" t="n"/>
      <c r="U49" s="177">
        <f>bdRateROI($DK5:$DK63,DL5:DL63,$EV5:$EV63,EW5:EW63,$CJ$10,$CJ$11,1,2,TRUE)</f>
        <v/>
      </c>
      <c r="V49" s="178" t="n"/>
      <c r="W49" s="177">
        <f>bdRateROI(DM5:DM63,DN5:DN63,EX5:EX63,EY5:EY63,$CJ$10,$CJ$11,1,2,TRUE)</f>
        <v/>
      </c>
      <c r="X49" s="178" t="n"/>
      <c r="Y49" s="177">
        <f>bdRateROI(DO5:DO63,DP5:DP63,EZ5:EZ63,FA5:FA63,$CJ$10,$CJ$11,1, 0, TRUE)</f>
        <v/>
      </c>
      <c r="Z49" s="178" t="n"/>
      <c r="AA49" s="177">
        <f>bdRateROI(DQ5:DQ63,DR5:DR63,FB5:FB63,FC5:FC63,$CJ$10,$CJ$11,1, 0, TRUE)</f>
        <v/>
      </c>
      <c r="AB49" s="178" t="n"/>
      <c r="AC49" s="177">
        <f>bdRateROI(DS5:DS63,DT5:DT63,FD5:FD63,FE5:FE63,$CJ$10,$CJ$11,1, 0, TRUE)</f>
        <v/>
      </c>
      <c r="AD49" s="178" t="n"/>
      <c r="AE49" s="178" t="n"/>
      <c r="AF49" s="178" t="n"/>
      <c r="AG49" s="178" t="n"/>
      <c r="AH49" s="178" t="n"/>
      <c r="AI49" s="177">
        <f>bdRateROI($FK5:$FK63,FL5:FL63,$FP5:$FP63,FQ5:FQ63,$CJ$10,$CJ$11,1, 0, TRUE)</f>
        <v/>
      </c>
      <c r="AJ49" s="178" t="n"/>
      <c r="AK49" s="177">
        <f>bdRateROI($FM5:$FM63,FN5:FN63,$FR5:$FR63,FS5:FS63,$CJ$10,$CJ$11,1, 0, TRUE)</f>
        <v/>
      </c>
      <c r="AL49" s="185" t="n"/>
      <c r="CE49" s="119" t="n"/>
      <c r="CF49" s="119" t="n"/>
      <c r="CK49" s="5" t="n"/>
      <c r="EV49" s="7" t="n"/>
      <c r="EW49" s="7" t="n"/>
      <c r="EX49" s="7" t="n"/>
      <c r="EY49" s="7" t="n"/>
      <c r="EZ49" s="7" t="n"/>
      <c r="FA49" s="7" t="n"/>
      <c r="FB49" s="7" t="n"/>
      <c r="FC49" s="7" t="n"/>
    </row>
    <row r="50">
      <c r="A50" s="196" t="n"/>
      <c r="B50" s="179" t="n"/>
      <c r="C50" s="178" t="n"/>
      <c r="D50" s="178" t="n"/>
      <c r="E50" s="178" t="n"/>
      <c r="F50" s="178" t="n"/>
      <c r="G50" s="178" t="n"/>
      <c r="H50" s="178" t="n"/>
      <c r="I50" s="178" t="n"/>
      <c r="J50" s="178" t="n"/>
      <c r="K50" s="178" t="n"/>
      <c r="L50" s="178" t="n"/>
      <c r="M50" s="178" t="n"/>
      <c r="N50" s="178" t="n"/>
      <c r="O50" s="178" t="n"/>
      <c r="P50" s="178" t="n"/>
      <c r="Q50" s="179" t="n"/>
      <c r="R50" s="178" t="n"/>
      <c r="S50" s="179" t="n"/>
      <c r="T50" s="178" t="n"/>
      <c r="U50" s="179" t="n"/>
      <c r="V50" s="178" t="n"/>
      <c r="W50" s="179" t="n"/>
      <c r="X50" s="178" t="n"/>
      <c r="Y50" s="179" t="n"/>
      <c r="Z50" s="178" t="n"/>
      <c r="AA50" s="179" t="n"/>
      <c r="AB50" s="178" t="n"/>
      <c r="AC50" s="179" t="n"/>
      <c r="AD50" s="178" t="n"/>
      <c r="AE50" s="178" t="n"/>
      <c r="AF50" s="178" t="n"/>
      <c r="AG50" s="178" t="n"/>
      <c r="AH50" s="178" t="n"/>
      <c r="AI50" s="179" t="n"/>
      <c r="AJ50" s="178" t="n"/>
      <c r="AK50" s="179" t="n"/>
      <c r="AL50" s="185" t="n"/>
      <c r="CE50" s="119" t="n"/>
      <c r="CF50" s="119" t="n"/>
      <c r="CK50" s="5" t="n"/>
      <c r="EV50" s="7" t="n"/>
      <c r="EW50" s="7" t="n"/>
      <c r="EX50" s="7" t="n"/>
      <c r="EY50" s="7" t="n"/>
      <c r="EZ50" s="7" t="n"/>
      <c r="FA50" s="7" t="n"/>
      <c r="FB50" s="7" t="n"/>
      <c r="FC50" s="7" t="n"/>
    </row>
    <row r="51">
      <c r="A51" s="257" t="inlineStr">
        <is>
          <t>Low</t>
        </is>
      </c>
      <c r="B51" s="177">
        <f>bdRateROI($CL5:$CL63,CM5:CM63,$DZ5:$DZ63,EA5:EA63,CJ5,CJ10,1, 0, TRUE)</f>
        <v/>
      </c>
      <c r="C51" s="178" t="n"/>
      <c r="D51" s="178" t="n"/>
      <c r="E51" s="178" t="n"/>
      <c r="F51" s="178" t="n"/>
      <c r="G51" s="178" t="n"/>
      <c r="H51" s="178" t="n"/>
      <c r="I51" s="178" t="n"/>
      <c r="J51" s="178" t="n"/>
      <c r="K51" s="178" t="n"/>
      <c r="L51" s="178" t="n"/>
      <c r="M51" s="178" t="n"/>
      <c r="N51" s="178" t="n"/>
      <c r="O51" s="178" t="n"/>
      <c r="P51" s="178" t="n"/>
      <c r="Q51" s="177">
        <f>bdRateROI($DE5:$DE63,DF5:DF63,$ER5:$ER63,ES5:ES63,CJ5,CJ10,1, 0, TRUE)</f>
        <v/>
      </c>
      <c r="R51" s="178" t="n"/>
      <c r="S51" s="177">
        <f>bdRateROI($DH5:$DH63,DI5:DI63,$ET5:$ET63,EU5:EU63,CJ5,CJ10,1, 0, TRUE)</f>
        <v/>
      </c>
      <c r="T51" s="178" t="n"/>
      <c r="U51" s="177">
        <f>bdRateROI($DK5:$DK63,DL5:DL63,$EV5:$EV63,EW5:EW63,$CJ$5,$CJ$10,1,2,TRUE)</f>
        <v/>
      </c>
      <c r="V51" s="178" t="n"/>
      <c r="W51" s="177">
        <f>bdRateROI(DM5:DM63,DN5:DN63,EX5:EX63,EY5:EY63,$CJ$5,$CJ$10,1,2,TRUE)</f>
        <v/>
      </c>
      <c r="X51" s="178" t="n"/>
      <c r="Y51" s="177">
        <f>bdRateROI(DO5:DO63,DP5:DP63,EZ5:EZ63,FA5:FA63,$CJ$5,$CJ$10,1, 0, TRUE)</f>
        <v/>
      </c>
      <c r="Z51" s="178" t="n"/>
      <c r="AA51" s="177">
        <f>bdRateROI(DQ5:DQ63,DR5:DR63,FB5:FB63,FC5:FC63,$CJ$5,$CJ$10,1, 0, TRUE)</f>
        <v/>
      </c>
      <c r="AB51" s="178" t="n"/>
      <c r="AC51" s="177">
        <f>bdRateROI(DS5:DS63,DT5:DT63,FD5:FD63,FE5:FE63,$CJ$5,$CJ$10,1, 0, TRUE)</f>
        <v/>
      </c>
      <c r="AD51" s="178" t="n"/>
      <c r="AE51" s="178" t="n"/>
      <c r="AF51" s="178" t="n"/>
      <c r="AG51" s="178" t="n"/>
      <c r="AH51" s="178" t="n"/>
      <c r="AI51" s="177">
        <f>bdRateROI($FK5:$FK63,FL5:FL63,$FP5:$FP63,FQ5:FQ63,$CJ$5,$CJ$10,1, 0, TRUE)</f>
        <v/>
      </c>
      <c r="AJ51" s="178" t="n"/>
      <c r="AK51" s="177">
        <f>bdRateROI($FM5:$FM63,FN5:FN63,$FR5:$FR63,FS5:FS63,$CJ$5,$CJ$10,1, 0, TRUE)</f>
        <v/>
      </c>
      <c r="AL51" s="185" t="n"/>
      <c r="CE51" s="119" t="n"/>
      <c r="CF51" s="119" t="n"/>
      <c r="CK51" s="5" t="n"/>
      <c r="EV51" s="7" t="n"/>
      <c r="EW51" s="7" t="n"/>
      <c r="EX51" s="7" t="n"/>
      <c r="EY51" s="7" t="n"/>
      <c r="EZ51" s="7" t="n"/>
      <c r="FA51" s="7" t="n"/>
      <c r="FB51" s="7" t="n"/>
      <c r="FC51" s="7" t="n"/>
    </row>
    <row r="52" ht="14" customHeight="1" s="241">
      <c r="A52" s="196" t="n"/>
      <c r="B52" s="179" t="n"/>
      <c r="C52" s="179" t="n"/>
      <c r="D52" s="179" t="n"/>
      <c r="E52" s="179" t="n"/>
      <c r="F52" s="179" t="n"/>
      <c r="G52" s="179" t="n"/>
      <c r="H52" s="179" t="n"/>
      <c r="I52" s="179" t="n"/>
      <c r="J52" s="179" t="n"/>
      <c r="K52" s="179" t="n"/>
      <c r="L52" s="179" t="n"/>
      <c r="M52" s="179" t="n"/>
      <c r="N52" s="179" t="n"/>
      <c r="O52" s="179" t="n"/>
      <c r="P52" s="179" t="n"/>
      <c r="Q52" s="179" t="n"/>
      <c r="R52" s="179" t="n"/>
      <c r="S52" s="179" t="n"/>
      <c r="T52" s="179" t="n"/>
      <c r="U52" s="179" t="n"/>
      <c r="V52" s="179" t="n"/>
      <c r="W52" s="179" t="n"/>
      <c r="X52" s="179" t="n"/>
      <c r="Y52" s="179" t="n"/>
      <c r="Z52" s="179" t="n"/>
      <c r="AA52" s="179" t="n"/>
      <c r="AB52" s="179" t="n"/>
      <c r="AC52" s="179" t="n"/>
      <c r="AD52" s="179" t="n"/>
      <c r="AE52" s="179" t="n"/>
      <c r="AF52" s="179" t="n"/>
      <c r="AG52" s="179" t="n"/>
      <c r="AH52" s="179" t="n"/>
      <c r="AI52" s="179" t="n"/>
      <c r="AJ52" s="179" t="n"/>
      <c r="AK52" s="179" t="n"/>
      <c r="AL52" s="186" t="n"/>
      <c r="CE52" s="119" t="n"/>
      <c r="CF52" s="119" t="n"/>
      <c r="CK52" s="5" t="n"/>
      <c r="EV52" s="7" t="n"/>
      <c r="EW52" s="7" t="n"/>
      <c r="EX52" s="7" t="n"/>
      <c r="EY52" s="7" t="n"/>
      <c r="EZ52" s="7" t="n"/>
      <c r="FA52" s="7" t="n"/>
      <c r="FB52" s="7" t="n"/>
      <c r="FC52" s="7" t="n"/>
    </row>
    <row r="53">
      <c r="CE53" s="119" t="n"/>
      <c r="CF53" s="119" t="n"/>
      <c r="CK53" s="5" t="n"/>
      <c r="EV53" s="7" t="n"/>
      <c r="EW53" s="7" t="n"/>
      <c r="EX53" s="7" t="n"/>
      <c r="EY53" s="7" t="n"/>
      <c r="EZ53" s="7" t="n"/>
      <c r="FA53" s="7" t="n"/>
      <c r="FB53" s="7" t="n"/>
      <c r="FC53" s="7" t="n"/>
    </row>
    <row r="54">
      <c r="AP54" s="9" t="n"/>
      <c r="CE54" s="119" t="n"/>
      <c r="CF54" s="119" t="n"/>
      <c r="CK54" s="5" t="n"/>
      <c r="EV54" s="7" t="n"/>
      <c r="EW54" s="7" t="n"/>
      <c r="EX54" s="7" t="n"/>
      <c r="EY54" s="7" t="n"/>
      <c r="EZ54" s="7" t="n"/>
      <c r="FA54" s="7" t="n"/>
      <c r="FB54" s="7" t="n"/>
      <c r="FC54" s="7" t="n"/>
    </row>
    <row r="55">
      <c r="AP55" s="9" t="n"/>
      <c r="CE55" s="119" t="n"/>
      <c r="CF55" s="119" t="n"/>
      <c r="CK55" s="5" t="n"/>
      <c r="EV55" s="7" t="n"/>
      <c r="EW55" s="7" t="n"/>
      <c r="EX55" s="7" t="n"/>
      <c r="EY55" s="7" t="n"/>
      <c r="EZ55" s="7" t="n"/>
      <c r="FA55" s="7" t="n"/>
      <c r="FB55" s="7" t="n"/>
      <c r="FC55" s="7" t="n"/>
    </row>
    <row r="56">
      <c r="C56" s="143">
        <f>COUNTIFS(C5:C40, "&lt;&gt;",C5:C40, "&lt;&gt;0")</f>
        <v/>
      </c>
      <c r="U56" s="132">
        <f>COUNTIFS(U5:U40, "&lt;&gt;",U5:U40, "&lt;&gt;0")</f>
        <v/>
      </c>
      <c r="AM56" s="132">
        <f>U56/C56</f>
        <v/>
      </c>
      <c r="CE56" s="119" t="n"/>
      <c r="CF56" s="119" t="n"/>
      <c r="CK56" s="5" t="n"/>
      <c r="EV56" s="7" t="n"/>
      <c r="EW56" s="7" t="n"/>
      <c r="EX56" s="7" t="n"/>
      <c r="EY56" s="7" t="n"/>
      <c r="EZ56" s="7" t="n"/>
      <c r="FA56" s="7" t="n"/>
      <c r="FB56" s="7" t="n"/>
      <c r="FC56" s="7" t="n"/>
    </row>
    <row r="57">
      <c r="R57" s="143">
        <f>GEOMEAN(R5:R40)</f>
        <v/>
      </c>
      <c r="S57" s="143">
        <f>GEOMEAN(S5:S40)</f>
        <v/>
      </c>
      <c r="AJ57" s="132">
        <f>GEOMEAN(AJ5:AJ40)</f>
        <v/>
      </c>
      <c r="AK57" s="132">
        <f>GEOMEAN(AK5:AK40)</f>
        <v/>
      </c>
      <c r="AL57" s="132">
        <f>GEOMEAN(AL5:AL40)</f>
        <v/>
      </c>
      <c r="AM57" s="132">
        <f>GEOMEAN(AM5:AM40)</f>
        <v/>
      </c>
      <c r="CE57" s="119" t="n"/>
      <c r="CF57" s="119" t="n"/>
      <c r="CK57" s="5" t="n"/>
      <c r="EV57" s="7" t="n"/>
      <c r="EW57" s="7" t="n"/>
      <c r="EX57" s="7" t="n"/>
      <c r="EY57" s="7" t="n"/>
      <c r="EZ57" s="7" t="n"/>
      <c r="FA57" s="7" t="n"/>
      <c r="FB57" s="7" t="n"/>
      <c r="FC57" s="7" t="n"/>
    </row>
    <row r="58">
      <c r="R58" s="143">
        <f>SUM(R5:R40)</f>
        <v/>
      </c>
      <c r="S58" s="143">
        <f>SUM(S5:S40)</f>
        <v/>
      </c>
      <c r="AJ58" s="132">
        <f>SUM(AJ5:AJ40)</f>
        <v/>
      </c>
      <c r="AK58" s="132">
        <f>SUM(AK5:AK40)</f>
        <v/>
      </c>
      <c r="AL58" s="132">
        <f>AVERAGE(AL5:AL40)</f>
        <v/>
      </c>
      <c r="AM58" s="132">
        <f>AVERAGE(AM5:AM40)</f>
        <v/>
      </c>
      <c r="CE58" s="119" t="n"/>
      <c r="CF58" s="119" t="n"/>
      <c r="CK58" s="5" t="n"/>
      <c r="EV58" s="7" t="n"/>
      <c r="EW58" s="7" t="n"/>
      <c r="EX58" s="7" t="n"/>
      <c r="EY58" s="7" t="n"/>
      <c r="EZ58" s="7" t="n"/>
      <c r="FA58" s="7" t="n"/>
      <c r="FB58" s="7" t="n"/>
      <c r="FC58" s="7" t="n"/>
    </row>
    <row r="59">
      <c r="R59" s="143">
        <f>MAX(R5:R40)</f>
        <v/>
      </c>
      <c r="S59" s="143">
        <f>MAX(S5:S40)</f>
        <v/>
      </c>
      <c r="AJ59" s="132">
        <f>MAX(AJ5:AJ40)</f>
        <v/>
      </c>
      <c r="AK59" s="132">
        <f>MAX(AK5:AK40)</f>
        <v/>
      </c>
      <c r="AL59" s="132">
        <f>MAX(AL5:AL40)</f>
        <v/>
      </c>
      <c r="AM59" s="132">
        <f>MAX(AM5:AM40)</f>
        <v/>
      </c>
      <c r="CE59" s="119" t="n"/>
      <c r="CF59" s="119" t="n"/>
      <c r="CK59" s="5" t="n"/>
      <c r="EV59" s="7" t="n"/>
      <c r="EW59" s="7" t="n"/>
      <c r="EX59" s="7" t="n"/>
      <c r="EY59" s="7" t="n"/>
      <c r="EZ59" s="7" t="n"/>
      <c r="FA59" s="7" t="n"/>
      <c r="FB59" s="7" t="n"/>
      <c r="FC59" s="7" t="n"/>
    </row>
    <row r="60">
      <c r="R60" s="143">
        <f>MIN(R5:R40)</f>
        <v/>
      </c>
      <c r="S60" s="143">
        <f>MIN(S5:S40)</f>
        <v/>
      </c>
      <c r="AJ60" s="132">
        <f>MIN(AJ5:AJ40)</f>
        <v/>
      </c>
      <c r="AK60" s="132">
        <f>MIN(AK5:AK40)</f>
        <v/>
      </c>
      <c r="AL60" s="132">
        <f>MIN(AL5:AL40)</f>
        <v/>
      </c>
      <c r="AM60" s="132">
        <f>MIN(AM5:AM40)</f>
        <v/>
      </c>
      <c r="CE60" s="119" t="n"/>
      <c r="CF60" s="119" t="n"/>
      <c r="CK60" s="5" t="n"/>
      <c r="EV60" s="7" t="n"/>
      <c r="EW60" s="7" t="n"/>
      <c r="EX60" s="7" t="n"/>
      <c r="EY60" s="7" t="n"/>
      <c r="EZ60" s="7" t="n"/>
      <c r="FA60" s="7" t="n"/>
      <c r="FB60" s="7" t="n"/>
      <c r="FC60" s="7" t="n"/>
    </row>
    <row r="61">
      <c r="AJ61" s="132">
        <f>AJ57/R57</f>
        <v/>
      </c>
      <c r="AK61" s="132">
        <f>AK57/S57</f>
        <v/>
      </c>
      <c r="CE61" s="119" t="n"/>
      <c r="CF61" s="119" t="n"/>
      <c r="CK61" s="5" t="n"/>
      <c r="EV61" s="7" t="n"/>
      <c r="EW61" s="7" t="n"/>
      <c r="EX61" s="7" t="n"/>
      <c r="EY61" s="7" t="n"/>
      <c r="EZ61" s="7" t="n"/>
      <c r="FA61" s="7" t="n"/>
      <c r="FB61" s="7" t="n"/>
      <c r="FC61" s="7" t="n"/>
    </row>
    <row r="62">
      <c r="CE62" s="119" t="n"/>
      <c r="CF62" s="119" t="n"/>
      <c r="CK62" s="5" t="n"/>
      <c r="EV62" s="7" t="n"/>
      <c r="EW62" s="7" t="n"/>
      <c r="EX62" s="7" t="n"/>
      <c r="EY62" s="7" t="n"/>
      <c r="EZ62" s="7" t="n"/>
      <c r="FA62" s="7" t="n"/>
      <c r="FB62" s="7" t="n"/>
      <c r="FC62" s="7" t="n"/>
    </row>
    <row r="63">
      <c r="CE63" s="119" t="n"/>
      <c r="CF63" s="119" t="n"/>
      <c r="CK63" s="5" t="n"/>
      <c r="EV63" s="7" t="n"/>
      <c r="EW63" s="7" t="n"/>
      <c r="EX63" s="7" t="n"/>
      <c r="EY63" s="7" t="n"/>
      <c r="EZ63" s="7" t="n"/>
      <c r="FA63" s="7" t="n"/>
      <c r="FB63" s="7" t="n"/>
      <c r="FC63" s="7" t="n"/>
    </row>
    <row r="64">
      <c r="CE64" s="119" t="n"/>
      <c r="CF64" s="119" t="n"/>
      <c r="CK64" s="5" t="n"/>
      <c r="EV64" s="7" t="n"/>
      <c r="EW64" s="7" t="n"/>
      <c r="EX64" s="7" t="n"/>
      <c r="EY64" s="7" t="n"/>
      <c r="EZ64" s="7" t="n"/>
      <c r="FA64" s="7" t="n"/>
      <c r="FB64" s="7" t="n"/>
      <c r="FC64" s="7" t="n"/>
    </row>
    <row r="65">
      <c r="CE65" s="119" t="n"/>
      <c r="CF65" s="119" t="n"/>
      <c r="CK65" s="5" t="n"/>
      <c r="EV65" s="7" t="n"/>
      <c r="EW65" s="7" t="n"/>
      <c r="EX65" s="7" t="n"/>
      <c r="EY65" s="7" t="n"/>
      <c r="EZ65" s="7" t="n"/>
      <c r="FA65" s="7" t="n"/>
      <c r="FB65" s="7" t="n"/>
      <c r="FC65" s="7" t="n"/>
    </row>
    <row r="66">
      <c r="CE66" s="119" t="n"/>
      <c r="CF66" s="119" t="n"/>
      <c r="CK66" s="5" t="n"/>
      <c r="EV66" s="7" t="n"/>
      <c r="EW66" s="7" t="n"/>
      <c r="EX66" s="7" t="n"/>
      <c r="EY66" s="7" t="n"/>
      <c r="EZ66" s="7" t="n"/>
      <c r="FA66" s="7" t="n"/>
      <c r="FB66" s="7" t="n"/>
      <c r="FC66" s="7" t="n"/>
    </row>
    <row r="67">
      <c r="CE67" s="119" t="n"/>
      <c r="CF67" s="119" t="n"/>
      <c r="CK67" s="5" t="n"/>
      <c r="EV67" s="7" t="n"/>
      <c r="EW67" s="7" t="n"/>
      <c r="EX67" s="7" t="n"/>
      <c r="EY67" s="7" t="n"/>
      <c r="EZ67" s="7" t="n"/>
      <c r="FA67" s="7" t="n"/>
      <c r="FB67" s="7" t="n"/>
      <c r="FC67" s="7" t="n"/>
    </row>
    <row r="68">
      <c r="CE68" s="119" t="n"/>
      <c r="CF68" s="119" t="n"/>
      <c r="CK68" s="5" t="n"/>
      <c r="EV68" s="7" t="n"/>
      <c r="EW68" s="7" t="n"/>
      <c r="EX68" s="7" t="n"/>
      <c r="EY68" s="7" t="n"/>
      <c r="EZ68" s="7" t="n"/>
      <c r="FA68" s="7" t="n"/>
      <c r="FB68" s="7" t="n"/>
      <c r="FC68" s="7" t="n"/>
    </row>
    <row r="69">
      <c r="CE69" s="119" t="n"/>
      <c r="CF69" s="119" t="n"/>
      <c r="CK69" s="5" t="n"/>
      <c r="EV69" s="7" t="n"/>
      <c r="EW69" s="7" t="n"/>
      <c r="EX69" s="7" t="n"/>
      <c r="EY69" s="7" t="n"/>
      <c r="EZ69" s="7" t="n"/>
      <c r="FA69" s="7" t="n"/>
      <c r="FB69" s="7" t="n"/>
      <c r="FC69" s="7" t="n"/>
    </row>
    <row r="70">
      <c r="CE70" s="119" t="n"/>
      <c r="CF70" s="119" t="n"/>
      <c r="EV70" s="7" t="n"/>
      <c r="EW70" s="7" t="n"/>
      <c r="EX70" s="7" t="n"/>
      <c r="EY70" s="7" t="n"/>
      <c r="EZ70" s="7" t="n"/>
      <c r="FA70" s="7" t="n"/>
      <c r="FB70" s="7" t="n"/>
      <c r="FC70" s="7" t="n"/>
    </row>
    <row r="71">
      <c r="CE71" s="119" t="n"/>
      <c r="CF71" s="119" t="n"/>
      <c r="EV71" s="7" t="n"/>
      <c r="EW71" s="7" t="n"/>
      <c r="EX71" s="7" t="n"/>
      <c r="EY71" s="7" t="n"/>
      <c r="EZ71" s="7" t="n"/>
      <c r="FA71" s="7" t="n"/>
      <c r="FB71" s="7" t="n"/>
      <c r="FC71" s="7" t="n"/>
    </row>
    <row r="72">
      <c r="CE72" s="119" t="n"/>
      <c r="CF72" s="119" t="n"/>
      <c r="EV72" s="7" t="n"/>
      <c r="EW72" s="7" t="n"/>
      <c r="EX72" s="7" t="n"/>
      <c r="EY72" s="7" t="n"/>
      <c r="EZ72" s="7" t="n"/>
      <c r="FA72" s="7" t="n"/>
      <c r="FB72" s="7" t="n"/>
      <c r="FC72" s="7" t="n"/>
    </row>
    <row r="73">
      <c r="CE73" s="119" t="n"/>
      <c r="CF73" s="119" t="n"/>
      <c r="EV73" s="7" t="n"/>
      <c r="EW73" s="7" t="n"/>
      <c r="EX73" s="7" t="n"/>
      <c r="EY73" s="7" t="n"/>
      <c r="EZ73" s="7" t="n"/>
      <c r="FA73" s="7" t="n"/>
      <c r="FB73" s="7" t="n"/>
      <c r="FC73" s="7" t="n"/>
    </row>
    <row r="74">
      <c r="CE74" s="119" t="n"/>
      <c r="CF74" s="119" t="n"/>
      <c r="EV74" s="7" t="n"/>
      <c r="EW74" s="7" t="n"/>
      <c r="EX74" s="7" t="n"/>
      <c r="EY74" s="7" t="n"/>
      <c r="EZ74" s="7" t="n"/>
      <c r="FA74" s="7" t="n"/>
      <c r="FB74" s="7" t="n"/>
      <c r="FC74" s="7" t="n"/>
    </row>
    <row r="75">
      <c r="CE75" s="119" t="n"/>
      <c r="CF75" s="119" t="n"/>
      <c r="EV75" s="7" t="n"/>
      <c r="EW75" s="7" t="n"/>
      <c r="EX75" s="7" t="n"/>
      <c r="EY75" s="7" t="n"/>
      <c r="EZ75" s="7" t="n"/>
      <c r="FA75" s="7" t="n"/>
      <c r="FB75" s="7" t="n"/>
      <c r="FC75" s="7" t="n"/>
    </row>
    <row r="76">
      <c r="CE76" s="119" t="n"/>
      <c r="CF76" s="119" t="n"/>
      <c r="EV76" s="7" t="n"/>
      <c r="EW76" s="7" t="n"/>
      <c r="EX76" s="7" t="n"/>
      <c r="EY76" s="7" t="n"/>
      <c r="EZ76" s="7" t="n"/>
      <c r="FA76" s="7" t="n"/>
      <c r="FB76" s="7" t="n"/>
      <c r="FC76" s="7" t="n"/>
    </row>
    <row r="77">
      <c r="CE77" s="119" t="n"/>
      <c r="CF77" s="119" t="n"/>
      <c r="EV77" s="7" t="n"/>
      <c r="EW77" s="7" t="n"/>
      <c r="EX77" s="7" t="n"/>
      <c r="EY77" s="7" t="n"/>
      <c r="EZ77" s="7" t="n"/>
      <c r="FA77" s="7" t="n"/>
      <c r="FB77" s="7" t="n"/>
      <c r="FC77" s="7" t="n"/>
    </row>
    <row r="78">
      <c r="CE78" s="119" t="n"/>
      <c r="CF78" s="119" t="n"/>
      <c r="EV78" s="7" t="n"/>
      <c r="EW78" s="7" t="n"/>
      <c r="EX78" s="7" t="n"/>
      <c r="EY78" s="7" t="n"/>
      <c r="EZ78" s="7" t="n"/>
      <c r="FA78" s="7" t="n"/>
      <c r="FB78" s="7" t="n"/>
      <c r="FC78" s="7" t="n"/>
    </row>
    <row r="79">
      <c r="CE79" s="119" t="n"/>
      <c r="CF79" s="119" t="n"/>
      <c r="EV79" s="7" t="n"/>
      <c r="EW79" s="7" t="n"/>
      <c r="EX79" s="7" t="n"/>
      <c r="EY79" s="7" t="n"/>
      <c r="EZ79" s="7" t="n"/>
      <c r="FA79" s="7" t="n"/>
      <c r="FB79" s="7" t="n"/>
      <c r="FC79" s="7" t="n"/>
    </row>
    <row r="80">
      <c r="CE80" s="119" t="n"/>
      <c r="CF80" s="119" t="n"/>
      <c r="EV80" s="7" t="n"/>
      <c r="EW80" s="7" t="n"/>
      <c r="EX80" s="7" t="n"/>
      <c r="EY80" s="7" t="n"/>
      <c r="EZ80" s="7" t="n"/>
      <c r="FA80" s="7" t="n"/>
      <c r="FB80" s="7" t="n"/>
      <c r="FC80" s="7" t="n"/>
    </row>
    <row r="81">
      <c r="CE81" s="119" t="n"/>
      <c r="CF81" s="119" t="n"/>
      <c r="EV81" s="7" t="n"/>
      <c r="EW81" s="7" t="n"/>
      <c r="EX81" s="7" t="n"/>
      <c r="EY81" s="7" t="n"/>
      <c r="EZ81" s="7" t="n"/>
      <c r="FA81" s="7" t="n"/>
      <c r="FB81" s="7" t="n"/>
      <c r="FC81" s="7" t="n"/>
    </row>
    <row r="82">
      <c r="CE82" s="119" t="n"/>
      <c r="CF82" s="119" t="n"/>
      <c r="EV82" s="7" t="n"/>
      <c r="EW82" s="7" t="n"/>
      <c r="EX82" s="7" t="n"/>
      <c r="EY82" s="7" t="n"/>
      <c r="EZ82" s="7" t="n"/>
      <c r="FA82" s="7" t="n"/>
      <c r="FB82" s="7" t="n"/>
      <c r="FC82" s="7" t="n"/>
    </row>
    <row r="83">
      <c r="CE83" s="119" t="n"/>
      <c r="CF83" s="119" t="n"/>
      <c r="EV83" s="7" t="n"/>
      <c r="EW83" s="7" t="n"/>
      <c r="EX83" s="7" t="n"/>
      <c r="EY83" s="7" t="n"/>
      <c r="EZ83" s="7" t="n"/>
      <c r="FA83" s="7" t="n"/>
      <c r="FB83" s="7" t="n"/>
      <c r="FC83" s="7" t="n"/>
    </row>
    <row r="84">
      <c r="CE84" s="119" t="n"/>
      <c r="CF84" s="119" t="n"/>
      <c r="EV84" s="7" t="n"/>
      <c r="EW84" s="7" t="n"/>
      <c r="EX84" s="7" t="n"/>
      <c r="EY84" s="7" t="n"/>
      <c r="EZ84" s="7" t="n"/>
      <c r="FA84" s="7" t="n"/>
      <c r="FB84" s="7" t="n"/>
      <c r="FC84" s="7" t="n"/>
    </row>
    <row r="85">
      <c r="CE85" s="119" t="n"/>
      <c r="CF85" s="119" t="n"/>
      <c r="EV85" s="7" t="n"/>
      <c r="EW85" s="7" t="n"/>
      <c r="EX85" s="7" t="n"/>
      <c r="EY85" s="7" t="n"/>
      <c r="EZ85" s="7" t="n"/>
      <c r="FA85" s="7" t="n"/>
      <c r="FB85" s="7" t="n"/>
      <c r="FC85" s="7" t="n"/>
    </row>
    <row r="86">
      <c r="CE86" s="119" t="n"/>
      <c r="CF86" s="119" t="n"/>
      <c r="EV86" s="7" t="n"/>
      <c r="EW86" s="7" t="n"/>
      <c r="EX86" s="7" t="n"/>
      <c r="EY86" s="7" t="n"/>
      <c r="EZ86" s="7" t="n"/>
      <c r="FA86" s="7" t="n"/>
      <c r="FB86" s="7" t="n"/>
      <c r="FC86" s="7" t="n"/>
    </row>
    <row r="87">
      <c r="CE87" s="119" t="n"/>
      <c r="CF87" s="119" t="n"/>
      <c r="EV87" s="7" t="n"/>
      <c r="EW87" s="7" t="n"/>
      <c r="EX87" s="7" t="n"/>
      <c r="EY87" s="7" t="n"/>
      <c r="EZ87" s="7" t="n"/>
      <c r="FA87" s="7" t="n"/>
      <c r="FB87" s="7" t="n"/>
      <c r="FC87" s="7" t="n"/>
    </row>
    <row r="88">
      <c r="CE88" s="119" t="n"/>
      <c r="CF88" s="119" t="n"/>
      <c r="EV88" s="7" t="n"/>
      <c r="EW88" s="7" t="n"/>
      <c r="EX88" s="7" t="n"/>
      <c r="EY88" s="7" t="n"/>
      <c r="EZ88" s="7" t="n"/>
      <c r="FA88" s="7" t="n"/>
      <c r="FB88" s="7" t="n"/>
      <c r="FC88" s="7" t="n"/>
    </row>
    <row r="89">
      <c r="CE89" s="119" t="n"/>
      <c r="CF89" s="119" t="n"/>
      <c r="EV89" s="7" t="n"/>
      <c r="EW89" s="7" t="n"/>
      <c r="EX89" s="7" t="n"/>
      <c r="EY89" s="7" t="n"/>
      <c r="EZ89" s="7" t="n"/>
      <c r="FA89" s="7" t="n"/>
      <c r="FB89" s="7" t="n"/>
      <c r="FC89" s="7" t="n"/>
    </row>
    <row r="90">
      <c r="CE90" s="119" t="n"/>
      <c r="CF90" s="119" t="n"/>
      <c r="EV90" s="7" t="n"/>
      <c r="EW90" s="7" t="n"/>
      <c r="EX90" s="7" t="n"/>
      <c r="EY90" s="7" t="n"/>
      <c r="EZ90" s="7" t="n"/>
      <c r="FA90" s="7" t="n"/>
      <c r="FB90" s="7" t="n"/>
      <c r="FC90" s="7" t="n"/>
    </row>
    <row r="91">
      <c r="EV91" s="7" t="n"/>
      <c r="EW91" s="7" t="n"/>
      <c r="EX91" s="7" t="n"/>
      <c r="EY91" s="7" t="n"/>
      <c r="EZ91" s="7" t="n"/>
      <c r="FA91" s="7" t="n"/>
      <c r="FB91" s="7" t="n"/>
      <c r="FC91" s="7" t="n"/>
    </row>
    <row r="92">
      <c r="EV92" s="7" t="n"/>
      <c r="EW92" s="7" t="n"/>
      <c r="EX92" s="7" t="n"/>
      <c r="EY92" s="7" t="n"/>
      <c r="EZ92" s="7" t="n"/>
      <c r="FA92" s="7" t="n"/>
      <c r="FB92" s="7" t="n"/>
      <c r="FC92" s="7" t="n"/>
    </row>
    <row r="93">
      <c r="EV93" s="7" t="n"/>
      <c r="EW93" s="7" t="n"/>
      <c r="EX93" s="7" t="n"/>
      <c r="EY93" s="7" t="n"/>
      <c r="EZ93" s="7" t="n"/>
      <c r="FA93" s="7" t="n"/>
      <c r="FB93" s="7" t="n"/>
      <c r="FC93" s="7" t="n"/>
    </row>
    <row r="94">
      <c r="EV94" s="7" t="n"/>
      <c r="EW94" s="7" t="n"/>
      <c r="EX94" s="7" t="n"/>
      <c r="EY94" s="7" t="n"/>
      <c r="EZ94" s="7" t="n"/>
      <c r="FA94" s="7" t="n"/>
      <c r="FB94" s="7" t="n"/>
      <c r="FC94" s="7" t="n"/>
    </row>
    <row r="95">
      <c r="EV95" s="7" t="n"/>
      <c r="EW95" s="7" t="n"/>
      <c r="EX95" s="7" t="n"/>
      <c r="EY95" s="7" t="n"/>
      <c r="EZ95" s="7" t="n"/>
      <c r="FA95" s="7" t="n"/>
      <c r="FB95" s="7" t="n"/>
      <c r="FC95" s="7" t="n"/>
    </row>
    <row r="96">
      <c r="EV96" s="7" t="n"/>
      <c r="EW96" s="7" t="n"/>
      <c r="EX96" s="7" t="n"/>
      <c r="EY96" s="7" t="n"/>
      <c r="EZ96" s="7" t="n"/>
      <c r="FA96" s="7" t="n"/>
      <c r="FB96" s="7" t="n"/>
      <c r="FC96" s="7" t="n"/>
    </row>
    <row r="97">
      <c r="EV97" s="7" t="n"/>
      <c r="EW97" s="7" t="n"/>
      <c r="EX97" s="7" t="n"/>
      <c r="EY97" s="7" t="n"/>
      <c r="EZ97" s="7" t="n"/>
      <c r="FA97" s="7" t="n"/>
      <c r="FB97" s="7" t="n"/>
      <c r="FC97" s="7" t="n"/>
    </row>
    <row r="98">
      <c r="EV98" s="7" t="n"/>
      <c r="EW98" s="7" t="n"/>
      <c r="EX98" s="7" t="n"/>
      <c r="EY98" s="7" t="n"/>
      <c r="EZ98" s="7" t="n"/>
      <c r="FA98" s="7" t="n"/>
      <c r="FB98" s="7" t="n"/>
      <c r="FC98" s="7" t="n"/>
    </row>
    <row r="99">
      <c r="EV99" s="7" t="n"/>
      <c r="EW99" s="7" t="n"/>
      <c r="EX99" s="7" t="n"/>
      <c r="EY99" s="7" t="n"/>
      <c r="EZ99" s="7" t="n"/>
      <c r="FA99" s="7" t="n"/>
      <c r="FB99" s="7" t="n"/>
      <c r="FC99" s="7" t="n"/>
    </row>
    <row r="100">
      <c r="EV100" s="7" t="n"/>
      <c r="EW100" s="7" t="n"/>
      <c r="EX100" s="7" t="n"/>
      <c r="EY100" s="7" t="n"/>
      <c r="EZ100" s="7" t="n"/>
      <c r="FA100" s="7" t="n"/>
      <c r="FB100" s="7" t="n"/>
      <c r="FC100" s="7" t="n"/>
    </row>
    <row r="101">
      <c r="EV101" s="7" t="n"/>
      <c r="EW101" s="7" t="n"/>
      <c r="EX101" s="7" t="n"/>
      <c r="EY101" s="7" t="n"/>
      <c r="EZ101" s="7" t="n"/>
      <c r="FA101" s="7" t="n"/>
      <c r="FB101" s="7" t="n"/>
      <c r="FC101" s="7" t="n"/>
    </row>
    <row r="102">
      <c r="EV102" s="7" t="n"/>
      <c r="EW102" s="7" t="n"/>
      <c r="EX102" s="7" t="n"/>
      <c r="EY102" s="7" t="n"/>
      <c r="EZ102" s="7" t="n"/>
      <c r="FA102" s="7" t="n"/>
      <c r="FB102" s="7" t="n"/>
      <c r="FC102" s="7" t="n"/>
    </row>
    <row r="103">
      <c r="EV103" s="7" t="n"/>
      <c r="EW103" s="7" t="n"/>
      <c r="EX103" s="7" t="n"/>
      <c r="EY103" s="7" t="n"/>
      <c r="EZ103" s="7" t="n"/>
      <c r="FA103" s="7" t="n"/>
      <c r="FB103" s="7" t="n"/>
      <c r="FC103" s="7" t="n"/>
    </row>
    <row r="104">
      <c r="EV104" s="7" t="n"/>
      <c r="EW104" s="7" t="n"/>
      <c r="EX104" s="7" t="n"/>
      <c r="EY104" s="7" t="n"/>
      <c r="EZ104" s="7" t="n"/>
      <c r="FA104" s="7" t="n"/>
      <c r="FB104" s="7" t="n"/>
      <c r="FC104" s="7" t="n"/>
    </row>
    <row r="105">
      <c r="EV105" s="7" t="n"/>
      <c r="EW105" s="7" t="n"/>
      <c r="EX105" s="7" t="n"/>
      <c r="EY105" s="7" t="n"/>
      <c r="EZ105" s="7" t="n"/>
      <c r="FA105" s="7" t="n"/>
      <c r="FB105" s="7" t="n"/>
      <c r="FC105" s="7" t="n"/>
    </row>
    <row r="106">
      <c r="EV106" s="7" t="n"/>
      <c r="EW106" s="7" t="n"/>
      <c r="EX106" s="7" t="n"/>
      <c r="EY106" s="7" t="n"/>
      <c r="EZ106" s="7" t="n"/>
      <c r="FA106" s="7" t="n"/>
      <c r="FB106" s="7" t="n"/>
      <c r="FC106" s="7" t="n"/>
    </row>
    <row r="107">
      <c r="EV107" s="7" t="n"/>
      <c r="EW107" s="7" t="n"/>
      <c r="EX107" s="7" t="n"/>
      <c r="EY107" s="7" t="n"/>
      <c r="EZ107" s="7" t="n"/>
      <c r="FA107" s="7" t="n"/>
      <c r="FB107" s="7" t="n"/>
      <c r="FC107" s="7" t="n"/>
    </row>
    <row r="108">
      <c r="EV108" s="7" t="n"/>
      <c r="EW108" s="7" t="n"/>
      <c r="EX108" s="7" t="n"/>
      <c r="EY108" s="7" t="n"/>
      <c r="EZ108" s="7" t="n"/>
      <c r="FA108" s="7" t="n"/>
      <c r="FB108" s="7" t="n"/>
      <c r="FC108" s="7" t="n"/>
    </row>
    <row r="109">
      <c r="EV109" s="7" t="n"/>
      <c r="EW109" s="7" t="n"/>
      <c r="EX109" s="7" t="n"/>
      <c r="EY109" s="7" t="n"/>
      <c r="EZ109" s="7" t="n"/>
      <c r="FA109" s="7" t="n"/>
      <c r="FB109" s="7" t="n"/>
      <c r="FC109" s="7" t="n"/>
    </row>
    <row r="110">
      <c r="EV110" s="7" t="n"/>
      <c r="EW110" s="7" t="n"/>
      <c r="EX110" s="7" t="n"/>
      <c r="EY110" s="7" t="n"/>
      <c r="EZ110" s="7" t="n"/>
      <c r="FA110" s="7" t="n"/>
      <c r="FB110" s="7" t="n"/>
      <c r="FC110" s="7" t="n"/>
    </row>
    <row r="111">
      <c r="EV111" s="7" t="n"/>
      <c r="EW111" s="7" t="n"/>
      <c r="EX111" s="7" t="n"/>
      <c r="EY111" s="7" t="n"/>
      <c r="EZ111" s="7" t="n"/>
      <c r="FA111" s="7" t="n"/>
      <c r="FB111" s="7" t="n"/>
      <c r="FC111" s="7" t="n"/>
    </row>
    <row r="112">
      <c r="EV112" s="7" t="n"/>
      <c r="EW112" s="7" t="n"/>
      <c r="EX112" s="7" t="n"/>
      <c r="EY112" s="7" t="n"/>
      <c r="EZ112" s="7" t="n"/>
      <c r="FA112" s="7" t="n"/>
      <c r="FB112" s="7" t="n"/>
      <c r="FC112" s="7" t="n"/>
    </row>
    <row r="113">
      <c r="EV113" s="7" t="n"/>
      <c r="EW113" s="7" t="n"/>
      <c r="EX113" s="7" t="n"/>
      <c r="EY113" s="7" t="n"/>
      <c r="EZ113" s="7" t="n"/>
      <c r="FA113" s="7" t="n"/>
      <c r="FB113" s="7" t="n"/>
      <c r="FC113" s="7" t="n"/>
    </row>
    <row r="114">
      <c r="EV114" s="7" t="n"/>
      <c r="EW114" s="7" t="n"/>
      <c r="EX114" s="7" t="n"/>
      <c r="EY114" s="7" t="n"/>
      <c r="EZ114" s="7" t="n"/>
      <c r="FA114" s="7" t="n"/>
      <c r="FB114" s="7" t="n"/>
      <c r="FC114" s="7" t="n"/>
    </row>
    <row r="115">
      <c r="EV115" s="7" t="n"/>
      <c r="EW115" s="7" t="n"/>
      <c r="EX115" s="7" t="n"/>
      <c r="EY115" s="7" t="n"/>
      <c r="EZ115" s="7" t="n"/>
      <c r="FA115" s="7" t="n"/>
      <c r="FB115" s="7" t="n"/>
      <c r="FC115" s="7" t="n"/>
    </row>
    <row r="116">
      <c r="EV116" s="7" t="n"/>
      <c r="EW116" s="7" t="n"/>
      <c r="EX116" s="7" t="n"/>
      <c r="EY116" s="7" t="n"/>
      <c r="EZ116" s="7" t="n"/>
      <c r="FA116" s="7" t="n"/>
      <c r="FB116" s="7" t="n"/>
      <c r="FC116" s="7" t="n"/>
    </row>
    <row r="117">
      <c r="EV117" s="7" t="n"/>
      <c r="EW117" s="7" t="n"/>
      <c r="EX117" s="7" t="n"/>
      <c r="EY117" s="7" t="n"/>
      <c r="EZ117" s="7" t="n"/>
      <c r="FA117" s="7" t="n"/>
      <c r="FB117" s="7" t="n"/>
      <c r="FC117" s="7" t="n"/>
    </row>
    <row r="118">
      <c r="EV118" s="7" t="n"/>
      <c r="EW118" s="7" t="n"/>
      <c r="EX118" s="7" t="n"/>
      <c r="EY118" s="7" t="n"/>
      <c r="EZ118" s="7" t="n"/>
      <c r="FA118" s="7" t="n"/>
      <c r="FB118" s="7" t="n"/>
      <c r="FC118" s="7" t="n"/>
    </row>
    <row r="119">
      <c r="EV119" s="7" t="n"/>
      <c r="EW119" s="7" t="n"/>
      <c r="EX119" s="7" t="n"/>
      <c r="EY119" s="7" t="n"/>
      <c r="EZ119" s="7" t="n"/>
      <c r="FA119" s="7" t="n"/>
      <c r="FB119" s="7" t="n"/>
      <c r="FC119" s="7" t="n"/>
    </row>
    <row r="120">
      <c r="EV120" s="7" t="n"/>
      <c r="EW120" s="7" t="n"/>
      <c r="EX120" s="7" t="n"/>
      <c r="EY120" s="7" t="n"/>
      <c r="EZ120" s="7" t="n"/>
      <c r="FA120" s="7" t="n"/>
      <c r="FB120" s="7" t="n"/>
      <c r="FC120" s="7" t="n"/>
    </row>
    <row r="121">
      <c r="EV121" s="7" t="n"/>
      <c r="EW121" s="7" t="n"/>
      <c r="EX121" s="7" t="n"/>
      <c r="EY121" s="7" t="n"/>
      <c r="EZ121" s="7" t="n"/>
      <c r="FA121" s="7" t="n"/>
      <c r="FB121" s="7" t="n"/>
      <c r="FC121" s="7" t="n"/>
    </row>
    <row r="122">
      <c r="EV122" s="7" t="n"/>
      <c r="EW122" s="7" t="n"/>
      <c r="EX122" s="7" t="n"/>
      <c r="EY122" s="7" t="n"/>
      <c r="EZ122" s="7" t="n"/>
      <c r="FA122" s="7" t="n"/>
      <c r="FB122" s="7" t="n"/>
      <c r="FC122" s="7" t="n"/>
    </row>
    <row r="123">
      <c r="EV123" s="7" t="n"/>
      <c r="EW123" s="7" t="n"/>
      <c r="EX123" s="7" t="n"/>
      <c r="EY123" s="7" t="n"/>
      <c r="EZ123" s="7" t="n"/>
      <c r="FA123" s="7" t="n"/>
      <c r="FB123" s="7" t="n"/>
      <c r="FC123" s="7" t="n"/>
    </row>
    <row r="124">
      <c r="EV124" s="7" t="n"/>
      <c r="EW124" s="7" t="n"/>
      <c r="EX124" s="7" t="n"/>
      <c r="EY124" s="7" t="n"/>
      <c r="EZ124" s="7" t="n"/>
      <c r="FA124" s="7" t="n"/>
      <c r="FB124" s="7" t="n"/>
      <c r="FC124" s="7" t="n"/>
    </row>
    <row r="125">
      <c r="EV125" s="7" t="n"/>
      <c r="EW125" s="7" t="n"/>
      <c r="EX125" s="7" t="n"/>
      <c r="EY125" s="7" t="n"/>
      <c r="EZ125" s="7" t="n"/>
      <c r="FA125" s="7" t="n"/>
      <c r="FB125" s="7" t="n"/>
      <c r="FC125" s="7" t="n"/>
    </row>
    <row r="126">
      <c r="EV126" s="7" t="n"/>
      <c r="EW126" s="7" t="n"/>
      <c r="EX126" s="7" t="n"/>
      <c r="EY126" s="7" t="n"/>
      <c r="EZ126" s="7" t="n"/>
      <c r="FA126" s="7" t="n"/>
      <c r="FB126" s="7" t="n"/>
      <c r="FC126" s="7" t="n"/>
    </row>
    <row r="127">
      <c r="EV127" s="7" t="n"/>
      <c r="EW127" s="7" t="n"/>
      <c r="EX127" s="7" t="n"/>
      <c r="EY127" s="7" t="n"/>
      <c r="EZ127" s="7" t="n"/>
      <c r="FA127" s="7" t="n"/>
      <c r="FB127" s="7" t="n"/>
      <c r="FC127" s="7" t="n"/>
    </row>
    <row r="128">
      <c r="EV128" s="7" t="n"/>
      <c r="EW128" s="7" t="n"/>
      <c r="EX128" s="7" t="n"/>
      <c r="EY128" s="7" t="n"/>
      <c r="EZ128" s="7" t="n"/>
      <c r="FA128" s="7" t="n"/>
      <c r="FB128" s="7" t="n"/>
      <c r="FC128" s="7" t="n"/>
    </row>
    <row r="129">
      <c r="EV129" s="7" t="n"/>
      <c r="EW129" s="7" t="n"/>
      <c r="EX129" s="7" t="n"/>
      <c r="EY129" s="7" t="n"/>
      <c r="EZ129" s="7" t="n"/>
      <c r="FA129" s="7" t="n"/>
      <c r="FB129" s="7" t="n"/>
      <c r="FC129" s="7" t="n"/>
    </row>
    <row r="130">
      <c r="EV130" s="7" t="n"/>
      <c r="EW130" s="7" t="n"/>
      <c r="EX130" s="7" t="n"/>
      <c r="EY130" s="7" t="n"/>
      <c r="EZ130" s="7" t="n"/>
      <c r="FA130" s="7" t="n"/>
      <c r="FB130" s="7" t="n"/>
      <c r="FC130" s="7" t="n"/>
    </row>
    <row r="131">
      <c r="EV131" s="7" t="n"/>
      <c r="EW131" s="7" t="n"/>
      <c r="EX131" s="7" t="n"/>
      <c r="EY131" s="7" t="n"/>
      <c r="EZ131" s="7" t="n"/>
      <c r="FA131" s="7" t="n"/>
      <c r="FB131" s="7" t="n"/>
      <c r="FC131" s="7" t="n"/>
    </row>
    <row r="132">
      <c r="EV132" s="7" t="n"/>
      <c r="EW132" s="7" t="n"/>
      <c r="EX132" s="7" t="n"/>
      <c r="EY132" s="7" t="n"/>
      <c r="EZ132" s="7" t="n"/>
      <c r="FA132" s="7" t="n"/>
      <c r="FB132" s="7" t="n"/>
      <c r="FC132" s="7" t="n"/>
    </row>
    <row r="133">
      <c r="EV133" s="7" t="n"/>
      <c r="EW133" s="7" t="n"/>
      <c r="EX133" s="7" t="n"/>
      <c r="EY133" s="7" t="n"/>
      <c r="EZ133" s="7" t="n"/>
      <c r="FA133" s="7" t="n"/>
      <c r="FB133" s="7" t="n"/>
      <c r="FC133" s="7" t="n"/>
    </row>
    <row r="134">
      <c r="EV134" s="7" t="n"/>
      <c r="EW134" s="7" t="n"/>
      <c r="EX134" s="7" t="n"/>
      <c r="EY134" s="7" t="n"/>
      <c r="EZ134" s="7" t="n"/>
      <c r="FA134" s="7" t="n"/>
      <c r="FB134" s="7" t="n"/>
      <c r="FC134" s="7" t="n"/>
    </row>
    <row r="135">
      <c r="EV135" s="7" t="n"/>
      <c r="EW135" s="7" t="n"/>
      <c r="EX135" s="7" t="n"/>
      <c r="EY135" s="7" t="n"/>
      <c r="EZ135" s="7" t="n"/>
      <c r="FA135" s="7" t="n"/>
      <c r="FB135" s="7" t="n"/>
      <c r="FC135" s="7" t="n"/>
    </row>
    <row r="136">
      <c r="EV136" s="7" t="n"/>
      <c r="EW136" s="7" t="n"/>
      <c r="EX136" s="7" t="n"/>
      <c r="EY136" s="7" t="n"/>
      <c r="EZ136" s="7" t="n"/>
      <c r="FA136" s="7" t="n"/>
      <c r="FB136" s="7" t="n"/>
      <c r="FC136" s="7" t="n"/>
    </row>
    <row r="137">
      <c r="EV137" s="7" t="n"/>
      <c r="EW137" s="7" t="n"/>
      <c r="EX137" s="7" t="n"/>
      <c r="EY137" s="7" t="n"/>
      <c r="EZ137" s="7" t="n"/>
      <c r="FA137" s="7" t="n"/>
      <c r="FB137" s="7" t="n"/>
      <c r="FC137" s="7" t="n"/>
    </row>
    <row r="138">
      <c r="EV138" s="7" t="n"/>
      <c r="EW138" s="7" t="n"/>
      <c r="EX138" s="7" t="n"/>
      <c r="EY138" s="7" t="n"/>
      <c r="EZ138" s="7" t="n"/>
      <c r="FA138" s="7" t="n"/>
      <c r="FB138" s="7" t="n"/>
      <c r="FC138" s="7" t="n"/>
    </row>
    <row r="139">
      <c r="EV139" s="7" t="n"/>
      <c r="EW139" s="7" t="n"/>
      <c r="EX139" s="7" t="n"/>
      <c r="EY139" s="7" t="n"/>
      <c r="EZ139" s="7" t="n"/>
      <c r="FA139" s="7" t="n"/>
      <c r="FB139" s="7" t="n"/>
      <c r="FC139" s="7" t="n"/>
    </row>
    <row r="140">
      <c r="EV140" s="7" t="n"/>
      <c r="EW140" s="7" t="n"/>
      <c r="EX140" s="7" t="n"/>
      <c r="EY140" s="7" t="n"/>
      <c r="EZ140" s="7" t="n"/>
      <c r="FA140" s="7" t="n"/>
      <c r="FB140" s="7" t="n"/>
      <c r="FC140" s="7" t="n"/>
    </row>
    <row r="141">
      <c r="EV141" s="7" t="n"/>
      <c r="EW141" s="7" t="n"/>
      <c r="EX141" s="7" t="n"/>
      <c r="EY141" s="7" t="n"/>
      <c r="EZ141" s="7" t="n"/>
      <c r="FA141" s="7" t="n"/>
      <c r="FB141" s="7" t="n"/>
      <c r="FC141" s="7" t="n"/>
    </row>
    <row r="142">
      <c r="EV142" s="7" t="n"/>
      <c r="EW142" s="7" t="n"/>
      <c r="EX142" s="7" t="n"/>
      <c r="EY142" s="7" t="n"/>
      <c r="EZ142" s="7" t="n"/>
      <c r="FA142" s="7" t="n"/>
      <c r="FB142" s="7" t="n"/>
      <c r="FC142" s="7" t="n"/>
    </row>
    <row r="143">
      <c r="EV143" s="7" t="n"/>
      <c r="EW143" s="7" t="n"/>
      <c r="EX143" s="7" t="n"/>
      <c r="EY143" s="7" t="n"/>
      <c r="EZ143" s="7" t="n"/>
      <c r="FA143" s="7" t="n"/>
      <c r="FB143" s="7" t="n"/>
      <c r="FC143" s="7" t="n"/>
    </row>
    <row r="144">
      <c r="EV144" s="7" t="n"/>
      <c r="EW144" s="7" t="n"/>
      <c r="EX144" s="7" t="n"/>
      <c r="EY144" s="7" t="n"/>
      <c r="EZ144" s="7" t="n"/>
      <c r="FA144" s="7" t="n"/>
      <c r="FB144" s="7" t="n"/>
      <c r="FC144" s="7" t="n"/>
    </row>
    <row r="145">
      <c r="EV145" s="7" t="n"/>
      <c r="EW145" s="7" t="n"/>
      <c r="EX145" s="7" t="n"/>
      <c r="EY145" s="7" t="n"/>
      <c r="EZ145" s="7" t="n"/>
      <c r="FA145" s="7" t="n"/>
      <c r="FB145" s="7" t="n"/>
      <c r="FC145" s="7" t="n"/>
    </row>
    <row r="146">
      <c r="EV146" s="7" t="n"/>
      <c r="EW146" s="7" t="n"/>
      <c r="EX146" s="7" t="n"/>
      <c r="EY146" s="7" t="n"/>
      <c r="EZ146" s="7" t="n"/>
      <c r="FA146" s="7" t="n"/>
      <c r="FB146" s="7" t="n"/>
      <c r="FC146" s="7" t="n"/>
    </row>
    <row r="147">
      <c r="EV147" s="7" t="n"/>
      <c r="EW147" s="7" t="n"/>
      <c r="EX147" s="7" t="n"/>
      <c r="EY147" s="7" t="n"/>
      <c r="EZ147" s="7" t="n"/>
      <c r="FA147" s="7" t="n"/>
      <c r="FB147" s="7" t="n"/>
      <c r="FC147" s="7" t="n"/>
    </row>
    <row r="148">
      <c r="EV148" s="7" t="n"/>
      <c r="EW148" s="7" t="n"/>
      <c r="EX148" s="7" t="n"/>
      <c r="EY148" s="7" t="n"/>
      <c r="EZ148" s="7" t="n"/>
      <c r="FA148" s="7" t="n"/>
      <c r="FB148" s="7" t="n"/>
      <c r="FC148" s="7" t="n"/>
    </row>
    <row r="149">
      <c r="EV149" s="7" t="n"/>
      <c r="EW149" s="7" t="n"/>
      <c r="EX149" s="7" t="n"/>
      <c r="EY149" s="7" t="n"/>
      <c r="EZ149" s="7" t="n"/>
      <c r="FA149" s="7" t="n"/>
      <c r="FB149" s="7" t="n"/>
      <c r="FC149" s="7" t="n"/>
    </row>
    <row r="150">
      <c r="EV150" s="7" t="n"/>
      <c r="EW150" s="7" t="n"/>
      <c r="EX150" s="7" t="n"/>
      <c r="EY150" s="7" t="n"/>
      <c r="EZ150" s="7" t="n"/>
      <c r="FA150" s="7" t="n"/>
      <c r="FB150" s="7" t="n"/>
      <c r="FC150" s="7" t="n"/>
    </row>
    <row r="151">
      <c r="EV151" s="7" t="n"/>
      <c r="EW151" s="7" t="n"/>
      <c r="EX151" s="7" t="n"/>
      <c r="EY151" s="7" t="n"/>
      <c r="EZ151" s="7" t="n"/>
      <c r="FA151" s="7" t="n"/>
      <c r="FB151" s="7" t="n"/>
      <c r="FC151" s="7" t="n"/>
    </row>
    <row r="152">
      <c r="EV152" s="7" t="n"/>
      <c r="EW152" s="7" t="n"/>
      <c r="EX152" s="7" t="n"/>
      <c r="EY152" s="7" t="n"/>
      <c r="EZ152" s="7" t="n"/>
      <c r="FA152" s="7" t="n"/>
      <c r="FB152" s="7" t="n"/>
      <c r="FC152" s="7" t="n"/>
    </row>
    <row r="153">
      <c r="EV153" s="7" t="n"/>
      <c r="EW153" s="7" t="n"/>
      <c r="EX153" s="7" t="n"/>
      <c r="EY153" s="7" t="n"/>
      <c r="EZ153" s="7" t="n"/>
      <c r="FA153" s="7" t="n"/>
      <c r="FB153" s="7" t="n"/>
      <c r="FC153" s="7" t="n"/>
    </row>
    <row r="154">
      <c r="EV154" s="7" t="n"/>
      <c r="EW154" s="7" t="n"/>
      <c r="EX154" s="7" t="n"/>
      <c r="EY154" s="7" t="n"/>
      <c r="EZ154" s="7" t="n"/>
      <c r="FA154" s="7" t="n"/>
      <c r="FB154" s="7" t="n"/>
      <c r="FC154" s="7" t="n"/>
    </row>
    <row r="155">
      <c r="EV155" s="7" t="n"/>
      <c r="EW155" s="7" t="n"/>
      <c r="EX155" s="7" t="n"/>
      <c r="EY155" s="7" t="n"/>
      <c r="EZ155" s="7" t="n"/>
      <c r="FA155" s="7" t="n"/>
      <c r="FB155" s="7" t="n"/>
      <c r="FC155" s="7" t="n"/>
    </row>
    <row r="156">
      <c r="EV156" s="7" t="n"/>
      <c r="EW156" s="7" t="n"/>
      <c r="EX156" s="7" t="n"/>
      <c r="EY156" s="7" t="n"/>
      <c r="EZ156" s="7" t="n"/>
      <c r="FA156" s="7" t="n"/>
      <c r="FB156" s="7" t="n"/>
      <c r="FC156" s="7" t="n"/>
    </row>
    <row r="157">
      <c r="EV157" s="7" t="n"/>
      <c r="EW157" s="7" t="n"/>
      <c r="EX157" s="7" t="n"/>
      <c r="EY157" s="7" t="n"/>
      <c r="EZ157" s="7" t="n"/>
      <c r="FA157" s="7" t="n"/>
      <c r="FB157" s="7" t="n"/>
      <c r="FC157" s="7" t="n"/>
    </row>
    <row r="158">
      <c r="EV158" s="7" t="n"/>
      <c r="EW158" s="7" t="n"/>
      <c r="EX158" s="7" t="n"/>
      <c r="EY158" s="7" t="n"/>
      <c r="EZ158" s="7" t="n"/>
      <c r="FA158" s="7" t="n"/>
      <c r="FB158" s="7" t="n"/>
      <c r="FC158" s="7" t="n"/>
    </row>
    <row r="159">
      <c r="EV159" s="7" t="n"/>
      <c r="EW159" s="7" t="n"/>
      <c r="EX159" s="7" t="n"/>
      <c r="EY159" s="7" t="n"/>
      <c r="EZ159" s="7" t="n"/>
      <c r="FA159" s="7" t="n"/>
      <c r="FB159" s="7" t="n"/>
      <c r="FC159" s="7" t="n"/>
    </row>
    <row r="160">
      <c r="EV160" s="7" t="n"/>
      <c r="EW160" s="7" t="n"/>
      <c r="EX160" s="7" t="n"/>
      <c r="EY160" s="7" t="n"/>
      <c r="EZ160" s="7" t="n"/>
      <c r="FA160" s="7" t="n"/>
      <c r="FB160" s="7" t="n"/>
      <c r="FC160" s="7" t="n"/>
    </row>
    <row r="161">
      <c r="EV161" s="7" t="n"/>
      <c r="EW161" s="7" t="n"/>
      <c r="EX161" s="7" t="n"/>
      <c r="EY161" s="7" t="n"/>
      <c r="EZ161" s="7" t="n"/>
      <c r="FA161" s="7" t="n"/>
      <c r="FB161" s="7" t="n"/>
      <c r="FC161" s="7" t="n"/>
    </row>
    <row r="162">
      <c r="EV162" s="7" t="n"/>
      <c r="EW162" s="7" t="n"/>
      <c r="EX162" s="7" t="n"/>
      <c r="EY162" s="7" t="n"/>
      <c r="EZ162" s="7" t="n"/>
      <c r="FA162" s="7" t="n"/>
      <c r="FB162" s="7" t="n"/>
      <c r="FC162" s="7" t="n"/>
    </row>
    <row r="163">
      <c r="EV163" s="7" t="n"/>
      <c r="EW163" s="7" t="n"/>
      <c r="EX163" s="7" t="n"/>
      <c r="EY163" s="7" t="n"/>
      <c r="EZ163" s="7" t="n"/>
      <c r="FA163" s="7" t="n"/>
      <c r="FB163" s="7" t="n"/>
      <c r="FC163" s="7" t="n"/>
    </row>
    <row r="164">
      <c r="EV164" s="7" t="n"/>
      <c r="EW164" s="7" t="n"/>
      <c r="EX164" s="7" t="n"/>
      <c r="EY164" s="7" t="n"/>
      <c r="EZ164" s="7" t="n"/>
      <c r="FA164" s="7" t="n"/>
      <c r="FB164" s="7" t="n"/>
      <c r="FC164" s="7" t="n"/>
    </row>
    <row r="165">
      <c r="EV165" s="7" t="n"/>
      <c r="EW165" s="7" t="n"/>
      <c r="EX165" s="7" t="n"/>
      <c r="EY165" s="7" t="n"/>
      <c r="EZ165" s="7" t="n"/>
      <c r="FA165" s="7" t="n"/>
      <c r="FB165" s="7" t="n"/>
      <c r="FC165" s="7" t="n"/>
    </row>
    <row r="166">
      <c r="EV166" s="7" t="n"/>
      <c r="EW166" s="7" t="n"/>
      <c r="EX166" s="7" t="n"/>
      <c r="EY166" s="7" t="n"/>
      <c r="EZ166" s="7" t="n"/>
      <c r="FA166" s="7" t="n"/>
      <c r="FB166" s="7" t="n"/>
      <c r="FC166" s="7" t="n"/>
    </row>
    <row r="167">
      <c r="EV167" s="7" t="n"/>
      <c r="EW167" s="7" t="n"/>
      <c r="EX167" s="7" t="n"/>
      <c r="EY167" s="7" t="n"/>
      <c r="EZ167" s="7" t="n"/>
      <c r="FA167" s="7" t="n"/>
      <c r="FB167" s="7" t="n"/>
      <c r="FC167" s="7" t="n"/>
    </row>
    <row r="168">
      <c r="EV168" s="7" t="n"/>
      <c r="EW168" s="7" t="n"/>
      <c r="EX168" s="7" t="n"/>
      <c r="EY168" s="7" t="n"/>
      <c r="EZ168" s="7" t="n"/>
      <c r="FA168" s="7" t="n"/>
      <c r="FB168" s="7" t="n"/>
      <c r="FC168" s="7" t="n"/>
    </row>
    <row r="169">
      <c r="EV169" s="7" t="n"/>
      <c r="EW169" s="7" t="n"/>
      <c r="EX169" s="7" t="n"/>
      <c r="EY169" s="7" t="n"/>
      <c r="EZ169" s="7" t="n"/>
      <c r="FA169" s="7" t="n"/>
      <c r="FB169" s="7" t="n"/>
      <c r="FC169" s="7" t="n"/>
    </row>
    <row r="170">
      <c r="EV170" s="7" t="n"/>
      <c r="EW170" s="7" t="n"/>
      <c r="EX170" s="7" t="n"/>
      <c r="EY170" s="7" t="n"/>
      <c r="EZ170" s="7" t="n"/>
      <c r="FA170" s="7" t="n"/>
      <c r="FB170" s="7" t="n"/>
      <c r="FC170" s="7" t="n"/>
    </row>
    <row r="171">
      <c r="EV171" s="7" t="n"/>
      <c r="EW171" s="7" t="n"/>
      <c r="EX171" s="7" t="n"/>
      <c r="EY171" s="7" t="n"/>
      <c r="EZ171" s="7" t="n"/>
      <c r="FA171" s="7" t="n"/>
      <c r="FB171" s="7" t="n"/>
      <c r="FC171" s="7" t="n"/>
    </row>
    <row r="172">
      <c r="EV172" s="7" t="n"/>
      <c r="EW172" s="7" t="n"/>
      <c r="EX172" s="7" t="n"/>
      <c r="EY172" s="7" t="n"/>
      <c r="EZ172" s="7" t="n"/>
      <c r="FA172" s="7" t="n"/>
      <c r="FB172" s="7" t="n"/>
      <c r="FC172" s="7" t="n"/>
    </row>
    <row r="173">
      <c r="EV173" s="7" t="n"/>
      <c r="EW173" s="7" t="n"/>
      <c r="EX173" s="7" t="n"/>
      <c r="EY173" s="7" t="n"/>
      <c r="EZ173" s="7" t="n"/>
      <c r="FA173" s="7" t="n"/>
      <c r="FB173" s="7" t="n"/>
      <c r="FC173" s="7" t="n"/>
    </row>
    <row r="174">
      <c r="EV174" s="7" t="n"/>
      <c r="EW174" s="7" t="n"/>
      <c r="EX174" s="7" t="n"/>
      <c r="EY174" s="7" t="n"/>
      <c r="EZ174" s="7" t="n"/>
      <c r="FA174" s="7" t="n"/>
      <c r="FB174" s="7" t="n"/>
      <c r="FC174" s="7" t="n"/>
    </row>
    <row r="175">
      <c r="EV175" s="7" t="n"/>
      <c r="EW175" s="7" t="n"/>
      <c r="EX175" s="7" t="n"/>
      <c r="EY175" s="7" t="n"/>
      <c r="EZ175" s="7" t="n"/>
      <c r="FA175" s="7" t="n"/>
      <c r="FB175" s="7" t="n"/>
      <c r="FC175" s="7" t="n"/>
    </row>
    <row r="176">
      <c r="EV176" s="7" t="n"/>
      <c r="EW176" s="7" t="n"/>
      <c r="EX176" s="7" t="n"/>
      <c r="EY176" s="7" t="n"/>
      <c r="EZ176" s="7" t="n"/>
      <c r="FA176" s="7" t="n"/>
      <c r="FB176" s="7" t="n"/>
      <c r="FC176" s="7" t="n"/>
    </row>
    <row r="177">
      <c r="EV177" s="7" t="n"/>
      <c r="EW177" s="7" t="n"/>
      <c r="EX177" s="7" t="n"/>
      <c r="EY177" s="7" t="n"/>
      <c r="EZ177" s="7" t="n"/>
      <c r="FA177" s="7" t="n"/>
      <c r="FB177" s="7" t="n"/>
      <c r="FC177" s="7" t="n"/>
    </row>
    <row r="178">
      <c r="EV178" s="7" t="n"/>
      <c r="EW178" s="7" t="n"/>
      <c r="EX178" s="7" t="n"/>
      <c r="EY178" s="7" t="n"/>
      <c r="EZ178" s="7" t="n"/>
      <c r="FA178" s="7" t="n"/>
      <c r="FB178" s="7" t="n"/>
      <c r="FC178" s="7" t="n"/>
    </row>
    <row r="179">
      <c r="EV179" s="7" t="n"/>
      <c r="EW179" s="7" t="n"/>
      <c r="EX179" s="7" t="n"/>
      <c r="EY179" s="7" t="n"/>
      <c r="EZ179" s="7" t="n"/>
      <c r="FA179" s="7" t="n"/>
      <c r="FB179" s="7" t="n"/>
      <c r="FC179" s="7" t="n"/>
    </row>
    <row r="180">
      <c r="EV180" s="7" t="n"/>
      <c r="EW180" s="7" t="n"/>
      <c r="EX180" s="7" t="n"/>
      <c r="EY180" s="7" t="n"/>
      <c r="EZ180" s="7" t="n"/>
      <c r="FA180" s="7" t="n"/>
      <c r="FB180" s="7" t="n"/>
      <c r="FC180" s="7" t="n"/>
    </row>
  </sheetData>
  <mergeCells count="270">
    <mergeCell ref="BA35:BA40"/>
    <mergeCell ref="AH47:AH52"/>
    <mergeCell ref="AS5:AS10"/>
    <mergeCell ref="AP9:AP10"/>
    <mergeCell ref="AP5:AP6"/>
    <mergeCell ref="AU5:AU10"/>
    <mergeCell ref="M47:M52"/>
    <mergeCell ref="AJ47:AJ52"/>
    <mergeCell ref="A51:A52"/>
    <mergeCell ref="AZ5:AZ6"/>
    <mergeCell ref="AA44:AB44"/>
    <mergeCell ref="AS29:AS34"/>
    <mergeCell ref="AP29:AP30"/>
    <mergeCell ref="AU29:AU34"/>
    <mergeCell ref="AO37:AO38"/>
    <mergeCell ref="AT33:AT34"/>
    <mergeCell ref="AO15:AO16"/>
    <mergeCell ref="AV27:AV28"/>
    <mergeCell ref="AT5:AT6"/>
    <mergeCell ref="AX27:AX28"/>
    <mergeCell ref="AI49:AI50"/>
    <mergeCell ref="EZ2:FA2"/>
    <mergeCell ref="W51:W52"/>
    <mergeCell ref="AZ35:AZ36"/>
    <mergeCell ref="FB2:FC2"/>
    <mergeCell ref="Y51:Y52"/>
    <mergeCell ref="AV11:AV12"/>
    <mergeCell ref="AE47:AE52"/>
    <mergeCell ref="AC44:AH44"/>
    <mergeCell ref="AI51:AI52"/>
    <mergeCell ref="AX25:AX26"/>
    <mergeCell ref="AK51:AK52"/>
    <mergeCell ref="AZ25:AZ26"/>
    <mergeCell ref="ET2:EU2"/>
    <mergeCell ref="AP15:AP16"/>
    <mergeCell ref="AT19:AT20"/>
    <mergeCell ref="AV19:AV20"/>
    <mergeCell ref="Q49:Q50"/>
    <mergeCell ref="S49:S50"/>
    <mergeCell ref="C47:C52"/>
    <mergeCell ref="AK49:AK50"/>
    <mergeCell ref="AQ23:AQ28"/>
    <mergeCell ref="FR2:FS2"/>
    <mergeCell ref="AS23:AS28"/>
    <mergeCell ref="AT39:AT40"/>
    <mergeCell ref="O47:O52"/>
    <mergeCell ref="N3:Q3"/>
    <mergeCell ref="AO9:AO10"/>
    <mergeCell ref="AO1:AY1"/>
    <mergeCell ref="AP7:AP8"/>
    <mergeCell ref="CL1:DL1"/>
    <mergeCell ref="AF47:AF52"/>
    <mergeCell ref="EB3:EE3"/>
    <mergeCell ref="AR29:AR34"/>
    <mergeCell ref="AX39:AX40"/>
    <mergeCell ref="A17:A22"/>
    <mergeCell ref="AZ39:AZ40"/>
    <mergeCell ref="P47:P52"/>
    <mergeCell ref="R47:R52"/>
    <mergeCell ref="AT13:AT14"/>
    <mergeCell ref="AX29:AX30"/>
    <mergeCell ref="AT7:AT8"/>
    <mergeCell ref="AV7:AV8"/>
    <mergeCell ref="AZ23:AZ24"/>
    <mergeCell ref="AO27:AO28"/>
    <mergeCell ref="C1:S2"/>
    <mergeCell ref="AT37:AT38"/>
    <mergeCell ref="M45:P45"/>
    <mergeCell ref="AV31:AV32"/>
    <mergeCell ref="V47:V52"/>
    <mergeCell ref="AX31:AX32"/>
    <mergeCell ref="AC47:AC48"/>
    <mergeCell ref="AO2:AS2"/>
    <mergeCell ref="AV21:AV22"/>
    <mergeCell ref="AO13:AO14"/>
    <mergeCell ref="AU35:AU40"/>
    <mergeCell ref="FD2:FI2"/>
    <mergeCell ref="AP33:AP34"/>
    <mergeCell ref="AQ11:AQ16"/>
    <mergeCell ref="AY17:AY22"/>
    <mergeCell ref="AV17:AV18"/>
    <mergeCell ref="A11:A16"/>
    <mergeCell ref="DO2:DP2"/>
    <mergeCell ref="AX17:AX18"/>
    <mergeCell ref="BA11:BA16"/>
    <mergeCell ref="DQ2:DR2"/>
    <mergeCell ref="AX11:AX12"/>
    <mergeCell ref="AT23:AT24"/>
    <mergeCell ref="AZ33:AZ34"/>
    <mergeCell ref="FK2:FL2"/>
    <mergeCell ref="AS35:AS40"/>
    <mergeCell ref="X47:X52"/>
    <mergeCell ref="AP35:AP36"/>
    <mergeCell ref="U47:U48"/>
    <mergeCell ref="Z47:Z52"/>
    <mergeCell ref="AV2:AW2"/>
    <mergeCell ref="W47:W48"/>
    <mergeCell ref="A46:B46"/>
    <mergeCell ref="AX2:AY2"/>
    <mergeCell ref="AP19:AP20"/>
    <mergeCell ref="AT9:AT10"/>
    <mergeCell ref="DS2:DX2"/>
    <mergeCell ref="AT35:AT36"/>
    <mergeCell ref="Y49:Y50"/>
    <mergeCell ref="I47:I52"/>
    <mergeCell ref="AQ5:AQ10"/>
    <mergeCell ref="FP2:FQ2"/>
    <mergeCell ref="AV5:AV6"/>
    <mergeCell ref="F47:F52"/>
    <mergeCell ref="AQ29:AQ34"/>
    <mergeCell ref="AZ11:AZ12"/>
    <mergeCell ref="A23:A28"/>
    <mergeCell ref="AO31:AO32"/>
    <mergeCell ref="BA29:BA34"/>
    <mergeCell ref="AC49:AC50"/>
    <mergeCell ref="AG47:AG52"/>
    <mergeCell ref="AR5:AR10"/>
    <mergeCell ref="AZ29:AZ30"/>
    <mergeCell ref="EV2:EW2"/>
    <mergeCell ref="S51:S52"/>
    <mergeCell ref="AP13:AP14"/>
    <mergeCell ref="U51:U52"/>
    <mergeCell ref="EX2:EY2"/>
    <mergeCell ref="AT11:AT12"/>
    <mergeCell ref="AZ13:AZ14"/>
    <mergeCell ref="AR17:AR22"/>
    <mergeCell ref="AO17:AO18"/>
    <mergeCell ref="AR11:AR16"/>
    <mergeCell ref="A49:A50"/>
    <mergeCell ref="CN3:CQ3"/>
    <mergeCell ref="AP37:AP38"/>
    <mergeCell ref="U44:V44"/>
    <mergeCell ref="AO23:AO24"/>
    <mergeCell ref="W44:X44"/>
    <mergeCell ref="AZ37:AZ38"/>
    <mergeCell ref="AX21:AX22"/>
    <mergeCell ref="AZ15:AZ16"/>
    <mergeCell ref="DZ1:EW1"/>
    <mergeCell ref="AP21:AP22"/>
    <mergeCell ref="AO19:AO20"/>
    <mergeCell ref="AT27:AT28"/>
    <mergeCell ref="AP39:AP40"/>
    <mergeCell ref="AI44:AJ44"/>
    <mergeCell ref="AU17:AU22"/>
    <mergeCell ref="AW17:AW22"/>
    <mergeCell ref="AP23:AP24"/>
    <mergeCell ref="DE2:DF2"/>
    <mergeCell ref="AO39:AO40"/>
    <mergeCell ref="AX7:AX8"/>
    <mergeCell ref="AV39:AV40"/>
    <mergeCell ref="T47:T52"/>
    <mergeCell ref="L47:L52"/>
    <mergeCell ref="AO5:AO6"/>
    <mergeCell ref="AR23:AR28"/>
    <mergeCell ref="N47:N52"/>
    <mergeCell ref="BA17:BA22"/>
    <mergeCell ref="AT29:AT30"/>
    <mergeCell ref="AV29:AV30"/>
    <mergeCell ref="AY23:AY28"/>
    <mergeCell ref="AV23:AV24"/>
    <mergeCell ref="K47:K52"/>
    <mergeCell ref="DZ2:EQ2"/>
    <mergeCell ref="U1:AK2"/>
    <mergeCell ref="AT31:AT32"/>
    <mergeCell ref="AS11:AS16"/>
    <mergeCell ref="C45:F45"/>
    <mergeCell ref="B49:B50"/>
    <mergeCell ref="AP11:AP12"/>
    <mergeCell ref="AL47:AL52"/>
    <mergeCell ref="AU11:AU16"/>
    <mergeCell ref="AI47:AI48"/>
    <mergeCell ref="AW5:AW10"/>
    <mergeCell ref="AY5:AY10"/>
    <mergeCell ref="AV9:AV10"/>
    <mergeCell ref="AO29:AO30"/>
    <mergeCell ref="A44:L44"/>
    <mergeCell ref="AI46:AJ46"/>
    <mergeCell ref="AK46:AL46"/>
    <mergeCell ref="AW29:AW34"/>
    <mergeCell ref="AO21:AO22"/>
    <mergeCell ref="AV33:AV34"/>
    <mergeCell ref="AO4:AP4"/>
    <mergeCell ref="AY29:AY34"/>
    <mergeCell ref="A5:A10"/>
    <mergeCell ref="AY11:AY16"/>
    <mergeCell ref="AZ27:AZ28"/>
    <mergeCell ref="BA5:BA10"/>
    <mergeCell ref="AX33:AX34"/>
    <mergeCell ref="AX5:AX6"/>
    <mergeCell ref="AA51:AA52"/>
    <mergeCell ref="A29:A34"/>
    <mergeCell ref="AV35:AV36"/>
    <mergeCell ref="AC51:AC52"/>
    <mergeCell ref="AT2:AU2"/>
    <mergeCell ref="AX35:AX36"/>
    <mergeCell ref="AX9:AX10"/>
    <mergeCell ref="AZ9:AZ10"/>
    <mergeCell ref="AT25:AT26"/>
    <mergeCell ref="AT17:AT18"/>
    <mergeCell ref="AO7:AO8"/>
    <mergeCell ref="AV25:AV26"/>
    <mergeCell ref="AX19:AX20"/>
    <mergeCell ref="DH2:DI2"/>
    <mergeCell ref="AZ19:AZ20"/>
    <mergeCell ref="U49:U50"/>
    <mergeCell ref="AR35:AR40"/>
    <mergeCell ref="B47:B48"/>
    <mergeCell ref="E47:E52"/>
    <mergeCell ref="D3:G3"/>
    <mergeCell ref="W49:W50"/>
    <mergeCell ref="AU23:AU28"/>
    <mergeCell ref="AW23:AW28"/>
    <mergeCell ref="AA49:AA50"/>
    <mergeCell ref="A43:V43"/>
    <mergeCell ref="ER2:ES2"/>
    <mergeCell ref="BA23:BA28"/>
    <mergeCell ref="Q51:Q52"/>
    <mergeCell ref="V3:Y3"/>
    <mergeCell ref="Y44:Z44"/>
    <mergeCell ref="AV13:AV14"/>
    <mergeCell ref="AF3:AI3"/>
    <mergeCell ref="AX13:AX14"/>
    <mergeCell ref="AO33:AO34"/>
    <mergeCell ref="AZ7:AZ8"/>
    <mergeCell ref="EL3:EO3"/>
    <mergeCell ref="AT21:AT22"/>
    <mergeCell ref="AP31:AP32"/>
    <mergeCell ref="AV15:AV16"/>
    <mergeCell ref="AV37:AV38"/>
    <mergeCell ref="AX37:AX38"/>
    <mergeCell ref="CX3:DA3"/>
    <mergeCell ref="AX15:AX16"/>
    <mergeCell ref="AZ31:AZ32"/>
    <mergeCell ref="CL2:DC2"/>
    <mergeCell ref="AP27:AP28"/>
    <mergeCell ref="AB47:AB52"/>
    <mergeCell ref="AO35:AO36"/>
    <mergeCell ref="D47:D52"/>
    <mergeCell ref="AQ17:AQ22"/>
    <mergeCell ref="A47:A48"/>
    <mergeCell ref="Q44:R44"/>
    <mergeCell ref="AS17:AS22"/>
    <mergeCell ref="AZ21:AZ22"/>
    <mergeCell ref="AP17:AP18"/>
    <mergeCell ref="AT15:AT16"/>
    <mergeCell ref="AO25:AO26"/>
    <mergeCell ref="AK44:AL44"/>
    <mergeCell ref="AQ35:AQ40"/>
    <mergeCell ref="AY35:AY40"/>
    <mergeCell ref="AZ17:AZ18"/>
    <mergeCell ref="DK2:DL2"/>
    <mergeCell ref="AX23:AX24"/>
    <mergeCell ref="DM2:DN2"/>
    <mergeCell ref="A35:A40"/>
    <mergeCell ref="B51:B52"/>
    <mergeCell ref="H47:H52"/>
    <mergeCell ref="J47:J52"/>
    <mergeCell ref="AW35:AW40"/>
    <mergeCell ref="FM2:FN2"/>
    <mergeCell ref="Y47:Y48"/>
    <mergeCell ref="AD47:AD52"/>
    <mergeCell ref="AA47:AA48"/>
    <mergeCell ref="Q47:Q48"/>
    <mergeCell ref="AP25:AP26"/>
    <mergeCell ref="S47:S48"/>
    <mergeCell ref="G47:G52"/>
    <mergeCell ref="AO11:AO12"/>
    <mergeCell ref="S44:T44"/>
    <mergeCell ref="AK47:AK48"/>
    <mergeCell ref="AW11:AW16"/>
  </mergeCells>
  <conditionalFormatting sqref="AP5">
    <cfRule type="cellIs" priority="653" operator="greaterThan" dxfId="3" stopIfTrue="1">
      <formula>0.03</formula>
    </cfRule>
    <cfRule type="cellIs" priority="654" operator="lessThan" dxfId="2" stopIfTrue="1">
      <formula>-0.03</formula>
    </cfRule>
  </conditionalFormatting>
  <conditionalFormatting sqref="AQ5">
    <cfRule type="cellIs" priority="671" operator="greaterThan" dxfId="3" stopIfTrue="1">
      <formula>0.03</formula>
    </cfRule>
    <cfRule type="cellIs" priority="672" operator="lessThan" dxfId="2" stopIfTrue="1">
      <formula>-0.03</formula>
    </cfRule>
  </conditionalFormatting>
  <conditionalFormatting sqref="CH5">
    <cfRule type="cellIs" priority="673" operator="greaterThan" dxfId="3" stopIfTrue="1">
      <formula>0.03</formula>
    </cfRule>
    <cfRule type="cellIs" priority="674" operator="lessThan" dxfId="2" stopIfTrue="1">
      <formula>-0.03</formula>
    </cfRule>
  </conditionalFormatting>
  <conditionalFormatting sqref="AQ5:AQ10">
    <cfRule type="cellIs" priority="675" operator="greaterThan" dxfId="1" stopIfTrue="1">
      <formula>0</formula>
    </cfRule>
    <cfRule type="cellIs" priority="676" operator="lessThan" dxfId="0" stopIfTrue="1">
      <formula>0</formula>
    </cfRule>
  </conditionalFormatting>
  <conditionalFormatting sqref="AR5:AS5">
    <cfRule type="cellIs" priority="667" operator="greaterThan" dxfId="3" stopIfTrue="1">
      <formula>0.03</formula>
    </cfRule>
    <cfRule type="cellIs" priority="668" operator="lessThan" dxfId="2" stopIfTrue="1">
      <formula>-0.03</formula>
    </cfRule>
  </conditionalFormatting>
  <conditionalFormatting sqref="AR5:AS10">
    <cfRule type="cellIs" priority="669" operator="greaterThan" dxfId="1" stopIfTrue="1">
      <formula>0</formula>
    </cfRule>
    <cfRule type="cellIs" priority="670" operator="lessThan" dxfId="0" stopIfTrue="1">
      <formula>0</formula>
    </cfRule>
  </conditionalFormatting>
  <conditionalFormatting sqref="AU5">
    <cfRule type="cellIs" priority="663" operator="greaterThan" dxfId="3" stopIfTrue="1">
      <formula>0.03</formula>
    </cfRule>
    <cfRule type="cellIs" priority="664" operator="lessThan" dxfId="2" stopIfTrue="1">
      <formula>-0.03</formula>
    </cfRule>
  </conditionalFormatting>
  <conditionalFormatting sqref="AU5:AU10">
    <cfRule type="cellIs" priority="665" operator="greaterThan" dxfId="1" stopIfTrue="1">
      <formula>0</formula>
    </cfRule>
    <cfRule type="cellIs" priority="666" operator="lessThan" dxfId="0" stopIfTrue="1">
      <formula>0</formula>
    </cfRule>
  </conditionalFormatting>
  <conditionalFormatting sqref="AW5">
    <cfRule type="cellIs" priority="659" operator="greaterThan" dxfId="3" stopIfTrue="1">
      <formula>0.03</formula>
    </cfRule>
    <cfRule type="cellIs" priority="660" operator="lessThan" dxfId="2" stopIfTrue="1">
      <formula>-0.03</formula>
    </cfRule>
  </conditionalFormatting>
  <conditionalFormatting sqref="AW5:AW10">
    <cfRule type="cellIs" priority="661" operator="greaterThan" dxfId="1" stopIfTrue="1">
      <formula>0</formula>
    </cfRule>
    <cfRule type="cellIs" priority="662" operator="lessThan" dxfId="0" stopIfTrue="1">
      <formula>0</formula>
    </cfRule>
  </conditionalFormatting>
  <conditionalFormatting sqref="AY5">
    <cfRule type="cellIs" priority="655" operator="greaterThan" dxfId="3" stopIfTrue="1">
      <formula>0.03</formula>
    </cfRule>
    <cfRule type="cellIs" priority="656" operator="lessThan" dxfId="2" stopIfTrue="1">
      <formula>-0.03</formula>
    </cfRule>
  </conditionalFormatting>
  <conditionalFormatting sqref="AY5:AY10">
    <cfRule type="cellIs" priority="657" operator="greaterThan" dxfId="1" stopIfTrue="1">
      <formula>0</formula>
    </cfRule>
    <cfRule type="cellIs" priority="658" operator="lessThan" dxfId="0" stopIfTrue="1">
      <formula>0</formula>
    </cfRule>
  </conditionalFormatting>
  <conditionalFormatting sqref="AP5:AP6">
    <cfRule type="cellIs" priority="677" operator="greaterThan" dxfId="1" stopIfTrue="1">
      <formula>0</formula>
    </cfRule>
    <cfRule type="cellIs" priority="678" operator="lessThan" dxfId="4">
      <formula>0</formula>
    </cfRule>
  </conditionalFormatting>
  <conditionalFormatting sqref="AP7">
    <cfRule type="cellIs" priority="649" operator="greaterThan" dxfId="3" stopIfTrue="1">
      <formula>0.03</formula>
    </cfRule>
    <cfRule type="cellIs" priority="650" operator="lessThan" dxfId="2" stopIfTrue="1">
      <formula>-0.03</formula>
    </cfRule>
  </conditionalFormatting>
  <conditionalFormatting sqref="AP7:AP8">
    <cfRule type="cellIs" priority="651" operator="greaterThan" dxfId="1" stopIfTrue="1">
      <formula>0</formula>
    </cfRule>
    <cfRule type="cellIs" priority="652" operator="lessThan" dxfId="4">
      <formula>0</formula>
    </cfRule>
  </conditionalFormatting>
  <conditionalFormatting sqref="AP9">
    <cfRule type="cellIs" priority="645" operator="greaterThan" dxfId="3" stopIfTrue="1">
      <formula>0.03</formula>
    </cfRule>
    <cfRule type="cellIs" priority="646" operator="lessThan" dxfId="2" stopIfTrue="1">
      <formula>-0.03</formula>
    </cfRule>
  </conditionalFormatting>
  <conditionalFormatting sqref="AP9:AP10">
    <cfRule type="cellIs" priority="647" operator="greaterThan" dxfId="1" stopIfTrue="1">
      <formula>0</formula>
    </cfRule>
    <cfRule type="cellIs" priority="648" operator="lessThan" dxfId="4">
      <formula>0</formula>
    </cfRule>
  </conditionalFormatting>
  <conditionalFormatting sqref="AT5">
    <cfRule type="cellIs" priority="641" operator="greaterThan" dxfId="3" stopIfTrue="1">
      <formula>0.03</formula>
    </cfRule>
    <cfRule type="cellIs" priority="642" operator="lessThan" dxfId="2" stopIfTrue="1">
      <formula>-0.03</formula>
    </cfRule>
  </conditionalFormatting>
  <conditionalFormatting sqref="AT5:AT6">
    <cfRule type="cellIs" priority="643" operator="greaterThan" dxfId="1" stopIfTrue="1">
      <formula>0</formula>
    </cfRule>
    <cfRule type="cellIs" priority="644" operator="lessThan" dxfId="4">
      <formula>0</formula>
    </cfRule>
  </conditionalFormatting>
  <conditionalFormatting sqref="AT7">
    <cfRule type="cellIs" priority="637" operator="greaterThan" dxfId="3" stopIfTrue="1">
      <formula>0.03</formula>
    </cfRule>
    <cfRule type="cellIs" priority="638" operator="lessThan" dxfId="2" stopIfTrue="1">
      <formula>-0.03</formula>
    </cfRule>
  </conditionalFormatting>
  <conditionalFormatting sqref="AT7:AT8">
    <cfRule type="cellIs" priority="639" operator="greaterThan" dxfId="1" stopIfTrue="1">
      <formula>0</formula>
    </cfRule>
    <cfRule type="cellIs" priority="640" operator="lessThan" dxfId="4">
      <formula>0</formula>
    </cfRule>
  </conditionalFormatting>
  <conditionalFormatting sqref="AT9">
    <cfRule type="cellIs" priority="633" operator="greaterThan" dxfId="3" stopIfTrue="1">
      <formula>0.03</formula>
    </cfRule>
    <cfRule type="cellIs" priority="634" operator="lessThan" dxfId="2" stopIfTrue="1">
      <formula>-0.03</formula>
    </cfRule>
  </conditionalFormatting>
  <conditionalFormatting sqref="AT9:AT10">
    <cfRule type="cellIs" priority="635" operator="greaterThan" dxfId="1" stopIfTrue="1">
      <formula>0</formula>
    </cfRule>
    <cfRule type="cellIs" priority="636" operator="lessThan" dxfId="4">
      <formula>0</formula>
    </cfRule>
  </conditionalFormatting>
  <conditionalFormatting sqref="AV5">
    <cfRule type="cellIs" priority="629" operator="greaterThan" dxfId="3" stopIfTrue="1">
      <formula>0.03</formula>
    </cfRule>
    <cfRule type="cellIs" priority="630" operator="lessThan" dxfId="2" stopIfTrue="1">
      <formula>-0.03</formula>
    </cfRule>
  </conditionalFormatting>
  <conditionalFormatting sqref="AV5:AV6">
    <cfRule type="cellIs" priority="631" operator="greaterThan" dxfId="1" stopIfTrue="1">
      <formula>0</formula>
    </cfRule>
    <cfRule type="cellIs" priority="632" operator="lessThan" dxfId="4">
      <formula>0</formula>
    </cfRule>
  </conditionalFormatting>
  <conditionalFormatting sqref="AV7">
    <cfRule type="cellIs" priority="625" operator="greaterThan" dxfId="3" stopIfTrue="1">
      <formula>0.03</formula>
    </cfRule>
    <cfRule type="cellIs" priority="626" operator="lessThan" dxfId="2" stopIfTrue="1">
      <formula>-0.03</formula>
    </cfRule>
  </conditionalFormatting>
  <conditionalFormatting sqref="AV7:AV8">
    <cfRule type="cellIs" priority="627" operator="greaterThan" dxfId="1" stopIfTrue="1">
      <formula>0</formula>
    </cfRule>
    <cfRule type="cellIs" priority="628" operator="lessThan" dxfId="4">
      <formula>0</formula>
    </cfRule>
  </conditionalFormatting>
  <conditionalFormatting sqref="AV9">
    <cfRule type="cellIs" priority="621" operator="greaterThan" dxfId="3" stopIfTrue="1">
      <formula>0.03</formula>
    </cfRule>
    <cfRule type="cellIs" priority="622" operator="lessThan" dxfId="2" stopIfTrue="1">
      <formula>-0.03</formula>
    </cfRule>
  </conditionalFormatting>
  <conditionalFormatting sqref="AV9:AV10">
    <cfRule type="cellIs" priority="623" operator="greaterThan" dxfId="1" stopIfTrue="1">
      <formula>0</formula>
    </cfRule>
    <cfRule type="cellIs" priority="624" operator="lessThan" dxfId="4">
      <formula>0</formula>
    </cfRule>
  </conditionalFormatting>
  <conditionalFormatting sqref="AX5">
    <cfRule type="cellIs" priority="617" operator="greaterThan" dxfId="3" stopIfTrue="1">
      <formula>0.03</formula>
    </cfRule>
    <cfRule type="cellIs" priority="618" operator="lessThan" dxfId="2" stopIfTrue="1">
      <formula>-0.03</formula>
    </cfRule>
  </conditionalFormatting>
  <conditionalFormatting sqref="AX5:AX6">
    <cfRule type="cellIs" priority="619" operator="greaterThan" dxfId="1" stopIfTrue="1">
      <formula>0</formula>
    </cfRule>
    <cfRule type="cellIs" priority="620" operator="lessThan" dxfId="4">
      <formula>0</formula>
    </cfRule>
  </conditionalFormatting>
  <conditionalFormatting sqref="AX7">
    <cfRule type="cellIs" priority="613" operator="greaterThan" dxfId="3" stopIfTrue="1">
      <formula>0.03</formula>
    </cfRule>
    <cfRule type="cellIs" priority="614" operator="lessThan" dxfId="2" stopIfTrue="1">
      <formula>-0.03</formula>
    </cfRule>
  </conditionalFormatting>
  <conditionalFormatting sqref="AX7:AX8">
    <cfRule type="cellIs" priority="615" operator="greaterThan" dxfId="1" stopIfTrue="1">
      <formula>0</formula>
    </cfRule>
    <cfRule type="cellIs" priority="616" operator="lessThan" dxfId="4">
      <formula>0</formula>
    </cfRule>
  </conditionalFormatting>
  <conditionalFormatting sqref="AX9">
    <cfRule type="cellIs" priority="609" operator="greaterThan" dxfId="3" stopIfTrue="1">
      <formula>0.03</formula>
    </cfRule>
    <cfRule type="cellIs" priority="610" operator="lessThan" dxfId="2" stopIfTrue="1">
      <formula>-0.03</formula>
    </cfRule>
  </conditionalFormatting>
  <conditionalFormatting sqref="AX9:AX10">
    <cfRule type="cellIs" priority="611" operator="greaterThan" dxfId="1" stopIfTrue="1">
      <formula>0</formula>
    </cfRule>
    <cfRule type="cellIs" priority="612" operator="lessThan" dxfId="4">
      <formula>0</formula>
    </cfRule>
  </conditionalFormatting>
  <conditionalFormatting sqref="AP11">
    <cfRule type="cellIs" priority="585" operator="greaterThan" dxfId="3" stopIfTrue="1">
      <formula>0.03</formula>
    </cfRule>
    <cfRule type="cellIs" priority="586" operator="lessThan" dxfId="2" stopIfTrue="1">
      <formula>-0.03</formula>
    </cfRule>
  </conditionalFormatting>
  <conditionalFormatting sqref="AQ11">
    <cfRule type="cellIs" priority="603" operator="greaterThan" dxfId="3" stopIfTrue="1">
      <formula>0.03</formula>
    </cfRule>
    <cfRule type="cellIs" priority="604" operator="lessThan" dxfId="2" stopIfTrue="1">
      <formula>-0.03</formula>
    </cfRule>
  </conditionalFormatting>
  <conditionalFormatting sqref="AQ11:AQ16">
    <cfRule type="cellIs" priority="605" operator="greaterThan" dxfId="1" stopIfTrue="1">
      <formula>0</formula>
    </cfRule>
    <cfRule type="cellIs" priority="606" operator="lessThan" dxfId="0" stopIfTrue="1">
      <formula>0</formula>
    </cfRule>
  </conditionalFormatting>
  <conditionalFormatting sqref="AR11:AS11">
    <cfRule type="cellIs" priority="599" operator="greaterThan" dxfId="3" stopIfTrue="1">
      <formula>0.03</formula>
    </cfRule>
    <cfRule type="cellIs" priority="600" operator="lessThan" dxfId="2" stopIfTrue="1">
      <formula>-0.03</formula>
    </cfRule>
  </conditionalFormatting>
  <conditionalFormatting sqref="AR11:AS16">
    <cfRule type="cellIs" priority="601" operator="greaterThan" dxfId="1" stopIfTrue="1">
      <formula>0</formula>
    </cfRule>
    <cfRule type="cellIs" priority="602" operator="lessThan" dxfId="0" stopIfTrue="1">
      <formula>0</formula>
    </cfRule>
  </conditionalFormatting>
  <conditionalFormatting sqref="AU11">
    <cfRule type="cellIs" priority="595" operator="greaterThan" dxfId="3" stopIfTrue="1">
      <formula>0.03</formula>
    </cfRule>
    <cfRule type="cellIs" priority="596" operator="lessThan" dxfId="2" stopIfTrue="1">
      <formula>-0.03</formula>
    </cfRule>
  </conditionalFormatting>
  <conditionalFormatting sqref="AU11:AU16">
    <cfRule type="cellIs" priority="597" operator="greaterThan" dxfId="1" stopIfTrue="1">
      <formula>0</formula>
    </cfRule>
    <cfRule type="cellIs" priority="598" operator="lessThan" dxfId="0" stopIfTrue="1">
      <formula>0</formula>
    </cfRule>
  </conditionalFormatting>
  <conditionalFormatting sqref="AW11">
    <cfRule type="cellIs" priority="591" operator="greaterThan" dxfId="3" stopIfTrue="1">
      <formula>0.03</formula>
    </cfRule>
    <cfRule type="cellIs" priority="592" operator="lessThan" dxfId="2" stopIfTrue="1">
      <formula>-0.03</formula>
    </cfRule>
  </conditionalFormatting>
  <conditionalFormatting sqref="AW11:AW16">
    <cfRule type="cellIs" priority="593" operator="greaterThan" dxfId="1" stopIfTrue="1">
      <formula>0</formula>
    </cfRule>
    <cfRule type="cellIs" priority="594" operator="lessThan" dxfId="0" stopIfTrue="1">
      <formula>0</formula>
    </cfRule>
  </conditionalFormatting>
  <conditionalFormatting sqref="AY11">
    <cfRule type="cellIs" priority="587" operator="greaterThan" dxfId="3" stopIfTrue="1">
      <formula>0.03</formula>
    </cfRule>
    <cfRule type="cellIs" priority="588" operator="lessThan" dxfId="2" stopIfTrue="1">
      <formula>-0.03</formula>
    </cfRule>
  </conditionalFormatting>
  <conditionalFormatting sqref="AY11:AY16">
    <cfRule type="cellIs" priority="589" operator="greaterThan" dxfId="1" stopIfTrue="1">
      <formula>0</formula>
    </cfRule>
    <cfRule type="cellIs" priority="590" operator="lessThan" dxfId="0" stopIfTrue="1">
      <formula>0</formula>
    </cfRule>
  </conditionalFormatting>
  <conditionalFormatting sqref="AP11:AP12">
    <cfRule type="cellIs" priority="607" operator="greaterThan" dxfId="1" stopIfTrue="1">
      <formula>0</formula>
    </cfRule>
    <cfRule type="cellIs" priority="608" operator="lessThan" dxfId="4">
      <formula>0</formula>
    </cfRule>
  </conditionalFormatting>
  <conditionalFormatting sqref="AP13">
    <cfRule type="cellIs" priority="581" operator="greaterThan" dxfId="3" stopIfTrue="1">
      <formula>0.03</formula>
    </cfRule>
    <cfRule type="cellIs" priority="582" operator="lessThan" dxfId="2" stopIfTrue="1">
      <formula>-0.03</formula>
    </cfRule>
  </conditionalFormatting>
  <conditionalFormatting sqref="AP13:AP14">
    <cfRule type="cellIs" priority="583" operator="greaterThan" dxfId="1" stopIfTrue="1">
      <formula>0</formula>
    </cfRule>
    <cfRule type="cellIs" priority="584" operator="lessThan" dxfId="4">
      <formula>0</formula>
    </cfRule>
  </conditionalFormatting>
  <conditionalFormatting sqref="AP15">
    <cfRule type="cellIs" priority="577" operator="greaterThan" dxfId="3" stopIfTrue="1">
      <formula>0.03</formula>
    </cfRule>
    <cfRule type="cellIs" priority="578" operator="lessThan" dxfId="2" stopIfTrue="1">
      <formula>-0.03</formula>
    </cfRule>
  </conditionalFormatting>
  <conditionalFormatting sqref="AP15:AP16">
    <cfRule type="cellIs" priority="579" operator="greaterThan" dxfId="1" stopIfTrue="1">
      <formula>0</formula>
    </cfRule>
    <cfRule type="cellIs" priority="580" operator="lessThan" dxfId="4">
      <formula>0</formula>
    </cfRule>
  </conditionalFormatting>
  <conditionalFormatting sqref="AT11">
    <cfRule type="cellIs" priority="573" operator="greaterThan" dxfId="3" stopIfTrue="1">
      <formula>0.03</formula>
    </cfRule>
    <cfRule type="cellIs" priority="574" operator="lessThan" dxfId="2" stopIfTrue="1">
      <formula>-0.03</formula>
    </cfRule>
  </conditionalFormatting>
  <conditionalFormatting sqref="AT11:AT12">
    <cfRule type="cellIs" priority="575" operator="greaterThan" dxfId="1" stopIfTrue="1">
      <formula>0</formula>
    </cfRule>
    <cfRule type="cellIs" priority="576" operator="lessThan" dxfId="4">
      <formula>0</formula>
    </cfRule>
  </conditionalFormatting>
  <conditionalFormatting sqref="AT13">
    <cfRule type="cellIs" priority="569" operator="greaterThan" dxfId="3" stopIfTrue="1">
      <formula>0.03</formula>
    </cfRule>
    <cfRule type="cellIs" priority="570" operator="lessThan" dxfId="2" stopIfTrue="1">
      <formula>-0.03</formula>
    </cfRule>
  </conditionalFormatting>
  <conditionalFormatting sqref="AT13:AT14">
    <cfRule type="cellIs" priority="571" operator="greaterThan" dxfId="1" stopIfTrue="1">
      <formula>0</formula>
    </cfRule>
    <cfRule type="cellIs" priority="572" operator="lessThan" dxfId="4">
      <formula>0</formula>
    </cfRule>
  </conditionalFormatting>
  <conditionalFormatting sqref="AT15">
    <cfRule type="cellIs" priority="565" operator="greaterThan" dxfId="3" stopIfTrue="1">
      <formula>0.03</formula>
    </cfRule>
    <cfRule type="cellIs" priority="566" operator="lessThan" dxfId="2" stopIfTrue="1">
      <formula>-0.03</formula>
    </cfRule>
  </conditionalFormatting>
  <conditionalFormatting sqref="AT15:AT16">
    <cfRule type="cellIs" priority="567" operator="greaterThan" dxfId="1" stopIfTrue="1">
      <formula>0</formula>
    </cfRule>
    <cfRule type="cellIs" priority="568" operator="lessThan" dxfId="4">
      <formula>0</formula>
    </cfRule>
  </conditionalFormatting>
  <conditionalFormatting sqref="AV11">
    <cfRule type="cellIs" priority="561" operator="greaterThan" dxfId="3" stopIfTrue="1">
      <formula>0.03</formula>
    </cfRule>
    <cfRule type="cellIs" priority="562" operator="lessThan" dxfId="2" stopIfTrue="1">
      <formula>-0.03</formula>
    </cfRule>
  </conditionalFormatting>
  <conditionalFormatting sqref="AV11:AV12">
    <cfRule type="cellIs" priority="563" operator="greaterThan" dxfId="1" stopIfTrue="1">
      <formula>0</formula>
    </cfRule>
    <cfRule type="cellIs" priority="564" operator="lessThan" dxfId="4">
      <formula>0</formula>
    </cfRule>
  </conditionalFormatting>
  <conditionalFormatting sqref="AV13">
    <cfRule type="cellIs" priority="557" operator="greaterThan" dxfId="3" stopIfTrue="1">
      <formula>0.03</formula>
    </cfRule>
    <cfRule type="cellIs" priority="558" operator="lessThan" dxfId="2" stopIfTrue="1">
      <formula>-0.03</formula>
    </cfRule>
  </conditionalFormatting>
  <conditionalFormatting sqref="AV13:AV14">
    <cfRule type="cellIs" priority="559" operator="greaterThan" dxfId="1" stopIfTrue="1">
      <formula>0</formula>
    </cfRule>
    <cfRule type="cellIs" priority="560" operator="lessThan" dxfId="4">
      <formula>0</formula>
    </cfRule>
  </conditionalFormatting>
  <conditionalFormatting sqref="AV15">
    <cfRule type="cellIs" priority="553" operator="greaterThan" dxfId="3" stopIfTrue="1">
      <formula>0.03</formula>
    </cfRule>
    <cfRule type="cellIs" priority="554" operator="lessThan" dxfId="2" stopIfTrue="1">
      <formula>-0.03</formula>
    </cfRule>
  </conditionalFormatting>
  <conditionalFormatting sqref="AV15:AV16">
    <cfRule type="cellIs" priority="555" operator="greaterThan" dxfId="1" stopIfTrue="1">
      <formula>0</formula>
    </cfRule>
    <cfRule type="cellIs" priority="556" operator="lessThan" dxfId="4">
      <formula>0</formula>
    </cfRule>
  </conditionalFormatting>
  <conditionalFormatting sqref="AP17 AP23 AP29 AP35">
    <cfRule type="cellIs" priority="533" operator="greaterThan" dxfId="3" stopIfTrue="1">
      <formula>0.03</formula>
    </cfRule>
    <cfRule type="cellIs" priority="534" operator="lessThan" dxfId="2" stopIfTrue="1">
      <formula>-0.03</formula>
    </cfRule>
  </conditionalFormatting>
  <conditionalFormatting sqref="AQ17 AQ23 AQ29 AQ35">
    <cfRule type="cellIs" priority="547" operator="greaterThan" dxfId="3" stopIfTrue="1">
      <formula>0.03</formula>
    </cfRule>
    <cfRule type="cellIs" priority="548" operator="lessThan" dxfId="2" stopIfTrue="1">
      <formula>-0.03</formula>
    </cfRule>
  </conditionalFormatting>
  <conditionalFormatting sqref="AQ17:AQ40">
    <cfRule type="cellIs" priority="549" operator="greaterThan" dxfId="1" stopIfTrue="1">
      <formula>0</formula>
    </cfRule>
    <cfRule type="cellIs" priority="550" operator="lessThan" dxfId="0" stopIfTrue="1">
      <formula>0</formula>
    </cfRule>
  </conditionalFormatting>
  <conditionalFormatting sqref="AR17:AS17 AR23:AS23 AR29:AS29 AR35:AS35">
    <cfRule type="cellIs" priority="543" operator="greaterThan" dxfId="3" stopIfTrue="1">
      <formula>0.03</formula>
    </cfRule>
    <cfRule type="cellIs" priority="544" operator="lessThan" dxfId="2" stopIfTrue="1">
      <formula>-0.03</formula>
    </cfRule>
  </conditionalFormatting>
  <conditionalFormatting sqref="AR17:AS40">
    <cfRule type="cellIs" priority="545" operator="greaterThan" dxfId="1" stopIfTrue="1">
      <formula>0</formula>
    </cfRule>
    <cfRule type="cellIs" priority="546" operator="lessThan" dxfId="0" stopIfTrue="1">
      <formula>0</formula>
    </cfRule>
  </conditionalFormatting>
  <conditionalFormatting sqref="AU17 AU23 AU29 AU35">
    <cfRule type="cellIs" priority="539" operator="greaterThan" dxfId="3" stopIfTrue="1">
      <formula>0.03</formula>
    </cfRule>
    <cfRule type="cellIs" priority="540" operator="lessThan" dxfId="2" stopIfTrue="1">
      <formula>-0.03</formula>
    </cfRule>
  </conditionalFormatting>
  <conditionalFormatting sqref="AU17:AU40">
    <cfRule type="cellIs" priority="541" operator="greaterThan" dxfId="1" stopIfTrue="1">
      <formula>0</formula>
    </cfRule>
    <cfRule type="cellIs" priority="542" operator="lessThan" dxfId="0" stopIfTrue="1">
      <formula>0</formula>
    </cfRule>
  </conditionalFormatting>
  <conditionalFormatting sqref="AW17 AW23 AW29 AW35">
    <cfRule type="cellIs" priority="535" operator="greaterThan" dxfId="3" stopIfTrue="1">
      <formula>0.03</formula>
    </cfRule>
    <cfRule type="cellIs" priority="536" operator="lessThan" dxfId="2" stopIfTrue="1">
      <formula>-0.03</formula>
    </cfRule>
  </conditionalFormatting>
  <conditionalFormatting sqref="AW17:AW40">
    <cfRule type="cellIs" priority="537" operator="greaterThan" dxfId="1" stopIfTrue="1">
      <formula>0</formula>
    </cfRule>
    <cfRule type="cellIs" priority="538" operator="lessThan" dxfId="0" stopIfTrue="1">
      <formula>0</formula>
    </cfRule>
  </conditionalFormatting>
  <conditionalFormatting sqref="AP17:AP18 AP23:AP24 AP29:AP30 AP35:AP36">
    <cfRule type="cellIs" priority="551" operator="greaterThan" dxfId="1" stopIfTrue="1">
      <formula>0</formula>
    </cfRule>
    <cfRule type="cellIs" priority="552" operator="lessThan" dxfId="4">
      <formula>0</formula>
    </cfRule>
  </conditionalFormatting>
  <conditionalFormatting sqref="AP19 AP25 AP31 AP37">
    <cfRule type="cellIs" priority="529" operator="greaterThan" dxfId="3" stopIfTrue="1">
      <formula>0.03</formula>
    </cfRule>
    <cfRule type="cellIs" priority="530" operator="lessThan" dxfId="2" stopIfTrue="1">
      <formula>-0.03</formula>
    </cfRule>
  </conditionalFormatting>
  <conditionalFormatting sqref="AP19:AP20 AP25:AP26 AP31:AP32 AP37:AP38">
    <cfRule type="cellIs" priority="531" operator="greaterThan" dxfId="1" stopIfTrue="1">
      <formula>0</formula>
    </cfRule>
    <cfRule type="cellIs" priority="532" operator="lessThan" dxfId="4">
      <formula>0</formula>
    </cfRule>
  </conditionalFormatting>
  <conditionalFormatting sqref="AP21 AP27 AP33 AP39">
    <cfRule type="cellIs" priority="525" operator="greaterThan" dxfId="3" stopIfTrue="1">
      <formula>0.03</formula>
    </cfRule>
    <cfRule type="cellIs" priority="526" operator="lessThan" dxfId="2" stopIfTrue="1">
      <formula>-0.03</formula>
    </cfRule>
  </conditionalFormatting>
  <conditionalFormatting sqref="AP21:AP22 AP27:AP28 AP33:AP34 AP39:AP40">
    <cfRule type="cellIs" priority="527" operator="greaterThan" dxfId="1" stopIfTrue="1">
      <formula>0</formula>
    </cfRule>
    <cfRule type="cellIs" priority="528" operator="lessThan" dxfId="4">
      <formula>0</formula>
    </cfRule>
  </conditionalFormatting>
  <conditionalFormatting sqref="AT17 AT23 AT29 AT35">
    <cfRule type="cellIs" priority="521" operator="greaterThan" dxfId="3" stopIfTrue="1">
      <formula>0.03</formula>
    </cfRule>
    <cfRule type="cellIs" priority="522" operator="lessThan" dxfId="2" stopIfTrue="1">
      <formula>-0.03</formula>
    </cfRule>
  </conditionalFormatting>
  <conditionalFormatting sqref="AT17:AT18 AT23:AT24 AT29:AT30 AT35:AT36">
    <cfRule type="cellIs" priority="523" operator="greaterThan" dxfId="1" stopIfTrue="1">
      <formula>0</formula>
    </cfRule>
    <cfRule type="cellIs" priority="524" operator="lessThan" dxfId="4">
      <formula>0</formula>
    </cfRule>
  </conditionalFormatting>
  <conditionalFormatting sqref="AT19 AT25 AT31 AT37">
    <cfRule type="cellIs" priority="517" operator="greaterThan" dxfId="3" stopIfTrue="1">
      <formula>0.03</formula>
    </cfRule>
    <cfRule type="cellIs" priority="518" operator="lessThan" dxfId="2" stopIfTrue="1">
      <formula>-0.03</formula>
    </cfRule>
  </conditionalFormatting>
  <conditionalFormatting sqref="AT19:AT20 AT25:AT26 AT31:AT32 AT37:AT38">
    <cfRule type="cellIs" priority="519" operator="greaterThan" dxfId="1" stopIfTrue="1">
      <formula>0</formula>
    </cfRule>
    <cfRule type="cellIs" priority="520" operator="lessThan" dxfId="4">
      <formula>0</formula>
    </cfRule>
  </conditionalFormatting>
  <conditionalFormatting sqref="AT21 AT27 AT33 AT39">
    <cfRule type="cellIs" priority="513" operator="greaterThan" dxfId="3" stopIfTrue="1">
      <formula>0.03</formula>
    </cfRule>
    <cfRule type="cellIs" priority="514" operator="lessThan" dxfId="2" stopIfTrue="1">
      <formula>-0.03</formula>
    </cfRule>
  </conditionalFormatting>
  <conditionalFormatting sqref="AT21:AT22 AT27:AT28 AT33:AT34 AT39:AT40">
    <cfRule type="cellIs" priority="515" operator="greaterThan" dxfId="1" stopIfTrue="1">
      <formula>0</formula>
    </cfRule>
    <cfRule type="cellIs" priority="516" operator="lessThan" dxfId="4">
      <formula>0</formula>
    </cfRule>
  </conditionalFormatting>
  <conditionalFormatting sqref="AV17 AV23 AV29 AV35">
    <cfRule type="cellIs" priority="509" operator="greaterThan" dxfId="3" stopIfTrue="1">
      <formula>0.03</formula>
    </cfRule>
    <cfRule type="cellIs" priority="510" operator="lessThan" dxfId="2" stopIfTrue="1">
      <formula>-0.03</formula>
    </cfRule>
  </conditionalFormatting>
  <conditionalFormatting sqref="AV17:AV18 AV23:AV24 AV29:AV30 AV35:AV36">
    <cfRule type="cellIs" priority="511" operator="greaterThan" dxfId="1" stopIfTrue="1">
      <formula>0</formula>
    </cfRule>
    <cfRule type="cellIs" priority="512" operator="lessThan" dxfId="4">
      <formula>0</formula>
    </cfRule>
  </conditionalFormatting>
  <conditionalFormatting sqref="AV19 AV25 AV31 AV37">
    <cfRule type="cellIs" priority="505" operator="greaterThan" dxfId="3" stopIfTrue="1">
      <formula>0.03</formula>
    </cfRule>
    <cfRule type="cellIs" priority="506" operator="lessThan" dxfId="2" stopIfTrue="1">
      <formula>-0.03</formula>
    </cfRule>
  </conditionalFormatting>
  <conditionalFormatting sqref="AV19:AV20 AV25:AV26 AV31:AV32 AV37:AV38">
    <cfRule type="cellIs" priority="507" operator="greaterThan" dxfId="1" stopIfTrue="1">
      <formula>0</formula>
    </cfRule>
    <cfRule type="cellIs" priority="508" operator="lessThan" dxfId="4">
      <formula>0</formula>
    </cfRule>
  </conditionalFormatting>
  <conditionalFormatting sqref="AV21 AV27 AV33 AV39">
    <cfRule type="cellIs" priority="501" operator="greaterThan" dxfId="3" stopIfTrue="1">
      <formula>0.03</formula>
    </cfRule>
    <cfRule type="cellIs" priority="502" operator="lessThan" dxfId="2" stopIfTrue="1">
      <formula>-0.03</formula>
    </cfRule>
  </conditionalFormatting>
  <conditionalFormatting sqref="AV21:AV22 AV27:AV28 AV33:AV34 AV39:AV40">
    <cfRule type="cellIs" priority="503" operator="greaterThan" dxfId="1" stopIfTrue="1">
      <formula>0</formula>
    </cfRule>
    <cfRule type="cellIs" priority="504" operator="lessThan" dxfId="4">
      <formula>0</formula>
    </cfRule>
  </conditionalFormatting>
  <conditionalFormatting sqref="BA11">
    <cfRule type="cellIs" priority="333" operator="greaterThan" dxfId="3" stopIfTrue="1">
      <formula>0.03</formula>
    </cfRule>
    <cfRule type="cellIs" priority="334" operator="lessThan" dxfId="2" stopIfTrue="1">
      <formula>-0.03</formula>
    </cfRule>
  </conditionalFormatting>
  <conditionalFormatting sqref="BA11:BA16">
    <cfRule type="cellIs" priority="335" operator="greaterThan" dxfId="1" stopIfTrue="1">
      <formula>0</formula>
    </cfRule>
    <cfRule type="cellIs" priority="336" operator="lessThan" dxfId="0" stopIfTrue="1">
      <formula>0</formula>
    </cfRule>
  </conditionalFormatting>
  <conditionalFormatting sqref="AZ11">
    <cfRule type="cellIs" priority="329" operator="greaterThan" dxfId="3" stopIfTrue="1">
      <formula>0.03</formula>
    </cfRule>
    <cfRule type="cellIs" priority="330" operator="lessThan" dxfId="2" stopIfTrue="1">
      <formula>-0.03</formula>
    </cfRule>
  </conditionalFormatting>
  <conditionalFormatting sqref="AZ11:AZ12">
    <cfRule type="cellIs" priority="331" operator="greaterThan" dxfId="1" stopIfTrue="1">
      <formula>0</formula>
    </cfRule>
    <cfRule type="cellIs" priority="332" operator="lessThan" dxfId="4">
      <formula>0</formula>
    </cfRule>
  </conditionalFormatting>
  <conditionalFormatting sqref="AZ13">
    <cfRule type="cellIs" priority="325" operator="greaterThan" dxfId="3" stopIfTrue="1">
      <formula>0.03</formula>
    </cfRule>
    <cfRule type="cellIs" priority="326" operator="lessThan" dxfId="2" stopIfTrue="1">
      <formula>-0.03</formula>
    </cfRule>
  </conditionalFormatting>
  <conditionalFormatting sqref="AZ13:AZ14">
    <cfRule type="cellIs" priority="327" operator="greaterThan" dxfId="1" stopIfTrue="1">
      <formula>0</formula>
    </cfRule>
    <cfRule type="cellIs" priority="328" operator="lessThan" dxfId="4">
      <formula>0</formula>
    </cfRule>
  </conditionalFormatting>
  <conditionalFormatting sqref="AZ15">
    <cfRule type="cellIs" priority="321" operator="greaterThan" dxfId="3" stopIfTrue="1">
      <formula>0.03</formula>
    </cfRule>
    <cfRule type="cellIs" priority="322" operator="lessThan" dxfId="2" stopIfTrue="1">
      <formula>-0.03</formula>
    </cfRule>
  </conditionalFormatting>
  <conditionalFormatting sqref="AZ15:AZ16">
    <cfRule type="cellIs" priority="323" operator="greaterThan" dxfId="1" stopIfTrue="1">
      <formula>0</formula>
    </cfRule>
    <cfRule type="cellIs" priority="324" operator="lessThan" dxfId="4">
      <formula>0</formula>
    </cfRule>
  </conditionalFormatting>
  <conditionalFormatting sqref="BA5">
    <cfRule type="cellIs" priority="317" operator="greaterThan" dxfId="3" stopIfTrue="1">
      <formula>0.03</formula>
    </cfRule>
    <cfRule type="cellIs" priority="318" operator="lessThan" dxfId="2" stopIfTrue="1">
      <formula>-0.03</formula>
    </cfRule>
  </conditionalFormatting>
  <conditionalFormatting sqref="BA5:BA10">
    <cfRule type="cellIs" priority="319" operator="greaterThan" dxfId="1" stopIfTrue="1">
      <formula>0</formula>
    </cfRule>
    <cfRule type="cellIs" priority="320" operator="lessThan" dxfId="0" stopIfTrue="1">
      <formula>0</formula>
    </cfRule>
  </conditionalFormatting>
  <conditionalFormatting sqref="AZ5">
    <cfRule type="cellIs" priority="313" operator="greaterThan" dxfId="3" stopIfTrue="1">
      <formula>0.03</formula>
    </cfRule>
    <cfRule type="cellIs" priority="314" operator="lessThan" dxfId="2" stopIfTrue="1">
      <formula>-0.03</formula>
    </cfRule>
  </conditionalFormatting>
  <conditionalFormatting sqref="AZ5:AZ6">
    <cfRule type="cellIs" priority="315" operator="greaterThan" dxfId="1" stopIfTrue="1">
      <formula>0</formula>
    </cfRule>
    <cfRule type="cellIs" priority="316" operator="lessThan" dxfId="4">
      <formula>0</formula>
    </cfRule>
  </conditionalFormatting>
  <conditionalFormatting sqref="AZ7">
    <cfRule type="cellIs" priority="309" operator="greaterThan" dxfId="3" stopIfTrue="1">
      <formula>0.03</formula>
    </cfRule>
    <cfRule type="cellIs" priority="310" operator="lessThan" dxfId="2" stopIfTrue="1">
      <formula>-0.03</formula>
    </cfRule>
  </conditionalFormatting>
  <conditionalFormatting sqref="AZ7:AZ8">
    <cfRule type="cellIs" priority="311" operator="greaterThan" dxfId="1" stopIfTrue="1">
      <formula>0</formula>
    </cfRule>
    <cfRule type="cellIs" priority="312" operator="lessThan" dxfId="4">
      <formula>0</formula>
    </cfRule>
  </conditionalFormatting>
  <conditionalFormatting sqref="AZ9">
    <cfRule type="cellIs" priority="305" operator="greaterThan" dxfId="3" stopIfTrue="1">
      <formula>0.03</formula>
    </cfRule>
    <cfRule type="cellIs" priority="306" operator="lessThan" dxfId="2" stopIfTrue="1">
      <formula>-0.03</formula>
    </cfRule>
  </conditionalFormatting>
  <conditionalFormatting sqref="AZ9:AZ10">
    <cfRule type="cellIs" priority="307" operator="greaterThan" dxfId="1" stopIfTrue="1">
      <formula>0</formula>
    </cfRule>
    <cfRule type="cellIs" priority="308" operator="lessThan" dxfId="4">
      <formula>0</formula>
    </cfRule>
  </conditionalFormatting>
  <conditionalFormatting sqref="BA17">
    <cfRule type="cellIs" priority="301" operator="greaterThan" dxfId="3" stopIfTrue="1">
      <formula>0.03</formula>
    </cfRule>
    <cfRule type="cellIs" priority="302" operator="lessThan" dxfId="2" stopIfTrue="1">
      <formula>-0.03</formula>
    </cfRule>
  </conditionalFormatting>
  <conditionalFormatting sqref="BA17:BA22">
    <cfRule type="cellIs" priority="303" operator="greaterThan" dxfId="1" stopIfTrue="1">
      <formula>0</formula>
    </cfRule>
    <cfRule type="cellIs" priority="304" operator="lessThan" dxfId="0" stopIfTrue="1">
      <formula>0</formula>
    </cfRule>
  </conditionalFormatting>
  <conditionalFormatting sqref="AZ17">
    <cfRule type="cellIs" priority="297" operator="greaterThan" dxfId="3" stopIfTrue="1">
      <formula>0.03</formula>
    </cfRule>
    <cfRule type="cellIs" priority="298" operator="lessThan" dxfId="2" stopIfTrue="1">
      <formula>-0.03</formula>
    </cfRule>
  </conditionalFormatting>
  <conditionalFormatting sqref="AZ17:AZ18">
    <cfRule type="cellIs" priority="299" operator="greaterThan" dxfId="1" stopIfTrue="1">
      <formula>0</formula>
    </cfRule>
    <cfRule type="cellIs" priority="300" operator="lessThan" dxfId="4">
      <formula>0</formula>
    </cfRule>
  </conditionalFormatting>
  <conditionalFormatting sqref="AZ19">
    <cfRule type="cellIs" priority="293" operator="greaterThan" dxfId="3" stopIfTrue="1">
      <formula>0.03</formula>
    </cfRule>
    <cfRule type="cellIs" priority="294" operator="lessThan" dxfId="2" stopIfTrue="1">
      <formula>-0.03</formula>
    </cfRule>
  </conditionalFormatting>
  <conditionalFormatting sqref="AZ19:AZ20">
    <cfRule type="cellIs" priority="295" operator="greaterThan" dxfId="1" stopIfTrue="1">
      <formula>0</formula>
    </cfRule>
    <cfRule type="cellIs" priority="296" operator="lessThan" dxfId="4">
      <formula>0</formula>
    </cfRule>
  </conditionalFormatting>
  <conditionalFormatting sqref="AZ21">
    <cfRule type="cellIs" priority="289" operator="greaterThan" dxfId="3" stopIfTrue="1">
      <formula>0.03</formula>
    </cfRule>
    <cfRule type="cellIs" priority="290" operator="lessThan" dxfId="2" stopIfTrue="1">
      <formula>-0.03</formula>
    </cfRule>
  </conditionalFormatting>
  <conditionalFormatting sqref="AZ21:AZ22">
    <cfRule type="cellIs" priority="291" operator="greaterThan" dxfId="1" stopIfTrue="1">
      <formula>0</formula>
    </cfRule>
    <cfRule type="cellIs" priority="292" operator="lessThan" dxfId="4">
      <formula>0</formula>
    </cfRule>
  </conditionalFormatting>
  <conditionalFormatting sqref="BA29">
    <cfRule type="cellIs" priority="285" operator="greaterThan" dxfId="3" stopIfTrue="1">
      <formula>0.03</formula>
    </cfRule>
    <cfRule type="cellIs" priority="286" operator="lessThan" dxfId="2" stopIfTrue="1">
      <formula>-0.03</formula>
    </cfRule>
  </conditionalFormatting>
  <conditionalFormatting sqref="BA29:BA34">
    <cfRule type="cellIs" priority="287" operator="greaterThan" dxfId="1" stopIfTrue="1">
      <formula>0</formula>
    </cfRule>
    <cfRule type="cellIs" priority="288" operator="lessThan" dxfId="0" stopIfTrue="1">
      <formula>0</formula>
    </cfRule>
  </conditionalFormatting>
  <conditionalFormatting sqref="AZ29">
    <cfRule type="cellIs" priority="281" operator="greaterThan" dxfId="3" stopIfTrue="1">
      <formula>0.03</formula>
    </cfRule>
    <cfRule type="cellIs" priority="282" operator="lessThan" dxfId="2" stopIfTrue="1">
      <formula>-0.03</formula>
    </cfRule>
  </conditionalFormatting>
  <conditionalFormatting sqref="AZ29:AZ30">
    <cfRule type="cellIs" priority="283" operator="greaterThan" dxfId="1" stopIfTrue="1">
      <formula>0</formula>
    </cfRule>
    <cfRule type="cellIs" priority="284" operator="lessThan" dxfId="4">
      <formula>0</formula>
    </cfRule>
  </conditionalFormatting>
  <conditionalFormatting sqref="AZ31">
    <cfRule type="cellIs" priority="277" operator="greaterThan" dxfId="3" stopIfTrue="1">
      <formula>0.03</formula>
    </cfRule>
    <cfRule type="cellIs" priority="278" operator="lessThan" dxfId="2" stopIfTrue="1">
      <formula>-0.03</formula>
    </cfRule>
  </conditionalFormatting>
  <conditionalFormatting sqref="AZ31:AZ32">
    <cfRule type="cellIs" priority="279" operator="greaterThan" dxfId="1" stopIfTrue="1">
      <formula>0</formula>
    </cfRule>
    <cfRule type="cellIs" priority="280" operator="lessThan" dxfId="4">
      <formula>0</formula>
    </cfRule>
  </conditionalFormatting>
  <conditionalFormatting sqref="AZ33">
    <cfRule type="cellIs" priority="273" operator="greaterThan" dxfId="3" stopIfTrue="1">
      <formula>0.03</formula>
    </cfRule>
    <cfRule type="cellIs" priority="274" operator="lessThan" dxfId="2" stopIfTrue="1">
      <formula>-0.03</formula>
    </cfRule>
  </conditionalFormatting>
  <conditionalFormatting sqref="AZ33:AZ34">
    <cfRule type="cellIs" priority="275" operator="greaterThan" dxfId="1" stopIfTrue="1">
      <formula>0</formula>
    </cfRule>
    <cfRule type="cellIs" priority="276" operator="lessThan" dxfId="4">
      <formula>0</formula>
    </cfRule>
  </conditionalFormatting>
  <conditionalFormatting sqref="BA23">
    <cfRule type="cellIs" priority="269" operator="greaterThan" dxfId="3" stopIfTrue="1">
      <formula>0.03</formula>
    </cfRule>
    <cfRule type="cellIs" priority="270" operator="lessThan" dxfId="2" stopIfTrue="1">
      <formula>-0.03</formula>
    </cfRule>
  </conditionalFormatting>
  <conditionalFormatting sqref="BA23:BA28">
    <cfRule type="cellIs" priority="271" operator="greaterThan" dxfId="1" stopIfTrue="1">
      <formula>0</formula>
    </cfRule>
    <cfRule type="cellIs" priority="272" operator="lessThan" dxfId="0" stopIfTrue="1">
      <formula>0</formula>
    </cfRule>
  </conditionalFormatting>
  <conditionalFormatting sqref="AZ23">
    <cfRule type="cellIs" priority="265" operator="greaterThan" dxfId="3" stopIfTrue="1">
      <formula>0.03</formula>
    </cfRule>
    <cfRule type="cellIs" priority="266" operator="lessThan" dxfId="2" stopIfTrue="1">
      <formula>-0.03</formula>
    </cfRule>
  </conditionalFormatting>
  <conditionalFormatting sqref="AZ23:AZ24">
    <cfRule type="cellIs" priority="267" operator="greaterThan" dxfId="1" stopIfTrue="1">
      <formula>0</formula>
    </cfRule>
    <cfRule type="cellIs" priority="268" operator="lessThan" dxfId="4">
      <formula>0</formula>
    </cfRule>
  </conditionalFormatting>
  <conditionalFormatting sqref="AZ25">
    <cfRule type="cellIs" priority="261" operator="greaterThan" dxfId="3" stopIfTrue="1">
      <formula>0.03</formula>
    </cfRule>
    <cfRule type="cellIs" priority="262" operator="lessThan" dxfId="2" stopIfTrue="1">
      <formula>-0.03</formula>
    </cfRule>
  </conditionalFormatting>
  <conditionalFormatting sqref="AZ25:AZ26">
    <cfRule type="cellIs" priority="263" operator="greaterThan" dxfId="1" stopIfTrue="1">
      <formula>0</formula>
    </cfRule>
    <cfRule type="cellIs" priority="264" operator="lessThan" dxfId="4">
      <formula>0</formula>
    </cfRule>
  </conditionalFormatting>
  <conditionalFormatting sqref="AZ27">
    <cfRule type="cellIs" priority="257" operator="greaterThan" dxfId="3" stopIfTrue="1">
      <formula>0.03</formula>
    </cfRule>
    <cfRule type="cellIs" priority="258" operator="lessThan" dxfId="2" stopIfTrue="1">
      <formula>-0.03</formula>
    </cfRule>
  </conditionalFormatting>
  <conditionalFormatting sqref="AZ27:AZ28">
    <cfRule type="cellIs" priority="259" operator="greaterThan" dxfId="1" stopIfTrue="1">
      <formula>0</formula>
    </cfRule>
    <cfRule type="cellIs" priority="260" operator="lessThan" dxfId="4">
      <formula>0</formula>
    </cfRule>
  </conditionalFormatting>
  <conditionalFormatting sqref="BA35">
    <cfRule type="cellIs" priority="253" operator="greaterThan" dxfId="3" stopIfTrue="1">
      <formula>0.03</formula>
    </cfRule>
    <cfRule type="cellIs" priority="254" operator="lessThan" dxfId="2" stopIfTrue="1">
      <formula>-0.03</formula>
    </cfRule>
  </conditionalFormatting>
  <conditionalFormatting sqref="BA35:BA40">
    <cfRule type="cellIs" priority="255" operator="greaterThan" dxfId="1" stopIfTrue="1">
      <formula>0</formula>
    </cfRule>
    <cfRule type="cellIs" priority="256" operator="lessThan" dxfId="0" stopIfTrue="1">
      <formula>0</formula>
    </cfRule>
  </conditionalFormatting>
  <conditionalFormatting sqref="AZ35">
    <cfRule type="cellIs" priority="249" operator="greaterThan" dxfId="3" stopIfTrue="1">
      <formula>0.03</formula>
    </cfRule>
    <cfRule type="cellIs" priority="250" operator="lessThan" dxfId="2" stopIfTrue="1">
      <formula>-0.03</formula>
    </cfRule>
  </conditionalFormatting>
  <conditionalFormatting sqref="AZ35:AZ36">
    <cfRule type="cellIs" priority="251" operator="greaterThan" dxfId="1" stopIfTrue="1">
      <formula>0</formula>
    </cfRule>
    <cfRule type="cellIs" priority="252" operator="lessThan" dxfId="4">
      <formula>0</formula>
    </cfRule>
  </conditionalFormatting>
  <conditionalFormatting sqref="AZ37">
    <cfRule type="cellIs" priority="245" operator="greaterThan" dxfId="3" stopIfTrue="1">
      <formula>0.03</formula>
    </cfRule>
    <cfRule type="cellIs" priority="246" operator="lessThan" dxfId="2" stopIfTrue="1">
      <formula>-0.03</formula>
    </cfRule>
  </conditionalFormatting>
  <conditionalFormatting sqref="AZ37:AZ38">
    <cfRule type="cellIs" priority="247" operator="greaterThan" dxfId="1" stopIfTrue="1">
      <formula>0</formula>
    </cfRule>
    <cfRule type="cellIs" priority="248" operator="lessThan" dxfId="4">
      <formula>0</formula>
    </cfRule>
  </conditionalFormatting>
  <conditionalFormatting sqref="AZ39">
    <cfRule type="cellIs" priority="241" operator="greaterThan" dxfId="3" stopIfTrue="1">
      <formula>0.03</formula>
    </cfRule>
    <cfRule type="cellIs" priority="242" operator="lessThan" dxfId="2" stopIfTrue="1">
      <formula>-0.03</formula>
    </cfRule>
  </conditionalFormatting>
  <conditionalFormatting sqref="AZ39:AZ40">
    <cfRule type="cellIs" priority="243" operator="greaterThan" dxfId="1" stopIfTrue="1">
      <formula>0</formula>
    </cfRule>
    <cfRule type="cellIs" priority="244" operator="lessThan" dxfId="4">
      <formula>0</formula>
    </cfRule>
  </conditionalFormatting>
  <conditionalFormatting sqref="AX11">
    <cfRule type="cellIs" priority="237" operator="greaterThan" dxfId="3" stopIfTrue="1">
      <formula>0.03</formula>
    </cfRule>
    <cfRule type="cellIs" priority="238" operator="lessThan" dxfId="2" stopIfTrue="1">
      <formula>-0.03</formula>
    </cfRule>
  </conditionalFormatting>
  <conditionalFormatting sqref="AX11:AX12">
    <cfRule type="cellIs" priority="239" operator="greaterThan" dxfId="1" stopIfTrue="1">
      <formula>0</formula>
    </cfRule>
    <cfRule type="cellIs" priority="240" operator="lessThan" dxfId="4">
      <formula>0</formula>
    </cfRule>
  </conditionalFormatting>
  <conditionalFormatting sqref="AX13">
    <cfRule type="cellIs" priority="233" operator="greaterThan" dxfId="3" stopIfTrue="1">
      <formula>0.03</formula>
    </cfRule>
    <cfRule type="cellIs" priority="234" operator="lessThan" dxfId="2" stopIfTrue="1">
      <formula>-0.03</formula>
    </cfRule>
  </conditionalFormatting>
  <conditionalFormatting sqref="AX13:AX14">
    <cfRule type="cellIs" priority="235" operator="greaterThan" dxfId="1" stopIfTrue="1">
      <formula>0</formula>
    </cfRule>
    <cfRule type="cellIs" priority="236" operator="lessThan" dxfId="4">
      <formula>0</formula>
    </cfRule>
  </conditionalFormatting>
  <conditionalFormatting sqref="AX15">
    <cfRule type="cellIs" priority="229" operator="greaterThan" dxfId="3" stopIfTrue="1">
      <formula>0.03</formula>
    </cfRule>
    <cfRule type="cellIs" priority="230" operator="lessThan" dxfId="2" stopIfTrue="1">
      <formula>-0.03</formula>
    </cfRule>
  </conditionalFormatting>
  <conditionalFormatting sqref="AX15:AX16">
    <cfRule type="cellIs" priority="231" operator="greaterThan" dxfId="1" stopIfTrue="1">
      <formula>0</formula>
    </cfRule>
    <cfRule type="cellIs" priority="232" operator="lessThan" dxfId="4">
      <formula>0</formula>
    </cfRule>
  </conditionalFormatting>
  <conditionalFormatting sqref="AY17">
    <cfRule type="cellIs" priority="225" operator="greaterThan" dxfId="3" stopIfTrue="1">
      <formula>0.03</formula>
    </cfRule>
    <cfRule type="cellIs" priority="226" operator="lessThan" dxfId="2" stopIfTrue="1">
      <formula>-0.03</formula>
    </cfRule>
  </conditionalFormatting>
  <conditionalFormatting sqref="AY17:AY22">
    <cfRule type="cellIs" priority="227" operator="greaterThan" dxfId="1" stopIfTrue="1">
      <formula>0</formula>
    </cfRule>
    <cfRule type="cellIs" priority="228" operator="lessThan" dxfId="0" stopIfTrue="1">
      <formula>0</formula>
    </cfRule>
  </conditionalFormatting>
  <conditionalFormatting sqref="AX17">
    <cfRule type="cellIs" priority="221" operator="greaterThan" dxfId="3" stopIfTrue="1">
      <formula>0.03</formula>
    </cfRule>
    <cfRule type="cellIs" priority="222" operator="lessThan" dxfId="2" stopIfTrue="1">
      <formula>-0.03</formula>
    </cfRule>
  </conditionalFormatting>
  <conditionalFormatting sqref="AX17:AX18">
    <cfRule type="cellIs" priority="223" operator="greaterThan" dxfId="1" stopIfTrue="1">
      <formula>0</formula>
    </cfRule>
    <cfRule type="cellIs" priority="224" operator="lessThan" dxfId="4">
      <formula>0</formula>
    </cfRule>
  </conditionalFormatting>
  <conditionalFormatting sqref="AX19">
    <cfRule type="cellIs" priority="217" operator="greaterThan" dxfId="3" stopIfTrue="1">
      <formula>0.03</formula>
    </cfRule>
    <cfRule type="cellIs" priority="218" operator="lessThan" dxfId="2" stopIfTrue="1">
      <formula>-0.03</formula>
    </cfRule>
  </conditionalFormatting>
  <conditionalFormatting sqref="AX19:AX20">
    <cfRule type="cellIs" priority="219" operator="greaterThan" dxfId="1" stopIfTrue="1">
      <formula>0</formula>
    </cfRule>
    <cfRule type="cellIs" priority="220" operator="lessThan" dxfId="4">
      <formula>0</formula>
    </cfRule>
  </conditionalFormatting>
  <conditionalFormatting sqref="AX21">
    <cfRule type="cellIs" priority="213" operator="greaterThan" dxfId="3" stopIfTrue="1">
      <formula>0.03</formula>
    </cfRule>
    <cfRule type="cellIs" priority="214" operator="lessThan" dxfId="2" stopIfTrue="1">
      <formula>-0.03</formula>
    </cfRule>
  </conditionalFormatting>
  <conditionalFormatting sqref="AX21:AX22">
    <cfRule type="cellIs" priority="215" operator="greaterThan" dxfId="1" stopIfTrue="1">
      <formula>0</formula>
    </cfRule>
    <cfRule type="cellIs" priority="216" operator="lessThan" dxfId="4">
      <formula>0</formula>
    </cfRule>
  </conditionalFormatting>
  <conditionalFormatting sqref="AY23">
    <cfRule type="cellIs" priority="209" operator="greaterThan" dxfId="3" stopIfTrue="1">
      <formula>0.03</formula>
    </cfRule>
    <cfRule type="cellIs" priority="210" operator="lessThan" dxfId="2" stopIfTrue="1">
      <formula>-0.03</formula>
    </cfRule>
  </conditionalFormatting>
  <conditionalFormatting sqref="AY23:AY28">
    <cfRule type="cellIs" priority="211" operator="greaterThan" dxfId="1" stopIfTrue="1">
      <formula>0</formula>
    </cfRule>
    <cfRule type="cellIs" priority="212" operator="lessThan" dxfId="0" stopIfTrue="1">
      <formula>0</formula>
    </cfRule>
  </conditionalFormatting>
  <conditionalFormatting sqref="AX23">
    <cfRule type="cellIs" priority="205" operator="greaterThan" dxfId="3" stopIfTrue="1">
      <formula>0.03</formula>
    </cfRule>
    <cfRule type="cellIs" priority="206" operator="lessThan" dxfId="2" stopIfTrue="1">
      <formula>-0.03</formula>
    </cfRule>
  </conditionalFormatting>
  <conditionalFormatting sqref="AX23:AX24">
    <cfRule type="cellIs" priority="207" operator="greaterThan" dxfId="1" stopIfTrue="1">
      <formula>0</formula>
    </cfRule>
    <cfRule type="cellIs" priority="208" operator="lessThan" dxfId="4">
      <formula>0</formula>
    </cfRule>
  </conditionalFormatting>
  <conditionalFormatting sqref="AX25">
    <cfRule type="cellIs" priority="201" operator="greaterThan" dxfId="3" stopIfTrue="1">
      <formula>0.03</formula>
    </cfRule>
    <cfRule type="cellIs" priority="202" operator="lessThan" dxfId="2" stopIfTrue="1">
      <formula>-0.03</formula>
    </cfRule>
  </conditionalFormatting>
  <conditionalFormatting sqref="AX25:AX26">
    <cfRule type="cellIs" priority="203" operator="greaterThan" dxfId="1" stopIfTrue="1">
      <formula>0</formula>
    </cfRule>
    <cfRule type="cellIs" priority="204" operator="lessThan" dxfId="4">
      <formula>0</formula>
    </cfRule>
  </conditionalFormatting>
  <conditionalFormatting sqref="AX27">
    <cfRule type="cellIs" priority="197" operator="greaterThan" dxfId="3" stopIfTrue="1">
      <formula>0.03</formula>
    </cfRule>
    <cfRule type="cellIs" priority="198" operator="lessThan" dxfId="2" stopIfTrue="1">
      <formula>-0.03</formula>
    </cfRule>
  </conditionalFormatting>
  <conditionalFormatting sqref="AX27:AX28">
    <cfRule type="cellIs" priority="199" operator="greaterThan" dxfId="1" stopIfTrue="1">
      <formula>0</formula>
    </cfRule>
    <cfRule type="cellIs" priority="200" operator="lessThan" dxfId="4">
      <formula>0</formula>
    </cfRule>
  </conditionalFormatting>
  <conditionalFormatting sqref="AY29">
    <cfRule type="cellIs" priority="193" operator="greaterThan" dxfId="3" stopIfTrue="1">
      <formula>0.03</formula>
    </cfRule>
    <cfRule type="cellIs" priority="194" operator="lessThan" dxfId="2" stopIfTrue="1">
      <formula>-0.03</formula>
    </cfRule>
  </conditionalFormatting>
  <conditionalFormatting sqref="AY29:AY34">
    <cfRule type="cellIs" priority="195" operator="greaterThan" dxfId="1" stopIfTrue="1">
      <formula>0</formula>
    </cfRule>
    <cfRule type="cellIs" priority="196" operator="lessThan" dxfId="0" stopIfTrue="1">
      <formula>0</formula>
    </cfRule>
  </conditionalFormatting>
  <conditionalFormatting sqref="AX29">
    <cfRule type="cellIs" priority="189" operator="greaterThan" dxfId="3" stopIfTrue="1">
      <formula>0.03</formula>
    </cfRule>
    <cfRule type="cellIs" priority="190" operator="lessThan" dxfId="2" stopIfTrue="1">
      <formula>-0.03</formula>
    </cfRule>
  </conditionalFormatting>
  <conditionalFormatting sqref="AX29:AX30">
    <cfRule type="cellIs" priority="191" operator="greaterThan" dxfId="1" stopIfTrue="1">
      <formula>0</formula>
    </cfRule>
    <cfRule type="cellIs" priority="192" operator="lessThan" dxfId="4">
      <formula>0</formula>
    </cfRule>
  </conditionalFormatting>
  <conditionalFormatting sqref="AX31">
    <cfRule type="cellIs" priority="185" operator="greaterThan" dxfId="3" stopIfTrue="1">
      <formula>0.03</formula>
    </cfRule>
    <cfRule type="cellIs" priority="186" operator="lessThan" dxfId="2" stopIfTrue="1">
      <formula>-0.03</formula>
    </cfRule>
  </conditionalFormatting>
  <conditionalFormatting sqref="AX31:AX32">
    <cfRule type="cellIs" priority="187" operator="greaterThan" dxfId="1" stopIfTrue="1">
      <formula>0</formula>
    </cfRule>
    <cfRule type="cellIs" priority="188" operator="lessThan" dxfId="4">
      <formula>0</formula>
    </cfRule>
  </conditionalFormatting>
  <conditionalFormatting sqref="AX33">
    <cfRule type="cellIs" priority="181" operator="greaterThan" dxfId="3" stopIfTrue="1">
      <formula>0.03</formula>
    </cfRule>
    <cfRule type="cellIs" priority="182" operator="lessThan" dxfId="2" stopIfTrue="1">
      <formula>-0.03</formula>
    </cfRule>
  </conditionalFormatting>
  <conditionalFormatting sqref="AX33:AX34">
    <cfRule type="cellIs" priority="183" operator="greaterThan" dxfId="1" stopIfTrue="1">
      <formula>0</formula>
    </cfRule>
    <cfRule type="cellIs" priority="184" operator="lessThan" dxfId="4">
      <formula>0</formula>
    </cfRule>
  </conditionalFormatting>
  <conditionalFormatting sqref="AY35">
    <cfRule type="cellIs" priority="177" operator="greaterThan" dxfId="3" stopIfTrue="1">
      <formula>0.03</formula>
    </cfRule>
    <cfRule type="cellIs" priority="178" operator="lessThan" dxfId="2" stopIfTrue="1">
      <formula>-0.03</formula>
    </cfRule>
  </conditionalFormatting>
  <conditionalFormatting sqref="AY35:AY40">
    <cfRule type="cellIs" priority="179" operator="greaterThan" dxfId="1" stopIfTrue="1">
      <formula>0</formula>
    </cfRule>
    <cfRule type="cellIs" priority="180" operator="lessThan" dxfId="0" stopIfTrue="1">
      <formula>0</formula>
    </cfRule>
  </conditionalFormatting>
  <conditionalFormatting sqref="AX35">
    <cfRule type="cellIs" priority="173" operator="greaterThan" dxfId="3" stopIfTrue="1">
      <formula>0.03</formula>
    </cfRule>
    <cfRule type="cellIs" priority="174" operator="lessThan" dxfId="2" stopIfTrue="1">
      <formula>-0.03</formula>
    </cfRule>
  </conditionalFormatting>
  <conditionalFormatting sqref="AX35:AX36">
    <cfRule type="cellIs" priority="175" operator="greaterThan" dxfId="1" stopIfTrue="1">
      <formula>0</formula>
    </cfRule>
    <cfRule type="cellIs" priority="176" operator="lessThan" dxfId="4">
      <formula>0</formula>
    </cfRule>
  </conditionalFormatting>
  <conditionalFormatting sqref="AX37">
    <cfRule type="cellIs" priority="169" operator="greaterThan" dxfId="3" stopIfTrue="1">
      <formula>0.03</formula>
    </cfRule>
    <cfRule type="cellIs" priority="170" operator="lessThan" dxfId="2" stopIfTrue="1">
      <formula>-0.03</formula>
    </cfRule>
  </conditionalFormatting>
  <conditionalFormatting sqref="AX37:AX38">
    <cfRule type="cellIs" priority="171" operator="greaterThan" dxfId="1" stopIfTrue="1">
      <formula>0</formula>
    </cfRule>
    <cfRule type="cellIs" priority="172" operator="lessThan" dxfId="4">
      <formula>0</formula>
    </cfRule>
  </conditionalFormatting>
  <conditionalFormatting sqref="AX39">
    <cfRule type="cellIs" priority="165" operator="greaterThan" dxfId="3" stopIfTrue="1">
      <formula>0.03</formula>
    </cfRule>
    <cfRule type="cellIs" priority="166" operator="lessThan" dxfId="2" stopIfTrue="1">
      <formula>-0.03</formula>
    </cfRule>
  </conditionalFormatting>
  <conditionalFormatting sqref="AX39:AX40">
    <cfRule type="cellIs" priority="167" operator="greaterThan" dxfId="1" stopIfTrue="1">
      <formula>0</formula>
    </cfRule>
    <cfRule type="cellIs" priority="168" operator="lessThan" dxfId="4">
      <formula>0</formula>
    </cfRule>
  </conditionalFormatting>
  <conditionalFormatting sqref="B47">
    <cfRule type="cellIs" priority="157" operator="greaterThan" dxfId="3" stopIfTrue="1">
      <formula>0.03</formula>
    </cfRule>
    <cfRule type="cellIs" priority="158" operator="lessThan" dxfId="2" stopIfTrue="1">
      <formula>-0.03</formula>
    </cfRule>
  </conditionalFormatting>
  <conditionalFormatting sqref="C47">
    <cfRule type="cellIs" priority="159" operator="greaterThan" dxfId="3" stopIfTrue="1">
      <formula>0.03</formula>
    </cfRule>
    <cfRule type="cellIs" priority="160" operator="lessThan" dxfId="2" stopIfTrue="1">
      <formula>-0.03</formula>
    </cfRule>
  </conditionalFormatting>
  <conditionalFormatting sqref="C47:C52">
    <cfRule type="cellIs" priority="161" operator="greaterThan" dxfId="1" stopIfTrue="1">
      <formula>0</formula>
    </cfRule>
    <cfRule type="cellIs" priority="162" operator="lessThan" dxfId="0" stopIfTrue="1">
      <formula>0</formula>
    </cfRule>
  </conditionalFormatting>
  <conditionalFormatting sqref="B47:B48">
    <cfRule type="cellIs" priority="163" operator="greaterThan" dxfId="1" stopIfTrue="1">
      <formula>0</formula>
    </cfRule>
    <cfRule type="cellIs" priority="164" operator="lessThan" dxfId="4">
      <formula>0</formula>
    </cfRule>
  </conditionalFormatting>
  <conditionalFormatting sqref="B49">
    <cfRule type="cellIs" priority="153" operator="greaterThan" dxfId="3" stopIfTrue="1">
      <formula>0.03</formula>
    </cfRule>
    <cfRule type="cellIs" priority="154" operator="lessThan" dxfId="2" stopIfTrue="1">
      <formula>-0.03</formula>
    </cfRule>
  </conditionalFormatting>
  <conditionalFormatting sqref="B49:B50">
    <cfRule type="cellIs" priority="155" operator="greaterThan" dxfId="1" stopIfTrue="1">
      <formula>0</formula>
    </cfRule>
    <cfRule type="cellIs" priority="156" operator="lessThan" dxfId="4">
      <formula>0</formula>
    </cfRule>
  </conditionalFormatting>
  <conditionalFormatting sqref="B51">
    <cfRule type="cellIs" priority="149" operator="greaterThan" dxfId="3" stopIfTrue="1">
      <formula>0.03</formula>
    </cfRule>
    <cfRule type="cellIs" priority="150" operator="lessThan" dxfId="2" stopIfTrue="1">
      <formula>-0.03</formula>
    </cfRule>
  </conditionalFormatting>
  <conditionalFormatting sqref="B51:B52">
    <cfRule type="cellIs" priority="151" operator="greaterThan" dxfId="1" stopIfTrue="1">
      <formula>0</formula>
    </cfRule>
    <cfRule type="cellIs" priority="152" operator="lessThan" dxfId="4">
      <formula>0</formula>
    </cfRule>
  </conditionalFormatting>
  <conditionalFormatting sqref="D47:P47">
    <cfRule type="cellIs" priority="145" operator="greaterThan" dxfId="3" stopIfTrue="1">
      <formula>0.03</formula>
    </cfRule>
    <cfRule type="cellIs" priority="146" operator="lessThan" dxfId="2" stopIfTrue="1">
      <formula>-0.03</formula>
    </cfRule>
  </conditionalFormatting>
  <conditionalFormatting sqref="D47:P52">
    <cfRule type="cellIs" priority="147" operator="greaterThan" dxfId="1" stopIfTrue="1">
      <formula>0</formula>
    </cfRule>
    <cfRule type="cellIs" priority="148" operator="lessThan" dxfId="0" stopIfTrue="1">
      <formula>0</formula>
    </cfRule>
  </conditionalFormatting>
  <conditionalFormatting sqref="Q47">
    <cfRule type="cellIs" priority="137" operator="greaterThan" dxfId="3" stopIfTrue="1">
      <formula>0.03</formula>
    </cfRule>
    <cfRule type="cellIs" priority="138" operator="lessThan" dxfId="2" stopIfTrue="1">
      <formula>-0.03</formula>
    </cfRule>
  </conditionalFormatting>
  <conditionalFormatting sqref="R47">
    <cfRule type="cellIs" priority="139" operator="greaterThan" dxfId="3" stopIfTrue="1">
      <formula>0.03</formula>
    </cfRule>
    <cfRule type="cellIs" priority="140" operator="lessThan" dxfId="2" stopIfTrue="1">
      <formula>-0.03</formula>
    </cfRule>
  </conditionalFormatting>
  <conditionalFormatting sqref="R47:R52">
    <cfRule type="cellIs" priority="141" operator="greaterThan" dxfId="1" stopIfTrue="1">
      <formula>0</formula>
    </cfRule>
    <cfRule type="cellIs" priority="142" operator="lessThan" dxfId="0" stopIfTrue="1">
      <formula>0</formula>
    </cfRule>
  </conditionalFormatting>
  <conditionalFormatting sqref="Q47:Q48">
    <cfRule type="cellIs" priority="143" operator="greaterThan" dxfId="1" stopIfTrue="1">
      <formula>0</formula>
    </cfRule>
    <cfRule type="cellIs" priority="144" operator="lessThan" dxfId="4">
      <formula>0</formula>
    </cfRule>
  </conditionalFormatting>
  <conditionalFormatting sqref="Q49">
    <cfRule type="cellIs" priority="133" operator="greaterThan" dxfId="3" stopIfTrue="1">
      <formula>0.03</formula>
    </cfRule>
    <cfRule type="cellIs" priority="134" operator="lessThan" dxfId="2" stopIfTrue="1">
      <formula>-0.03</formula>
    </cfRule>
  </conditionalFormatting>
  <conditionalFormatting sqref="Q49:Q50">
    <cfRule type="cellIs" priority="135" operator="greaterThan" dxfId="1" stopIfTrue="1">
      <formula>0</formula>
    </cfRule>
    <cfRule type="cellIs" priority="136" operator="lessThan" dxfId="4">
      <formula>0</formula>
    </cfRule>
  </conditionalFormatting>
  <conditionalFormatting sqref="Q51">
    <cfRule type="cellIs" priority="129" operator="greaterThan" dxfId="3" stopIfTrue="1">
      <formula>0.03</formula>
    </cfRule>
    <cfRule type="cellIs" priority="130" operator="lessThan" dxfId="2" stopIfTrue="1">
      <formula>-0.03</formula>
    </cfRule>
  </conditionalFormatting>
  <conditionalFormatting sqref="Q51:Q52">
    <cfRule type="cellIs" priority="131" operator="greaterThan" dxfId="1" stopIfTrue="1">
      <formula>0</formula>
    </cfRule>
    <cfRule type="cellIs" priority="132" operator="lessThan" dxfId="4">
      <formula>0</formula>
    </cfRule>
  </conditionalFormatting>
  <conditionalFormatting sqref="S47">
    <cfRule type="cellIs" priority="121" operator="greaterThan" dxfId="3" stopIfTrue="1">
      <formula>0.03</formula>
    </cfRule>
    <cfRule type="cellIs" priority="122" operator="lessThan" dxfId="2" stopIfTrue="1">
      <formula>-0.03</formula>
    </cfRule>
  </conditionalFormatting>
  <conditionalFormatting sqref="T47">
    <cfRule type="cellIs" priority="123" operator="greaterThan" dxfId="3" stopIfTrue="1">
      <formula>0.03</formula>
    </cfRule>
    <cfRule type="cellIs" priority="124" operator="lessThan" dxfId="2" stopIfTrue="1">
      <formula>-0.03</formula>
    </cfRule>
  </conditionalFormatting>
  <conditionalFormatting sqref="T47:T52">
    <cfRule type="cellIs" priority="125" operator="greaterThan" dxfId="1" stopIfTrue="1">
      <formula>0</formula>
    </cfRule>
    <cfRule type="cellIs" priority="126" operator="lessThan" dxfId="0" stopIfTrue="1">
      <formula>0</formula>
    </cfRule>
  </conditionalFormatting>
  <conditionalFormatting sqref="S47:S48">
    <cfRule type="cellIs" priority="127" operator="greaterThan" dxfId="1" stopIfTrue="1">
      <formula>0</formula>
    </cfRule>
    <cfRule type="cellIs" priority="128" operator="lessThan" dxfId="4">
      <formula>0</formula>
    </cfRule>
  </conditionalFormatting>
  <conditionalFormatting sqref="S49">
    <cfRule type="cellIs" priority="117" operator="greaterThan" dxfId="3" stopIfTrue="1">
      <formula>0.03</formula>
    </cfRule>
    <cfRule type="cellIs" priority="118" operator="lessThan" dxfId="2" stopIfTrue="1">
      <formula>-0.03</formula>
    </cfRule>
  </conditionalFormatting>
  <conditionalFormatting sqref="S49:S50">
    <cfRule type="cellIs" priority="119" operator="greaterThan" dxfId="1" stopIfTrue="1">
      <formula>0</formula>
    </cfRule>
    <cfRule type="cellIs" priority="120" operator="lessThan" dxfId="4">
      <formula>0</formula>
    </cfRule>
  </conditionalFormatting>
  <conditionalFormatting sqref="S51">
    <cfRule type="cellIs" priority="113" operator="greaterThan" dxfId="3" stopIfTrue="1">
      <formula>0.03</formula>
    </cfRule>
    <cfRule type="cellIs" priority="114" operator="lessThan" dxfId="2" stopIfTrue="1">
      <formula>-0.03</formula>
    </cfRule>
  </conditionalFormatting>
  <conditionalFormatting sqref="S51:S52">
    <cfRule type="cellIs" priority="115" operator="greaterThan" dxfId="1" stopIfTrue="1">
      <formula>0</formula>
    </cfRule>
    <cfRule type="cellIs" priority="116" operator="lessThan" dxfId="4">
      <formula>0</formula>
    </cfRule>
  </conditionalFormatting>
  <conditionalFormatting sqref="U47">
    <cfRule type="cellIs" priority="105" operator="greaterThan" dxfId="3" stopIfTrue="1">
      <formula>0.03</formula>
    </cfRule>
    <cfRule type="cellIs" priority="106" operator="lessThan" dxfId="2" stopIfTrue="1">
      <formula>-0.03</formula>
    </cfRule>
  </conditionalFormatting>
  <conditionalFormatting sqref="V47">
    <cfRule type="cellIs" priority="107" operator="greaterThan" dxfId="3" stopIfTrue="1">
      <formula>0.03</formula>
    </cfRule>
    <cfRule type="cellIs" priority="108" operator="lessThan" dxfId="2" stopIfTrue="1">
      <formula>-0.03</formula>
    </cfRule>
  </conditionalFormatting>
  <conditionalFormatting sqref="V47:V52">
    <cfRule type="cellIs" priority="109" operator="greaterThan" dxfId="1" stopIfTrue="1">
      <formula>0</formula>
    </cfRule>
    <cfRule type="cellIs" priority="110" operator="lessThan" dxfId="0" stopIfTrue="1">
      <formula>0</formula>
    </cfRule>
  </conditionalFormatting>
  <conditionalFormatting sqref="U47:U48">
    <cfRule type="cellIs" priority="111" operator="greaterThan" dxfId="1" stopIfTrue="1">
      <formula>0</formula>
    </cfRule>
    <cfRule type="cellIs" priority="112" operator="lessThan" dxfId="4">
      <formula>0</formula>
    </cfRule>
  </conditionalFormatting>
  <conditionalFormatting sqref="U49">
    <cfRule type="cellIs" priority="101" operator="greaterThan" dxfId="3" stopIfTrue="1">
      <formula>0.03</formula>
    </cfRule>
    <cfRule type="cellIs" priority="102" operator="lessThan" dxfId="2" stopIfTrue="1">
      <formula>-0.03</formula>
    </cfRule>
  </conditionalFormatting>
  <conditionalFormatting sqref="U49:U50">
    <cfRule type="cellIs" priority="103" operator="greaterThan" dxfId="1" stopIfTrue="1">
      <formula>0</formula>
    </cfRule>
    <cfRule type="cellIs" priority="104" operator="lessThan" dxfId="4">
      <formula>0</formula>
    </cfRule>
  </conditionalFormatting>
  <conditionalFormatting sqref="U51">
    <cfRule type="cellIs" priority="97" operator="greaterThan" dxfId="3" stopIfTrue="1">
      <formula>0.03</formula>
    </cfRule>
    <cfRule type="cellIs" priority="98" operator="lessThan" dxfId="2" stopIfTrue="1">
      <formula>-0.03</formula>
    </cfRule>
  </conditionalFormatting>
  <conditionalFormatting sqref="U51:U52">
    <cfRule type="cellIs" priority="99" operator="greaterThan" dxfId="1" stopIfTrue="1">
      <formula>0</formula>
    </cfRule>
    <cfRule type="cellIs" priority="100" operator="lessThan" dxfId="4">
      <formula>0</formula>
    </cfRule>
  </conditionalFormatting>
  <conditionalFormatting sqref="W47">
    <cfRule type="cellIs" priority="89" operator="greaterThan" dxfId="3" stopIfTrue="1">
      <formula>0.03</formula>
    </cfRule>
    <cfRule type="cellIs" priority="90" operator="lessThan" dxfId="2" stopIfTrue="1">
      <formula>-0.03</formula>
    </cfRule>
  </conditionalFormatting>
  <conditionalFormatting sqref="X47">
    <cfRule type="cellIs" priority="91" operator="greaterThan" dxfId="3" stopIfTrue="1">
      <formula>0.03</formula>
    </cfRule>
    <cfRule type="cellIs" priority="92" operator="lessThan" dxfId="2" stopIfTrue="1">
      <formula>-0.03</formula>
    </cfRule>
  </conditionalFormatting>
  <conditionalFormatting sqref="X47:X52">
    <cfRule type="cellIs" priority="93" operator="greaterThan" dxfId="1" stopIfTrue="1">
      <formula>0</formula>
    </cfRule>
    <cfRule type="cellIs" priority="94" operator="lessThan" dxfId="0" stopIfTrue="1">
      <formula>0</formula>
    </cfRule>
  </conditionalFormatting>
  <conditionalFormatting sqref="W47:W48">
    <cfRule type="cellIs" priority="95" operator="greaterThan" dxfId="1" stopIfTrue="1">
      <formula>0</formula>
    </cfRule>
    <cfRule type="cellIs" priority="96" operator="lessThan" dxfId="4">
      <formula>0</formula>
    </cfRule>
  </conditionalFormatting>
  <conditionalFormatting sqref="W49">
    <cfRule type="cellIs" priority="85" operator="greaterThan" dxfId="3" stopIfTrue="1">
      <formula>0.03</formula>
    </cfRule>
    <cfRule type="cellIs" priority="86" operator="lessThan" dxfId="2" stopIfTrue="1">
      <formula>-0.03</formula>
    </cfRule>
  </conditionalFormatting>
  <conditionalFormatting sqref="W49:W50">
    <cfRule type="cellIs" priority="87" operator="greaterThan" dxfId="1" stopIfTrue="1">
      <formula>0</formula>
    </cfRule>
    <cfRule type="cellIs" priority="88" operator="lessThan" dxfId="4">
      <formula>0</formula>
    </cfRule>
  </conditionalFormatting>
  <conditionalFormatting sqref="W51">
    <cfRule type="cellIs" priority="81" operator="greaterThan" dxfId="3" stopIfTrue="1">
      <formula>0.03</formula>
    </cfRule>
    <cfRule type="cellIs" priority="82" operator="lessThan" dxfId="2" stopIfTrue="1">
      <formula>-0.03</formula>
    </cfRule>
  </conditionalFormatting>
  <conditionalFormatting sqref="W51:W52">
    <cfRule type="cellIs" priority="83" operator="greaterThan" dxfId="1" stopIfTrue="1">
      <formula>0</formula>
    </cfRule>
    <cfRule type="cellIs" priority="84" operator="lessThan" dxfId="4">
      <formula>0</formula>
    </cfRule>
  </conditionalFormatting>
  <conditionalFormatting sqref="Y47">
    <cfRule type="cellIs" priority="73" operator="greaterThan" dxfId="3" stopIfTrue="1">
      <formula>0.03</formula>
    </cfRule>
    <cfRule type="cellIs" priority="74" operator="lessThan" dxfId="2" stopIfTrue="1">
      <formula>-0.03</formula>
    </cfRule>
  </conditionalFormatting>
  <conditionalFormatting sqref="Z47">
    <cfRule type="cellIs" priority="75" operator="greaterThan" dxfId="3" stopIfTrue="1">
      <formula>0.03</formula>
    </cfRule>
    <cfRule type="cellIs" priority="76" operator="lessThan" dxfId="2" stopIfTrue="1">
      <formula>-0.03</formula>
    </cfRule>
  </conditionalFormatting>
  <conditionalFormatting sqref="Z47:Z52">
    <cfRule type="cellIs" priority="77" operator="greaterThan" dxfId="1" stopIfTrue="1">
      <formula>0</formula>
    </cfRule>
    <cfRule type="cellIs" priority="78" operator="lessThan" dxfId="0" stopIfTrue="1">
      <formula>0</formula>
    </cfRule>
  </conditionalFormatting>
  <conditionalFormatting sqref="Y47:Y48">
    <cfRule type="cellIs" priority="79" operator="greaterThan" dxfId="1" stopIfTrue="1">
      <formula>0</formula>
    </cfRule>
    <cfRule type="cellIs" priority="80" operator="lessThan" dxfId="4">
      <formula>0</formula>
    </cfRule>
  </conditionalFormatting>
  <conditionalFormatting sqref="Y49">
    <cfRule type="cellIs" priority="69" operator="greaterThan" dxfId="3" stopIfTrue="1">
      <formula>0.03</formula>
    </cfRule>
    <cfRule type="cellIs" priority="70" operator="lessThan" dxfId="2" stopIfTrue="1">
      <formula>-0.03</formula>
    </cfRule>
  </conditionalFormatting>
  <conditionalFormatting sqref="Y49:Y50">
    <cfRule type="cellIs" priority="71" operator="greaterThan" dxfId="1" stopIfTrue="1">
      <formula>0</formula>
    </cfRule>
    <cfRule type="cellIs" priority="72" operator="lessThan" dxfId="4">
      <formula>0</formula>
    </cfRule>
  </conditionalFormatting>
  <conditionalFormatting sqref="Y51">
    <cfRule type="cellIs" priority="65" operator="greaterThan" dxfId="3" stopIfTrue="1">
      <formula>0.03</formula>
    </cfRule>
    <cfRule type="cellIs" priority="66" operator="lessThan" dxfId="2" stopIfTrue="1">
      <formula>-0.03</formula>
    </cfRule>
  </conditionalFormatting>
  <conditionalFormatting sqref="Y51:Y52">
    <cfRule type="cellIs" priority="67" operator="greaterThan" dxfId="1" stopIfTrue="1">
      <formula>0</formula>
    </cfRule>
    <cfRule type="cellIs" priority="68" operator="lessThan" dxfId="4">
      <formula>0</formula>
    </cfRule>
  </conditionalFormatting>
  <conditionalFormatting sqref="AA47">
    <cfRule type="cellIs" priority="57" operator="greaterThan" dxfId="3" stopIfTrue="1">
      <formula>0.03</formula>
    </cfRule>
    <cfRule type="cellIs" priority="58" operator="lessThan" dxfId="2" stopIfTrue="1">
      <formula>-0.03</formula>
    </cfRule>
  </conditionalFormatting>
  <conditionalFormatting sqref="AB47">
    <cfRule type="cellIs" priority="59" operator="greaterThan" dxfId="3" stopIfTrue="1">
      <formula>0.03</formula>
    </cfRule>
    <cfRule type="cellIs" priority="60" operator="lessThan" dxfId="2" stopIfTrue="1">
      <formula>-0.03</formula>
    </cfRule>
  </conditionalFormatting>
  <conditionalFormatting sqref="AB47:AB52">
    <cfRule type="cellIs" priority="61" operator="greaterThan" dxfId="1" stopIfTrue="1">
      <formula>0</formula>
    </cfRule>
    <cfRule type="cellIs" priority="62" operator="lessThan" dxfId="0" stopIfTrue="1">
      <formula>0</formula>
    </cfRule>
  </conditionalFormatting>
  <conditionalFormatting sqref="AA47:AA48">
    <cfRule type="cellIs" priority="63" operator="greaterThan" dxfId="1" stopIfTrue="1">
      <formula>0</formula>
    </cfRule>
    <cfRule type="cellIs" priority="64" operator="lessThan" dxfId="4">
      <formula>0</formula>
    </cfRule>
  </conditionalFormatting>
  <conditionalFormatting sqref="AA49">
    <cfRule type="cellIs" priority="53" operator="greaterThan" dxfId="3" stopIfTrue="1">
      <formula>0.03</formula>
    </cfRule>
    <cfRule type="cellIs" priority="54" operator="lessThan" dxfId="2" stopIfTrue="1">
      <formula>-0.03</formula>
    </cfRule>
  </conditionalFormatting>
  <conditionalFormatting sqref="AA49:AA50">
    <cfRule type="cellIs" priority="55" operator="greaterThan" dxfId="1" stopIfTrue="1">
      <formula>0</formula>
    </cfRule>
    <cfRule type="cellIs" priority="56" operator="lessThan" dxfId="4">
      <formula>0</formula>
    </cfRule>
  </conditionalFormatting>
  <conditionalFormatting sqref="AA51">
    <cfRule type="cellIs" priority="49" operator="greaterThan" dxfId="3" stopIfTrue="1">
      <formula>0.03</formula>
    </cfRule>
    <cfRule type="cellIs" priority="50" operator="lessThan" dxfId="2" stopIfTrue="1">
      <formula>-0.03</formula>
    </cfRule>
  </conditionalFormatting>
  <conditionalFormatting sqref="AA51:AA52">
    <cfRule type="cellIs" priority="51" operator="greaterThan" dxfId="1" stopIfTrue="1">
      <formula>0</formula>
    </cfRule>
    <cfRule type="cellIs" priority="52" operator="lessThan" dxfId="4">
      <formula>0</formula>
    </cfRule>
  </conditionalFormatting>
  <conditionalFormatting sqref="AC47">
    <cfRule type="cellIs" priority="45" operator="greaterThan" dxfId="3" stopIfTrue="1">
      <formula>0.03</formula>
    </cfRule>
    <cfRule type="cellIs" priority="46" operator="lessThan" dxfId="2" stopIfTrue="1">
      <formula>-0.03</formula>
    </cfRule>
  </conditionalFormatting>
  <conditionalFormatting sqref="AC47:AC48">
    <cfRule type="cellIs" priority="47" operator="greaterThan" dxfId="1" stopIfTrue="1">
      <formula>0</formula>
    </cfRule>
    <cfRule type="cellIs" priority="48" operator="lessThan" dxfId="4">
      <formula>0</formula>
    </cfRule>
  </conditionalFormatting>
  <conditionalFormatting sqref="AC49">
    <cfRule type="cellIs" priority="41" operator="greaterThan" dxfId="3" stopIfTrue="1">
      <formula>0.03</formula>
    </cfRule>
    <cfRule type="cellIs" priority="42" operator="lessThan" dxfId="2" stopIfTrue="1">
      <formula>-0.03</formula>
    </cfRule>
  </conditionalFormatting>
  <conditionalFormatting sqref="AC49:AC50">
    <cfRule type="cellIs" priority="43" operator="greaterThan" dxfId="1" stopIfTrue="1">
      <formula>0</formula>
    </cfRule>
    <cfRule type="cellIs" priority="44" operator="lessThan" dxfId="4">
      <formula>0</formula>
    </cfRule>
  </conditionalFormatting>
  <conditionalFormatting sqref="AC51">
    <cfRule type="cellIs" priority="37" operator="greaterThan" dxfId="3" stopIfTrue="1">
      <formula>0.03</formula>
    </cfRule>
    <cfRule type="cellIs" priority="38" operator="lessThan" dxfId="2" stopIfTrue="1">
      <formula>-0.03</formula>
    </cfRule>
  </conditionalFormatting>
  <conditionalFormatting sqref="AC51:AC52">
    <cfRule type="cellIs" priority="39" operator="greaterThan" dxfId="1" stopIfTrue="1">
      <formula>0</formula>
    </cfRule>
    <cfRule type="cellIs" priority="40" operator="lessThan" dxfId="4">
      <formula>0</formula>
    </cfRule>
  </conditionalFormatting>
  <conditionalFormatting sqref="AI47">
    <cfRule type="cellIs" priority="29" operator="greaterThan" dxfId="3" stopIfTrue="1">
      <formula>0.03</formula>
    </cfRule>
    <cfRule type="cellIs" priority="30" operator="lessThan" dxfId="2" stopIfTrue="1">
      <formula>-0.03</formula>
    </cfRule>
  </conditionalFormatting>
  <conditionalFormatting sqref="AJ47">
    <cfRule type="cellIs" priority="31" operator="greaterThan" dxfId="3" stopIfTrue="1">
      <formula>0.03</formula>
    </cfRule>
    <cfRule type="cellIs" priority="32" operator="lessThan" dxfId="2" stopIfTrue="1">
      <formula>-0.03</formula>
    </cfRule>
  </conditionalFormatting>
  <conditionalFormatting sqref="AJ47:AJ52">
    <cfRule type="cellIs" priority="33" operator="greaterThan" dxfId="1" stopIfTrue="1">
      <formula>0</formula>
    </cfRule>
    <cfRule type="cellIs" priority="34" operator="lessThan" dxfId="0" stopIfTrue="1">
      <formula>0</formula>
    </cfRule>
  </conditionalFormatting>
  <conditionalFormatting sqref="AI47:AI48">
    <cfRule type="cellIs" priority="35" operator="greaterThan" dxfId="1" stopIfTrue="1">
      <formula>0</formula>
    </cfRule>
    <cfRule type="cellIs" priority="36" operator="lessThan" dxfId="4">
      <formula>0</formula>
    </cfRule>
  </conditionalFormatting>
  <conditionalFormatting sqref="AI49">
    <cfRule type="cellIs" priority="25" operator="greaterThan" dxfId="3" stopIfTrue="1">
      <formula>0.03</formula>
    </cfRule>
    <cfRule type="cellIs" priority="26" operator="lessThan" dxfId="2" stopIfTrue="1">
      <formula>-0.03</formula>
    </cfRule>
  </conditionalFormatting>
  <conditionalFormatting sqref="AI49:AI50">
    <cfRule type="cellIs" priority="27" operator="greaterThan" dxfId="1" stopIfTrue="1">
      <formula>0</formula>
    </cfRule>
    <cfRule type="cellIs" priority="28" operator="lessThan" dxfId="4">
      <formula>0</formula>
    </cfRule>
  </conditionalFormatting>
  <conditionalFormatting sqref="AI51">
    <cfRule type="cellIs" priority="21" operator="greaterThan" dxfId="3" stopIfTrue="1">
      <formula>0.03</formula>
    </cfRule>
    <cfRule type="cellIs" priority="22" operator="lessThan" dxfId="2" stopIfTrue="1">
      <formula>-0.03</formula>
    </cfRule>
  </conditionalFormatting>
  <conditionalFormatting sqref="AI51:AI52">
    <cfRule type="cellIs" priority="23" operator="greaterThan" dxfId="1" stopIfTrue="1">
      <formula>0</formula>
    </cfRule>
    <cfRule type="cellIs" priority="24" operator="lessThan" dxfId="4">
      <formula>0</formula>
    </cfRule>
  </conditionalFormatting>
  <conditionalFormatting sqref="AK47">
    <cfRule type="cellIs" priority="13" operator="greaterThan" dxfId="3" stopIfTrue="1">
      <formula>0.03</formula>
    </cfRule>
    <cfRule type="cellIs" priority="14" operator="lessThan" dxfId="2" stopIfTrue="1">
      <formula>-0.03</formula>
    </cfRule>
  </conditionalFormatting>
  <conditionalFormatting sqref="AL47">
    <cfRule type="cellIs" priority="15" operator="greaterThan" dxfId="3" stopIfTrue="1">
      <formula>0.03</formula>
    </cfRule>
    <cfRule type="cellIs" priority="16" operator="lessThan" dxfId="2" stopIfTrue="1">
      <formula>-0.03</formula>
    </cfRule>
  </conditionalFormatting>
  <conditionalFormatting sqref="AL47:AL52">
    <cfRule type="cellIs" priority="17" operator="greaterThan" dxfId="1" stopIfTrue="1">
      <formula>0</formula>
    </cfRule>
    <cfRule type="cellIs" priority="18" operator="lessThan" dxfId="0" stopIfTrue="1">
      <formula>0</formula>
    </cfRule>
  </conditionalFormatting>
  <conditionalFormatting sqref="AK47:AK48">
    <cfRule type="cellIs" priority="19" operator="greaterThan" dxfId="1" stopIfTrue="1">
      <formula>0</formula>
    </cfRule>
    <cfRule type="cellIs" priority="20" operator="lessThan" dxfId="4">
      <formula>0</formula>
    </cfRule>
  </conditionalFormatting>
  <conditionalFormatting sqref="AK49">
    <cfRule type="cellIs" priority="9" operator="greaterThan" dxfId="3" stopIfTrue="1">
      <formula>0.03</formula>
    </cfRule>
    <cfRule type="cellIs" priority="10" operator="lessThan" dxfId="2" stopIfTrue="1">
      <formula>-0.03</formula>
    </cfRule>
  </conditionalFormatting>
  <conditionalFormatting sqref="AK49:AK50">
    <cfRule type="cellIs" priority="11" operator="greaterThan" dxfId="1" stopIfTrue="1">
      <formula>0</formula>
    </cfRule>
    <cfRule type="cellIs" priority="12" operator="lessThan" dxfId="4">
      <formula>0</formula>
    </cfRule>
  </conditionalFormatting>
  <conditionalFormatting sqref="AK51">
    <cfRule type="cellIs" priority="5" operator="greaterThan" dxfId="3" stopIfTrue="1">
      <formula>0.03</formula>
    </cfRule>
    <cfRule type="cellIs" priority="6" operator="lessThan" dxfId="2" stopIfTrue="1">
      <formula>-0.03</formula>
    </cfRule>
  </conditionalFormatting>
  <conditionalFormatting sqref="AK51:AK52">
    <cfRule type="cellIs" priority="7" operator="greaterThan" dxfId="1" stopIfTrue="1">
      <formula>0</formula>
    </cfRule>
    <cfRule type="cellIs" priority="8" operator="lessThan" dxfId="4">
      <formula>0</formula>
    </cfRule>
  </conditionalFormatting>
  <conditionalFormatting sqref="AD47:AH47">
    <cfRule type="cellIs" priority="1" operator="greaterThan" dxfId="3" stopIfTrue="1">
      <formula>0.03</formula>
    </cfRule>
    <cfRule type="cellIs" priority="2" operator="lessThan" dxfId="2" stopIfTrue="1">
      <formula>-0.03</formula>
    </cfRule>
  </conditionalFormatting>
  <conditionalFormatting sqref="AD47:AH52">
    <cfRule type="cellIs" priority="3" operator="greaterThan" dxfId="1" stopIfTrue="1">
      <formula>0</formula>
    </cfRule>
    <cfRule type="cellIs" priority="4" operator="lessThan" dxfId="0" stopIfTrue="1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AG289"/>
  <sheetViews>
    <sheetView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1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  <col width="20.83203125" bestFit="1" customWidth="1" style="241" min="29" max="29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19316.047645</v>
      </c>
      <c r="M2" t="n">
        <v>42.254586</v>
      </c>
      <c r="N2" t="n">
        <v>48.434656</v>
      </c>
      <c r="O2" t="n">
        <v>48.296669</v>
      </c>
      <c r="P2" t="n">
        <v>28.980315</v>
      </c>
      <c r="Q2" t="n">
        <v>20.206165</v>
      </c>
      <c r="R2" t="n">
        <v>99.975223</v>
      </c>
      <c r="S2" t="n">
        <v>99.776417</v>
      </c>
      <c r="T2" t="n">
        <v>42.782391</v>
      </c>
      <c r="U2" t="n">
        <v>43.083766</v>
      </c>
      <c r="V2" t="n">
        <v>42.201663</v>
      </c>
      <c r="W2" t="n">
        <v>48.405569</v>
      </c>
      <c r="X2" t="n">
        <v>48.26778</v>
      </c>
      <c r="Y2" t="n">
        <v>1.182131</v>
      </c>
      <c r="Z2" t="n">
        <v>29852.35</v>
      </c>
      <c r="AA2" t="n">
        <v>16.99</v>
      </c>
      <c r="AB2" t="n">
        <v>192188395711626</v>
      </c>
      <c r="AC2" t="n">
        <v>66518529052</v>
      </c>
      <c r="AD2" t="n">
        <v>78586950685463</v>
      </c>
      <c r="AE2" t="inlineStr">
        <is>
          <t>46352341898</t>
        </is>
      </c>
      <c r="AF2" t="inlineStr">
        <is>
          <t>0dbb3e0bdbc224c51addc1e551aa8e16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7321.842465</v>
      </c>
      <c r="M3" t="n">
        <v>41.352146</v>
      </c>
      <c r="N3" t="n">
        <v>47.076519</v>
      </c>
      <c r="O3" t="n">
        <v>46.747677</v>
      </c>
      <c r="P3" t="n">
        <v>27.128861</v>
      </c>
      <c r="Q3" t="n">
        <v>19.396974</v>
      </c>
      <c r="R3" t="n">
        <v>98.913037</v>
      </c>
      <c r="S3" t="n">
        <v>96.923663</v>
      </c>
      <c r="T3" t="n">
        <v>41.112436</v>
      </c>
      <c r="U3" t="n">
        <v>42.122489</v>
      </c>
      <c r="V3" t="n">
        <v>41.335083</v>
      </c>
      <c r="W3" t="n">
        <v>47.059491</v>
      </c>
      <c r="X3" t="n">
        <v>46.727311</v>
      </c>
      <c r="Y3" t="n">
        <v>1.21602</v>
      </c>
      <c r="Z3" t="n">
        <v>29474.12</v>
      </c>
      <c r="AA3" t="n">
        <v>14.58</v>
      </c>
      <c r="AB3" t="n">
        <v>182753975477489</v>
      </c>
      <c r="AC3" t="n">
        <v>54754034805</v>
      </c>
      <c r="AD3" t="n">
        <v>77588919556215</v>
      </c>
      <c r="AE3" t="inlineStr">
        <is>
          <t>40057914355</t>
        </is>
      </c>
      <c r="AF3" t="inlineStr">
        <is>
          <t>db04684fbc1c3261e48b8e2e195aaa68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3151.762699</v>
      </c>
      <c r="M4" t="n">
        <v>39.911854</v>
      </c>
      <c r="N4" t="n">
        <v>45.30838</v>
      </c>
      <c r="O4" t="n">
        <v>44.716025</v>
      </c>
      <c r="P4" t="n">
        <v>24.550184</v>
      </c>
      <c r="Q4" t="n">
        <v>18.174601</v>
      </c>
      <c r="R4" t="n">
        <v>93.043032</v>
      </c>
      <c r="S4" t="n">
        <v>90.838219</v>
      </c>
      <c r="T4" t="n">
        <v>38.544812</v>
      </c>
      <c r="U4" t="n">
        <v>40.819645</v>
      </c>
      <c r="V4" t="n">
        <v>39.891974</v>
      </c>
      <c r="W4" t="n">
        <v>45.288584</v>
      </c>
      <c r="X4" t="n">
        <v>44.692625</v>
      </c>
      <c r="Y4" t="n">
        <v>1.307683</v>
      </c>
      <c r="Z4" t="n">
        <v>17351.19</v>
      </c>
      <c r="AA4" t="n">
        <v>10.28</v>
      </c>
      <c r="AB4" t="n">
        <v>112814968290345</v>
      </c>
      <c r="AC4" t="n">
        <v>43298703858</v>
      </c>
      <c r="AD4" t="n">
        <v>46076492219894</v>
      </c>
      <c r="AE4" t="inlineStr">
        <is>
          <t>28236125235</t>
        </is>
      </c>
      <c r="AF4" t="inlineStr">
        <is>
          <t>96907b0bcb8b134b844cd581524fc715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1558.563283</v>
      </c>
      <c r="M5" t="n">
        <v>37.686334</v>
      </c>
      <c r="N5" t="n">
        <v>43.157136</v>
      </c>
      <c r="O5" t="n">
        <v>42.356276</v>
      </c>
      <c r="P5" t="n">
        <v>21.178778</v>
      </c>
      <c r="Q5" t="n">
        <v>16.291595</v>
      </c>
      <c r="R5" t="n">
        <v>82.259224</v>
      </c>
      <c r="S5" t="n">
        <v>79.86602499999999</v>
      </c>
      <c r="T5" t="n">
        <v>35.114162</v>
      </c>
      <c r="U5" t="n">
        <v>38.99401</v>
      </c>
      <c r="V5" t="n">
        <v>37.656528</v>
      </c>
      <c r="W5" t="n">
        <v>43.13981</v>
      </c>
      <c r="X5" t="n">
        <v>42.337586</v>
      </c>
      <c r="Y5" t="n">
        <v>1.431393</v>
      </c>
      <c r="Z5" t="n">
        <v>11219.11</v>
      </c>
      <c r="AA5" t="n">
        <v>9.449999999999999</v>
      </c>
      <c r="AB5" t="n">
        <v>73099044731833</v>
      </c>
      <c r="AC5" t="n">
        <v>35468303324</v>
      </c>
      <c r="AD5" t="n">
        <v>29955522763798</v>
      </c>
      <c r="AE5" t="inlineStr">
        <is>
          <t>26060777324</t>
        </is>
      </c>
      <c r="AF5" t="inlineStr">
        <is>
          <t>7fb8e47ec4b04069b51bcc627fda6e47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752.72174</v>
      </c>
      <c r="M6" t="n">
        <v>34.72165</v>
      </c>
      <c r="N6" t="n">
        <v>40.591742</v>
      </c>
      <c r="O6" t="n">
        <v>39.81457</v>
      </c>
      <c r="P6" t="n">
        <v>17.357611</v>
      </c>
      <c r="Q6" t="n">
        <v>13.863599</v>
      </c>
      <c r="R6" t="n">
        <v>64.58822499999999</v>
      </c>
      <c r="S6" t="n">
        <v>62.142929</v>
      </c>
      <c r="T6" t="n">
        <v>31.229738</v>
      </c>
      <c r="U6" t="n">
        <v>36.52882</v>
      </c>
      <c r="V6" t="n">
        <v>34.684806</v>
      </c>
      <c r="W6" t="n">
        <v>40.578642</v>
      </c>
      <c r="X6" t="n">
        <v>39.803138</v>
      </c>
      <c r="Y6" t="n">
        <v>1.597533</v>
      </c>
      <c r="Z6" t="n">
        <v>6597.19</v>
      </c>
      <c r="AA6" t="n">
        <v>7.95</v>
      </c>
      <c r="AB6" t="n">
        <v>44299497897992</v>
      </c>
      <c r="AC6" t="n">
        <v>29912767033</v>
      </c>
      <c r="AD6" t="n">
        <v>18864400863676</v>
      </c>
      <c r="AE6" t="inlineStr">
        <is>
          <t>23657766720</t>
        </is>
      </c>
      <c r="AF6" t="inlineStr">
        <is>
          <t>9525a669bcd5a8019b6950c55361f61a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356.837009</v>
      </c>
      <c r="M7" t="n">
        <v>31.436512</v>
      </c>
      <c r="N7" t="n">
        <v>38.143438</v>
      </c>
      <c r="O7" t="n">
        <v>37.560319</v>
      </c>
      <c r="P7" t="n">
        <v>13.625291</v>
      </c>
      <c r="Q7" t="n">
        <v>11.303608</v>
      </c>
      <c r="R7" t="n">
        <v>42.393721</v>
      </c>
      <c r="S7" t="n">
        <v>40.22313</v>
      </c>
      <c r="T7" t="n">
        <v>27.446519</v>
      </c>
      <c r="U7" t="n">
        <v>33.856622</v>
      </c>
      <c r="V7" t="n">
        <v>31.397086</v>
      </c>
      <c r="W7" t="n">
        <v>38.131638</v>
      </c>
      <c r="X7" t="n">
        <v>37.550818</v>
      </c>
      <c r="Y7" t="n">
        <v>1.267961</v>
      </c>
      <c r="Z7" t="n">
        <v>3958.34</v>
      </c>
      <c r="AA7" t="n">
        <v>7.42</v>
      </c>
      <c r="AB7" t="n">
        <v>25023522239223</v>
      </c>
      <c r="AC7" t="n">
        <v>25957766562</v>
      </c>
      <c r="AD7" t="n">
        <v>10480011802120</v>
      </c>
      <c r="AE7" t="inlineStr">
        <is>
          <t>20448214838</t>
        </is>
      </c>
      <c r="AF7" t="inlineStr">
        <is>
          <t>bc372a371ddbcff476579da6c316699c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9975.910857999999</v>
      </c>
      <c r="M8" t="n">
        <v>41.439428</v>
      </c>
      <c r="N8" t="n">
        <v>46.848898</v>
      </c>
      <c r="O8" t="n">
        <v>46.812225</v>
      </c>
      <c r="P8" t="n">
        <v>28.014402</v>
      </c>
      <c r="Q8" t="n">
        <v>19.740312</v>
      </c>
      <c r="R8" t="n">
        <v>99.885792</v>
      </c>
      <c r="S8" t="n">
        <v>97.830259</v>
      </c>
      <c r="T8" t="n">
        <v>41.835456</v>
      </c>
      <c r="U8" t="n">
        <v>42.269459</v>
      </c>
      <c r="V8" t="n">
        <v>41.423315</v>
      </c>
      <c r="W8" t="n">
        <v>46.835671</v>
      </c>
      <c r="X8" t="n">
        <v>46.794858</v>
      </c>
      <c r="Y8" t="n">
        <v>1.275327</v>
      </c>
      <c r="Z8" t="n">
        <v>18722.93</v>
      </c>
      <c r="AA8" t="n">
        <v>7.47</v>
      </c>
      <c r="AB8" t="n">
        <v>117942125729763</v>
      </c>
      <c r="AC8" t="n">
        <v>32690938248</v>
      </c>
      <c r="AD8" t="n">
        <v>49228700028750</v>
      </c>
      <c r="AE8" t="inlineStr">
        <is>
          <t>20087007519</t>
        </is>
      </c>
      <c r="AF8" t="inlineStr">
        <is>
          <t>cd410a94837c62ac226e1c960335fba8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4275.84723</v>
      </c>
      <c r="M9" t="n">
        <v>40.445788</v>
      </c>
      <c r="N9" t="n">
        <v>45.664115</v>
      </c>
      <c r="O9" t="n">
        <v>45.345529</v>
      </c>
      <c r="P9" t="n">
        <v>25.897235</v>
      </c>
      <c r="Q9" t="n">
        <v>18.797827</v>
      </c>
      <c r="R9" t="n">
        <v>96.377109</v>
      </c>
      <c r="S9" t="n">
        <v>93.758025</v>
      </c>
      <c r="T9" t="n">
        <v>39.813467</v>
      </c>
      <c r="U9" t="n">
        <v>41.316445</v>
      </c>
      <c r="V9" t="n">
        <v>40.432018</v>
      </c>
      <c r="W9" t="n">
        <v>45.651061</v>
      </c>
      <c r="X9" t="n">
        <v>45.32708</v>
      </c>
      <c r="Y9" t="n">
        <v>1.289572</v>
      </c>
      <c r="Z9" t="n">
        <v>18279.65</v>
      </c>
      <c r="AA9" t="n">
        <v>6.4</v>
      </c>
      <c r="AB9" t="n">
        <v>116532553902792</v>
      </c>
      <c r="AC9" t="n">
        <v>27530376072</v>
      </c>
      <c r="AD9" t="n">
        <v>48033736740588</v>
      </c>
      <c r="AE9" t="inlineStr">
        <is>
          <t>17374438790</t>
        </is>
      </c>
      <c r="AF9" t="inlineStr">
        <is>
          <t>b583f9c4229f1b2699ef0bd50412d43a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2057.356797</v>
      </c>
      <c r="M10" t="n">
        <v>38.697042</v>
      </c>
      <c r="N10" t="n">
        <v>43.96715</v>
      </c>
      <c r="O10" t="n">
        <v>43.31186</v>
      </c>
      <c r="P10" t="n">
        <v>22.8453</v>
      </c>
      <c r="Q10" t="n">
        <v>17.230919</v>
      </c>
      <c r="R10" t="n">
        <v>87.92813200000001</v>
      </c>
      <c r="S10" t="n">
        <v>85.343147</v>
      </c>
      <c r="T10" t="n">
        <v>36.757959</v>
      </c>
      <c r="U10" t="n">
        <v>39.841661</v>
      </c>
      <c r="V10" t="n">
        <v>38.673877</v>
      </c>
      <c r="W10" t="n">
        <v>43.952638</v>
      </c>
      <c r="X10" t="n">
        <v>43.294086</v>
      </c>
      <c r="Y10" t="n">
        <v>1.398243</v>
      </c>
      <c r="Z10" t="n">
        <v>12010.57</v>
      </c>
      <c r="AA10" t="n">
        <v>5.52</v>
      </c>
      <c r="AB10" t="n">
        <v>77604083538327</v>
      </c>
      <c r="AC10" t="n">
        <v>21950208858</v>
      </c>
      <c r="AD10" t="n">
        <v>31741880047402</v>
      </c>
      <c r="AE10" t="inlineStr">
        <is>
          <t>15103444461</t>
        </is>
      </c>
      <c r="AF10" t="inlineStr">
        <is>
          <t>9201f60dccb5c72984b55e5f27c4817a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1016.819488</v>
      </c>
      <c r="M11" t="n">
        <v>36.184103</v>
      </c>
      <c r="N11" t="n">
        <v>41.876714</v>
      </c>
      <c r="O11" t="n">
        <v>41.016756</v>
      </c>
      <c r="P11" t="n">
        <v>19.236779</v>
      </c>
      <c r="Q11" t="n">
        <v>15.076618</v>
      </c>
      <c r="R11" t="n">
        <v>73.88535</v>
      </c>
      <c r="S11" t="n">
        <v>71.29701799999999</v>
      </c>
      <c r="T11" t="n">
        <v>33.121369</v>
      </c>
      <c r="U11" t="n">
        <v>37.817057</v>
      </c>
      <c r="V11" t="n">
        <v>36.15236</v>
      </c>
      <c r="W11" t="n">
        <v>41.863934</v>
      </c>
      <c r="X11" t="n">
        <v>41.003105</v>
      </c>
      <c r="Y11" t="n">
        <v>1.477051</v>
      </c>
      <c r="Z11" t="n">
        <v>8701.07</v>
      </c>
      <c r="AA11" t="n">
        <v>4.26</v>
      </c>
      <c r="AB11" t="n">
        <v>56283396620187</v>
      </c>
      <c r="AC11" t="n">
        <v>17026711776</v>
      </c>
      <c r="AD11" t="n">
        <v>23104824253270</v>
      </c>
      <c r="AE11" t="inlineStr">
        <is>
          <t>11634604484</t>
        </is>
      </c>
      <c r="AF11" t="inlineStr">
        <is>
          <t>9c28ca5761f67b2195d364253d6befe7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484.179205</v>
      </c>
      <c r="M12" t="n">
        <v>33.049041</v>
      </c>
      <c r="N12" t="n">
        <v>39.456666</v>
      </c>
      <c r="O12" t="n">
        <v>38.700412</v>
      </c>
      <c r="P12" t="n">
        <v>15.41578</v>
      </c>
      <c r="Q12" t="n">
        <v>12.538125</v>
      </c>
      <c r="R12" t="n">
        <v>53.505584</v>
      </c>
      <c r="S12" t="n">
        <v>51.102886</v>
      </c>
      <c r="T12" t="n">
        <v>29.248801</v>
      </c>
      <c r="U12" t="n">
        <v>35.327779</v>
      </c>
      <c r="V12" t="n">
        <v>33.010056</v>
      </c>
      <c r="W12" t="n">
        <v>39.446917</v>
      </c>
      <c r="X12" t="n">
        <v>38.692253</v>
      </c>
      <c r="Y12" t="n">
        <v>1.389007</v>
      </c>
      <c r="Z12" t="n">
        <v>3804.97</v>
      </c>
      <c r="AA12" t="n">
        <v>3.8</v>
      </c>
      <c r="AB12" t="n">
        <v>26652933173786</v>
      </c>
      <c r="AC12" t="n">
        <v>13682808963</v>
      </c>
      <c r="AD12" t="n">
        <v>10944895745351</v>
      </c>
      <c r="AE12" t="inlineStr">
        <is>
          <t>11173668558</t>
        </is>
      </c>
      <c r="AF12" t="inlineStr">
        <is>
          <t>eebd94d195ea47a6fc0f3cce5de00ce6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221.933144</v>
      </c>
      <c r="M13" t="n">
        <v>29.775112</v>
      </c>
      <c r="N13" t="n">
        <v>37.064986</v>
      </c>
      <c r="O13" t="n">
        <v>36.681499</v>
      </c>
      <c r="P13" t="n">
        <v>11.877148</v>
      </c>
      <c r="Q13" t="n">
        <v>10.083652</v>
      </c>
      <c r="R13" t="n">
        <v>30.128277</v>
      </c>
      <c r="S13" t="n">
        <v>28.394614</v>
      </c>
      <c r="T13" t="n">
        <v>25.652778</v>
      </c>
      <c r="U13" t="n">
        <v>32.616924</v>
      </c>
      <c r="V13" t="n">
        <v>29.737496</v>
      </c>
      <c r="W13" t="n">
        <v>37.059339</v>
      </c>
      <c r="X13" t="n">
        <v>36.675798</v>
      </c>
      <c r="Y13" t="n">
        <v>1.275653</v>
      </c>
      <c r="Z13" t="n">
        <v>2279.12</v>
      </c>
      <c r="AA13" t="n">
        <v>2.91</v>
      </c>
      <c r="AB13" t="n">
        <v>14631577358386</v>
      </c>
      <c r="AC13" t="n">
        <v>11581848674</v>
      </c>
      <c r="AD13" t="n">
        <v>6024371004289</v>
      </c>
      <c r="AE13" t="inlineStr">
        <is>
          <t>7938776976</t>
        </is>
      </c>
      <c r="AF13" t="inlineStr">
        <is>
          <t>3282d3f772012aebbb622c4d8bc58e94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6715.234304</v>
      </c>
      <c r="M14" t="n">
        <v>40.50761</v>
      </c>
      <c r="N14" t="n">
        <v>45.735132</v>
      </c>
      <c r="O14" t="n">
        <v>45.48132</v>
      </c>
      <c r="P14" t="n">
        <v>27.186478</v>
      </c>
      <c r="Q14" t="n">
        <v>19.238536</v>
      </c>
      <c r="R14" t="n">
        <v>97.59720799999999</v>
      </c>
      <c r="S14" t="n">
        <v>94.96623700000001</v>
      </c>
      <c r="T14" t="n">
        <v>40.781143</v>
      </c>
      <c r="U14" t="n">
        <v>41.574038</v>
      </c>
      <c r="V14" t="n">
        <v>40.497678</v>
      </c>
      <c r="W14" t="n">
        <v>45.726799</v>
      </c>
      <c r="X14" t="n">
        <v>45.467635</v>
      </c>
      <c r="Y14" t="n">
        <v>1.320813</v>
      </c>
      <c r="Z14" t="n">
        <v>7976.71</v>
      </c>
      <c r="AA14" t="n">
        <v>4.93</v>
      </c>
      <c r="AB14" t="n">
        <v>60804556150199</v>
      </c>
      <c r="AC14" t="n">
        <v>20767023097</v>
      </c>
      <c r="AD14" t="n">
        <v>27413671365207</v>
      </c>
      <c r="AE14" t="inlineStr">
        <is>
          <t>17363506346</t>
        </is>
      </c>
      <c r="AF14" t="inlineStr">
        <is>
          <t>1aaf972ab986f3f4b2a4efda5e4161a0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3128.848997</v>
      </c>
      <c r="M15" t="n">
        <v>39.447964</v>
      </c>
      <c r="N15" t="n">
        <v>44.651717</v>
      </c>
      <c r="O15" t="n">
        <v>44.149499</v>
      </c>
      <c r="P15" t="n">
        <v>24.805915</v>
      </c>
      <c r="Q15" t="n">
        <v>18.166213</v>
      </c>
      <c r="R15" t="n">
        <v>92.730375</v>
      </c>
      <c r="S15" t="n">
        <v>89.863974</v>
      </c>
      <c r="T15" t="n">
        <v>38.523581</v>
      </c>
      <c r="U15" t="n">
        <v>40.614725</v>
      </c>
      <c r="V15" t="n">
        <v>39.433886</v>
      </c>
      <c r="W15" t="n">
        <v>44.641023</v>
      </c>
      <c r="X15" t="n">
        <v>44.133562</v>
      </c>
      <c r="Y15" t="n">
        <v>1.397333</v>
      </c>
      <c r="Z15" t="n">
        <v>10152.58</v>
      </c>
      <c r="AA15" t="n">
        <v>4.16</v>
      </c>
      <c r="AB15" t="n">
        <v>63706028105649</v>
      </c>
      <c r="AC15" t="n">
        <v>17044578193</v>
      </c>
      <c r="AD15" t="n">
        <v>26674396415458</v>
      </c>
      <c r="AE15" t="inlineStr">
        <is>
          <t>11228514693</t>
        </is>
      </c>
      <c r="AF15" t="inlineStr">
        <is>
          <t>daa9a35d4c3c1b625161543c1c3f4fea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1526.405902</v>
      </c>
      <c r="M16" t="n">
        <v>37.570687</v>
      </c>
      <c r="N16" t="n">
        <v>43.062098</v>
      </c>
      <c r="O16" t="n">
        <v>42.26273</v>
      </c>
      <c r="P16" t="n">
        <v>21.478037</v>
      </c>
      <c r="Q16" t="n">
        <v>16.390489</v>
      </c>
      <c r="R16" t="n">
        <v>82.32916400000001</v>
      </c>
      <c r="S16" t="n">
        <v>79.565687</v>
      </c>
      <c r="T16" t="n">
        <v>35.267096</v>
      </c>
      <c r="U16" t="n">
        <v>39.054557</v>
      </c>
      <c r="V16" t="n">
        <v>37.546243</v>
      </c>
      <c r="W16" t="n">
        <v>43.05001</v>
      </c>
      <c r="X16" t="n">
        <v>42.244517</v>
      </c>
      <c r="Y16" t="n">
        <v>1.479366</v>
      </c>
      <c r="Z16" t="n">
        <v>7380.94</v>
      </c>
      <c r="AA16" t="n">
        <v>3.75</v>
      </c>
      <c r="AB16" t="n">
        <v>45997738022532</v>
      </c>
      <c r="AC16" t="n">
        <v>13522705710</v>
      </c>
      <c r="AD16" t="n">
        <v>19470149824075</v>
      </c>
      <c r="AE16" t="inlineStr">
        <is>
          <t>10288933257</t>
        </is>
      </c>
      <c r="AF16" t="inlineStr">
        <is>
          <t>78d117ab8edb21d7163bc0bf8bb3183d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749.97003</v>
      </c>
      <c r="M17" t="n">
        <v>34.983705</v>
      </c>
      <c r="N17" t="n">
        <v>40.947318</v>
      </c>
      <c r="O17" t="n">
        <v>40.101398</v>
      </c>
      <c r="P17" t="n">
        <v>17.808669</v>
      </c>
      <c r="Q17" t="n">
        <v>14.139166</v>
      </c>
      <c r="R17" t="n">
        <v>65.985091</v>
      </c>
      <c r="S17" t="n">
        <v>63.424665</v>
      </c>
      <c r="T17" t="n">
        <v>31.634159</v>
      </c>
      <c r="U17" t="n">
        <v>36.92106</v>
      </c>
      <c r="V17" t="n">
        <v>34.951375</v>
      </c>
      <c r="W17" t="n">
        <v>40.935442</v>
      </c>
      <c r="X17" t="n">
        <v>40.09013</v>
      </c>
      <c r="Y17" t="n">
        <v>1.498184</v>
      </c>
      <c r="Z17" t="n">
        <v>5645.15</v>
      </c>
      <c r="AA17" t="n">
        <v>2.78</v>
      </c>
      <c r="AB17" t="n">
        <v>36492785872137</v>
      </c>
      <c r="AC17" t="n">
        <v>10098565759</v>
      </c>
      <c r="AD17" t="n">
        <v>14931748044474</v>
      </c>
      <c r="AE17" t="inlineStr">
        <is>
          <t>7548556726</t>
        </is>
      </c>
      <c r="AF17" t="inlineStr">
        <is>
          <t>8b3b223fc2179eda62fee7958652cd74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350.522093</v>
      </c>
      <c r="M18" t="n">
        <v>31.855662</v>
      </c>
      <c r="N18" t="n">
        <v>38.604961</v>
      </c>
      <c r="O18" t="n">
        <v>37.969085</v>
      </c>
      <c r="P18" t="n">
        <v>14.073817</v>
      </c>
      <c r="Q18" t="n">
        <v>11.622982</v>
      </c>
      <c r="R18" t="n">
        <v>44.958991</v>
      </c>
      <c r="S18" t="n">
        <v>42.681269</v>
      </c>
      <c r="T18" t="n">
        <v>27.903737</v>
      </c>
      <c r="U18" t="n">
        <v>34.473591</v>
      </c>
      <c r="V18" t="n">
        <v>31.819634</v>
      </c>
      <c r="W18" t="n">
        <v>38.596972</v>
      </c>
      <c r="X18" t="n">
        <v>37.961893</v>
      </c>
      <c r="Y18" t="n">
        <v>1.476106</v>
      </c>
      <c r="Z18" t="n">
        <v>4169.31</v>
      </c>
      <c r="AA18" t="n">
        <v>2.41</v>
      </c>
      <c r="AB18" t="n">
        <v>26647731435089</v>
      </c>
      <c r="AC18" t="n">
        <v>8153762991</v>
      </c>
      <c r="AD18" t="n">
        <v>11065771128954</v>
      </c>
      <c r="AE18" t="inlineStr">
        <is>
          <t>6665451008</t>
        </is>
      </c>
      <c r="AF18" t="inlineStr">
        <is>
          <t>e6d7f89e86357f2d76939a3c0c1e20cf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157.411819</v>
      </c>
      <c r="M19" t="n">
        <v>28.605204</v>
      </c>
      <c r="N19" t="n">
        <v>36.35129</v>
      </c>
      <c r="O19" t="n">
        <v>36.08589</v>
      </c>
      <c r="P19" t="n">
        <v>10.672495</v>
      </c>
      <c r="Q19" t="n">
        <v>9.243337</v>
      </c>
      <c r="R19" t="n">
        <v>21.623569</v>
      </c>
      <c r="S19" t="n">
        <v>20.151147</v>
      </c>
      <c r="T19" t="n">
        <v>24.446498</v>
      </c>
      <c r="U19" t="n">
        <v>31.744423</v>
      </c>
      <c r="V19" t="n">
        <v>28.567275</v>
      </c>
      <c r="W19" t="n">
        <v>36.34421</v>
      </c>
      <c r="X19" t="n">
        <v>36.081568</v>
      </c>
      <c r="Y19" t="n">
        <v>1.218422</v>
      </c>
      <c r="Z19" t="n">
        <v>1316.27</v>
      </c>
      <c r="AA19" t="n">
        <v>1.77</v>
      </c>
      <c r="AB19" t="n">
        <v>10103406668838</v>
      </c>
      <c r="AC19" s="161" t="n">
        <v>6319788824</v>
      </c>
      <c r="AD19" t="n">
        <v>4552313134907</v>
      </c>
      <c r="AE19" t="inlineStr">
        <is>
          <t>6341167117</t>
        </is>
      </c>
      <c r="AF19" t="inlineStr">
        <is>
          <t>1c3c9889346edfc6afbc6c14a9adef9e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4008.68055</v>
      </c>
      <c r="M20" t="n">
        <v>38.25357</v>
      </c>
      <c r="N20" t="n">
        <v>44.343202</v>
      </c>
      <c r="O20" t="n">
        <v>43.64988</v>
      </c>
      <c r="P20" t="n">
        <v>25.609234</v>
      </c>
      <c r="Q20" t="n">
        <v>17.940534</v>
      </c>
      <c r="R20" t="n">
        <v>89.69087500000001</v>
      </c>
      <c r="S20" t="n">
        <v>86.99866900000001</v>
      </c>
      <c r="T20" t="n">
        <v>37.299077</v>
      </c>
      <c r="U20" t="n">
        <v>40.298893</v>
      </c>
      <c r="V20" t="n">
        <v>38.247361</v>
      </c>
      <c r="W20" t="n">
        <v>44.337102</v>
      </c>
      <c r="X20" t="n">
        <v>43.639005</v>
      </c>
      <c r="Y20" t="n">
        <v>1.399591</v>
      </c>
      <c r="Z20" t="n">
        <v>3863.05</v>
      </c>
      <c r="AA20" t="n">
        <v>2.49</v>
      </c>
      <c r="AB20" t="n">
        <v>24672859915829</v>
      </c>
      <c r="AC20" t="n">
        <v>10662010376</v>
      </c>
      <c r="AD20" t="n">
        <v>10943947570911</v>
      </c>
      <c r="AE20" t="inlineStr">
        <is>
          <t>7124169440</t>
        </is>
      </c>
      <c r="AF20" t="inlineStr">
        <is>
          <t>f0cef6e01b075a26af92e58291b43c3f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2018.091447</v>
      </c>
      <c r="M21" t="n">
        <v>37.282663</v>
      </c>
      <c r="N21" t="n">
        <v>43.329607</v>
      </c>
      <c r="O21" t="n">
        <v>42.514475</v>
      </c>
      <c r="P21" t="n">
        <v>22.919107</v>
      </c>
      <c r="Q21" t="n">
        <v>16.766681</v>
      </c>
      <c r="R21" t="n">
        <v>82.914384</v>
      </c>
      <c r="S21" t="n">
        <v>80.08753400000001</v>
      </c>
      <c r="T21" t="n">
        <v>35.3928</v>
      </c>
      <c r="U21" t="n">
        <v>39.306254</v>
      </c>
      <c r="V21" t="n">
        <v>37.270596</v>
      </c>
      <c r="W21" t="n">
        <v>43.321643</v>
      </c>
      <c r="X21" t="n">
        <v>42.501154</v>
      </c>
      <c r="Y21" t="n">
        <v>1.486124</v>
      </c>
      <c r="Z21" t="n">
        <v>3426.1</v>
      </c>
      <c r="AA21" t="n">
        <v>2.2</v>
      </c>
      <c r="AB21" t="n">
        <v>20993795740566</v>
      </c>
      <c r="AC21" t="n">
        <v>8784947602</v>
      </c>
      <c r="AD21" t="n">
        <v>9030560787239</v>
      </c>
      <c r="AE21" t="inlineStr">
        <is>
          <t>5862841417</t>
        </is>
      </c>
      <c r="AF21" t="inlineStr">
        <is>
          <t>0e100d0259080d9334b46ba436aeb162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991.788519</v>
      </c>
      <c r="M22" t="n">
        <v>35.533915</v>
      </c>
      <c r="N22" t="n">
        <v>41.795842</v>
      </c>
      <c r="O22" t="n">
        <v>40.839783</v>
      </c>
      <c r="P22" t="n">
        <v>19.444069</v>
      </c>
      <c r="Q22" t="n">
        <v>14.936921</v>
      </c>
      <c r="R22" t="n">
        <v>70.037852</v>
      </c>
      <c r="S22" t="n">
        <v>67.267207</v>
      </c>
      <c r="T22" t="n">
        <v>32.587157</v>
      </c>
      <c r="U22" t="n">
        <v>37.726935</v>
      </c>
      <c r="V22" t="n">
        <v>35.511574</v>
      </c>
      <c r="W22" t="n">
        <v>41.783974</v>
      </c>
      <c r="X22" t="n">
        <v>40.82529</v>
      </c>
      <c r="Y22" t="n">
        <v>1.548104</v>
      </c>
      <c r="Z22" t="n">
        <v>2558.55</v>
      </c>
      <c r="AA22" t="n">
        <v>1.42</v>
      </c>
      <c r="AB22" t="n">
        <v>16537000599607</v>
      </c>
      <c r="AC22" t="n">
        <v>6636824027</v>
      </c>
      <c r="AD22" t="n">
        <v>6758864175026</v>
      </c>
      <c r="AE22" t="inlineStr">
        <is>
          <t>3848276219</t>
        </is>
      </c>
      <c r="AF22" t="inlineStr">
        <is>
          <t>971b0d2588b9944fd4ee1d3de4c7281d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483.227542</v>
      </c>
      <c r="M23" t="n">
        <v>33.077304</v>
      </c>
      <c r="N23" t="n">
        <v>39.763228</v>
      </c>
      <c r="O23" t="n">
        <v>39.001254</v>
      </c>
      <c r="P23" t="n">
        <v>15.794644</v>
      </c>
      <c r="Q23" t="n">
        <v>12.705037</v>
      </c>
      <c r="R23" t="n">
        <v>51.71344</v>
      </c>
      <c r="S23" t="n">
        <v>49.307559</v>
      </c>
      <c r="T23" t="n">
        <v>29.357391</v>
      </c>
      <c r="U23" t="n">
        <v>35.590257</v>
      </c>
      <c r="V23" t="n">
        <v>33.045641</v>
      </c>
      <c r="W23" t="n">
        <v>39.753545</v>
      </c>
      <c r="X23" t="n">
        <v>38.992691</v>
      </c>
      <c r="Y23" t="n">
        <v>1.473906</v>
      </c>
      <c r="Z23" t="n">
        <v>2083.66</v>
      </c>
      <c r="AA23" t="n">
        <v>1.16</v>
      </c>
      <c r="AB23" t="n">
        <v>13335316817157</v>
      </c>
      <c r="AC23" s="160" t="n">
        <v>4876405067</v>
      </c>
      <c r="AD23" s="160" t="n">
        <v>5527106865049</v>
      </c>
      <c r="AE23" t="inlineStr">
        <is>
          <t>3152523527</t>
        </is>
      </c>
      <c r="AF23" t="inlineStr">
        <is>
          <t>f435a4fa7be8c1843bd107359bdb75bc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222.29094</v>
      </c>
      <c r="M24" t="n">
        <v>30.088635</v>
      </c>
      <c r="N24" t="n">
        <v>37.426706</v>
      </c>
      <c r="O24" t="n">
        <v>36.970276</v>
      </c>
      <c r="P24" t="n">
        <v>12.212428</v>
      </c>
      <c r="Q24" t="n">
        <v>10.324887</v>
      </c>
      <c r="R24" t="n">
        <v>30.827968</v>
      </c>
      <c r="S24" t="n">
        <v>29.055154</v>
      </c>
      <c r="T24" t="n">
        <v>25.985459</v>
      </c>
      <c r="U24" t="n">
        <v>33.06835</v>
      </c>
      <c r="V24" t="n">
        <v>30.053102</v>
      </c>
      <c r="W24" t="n">
        <v>37.419694</v>
      </c>
      <c r="X24" t="n">
        <v>36.963182</v>
      </c>
      <c r="Y24" t="n">
        <v>1.472107</v>
      </c>
      <c r="Z24" t="n">
        <v>1546.18</v>
      </c>
      <c r="AA24" t="n">
        <v>0.8100000000000001</v>
      </c>
      <c r="AB24" t="n">
        <v>10228695208586</v>
      </c>
      <c r="AC24" t="n">
        <v>3617598986</v>
      </c>
      <c r="AD24" t="n">
        <v>4116007458723</v>
      </c>
      <c r="AE24" t="inlineStr">
        <is>
          <t>2244874872</t>
        </is>
      </c>
      <c r="AF24" t="inlineStr">
        <is>
          <t>dc35f4cebbf17caf4e718c0feb5cbef9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99.009913</v>
      </c>
      <c r="M25" t="n">
        <v>27.038384</v>
      </c>
      <c r="N25" t="n">
        <v>35.591654</v>
      </c>
      <c r="O25" t="n">
        <v>35.425584</v>
      </c>
      <c r="P25" t="n">
        <v>9.131048</v>
      </c>
      <c r="Q25" t="n">
        <v>8.169972</v>
      </c>
      <c r="R25" t="n">
        <v>10.881299</v>
      </c>
      <c r="S25" t="n">
        <v>9.819985000000001</v>
      </c>
      <c r="T25" t="n">
        <v>22.898742</v>
      </c>
      <c r="U25" t="n">
        <v>30.680943</v>
      </c>
      <c r="V25" t="n">
        <v>27.005693</v>
      </c>
      <c r="W25" t="n">
        <v>35.586053</v>
      </c>
      <c r="X25" t="n">
        <v>35.4183</v>
      </c>
      <c r="Y25" t="n">
        <v>1.24559</v>
      </c>
      <c r="Z25" t="n">
        <v>958.49</v>
      </c>
      <c r="AA25" t="n">
        <v>0.67</v>
      </c>
      <c r="AB25" t="n">
        <v>6240839282097</v>
      </c>
      <c r="AC25" t="n">
        <v>2571302148</v>
      </c>
      <c r="AD25" t="n">
        <v>2549726046900</v>
      </c>
      <c r="AE25" t="inlineStr">
        <is>
          <t>1867652645</t>
        </is>
      </c>
      <c r="AF25" t="inlineStr">
        <is>
          <t>7b084b91582d7df779d7de294a6343bf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2834.500884</v>
      </c>
      <c r="M26" t="n">
        <v>36.142914</v>
      </c>
      <c r="N26" t="n">
        <v>43.292982</v>
      </c>
      <c r="O26" t="n">
        <v>42.38329</v>
      </c>
      <c r="P26" t="n">
        <v>24.397704</v>
      </c>
      <c r="Q26" t="n">
        <v>16.332414</v>
      </c>
      <c r="R26" t="n">
        <v>78.224833</v>
      </c>
      <c r="S26" t="n">
        <v>75.506818</v>
      </c>
      <c r="T26" t="n">
        <v>33.60579</v>
      </c>
      <c r="U26" t="n">
        <v>39.099458</v>
      </c>
      <c r="V26" t="n">
        <v>36.138084</v>
      </c>
      <c r="W26" t="n">
        <v>43.287404</v>
      </c>
      <c r="X26" t="n">
        <v>42.373237</v>
      </c>
      <c r="Y26" t="n">
        <v>1.458915</v>
      </c>
      <c r="Z26" t="n">
        <v>2419.43</v>
      </c>
      <c r="AA26" t="n">
        <v>1.42</v>
      </c>
      <c r="AB26" t="n">
        <v>18456640543245</v>
      </c>
      <c r="AC26" t="n">
        <v>6752831535</v>
      </c>
      <c r="AD26" t="n">
        <v>8287377924845</v>
      </c>
      <c r="AE26" t="inlineStr">
        <is>
          <t>4905758578</t>
        </is>
      </c>
      <c r="AF26" t="inlineStr">
        <is>
          <t>7d2e7fa516a08316c6ccfac903084f05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1454.038884</v>
      </c>
      <c r="M27" t="n">
        <v>35.352531</v>
      </c>
      <c r="N27" t="n">
        <v>42.354144</v>
      </c>
      <c r="O27" t="n">
        <v>41.418397</v>
      </c>
      <c r="P27" t="n">
        <v>21.48332</v>
      </c>
      <c r="Q27" t="n">
        <v>15.29609</v>
      </c>
      <c r="R27" t="n">
        <v>70.367435</v>
      </c>
      <c r="S27" t="n">
        <v>67.591061</v>
      </c>
      <c r="T27" t="n">
        <v>32.364959</v>
      </c>
      <c r="U27" t="n">
        <v>38.169898</v>
      </c>
      <c r="V27" t="n">
        <v>35.342971</v>
      </c>
      <c r="W27" t="n">
        <v>42.346895</v>
      </c>
      <c r="X27" t="n">
        <v>41.406748</v>
      </c>
      <c r="Y27" t="n">
        <v>1.516801</v>
      </c>
      <c r="Z27" t="n">
        <v>2005.89</v>
      </c>
      <c r="AA27" t="n">
        <v>1.04</v>
      </c>
      <c r="AB27" t="n">
        <v>13300965846643</v>
      </c>
      <c r="AC27" t="n">
        <v>5552395276</v>
      </c>
      <c r="AD27" t="n">
        <v>5674111362490</v>
      </c>
      <c r="AE27" t="inlineStr">
        <is>
          <t>3011695051</t>
        </is>
      </c>
      <c r="AF27" t="inlineStr">
        <is>
          <t>f8f554d5669bfcc5e70980678bad4545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718.144625</v>
      </c>
      <c r="M28" t="n">
        <v>33.858936</v>
      </c>
      <c r="N28" t="n">
        <v>40.889583</v>
      </c>
      <c r="O28" t="n">
        <v>39.985021</v>
      </c>
      <c r="P28" t="n">
        <v>17.95412</v>
      </c>
      <c r="Q28" t="n">
        <v>13.662889</v>
      </c>
      <c r="R28" t="n">
        <v>56.61065</v>
      </c>
      <c r="S28" t="n">
        <v>54.023228</v>
      </c>
      <c r="T28" t="n">
        <v>30.30858</v>
      </c>
      <c r="U28" t="n">
        <v>36.666025</v>
      </c>
      <c r="V28" t="n">
        <v>33.83964</v>
      </c>
      <c r="W28" t="n">
        <v>40.879714</v>
      </c>
      <c r="X28" t="n">
        <v>39.972799</v>
      </c>
      <c r="Y28" t="n">
        <v>1.571217</v>
      </c>
      <c r="Z28" t="n">
        <v>1518.94</v>
      </c>
      <c r="AA28" t="n">
        <v>0.91</v>
      </c>
      <c r="AB28" t="n">
        <v>10007875762769</v>
      </c>
      <c r="AC28" t="n">
        <v>4291540864</v>
      </c>
      <c r="AD28" t="n">
        <v>4309179932583</v>
      </c>
      <c r="AE28" t="inlineStr">
        <is>
          <t>2636647108</t>
        </is>
      </c>
      <c r="AF28" t="inlineStr">
        <is>
          <t>5832244283f074a0d00c05228a5fdee2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349.706908</v>
      </c>
      <c r="M29" t="n">
        <v>31.64502</v>
      </c>
      <c r="N29" t="n">
        <v>38.96638</v>
      </c>
      <c r="O29" t="n">
        <v>38.235949</v>
      </c>
      <c r="P29" t="n">
        <v>14.367918</v>
      </c>
      <c r="Q29" t="n">
        <v>11.620876</v>
      </c>
      <c r="R29" t="n">
        <v>38.619543</v>
      </c>
      <c r="S29" t="n">
        <v>36.57675</v>
      </c>
      <c r="T29" t="n">
        <v>27.656926</v>
      </c>
      <c r="U29" t="n">
        <v>34.582077</v>
      </c>
      <c r="V29" t="n">
        <v>31.615564</v>
      </c>
      <c r="W29" t="n">
        <v>38.95605</v>
      </c>
      <c r="X29" t="n">
        <v>38.226696</v>
      </c>
      <c r="Y29" t="n">
        <v>1.610161</v>
      </c>
      <c r="Z29" t="n">
        <v>1228.67</v>
      </c>
      <c r="AA29" t="n">
        <v>0.5600000000000001</v>
      </c>
      <c r="AB29" t="n">
        <v>7801421535633</v>
      </c>
      <c r="AC29" t="n">
        <v>3085256784</v>
      </c>
      <c r="AD29" t="n">
        <v>3256797037603</v>
      </c>
      <c r="AE29" t="inlineStr">
        <is>
          <t>1517493444</t>
        </is>
      </c>
      <c r="AF29" t="inlineStr">
        <is>
          <t>c5af250f05b601de204eb794da2dcda6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161.461923</v>
      </c>
      <c r="M30" t="n">
        <v>28.859276</v>
      </c>
      <c r="N30" t="n">
        <v>36.713696</v>
      </c>
      <c r="O30" t="n">
        <v>36.384298</v>
      </c>
      <c r="P30" t="n">
        <v>11.004625</v>
      </c>
      <c r="Q30" t="n">
        <v>9.445409</v>
      </c>
      <c r="R30" t="n">
        <v>20.364103</v>
      </c>
      <c r="S30" t="n">
        <v>18.966546</v>
      </c>
      <c r="T30" t="n">
        <v>24.68856</v>
      </c>
      <c r="U30" t="n">
        <v>32.144496</v>
      </c>
      <c r="V30" t="n">
        <v>28.826115</v>
      </c>
      <c r="W30" t="n">
        <v>36.703804</v>
      </c>
      <c r="X30" t="n">
        <v>36.377397</v>
      </c>
      <c r="Y30" t="n">
        <v>1.520594</v>
      </c>
      <c r="Z30" t="n">
        <v>937.9299999999999</v>
      </c>
      <c r="AA30" t="n">
        <v>0.54</v>
      </c>
      <c r="AB30" t="n">
        <v>5972422444165</v>
      </c>
      <c r="AC30" t="n">
        <v>2275941068</v>
      </c>
      <c r="AD30" t="n">
        <v>2495529410472</v>
      </c>
      <c r="AE30" t="inlineStr">
        <is>
          <t>1466992300</t>
        </is>
      </c>
      <c r="AF30" t="inlineStr">
        <is>
          <t>c7c61365d02ae03b903e9a0a94d3b57c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73.569507</v>
      </c>
      <c r="M31" t="n">
        <v>25.91771</v>
      </c>
      <c r="N31" t="n">
        <v>34.930425</v>
      </c>
      <c r="O31" t="n">
        <v>34.983327</v>
      </c>
      <c r="P31" t="n">
        <v>8.082003</v>
      </c>
      <c r="Q31" t="n">
        <v>7.445986</v>
      </c>
      <c r="R31" t="n">
        <v>2.378572</v>
      </c>
      <c r="S31" t="n">
        <v>1.985803</v>
      </c>
      <c r="T31" t="n">
        <v>21.824848</v>
      </c>
      <c r="U31" t="n">
        <v>29.603333</v>
      </c>
      <c r="V31" t="n">
        <v>25.883506</v>
      </c>
      <c r="W31" t="n">
        <v>34.927091</v>
      </c>
      <c r="X31" t="n">
        <v>34.974377</v>
      </c>
      <c r="Y31" t="n">
        <v>1.245608</v>
      </c>
      <c r="Z31" t="n">
        <v>593.6</v>
      </c>
      <c r="AA31" t="n">
        <v>0.4</v>
      </c>
      <c r="AB31" t="n">
        <v>4010703247454</v>
      </c>
      <c r="AC31" t="n">
        <v>1568140031</v>
      </c>
      <c r="AD31" t="n">
        <v>1701269907631</v>
      </c>
      <c r="AE31" t="inlineStr">
        <is>
          <t>1174536979</t>
        </is>
      </c>
      <c r="AF31" t="inlineStr">
        <is>
          <t>b032b501a82d9819da739b8f0ceb1a53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1682.51195</v>
      </c>
      <c r="M32" t="n">
        <v>33.167402</v>
      </c>
      <c r="N32" t="n">
        <v>41.856405</v>
      </c>
      <c r="O32" t="n">
        <v>40.924402</v>
      </c>
      <c r="P32" t="n">
        <v>21.159305</v>
      </c>
      <c r="Q32" t="n">
        <v>13.751018</v>
      </c>
      <c r="R32" t="n">
        <v>52.29839</v>
      </c>
      <c r="S32" t="n">
        <v>50.101628</v>
      </c>
      <c r="T32" t="n">
        <v>29.163189</v>
      </c>
      <c r="U32" t="n">
        <v>37.203713</v>
      </c>
      <c r="V32" t="n">
        <v>33.164049</v>
      </c>
      <c r="W32" t="n">
        <v>41.851116</v>
      </c>
      <c r="X32" t="n">
        <v>40.916108</v>
      </c>
      <c r="Y32" t="n">
        <v>1.487678</v>
      </c>
      <c r="Z32" t="n">
        <v>1481.82</v>
      </c>
      <c r="AA32" t="n">
        <v>0.73</v>
      </c>
      <c r="AB32" t="n">
        <v>8701893922684</v>
      </c>
      <c r="AC32" t="n">
        <v>3357884481</v>
      </c>
      <c r="AD32" t="n">
        <v>3882875451760</v>
      </c>
      <c r="AE32" t="inlineStr">
        <is>
          <t>1911585531</t>
        </is>
      </c>
      <c r="AF32" t="inlineStr">
        <is>
          <t>a92290e39c2db907ce3169dbb3692a11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881.775455</v>
      </c>
      <c r="M33" t="n">
        <v>32.602888</v>
      </c>
      <c r="N33" t="n">
        <v>41.008413</v>
      </c>
      <c r="O33" t="n">
        <v>40.086064</v>
      </c>
      <c r="P33" t="n">
        <v>18.636967</v>
      </c>
      <c r="Q33" t="n">
        <v>12.990589</v>
      </c>
      <c r="R33" t="n">
        <v>44.659456</v>
      </c>
      <c r="S33" t="n">
        <v>42.53247</v>
      </c>
      <c r="T33" t="n">
        <v>28.509881</v>
      </c>
      <c r="U33" t="n">
        <v>36.379698</v>
      </c>
      <c r="V33" t="n">
        <v>32.596385</v>
      </c>
      <c r="W33" t="n">
        <v>41.001167</v>
      </c>
      <c r="X33" t="n">
        <v>40.076741</v>
      </c>
      <c r="Y33" t="n">
        <v>1.55327</v>
      </c>
      <c r="Z33" t="n">
        <v>1036.89</v>
      </c>
      <c r="AA33" t="n">
        <v>0.55</v>
      </c>
      <c r="AB33" t="n">
        <v>6361059744423</v>
      </c>
      <c r="AC33" t="n">
        <v>2807456875</v>
      </c>
      <c r="AD33" t="n">
        <v>2721353327748</v>
      </c>
      <c r="AE33" t="inlineStr">
        <is>
          <t>1454756561</t>
        </is>
      </c>
      <c r="AF33" t="inlineStr">
        <is>
          <t>60ab3470b4b7b5a456135cc23bbf28a5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441.660493</v>
      </c>
      <c r="M34" t="n">
        <v>31.466708</v>
      </c>
      <c r="N34" t="n">
        <v>39.653178</v>
      </c>
      <c r="O34" t="n">
        <v>38.81918</v>
      </c>
      <c r="P34" t="n">
        <v>15.511334</v>
      </c>
      <c r="Q34" t="n">
        <v>11.742176</v>
      </c>
      <c r="R34" t="n">
        <v>32.834761</v>
      </c>
      <c r="S34" t="n">
        <v>30.98633</v>
      </c>
      <c r="T34" t="n">
        <v>27.270562</v>
      </c>
      <c r="U34" t="n">
        <v>35.024516</v>
      </c>
      <c r="V34" t="n">
        <v>31.451853</v>
      </c>
      <c r="W34" t="n">
        <v>39.643757</v>
      </c>
      <c r="X34" t="n">
        <v>38.80918</v>
      </c>
      <c r="Y34" t="n">
        <v>1.591984</v>
      </c>
      <c r="Z34" t="n">
        <v>743.28</v>
      </c>
      <c r="AA34" t="n">
        <v>0.38</v>
      </c>
      <c r="AB34" t="n">
        <v>4878387634624</v>
      </c>
      <c r="AC34" t="n">
        <v>2163686520</v>
      </c>
      <c r="AD34" t="n">
        <v>2102087382438</v>
      </c>
      <c r="AE34" t="inlineStr">
        <is>
          <t>1094286683</t>
        </is>
      </c>
      <c r="AF34" t="inlineStr">
        <is>
          <t>6e81be8f4500380d0f43a6250d1e89e4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216.337509</v>
      </c>
      <c r="M35" t="n">
        <v>29.620578</v>
      </c>
      <c r="N35" t="n">
        <v>37.833748</v>
      </c>
      <c r="O35" t="n">
        <v>37.222659</v>
      </c>
      <c r="P35" t="n">
        <v>12.297753</v>
      </c>
      <c r="Q35" t="n">
        <v>10.079617</v>
      </c>
      <c r="R35" t="n">
        <v>18.626292</v>
      </c>
      <c r="S35" t="n">
        <v>17.343569</v>
      </c>
      <c r="T35" t="n">
        <v>25.371862</v>
      </c>
      <c r="U35" t="n">
        <v>33.082402</v>
      </c>
      <c r="V35" t="n">
        <v>29.595394</v>
      </c>
      <c r="W35" t="n">
        <v>37.824693</v>
      </c>
      <c r="X35" t="n">
        <v>37.215256</v>
      </c>
      <c r="Y35" t="n">
        <v>1.615268</v>
      </c>
      <c r="Z35" t="n">
        <v>545.09</v>
      </c>
      <c r="AA35" t="n">
        <v>0.28</v>
      </c>
      <c r="AB35" t="n">
        <v>3716653130021</v>
      </c>
      <c r="AC35" t="n">
        <v>1437933270</v>
      </c>
      <c r="AD35" t="n">
        <v>1546953646947</v>
      </c>
      <c r="AE35" t="inlineStr">
        <is>
          <t>798011091</t>
        </is>
      </c>
      <c r="AF35" t="inlineStr">
        <is>
          <t>491141090a008789afb704ac34216495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101.462845</v>
      </c>
      <c r="M36" t="n">
        <v>27.131821</v>
      </c>
      <c r="N36" t="n">
        <v>35.827645</v>
      </c>
      <c r="O36" t="n">
        <v>35.593076</v>
      </c>
      <c r="P36" t="n">
        <v>9.281586000000001</v>
      </c>
      <c r="Q36" t="n">
        <v>8.243427000000001</v>
      </c>
      <c r="R36" t="n">
        <v>5.361508</v>
      </c>
      <c r="S36" t="n">
        <v>4.712451</v>
      </c>
      <c r="T36" t="n">
        <v>22.962786</v>
      </c>
      <c r="U36" t="n">
        <v>30.845033</v>
      </c>
      <c r="V36" t="n">
        <v>27.099571</v>
      </c>
      <c r="W36" t="n">
        <v>35.822483</v>
      </c>
      <c r="X36" t="n">
        <v>35.587068</v>
      </c>
      <c r="Y36" t="n">
        <v>1.598383</v>
      </c>
      <c r="Z36" t="n">
        <v>417.86</v>
      </c>
      <c r="AA36" t="n">
        <v>0.19</v>
      </c>
      <c r="AB36" t="n">
        <v>2735032241328</v>
      </c>
      <c r="AC36" t="n">
        <v>946487714</v>
      </c>
      <c r="AD36" t="n">
        <v>1109370744188</v>
      </c>
      <c r="AE36" t="inlineStr">
        <is>
          <t>505756455</t>
        </is>
      </c>
      <c r="AF36" t="inlineStr">
        <is>
          <t>89b31625106c07a6fdc88cd38395d7ad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48.354107</v>
      </c>
      <c r="M37" t="n">
        <v>24.391721</v>
      </c>
      <c r="N37" t="n">
        <v>34.051827</v>
      </c>
      <c r="O37" t="n">
        <v>34.242398</v>
      </c>
      <c r="P37" t="n">
        <v>6.767176</v>
      </c>
      <c r="Q37" t="n">
        <v>6.531037</v>
      </c>
      <c r="R37" t="n">
        <v>0</v>
      </c>
      <c r="S37" t="n">
        <v>0</v>
      </c>
      <c r="T37" t="n">
        <v>20.409447</v>
      </c>
      <c r="U37" t="n">
        <v>28.206892</v>
      </c>
      <c r="V37" t="n">
        <v>24.354577</v>
      </c>
      <c r="W37" t="n">
        <v>34.047786</v>
      </c>
      <c r="X37" t="n">
        <v>34.239924</v>
      </c>
      <c r="Y37" t="n">
        <v>1.269421</v>
      </c>
      <c r="Z37" t="n">
        <v>285.65</v>
      </c>
      <c r="AA37" t="n">
        <v>0.14</v>
      </c>
      <c r="AB37" t="n">
        <v>1920297928251</v>
      </c>
      <c r="AC37" t="n">
        <v>645719512</v>
      </c>
      <c r="AD37" t="n">
        <v>765042631990</v>
      </c>
      <c r="AE37" t="inlineStr">
        <is>
          <t>363176705</t>
        </is>
      </c>
      <c r="AF37" t="inlineStr">
        <is>
          <t>ca2da6782267d30595bfb6f4c1913ba4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18521.120725</v>
      </c>
      <c r="M38" t="n">
        <v>42.682087</v>
      </c>
      <c r="N38" t="n">
        <v>48.556469</v>
      </c>
      <c r="O38" t="n">
        <v>51.973007</v>
      </c>
      <c r="P38" t="n">
        <v>28.065725</v>
      </c>
      <c r="Q38" t="n">
        <v>19.920584</v>
      </c>
      <c r="R38" t="n">
        <v>94.612509</v>
      </c>
      <c r="S38" t="n">
        <v>92.828951</v>
      </c>
      <c r="T38" t="n">
        <v>42.88651</v>
      </c>
      <c r="U38" t="n">
        <v>43.543357</v>
      </c>
      <c r="V38" t="n">
        <v>42.63832</v>
      </c>
      <c r="W38" t="n">
        <v>48.539247</v>
      </c>
      <c r="X38" t="n">
        <v>51.958964</v>
      </c>
      <c r="Y38" t="n">
        <v>0.318196</v>
      </c>
      <c r="Z38" t="n">
        <v>26234.74</v>
      </c>
      <c r="AA38" t="n">
        <v>18.58</v>
      </c>
      <c r="AB38" t="n">
        <v>164760364920586</v>
      </c>
      <c r="AC38" t="n">
        <v>78181026578</v>
      </c>
      <c r="AD38" t="n">
        <v>68569592039760</v>
      </c>
      <c r="AE38" t="inlineStr">
        <is>
          <t>51248065779</t>
        </is>
      </c>
      <c r="AF38" t="inlineStr">
        <is>
          <t>b29d9fa82ac4e8aae4ff5fd9f4d6c1fd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6030.228233</v>
      </c>
      <c r="M39" t="n">
        <v>41.920582</v>
      </c>
      <c r="N39" t="n">
        <v>47.736639</v>
      </c>
      <c r="O39" t="n">
        <v>50.839393</v>
      </c>
      <c r="P39" t="n">
        <v>25.320894</v>
      </c>
      <c r="Q39" t="n">
        <v>18.936279</v>
      </c>
      <c r="R39" t="n">
        <v>88.846594</v>
      </c>
      <c r="S39" t="n">
        <v>86.965076</v>
      </c>
      <c r="T39" t="n">
        <v>41.138706</v>
      </c>
      <c r="U39" t="n">
        <v>42.786677</v>
      </c>
      <c r="V39" t="n">
        <v>41.907799</v>
      </c>
      <c r="W39" t="n">
        <v>47.727855</v>
      </c>
      <c r="X39" t="n">
        <v>50.826525</v>
      </c>
      <c r="Y39" t="n">
        <v>0.297417</v>
      </c>
      <c r="Z39" t="n">
        <v>19609.27</v>
      </c>
      <c r="AA39" t="n">
        <v>12.61</v>
      </c>
      <c r="AB39" t="n">
        <v>154651323261097</v>
      </c>
      <c r="AC39" t="n">
        <v>65125364082</v>
      </c>
      <c r="AD39" t="n">
        <v>66986559937981</v>
      </c>
      <c r="AE39" t="inlineStr">
        <is>
          <t>45638003204</t>
        </is>
      </c>
      <c r="AF39" t="inlineStr">
        <is>
          <t>d3fc57844d5c8114d5093d6ed2d4ee1a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2625.120111</v>
      </c>
      <c r="M40" t="n">
        <v>40.692649</v>
      </c>
      <c r="N40" t="n">
        <v>46.505835</v>
      </c>
      <c r="O40" t="n">
        <v>49.184959</v>
      </c>
      <c r="P40" t="n">
        <v>21.867835</v>
      </c>
      <c r="Q40" t="n">
        <v>17.515379</v>
      </c>
      <c r="R40" t="n">
        <v>78.255679</v>
      </c>
      <c r="S40" t="n">
        <v>76.364259</v>
      </c>
      <c r="T40" t="n">
        <v>38.761397</v>
      </c>
      <c r="U40" t="n">
        <v>41.639999</v>
      </c>
      <c r="V40" t="n">
        <v>40.662989</v>
      </c>
      <c r="W40" t="n">
        <v>46.493024</v>
      </c>
      <c r="X40" t="n">
        <v>49.163869</v>
      </c>
      <c r="Y40" t="n">
        <v>0.27431</v>
      </c>
      <c r="Z40" t="n">
        <v>13636.79</v>
      </c>
      <c r="AA40" t="n">
        <v>12.54</v>
      </c>
      <c r="AB40" t="n">
        <v>85125718748475</v>
      </c>
      <c r="AC40" t="n">
        <v>51171375317</v>
      </c>
      <c r="AD40" t="n">
        <v>35799497009289</v>
      </c>
      <c r="AE40" t="inlineStr">
        <is>
          <t>34858409198</t>
        </is>
      </c>
      <c r="AF40" t="inlineStr">
        <is>
          <t>0674a4d2f3f04152cb8421e1c512edeb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1268.67471</v>
      </c>
      <c r="M41" t="n">
        <v>38.851532</v>
      </c>
      <c r="N41" t="n">
        <v>44.785048</v>
      </c>
      <c r="O41" t="n">
        <v>46.995639</v>
      </c>
      <c r="P41" t="n">
        <v>18.220129</v>
      </c>
      <c r="Q41" t="n">
        <v>15.666244</v>
      </c>
      <c r="R41" t="n">
        <v>62.308015</v>
      </c>
      <c r="S41" t="n">
        <v>60.407715</v>
      </c>
      <c r="T41" t="n">
        <v>35.964436</v>
      </c>
      <c r="U41" t="n">
        <v>39.983861</v>
      </c>
      <c r="V41" t="n">
        <v>38.796042</v>
      </c>
      <c r="W41" t="n">
        <v>44.768349</v>
      </c>
      <c r="X41" t="n">
        <v>46.967347</v>
      </c>
      <c r="Y41" t="n">
        <v>0.306275</v>
      </c>
      <c r="Z41" t="n">
        <v>8436.629999999999</v>
      </c>
      <c r="AA41" t="n">
        <v>10.31</v>
      </c>
      <c r="AB41" t="n">
        <v>51129471663592</v>
      </c>
      <c r="AC41" t="n">
        <v>41774101003</v>
      </c>
      <c r="AD41" t="n">
        <v>22219955232511</v>
      </c>
      <c r="AE41" t="inlineStr">
        <is>
          <t>28388295773</t>
        </is>
      </c>
      <c r="AF41" t="inlineStr">
        <is>
          <t>5cc91cfc4f86d4f27952aaedfac5e63d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607.711058</v>
      </c>
      <c r="M42" t="n">
        <v>36.278943</v>
      </c>
      <c r="N42" t="n">
        <v>42.529458</v>
      </c>
      <c r="O42" t="n">
        <v>44.205726</v>
      </c>
      <c r="P42" t="n">
        <v>14.489988</v>
      </c>
      <c r="Q42" t="n">
        <v>13.403736</v>
      </c>
      <c r="R42" t="n">
        <v>41.91593</v>
      </c>
      <c r="S42" t="n">
        <v>40.190284</v>
      </c>
      <c r="T42" t="n">
        <v>32.785184</v>
      </c>
      <c r="U42" t="n">
        <v>37.648332</v>
      </c>
      <c r="V42" t="n">
        <v>36.200689</v>
      </c>
      <c r="W42" t="n">
        <v>42.505531</v>
      </c>
      <c r="X42" t="n">
        <v>44.16349</v>
      </c>
      <c r="Y42" t="n">
        <v>0.387383</v>
      </c>
      <c r="Z42" t="n">
        <v>5179.39</v>
      </c>
      <c r="AA42" t="n">
        <v>8.49</v>
      </c>
      <c r="AB42" t="n">
        <v>32751150304006</v>
      </c>
      <c r="AC42" t="n">
        <v>34831605443</v>
      </c>
      <c r="AD42" t="n">
        <v>14734968300134</v>
      </c>
      <c r="AE42" t="inlineStr">
        <is>
          <t>25259546354</t>
        </is>
      </c>
      <c r="AF42" t="inlineStr">
        <is>
          <t>020a7178ff595f8d8a9b67dba1fde233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296.73465</v>
      </c>
      <c r="M43" t="n">
        <v>33.29027</v>
      </c>
      <c r="N43" t="n">
        <v>39.909169</v>
      </c>
      <c r="O43" t="n">
        <v>40.990637</v>
      </c>
      <c r="P43" t="n">
        <v>11.127345</v>
      </c>
      <c r="Q43" t="n">
        <v>11.080955</v>
      </c>
      <c r="R43" t="n">
        <v>22.122273</v>
      </c>
      <c r="S43" t="n">
        <v>20.922214</v>
      </c>
      <c r="T43" t="n">
        <v>29.560597</v>
      </c>
      <c r="U43" t="n">
        <v>34.851195</v>
      </c>
      <c r="V43" t="n">
        <v>33.200963</v>
      </c>
      <c r="W43" t="n">
        <v>39.88182</v>
      </c>
      <c r="X43" t="n">
        <v>40.940379</v>
      </c>
      <c r="Y43" t="n">
        <v>0.567184</v>
      </c>
      <c r="Z43" t="n">
        <v>3311.65</v>
      </c>
      <c r="AA43" t="n">
        <v>7.57</v>
      </c>
      <c r="AB43" t="n">
        <v>21820477772238</v>
      </c>
      <c r="AC43" t="n">
        <v>30672904260</v>
      </c>
      <c r="AD43" t="n">
        <v>8856519739397</v>
      </c>
      <c r="AE43" t="inlineStr">
        <is>
          <t>20847988690</t>
        </is>
      </c>
      <c r="AF43" t="inlineStr">
        <is>
          <t>dc37c81580779763359c32fffb123f8c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8916.720203000001</v>
      </c>
      <c r="M44" t="n">
        <v>42.268324</v>
      </c>
      <c r="N44" t="n">
        <v>48.128095</v>
      </c>
      <c r="O44" t="n">
        <v>51.420119</v>
      </c>
      <c r="P44" t="n">
        <v>26.594695</v>
      </c>
      <c r="Q44" t="n">
        <v>19.39314</v>
      </c>
      <c r="R44" t="n">
        <v>92.083671</v>
      </c>
      <c r="S44" t="n">
        <v>90.059963</v>
      </c>
      <c r="T44" t="n">
        <v>41.951775</v>
      </c>
      <c r="U44" t="n">
        <v>43.139027</v>
      </c>
      <c r="V44" t="n">
        <v>42.255717</v>
      </c>
      <c r="W44" t="n">
        <v>48.117714</v>
      </c>
      <c r="X44" t="n">
        <v>51.40825</v>
      </c>
      <c r="Y44" t="n">
        <v>0.341421</v>
      </c>
      <c r="Z44" t="n">
        <v>11096.73</v>
      </c>
      <c r="AA44" t="n">
        <v>8.56</v>
      </c>
      <c r="AB44" t="n">
        <v>67325522352053</v>
      </c>
      <c r="AC44" t="n">
        <v>34862556454</v>
      </c>
      <c r="AD44" t="n">
        <v>29076570703025</v>
      </c>
      <c r="AE44" t="inlineStr">
        <is>
          <t>23500903674</t>
        </is>
      </c>
      <c r="AF44" t="inlineStr">
        <is>
          <t>f8b32ab5747b3914355f46de9c771255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3570.944748</v>
      </c>
      <c r="M45" t="n">
        <v>41.354933</v>
      </c>
      <c r="N45" t="n">
        <v>47.201213</v>
      </c>
      <c r="O45" t="n">
        <v>50.126637</v>
      </c>
      <c r="P45" t="n">
        <v>23.615927</v>
      </c>
      <c r="Q45" t="n">
        <v>18.267597</v>
      </c>
      <c r="R45" t="n">
        <v>84.56325</v>
      </c>
      <c r="S45" t="n">
        <v>82.426996</v>
      </c>
      <c r="T45" t="n">
        <v>39.974393</v>
      </c>
      <c r="U45" t="n">
        <v>42.27339</v>
      </c>
      <c r="V45" t="n">
        <v>41.336446</v>
      </c>
      <c r="W45" t="n">
        <v>47.191176</v>
      </c>
      <c r="X45" t="n">
        <v>50.109578</v>
      </c>
      <c r="Y45" t="n">
        <v>0.35049</v>
      </c>
      <c r="Z45" t="n">
        <v>10441.74</v>
      </c>
      <c r="AA45" t="n">
        <v>7.51</v>
      </c>
      <c r="AB45" t="n">
        <v>63433719687894</v>
      </c>
      <c r="AC45" t="n">
        <v>30227879824</v>
      </c>
      <c r="AD45" t="n">
        <v>27329311587157</v>
      </c>
      <c r="AE45" t="inlineStr">
        <is>
          <t>20865192500</t>
        </is>
      </c>
      <c r="AF45" t="inlineStr">
        <is>
          <t>7f7cbb8f46a35a59b752c12ce9a84bd7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1651.704603</v>
      </c>
      <c r="M46" t="n">
        <v>39.830065</v>
      </c>
      <c r="N46" t="n">
        <v>45.76782</v>
      </c>
      <c r="O46" t="n">
        <v>48.228062</v>
      </c>
      <c r="P46" t="n">
        <v>20.023308</v>
      </c>
      <c r="Q46" t="n">
        <v>16.634347</v>
      </c>
      <c r="R46" t="n">
        <v>71.31569399999999</v>
      </c>
      <c r="S46" t="n">
        <v>69.23376</v>
      </c>
      <c r="T46" t="n">
        <v>37.375747</v>
      </c>
      <c r="U46" t="n">
        <v>40.90541</v>
      </c>
      <c r="V46" t="n">
        <v>39.788882</v>
      </c>
      <c r="W46" t="n">
        <v>45.752068</v>
      </c>
      <c r="X46" t="n">
        <v>48.200311</v>
      </c>
      <c r="Y46" t="n">
        <v>0.339931</v>
      </c>
      <c r="Z46" t="n">
        <v>5782.93</v>
      </c>
      <c r="AA46" t="n">
        <v>5.73</v>
      </c>
      <c r="AB46" t="n">
        <v>38915457697745</v>
      </c>
      <c r="AC46" t="n">
        <v>24032168276</v>
      </c>
      <c r="AD46" t="n">
        <v>16351998232446</v>
      </c>
      <c r="AE46" t="inlineStr">
        <is>
          <t>17032177497</t>
        </is>
      </c>
      <c r="AF46" t="inlineStr">
        <is>
          <t>64c058cf9259bc5562718f678a034297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790.345654</v>
      </c>
      <c r="M47" t="n">
        <v>37.679878</v>
      </c>
      <c r="N47" t="n">
        <v>43.913892</v>
      </c>
      <c r="O47" t="n">
        <v>45.950863</v>
      </c>
      <c r="P47" t="n">
        <v>16.386778</v>
      </c>
      <c r="Q47" t="n">
        <v>14.625908</v>
      </c>
      <c r="R47" t="n">
        <v>52.94919</v>
      </c>
      <c r="S47" t="n">
        <v>51.059997</v>
      </c>
      <c r="T47" t="n">
        <v>34.463774</v>
      </c>
      <c r="U47" t="n">
        <v>39.024996</v>
      </c>
      <c r="V47" t="n">
        <v>37.610888</v>
      </c>
      <c r="W47" t="n">
        <v>43.894805</v>
      </c>
      <c r="X47" t="n">
        <v>45.915955</v>
      </c>
      <c r="Y47" t="n">
        <v>0.367039</v>
      </c>
      <c r="Z47" t="n">
        <v>4009.5</v>
      </c>
      <c r="AA47" t="n">
        <v>4.55</v>
      </c>
      <c r="AB47" t="n">
        <v>25374274200876</v>
      </c>
      <c r="AC47" t="n">
        <v>19317957335</v>
      </c>
      <c r="AD47" t="n">
        <v>10571707891209</v>
      </c>
      <c r="AE47" t="inlineStr">
        <is>
          <t>12554111753</t>
        </is>
      </c>
      <c r="AF47" t="inlineStr">
        <is>
          <t>4bdc189ef0242a67bc1c84154796bae0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376.652271</v>
      </c>
      <c r="M48" t="n">
        <v>34.894846</v>
      </c>
      <c r="N48" t="n">
        <v>41.699803</v>
      </c>
      <c r="O48" t="n">
        <v>43.164327</v>
      </c>
      <c r="P48" t="n">
        <v>12.859327</v>
      </c>
      <c r="Q48" t="n">
        <v>12.346332</v>
      </c>
      <c r="R48" t="n">
        <v>31.308674</v>
      </c>
      <c r="S48" t="n">
        <v>29.88162</v>
      </c>
      <c r="T48" t="n">
        <v>31.286841</v>
      </c>
      <c r="U48" t="n">
        <v>36.57826</v>
      </c>
      <c r="V48" t="n">
        <v>34.806184</v>
      </c>
      <c r="W48" t="n">
        <v>41.675323</v>
      </c>
      <c r="X48" t="n">
        <v>43.123574</v>
      </c>
      <c r="Y48" t="n">
        <v>0.472953</v>
      </c>
      <c r="Z48" t="n">
        <v>2698.05</v>
      </c>
      <c r="AA48" t="n">
        <v>4.18</v>
      </c>
      <c r="AB48" t="n">
        <v>16846878283190</v>
      </c>
      <c r="AC48" t="n">
        <v>16176999097</v>
      </c>
      <c r="AD48" t="n">
        <v>7108547345855</v>
      </c>
      <c r="AE48" t="inlineStr">
        <is>
          <t>11583094307</t>
        </is>
      </c>
      <c r="AF48" t="inlineStr">
        <is>
          <t>5c085cdd964f1c643c1507f2c6c5f730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183.689541</v>
      </c>
      <c r="M49" t="n">
        <v>31.854035</v>
      </c>
      <c r="N49" t="n">
        <v>39.006044</v>
      </c>
      <c r="O49" t="n">
        <v>40.218353</v>
      </c>
      <c r="P49" t="n">
        <v>9.81611</v>
      </c>
      <c r="Q49" t="n">
        <v>10.151376</v>
      </c>
      <c r="R49" t="n">
        <v>12.9041</v>
      </c>
      <c r="S49" t="n">
        <v>12.016763</v>
      </c>
      <c r="T49" t="n">
        <v>28.140422</v>
      </c>
      <c r="U49" t="n">
        <v>33.6268</v>
      </c>
      <c r="V49" t="n">
        <v>31.760406</v>
      </c>
      <c r="W49" t="n">
        <v>38.972466</v>
      </c>
      <c r="X49" t="n">
        <v>40.179958</v>
      </c>
      <c r="Y49" t="n">
        <v>0.6175119999999999</v>
      </c>
      <c r="Z49" t="n">
        <v>1776.47</v>
      </c>
      <c r="AA49" t="n">
        <v>3.57</v>
      </c>
      <c r="AB49" t="n">
        <v>11053694953620</v>
      </c>
      <c r="AC49" t="n">
        <v>13581314846</v>
      </c>
      <c r="AD49" t="n">
        <v>4717289834964</v>
      </c>
      <c r="AE49" t="inlineStr">
        <is>
          <t>9895318752</t>
        </is>
      </c>
      <c r="AF49" t="inlineStr">
        <is>
          <t>211812ae7178f4433adb2cad4aa453bd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5746.75048</v>
      </c>
      <c r="M50" t="n">
        <v>41.923801</v>
      </c>
      <c r="N50" t="n">
        <v>47.768473</v>
      </c>
      <c r="O50" t="n">
        <v>50.94636</v>
      </c>
      <c r="P50" t="n">
        <v>25.418844</v>
      </c>
      <c r="Q50" t="n">
        <v>18.957155</v>
      </c>
      <c r="R50" t="n">
        <v>89.577792</v>
      </c>
      <c r="S50" t="n">
        <v>87.373457</v>
      </c>
      <c r="T50" t="n">
        <v>41.169085</v>
      </c>
      <c r="U50" t="n">
        <v>42.812196</v>
      </c>
      <c r="V50" t="n">
        <v>41.912242</v>
      </c>
      <c r="W50" t="n">
        <v>47.759248</v>
      </c>
      <c r="X50" t="n">
        <v>50.932336</v>
      </c>
      <c r="Y50" t="n">
        <v>0.388755</v>
      </c>
      <c r="Z50" t="n">
        <v>6230.54</v>
      </c>
      <c r="AA50" t="n">
        <v>5.01</v>
      </c>
      <c r="AB50" t="n">
        <v>37636573160394</v>
      </c>
      <c r="AC50" t="n">
        <v>20871033862</v>
      </c>
      <c r="AD50" t="n">
        <v>16330019348457</v>
      </c>
      <c r="AE50" t="inlineStr">
        <is>
          <t>13581341680</t>
        </is>
      </c>
      <c r="AF50" t="inlineStr">
        <is>
          <t>b1625e0401a4f5ddd5d5e8a7c7d2afe7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2584.899408</v>
      </c>
      <c r="M51" t="n">
        <v>40.85044</v>
      </c>
      <c r="N51" t="n">
        <v>46.725252</v>
      </c>
      <c r="O51" t="n">
        <v>49.516488</v>
      </c>
      <c r="P51" t="n">
        <v>22.305175</v>
      </c>
      <c r="Q51" t="n">
        <v>17.71032</v>
      </c>
      <c r="R51" t="n">
        <v>80.61765</v>
      </c>
      <c r="S51" t="n">
        <v>78.31017</v>
      </c>
      <c r="T51" t="n">
        <v>39.04192</v>
      </c>
      <c r="U51" t="n">
        <v>41.824794</v>
      </c>
      <c r="V51" t="n">
        <v>40.825507</v>
      </c>
      <c r="W51" t="n">
        <v>46.713408</v>
      </c>
      <c r="X51" t="n">
        <v>49.495866</v>
      </c>
      <c r="Y51" t="n">
        <v>0.41344</v>
      </c>
      <c r="Z51" t="n">
        <v>6096.37</v>
      </c>
      <c r="AA51" t="n">
        <v>4.33</v>
      </c>
      <c r="AB51" t="n">
        <v>36829575789662</v>
      </c>
      <c r="AC51" t="n">
        <v>18126299860</v>
      </c>
      <c r="AD51" t="n">
        <v>15957119575858</v>
      </c>
      <c r="AE51" t="inlineStr">
        <is>
          <t>11879891363</t>
        </is>
      </c>
      <c r="AF51" t="inlineStr">
        <is>
          <t>2974d948d16ef8da51910cc17827d8b8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1200.896334</v>
      </c>
      <c r="M52" t="n">
        <v>39.099992</v>
      </c>
      <c r="N52" t="n">
        <v>45.211459</v>
      </c>
      <c r="O52" t="n">
        <v>47.555674</v>
      </c>
      <c r="P52" t="n">
        <v>18.674412</v>
      </c>
      <c r="Q52" t="n">
        <v>15.932279</v>
      </c>
      <c r="R52" t="n">
        <v>65.641825</v>
      </c>
      <c r="S52" t="n">
        <v>63.446376</v>
      </c>
      <c r="T52" t="n">
        <v>36.322092</v>
      </c>
      <c r="U52" t="n">
        <v>40.309066</v>
      </c>
      <c r="V52" t="n">
        <v>39.050327</v>
      </c>
      <c r="W52" t="n">
        <v>45.194709</v>
      </c>
      <c r="X52" t="n">
        <v>47.526518</v>
      </c>
      <c r="Y52" t="n">
        <v>0.432689</v>
      </c>
      <c r="Z52" t="n">
        <v>3871.2</v>
      </c>
      <c r="AA52" t="n">
        <v>3.84</v>
      </c>
      <c r="AB52" t="n">
        <v>24248821443358</v>
      </c>
      <c r="AC52" t="n">
        <v>14331055276</v>
      </c>
      <c r="AD52" t="n">
        <v>10168475481730</v>
      </c>
      <c r="AE52" t="inlineStr">
        <is>
          <t>10549304273</t>
        </is>
      </c>
      <c r="AF52" t="inlineStr">
        <is>
          <t>37116b10fc10548d64f4b29083760806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572.307692</v>
      </c>
      <c r="M53" t="n">
        <v>36.75395</v>
      </c>
      <c r="N53" t="n">
        <v>43.329001</v>
      </c>
      <c r="O53" t="n">
        <v>45.174342</v>
      </c>
      <c r="P53" t="n">
        <v>15.112183</v>
      </c>
      <c r="Q53" t="n">
        <v>13.846507</v>
      </c>
      <c r="R53" t="n">
        <v>45.696373</v>
      </c>
      <c r="S53" t="n">
        <v>43.904566</v>
      </c>
      <c r="T53" t="n">
        <v>33.366578</v>
      </c>
      <c r="U53" t="n">
        <v>38.321633</v>
      </c>
      <c r="V53" t="n">
        <v>36.677851</v>
      </c>
      <c r="W53" t="n">
        <v>43.309198</v>
      </c>
      <c r="X53" t="n">
        <v>45.138622</v>
      </c>
      <c r="Y53" t="n">
        <v>0.470582</v>
      </c>
      <c r="Z53" t="n">
        <v>2749.5</v>
      </c>
      <c r="AA53" t="n">
        <v>2.91</v>
      </c>
      <c r="AB53" t="n">
        <v>16654553689562</v>
      </c>
      <c r="AC53" t="n">
        <v>11284216164</v>
      </c>
      <c r="AD53" t="n">
        <v>7238080848183</v>
      </c>
      <c r="AE53" t="inlineStr">
        <is>
          <t>7996669836</t>
        </is>
      </c>
      <c r="AF53" t="inlineStr">
        <is>
          <t>428f2e9f213a8170cb6bfd309438b257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268.402367</v>
      </c>
      <c r="M54" t="n">
        <v>33.857479</v>
      </c>
      <c r="N54" t="n">
        <v>41.007497</v>
      </c>
      <c r="O54" t="n">
        <v>42.425087</v>
      </c>
      <c r="P54" t="n">
        <v>11.748642</v>
      </c>
      <c r="Q54" t="n">
        <v>11.594157</v>
      </c>
      <c r="R54" t="n">
        <v>24.159615</v>
      </c>
      <c r="S54" t="n">
        <v>22.966484</v>
      </c>
      <c r="T54" t="n">
        <v>30.204638</v>
      </c>
      <c r="U54" t="n">
        <v>35.754668</v>
      </c>
      <c r="V54" t="n">
        <v>33.768435</v>
      </c>
      <c r="W54" t="n">
        <v>40.985544</v>
      </c>
      <c r="X54" t="n">
        <v>42.377319</v>
      </c>
      <c r="Y54" t="n">
        <v>0.5668570000000001</v>
      </c>
      <c r="Z54" t="n">
        <v>1794.84</v>
      </c>
      <c r="AA54" t="n">
        <v>2.43</v>
      </c>
      <c r="AB54" t="n">
        <v>11240061147735</v>
      </c>
      <c r="AC54" t="n">
        <v>9294196009</v>
      </c>
      <c r="AD54" t="n">
        <v>4721332198905</v>
      </c>
      <c r="AE54" t="inlineStr">
        <is>
          <t>6582142660</t>
        </is>
      </c>
      <c r="AF54" t="inlineStr">
        <is>
          <t>1713ed051058d2cdc53954548ad69ac0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130.097595</v>
      </c>
      <c r="M55" t="n">
        <v>30.792562</v>
      </c>
      <c r="N55" t="n">
        <v>38.629508</v>
      </c>
      <c r="O55" t="n">
        <v>39.517598</v>
      </c>
      <c r="P55" t="n">
        <v>8.939752</v>
      </c>
      <c r="Q55" t="n">
        <v>9.504958</v>
      </c>
      <c r="R55" t="n">
        <v>6.884585</v>
      </c>
      <c r="S55" t="n">
        <v>6.260091</v>
      </c>
      <c r="T55" t="n">
        <v>27.113357</v>
      </c>
      <c r="U55" t="n">
        <v>32.909442</v>
      </c>
      <c r="V55" t="n">
        <v>30.700859</v>
      </c>
      <c r="W55" t="n">
        <v>38.598443</v>
      </c>
      <c r="X55" t="n">
        <v>39.470372</v>
      </c>
      <c r="Y55" t="n">
        <v>0.718606</v>
      </c>
      <c r="Z55" t="n">
        <v>1123.09</v>
      </c>
      <c r="AA55" t="n">
        <v>1.8</v>
      </c>
      <c r="AB55" t="n">
        <v>7242046871164</v>
      </c>
      <c r="AC55" t="n">
        <v>7770638305</v>
      </c>
      <c r="AD55" t="n">
        <v>2970138534788</v>
      </c>
      <c r="AE55" t="inlineStr">
        <is>
          <t>4953308860</t>
        </is>
      </c>
      <c r="AF55" t="inlineStr">
        <is>
          <t>d2ff4f14e7bbf48163dd19accdea63d8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3409.409052</v>
      </c>
      <c r="M56" t="n">
        <v>41.289104</v>
      </c>
      <c r="N56" t="n">
        <v>47.152033</v>
      </c>
      <c r="O56" t="n">
        <v>50.139923</v>
      </c>
      <c r="P56" t="n">
        <v>23.678523</v>
      </c>
      <c r="Q56" t="n">
        <v>18.231899</v>
      </c>
      <c r="R56" t="n">
        <v>84.24957999999999</v>
      </c>
      <c r="S56" t="n">
        <v>81.826134</v>
      </c>
      <c r="T56" t="n">
        <v>39.873561</v>
      </c>
      <c r="U56" t="n">
        <v>42.254476</v>
      </c>
      <c r="V56" t="n">
        <v>41.272953</v>
      </c>
      <c r="W56" t="n">
        <v>47.14083</v>
      </c>
      <c r="X56" t="n">
        <v>50.121233</v>
      </c>
      <c r="Y56" t="n">
        <v>0.428727</v>
      </c>
      <c r="Z56" t="n">
        <v>3875.68</v>
      </c>
      <c r="AA56" t="n">
        <v>2.15</v>
      </c>
      <c r="AB56" t="n">
        <v>23408570449436</v>
      </c>
      <c r="AC56" t="n">
        <v>10480599778</v>
      </c>
      <c r="AD56" t="n">
        <v>10141850050125</v>
      </c>
      <c r="AE56" t="inlineStr">
        <is>
          <t>5798947092</t>
        </is>
      </c>
      <c r="AF56" t="inlineStr">
        <is>
          <t>0b0e5af0b4ec5f043d78f86bca2577d4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1642.033044</v>
      </c>
      <c r="M57" t="n">
        <v>39.955172</v>
      </c>
      <c r="N57" t="n">
        <v>45.953973</v>
      </c>
      <c r="O57" t="n">
        <v>48.541513</v>
      </c>
      <c r="P57" t="n">
        <v>20.385335</v>
      </c>
      <c r="Q57" t="n">
        <v>16.788971</v>
      </c>
      <c r="R57" t="n">
        <v>72.83411700000001</v>
      </c>
      <c r="S57" t="n">
        <v>70.40130600000001</v>
      </c>
      <c r="T57" t="n">
        <v>37.56901</v>
      </c>
      <c r="U57" t="n">
        <v>41.075507</v>
      </c>
      <c r="V57" t="n">
        <v>39.919431</v>
      </c>
      <c r="W57" t="n">
        <v>45.939798</v>
      </c>
      <c r="X57" t="n">
        <v>48.514969</v>
      </c>
      <c r="Y57" t="n">
        <v>0.471173</v>
      </c>
      <c r="Z57" t="n">
        <v>2954.8</v>
      </c>
      <c r="AA57" t="n">
        <v>1.79</v>
      </c>
      <c r="AB57" t="n">
        <v>18482321162957</v>
      </c>
      <c r="AC57" t="n">
        <v>9070850721</v>
      </c>
      <c r="AD57" t="n">
        <v>7732967476262</v>
      </c>
      <c r="AE57" t="inlineStr">
        <is>
          <t>4874913787</t>
        </is>
      </c>
      <c r="AF57" t="inlineStr">
        <is>
          <t>c9a592c2d0911b5c6c6e31a9c77f5873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764.363022</v>
      </c>
      <c r="M58" t="n">
        <v>37.889376</v>
      </c>
      <c r="N58" t="n">
        <v>44.267472</v>
      </c>
      <c r="O58" t="n">
        <v>46.32636</v>
      </c>
      <c r="P58" t="n">
        <v>16.74061</v>
      </c>
      <c r="Q58" t="n">
        <v>14.842944</v>
      </c>
      <c r="R58" t="n">
        <v>55.153811</v>
      </c>
      <c r="S58" t="n">
        <v>53.020714</v>
      </c>
      <c r="T58" t="n">
        <v>34.731397</v>
      </c>
      <c r="U58" t="n">
        <v>39.311388</v>
      </c>
      <c r="V58" t="n">
        <v>37.827888</v>
      </c>
      <c r="W58" t="n">
        <v>44.247064</v>
      </c>
      <c r="X58" t="n">
        <v>46.288598</v>
      </c>
      <c r="Y58" t="n">
        <v>0.504605</v>
      </c>
      <c r="Z58" t="n">
        <v>2132.33</v>
      </c>
      <c r="AA58" t="n">
        <v>1.48</v>
      </c>
      <c r="AB58" t="n">
        <v>13343874574527</v>
      </c>
      <c r="AC58" t="n">
        <v>7071219863</v>
      </c>
      <c r="AD58" t="n">
        <v>5588644422738</v>
      </c>
      <c r="AE58" t="inlineStr">
        <is>
          <t>4000244394</t>
        </is>
      </c>
      <c r="AF58" t="inlineStr">
        <is>
          <t>c26abf96bf00590d9779612fbac03b15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363.782679</v>
      </c>
      <c r="M59" t="n">
        <v>35.291962</v>
      </c>
      <c r="N59" t="n">
        <v>42.278796</v>
      </c>
      <c r="O59" t="n">
        <v>43.849458</v>
      </c>
      <c r="P59" t="n">
        <v>13.326306</v>
      </c>
      <c r="Q59" t="n">
        <v>12.699236</v>
      </c>
      <c r="R59" t="n">
        <v>33.95479</v>
      </c>
      <c r="S59" t="n">
        <v>32.457614</v>
      </c>
      <c r="T59" t="n">
        <v>31.735321</v>
      </c>
      <c r="U59" t="n">
        <v>37.090018</v>
      </c>
      <c r="V59" t="n">
        <v>35.20614</v>
      </c>
      <c r="W59" t="n">
        <v>42.257444</v>
      </c>
      <c r="X59" t="n">
        <v>43.805497</v>
      </c>
      <c r="Y59" t="n">
        <v>0.593239</v>
      </c>
      <c r="Z59" t="n">
        <v>1556.01</v>
      </c>
      <c r="AA59" t="n">
        <v>1.18</v>
      </c>
      <c r="AB59" t="n">
        <v>9628881103053</v>
      </c>
      <c r="AC59" t="n">
        <v>5334454744</v>
      </c>
      <c r="AD59" t="n">
        <v>4089308136407</v>
      </c>
      <c r="AE59" t="inlineStr">
        <is>
          <t>3176600771</t>
        </is>
      </c>
      <c r="AF59" t="inlineStr">
        <is>
          <t>2b6d05de0307c731b0c1681d8ac3b5bb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168.525628</v>
      </c>
      <c r="M60" t="n">
        <v>32.287386</v>
      </c>
      <c r="N60" t="n">
        <v>39.959228</v>
      </c>
      <c r="O60" t="n">
        <v>41.154578</v>
      </c>
      <c r="P60" t="n">
        <v>10.257864</v>
      </c>
      <c r="Q60" t="n">
        <v>10.519815</v>
      </c>
      <c r="R60" t="n">
        <v>14.618037</v>
      </c>
      <c r="S60" t="n">
        <v>13.773439</v>
      </c>
      <c r="T60" t="n">
        <v>28.616577</v>
      </c>
      <c r="U60" t="n">
        <v>34.419517</v>
      </c>
      <c r="V60" t="n">
        <v>32.195896</v>
      </c>
      <c r="W60" t="n">
        <v>39.929087</v>
      </c>
      <c r="X60" t="n">
        <v>41.111021</v>
      </c>
      <c r="Y60" t="n">
        <v>0.669126</v>
      </c>
      <c r="Z60" t="n">
        <v>1008.38</v>
      </c>
      <c r="AA60" t="n">
        <v>0.91</v>
      </c>
      <c r="AB60" t="n">
        <v>6718482624647</v>
      </c>
      <c r="AC60" t="n">
        <v>4268743062</v>
      </c>
      <c r="AD60" t="n">
        <v>2848348492435</v>
      </c>
      <c r="AE60" t="inlineStr">
        <is>
          <t>2659186201</t>
        </is>
      </c>
      <c r="AF60" t="inlineStr">
        <is>
          <t>55f340b4562058178cd7465478825a68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81.370937</v>
      </c>
      <c r="M61" t="n">
        <v>29.274193</v>
      </c>
      <c r="N61" t="n">
        <v>37.51228</v>
      </c>
      <c r="O61" t="n">
        <v>38.298241</v>
      </c>
      <c r="P61" t="n">
        <v>7.825299</v>
      </c>
      <c r="Q61" t="n">
        <v>8.648612999999999</v>
      </c>
      <c r="R61" t="n">
        <v>2.545334</v>
      </c>
      <c r="S61" t="n">
        <v>2.304866</v>
      </c>
      <c r="T61" t="n">
        <v>25.6398</v>
      </c>
      <c r="U61" t="n">
        <v>31.615833</v>
      </c>
      <c r="V61" t="n">
        <v>29.186814</v>
      </c>
      <c r="W61" t="n">
        <v>37.483768</v>
      </c>
      <c r="X61" t="n">
        <v>38.240286</v>
      </c>
      <c r="Y61" t="n">
        <v>0.857441</v>
      </c>
      <c r="Z61" t="n">
        <v>631.6900000000001</v>
      </c>
      <c r="AA61" t="n">
        <v>0.8100000000000001</v>
      </c>
      <c r="AB61" t="n">
        <v>4192818181752</v>
      </c>
      <c r="AC61" t="n">
        <v>3535980997</v>
      </c>
      <c r="AD61" t="n">
        <v>1787190368293</v>
      </c>
      <c r="AE61" t="inlineStr">
        <is>
          <t>2394549715</t>
        </is>
      </c>
      <c r="AF61" t="inlineStr">
        <is>
          <t>87940255d35c461d87938c8aeebe5c49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2442.813802</v>
      </c>
      <c r="M62" t="n">
        <v>40.639874</v>
      </c>
      <c r="N62" t="n">
        <v>46.612043</v>
      </c>
      <c r="O62" t="n">
        <v>49.446224</v>
      </c>
      <c r="P62" t="n">
        <v>22.297044</v>
      </c>
      <c r="Q62" t="n">
        <v>17.54709</v>
      </c>
      <c r="R62" t="n">
        <v>77.76978699999999</v>
      </c>
      <c r="S62" t="n">
        <v>75.25818200000001</v>
      </c>
      <c r="T62" t="n">
        <v>38.66513</v>
      </c>
      <c r="U62" t="n">
        <v>41.739169</v>
      </c>
      <c r="V62" t="n">
        <v>40.617166</v>
      </c>
      <c r="W62" t="n">
        <v>46.598514</v>
      </c>
      <c r="X62" t="n">
        <v>49.422573</v>
      </c>
      <c r="Y62" t="n">
        <v>0.466753</v>
      </c>
      <c r="Z62" t="n">
        <v>2894</v>
      </c>
      <c r="AA62" t="n">
        <v>1.43</v>
      </c>
      <c r="AB62" t="n">
        <v>17024750877930</v>
      </c>
      <c r="AC62" t="n">
        <v>6549673222</v>
      </c>
      <c r="AD62" t="n">
        <v>7555658450717</v>
      </c>
      <c r="AE62" t="inlineStr">
        <is>
          <t>3850116226</t>
        </is>
      </c>
      <c r="AF62" t="inlineStr">
        <is>
          <t>fc9fb6f7fd3f2327a54fd82b1acfa5b9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1199.940982</v>
      </c>
      <c r="M63" t="n">
        <v>39.16209</v>
      </c>
      <c r="N63" t="n">
        <v>45.347756</v>
      </c>
      <c r="O63" t="n">
        <v>47.779836</v>
      </c>
      <c r="P63" t="n">
        <v>18.97068</v>
      </c>
      <c r="Q63" t="n">
        <v>16.025552</v>
      </c>
      <c r="R63" t="n">
        <v>65.128291</v>
      </c>
      <c r="S63" t="n">
        <v>62.660028</v>
      </c>
      <c r="T63" t="n">
        <v>36.386051</v>
      </c>
      <c r="U63" t="n">
        <v>40.441725</v>
      </c>
      <c r="V63" t="n">
        <v>39.119413</v>
      </c>
      <c r="W63" t="n">
        <v>45.330383</v>
      </c>
      <c r="X63" t="n">
        <v>47.74987</v>
      </c>
      <c r="Y63" t="n">
        <v>0.519744</v>
      </c>
      <c r="Z63" t="n">
        <v>1915.14</v>
      </c>
      <c r="AA63" t="n">
        <v>1.22</v>
      </c>
      <c r="AB63" t="n">
        <v>11854833564004</v>
      </c>
      <c r="AC63" t="n">
        <v>5692292505</v>
      </c>
      <c r="AD63" t="n">
        <v>5388592489690</v>
      </c>
      <c r="AE63" t="inlineStr">
        <is>
          <t>3551508556</t>
        </is>
      </c>
      <c r="AF63" t="inlineStr">
        <is>
          <t>05f4d4fb157e8825ebe5b1457885e421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563.49927</v>
      </c>
      <c r="M64" t="n">
        <v>36.932301</v>
      </c>
      <c r="N64" t="n">
        <v>43.625932</v>
      </c>
      <c r="O64" t="n">
        <v>45.525046</v>
      </c>
      <c r="P64" t="n">
        <v>15.405926</v>
      </c>
      <c r="Q64" t="n">
        <v>14.028823</v>
      </c>
      <c r="R64" t="n">
        <v>46.299165</v>
      </c>
      <c r="S64" t="n">
        <v>44.312527</v>
      </c>
      <c r="T64" t="n">
        <v>33.57376</v>
      </c>
      <c r="U64" t="n">
        <v>38.536323</v>
      </c>
      <c r="V64" t="n">
        <v>36.863728</v>
      </c>
      <c r="W64" t="n">
        <v>43.60682</v>
      </c>
      <c r="X64" t="n">
        <v>45.489603</v>
      </c>
      <c r="Y64" t="n">
        <v>0.584493</v>
      </c>
      <c r="Z64" t="n">
        <v>1375.56</v>
      </c>
      <c r="AA64" t="n">
        <v>0.79</v>
      </c>
      <c r="AB64" t="n">
        <v>8561264455156</v>
      </c>
      <c r="AC64" t="n">
        <v>4435799090</v>
      </c>
      <c r="AD64" t="n">
        <v>3604433893447</v>
      </c>
      <c r="AE64" t="inlineStr">
        <is>
          <t>2155955515</t>
        </is>
      </c>
      <c r="AF64" t="inlineStr">
        <is>
          <t>a7b6203530783e14108736c6124de93d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266.742488</v>
      </c>
      <c r="M65" t="n">
        <v>34.233264</v>
      </c>
      <c r="N65" t="n">
        <v>41.582534</v>
      </c>
      <c r="O65" t="n">
        <v>42.996977</v>
      </c>
      <c r="P65" t="n">
        <v>12.176732</v>
      </c>
      <c r="Q65" t="n">
        <v>11.913821</v>
      </c>
      <c r="R65" t="n">
        <v>25.818528</v>
      </c>
      <c r="S65" t="n">
        <v>24.551777</v>
      </c>
      <c r="T65" t="n">
        <v>30.610605</v>
      </c>
      <c r="U65" t="n">
        <v>36.207643</v>
      </c>
      <c r="V65" t="n">
        <v>34.148372</v>
      </c>
      <c r="W65" t="n">
        <v>41.561044</v>
      </c>
      <c r="X65" t="n">
        <v>42.957513</v>
      </c>
      <c r="Y65" t="n">
        <v>0.712625</v>
      </c>
      <c r="Z65" t="n">
        <v>1047.7</v>
      </c>
      <c r="AA65" t="n">
        <v>0.66</v>
      </c>
      <c r="AB65" t="n">
        <v>6156331322880</v>
      </c>
      <c r="AC65" t="n">
        <v>3207806741</v>
      </c>
      <c r="AD65" t="n">
        <v>2750989794451</v>
      </c>
      <c r="AE65" t="inlineStr">
        <is>
          <t>1773662026</t>
        </is>
      </c>
      <c r="AF65" t="inlineStr">
        <is>
          <t>0471734a6ec8727b03459e5af1284845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124.524091</v>
      </c>
      <c r="M66" t="n">
        <v>31.207441</v>
      </c>
      <c r="N66" t="n">
        <v>39.306822</v>
      </c>
      <c r="O66" t="n">
        <v>40.323738</v>
      </c>
      <c r="P66" t="n">
        <v>9.306721</v>
      </c>
      <c r="Q66" t="n">
        <v>9.822195000000001</v>
      </c>
      <c r="R66" t="n">
        <v>7.55061</v>
      </c>
      <c r="S66" t="n">
        <v>7.002559</v>
      </c>
      <c r="T66" t="n">
        <v>27.551869</v>
      </c>
      <c r="U66" t="n">
        <v>33.470827</v>
      </c>
      <c r="V66" t="n">
        <v>31.120293</v>
      </c>
      <c r="W66" t="n">
        <v>39.28058</v>
      </c>
      <c r="X66" t="n">
        <v>40.254727</v>
      </c>
      <c r="Y66" t="n">
        <v>0.8109459999999999</v>
      </c>
      <c r="Z66" t="n">
        <v>733.98</v>
      </c>
      <c r="AA66" t="n">
        <v>0.53</v>
      </c>
      <c r="AB66" t="n">
        <v>4244918139090</v>
      </c>
      <c r="AC66" t="n">
        <v>2467170491</v>
      </c>
      <c r="AD66" t="n">
        <v>1929069464604</v>
      </c>
      <c r="AE66" t="inlineStr">
        <is>
          <t>1421432952</t>
        </is>
      </c>
      <c r="AF66" t="inlineStr">
        <is>
          <t>ade01ed5660b79452ddfb112a53a15dc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61.577807</v>
      </c>
      <c r="M67" t="n">
        <v>28.174464</v>
      </c>
      <c r="N67" t="n">
        <v>36.966307</v>
      </c>
      <c r="O67" t="n">
        <v>37.68174</v>
      </c>
      <c r="P67" t="n">
        <v>7.125363</v>
      </c>
      <c r="Q67" t="n">
        <v>8.089143999999999</v>
      </c>
      <c r="R67" t="n">
        <v>0.460103</v>
      </c>
      <c r="S67" t="n">
        <v>0.380575</v>
      </c>
      <c r="T67" t="n">
        <v>24.586889</v>
      </c>
      <c r="U67" t="n">
        <v>30.679082</v>
      </c>
      <c r="V67" t="n">
        <v>28.090761</v>
      </c>
      <c r="W67" t="n">
        <v>36.931384</v>
      </c>
      <c r="X67" t="n">
        <v>37.62859</v>
      </c>
      <c r="Y67" t="n">
        <v>0.998094</v>
      </c>
      <c r="Z67" t="n">
        <v>434.16</v>
      </c>
      <c r="AA67" t="n">
        <v>0.41</v>
      </c>
      <c r="AB67" t="n">
        <v>2746178556926</v>
      </c>
      <c r="AC67" t="n">
        <v>1968649769</v>
      </c>
      <c r="AD67" t="n">
        <v>1228431119833</v>
      </c>
      <c r="AE67" t="inlineStr">
        <is>
          <t>1187877868</t>
        </is>
      </c>
      <c r="AF67" t="inlineStr">
        <is>
          <t>55ec7d230661bb32b768bc3a549c54a4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1505.594713</v>
      </c>
      <c r="M68" t="n">
        <v>39.345937</v>
      </c>
      <c r="N68" t="n">
        <v>45.739425</v>
      </c>
      <c r="O68" t="n">
        <v>48.329017</v>
      </c>
      <c r="P68" t="n">
        <v>20.132152</v>
      </c>
      <c r="Q68" t="n">
        <v>16.33765</v>
      </c>
      <c r="R68" t="n">
        <v>62.296011</v>
      </c>
      <c r="S68" t="n">
        <v>59.963311</v>
      </c>
      <c r="T68" t="n">
        <v>36.525294</v>
      </c>
      <c r="U68" t="n">
        <v>40.837521</v>
      </c>
      <c r="V68" t="n">
        <v>39.308428</v>
      </c>
      <c r="W68" t="n">
        <v>45.721238</v>
      </c>
      <c r="X68" t="n">
        <v>48.29857</v>
      </c>
      <c r="Y68" t="n">
        <v>0.488174</v>
      </c>
      <c r="Z68" t="n">
        <v>1506.47</v>
      </c>
      <c r="AA68" t="n">
        <v>0.6899999999999999</v>
      </c>
      <c r="AB68" t="n">
        <v>8997626907909</v>
      </c>
      <c r="AC68" t="n">
        <v>3488402017</v>
      </c>
      <c r="AD68" t="n">
        <v>3933423217901</v>
      </c>
      <c r="AE68" t="inlineStr">
        <is>
          <t>1827678362</t>
        </is>
      </c>
      <c r="AF68" t="inlineStr">
        <is>
          <t>8ada6cd7134b71f7619c380ea8abe499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755.019749</v>
      </c>
      <c r="M69" t="n">
        <v>37.759395</v>
      </c>
      <c r="N69" t="n">
        <v>44.364759</v>
      </c>
      <c r="O69" t="n">
        <v>46.542046</v>
      </c>
      <c r="P69" t="n">
        <v>16.903175</v>
      </c>
      <c r="Q69" t="n">
        <v>14.800165</v>
      </c>
      <c r="R69" t="n">
        <v>49.078662</v>
      </c>
      <c r="S69" t="n">
        <v>46.828569</v>
      </c>
      <c r="T69" t="n">
        <v>34.49027</v>
      </c>
      <c r="U69" t="n">
        <v>39.370028</v>
      </c>
      <c r="V69" t="n">
        <v>37.70512</v>
      </c>
      <c r="W69" t="n">
        <v>44.344846</v>
      </c>
      <c r="X69" t="n">
        <v>46.50906</v>
      </c>
      <c r="Y69" t="n">
        <v>0.570283</v>
      </c>
      <c r="Z69" t="n">
        <v>1055.38</v>
      </c>
      <c r="AA69" t="n">
        <v>0.54</v>
      </c>
      <c r="AB69" t="n">
        <v>6505489758535</v>
      </c>
      <c r="AC69" t="n">
        <v>2937692269</v>
      </c>
      <c r="AD69" t="n">
        <v>2759176232825</v>
      </c>
      <c r="AE69" t="inlineStr">
        <is>
          <t>1461906593</t>
        </is>
      </c>
      <c r="AF69" t="inlineStr">
        <is>
          <t>e428eed37512b28ee871ef37da6b292d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358.692385</v>
      </c>
      <c r="M70" t="n">
        <v>35.394809</v>
      </c>
      <c r="N70" t="n">
        <v>42.556599</v>
      </c>
      <c r="O70" t="n">
        <v>44.189174</v>
      </c>
      <c r="P70" t="n">
        <v>13.577155</v>
      </c>
      <c r="Q70" t="n">
        <v>12.822461</v>
      </c>
      <c r="R70" t="n">
        <v>30.508919</v>
      </c>
      <c r="S70" t="n">
        <v>28.907145</v>
      </c>
      <c r="T70" t="n">
        <v>31.823423</v>
      </c>
      <c r="U70" t="n">
        <v>37.280102</v>
      </c>
      <c r="V70" t="n">
        <v>35.318204</v>
      </c>
      <c r="W70" t="n">
        <v>42.533507</v>
      </c>
      <c r="X70" t="n">
        <v>44.141954</v>
      </c>
      <c r="Y70" t="n">
        <v>0.693052</v>
      </c>
      <c r="Z70" t="n">
        <v>750.55</v>
      </c>
      <c r="AA70" t="n">
        <v>0.49</v>
      </c>
      <c r="AB70" t="n">
        <v>4586467233067</v>
      </c>
      <c r="AC70" t="n">
        <v>2322793098</v>
      </c>
      <c r="AD70" t="n">
        <v>1963416345266</v>
      </c>
      <c r="AE70" t="inlineStr">
        <is>
          <t>1335986208</t>
        </is>
      </c>
      <c r="AF70" t="inlineStr">
        <is>
          <t>ddaad0cc7ee53eeff73460db4a8814e3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169.945747</v>
      </c>
      <c r="M71" t="n">
        <v>32.581205</v>
      </c>
      <c r="N71" t="n">
        <v>40.473164</v>
      </c>
      <c r="O71" t="n">
        <v>41.647553</v>
      </c>
      <c r="P71" t="n">
        <v>10.574897</v>
      </c>
      <c r="Q71" t="n">
        <v>10.762967</v>
      </c>
      <c r="R71" t="n">
        <v>12.388637</v>
      </c>
      <c r="S71" t="n">
        <v>11.579338</v>
      </c>
      <c r="T71" t="n">
        <v>28.923477</v>
      </c>
      <c r="U71" t="n">
        <v>34.781452</v>
      </c>
      <c r="V71" t="n">
        <v>32.496445</v>
      </c>
      <c r="W71" t="n">
        <v>40.447233</v>
      </c>
      <c r="X71" t="n">
        <v>41.592891</v>
      </c>
      <c r="Y71" t="n">
        <v>0.822348</v>
      </c>
      <c r="Z71" t="n">
        <v>490.9</v>
      </c>
      <c r="AA71" t="n">
        <v>0.26</v>
      </c>
      <c r="AB71" t="n">
        <v>3147123440358</v>
      </c>
      <c r="AC71" t="n">
        <v>1533984681</v>
      </c>
      <c r="AD71" t="n">
        <v>1287600030595</v>
      </c>
      <c r="AE71" t="inlineStr">
        <is>
          <t>698060205</t>
        </is>
      </c>
      <c r="AF71" t="inlineStr">
        <is>
          <t>df35676b7a8f13ed58a1ba656061a9bb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79.364328</v>
      </c>
      <c r="M72" t="n">
        <v>29.566416</v>
      </c>
      <c r="N72" t="n">
        <v>37.935094</v>
      </c>
      <c r="O72" t="n">
        <v>38.96408</v>
      </c>
      <c r="P72" t="n">
        <v>8.082784</v>
      </c>
      <c r="Q72" t="n">
        <v>8.873383</v>
      </c>
      <c r="R72" t="n">
        <v>1.23806</v>
      </c>
      <c r="S72" t="n">
        <v>1.114696</v>
      </c>
      <c r="T72" t="n">
        <v>25.950878</v>
      </c>
      <c r="U72" t="n">
        <v>31.940293</v>
      </c>
      <c r="V72" t="n">
        <v>29.480586</v>
      </c>
      <c r="W72" t="n">
        <v>37.894203</v>
      </c>
      <c r="X72" t="n">
        <v>38.893845</v>
      </c>
      <c r="Y72" t="n">
        <v>1.023103</v>
      </c>
      <c r="Z72" t="n">
        <v>256.78</v>
      </c>
      <c r="AA72" t="n">
        <v>0.18</v>
      </c>
      <c r="AB72" t="n">
        <v>2080653093776</v>
      </c>
      <c r="AC72" t="n">
        <v>1137414657</v>
      </c>
      <c r="AD72" t="n">
        <v>882157918689</v>
      </c>
      <c r="AE72" t="inlineStr">
        <is>
          <t>599034758</t>
        </is>
      </c>
      <c r="AF72" t="inlineStr">
        <is>
          <t>6c40a6ac3d4251df5a786516d1b1b12c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40.877277</v>
      </c>
      <c r="M73" t="n">
        <v>26.563267</v>
      </c>
      <c r="N73" t="n">
        <v>35.683364</v>
      </c>
      <c r="O73" t="n">
        <v>36.337822</v>
      </c>
      <c r="P73" t="n">
        <v>6.220985</v>
      </c>
      <c r="Q73" t="n">
        <v>7.338008</v>
      </c>
      <c r="R73" t="n">
        <v>0.003148</v>
      </c>
      <c r="S73" t="n">
        <v>0</v>
      </c>
      <c r="T73" t="n">
        <v>23.031688</v>
      </c>
      <c r="U73" t="n">
        <v>29.070753</v>
      </c>
      <c r="V73" t="n">
        <v>26.484565</v>
      </c>
      <c r="W73" t="n">
        <v>35.647841</v>
      </c>
      <c r="X73" t="n">
        <v>36.215207</v>
      </c>
      <c r="Y73" t="n">
        <v>1.09117</v>
      </c>
      <c r="Z73" t="n">
        <v>177.76</v>
      </c>
      <c r="AA73" t="n">
        <v>0.13</v>
      </c>
      <c r="AB73" t="n">
        <v>1373320550105</v>
      </c>
      <c r="AC73" t="n">
        <v>823654865</v>
      </c>
      <c r="AD73" t="n">
        <v>610628802147</v>
      </c>
      <c r="AE73" t="inlineStr">
        <is>
          <t>461783931</t>
        </is>
      </c>
      <c r="AF73" t="inlineStr">
        <is>
          <t>9174f4648c29baa201311a5060a1d75f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27068.0458</v>
      </c>
      <c r="M74" t="n">
        <v>42.912045</v>
      </c>
      <c r="N74" t="n">
        <v>48.489405</v>
      </c>
      <c r="O74" t="n">
        <v>48.615082</v>
      </c>
      <c r="P74" t="n">
        <v>31.849486</v>
      </c>
      <c r="Q74" t="n">
        <v>22.571435</v>
      </c>
      <c r="R74" t="n">
        <v>99.97102700000001</v>
      </c>
      <c r="S74" t="n">
        <v>99.962586</v>
      </c>
      <c r="T74" t="n">
        <v>44.184421</v>
      </c>
      <c r="U74" t="n">
        <v>43.811939</v>
      </c>
      <c r="V74" t="n">
        <v>42.818131</v>
      </c>
      <c r="W74" t="n">
        <v>48.399073</v>
      </c>
      <c r="X74" t="n">
        <v>48.514894</v>
      </c>
      <c r="Y74" t="n">
        <v>0.01563</v>
      </c>
      <c r="Z74" t="n">
        <v>25989.96</v>
      </c>
      <c r="AA74" t="n">
        <v>22.16</v>
      </c>
      <c r="AB74" t="n">
        <v>172743816662264</v>
      </c>
      <c r="AC74" t="n">
        <v>76562016148</v>
      </c>
      <c r="AD74" t="n">
        <v>73752877035550</v>
      </c>
      <c r="AE74" t="inlineStr">
        <is>
          <t>64302285249</t>
        </is>
      </c>
      <c r="AF74" t="inlineStr">
        <is>
          <t>a2b0414e853237fabce9cc079b00e103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12171.45808</v>
      </c>
      <c r="M75" t="n">
        <v>41.297717</v>
      </c>
      <c r="N75" t="n">
        <v>46.318024</v>
      </c>
      <c r="O75" t="n">
        <v>46.537372</v>
      </c>
      <c r="P75" t="n">
        <v>28.43545</v>
      </c>
      <c r="Q75" t="n">
        <v>20.559957</v>
      </c>
      <c r="R75" t="n">
        <v>99.956761</v>
      </c>
      <c r="S75" t="n">
        <v>99.94510699999999</v>
      </c>
      <c r="T75" t="n">
        <v>40.810367</v>
      </c>
      <c r="U75" t="n">
        <v>42.084317</v>
      </c>
      <c r="V75" t="n">
        <v>41.231403</v>
      </c>
      <c r="W75" t="n">
        <v>46.235494</v>
      </c>
      <c r="X75" t="n">
        <v>46.441328</v>
      </c>
      <c r="Y75" t="n">
        <v>0.016286</v>
      </c>
      <c r="Z75" t="n">
        <v>29292.14</v>
      </c>
      <c r="AA75" t="n">
        <v>16.25</v>
      </c>
      <c r="AB75" t="n">
        <v>185839618272146</v>
      </c>
      <c r="AC75" t="n">
        <v>67443406243</v>
      </c>
      <c r="AD75" t="n">
        <v>77205239386247</v>
      </c>
      <c r="AE75" t="inlineStr">
        <is>
          <t>44110524710</t>
        </is>
      </c>
      <c r="AF75" t="inlineStr">
        <is>
          <t>591fb1cdb3a148e56af0a2478bb0db55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5659.488819</v>
      </c>
      <c r="M76" t="n">
        <v>38.726495</v>
      </c>
      <c r="N76" t="n">
        <v>43.659829</v>
      </c>
      <c r="O76" t="n">
        <v>44.010358</v>
      </c>
      <c r="P76" t="n">
        <v>23.94511</v>
      </c>
      <c r="Q76" t="n">
        <v>17.653103</v>
      </c>
      <c r="R76" t="n">
        <v>95.233099</v>
      </c>
      <c r="S76" t="n">
        <v>93.232782</v>
      </c>
      <c r="T76" t="n">
        <v>36.508737</v>
      </c>
      <c r="U76" t="n">
        <v>39.645726</v>
      </c>
      <c r="V76" t="n">
        <v>38.651466</v>
      </c>
      <c r="W76" t="n">
        <v>43.577325</v>
      </c>
      <c r="X76" t="n">
        <v>43.913605</v>
      </c>
      <c r="Y76" t="n">
        <v>0.017953</v>
      </c>
      <c r="Z76" t="n">
        <v>20195.88</v>
      </c>
      <c r="AA76" t="n">
        <v>13.04</v>
      </c>
      <c r="AB76" t="n">
        <v>132856711262623</v>
      </c>
      <c r="AC76" t="n">
        <v>56351023538</v>
      </c>
      <c r="AD76" t="n">
        <v>53415593237349</v>
      </c>
      <c r="AE76" t="inlineStr">
        <is>
          <t>35505066065</t>
        </is>
      </c>
      <c r="AF76" t="inlineStr">
        <is>
          <t>2627ae7352f2ec81f40aee6b4c4b0673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2679.15838</v>
      </c>
      <c r="M77" t="n">
        <v>35.620521</v>
      </c>
      <c r="N77" t="n">
        <v>41.027513</v>
      </c>
      <c r="O77" t="n">
        <v>41.379949</v>
      </c>
      <c r="P77" t="n">
        <v>19.241266</v>
      </c>
      <c r="Q77" t="n">
        <v>14.405403</v>
      </c>
      <c r="R77" t="n">
        <v>77.361902</v>
      </c>
      <c r="S77" t="n">
        <v>75.688813</v>
      </c>
      <c r="T77" t="n">
        <v>32.238228</v>
      </c>
      <c r="U77" t="n">
        <v>36.877826</v>
      </c>
      <c r="V77" t="n">
        <v>35.539722</v>
      </c>
      <c r="W77" t="n">
        <v>40.944788</v>
      </c>
      <c r="X77" t="n">
        <v>41.282021</v>
      </c>
      <c r="Y77" t="n">
        <v>0.020119</v>
      </c>
      <c r="Z77" t="n">
        <v>14968.05</v>
      </c>
      <c r="AA77" t="n">
        <v>11.3</v>
      </c>
      <c r="AB77" t="n">
        <v>91540509078754</v>
      </c>
      <c r="AC77" t="n">
        <v>45584435765</v>
      </c>
      <c r="AD77" t="n">
        <v>39489925707618</v>
      </c>
      <c r="AE77" t="inlineStr">
        <is>
          <t>31006107181</t>
        </is>
      </c>
      <c r="AF77" t="inlineStr">
        <is>
          <t>b9b96ad2d8182f7df8f8566761e93145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1200.999616</v>
      </c>
      <c r="M78" t="n">
        <v>32.17234</v>
      </c>
      <c r="N78" t="n">
        <v>38.39788</v>
      </c>
      <c r="O78" t="n">
        <v>38.675283</v>
      </c>
      <c r="P78" t="n">
        <v>14.570024</v>
      </c>
      <c r="Q78" t="n">
        <v>11.101809</v>
      </c>
      <c r="R78" t="n">
        <v>51.510768</v>
      </c>
      <c r="S78" t="n">
        <v>50.421661</v>
      </c>
      <c r="T78" t="n">
        <v>28.122418</v>
      </c>
      <c r="U78" t="n">
        <v>33.84146</v>
      </c>
      <c r="V78" t="n">
        <v>32.08759</v>
      </c>
      <c r="W78" t="n">
        <v>38.318454</v>
      </c>
      <c r="X78" t="n">
        <v>38.57984</v>
      </c>
      <c r="Y78" t="n">
        <v>0.044217</v>
      </c>
      <c r="Z78" t="n">
        <v>9471.1</v>
      </c>
      <c r="AA78" t="n">
        <v>9.82</v>
      </c>
      <c r="AB78" t="n">
        <v>58733218994063</v>
      </c>
      <c r="AC78" t="n">
        <v>37429345254</v>
      </c>
      <c r="AD78" t="n">
        <v>24827208903884</v>
      </c>
      <c r="AE78" t="inlineStr">
        <is>
          <t>26915814762</t>
        </is>
      </c>
      <c r="AF78" t="inlineStr">
        <is>
          <t>e7af4a6151131b955e74dc23062c90a6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522.621993</v>
      </c>
      <c r="M79" t="n">
        <v>28.892529</v>
      </c>
      <c r="N79" t="n">
        <v>35.933856</v>
      </c>
      <c r="O79" t="n">
        <v>35.921061</v>
      </c>
      <c r="P79" t="n">
        <v>10.471373</v>
      </c>
      <c r="Q79" t="n">
        <v>8.225108000000001</v>
      </c>
      <c r="R79" t="n">
        <v>28.548651</v>
      </c>
      <c r="S79" t="n">
        <v>28.001732</v>
      </c>
      <c r="T79" t="n">
        <v>24.575872</v>
      </c>
      <c r="U79" t="n">
        <v>30.847495</v>
      </c>
      <c r="V79" t="n">
        <v>28.801567</v>
      </c>
      <c r="W79" t="n">
        <v>35.85359</v>
      </c>
      <c r="X79" t="n">
        <v>35.817993</v>
      </c>
      <c r="Y79" t="n">
        <v>0.132442</v>
      </c>
      <c r="Z79" t="n">
        <v>6134.72</v>
      </c>
      <c r="AA79" t="n">
        <v>7.95</v>
      </c>
      <c r="AB79" t="n">
        <v>37412641953194</v>
      </c>
      <c r="AC79" t="n">
        <v>31063630065</v>
      </c>
      <c r="AD79" t="n">
        <v>16142376018432</v>
      </c>
      <c r="AE79" t="inlineStr">
        <is>
          <t>21608335288</t>
        </is>
      </c>
      <c r="AF79" t="inlineStr">
        <is>
          <t>84562f018a241bc1987a30aea42dccd5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16239.975409</v>
      </c>
      <c r="M80" t="n">
        <v>41.968153</v>
      </c>
      <c r="N80" t="n">
        <v>47.089054</v>
      </c>
      <c r="O80" t="n">
        <v>47.197789</v>
      </c>
      <c r="P80" t="n">
        <v>30.009336</v>
      </c>
      <c r="Q80" t="n">
        <v>21.475194</v>
      </c>
      <c r="R80" t="n">
        <v>99.962576</v>
      </c>
      <c r="S80" t="n">
        <v>99.951813</v>
      </c>
      <c r="T80" t="n">
        <v>42.29248</v>
      </c>
      <c r="U80" t="n">
        <v>42.775231</v>
      </c>
      <c r="V80" t="n">
        <v>41.898797</v>
      </c>
      <c r="W80" t="n">
        <v>46.9966</v>
      </c>
      <c r="X80" t="n">
        <v>47.08854</v>
      </c>
      <c r="Y80" t="n">
        <v>0.017339</v>
      </c>
      <c r="Z80" t="n">
        <v>13765.35</v>
      </c>
      <c r="AA80" t="n">
        <v>9.859999999999999</v>
      </c>
      <c r="AB80" t="n">
        <v>84852054229626</v>
      </c>
      <c r="AC80" t="n">
        <v>38256138804</v>
      </c>
      <c r="AD80" t="n">
        <v>36408054926445</v>
      </c>
      <c r="AE80" t="inlineStr">
        <is>
          <t>26466946214</t>
        </is>
      </c>
      <c r="AF80" t="inlineStr">
        <is>
          <t>3d24c99ceb4644fc457c6f86b9c96850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7810.079152</v>
      </c>
      <c r="M81" t="n">
        <v>40.002661</v>
      </c>
      <c r="N81" t="n">
        <v>44.797982</v>
      </c>
      <c r="O81" t="n">
        <v>45.081716</v>
      </c>
      <c r="P81" t="n">
        <v>26.172552</v>
      </c>
      <c r="Q81" t="n">
        <v>19.103285</v>
      </c>
      <c r="R81" t="n">
        <v>99.76026400000001</v>
      </c>
      <c r="S81" t="n">
        <v>98.85103599999999</v>
      </c>
      <c r="T81" t="n">
        <v>38.564801</v>
      </c>
      <c r="U81" t="n">
        <v>40.810753</v>
      </c>
      <c r="V81" t="n">
        <v>39.93407</v>
      </c>
      <c r="W81" t="n">
        <v>44.706924</v>
      </c>
      <c r="X81" t="n">
        <v>44.973042</v>
      </c>
      <c r="Y81" t="n">
        <v>0.019104</v>
      </c>
      <c r="Z81" t="n">
        <v>15559.67</v>
      </c>
      <c r="AA81" t="n">
        <v>7.89</v>
      </c>
      <c r="AB81" t="n">
        <v>96241179431144</v>
      </c>
      <c r="AC81" t="n">
        <v>33349319362</v>
      </c>
      <c r="AD81" t="n">
        <v>40976315456357</v>
      </c>
      <c r="AE81" t="inlineStr">
        <is>
          <t>21289969822</t>
        </is>
      </c>
      <c r="AF81" t="inlineStr">
        <is>
          <t>e07768fac91ba1116c5c830535b1b94b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3627.362176</v>
      </c>
      <c r="M82" t="n">
        <v>37.12734</v>
      </c>
      <c r="N82" t="n">
        <v>42.174721</v>
      </c>
      <c r="O82" t="n">
        <v>42.605077</v>
      </c>
      <c r="P82" t="n">
        <v>21.489236</v>
      </c>
      <c r="Q82" t="n">
        <v>15.972304</v>
      </c>
      <c r="R82" t="n">
        <v>88.02350300000001</v>
      </c>
      <c r="S82" t="n">
        <v>85.730087</v>
      </c>
      <c r="T82" t="n">
        <v>34.232196</v>
      </c>
      <c r="U82" t="n">
        <v>38.212419</v>
      </c>
      <c r="V82" t="n">
        <v>37.048439</v>
      </c>
      <c r="W82" t="n">
        <v>42.08401</v>
      </c>
      <c r="X82" t="n">
        <v>42.49151</v>
      </c>
      <c r="Y82" t="n">
        <v>0.022912</v>
      </c>
      <c r="Z82" t="n">
        <v>11618.63</v>
      </c>
      <c r="AA82" t="n">
        <v>6.93</v>
      </c>
      <c r="AB82" t="n">
        <v>74275068146773</v>
      </c>
      <c r="AC82" t="n">
        <v>27719154182</v>
      </c>
      <c r="AD82" t="n">
        <v>30716198073836</v>
      </c>
      <c r="AE82" t="inlineStr">
        <is>
          <t>18913358394</t>
        </is>
      </c>
      <c r="AF82" t="inlineStr">
        <is>
          <t>80790351c9bdc28fd91f9369264169f8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1673.224007</v>
      </c>
      <c r="M83" t="n">
        <v>33.911658</v>
      </c>
      <c r="N83" t="n">
        <v>39.684838</v>
      </c>
      <c r="O83" t="n">
        <v>40.068285</v>
      </c>
      <c r="P83" t="n">
        <v>16.859576</v>
      </c>
      <c r="Q83" t="n">
        <v>12.736452</v>
      </c>
      <c r="R83" t="n">
        <v>66.340413</v>
      </c>
      <c r="S83" t="n">
        <v>64.666172</v>
      </c>
      <c r="T83" t="n">
        <v>30.135345</v>
      </c>
      <c r="U83" t="n">
        <v>35.409497</v>
      </c>
      <c r="V83" t="n">
        <v>33.82861</v>
      </c>
      <c r="W83" t="n">
        <v>39.592848</v>
      </c>
      <c r="X83" t="n">
        <v>39.954113</v>
      </c>
      <c r="Y83" t="n">
        <v>0.032654</v>
      </c>
      <c r="Z83" t="n">
        <v>8631.379999999999</v>
      </c>
      <c r="AA83" t="n">
        <v>5.53</v>
      </c>
      <c r="AB83" t="n">
        <v>55450424214059</v>
      </c>
      <c r="AC83" t="n">
        <v>22303047250</v>
      </c>
      <c r="AD83" t="n">
        <v>22889124392895</v>
      </c>
      <c r="AE83" t="inlineStr">
        <is>
          <t>15029488738</t>
        </is>
      </c>
      <c r="AF83" t="inlineStr">
        <is>
          <t>4726fa1208c8cb544bb0033be977cfed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717.886421</v>
      </c>
      <c r="M84" t="n">
        <v>30.504412</v>
      </c>
      <c r="N84" t="n">
        <v>37.374244</v>
      </c>
      <c r="O84" t="n">
        <v>37.465685</v>
      </c>
      <c r="P84" t="n">
        <v>12.412424</v>
      </c>
      <c r="Q84" t="n">
        <v>9.590757999999999</v>
      </c>
      <c r="R84" t="n">
        <v>40.341936</v>
      </c>
      <c r="S84" t="n">
        <v>39.392482</v>
      </c>
      <c r="T84" t="n">
        <v>26.286808</v>
      </c>
      <c r="U84" t="n">
        <v>32.439106</v>
      </c>
      <c r="V84" t="n">
        <v>30.417151</v>
      </c>
      <c r="W84" t="n">
        <v>37.29076</v>
      </c>
      <c r="X84" t="n">
        <v>37.359071</v>
      </c>
      <c r="Y84" t="n">
        <v>0.085956</v>
      </c>
      <c r="Z84" t="n">
        <v>5685.09</v>
      </c>
      <c r="AA84" t="n">
        <v>4.03</v>
      </c>
      <c r="AB84" t="n">
        <v>35702861277406</v>
      </c>
      <c r="AC84" t="n">
        <v>17218095480</v>
      </c>
      <c r="AD84" t="n">
        <v>14930824668072</v>
      </c>
      <c r="AE84" t="inlineStr">
        <is>
          <t>10934688389</t>
        </is>
      </c>
      <c r="AF84" t="inlineStr">
        <is>
          <t>f7ba9a4815899113e1722213eadda60e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300.094982</v>
      </c>
      <c r="M85" t="n">
        <v>27.373709</v>
      </c>
      <c r="N85" t="n">
        <v>35.083443</v>
      </c>
      <c r="O85" t="n">
        <v>34.898783</v>
      </c>
      <c r="P85" t="n">
        <v>8.613087999999999</v>
      </c>
      <c r="Q85" t="n">
        <v>6.98214</v>
      </c>
      <c r="R85" t="n">
        <v>20.03432</v>
      </c>
      <c r="S85" t="n">
        <v>19.725764</v>
      </c>
      <c r="T85" t="n">
        <v>23.051633</v>
      </c>
      <c r="U85" t="n">
        <v>29.565581</v>
      </c>
      <c r="V85" t="n">
        <v>27.286959</v>
      </c>
      <c r="W85" t="n">
        <v>35.004552</v>
      </c>
      <c r="X85" t="n">
        <v>34.791394</v>
      </c>
      <c r="Y85" t="n">
        <v>0.168555</v>
      </c>
      <c r="Z85" t="n">
        <v>3291.67</v>
      </c>
      <c r="AA85" t="n">
        <v>3.39</v>
      </c>
      <c r="AB85" t="n">
        <v>21739651629402</v>
      </c>
      <c r="AC85" t="n">
        <v>14485370580</v>
      </c>
      <c r="AD85" t="n">
        <v>9281549186285</v>
      </c>
      <c r="AE85" t="inlineStr">
        <is>
          <t>9839802399</t>
        </is>
      </c>
      <c r="AF85" t="inlineStr">
        <is>
          <t>7daa70c1f28477b06652e3f59ac49352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11750.616153</v>
      </c>
      <c r="M86" t="n">
        <v>40.897649</v>
      </c>
      <c r="N86" t="n">
        <v>45.781645</v>
      </c>
      <c r="O86" t="n">
        <v>45.947451</v>
      </c>
      <c r="P86" t="n">
        <v>28.413004</v>
      </c>
      <c r="Q86" t="n">
        <v>20.39393</v>
      </c>
      <c r="R86" t="n">
        <v>99.95119699999999</v>
      </c>
      <c r="S86" t="n">
        <v>99.93641100000001</v>
      </c>
      <c r="T86" t="n">
        <v>40.573964</v>
      </c>
      <c r="U86" t="n">
        <v>41.755086</v>
      </c>
      <c r="V86" t="n">
        <v>40.820434</v>
      </c>
      <c r="W86" t="n">
        <v>45.680517</v>
      </c>
      <c r="X86" t="n">
        <v>45.813078</v>
      </c>
      <c r="Y86" t="n">
        <v>0.017924</v>
      </c>
      <c r="Z86" t="n">
        <v>8443.77</v>
      </c>
      <c r="AA86" t="n">
        <v>5.59</v>
      </c>
      <c r="AB86" t="n">
        <v>54789476043940</v>
      </c>
      <c r="AC86" t="n">
        <v>24153632804</v>
      </c>
      <c r="AD86" t="n">
        <v>23944756894182</v>
      </c>
      <c r="AE86" t="inlineStr">
        <is>
          <t>16013138173</t>
        </is>
      </c>
      <c r="AF86" t="inlineStr">
        <is>
          <t>aaff86d91e4e5b23fd9bcf382f799de8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5738.499039</v>
      </c>
      <c r="M87" t="n">
        <v>38.798671</v>
      </c>
      <c r="N87" t="n">
        <v>43.565464</v>
      </c>
      <c r="O87" t="n">
        <v>43.910915</v>
      </c>
      <c r="P87" t="n">
        <v>24.399122</v>
      </c>
      <c r="Q87" t="n">
        <v>17.864555</v>
      </c>
      <c r="R87" t="n">
        <v>97.425044</v>
      </c>
      <c r="S87" t="n">
        <v>94.58811799999999</v>
      </c>
      <c r="T87" t="n">
        <v>36.781881</v>
      </c>
      <c r="U87" t="n">
        <v>39.70809</v>
      </c>
      <c r="V87" t="n">
        <v>38.723281</v>
      </c>
      <c r="W87" t="n">
        <v>43.466938</v>
      </c>
      <c r="X87" t="n">
        <v>43.781339</v>
      </c>
      <c r="Y87" t="n">
        <v>0.021184</v>
      </c>
      <c r="Z87" t="n">
        <v>10174.25</v>
      </c>
      <c r="AA87" t="n">
        <v>4.77</v>
      </c>
      <c r="AB87" t="n">
        <v>64235319739790</v>
      </c>
      <c r="AC87" t="n">
        <v>20306157094</v>
      </c>
      <c r="AD87" t="n">
        <v>26736250293192</v>
      </c>
      <c r="AE87" t="inlineStr">
        <is>
          <t>12800240373</t>
        </is>
      </c>
      <c r="AF87" t="inlineStr">
        <is>
          <t>0fb44faee6d104fe6960fa86819baeec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2637.78314</v>
      </c>
      <c r="M88" t="n">
        <v>35.848625</v>
      </c>
      <c r="N88" t="n">
        <v>41.098182</v>
      </c>
      <c r="O88" t="n">
        <v>41.537585</v>
      </c>
      <c r="P88" t="n">
        <v>19.708997</v>
      </c>
      <c r="Q88" t="n">
        <v>14.698808</v>
      </c>
      <c r="R88" t="n">
        <v>81.287797</v>
      </c>
      <c r="S88" t="n">
        <v>78.714448</v>
      </c>
      <c r="T88" t="n">
        <v>32.561295</v>
      </c>
      <c r="U88" t="n">
        <v>37.102636</v>
      </c>
      <c r="V88" t="n">
        <v>35.76473</v>
      </c>
      <c r="W88" t="n">
        <v>40.999065</v>
      </c>
      <c r="X88" t="n">
        <v>41.410454</v>
      </c>
      <c r="Y88" t="n">
        <v>0.026522</v>
      </c>
      <c r="Z88" t="n">
        <v>7460.21</v>
      </c>
      <c r="AA88" t="n">
        <v>3.89</v>
      </c>
      <c r="AB88" t="n">
        <v>49829374119608</v>
      </c>
      <c r="AC88" t="n">
        <v>16727012081</v>
      </c>
      <c r="AD88" t="n">
        <v>21161933804829</v>
      </c>
      <c r="AE88" t="inlineStr">
        <is>
          <t>11288908589</t>
        </is>
      </c>
      <c r="AF88" t="inlineStr">
        <is>
          <t>d3f1807a113f1648de0722918e066222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1191.774379</v>
      </c>
      <c r="M89" t="n">
        <v>32.624178</v>
      </c>
      <c r="N89" t="n">
        <v>38.803807</v>
      </c>
      <c r="O89" t="n">
        <v>39.134153</v>
      </c>
      <c r="P89" t="n">
        <v>15.189924</v>
      </c>
      <c r="Q89" t="n">
        <v>11.533485</v>
      </c>
      <c r="R89" t="n">
        <v>57.060847</v>
      </c>
      <c r="S89" t="n">
        <v>55.50375</v>
      </c>
      <c r="T89" t="n">
        <v>28.638334</v>
      </c>
      <c r="U89" t="n">
        <v>34.316625</v>
      </c>
      <c r="V89" t="n">
        <v>32.537854</v>
      </c>
      <c r="W89" t="n">
        <v>38.709413</v>
      </c>
      <c r="X89" t="n">
        <v>39.015248</v>
      </c>
      <c r="Y89" t="n">
        <v>0.059429</v>
      </c>
      <c r="Z89" t="n">
        <v>6018.47</v>
      </c>
      <c r="AA89" t="n">
        <v>3.54</v>
      </c>
      <c r="AB89" t="n">
        <v>37301299622851</v>
      </c>
      <c r="AC89" t="n">
        <v>13246601940</v>
      </c>
      <c r="AD89" t="n">
        <v>15912099662702</v>
      </c>
      <c r="AE89" t="inlineStr">
        <is>
          <t>9576679727</t>
        </is>
      </c>
      <c r="AF89" t="inlineStr">
        <is>
          <t>c909da87337ad2ebb8e07ee3ca408864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495.0385</v>
      </c>
      <c r="M90" t="n">
        <v>29.317776</v>
      </c>
      <c r="N90" t="n">
        <v>36.613158</v>
      </c>
      <c r="O90" t="n">
        <v>36.656072</v>
      </c>
      <c r="P90" t="n">
        <v>10.954778</v>
      </c>
      <c r="Q90" t="n">
        <v>8.571415999999999</v>
      </c>
      <c r="R90" t="n">
        <v>32.524462</v>
      </c>
      <c r="S90" t="n">
        <v>31.767893</v>
      </c>
      <c r="T90" t="n">
        <v>25.031524</v>
      </c>
      <c r="U90" t="n">
        <v>31.406735</v>
      </c>
      <c r="V90" t="n">
        <v>29.228166</v>
      </c>
      <c r="W90" t="n">
        <v>36.532062</v>
      </c>
      <c r="X90" t="n">
        <v>36.53975</v>
      </c>
      <c r="Y90" t="n">
        <v>0.133513</v>
      </c>
      <c r="Z90" t="n">
        <v>3990.67</v>
      </c>
      <c r="AA90" t="n">
        <v>2.14</v>
      </c>
      <c r="AB90" t="n">
        <v>25021547736565</v>
      </c>
      <c r="AC90" t="n">
        <v>9791844595</v>
      </c>
      <c r="AD90" t="n">
        <v>10503560123495</v>
      </c>
      <c r="AE90" t="inlineStr">
        <is>
          <t>5803339619</t>
        </is>
      </c>
      <c r="AF90" t="inlineStr">
        <is>
          <t>ecf8ab47023c983d90259383561d4ed9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198.207946</v>
      </c>
      <c r="M91" t="n">
        <v>26.330698</v>
      </c>
      <c r="N91" t="n">
        <v>34.425685</v>
      </c>
      <c r="O91" t="n">
        <v>34.186554</v>
      </c>
      <c r="P91" t="n">
        <v>7.395754</v>
      </c>
      <c r="Q91" t="n">
        <v>6.187217</v>
      </c>
      <c r="R91" t="n">
        <v>15.025397</v>
      </c>
      <c r="S91" t="n">
        <v>14.884292</v>
      </c>
      <c r="T91" t="n">
        <v>22.041974</v>
      </c>
      <c r="U91" t="n">
        <v>28.610741</v>
      </c>
      <c r="V91" t="n">
        <v>26.242974</v>
      </c>
      <c r="W91" t="n">
        <v>34.334994</v>
      </c>
      <c r="X91" t="n">
        <v>34.076484</v>
      </c>
      <c r="Y91" t="n">
        <v>0.207886</v>
      </c>
      <c r="Z91" t="n">
        <v>2323.81</v>
      </c>
      <c r="AA91" t="n">
        <v>2.13</v>
      </c>
      <c r="AB91" t="n">
        <v>14470567789739</v>
      </c>
      <c r="AC91" t="n">
        <v>8184697586</v>
      </c>
      <c r="AD91" t="n">
        <v>6083426482195</v>
      </c>
      <c r="AE91" t="inlineStr">
        <is>
          <t>5702998430</t>
        </is>
      </c>
      <c r="AF91" t="inlineStr">
        <is>
          <t>f547e8fe66f48a3a831f33066d40145f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7361.318067</v>
      </c>
      <c r="M92" t="n">
        <v>38.353641</v>
      </c>
      <c r="N92" t="n">
        <v>43.659905</v>
      </c>
      <c r="O92" t="n">
        <v>43.982831</v>
      </c>
      <c r="P92" t="n">
        <v>25.793874</v>
      </c>
      <c r="Q92" t="n">
        <v>18.114614</v>
      </c>
      <c r="R92" t="n">
        <v>97.27803900000001</v>
      </c>
      <c r="S92" t="n">
        <v>94.486705</v>
      </c>
      <c r="T92" t="n">
        <v>36.70931</v>
      </c>
      <c r="U92" t="n">
        <v>39.747939</v>
      </c>
      <c r="V92" t="n">
        <v>38.198069</v>
      </c>
      <c r="W92" t="n">
        <v>43.542846</v>
      </c>
      <c r="X92" t="n">
        <v>43.810473</v>
      </c>
      <c r="Y92" t="n">
        <v>0.015574</v>
      </c>
      <c r="Z92" t="n">
        <v>6661.79</v>
      </c>
      <c r="AA92" t="n">
        <v>2.95</v>
      </c>
      <c r="AB92" t="n">
        <v>39438171205418</v>
      </c>
      <c r="AC92" t="n">
        <v>12889475410</v>
      </c>
      <c r="AD92" t="n">
        <v>17504755008071</v>
      </c>
      <c r="AE92" t="inlineStr">
        <is>
          <t>7833678643</t>
        </is>
      </c>
      <c r="AF92" t="inlineStr">
        <is>
          <t>5acd6aee17945cb9747bfc34838ddb7e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3618.638592</v>
      </c>
      <c r="M93" t="n">
        <v>36.528646</v>
      </c>
      <c r="N93" t="n">
        <v>41.761078</v>
      </c>
      <c r="O93" t="n">
        <v>42.143039</v>
      </c>
      <c r="P93" t="n">
        <v>21.753146</v>
      </c>
      <c r="Q93" t="n">
        <v>15.763953</v>
      </c>
      <c r="R93" t="n">
        <v>86.724801</v>
      </c>
      <c r="S93" t="n">
        <v>83.87532400000001</v>
      </c>
      <c r="T93" t="n">
        <v>33.701839</v>
      </c>
      <c r="U93" t="n">
        <v>37.859152</v>
      </c>
      <c r="V93" t="n">
        <v>36.41194</v>
      </c>
      <c r="W93" t="n">
        <v>41.65271</v>
      </c>
      <c r="X93" t="n">
        <v>41.994135</v>
      </c>
      <c r="Y93" t="n">
        <v>0.022497</v>
      </c>
      <c r="Z93" t="n">
        <v>5466.6</v>
      </c>
      <c r="AA93" t="n">
        <v>2.21</v>
      </c>
      <c r="AB93" t="n">
        <v>36745942385486</v>
      </c>
      <c r="AC93" t="n">
        <v>10403365823</v>
      </c>
      <c r="AD93" t="n">
        <v>15427247032219</v>
      </c>
      <c r="AE93" t="inlineStr">
        <is>
          <t>6290311986</t>
        </is>
      </c>
      <c r="AF93" t="inlineStr">
        <is>
          <t>af5aea24faf18d62fc5394dbe87878cf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1651.236148</v>
      </c>
      <c r="M94" t="n">
        <v>33.850049</v>
      </c>
      <c r="N94" t="n">
        <v>39.61064</v>
      </c>
      <c r="O94" t="n">
        <v>39.986957</v>
      </c>
      <c r="P94" t="n">
        <v>17.205037</v>
      </c>
      <c r="Q94" t="n">
        <v>12.822334</v>
      </c>
      <c r="R94" t="n">
        <v>67.391031</v>
      </c>
      <c r="S94" t="n">
        <v>65.050254</v>
      </c>
      <c r="T94" t="n">
        <v>30.11329</v>
      </c>
      <c r="U94" t="n">
        <v>35.421198</v>
      </c>
      <c r="V94" t="n">
        <v>33.752596</v>
      </c>
      <c r="W94" t="n">
        <v>39.506607</v>
      </c>
      <c r="X94" t="n">
        <v>39.845293</v>
      </c>
      <c r="Y94" t="n">
        <v>0.039121</v>
      </c>
      <c r="Z94" t="n">
        <v>4557.41</v>
      </c>
      <c r="AA94" t="n">
        <v>1.83</v>
      </c>
      <c r="AB94" t="n">
        <v>29241709976682</v>
      </c>
      <c r="AC94" t="n">
        <v>8386733414</v>
      </c>
      <c r="AD94" t="n">
        <v>11977465484964</v>
      </c>
      <c r="AE94" t="inlineStr">
        <is>
          <t>4851344283</t>
        </is>
      </c>
      <c r="AF94" t="inlineStr">
        <is>
          <t>4f411821f9acffcf9848d567fff9dc19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726.550987</v>
      </c>
      <c r="M95" t="n">
        <v>30.818399</v>
      </c>
      <c r="N95" t="n">
        <v>37.634616</v>
      </c>
      <c r="O95" t="n">
        <v>37.800688</v>
      </c>
      <c r="P95" t="n">
        <v>12.923345</v>
      </c>
      <c r="Q95" t="n">
        <v>9.909096999999999</v>
      </c>
      <c r="R95" t="n">
        <v>43.328275</v>
      </c>
      <c r="S95" t="n">
        <v>42.034638</v>
      </c>
      <c r="T95" t="n">
        <v>26.624786</v>
      </c>
      <c r="U95" t="n">
        <v>32.788501</v>
      </c>
      <c r="V95" t="n">
        <v>30.726979</v>
      </c>
      <c r="W95" t="n">
        <v>37.535622</v>
      </c>
      <c r="X95" t="n">
        <v>37.671542</v>
      </c>
      <c r="Y95" t="n">
        <v>0.10455</v>
      </c>
      <c r="Z95" t="n">
        <v>3171.62</v>
      </c>
      <c r="AA95" t="n">
        <v>1.32</v>
      </c>
      <c r="AB95" t="n">
        <v>21545444200286</v>
      </c>
      <c r="AC95" t="n">
        <v>6323642824</v>
      </c>
      <c r="AD95" t="n">
        <v>9005237729536</v>
      </c>
      <c r="AE95" t="inlineStr">
        <is>
          <t>3789354767</t>
        </is>
      </c>
      <c r="AF95" t="inlineStr">
        <is>
          <t>42ab96ed5b7cd9ada6e4a14cba3d576f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290.006609</v>
      </c>
      <c r="M96" t="n">
        <v>27.701583</v>
      </c>
      <c r="N96" t="n">
        <v>35.620685</v>
      </c>
      <c r="O96" t="n">
        <v>35.48708</v>
      </c>
      <c r="P96" t="n">
        <v>9.021364999999999</v>
      </c>
      <c r="Q96" t="n">
        <v>7.256554</v>
      </c>
      <c r="R96" t="n">
        <v>22.081389</v>
      </c>
      <c r="S96" t="n">
        <v>21.674658</v>
      </c>
      <c r="T96" t="n">
        <v>23.390562</v>
      </c>
      <c r="U96" t="n">
        <v>29.991908</v>
      </c>
      <c r="V96" t="n">
        <v>27.609012</v>
      </c>
      <c r="W96" t="n">
        <v>35.531626</v>
      </c>
      <c r="X96" t="n">
        <v>35.369078</v>
      </c>
      <c r="Y96" t="n">
        <v>0.203891</v>
      </c>
      <c r="Z96" t="n">
        <v>2382.57</v>
      </c>
      <c r="AA96" t="n">
        <v>0.98</v>
      </c>
      <c r="AB96" t="n">
        <v>15097620329533</v>
      </c>
      <c r="AC96" t="n">
        <v>4555289183</v>
      </c>
      <c r="AD96" t="n">
        <v>6293273554333</v>
      </c>
      <c r="AE96" t="inlineStr">
        <is>
          <t>2632776764</t>
        </is>
      </c>
      <c r="AF96" t="inlineStr">
        <is>
          <t>7a5b05ce5cabeb314c7aa90b75e3bdad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113.12257</v>
      </c>
      <c r="M97" t="n">
        <v>24.920067</v>
      </c>
      <c r="N97" t="n">
        <v>33.570428</v>
      </c>
      <c r="O97" t="n">
        <v>33.162735</v>
      </c>
      <c r="P97" t="n">
        <v>5.855914</v>
      </c>
      <c r="Q97" t="n">
        <v>5.197707</v>
      </c>
      <c r="R97" t="n">
        <v>9.920702</v>
      </c>
      <c r="S97" t="n">
        <v>9.948999000000001</v>
      </c>
      <c r="T97" t="n">
        <v>20.718466</v>
      </c>
      <c r="U97" t="n">
        <v>27.363319</v>
      </c>
      <c r="V97" t="n">
        <v>24.832328</v>
      </c>
      <c r="W97" t="n">
        <v>33.472235</v>
      </c>
      <c r="X97" t="n">
        <v>33.055383</v>
      </c>
      <c r="Y97" t="n">
        <v>0.277951</v>
      </c>
      <c r="Z97" t="n">
        <v>1350.82</v>
      </c>
      <c r="AA97" t="n">
        <v>0.77</v>
      </c>
      <c r="AB97" t="n">
        <v>8512787129006</v>
      </c>
      <c r="AC97" t="n">
        <v>3738975046</v>
      </c>
      <c r="AD97" t="n">
        <v>3536621535861</v>
      </c>
      <c r="AE97" t="inlineStr">
        <is>
          <t>2045632734</t>
        </is>
      </c>
      <c r="AF97" t="inlineStr">
        <is>
          <t>1ff6c5719d7974c3d38dafe0d3bf5dc5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5229.823715</v>
      </c>
      <c r="M98" t="n">
        <v>35.908789</v>
      </c>
      <c r="N98" t="n">
        <v>42.125468</v>
      </c>
      <c r="O98" t="n">
        <v>42.520632</v>
      </c>
      <c r="P98" t="n">
        <v>23.911677</v>
      </c>
      <c r="Q98" t="n">
        <v>15.714662</v>
      </c>
      <c r="R98" t="n">
        <v>85.604642</v>
      </c>
      <c r="S98" t="n">
        <v>83.015745</v>
      </c>
      <c r="T98" t="n">
        <v>32.900061</v>
      </c>
      <c r="U98" t="n">
        <v>37.921385</v>
      </c>
      <c r="V98" t="n">
        <v>35.682109</v>
      </c>
      <c r="W98" t="n">
        <v>41.993087</v>
      </c>
      <c r="X98" t="n">
        <v>42.327193</v>
      </c>
      <c r="Y98" t="n">
        <v>0.014892</v>
      </c>
      <c r="Z98" t="n">
        <v>5448.34</v>
      </c>
      <c r="AA98" t="n">
        <v>1.93</v>
      </c>
      <c r="AB98" t="n">
        <v>32374552034967</v>
      </c>
      <c r="AC98" t="n">
        <v>8363895513</v>
      </c>
      <c r="AD98" t="n">
        <v>14263155208611</v>
      </c>
      <c r="AE98" t="inlineStr">
        <is>
          <t>5084255772</t>
        </is>
      </c>
      <c r="AF98" t="inlineStr">
        <is>
          <t>b13f1c2f023bb2e9f8aeff0ae04ff9aa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2578.477522</v>
      </c>
      <c r="M99" t="n">
        <v>34.497527</v>
      </c>
      <c r="N99" t="n">
        <v>40.509948</v>
      </c>
      <c r="O99" t="n">
        <v>40.909005</v>
      </c>
      <c r="P99" t="n">
        <v>19.840649</v>
      </c>
      <c r="Q99" t="n">
        <v>13.869468</v>
      </c>
      <c r="R99" t="n">
        <v>73.68687199999999</v>
      </c>
      <c r="S99" t="n">
        <v>71.157889</v>
      </c>
      <c r="T99" t="n">
        <v>30.926461</v>
      </c>
      <c r="U99" t="n">
        <v>36.300698</v>
      </c>
      <c r="V99" t="n">
        <v>34.334356</v>
      </c>
      <c r="W99" t="n">
        <v>40.397617</v>
      </c>
      <c r="X99" t="n">
        <v>40.750948</v>
      </c>
      <c r="Y99" t="n">
        <v>0.026783</v>
      </c>
      <c r="Z99" t="n">
        <v>3908.96</v>
      </c>
      <c r="AA99" t="n">
        <v>1.38</v>
      </c>
      <c r="AB99" t="n">
        <v>24246171247172</v>
      </c>
      <c r="AC99" t="n">
        <v>6503749459</v>
      </c>
      <c r="AD99" t="n">
        <v>10243824319519</v>
      </c>
      <c r="AE99" t="inlineStr">
        <is>
          <t>3652505161</t>
        </is>
      </c>
      <c r="AF99" t="inlineStr">
        <is>
          <t>ae0a9a99b78297d60d4732fd43fac785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1170.900484</v>
      </c>
      <c r="M100" t="n">
        <v>32.253436</v>
      </c>
      <c r="N100" t="n">
        <v>38.634645</v>
      </c>
      <c r="O100" t="n">
        <v>38.949962</v>
      </c>
      <c r="P100" t="n">
        <v>15.431334</v>
      </c>
      <c r="Q100" t="n">
        <v>11.383762</v>
      </c>
      <c r="R100" t="n">
        <v>54.150932</v>
      </c>
      <c r="S100" t="n">
        <v>52.21063</v>
      </c>
      <c r="T100" t="n">
        <v>28.192728</v>
      </c>
      <c r="U100" t="n">
        <v>34.14759</v>
      </c>
      <c r="V100" t="n">
        <v>32.135474</v>
      </c>
      <c r="W100" t="n">
        <v>38.525458</v>
      </c>
      <c r="X100" t="n">
        <v>38.810378</v>
      </c>
      <c r="Y100" t="n">
        <v>0.058134</v>
      </c>
      <c r="Z100" t="n">
        <v>2980.36</v>
      </c>
      <c r="AA100" t="n">
        <v>1.08</v>
      </c>
      <c r="AB100" t="n">
        <v>18424552867948</v>
      </c>
      <c r="AC100" t="n">
        <v>5094859600</v>
      </c>
      <c r="AD100" t="n">
        <v>7824127768062</v>
      </c>
      <c r="AE100" t="inlineStr">
        <is>
          <t>2901971923</t>
        </is>
      </c>
      <c r="AF100" t="inlineStr">
        <is>
          <t>537b1e93525ed413b9dd5d7a75f6eda4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507.063398</v>
      </c>
      <c r="M101" t="n">
        <v>29.519461</v>
      </c>
      <c r="N101" t="n">
        <v>36.825113</v>
      </c>
      <c r="O101" t="n">
        <v>36.902855</v>
      </c>
      <c r="P101" t="n">
        <v>11.397</v>
      </c>
      <c r="Q101" t="n">
        <v>8.794803999999999</v>
      </c>
      <c r="R101" t="n">
        <v>32.487699</v>
      </c>
      <c r="S101" t="n">
        <v>31.564021</v>
      </c>
      <c r="T101" t="n">
        <v>25.217635</v>
      </c>
      <c r="U101" t="n">
        <v>31.670582</v>
      </c>
      <c r="V101" t="n">
        <v>29.417431</v>
      </c>
      <c r="W101" t="n">
        <v>36.721897</v>
      </c>
      <c r="X101" t="n">
        <v>36.772756</v>
      </c>
      <c r="Y101" t="n">
        <v>0.143005</v>
      </c>
      <c r="Z101" t="n">
        <v>2111.33</v>
      </c>
      <c r="AA101" t="n">
        <v>0.75</v>
      </c>
      <c r="AB101" t="n">
        <v>13286894329779</v>
      </c>
      <c r="AC101" t="n">
        <v>3833846252</v>
      </c>
      <c r="AD101" t="n">
        <v>5559790930438</v>
      </c>
      <c r="AE101" t="inlineStr">
        <is>
          <t>2000108843</t>
        </is>
      </c>
      <c r="AF101" t="inlineStr">
        <is>
          <t>034d80742de3bada545afc79d1f4e0a8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198.702221</v>
      </c>
      <c r="M102" t="n">
        <v>26.611617</v>
      </c>
      <c r="N102" t="n">
        <v>34.844333</v>
      </c>
      <c r="O102" t="n">
        <v>34.645223</v>
      </c>
      <c r="P102" t="n">
        <v>7.74007</v>
      </c>
      <c r="Q102" t="n">
        <v>6.403037</v>
      </c>
      <c r="R102" t="n">
        <v>15.509825</v>
      </c>
      <c r="S102" t="n">
        <v>15.330423</v>
      </c>
      <c r="T102" t="n">
        <v>22.316025</v>
      </c>
      <c r="U102" t="n">
        <v>28.976377</v>
      </c>
      <c r="V102" t="n">
        <v>26.518573</v>
      </c>
      <c r="W102" t="n">
        <v>34.749864</v>
      </c>
      <c r="X102" t="n">
        <v>34.534708</v>
      </c>
      <c r="Y102" t="n">
        <v>0.246927</v>
      </c>
      <c r="Z102" t="n">
        <v>1407.75</v>
      </c>
      <c r="AA102" t="n">
        <v>0.46</v>
      </c>
      <c r="AB102" t="n">
        <v>9075422952905</v>
      </c>
      <c r="AC102" t="n">
        <v>2663615469</v>
      </c>
      <c r="AD102" t="n">
        <v>3718527281651</v>
      </c>
      <c r="AE102" t="inlineStr">
        <is>
          <t>1225021644</t>
        </is>
      </c>
      <c r="AF102" t="inlineStr">
        <is>
          <t>4c72de0213edecd9a2208e925b829542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77.881503</v>
      </c>
      <c r="M103" t="n">
        <v>23.972737</v>
      </c>
      <c r="N103" t="n">
        <v>33.080438</v>
      </c>
      <c r="O103" t="n">
        <v>32.409296</v>
      </c>
      <c r="P103" t="n">
        <v>4.925757</v>
      </c>
      <c r="Q103" t="n">
        <v>4.596158</v>
      </c>
      <c r="R103" t="n">
        <v>6.296089</v>
      </c>
      <c r="S103" t="n">
        <v>6.435046</v>
      </c>
      <c r="T103" t="n">
        <v>19.849242</v>
      </c>
      <c r="U103" t="n">
        <v>26.491352</v>
      </c>
      <c r="V103" t="n">
        <v>23.889325</v>
      </c>
      <c r="W103" t="n">
        <v>32.998361</v>
      </c>
      <c r="X103" t="n">
        <v>32.318397</v>
      </c>
      <c r="Y103" t="n">
        <v>0.333808</v>
      </c>
      <c r="Z103" t="n">
        <v>838.5700000000001</v>
      </c>
      <c r="AA103" t="n">
        <v>0.37</v>
      </c>
      <c r="AB103" t="n">
        <v>5344351848425</v>
      </c>
      <c r="AC103" t="n">
        <v>2174511819</v>
      </c>
      <c r="AD103" t="n">
        <v>2207396089555</v>
      </c>
      <c r="AE103" t="inlineStr">
        <is>
          <t>936098842</t>
        </is>
      </c>
      <c r="AF103" t="inlineStr">
        <is>
          <t>a110a445e3646c398e00e4923a2c8343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2961.614386</v>
      </c>
      <c r="M104" t="n">
        <v>32.580191</v>
      </c>
      <c r="N104" t="n">
        <v>40.171372</v>
      </c>
      <c r="O104" t="n">
        <v>40.537058</v>
      </c>
      <c r="P104" t="n">
        <v>19.747327</v>
      </c>
      <c r="Q104" t="n">
        <v>12.402857</v>
      </c>
      <c r="R104" t="n">
        <v>59.026502</v>
      </c>
      <c r="S104" t="n">
        <v>57.09373</v>
      </c>
      <c r="T104" t="n">
        <v>28.353936</v>
      </c>
      <c r="U104" t="n">
        <v>35.287587</v>
      </c>
      <c r="V104" t="n">
        <v>32.288987</v>
      </c>
      <c r="W104" t="n">
        <v>40.034823</v>
      </c>
      <c r="X104" t="n">
        <v>40.339831</v>
      </c>
      <c r="Y104" t="n">
        <v>0.014604</v>
      </c>
      <c r="Z104" t="n">
        <v>2609.82</v>
      </c>
      <c r="AA104" t="n">
        <v>0.84</v>
      </c>
      <c r="AB104" t="n">
        <v>16775207666691</v>
      </c>
      <c r="AC104" t="n">
        <v>4259409478</v>
      </c>
      <c r="AD104" t="n">
        <v>7345729642492</v>
      </c>
      <c r="AE104" t="inlineStr">
        <is>
          <t>2357923764</t>
        </is>
      </c>
      <c r="AF104" t="inlineStr">
        <is>
          <t>b8a186fecf3724fe3891f84d938e1c12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1470.032736</v>
      </c>
      <c r="M105" t="n">
        <v>31.649367</v>
      </c>
      <c r="N105" t="n">
        <v>38.92706</v>
      </c>
      <c r="O105" t="n">
        <v>39.229944</v>
      </c>
      <c r="P105" t="n">
        <v>16.570232</v>
      </c>
      <c r="Q105" t="n">
        <v>11.212862</v>
      </c>
      <c r="R105" t="n">
        <v>48.036956</v>
      </c>
      <c r="S105" t="n">
        <v>46.3355</v>
      </c>
      <c r="T105" t="n">
        <v>27.318031</v>
      </c>
      <c r="U105" t="n">
        <v>34.075523</v>
      </c>
      <c r="V105" t="n">
        <v>31.431033</v>
      </c>
      <c r="W105" t="n">
        <v>38.810871</v>
      </c>
      <c r="X105" t="n">
        <v>39.071552</v>
      </c>
      <c r="Y105" t="n">
        <v>0.032291</v>
      </c>
      <c r="Z105" t="n">
        <v>2057.08</v>
      </c>
      <c r="AA105" t="n">
        <v>0.63</v>
      </c>
      <c r="AB105" t="n">
        <v>12780502539401</v>
      </c>
      <c r="AC105" t="n">
        <v>3230318824</v>
      </c>
      <c r="AD105" t="n">
        <v>5387049734388</v>
      </c>
      <c r="AE105" t="inlineStr">
        <is>
          <t>1675297049</t>
        </is>
      </c>
      <c r="AF105" t="inlineStr">
        <is>
          <t>7e6a0bdfd955ebb5b8b765dd28ea6cb9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679.05264</v>
      </c>
      <c r="M106" t="n">
        <v>29.988239</v>
      </c>
      <c r="N106" t="n">
        <v>37.318276</v>
      </c>
      <c r="O106" t="n">
        <v>37.512894</v>
      </c>
      <c r="P106" t="n">
        <v>12.833391</v>
      </c>
      <c r="Q106" t="n">
        <v>9.404517999999999</v>
      </c>
      <c r="R106" t="n">
        <v>32.939651</v>
      </c>
      <c r="S106" t="n">
        <v>31.813637</v>
      </c>
      <c r="T106" t="n">
        <v>25.588542</v>
      </c>
      <c r="U106" t="n">
        <v>32.288446</v>
      </c>
      <c r="V106" t="n">
        <v>29.841935</v>
      </c>
      <c r="W106" t="n">
        <v>37.204948</v>
      </c>
      <c r="X106" t="n">
        <v>37.372638</v>
      </c>
      <c r="Y106" t="n">
        <v>0.112073</v>
      </c>
      <c r="Z106" t="n">
        <v>1423.49</v>
      </c>
      <c r="AA106" t="n">
        <v>0.49</v>
      </c>
      <c r="AB106" t="n">
        <v>8955607483824</v>
      </c>
      <c r="AC106" t="n">
        <v>2638717152</v>
      </c>
      <c r="AD106" t="n">
        <v>3735366519249</v>
      </c>
      <c r="AE106" t="inlineStr">
        <is>
          <t>1311372704</t>
        </is>
      </c>
      <c r="AF106" t="inlineStr">
        <is>
          <t>ec49f10e4a7aef0e1647880eed8f2dbb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296.185046</v>
      </c>
      <c r="M107" t="n">
        <v>27.720863</v>
      </c>
      <c r="N107" t="n">
        <v>35.737781</v>
      </c>
      <c r="O107" t="n">
        <v>35.657043</v>
      </c>
      <c r="P107" t="n">
        <v>9.278287000000001</v>
      </c>
      <c r="Q107" t="n">
        <v>7.327748</v>
      </c>
      <c r="R107" t="n">
        <v>18.454319</v>
      </c>
      <c r="S107" t="n">
        <v>18.090122</v>
      </c>
      <c r="T107" t="n">
        <v>23.355778</v>
      </c>
      <c r="U107" t="n">
        <v>30.098595</v>
      </c>
      <c r="V107" t="n">
        <v>27.614119</v>
      </c>
      <c r="W107" t="n">
        <v>35.641955</v>
      </c>
      <c r="X107" t="n">
        <v>35.529169</v>
      </c>
      <c r="Y107" t="n">
        <v>0.228371</v>
      </c>
      <c r="Z107" t="n">
        <v>981.39</v>
      </c>
      <c r="AA107" t="n">
        <v>0.41</v>
      </c>
      <c r="AB107" t="n">
        <v>6211126943613</v>
      </c>
      <c r="AC107" t="n">
        <v>2214136365</v>
      </c>
      <c r="AD107" t="n">
        <v>2581880529797</v>
      </c>
      <c r="AE107" t="inlineStr">
        <is>
          <t>1070397643</t>
        </is>
      </c>
      <c r="AF107" t="inlineStr">
        <is>
          <t>f3105909ec2aff24acd07367e26bd09a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113.974641</v>
      </c>
      <c r="M108" t="n">
        <v>25.111447</v>
      </c>
      <c r="N108" t="n">
        <v>33.851094</v>
      </c>
      <c r="O108" t="n">
        <v>33.434364</v>
      </c>
      <c r="P108" t="n">
        <v>6.078109</v>
      </c>
      <c r="Q108" t="n">
        <v>5.335887</v>
      </c>
      <c r="R108" t="n">
        <v>8.311265000000001</v>
      </c>
      <c r="S108" t="n">
        <v>8.393954000000001</v>
      </c>
      <c r="T108" t="n">
        <v>20.897534</v>
      </c>
      <c r="U108" t="n">
        <v>27.604295</v>
      </c>
      <c r="V108" t="n">
        <v>25.02386</v>
      </c>
      <c r="W108" t="n">
        <v>33.760294</v>
      </c>
      <c r="X108" t="n">
        <v>33.331412</v>
      </c>
      <c r="Y108" t="n">
        <v>0.346304</v>
      </c>
      <c r="Z108" t="n">
        <v>652.1</v>
      </c>
      <c r="AA108" t="n">
        <v>0.24</v>
      </c>
      <c r="AB108" t="n">
        <v>4214381507750</v>
      </c>
      <c r="AC108" t="n">
        <v>1260722140</v>
      </c>
      <c r="AD108" t="n">
        <v>1720507564933</v>
      </c>
      <c r="AE108" t="inlineStr">
        <is>
          <t>599740709</t>
        </is>
      </c>
      <c r="AF108" t="inlineStr">
        <is>
          <t>05288c55eb60f183b710e194f4005c97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46.594636</v>
      </c>
      <c r="M109" t="n">
        <v>22.717601</v>
      </c>
      <c r="N109" t="n">
        <v>32.187646</v>
      </c>
      <c r="O109" t="n">
        <v>31.469635</v>
      </c>
      <c r="P109" t="n">
        <v>3.854942</v>
      </c>
      <c r="Q109" t="n">
        <v>3.912771</v>
      </c>
      <c r="R109" t="n">
        <v>3.979422</v>
      </c>
      <c r="S109" t="n">
        <v>4.143359</v>
      </c>
      <c r="T109" t="n">
        <v>18.716865</v>
      </c>
      <c r="U109" t="n">
        <v>25.29824</v>
      </c>
      <c r="V109" t="n">
        <v>22.640749</v>
      </c>
      <c r="W109" t="n">
        <v>32.075524</v>
      </c>
      <c r="X109" t="n">
        <v>31.384966</v>
      </c>
      <c r="Y109" t="n">
        <v>0.418629</v>
      </c>
      <c r="Z109" t="n">
        <v>374.68</v>
      </c>
      <c r="AA109" t="n">
        <v>0.16</v>
      </c>
      <c r="AB109" t="n">
        <v>2610842125426</v>
      </c>
      <c r="AC109" t="n">
        <v>961048275</v>
      </c>
      <c r="AD109" t="n">
        <v>1064266587574</v>
      </c>
      <c r="AE109" t="inlineStr">
        <is>
          <t>442584527</t>
        </is>
      </c>
      <c r="AF109" t="inlineStr">
        <is>
          <t>14994e8f69c8fa8a7ac52c2eb8503eb0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38304.73588</v>
      </c>
      <c r="M110" t="n">
        <v>44.275812</v>
      </c>
      <c r="N110" t="n">
        <v>48.1307</v>
      </c>
      <c r="O110" t="n">
        <v>47.445626</v>
      </c>
      <c r="P110" t="n">
        <v>27.670491</v>
      </c>
      <c r="Q110" t="n">
        <v>22.031829</v>
      </c>
      <c r="R110" t="n">
        <v>99.97680099999999</v>
      </c>
      <c r="S110" t="n">
        <v>99.971024</v>
      </c>
      <c r="T110" t="n">
        <v>43.105611</v>
      </c>
      <c r="U110" t="n">
        <v>46.213803</v>
      </c>
      <c r="V110" t="n">
        <v>44.183745</v>
      </c>
      <c r="W110" t="n">
        <v>48.000426</v>
      </c>
      <c r="X110" t="n">
        <v>47.301909</v>
      </c>
      <c r="Y110" t="n">
        <v>1.059573</v>
      </c>
      <c r="Z110" t="n">
        <v>20606.14</v>
      </c>
      <c r="AA110" t="n">
        <v>28.52</v>
      </c>
      <c r="AB110" t="n">
        <v>144938292864016</v>
      </c>
      <c r="AC110" t="n">
        <v>152765186079</v>
      </c>
      <c r="AD110" t="n">
        <v>70277294866862</v>
      </c>
      <c r="AE110" t="inlineStr">
        <is>
          <t>102250499151</t>
        </is>
      </c>
      <c r="AF110" t="inlineStr">
        <is>
          <t>7ad3f3be48e22d3da8aa193cd3a292b2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17408.498578</v>
      </c>
      <c r="M111" t="n">
        <v>41.030444</v>
      </c>
      <c r="N111" t="n">
        <v>45.220391</v>
      </c>
      <c r="O111" t="n">
        <v>44.364614</v>
      </c>
      <c r="P111" t="n">
        <v>23.43494</v>
      </c>
      <c r="Q111" t="n">
        <v>19.26253</v>
      </c>
      <c r="R111" t="n">
        <v>98.835673</v>
      </c>
      <c r="S111" t="n">
        <v>97.78267</v>
      </c>
      <c r="T111" t="n">
        <v>39.16729</v>
      </c>
      <c r="U111" t="n">
        <v>43.4923</v>
      </c>
      <c r="V111" t="n">
        <v>40.904646</v>
      </c>
      <c r="W111" t="n">
        <v>45.140247</v>
      </c>
      <c r="X111" t="n">
        <v>44.253332</v>
      </c>
      <c r="Y111" t="n">
        <v>1.249523</v>
      </c>
      <c r="Z111" t="n">
        <v>27658.88</v>
      </c>
      <c r="AA111" t="n">
        <v>24.09</v>
      </c>
      <c r="AB111" t="n">
        <v>173032638708590</v>
      </c>
      <c r="AC111" t="n">
        <v>122660718595</v>
      </c>
      <c r="AD111" t="n">
        <v>77591164756144</v>
      </c>
      <c r="AE111" t="inlineStr">
        <is>
          <t>71479218084</t>
        </is>
      </c>
      <c r="AF111" t="inlineStr">
        <is>
          <t>b8c8e2089fec7241a7293983ad60c215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7901.590102</v>
      </c>
      <c r="M112" t="n">
        <v>37.93561</v>
      </c>
      <c r="N112" t="n">
        <v>42.006493</v>
      </c>
      <c r="O112" t="n">
        <v>40.946838</v>
      </c>
      <c r="P112" t="n">
        <v>19.7531</v>
      </c>
      <c r="Q112" t="n">
        <v>16.687142</v>
      </c>
      <c r="R112" t="n">
        <v>88.117462</v>
      </c>
      <c r="S112" t="n">
        <v>85.776331</v>
      </c>
      <c r="T112" t="n">
        <v>35.079845</v>
      </c>
      <c r="U112" t="n">
        <v>40.770575</v>
      </c>
      <c r="V112" t="n">
        <v>37.802204</v>
      </c>
      <c r="W112" t="n">
        <v>41.901029</v>
      </c>
      <c r="X112" t="n">
        <v>40.793725</v>
      </c>
      <c r="Y112" t="n">
        <v>1.379727</v>
      </c>
      <c r="Z112" t="n">
        <v>22744.68</v>
      </c>
      <c r="AA112" t="n">
        <v>20.19</v>
      </c>
      <c r="AB112" t="n">
        <v>134506680281413</v>
      </c>
      <c r="AC112" t="n">
        <v>99026592552</v>
      </c>
      <c r="AD112" t="n">
        <v>59363793289539</v>
      </c>
      <c r="AE112" t="inlineStr">
        <is>
          <t>56236572608</t>
        </is>
      </c>
      <c r="AF112" t="inlineStr">
        <is>
          <t>b8b8b455fb2de607504633f12337fbe3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3634.779989</v>
      </c>
      <c r="M113" t="n">
        <v>34.745242</v>
      </c>
      <c r="N113" t="n">
        <v>38.717609</v>
      </c>
      <c r="O113" t="n">
        <v>37.360273</v>
      </c>
      <c r="P113" t="n">
        <v>16.142715</v>
      </c>
      <c r="Q113" t="n">
        <v>14.080487</v>
      </c>
      <c r="R113" t="n">
        <v>68.742048</v>
      </c>
      <c r="S113" t="n">
        <v>66.485801</v>
      </c>
      <c r="T113" t="n">
        <v>31.023049</v>
      </c>
      <c r="U113" t="n">
        <v>37.83011</v>
      </c>
      <c r="V113" t="n">
        <v>34.597838</v>
      </c>
      <c r="W113" t="n">
        <v>38.577182</v>
      </c>
      <c r="X113" t="n">
        <v>37.148641</v>
      </c>
      <c r="Y113" t="n">
        <v>1.509273</v>
      </c>
      <c r="Z113" t="n">
        <v>18467.59</v>
      </c>
      <c r="AA113" t="n">
        <v>16.42</v>
      </c>
      <c r="AB113" t="n">
        <v>109499182928243</v>
      </c>
      <c r="AC113" t="n">
        <v>78481147319</v>
      </c>
      <c r="AD113" t="n">
        <v>48272274181501</v>
      </c>
      <c r="AE113" t="inlineStr">
        <is>
          <t>46097656896</t>
        </is>
      </c>
      <c r="AF113" t="inlineStr">
        <is>
          <t>5e5ac37f02f460e939353bc293784fa3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1584.56067</v>
      </c>
      <c r="M114" t="n">
        <v>31.419642</v>
      </c>
      <c r="N114" t="n">
        <v>35.334892</v>
      </c>
      <c r="O114" t="n">
        <v>33.613492</v>
      </c>
      <c r="P114" t="n">
        <v>12.550202</v>
      </c>
      <c r="Q114" t="n">
        <v>11.445735</v>
      </c>
      <c r="R114" t="n">
        <v>44.816653</v>
      </c>
      <c r="S114" t="n">
        <v>43.094544</v>
      </c>
      <c r="T114" t="n">
        <v>27.099548</v>
      </c>
      <c r="U114" t="n">
        <v>34.570291</v>
      </c>
      <c r="V114" t="n">
        <v>31.273477</v>
      </c>
      <c r="W114" t="n">
        <v>35.17059</v>
      </c>
      <c r="X114" t="n">
        <v>33.360294</v>
      </c>
      <c r="Y114" t="n">
        <v>1.669285</v>
      </c>
      <c r="Z114" t="n">
        <v>12859.94</v>
      </c>
      <c r="AA114" t="n">
        <v>12.94</v>
      </c>
      <c r="AB114" t="n">
        <v>79984673808114</v>
      </c>
      <c r="AC114" t="n">
        <v>58380463568</v>
      </c>
      <c r="AD114" t="n">
        <v>33716346271672</v>
      </c>
      <c r="AE114" t="inlineStr">
        <is>
          <t>36667348347</t>
        </is>
      </c>
      <c r="AF114" t="inlineStr">
        <is>
          <t>e9fb4cbfcef227f09bb20803461d0075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662.90571</v>
      </c>
      <c r="M115" t="n">
        <v>28.298814</v>
      </c>
      <c r="N115" t="n">
        <v>32.053291</v>
      </c>
      <c r="O115" t="n">
        <v>29.99795</v>
      </c>
      <c r="P115" t="n">
        <v>9.439771</v>
      </c>
      <c r="Q115" t="n">
        <v>9.117224</v>
      </c>
      <c r="R115" t="n">
        <v>22.964508</v>
      </c>
      <c r="S115" t="n">
        <v>21.891035</v>
      </c>
      <c r="T115" t="n">
        <v>23.687236</v>
      </c>
      <c r="U115" t="n">
        <v>31.199145</v>
      </c>
      <c r="V115" t="n">
        <v>28.170653</v>
      </c>
      <c r="W115" t="n">
        <v>31.876671</v>
      </c>
      <c r="X115" t="n">
        <v>29.713958</v>
      </c>
      <c r="Y115" t="n">
        <v>1.868221</v>
      </c>
      <c r="Z115" t="n">
        <v>7166.74</v>
      </c>
      <c r="AA115" t="n">
        <v>9.359999999999999</v>
      </c>
      <c r="AB115" t="n">
        <v>53811902710039</v>
      </c>
      <c r="AC115" t="n">
        <v>43695493591</v>
      </c>
      <c r="AD115" t="n">
        <v>24624260614216</v>
      </c>
      <c r="AE115" t="inlineStr">
        <is>
          <t>34552569682</t>
        </is>
      </c>
      <c r="AF115" t="inlineStr">
        <is>
          <t>b7f9d56d3986f68b8e8ff489b62aaa76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22866.800891</v>
      </c>
      <c r="M116" t="n">
        <v>41.832896</v>
      </c>
      <c r="N116" t="n">
        <v>46.502751</v>
      </c>
      <c r="O116" t="n">
        <v>45.694504</v>
      </c>
      <c r="P116" t="n">
        <v>25.078792</v>
      </c>
      <c r="Q116" t="n">
        <v>20.311741</v>
      </c>
      <c r="R116" t="n">
        <v>99.79844900000001</v>
      </c>
      <c r="S116" t="n">
        <v>99.357193</v>
      </c>
      <c r="T116" t="n">
        <v>40.782339</v>
      </c>
      <c r="U116" t="n">
        <v>44.536325</v>
      </c>
      <c r="V116" t="n">
        <v>41.780306</v>
      </c>
      <c r="W116" t="n">
        <v>46.41861</v>
      </c>
      <c r="X116" t="n">
        <v>45.585924</v>
      </c>
      <c r="Y116" t="n">
        <v>1.203469</v>
      </c>
      <c r="Z116" t="n">
        <v>25396.42</v>
      </c>
      <c r="AA116" t="n">
        <v>15.91</v>
      </c>
      <c r="AB116" t="n">
        <v>145627682509985</v>
      </c>
      <c r="AC116" t="n">
        <v>79609614469</v>
      </c>
      <c r="AD116" t="n">
        <v>66579349217706</v>
      </c>
      <c r="AE116" t="inlineStr">
        <is>
          <t>43193924727</t>
        </is>
      </c>
      <c r="AF116" t="inlineStr">
        <is>
          <t>de5c0cb16d8ef909ca8725ed7ee078ff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10771.789441</v>
      </c>
      <c r="M117" t="n">
        <v>39.204454</v>
      </c>
      <c r="N117" t="n">
        <v>43.617217</v>
      </c>
      <c r="O117" t="n">
        <v>42.608416</v>
      </c>
      <c r="P117" t="n">
        <v>21.408356</v>
      </c>
      <c r="Q117" t="n">
        <v>17.867735</v>
      </c>
      <c r="R117" t="n">
        <v>94.24015900000001</v>
      </c>
      <c r="S117" t="n">
        <v>92.289536</v>
      </c>
      <c r="T117" t="n">
        <v>36.971053</v>
      </c>
      <c r="U117" t="n">
        <v>42.075904</v>
      </c>
      <c r="V117" t="n">
        <v>39.110715</v>
      </c>
      <c r="W117" t="n">
        <v>43.53201</v>
      </c>
      <c r="X117" t="n">
        <v>42.484164</v>
      </c>
      <c r="Y117" t="n">
        <v>1.352147</v>
      </c>
      <c r="Z117" t="n">
        <v>22542.48</v>
      </c>
      <c r="AA117" t="n">
        <v>11.43</v>
      </c>
      <c r="AB117" t="n">
        <v>162272593835832</v>
      </c>
      <c r="AC117" t="n">
        <v>63343496684</v>
      </c>
      <c r="AD117" t="n">
        <v>77015664678154</v>
      </c>
      <c r="AE117" t="inlineStr">
        <is>
          <t>40880247123</t>
        </is>
      </c>
      <c r="AF117" t="inlineStr">
        <is>
          <t>c04bf2e15998c29ae8ae362f19c4411d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4955.591485</v>
      </c>
      <c r="M118" t="n">
        <v>36.196349</v>
      </c>
      <c r="N118" t="n">
        <v>40.409958</v>
      </c>
      <c r="O118" t="n">
        <v>39.184915</v>
      </c>
      <c r="P118" t="n">
        <v>17.814265</v>
      </c>
      <c r="Q118" t="n">
        <v>15.314022</v>
      </c>
      <c r="R118" t="n">
        <v>78.40558900000001</v>
      </c>
      <c r="S118" t="n">
        <v>75.943617</v>
      </c>
      <c r="T118" t="n">
        <v>32.894013</v>
      </c>
      <c r="U118" t="n">
        <v>39.338145</v>
      </c>
      <c r="V118" t="n">
        <v>36.069778</v>
      </c>
      <c r="W118" t="n">
        <v>40.290968</v>
      </c>
      <c r="X118" t="n">
        <v>39.010149</v>
      </c>
      <c r="Y118" t="n">
        <v>1.431256</v>
      </c>
      <c r="Z118" t="n">
        <v>20508.22</v>
      </c>
      <c r="AA118" t="n">
        <v>9.539999999999999</v>
      </c>
      <c r="AB118" t="n">
        <v>130116780171621</v>
      </c>
      <c r="AC118" t="n">
        <v>49701255781</v>
      </c>
      <c r="AD118" t="n">
        <v>57606704446067</v>
      </c>
      <c r="AE118" t="inlineStr">
        <is>
          <t>28187430276</t>
        </is>
      </c>
      <c r="AF118" t="inlineStr">
        <is>
          <t>f16f47601995ae14484b412dbf0f9074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2237.769</v>
      </c>
      <c r="M119" t="n">
        <v>33.010739</v>
      </c>
      <c r="N119" t="n">
        <v>37.162153</v>
      </c>
      <c r="O119" t="n">
        <v>35.639735</v>
      </c>
      <c r="P119" t="n">
        <v>14.275058</v>
      </c>
      <c r="Q119" t="n">
        <v>12.729637</v>
      </c>
      <c r="R119" t="n">
        <v>56.949486</v>
      </c>
      <c r="S119" t="n">
        <v>54.821214</v>
      </c>
      <c r="T119" t="n">
        <v>28.960959</v>
      </c>
      <c r="U119" t="n">
        <v>36.370601</v>
      </c>
      <c r="V119" t="n">
        <v>32.86634</v>
      </c>
      <c r="W119" t="n">
        <v>37.01221</v>
      </c>
      <c r="X119" t="n">
        <v>35.411593</v>
      </c>
      <c r="Y119" t="n">
        <v>1.490377</v>
      </c>
      <c r="Z119" t="n">
        <v>17558.44</v>
      </c>
      <c r="AA119" t="n">
        <v>7.12</v>
      </c>
      <c r="AB119" t="n">
        <v>105936065320844</v>
      </c>
      <c r="AC119" t="n">
        <v>37271902688</v>
      </c>
      <c r="AD119" t="n">
        <v>45788469185402</v>
      </c>
      <c r="AE119" t="inlineStr">
        <is>
          <t>19802048087</t>
        </is>
      </c>
      <c r="AF119" t="inlineStr">
        <is>
          <t>63ad39ff94b614aa2e1062a7c54967db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940.915085</v>
      </c>
      <c r="M120" t="n">
        <v>29.822078</v>
      </c>
      <c r="N120" t="n">
        <v>33.930546</v>
      </c>
      <c r="O120" t="n">
        <v>31.989065</v>
      </c>
      <c r="P120" t="n">
        <v>10.940882</v>
      </c>
      <c r="Q120" t="n">
        <v>10.268872</v>
      </c>
      <c r="R120" t="n">
        <v>32.664393</v>
      </c>
      <c r="S120" t="n">
        <v>31.305329</v>
      </c>
      <c r="T120" t="n">
        <v>25.338967</v>
      </c>
      <c r="U120" t="n">
        <v>33.240792</v>
      </c>
      <c r="V120" t="n">
        <v>29.691169</v>
      </c>
      <c r="W120" t="n">
        <v>33.766792</v>
      </c>
      <c r="X120" t="n">
        <v>31.721333</v>
      </c>
      <c r="Y120" t="n">
        <v>1.638578</v>
      </c>
      <c r="Z120" t="n">
        <v>12453.41</v>
      </c>
      <c r="AA120" t="n">
        <v>5.82</v>
      </c>
      <c r="AB120" t="n">
        <v>75294742769999</v>
      </c>
      <c r="AC120" t="n">
        <v>26634592671</v>
      </c>
      <c r="AD120" t="n">
        <v>32527314207041</v>
      </c>
      <c r="AE120" t="inlineStr">
        <is>
          <t>16390449334</t>
        </is>
      </c>
      <c r="AF120" t="inlineStr">
        <is>
          <t>56318edec624d2cdb5f1e320026a0314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378.49658</v>
      </c>
      <c r="M121" t="n">
        <v>26.811836</v>
      </c>
      <c r="N121" t="n">
        <v>30.923622</v>
      </c>
      <c r="O121" t="n">
        <v>28.640916</v>
      </c>
      <c r="P121" t="n">
        <v>8.148929000000001</v>
      </c>
      <c r="Q121" t="n">
        <v>8.140988999999999</v>
      </c>
      <c r="R121" t="n">
        <v>12.570673</v>
      </c>
      <c r="S121" t="n">
        <v>11.889865</v>
      </c>
      <c r="T121" t="n">
        <v>22.190234</v>
      </c>
      <c r="U121" t="n">
        <v>30.097329</v>
      </c>
      <c r="V121" t="n">
        <v>26.695448</v>
      </c>
      <c r="W121" t="n">
        <v>30.75549</v>
      </c>
      <c r="X121" t="n">
        <v>28.355906</v>
      </c>
      <c r="Y121" t="n">
        <v>1.824822</v>
      </c>
      <c r="Z121" t="n">
        <v>5074.74</v>
      </c>
      <c r="AA121" t="n">
        <v>4.73</v>
      </c>
      <c r="AB121" t="n">
        <v>30749967819780</v>
      </c>
      <c r="AC121" t="n">
        <v>19541249792</v>
      </c>
      <c r="AD121" t="n">
        <v>13326023198334</v>
      </c>
      <c r="AE121" t="inlineStr">
        <is>
          <t>13415325794</t>
        </is>
      </c>
      <c r="AF121" t="inlineStr">
        <is>
          <t>e73798e4e39f464894e56ffb54f59fe9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16222.465534</v>
      </c>
      <c r="M122" t="n">
        <v>40.294028</v>
      </c>
      <c r="N122" t="n">
        <v>45.36774</v>
      </c>
      <c r="O122" t="n">
        <v>44.435291</v>
      </c>
      <c r="P122" t="n">
        <v>23.48431</v>
      </c>
      <c r="Q122" t="n">
        <v>19.246279</v>
      </c>
      <c r="R122" t="n">
        <v>98.32295499999999</v>
      </c>
      <c r="S122" t="n">
        <v>96.943241</v>
      </c>
      <c r="T122" t="n">
        <v>39.163182</v>
      </c>
      <c r="U122" t="n">
        <v>43.457147</v>
      </c>
      <c r="V122" t="n">
        <v>40.253566</v>
      </c>
      <c r="W122" t="n">
        <v>45.292089</v>
      </c>
      <c r="X122" t="n">
        <v>44.331818</v>
      </c>
      <c r="Y122" t="n">
        <v>1.3814</v>
      </c>
      <c r="Z122" t="n">
        <v>11074.93</v>
      </c>
      <c r="AA122" t="n">
        <v>10.98</v>
      </c>
      <c r="AB122" t="n">
        <v>62052238152452</v>
      </c>
      <c r="AC122" t="n">
        <v>52593505355</v>
      </c>
      <c r="AD122" t="n">
        <v>29038716267012</v>
      </c>
      <c r="AE122" t="inlineStr">
        <is>
          <t>29616281017</t>
        </is>
      </c>
      <c r="AF122" t="inlineStr">
        <is>
          <t>9f1cdec455a42450ad43e17c3b8836e6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7812.613233</v>
      </c>
      <c r="M123" t="n">
        <v>37.886567</v>
      </c>
      <c r="N123" t="n">
        <v>42.426534</v>
      </c>
      <c r="O123" t="n">
        <v>41.28538</v>
      </c>
      <c r="P123" t="n">
        <v>20.019802</v>
      </c>
      <c r="Q123" t="n">
        <v>16.889388</v>
      </c>
      <c r="R123" t="n">
        <v>88.325056</v>
      </c>
      <c r="S123" t="n">
        <v>85.97489299999999</v>
      </c>
      <c r="T123" t="n">
        <v>35.372036</v>
      </c>
      <c r="U123" t="n">
        <v>41.049011</v>
      </c>
      <c r="V123" t="n">
        <v>37.804363</v>
      </c>
      <c r="W123" t="n">
        <v>42.329259</v>
      </c>
      <c r="X123" t="n">
        <v>41.143405</v>
      </c>
      <c r="Y123" t="n">
        <v>1.499863</v>
      </c>
      <c r="Z123" t="n">
        <v>13123.03</v>
      </c>
      <c r="AA123" t="n">
        <v>8.300000000000001</v>
      </c>
      <c r="AB123" t="n">
        <v>78707975882923</v>
      </c>
      <c r="AC123" t="n">
        <v>41057367776</v>
      </c>
      <c r="AD123" t="n">
        <v>36946801153536</v>
      </c>
      <c r="AE123" t="inlineStr">
        <is>
          <t>24195910311</t>
        </is>
      </c>
      <c r="AF123" t="inlineStr">
        <is>
          <t>9424acb9ac13c948afeb2a30c60054cf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3571.022209</v>
      </c>
      <c r="M124" t="n">
        <v>34.895904</v>
      </c>
      <c r="N124" t="n">
        <v>39.213816</v>
      </c>
      <c r="O124" t="n">
        <v>37.846038</v>
      </c>
      <c r="P124" t="n">
        <v>16.425507</v>
      </c>
      <c r="Q124" t="n">
        <v>14.311472</v>
      </c>
      <c r="R124" t="n">
        <v>70.03213599999999</v>
      </c>
      <c r="S124" t="n">
        <v>67.635516</v>
      </c>
      <c r="T124" t="n">
        <v>31.31709</v>
      </c>
      <c r="U124" t="n">
        <v>38.260097</v>
      </c>
      <c r="V124" t="n">
        <v>34.772259</v>
      </c>
      <c r="W124" t="n">
        <v>39.083713</v>
      </c>
      <c r="X124" t="n">
        <v>37.651834</v>
      </c>
      <c r="Y124" t="n">
        <v>1.576503</v>
      </c>
      <c r="Z124" t="n">
        <v>10929.52</v>
      </c>
      <c r="AA124" t="n">
        <v>7.11</v>
      </c>
      <c r="AB124" t="n">
        <v>63322734985260</v>
      </c>
      <c r="AC124" t="n">
        <v>31174485037</v>
      </c>
      <c r="AD124" t="n">
        <v>28535040826923</v>
      </c>
      <c r="AE124" t="inlineStr">
        <is>
          <t>19517521374</t>
        </is>
      </c>
      <c r="AF124" t="inlineStr">
        <is>
          <t>eee8572f3e485427d40b71cb723c363a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1576.536079</v>
      </c>
      <c r="M125" t="n">
        <v>31.763921</v>
      </c>
      <c r="N125" t="n">
        <v>36.017899</v>
      </c>
      <c r="O125" t="n">
        <v>34.331323</v>
      </c>
      <c r="P125" t="n">
        <v>12.953645</v>
      </c>
      <c r="Q125" t="n">
        <v>11.769617</v>
      </c>
      <c r="R125" t="n">
        <v>47.781141</v>
      </c>
      <c r="S125" t="n">
        <v>45.870995</v>
      </c>
      <c r="T125" t="n">
        <v>27.528574</v>
      </c>
      <c r="U125" t="n">
        <v>35.295591</v>
      </c>
      <c r="V125" t="n">
        <v>31.625048</v>
      </c>
      <c r="W125" t="n">
        <v>35.860584</v>
      </c>
      <c r="X125" t="n">
        <v>34.089516</v>
      </c>
      <c r="Y125" t="n">
        <v>1.720729</v>
      </c>
      <c r="Z125" t="n">
        <v>8561.709999999999</v>
      </c>
      <c r="AA125" t="n">
        <v>5.22</v>
      </c>
      <c r="AB125" t="n">
        <v>50184065960130</v>
      </c>
      <c r="AC125" t="n">
        <v>22249948951</v>
      </c>
      <c r="AD125" t="n">
        <v>22337968156954</v>
      </c>
      <c r="AE125" t="inlineStr">
        <is>
          <t>14466440550</t>
        </is>
      </c>
      <c r="AF125" t="inlineStr">
        <is>
          <t>fb8b887f9d84f3e192a8716c9b5c9a5e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645.220626</v>
      </c>
      <c r="M126" t="n">
        <v>28.706075</v>
      </c>
      <c r="N126" t="n">
        <v>32.923323</v>
      </c>
      <c r="O126" t="n">
        <v>30.84463</v>
      </c>
      <c r="P126" t="n">
        <v>9.882369000000001</v>
      </c>
      <c r="Q126" t="n">
        <v>9.478258</v>
      </c>
      <c r="R126" t="n">
        <v>24.247875</v>
      </c>
      <c r="S126" t="n">
        <v>23.174984</v>
      </c>
      <c r="T126" t="n">
        <v>24.155937</v>
      </c>
      <c r="U126" t="n">
        <v>32.237224</v>
      </c>
      <c r="V126" t="n">
        <v>28.584142</v>
      </c>
      <c r="W126" t="n">
        <v>32.761067</v>
      </c>
      <c r="X126" t="n">
        <v>30.573688</v>
      </c>
      <c r="Y126" t="n">
        <v>1.635249</v>
      </c>
      <c r="Z126" t="n">
        <v>8518.200000000001</v>
      </c>
      <c r="AA126" t="n">
        <v>4.01</v>
      </c>
      <c r="AB126" t="n">
        <v>52298920213145</v>
      </c>
      <c r="AC126" t="n">
        <v>15510412980</v>
      </c>
      <c r="AD126" t="n">
        <v>22221247874152</v>
      </c>
      <c r="AE126" t="inlineStr">
        <is>
          <t>11147682493</t>
        </is>
      </c>
      <c r="AF126" t="inlineStr">
        <is>
          <t>cc53afb4fd18c9414ad8c97a49b0926c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248.190579</v>
      </c>
      <c r="M127" t="n">
        <v>25.792601</v>
      </c>
      <c r="N127" t="n">
        <v>30.132494</v>
      </c>
      <c r="O127" t="n">
        <v>27.726174</v>
      </c>
      <c r="P127" t="n">
        <v>7.323917</v>
      </c>
      <c r="Q127" t="n">
        <v>7.505608</v>
      </c>
      <c r="R127" t="n">
        <v>6.348388</v>
      </c>
      <c r="S127" t="n">
        <v>5.975116</v>
      </c>
      <c r="T127" t="n">
        <v>21.20058</v>
      </c>
      <c r="U127" t="n">
        <v>29.219864</v>
      </c>
      <c r="V127" t="n">
        <v>25.683899</v>
      </c>
      <c r="W127" t="n">
        <v>29.969035</v>
      </c>
      <c r="X127" t="n">
        <v>27.452323</v>
      </c>
      <c r="Y127" t="n">
        <v>1.758258</v>
      </c>
      <c r="Z127" t="n">
        <v>3315.34</v>
      </c>
      <c r="AA127" t="n">
        <v>2.79</v>
      </c>
      <c r="AB127" t="n">
        <v>20383831568917</v>
      </c>
      <c r="AC127" t="n">
        <v>11070329594</v>
      </c>
      <c r="AD127" t="n">
        <v>8693612327215</v>
      </c>
      <c r="AE127" t="inlineStr">
        <is>
          <t>7706970823</t>
        </is>
      </c>
      <c r="AF127" t="inlineStr">
        <is>
          <t>5176d79e91aa8fc5f18904e85c1fdfee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9914.784906999999</v>
      </c>
      <c r="M128" t="n">
        <v>37.541265</v>
      </c>
      <c r="N128" t="n">
        <v>43.29614</v>
      </c>
      <c r="O128" t="n">
        <v>42.050146</v>
      </c>
      <c r="P128" t="n">
        <v>21.474489</v>
      </c>
      <c r="Q128" t="n">
        <v>17.604702</v>
      </c>
      <c r="R128" t="n">
        <v>89.698864</v>
      </c>
      <c r="S128" t="n">
        <v>87.30958699999999</v>
      </c>
      <c r="T128" t="n">
        <v>35.729641</v>
      </c>
      <c r="U128" t="n">
        <v>41.644265</v>
      </c>
      <c r="V128" t="n">
        <v>37.51168</v>
      </c>
      <c r="W128" t="n">
        <v>43.232916</v>
      </c>
      <c r="X128" t="n">
        <v>41.96426</v>
      </c>
      <c r="Y128" t="n">
        <v>1.525975</v>
      </c>
      <c r="Z128" t="n">
        <v>8188.15</v>
      </c>
      <c r="AA128" t="n">
        <v>6.2</v>
      </c>
      <c r="AB128" t="n">
        <v>44806787035131</v>
      </c>
      <c r="AC128" t="n">
        <v>28113531719</v>
      </c>
      <c r="AD128" t="n">
        <v>21509919293800</v>
      </c>
      <c r="AE128" t="inlineStr">
        <is>
          <t>16584975778</t>
        </is>
      </c>
      <c r="AF128" t="inlineStr">
        <is>
          <t>516fa437b0d8007dfd39efce93ecdfa7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4854.78337</v>
      </c>
      <c r="M129" t="n">
        <v>35.621597</v>
      </c>
      <c r="N129" t="n">
        <v>40.447107</v>
      </c>
      <c r="O129" t="n">
        <v>39.091793</v>
      </c>
      <c r="P129" t="n">
        <v>18.088257</v>
      </c>
      <c r="Q129" t="n">
        <v>15.377477</v>
      </c>
      <c r="R129" t="n">
        <v>75.34654999999999</v>
      </c>
      <c r="S129" t="n">
        <v>72.931181</v>
      </c>
      <c r="T129" t="n">
        <v>32.575412</v>
      </c>
      <c r="U129" t="n">
        <v>39.361976</v>
      </c>
      <c r="V129" t="n">
        <v>35.562706</v>
      </c>
      <c r="W129" t="n">
        <v>40.343164</v>
      </c>
      <c r="X129" t="n">
        <v>38.94273</v>
      </c>
      <c r="Y129" t="n">
        <v>1.625878</v>
      </c>
      <c r="Z129" t="n">
        <v>8483.25</v>
      </c>
      <c r="AA129" t="n">
        <v>4.62</v>
      </c>
      <c r="AB129" t="n">
        <v>47640142739358</v>
      </c>
      <c r="AC129" t="n">
        <v>21675457988</v>
      </c>
      <c r="AD129" t="n">
        <v>22203903368229</v>
      </c>
      <c r="AE129" t="inlineStr">
        <is>
          <t>12433095611</t>
        </is>
      </c>
      <c r="AF129" t="inlineStr">
        <is>
          <t>89ee8b2529048040554567c9270994f0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2187.469146</v>
      </c>
      <c r="M130" t="n">
        <v>32.938611</v>
      </c>
      <c r="N130" t="n">
        <v>37.361428</v>
      </c>
      <c r="O130" t="n">
        <v>35.761976</v>
      </c>
      <c r="P130" t="n">
        <v>14.516208</v>
      </c>
      <c r="Q130" t="n">
        <v>12.875904</v>
      </c>
      <c r="R130" t="n">
        <v>55.549768</v>
      </c>
      <c r="S130" t="n">
        <v>53.457218</v>
      </c>
      <c r="T130" t="n">
        <v>28.976893</v>
      </c>
      <c r="U130" t="n">
        <v>36.602954</v>
      </c>
      <c r="V130" t="n">
        <v>32.836315</v>
      </c>
      <c r="W130" t="n">
        <v>37.226694</v>
      </c>
      <c r="X130" t="n">
        <v>35.558309</v>
      </c>
      <c r="Y130" t="n">
        <v>1.722328</v>
      </c>
      <c r="Z130" t="n">
        <v>5320.89</v>
      </c>
      <c r="AA130" t="n">
        <v>3.06</v>
      </c>
      <c r="AB130" t="n">
        <v>39725832080986</v>
      </c>
      <c r="AC130" t="n">
        <v>15947502348</v>
      </c>
      <c r="AD130" t="n">
        <v>18146704877689</v>
      </c>
      <c r="AE130" t="inlineStr">
        <is>
          <t>10837061221</t>
        </is>
      </c>
      <c r="AF130" t="inlineStr">
        <is>
          <t>4ae082378aa04eac0bdd0675fe536964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944.256974</v>
      </c>
      <c r="M131" t="n">
        <v>30.061367</v>
      </c>
      <c r="N131" t="n">
        <v>34.383057</v>
      </c>
      <c r="O131" t="n">
        <v>32.451942</v>
      </c>
      <c r="P131" t="n">
        <v>11.274561</v>
      </c>
      <c r="Q131" t="n">
        <v>10.517408</v>
      </c>
      <c r="R131" t="n">
        <v>33.942513</v>
      </c>
      <c r="S131" t="n">
        <v>32.488821</v>
      </c>
      <c r="T131" t="n">
        <v>25.623689</v>
      </c>
      <c r="U131" t="n">
        <v>33.741879</v>
      </c>
      <c r="V131" t="n">
        <v>29.941698</v>
      </c>
      <c r="W131" t="n">
        <v>34.227194</v>
      </c>
      <c r="X131" t="n">
        <v>32.203034</v>
      </c>
      <c r="Y131" t="n">
        <v>1.866828</v>
      </c>
      <c r="Z131" t="n">
        <v>5197.4</v>
      </c>
      <c r="AA131" t="n">
        <v>2.21</v>
      </c>
      <c r="AB131" t="n">
        <v>31402436413779</v>
      </c>
      <c r="AC131" t="n">
        <v>10594065099</v>
      </c>
      <c r="AD131" t="n">
        <v>13556222082317</v>
      </c>
      <c r="AE131" t="inlineStr">
        <is>
          <t>6064624345</t>
        </is>
      </c>
      <c r="AF131" t="inlineStr">
        <is>
          <t>fede55407ecce548fe7ea63411b0443d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371.956659</v>
      </c>
      <c r="M132" t="n">
        <v>27.159601</v>
      </c>
      <c r="N132" t="n">
        <v>31.563156</v>
      </c>
      <c r="O132" t="n">
        <v>29.268695</v>
      </c>
      <c r="P132" t="n">
        <v>8.494106</v>
      </c>
      <c r="Q132" t="n">
        <v>8.420313999999999</v>
      </c>
      <c r="R132" t="n">
        <v>12.990745</v>
      </c>
      <c r="S132" t="n">
        <v>12.332595</v>
      </c>
      <c r="T132" t="n">
        <v>22.571211</v>
      </c>
      <c r="U132" t="n">
        <v>30.799513</v>
      </c>
      <c r="V132" t="n">
        <v>27.050096</v>
      </c>
      <c r="W132" t="n">
        <v>31.40569</v>
      </c>
      <c r="X132" t="n">
        <v>28.997216</v>
      </c>
      <c r="Y132" t="n">
        <v>1.769154</v>
      </c>
      <c r="Z132" t="n">
        <v>3792.35</v>
      </c>
      <c r="AA132" t="n">
        <v>1.27</v>
      </c>
      <c r="AB132" t="n">
        <v>30226310710905</v>
      </c>
      <c r="AC132" t="n">
        <v>7012038330</v>
      </c>
      <c r="AD132" t="n">
        <v>12914897263677</v>
      </c>
      <c r="AE132" t="inlineStr">
        <is>
          <t>4556614490</t>
        </is>
      </c>
      <c r="AF132" t="inlineStr">
        <is>
          <t>4c2c4d45ff5bd9a49f445f63da5238d9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135.056943</v>
      </c>
      <c r="M133" t="n">
        <v>24.400382</v>
      </c>
      <c r="N133" t="n">
        <v>29.109711</v>
      </c>
      <c r="O133" t="n">
        <v>26.517328</v>
      </c>
      <c r="P133" t="n">
        <v>6.297243</v>
      </c>
      <c r="Q133" t="n">
        <v>6.67978</v>
      </c>
      <c r="R133" t="n">
        <v>1.947657</v>
      </c>
      <c r="S133" t="n">
        <v>1.853261</v>
      </c>
      <c r="T133" t="n">
        <v>19.885849</v>
      </c>
      <c r="U133" t="n">
        <v>28.013574</v>
      </c>
      <c r="V133" t="n">
        <v>24.30301</v>
      </c>
      <c r="W133" t="n">
        <v>28.952583</v>
      </c>
      <c r="X133" t="n">
        <v>26.240626</v>
      </c>
      <c r="Y133" t="n">
        <v>1.808611</v>
      </c>
      <c r="Z133" t="n">
        <v>1797.62</v>
      </c>
      <c r="AA133" t="n">
        <v>1.06</v>
      </c>
      <c r="AB133" t="n">
        <v>11246406121294</v>
      </c>
      <c r="AC133" t="n">
        <v>4934575378</v>
      </c>
      <c r="AD133" t="n">
        <v>4706227903644</v>
      </c>
      <c r="AE133" t="inlineStr">
        <is>
          <t>2949912991</t>
        </is>
      </c>
      <c r="AF133" t="inlineStr">
        <is>
          <t>f3ee767038f09e2be751a4a0ca9ee236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6876.412203</v>
      </c>
      <c r="M134" t="n">
        <v>35.423154</v>
      </c>
      <c r="N134" t="n">
        <v>41.545851</v>
      </c>
      <c r="O134" t="n">
        <v>39.94413</v>
      </c>
      <c r="P134" t="n">
        <v>20.117254</v>
      </c>
      <c r="Q134" t="n">
        <v>16.121113</v>
      </c>
      <c r="R134" t="n">
        <v>77.02968</v>
      </c>
      <c r="S134" t="n">
        <v>74.586433</v>
      </c>
      <c r="T134" t="n">
        <v>32.538761</v>
      </c>
      <c r="U134" t="n">
        <v>40.165084</v>
      </c>
      <c r="V134" t="n">
        <v>35.394598</v>
      </c>
      <c r="W134" t="n">
        <v>41.491698</v>
      </c>
      <c r="X134" t="n">
        <v>39.86911</v>
      </c>
      <c r="Y134" t="n">
        <v>1.620838</v>
      </c>
      <c r="Z134" t="n">
        <v>5668.27</v>
      </c>
      <c r="AA134" t="n">
        <v>3.25</v>
      </c>
      <c r="AB134" t="n">
        <v>40536873407041</v>
      </c>
      <c r="AC134" t="n">
        <v>17843545564</v>
      </c>
      <c r="AD134" t="n">
        <v>19373398590240</v>
      </c>
      <c r="AE134" t="inlineStr">
        <is>
          <t>11339112627</t>
        </is>
      </c>
      <c r="AF134" t="inlineStr">
        <is>
          <t>3b58db501b199e3054660b66189cb5f5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3391.729501</v>
      </c>
      <c r="M135" t="n">
        <v>33.881814</v>
      </c>
      <c r="N135" t="n">
        <v>38.918895</v>
      </c>
      <c r="O135" t="n">
        <v>37.340144</v>
      </c>
      <c r="P135" t="n">
        <v>16.71219</v>
      </c>
      <c r="Q135" t="n">
        <v>14.130153</v>
      </c>
      <c r="R135" t="n">
        <v>62.344921</v>
      </c>
      <c r="S135" t="n">
        <v>60.093925</v>
      </c>
      <c r="T135" t="n">
        <v>30.243687</v>
      </c>
      <c r="U135" t="n">
        <v>38.035018</v>
      </c>
      <c r="V135" t="n">
        <v>33.836973</v>
      </c>
      <c r="W135" t="n">
        <v>38.819001</v>
      </c>
      <c r="X135" t="n">
        <v>37.202148</v>
      </c>
      <c r="Y135" t="n">
        <v>1.752101</v>
      </c>
      <c r="Z135" t="n">
        <v>5467.13</v>
      </c>
      <c r="AA135" t="n">
        <v>2.99</v>
      </c>
      <c r="AB135" t="n">
        <v>31647832347735</v>
      </c>
      <c r="AC135" t="n">
        <v>13797866007</v>
      </c>
      <c r="AD135" t="n">
        <v>14311374870054</v>
      </c>
      <c r="AE135" t="inlineStr">
        <is>
          <t>8005102290</t>
        </is>
      </c>
      <c r="AF135" t="inlineStr">
        <is>
          <t>64787ce25cf26867916cbb3889f33968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1512.717436</v>
      </c>
      <c r="M136" t="n">
        <v>31.522215</v>
      </c>
      <c r="N136" t="n">
        <v>36.033979</v>
      </c>
      <c r="O136" t="n">
        <v>34.240354</v>
      </c>
      <c r="P136" t="n">
        <v>13.189598</v>
      </c>
      <c r="Q136" t="n">
        <v>11.824225</v>
      </c>
      <c r="R136" t="n">
        <v>43.489508</v>
      </c>
      <c r="S136" t="n">
        <v>41.695416</v>
      </c>
      <c r="T136" t="n">
        <v>27.270404</v>
      </c>
      <c r="U136" t="n">
        <v>35.415286</v>
      </c>
      <c r="V136" t="n">
        <v>31.438276</v>
      </c>
      <c r="W136" t="n">
        <v>35.90004</v>
      </c>
      <c r="X136" t="n">
        <v>34.040388</v>
      </c>
      <c r="Y136" t="n">
        <v>1.877417</v>
      </c>
      <c r="Z136" t="n">
        <v>3936.19</v>
      </c>
      <c r="AA136" t="n">
        <v>2.17</v>
      </c>
      <c r="AB136" t="n">
        <v>22923250730156</v>
      </c>
      <c r="AC136" t="n">
        <v>9878556482</v>
      </c>
      <c r="AD136" t="n">
        <v>10292981557977</v>
      </c>
      <c r="AE136" t="inlineStr">
        <is>
          <t>5840151171</t>
        </is>
      </c>
      <c r="AF136" t="inlineStr">
        <is>
          <t>89f2d693a886105c3a3b70110d1b7a93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648.0202870000001</v>
      </c>
      <c r="M137" t="n">
        <v>28.885111</v>
      </c>
      <c r="N137" t="n">
        <v>33.240357</v>
      </c>
      <c r="O137" t="n">
        <v>31.143078</v>
      </c>
      <c r="P137" t="n">
        <v>10.165433</v>
      </c>
      <c r="Q137" t="n">
        <v>9.662278000000001</v>
      </c>
      <c r="R137" t="n">
        <v>23.763014</v>
      </c>
      <c r="S137" t="n">
        <v>22.742079</v>
      </c>
      <c r="T137" t="n">
        <v>24.339751</v>
      </c>
      <c r="U137" t="n">
        <v>32.613361</v>
      </c>
      <c r="V137" t="n">
        <v>28.781293</v>
      </c>
      <c r="W137" t="n">
        <v>33.090346</v>
      </c>
      <c r="X137" t="n">
        <v>30.893937</v>
      </c>
      <c r="Y137" t="n">
        <v>1.88828</v>
      </c>
      <c r="Z137" t="n">
        <v>2628.8</v>
      </c>
      <c r="AA137" t="n">
        <v>1.38</v>
      </c>
      <c r="AB137" t="n">
        <v>16699556894461</v>
      </c>
      <c r="AC137" t="n">
        <v>6459490765</v>
      </c>
      <c r="AD137" t="n">
        <v>7391724654847</v>
      </c>
      <c r="AE137" t="inlineStr">
        <is>
          <t>4001167591</t>
        </is>
      </c>
      <c r="AF137" t="inlineStr">
        <is>
          <t>fb039b02db3e087e7e6afe49dfea0772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247.768232</v>
      </c>
      <c r="M138" t="n">
        <v>26.079073</v>
      </c>
      <c r="N138" t="n">
        <v>30.639241</v>
      </c>
      <c r="O138" t="n">
        <v>28.192831</v>
      </c>
      <c r="P138" t="n">
        <v>7.606624</v>
      </c>
      <c r="Q138" t="n">
        <v>7.722563</v>
      </c>
      <c r="R138" t="n">
        <v>6.022136</v>
      </c>
      <c r="S138" t="n">
        <v>5.738571</v>
      </c>
      <c r="T138" t="n">
        <v>21.503716</v>
      </c>
      <c r="U138" t="n">
        <v>29.79328</v>
      </c>
      <c r="V138" t="n">
        <v>25.97649</v>
      </c>
      <c r="W138" t="n">
        <v>30.491806</v>
      </c>
      <c r="X138" t="n">
        <v>27.930886</v>
      </c>
      <c r="Y138" t="n">
        <v>1.993608</v>
      </c>
      <c r="Z138" t="n">
        <v>1765.1</v>
      </c>
      <c r="AA138" t="n">
        <v>0.6899999999999999</v>
      </c>
      <c r="AB138" t="n">
        <v>11024071700656</v>
      </c>
      <c r="AC138" t="n">
        <v>4110494065</v>
      </c>
      <c r="AD138" t="n">
        <v>4614507768559</v>
      </c>
      <c r="AE138" t="inlineStr">
        <is>
          <t>1893664599</t>
        </is>
      </c>
      <c r="AF138" t="inlineStr">
        <is>
          <t>652814cde397623b9b2f131c28dd3ff0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87.03112299999999</v>
      </c>
      <c r="M139" t="n">
        <v>23.479587</v>
      </c>
      <c r="N139" t="n">
        <v>28.381042</v>
      </c>
      <c r="O139" t="n">
        <v>25.791751</v>
      </c>
      <c r="P139" t="n">
        <v>5.68991</v>
      </c>
      <c r="Q139" t="n">
        <v>6.173067</v>
      </c>
      <c r="R139" t="n">
        <v>0.63631</v>
      </c>
      <c r="S139" t="n">
        <v>0.618212</v>
      </c>
      <c r="T139" t="n">
        <v>19.040307</v>
      </c>
      <c r="U139" t="n">
        <v>27.166429</v>
      </c>
      <c r="V139" t="n">
        <v>23.393138</v>
      </c>
      <c r="W139" t="n">
        <v>28.227942</v>
      </c>
      <c r="X139" t="n">
        <v>25.523905</v>
      </c>
      <c r="Y139" t="n">
        <v>2.000733</v>
      </c>
      <c r="Z139" t="n">
        <v>1003.07</v>
      </c>
      <c r="AA139" t="n">
        <v>0.57</v>
      </c>
      <c r="AB139" t="n">
        <v>6066464539856</v>
      </c>
      <c r="AC139" t="n">
        <v>2834577519</v>
      </c>
      <c r="AD139" t="n">
        <v>2628994333279</v>
      </c>
      <c r="AE139" t="inlineStr">
        <is>
          <t>1600833784</t>
        </is>
      </c>
      <c r="AF139" t="inlineStr">
        <is>
          <t>b6b3dc309da3118f8c6e2625f7f31cf4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4042.110505</v>
      </c>
      <c r="M140" t="n">
        <v>32.67041</v>
      </c>
      <c r="N140" t="n">
        <v>38.881079</v>
      </c>
      <c r="O140" t="n">
        <v>36.890472</v>
      </c>
      <c r="P140" t="n">
        <v>17.761295</v>
      </c>
      <c r="Q140" t="n">
        <v>13.936194</v>
      </c>
      <c r="R140" t="n">
        <v>51.418362</v>
      </c>
      <c r="S140" t="n">
        <v>49.54098</v>
      </c>
      <c r="T140" t="n">
        <v>28.566596</v>
      </c>
      <c r="U140" t="n">
        <v>37.936652</v>
      </c>
      <c r="V140" t="n">
        <v>32.641888</v>
      </c>
      <c r="W140" t="n">
        <v>38.831821</v>
      </c>
      <c r="X140" t="n">
        <v>36.816294</v>
      </c>
      <c r="Y140" t="n">
        <v>1.703032</v>
      </c>
      <c r="Z140" t="n">
        <v>4853.81</v>
      </c>
      <c r="AA140" t="n">
        <v>2.03</v>
      </c>
      <c r="AB140" t="n">
        <v>27707066820192</v>
      </c>
      <c r="AC140" t="n">
        <v>9113120908</v>
      </c>
      <c r="AD140" t="n">
        <v>12729646663821</v>
      </c>
      <c r="AE140" t="inlineStr">
        <is>
          <t>5369426298</t>
        </is>
      </c>
      <c r="AF140" t="inlineStr">
        <is>
          <t>9962a95478dae77b2bd962bf1c4f7f49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1996.472451</v>
      </c>
      <c r="M141" t="n">
        <v>31.530361</v>
      </c>
      <c r="N141" t="n">
        <v>36.691393</v>
      </c>
      <c r="O141" t="n">
        <v>34.823194</v>
      </c>
      <c r="P141" t="n">
        <v>14.56358</v>
      </c>
      <c r="Q141" t="n">
        <v>12.331136</v>
      </c>
      <c r="R141" t="n">
        <v>38.920909</v>
      </c>
      <c r="S141" t="n">
        <v>37.33085</v>
      </c>
      <c r="T141" t="n">
        <v>27.170805</v>
      </c>
      <c r="U141" t="n">
        <v>36.044379</v>
      </c>
      <c r="V141" t="n">
        <v>31.495962</v>
      </c>
      <c r="W141" t="n">
        <v>36.600086</v>
      </c>
      <c r="X141" t="n">
        <v>34.698024</v>
      </c>
      <c r="Y141" t="n">
        <v>1.879807</v>
      </c>
      <c r="Z141" t="n">
        <v>3901.76</v>
      </c>
      <c r="AA141" t="n">
        <v>1.48</v>
      </c>
      <c r="AB141" t="n">
        <v>22886070753873</v>
      </c>
      <c r="AC141" t="n">
        <v>6927433238</v>
      </c>
      <c r="AD141" t="n">
        <v>10238268259387</v>
      </c>
      <c r="AE141" t="inlineStr">
        <is>
          <t>3971909521</t>
        </is>
      </c>
      <c r="AF141" t="inlineStr">
        <is>
          <t>2b23dba8ea87ede0a897d6cb02f589f7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884.368555</v>
      </c>
      <c r="M142" t="n">
        <v>29.607436</v>
      </c>
      <c r="N142" t="n">
        <v>34.146575</v>
      </c>
      <c r="O142" t="n">
        <v>32.141883</v>
      </c>
      <c r="P142" t="n">
        <v>11.383364</v>
      </c>
      <c r="Q142" t="n">
        <v>10.397782</v>
      </c>
      <c r="R142" t="n">
        <v>23.762082</v>
      </c>
      <c r="S142" t="n">
        <v>22.731418</v>
      </c>
      <c r="T142" t="n">
        <v>25.035026</v>
      </c>
      <c r="U142" t="n">
        <v>33.629228</v>
      </c>
      <c r="V142" t="n">
        <v>29.546612</v>
      </c>
      <c r="W142" t="n">
        <v>34.023833</v>
      </c>
      <c r="X142" t="n">
        <v>31.950804</v>
      </c>
      <c r="Y142" t="n">
        <v>2.076796</v>
      </c>
      <c r="Z142" t="n">
        <v>2880.79</v>
      </c>
      <c r="AA142" t="n">
        <v>1.02</v>
      </c>
      <c r="AB142" t="n">
        <v>17637167519301</v>
      </c>
      <c r="AC142" t="n">
        <v>4912802063</v>
      </c>
      <c r="AD142" t="n">
        <v>7540813623768</v>
      </c>
      <c r="AE142" t="inlineStr">
        <is>
          <t>2743522810</t>
        </is>
      </c>
      <c r="AF142" t="inlineStr">
        <is>
          <t>7587d5ea29fcf4b384dfc610705a2046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370.128948</v>
      </c>
      <c r="M143" t="n">
        <v>27.230876</v>
      </c>
      <c r="N143" t="n">
        <v>31.720105</v>
      </c>
      <c r="O143" t="n">
        <v>29.435572</v>
      </c>
      <c r="P143" t="n">
        <v>8.689946000000001</v>
      </c>
      <c r="Q143" t="n">
        <v>8.524126000000001</v>
      </c>
      <c r="R143" t="n">
        <v>8.331224000000001</v>
      </c>
      <c r="S143" t="n">
        <v>7.940927</v>
      </c>
      <c r="T143" t="n">
        <v>22.613585</v>
      </c>
      <c r="U143" t="n">
        <v>31.036788</v>
      </c>
      <c r="V143" t="n">
        <v>27.143797</v>
      </c>
      <c r="W143" t="n">
        <v>31.578956</v>
      </c>
      <c r="X143" t="n">
        <v>29.194208</v>
      </c>
      <c r="Y143" t="n">
        <v>2.060568</v>
      </c>
      <c r="Z143" t="n">
        <v>2050.18</v>
      </c>
      <c r="AA143" t="n">
        <v>0.58</v>
      </c>
      <c r="AB143" t="n">
        <v>12898319328370</v>
      </c>
      <c r="AC143" t="n">
        <v>3116665523</v>
      </c>
      <c r="AD143" t="n">
        <v>5359212937182</v>
      </c>
      <c r="AE143" t="inlineStr">
        <is>
          <t>1557089894</t>
        </is>
      </c>
      <c r="AF143" t="inlineStr">
        <is>
          <t>183070d5311336fbc6788a287700b12f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134.937063</v>
      </c>
      <c r="M144" t="n">
        <v>24.605733</v>
      </c>
      <c r="N144" t="n">
        <v>29.449699</v>
      </c>
      <c r="O144" t="n">
        <v>26.875091</v>
      </c>
      <c r="P144" t="n">
        <v>6.46008</v>
      </c>
      <c r="Q144" t="n">
        <v>6.808822</v>
      </c>
      <c r="R144" t="n">
        <v>1.065355</v>
      </c>
      <c r="S144" t="n">
        <v>1.044255</v>
      </c>
      <c r="T144" t="n">
        <v>20.100955</v>
      </c>
      <c r="U144" t="n">
        <v>28.409609</v>
      </c>
      <c r="V144" t="n">
        <v>24.514802</v>
      </c>
      <c r="W144" t="n">
        <v>29.309065</v>
      </c>
      <c r="X144" t="n">
        <v>26.615474</v>
      </c>
      <c r="Y144" t="n">
        <v>2.254005</v>
      </c>
      <c r="Z144" t="n">
        <v>915.5599999999999</v>
      </c>
      <c r="AA144" t="n">
        <v>0.33</v>
      </c>
      <c r="AB144" t="n">
        <v>5809393210041</v>
      </c>
      <c r="AC144" t="n">
        <v>1878368143</v>
      </c>
      <c r="AD144" t="n">
        <v>2394848086635</v>
      </c>
      <c r="AE144" t="inlineStr">
        <is>
          <t>888618031</t>
        </is>
      </c>
      <c r="AF144" t="inlineStr">
        <is>
          <t>7d34504b8afe11310b5e0899783f78e5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44.731884</v>
      </c>
      <c r="M145" t="n">
        <v>22.323923</v>
      </c>
      <c r="N145" t="n">
        <v>27.409653</v>
      </c>
      <c r="O145" t="n">
        <v>24.780762</v>
      </c>
      <c r="P145" t="n">
        <v>4.991483</v>
      </c>
      <c r="Q145" t="n">
        <v>5.572084</v>
      </c>
      <c r="R145" t="n">
        <v>0.133417</v>
      </c>
      <c r="S145" t="n">
        <v>0.134007</v>
      </c>
      <c r="T145" t="n">
        <v>17.982794</v>
      </c>
      <c r="U145" t="n">
        <v>25.968747</v>
      </c>
      <c r="V145" t="n">
        <v>22.250467</v>
      </c>
      <c r="W145" t="n">
        <v>27.239824</v>
      </c>
      <c r="X145" t="n">
        <v>24.500301</v>
      </c>
      <c r="Y145" t="n">
        <v>2.348935</v>
      </c>
      <c r="Z145" t="n">
        <v>401.29</v>
      </c>
      <c r="AA145" t="n">
        <v>0.18</v>
      </c>
      <c r="AB145" t="n">
        <v>2797990373683</v>
      </c>
      <c r="AC145" t="n">
        <v>1233537298</v>
      </c>
      <c r="AD145" t="n">
        <v>1134292733334</v>
      </c>
      <c r="AE145" t="inlineStr">
        <is>
          <t>541831112</t>
        </is>
      </c>
      <c r="AF145" t="inlineStr">
        <is>
          <t>e9c982e9f682b642f3a66c61d5e5d3a8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45974.248615</v>
      </c>
      <c r="M146" t="n">
        <v>45.811896</v>
      </c>
      <c r="N146" t="n">
        <v>43.119912</v>
      </c>
      <c r="O146" t="n">
        <v>48.029023</v>
      </c>
      <c r="P146" t="n">
        <v>26.276772</v>
      </c>
      <c r="Q146" t="n">
        <v>21.324038</v>
      </c>
      <c r="R146" t="n">
        <v>92.495715</v>
      </c>
      <c r="S146" t="n">
        <v>90.411354</v>
      </c>
      <c r="T146" t="n">
        <v>42.699275</v>
      </c>
      <c r="U146" t="n">
        <v>44.43384</v>
      </c>
      <c r="V146" t="n">
        <v>45.733933</v>
      </c>
      <c r="W146" t="n">
        <v>43.047216</v>
      </c>
      <c r="X146" t="n">
        <v>47.969247</v>
      </c>
      <c r="Y146" t="n">
        <v>0.745192</v>
      </c>
      <c r="Z146" t="n">
        <v>31347.33</v>
      </c>
      <c r="AA146" t="n">
        <v>25.57</v>
      </c>
      <c r="AB146" t="n">
        <v>228793121289173</v>
      </c>
      <c r="AC146" t="n">
        <v>122821408000</v>
      </c>
      <c r="AD146" t="n">
        <v>106607589236797</v>
      </c>
      <c r="AE146" t="inlineStr">
        <is>
          <t>90619900389</t>
        </is>
      </c>
      <c r="AF146" t="inlineStr">
        <is>
          <t>5cfb0c91577f71fc2127f4be1c0db7cf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20002.903385</v>
      </c>
      <c r="M147" t="n">
        <v>42.602556</v>
      </c>
      <c r="N147" t="n">
        <v>41.117718</v>
      </c>
      <c r="O147" t="n">
        <v>46.447185</v>
      </c>
      <c r="P147" t="n">
        <v>22.207538</v>
      </c>
      <c r="Q147" t="n">
        <v>18.189034</v>
      </c>
      <c r="R147" t="n">
        <v>81.347283</v>
      </c>
      <c r="S147" t="n">
        <v>79.398275</v>
      </c>
      <c r="T147" t="n">
        <v>38.825734</v>
      </c>
      <c r="U147" t="n">
        <v>42.316798</v>
      </c>
      <c r="V147" t="n">
        <v>42.518087</v>
      </c>
      <c r="W147" t="n">
        <v>41.07357</v>
      </c>
      <c r="X147" t="n">
        <v>46.408977</v>
      </c>
      <c r="Y147" t="n">
        <v>0.836404</v>
      </c>
      <c r="Z147" t="n">
        <v>48195.83</v>
      </c>
      <c r="AA147" t="n">
        <v>23.68</v>
      </c>
      <c r="AB147" t="n">
        <v>299130360546681</v>
      </c>
      <c r="AC147" t="n">
        <v>94802365997</v>
      </c>
      <c r="AD147" t="n">
        <v>125299567584651</v>
      </c>
      <c r="AE147" t="inlineStr">
        <is>
          <t>64730626331</t>
        </is>
      </c>
      <c r="AF147" t="inlineStr">
        <is>
          <t>88917e235c06ed7eca45537dde436f0c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8568.384</v>
      </c>
      <c r="M148" t="n">
        <v>39.281274</v>
      </c>
      <c r="N148" t="n">
        <v>39.3277</v>
      </c>
      <c r="O148" t="n">
        <v>44.819252</v>
      </c>
      <c r="P148" t="n">
        <v>17.980863</v>
      </c>
      <c r="Q148" t="n">
        <v>14.948542</v>
      </c>
      <c r="R148" t="n">
        <v>62.668297</v>
      </c>
      <c r="S148" t="n">
        <v>61.058831</v>
      </c>
      <c r="T148" t="n">
        <v>35.027605</v>
      </c>
      <c r="U148" t="n">
        <v>40.228091</v>
      </c>
      <c r="V148" t="n">
        <v>39.178834</v>
      </c>
      <c r="W148" t="n">
        <v>39.30203</v>
      </c>
      <c r="X148" t="n">
        <v>44.795339</v>
      </c>
      <c r="Y148" t="n">
        <v>0.761334</v>
      </c>
      <c r="Z148" t="n">
        <v>27125.06</v>
      </c>
      <c r="AA148" t="n">
        <v>14.78</v>
      </c>
      <c r="AB148" t="n">
        <v>209843825059384</v>
      </c>
      <c r="AC148" t="n">
        <v>63896184565</v>
      </c>
      <c r="AD148" t="n">
        <v>92244152324023</v>
      </c>
      <c r="AE148" t="inlineStr">
        <is>
          <t>52863362232</t>
        </is>
      </c>
      <c r="AF148" t="inlineStr">
        <is>
          <t>902904351eac83fe1a4efad505b6e042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3277.698462</v>
      </c>
      <c r="M149" t="n">
        <v>35.852393</v>
      </c>
      <c r="N149" t="n">
        <v>37.564282</v>
      </c>
      <c r="O149" t="n">
        <v>43.213357</v>
      </c>
      <c r="P149" t="n">
        <v>13.594068</v>
      </c>
      <c r="Q149" t="n">
        <v>11.604753</v>
      </c>
      <c r="R149" t="n">
        <v>38.118651</v>
      </c>
      <c r="S149" t="n">
        <v>37.13134</v>
      </c>
      <c r="T149" t="n">
        <v>31.333075</v>
      </c>
      <c r="U149" t="n">
        <v>38.057545</v>
      </c>
      <c r="V149" t="n">
        <v>35.728108</v>
      </c>
      <c r="W149" t="n">
        <v>37.545162</v>
      </c>
      <c r="X149" t="n">
        <v>43.196502</v>
      </c>
      <c r="Y149" t="n">
        <v>0.7038219999999999</v>
      </c>
      <c r="Z149" t="n">
        <v>17247.29</v>
      </c>
      <c r="AA149" t="n">
        <v>12.12</v>
      </c>
      <c r="AB149" t="n">
        <v>134612633322290</v>
      </c>
      <c r="AC149" t="n">
        <v>45495723265</v>
      </c>
      <c r="AD149" t="n">
        <v>58757343162398</v>
      </c>
      <c r="AE149" t="inlineStr">
        <is>
          <t>43496810633</t>
        </is>
      </c>
      <c r="AF149" t="inlineStr">
        <is>
          <t>f48a754d60a93a1c99076b8be7da82e9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855.016615</v>
      </c>
      <c r="M150" t="n">
        <v>32.775477</v>
      </c>
      <c r="N150" t="n">
        <v>36.152535</v>
      </c>
      <c r="O150" t="n">
        <v>41.775222</v>
      </c>
      <c r="P150" t="n">
        <v>9.49859</v>
      </c>
      <c r="Q150" t="n">
        <v>8.669598000000001</v>
      </c>
      <c r="R150" t="n">
        <v>15.654969</v>
      </c>
      <c r="S150" t="n">
        <v>15.240235</v>
      </c>
      <c r="T150" t="n">
        <v>28.212992</v>
      </c>
      <c r="U150" t="n">
        <v>35.949323</v>
      </c>
      <c r="V150" t="n">
        <v>32.674012</v>
      </c>
      <c r="W150" t="n">
        <v>36.13882</v>
      </c>
      <c r="X150" t="n">
        <v>41.765315</v>
      </c>
      <c r="Y150" t="n">
        <v>0.965801</v>
      </c>
      <c r="Z150" t="n">
        <v>10920.56</v>
      </c>
      <c r="AA150" t="n">
        <v>8.35</v>
      </c>
      <c r="AB150" t="n">
        <v>67428901212183</v>
      </c>
      <c r="AC150" t="n">
        <v>31091601488</v>
      </c>
      <c r="AD150" t="n">
        <v>28633227369926</v>
      </c>
      <c r="AE150" t="inlineStr">
        <is>
          <t>23046844659</t>
        </is>
      </c>
      <c r="AF150" t="inlineStr">
        <is>
          <t>ff92adfe1a92ab572c783cbc65d3e336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205.369846</v>
      </c>
      <c r="M151" t="n">
        <v>31.093806</v>
      </c>
      <c r="N151" t="n">
        <v>35.146225</v>
      </c>
      <c r="O151" t="n">
        <v>39.930524</v>
      </c>
      <c r="P151" t="n">
        <v>7.413235</v>
      </c>
      <c r="Q151" t="n">
        <v>7.267807</v>
      </c>
      <c r="R151" t="n">
        <v>5.408982</v>
      </c>
      <c r="S151" t="n">
        <v>5.196431</v>
      </c>
      <c r="T151" t="n">
        <v>26.620076</v>
      </c>
      <c r="U151" t="n">
        <v>34.132112</v>
      </c>
      <c r="V151" t="n">
        <v>31.056504</v>
      </c>
      <c r="W151" t="n">
        <v>35.138092</v>
      </c>
      <c r="X151" t="n">
        <v>39.925812</v>
      </c>
      <c r="Y151" t="n">
        <v>1.988115</v>
      </c>
      <c r="Z151" t="n">
        <v>4029.05</v>
      </c>
      <c r="AA151" t="n">
        <v>6.39</v>
      </c>
      <c r="AB151" t="n">
        <v>28360785495445</v>
      </c>
      <c r="AC151" t="n">
        <v>21303239768</v>
      </c>
      <c r="AD151" t="n">
        <v>11525798889340</v>
      </c>
      <c r="AE151" t="inlineStr">
        <is>
          <t>19253056159</t>
        </is>
      </c>
      <c r="AF151" t="inlineStr">
        <is>
          <t>4a7a5cfae4b6a6f0cdbb66bbddb29750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28082.857846</v>
      </c>
      <c r="M152" t="n">
        <v>43.975532</v>
      </c>
      <c r="N152" t="n">
        <v>41.676751</v>
      </c>
      <c r="O152" t="n">
        <v>46.86965</v>
      </c>
      <c r="P152" t="n">
        <v>23.960625</v>
      </c>
      <c r="Q152" t="n">
        <v>19.509574</v>
      </c>
      <c r="R152" t="n">
        <v>87.53257600000001</v>
      </c>
      <c r="S152" t="n">
        <v>85.32819499999999</v>
      </c>
      <c r="T152" t="n">
        <v>40.421324</v>
      </c>
      <c r="U152" t="n">
        <v>43.059639</v>
      </c>
      <c r="V152" t="n">
        <v>43.901796</v>
      </c>
      <c r="W152" t="n">
        <v>41.631658</v>
      </c>
      <c r="X152" t="n">
        <v>46.825049</v>
      </c>
      <c r="Y152" t="n">
        <v>0.874637</v>
      </c>
      <c r="Z152" t="n">
        <v>24633</v>
      </c>
      <c r="AA152" t="n">
        <v>14.75</v>
      </c>
      <c r="AB152" t="n">
        <v>140641888109189</v>
      </c>
      <c r="AC152" t="n">
        <v>65410691201</v>
      </c>
      <c r="AD152" t="n">
        <v>64216284457384</v>
      </c>
      <c r="AE152" t="inlineStr">
        <is>
          <t>39650299012</t>
        </is>
      </c>
      <c r="AF152" t="inlineStr">
        <is>
          <t>27bac23edbfa1b7adb70cb91c78db50e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12228.432</v>
      </c>
      <c r="M153" t="n">
        <v>40.833469</v>
      </c>
      <c r="N153" t="n">
        <v>39.990424</v>
      </c>
      <c r="O153" t="n">
        <v>45.447318</v>
      </c>
      <c r="P153" t="n">
        <v>19.966193</v>
      </c>
      <c r="Q153" t="n">
        <v>16.455036</v>
      </c>
      <c r="R153" t="n">
        <v>73.372495</v>
      </c>
      <c r="S153" t="n">
        <v>71.25976900000001</v>
      </c>
      <c r="T153" t="n">
        <v>36.742724</v>
      </c>
      <c r="U153" t="n">
        <v>41.126674</v>
      </c>
      <c r="V153" t="n">
        <v>40.749052</v>
      </c>
      <c r="W153" t="n">
        <v>39.959998</v>
      </c>
      <c r="X153" t="n">
        <v>45.416755</v>
      </c>
      <c r="Y153" t="n">
        <v>0.936078</v>
      </c>
      <c r="Z153" t="n">
        <v>28818.82</v>
      </c>
      <c r="AA153" t="n">
        <v>12.21</v>
      </c>
      <c r="AB153" t="n">
        <v>173107649849427</v>
      </c>
      <c r="AC153" t="n">
        <v>49359410251</v>
      </c>
      <c r="AD153" t="n">
        <v>74932646700498</v>
      </c>
      <c r="AE153" t="inlineStr">
        <is>
          <t>33183236912</t>
        </is>
      </c>
      <c r="AF153" t="inlineStr">
        <is>
          <t>340455882997c6965f60f41b6dcd1430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4990.397538</v>
      </c>
      <c r="M154" t="n">
        <v>37.459605</v>
      </c>
      <c r="N154" t="n">
        <v>38.331686</v>
      </c>
      <c r="O154" t="n">
        <v>43.92467</v>
      </c>
      <c r="P154" t="n">
        <v>15.672743</v>
      </c>
      <c r="Q154" t="n">
        <v>13.174946</v>
      </c>
      <c r="R154" t="n">
        <v>50.748921</v>
      </c>
      <c r="S154" t="n">
        <v>49.239567</v>
      </c>
      <c r="T154" t="n">
        <v>33.020727</v>
      </c>
      <c r="U154" t="n">
        <v>39.060407</v>
      </c>
      <c r="V154" t="n">
        <v>37.349753</v>
      </c>
      <c r="W154" t="n">
        <v>38.309897</v>
      </c>
      <c r="X154" t="n">
        <v>43.902688</v>
      </c>
      <c r="Y154" t="n">
        <v>0.929177</v>
      </c>
      <c r="Z154" t="n">
        <v>19757.5</v>
      </c>
      <c r="AA154" t="n">
        <v>8.33</v>
      </c>
      <c r="AB154" t="n">
        <v>119717906095882</v>
      </c>
      <c r="AC154" t="n">
        <v>32856711903</v>
      </c>
      <c r="AD154" t="n">
        <v>51376233007405</v>
      </c>
      <c r="AE154" t="inlineStr">
        <is>
          <t>22762797569</t>
        </is>
      </c>
      <c r="AF154" t="inlineStr">
        <is>
          <t>f31a791e8e30eca2b9ebb5a795b43d1f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1627.757538</v>
      </c>
      <c r="M155" t="n">
        <v>34.179488</v>
      </c>
      <c r="N155" t="n">
        <v>36.787712</v>
      </c>
      <c r="O155" t="n">
        <v>42.584351</v>
      </c>
      <c r="P155" t="n">
        <v>11.330511</v>
      </c>
      <c r="Q155" t="n">
        <v>9.977933</v>
      </c>
      <c r="R155" t="n">
        <v>25.310711</v>
      </c>
      <c r="S155" t="n">
        <v>24.663246</v>
      </c>
      <c r="T155" t="n">
        <v>29.601476</v>
      </c>
      <c r="U155" t="n">
        <v>36.968383</v>
      </c>
      <c r="V155" t="n">
        <v>34.06527</v>
      </c>
      <c r="W155" t="n">
        <v>36.771674</v>
      </c>
      <c r="X155" t="n">
        <v>42.570747</v>
      </c>
      <c r="Y155" t="n">
        <v>1.011503</v>
      </c>
      <c r="Z155" t="n">
        <v>11321.42</v>
      </c>
      <c r="AA155" t="n">
        <v>5.54</v>
      </c>
      <c r="AB155" t="n">
        <v>71858526304642</v>
      </c>
      <c r="AC155" t="n">
        <v>21380929653</v>
      </c>
      <c r="AD155" t="n">
        <v>29483547789186</v>
      </c>
      <c r="AE155" t="inlineStr">
        <is>
          <t>15088457187</t>
        </is>
      </c>
      <c r="AF155" t="inlineStr">
        <is>
          <t>d8af1226b6bd32892c100801b68643eb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366.140308</v>
      </c>
      <c r="M156" t="n">
        <v>31.783221</v>
      </c>
      <c r="N156" t="n">
        <v>35.72071</v>
      </c>
      <c r="O156" t="n">
        <v>41.094945</v>
      </c>
      <c r="P156" t="n">
        <v>8.193512</v>
      </c>
      <c r="Q156" t="n">
        <v>7.780928</v>
      </c>
      <c r="R156" t="n">
        <v>8.409594</v>
      </c>
      <c r="S156" t="n">
        <v>8.181986</v>
      </c>
      <c r="T156" t="n">
        <v>27.267105</v>
      </c>
      <c r="U156" t="n">
        <v>35.087993</v>
      </c>
      <c r="V156" t="n">
        <v>31.719104</v>
      </c>
      <c r="W156" t="n">
        <v>35.709466</v>
      </c>
      <c r="X156" t="n">
        <v>41.08824</v>
      </c>
      <c r="Y156" t="n">
        <v>1.734889</v>
      </c>
      <c r="Z156" t="n">
        <v>3884.31</v>
      </c>
      <c r="AA156" t="n">
        <v>3.9</v>
      </c>
      <c r="AB156" t="n">
        <v>30892590033030</v>
      </c>
      <c r="AC156" t="n">
        <v>13199593447</v>
      </c>
      <c r="AD156" t="n">
        <v>13305656232810</v>
      </c>
      <c r="AE156" t="inlineStr">
        <is>
          <t>13922120118</t>
        </is>
      </c>
      <c r="AF156" t="inlineStr">
        <is>
          <t>85513b8fbfabacf853da2b630e57a4df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91.048615</v>
      </c>
      <c r="M157" t="n">
        <v>30.574588</v>
      </c>
      <c r="N157" t="n">
        <v>34.89742</v>
      </c>
      <c r="O157" t="n">
        <v>39.440905</v>
      </c>
      <c r="P157" t="n">
        <v>6.924149</v>
      </c>
      <c r="Q157" t="n">
        <v>6.981537</v>
      </c>
      <c r="R157" t="n">
        <v>1.962954</v>
      </c>
      <c r="S157" t="n">
        <v>1.814738</v>
      </c>
      <c r="T157" t="n">
        <v>26.167281</v>
      </c>
      <c r="U157" t="n">
        <v>33.680232</v>
      </c>
      <c r="V157" t="n">
        <v>30.553448</v>
      </c>
      <c r="W157" t="n">
        <v>34.890959</v>
      </c>
      <c r="X157" t="n">
        <v>39.419921</v>
      </c>
      <c r="Y157" t="n">
        <v>2.142756</v>
      </c>
      <c r="Z157" t="n">
        <v>1565.71</v>
      </c>
      <c r="AA157" t="n">
        <v>2.38</v>
      </c>
      <c r="AB157" t="n">
        <v>13280810757860</v>
      </c>
      <c r="AC157" t="n">
        <v>8986058970</v>
      </c>
      <c r="AD157" t="n">
        <v>5438338886450</v>
      </c>
      <c r="AE157" t="inlineStr">
        <is>
          <t>8627131591</t>
        </is>
      </c>
      <c r="AF157" t="inlineStr">
        <is>
          <t>bdd6ce20fd1ab40cfbacde1b94b0ff18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19879.011692</v>
      </c>
      <c r="M158" t="n">
        <v>42.616977</v>
      </c>
      <c r="N158" t="n">
        <v>40.437648</v>
      </c>
      <c r="O158" t="n">
        <v>45.917863</v>
      </c>
      <c r="P158" t="n">
        <v>22.248789</v>
      </c>
      <c r="Q158" t="n">
        <v>18.181506</v>
      </c>
      <c r="R158" t="n">
        <v>82.540232</v>
      </c>
      <c r="S158" t="n">
        <v>80.316886</v>
      </c>
      <c r="T158" t="n">
        <v>38.775943</v>
      </c>
      <c r="U158" t="n">
        <v>41.992513</v>
      </c>
      <c r="V158" t="n">
        <v>42.542903</v>
      </c>
      <c r="W158" t="n">
        <v>40.407377</v>
      </c>
      <c r="X158" t="n">
        <v>45.880227</v>
      </c>
      <c r="Y158" t="n">
        <v>0.9013</v>
      </c>
      <c r="Z158" t="n">
        <v>16435.12</v>
      </c>
      <c r="AA158" t="n">
        <v>9.41</v>
      </c>
      <c r="AB158" t="n">
        <v>94080919718803</v>
      </c>
      <c r="AC158" t="n">
        <v>42250195454</v>
      </c>
      <c r="AD158" t="n">
        <v>42832063645228</v>
      </c>
      <c r="AE158" t="inlineStr">
        <is>
          <t>25140511305</t>
        </is>
      </c>
      <c r="AF158" t="inlineStr">
        <is>
          <t>f8942b1b517ae4e739e2fe1be54f2020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8568.738461999999</v>
      </c>
      <c r="M159" t="n">
        <v>39.501324</v>
      </c>
      <c r="N159" t="n">
        <v>39.05547</v>
      </c>
      <c r="O159" t="n">
        <v>44.661758</v>
      </c>
      <c r="P159" t="n">
        <v>18.282033</v>
      </c>
      <c r="Q159" t="n">
        <v>15.167184</v>
      </c>
      <c r="R159" t="n">
        <v>65.868416</v>
      </c>
      <c r="S159" t="n">
        <v>63.81843</v>
      </c>
      <c r="T159" t="n">
        <v>35.235431</v>
      </c>
      <c r="U159" t="n">
        <v>40.219553</v>
      </c>
      <c r="V159" t="n">
        <v>39.411766</v>
      </c>
      <c r="W159" t="n">
        <v>39.030326</v>
      </c>
      <c r="X159" t="n">
        <v>44.63506</v>
      </c>
      <c r="Y159" t="n">
        <v>0.995599</v>
      </c>
      <c r="Z159" t="n">
        <v>19031.79</v>
      </c>
      <c r="AA159" t="n">
        <v>7.66</v>
      </c>
      <c r="AB159" t="n">
        <v>112826026069451</v>
      </c>
      <c r="AC159" t="n">
        <v>31681198298</v>
      </c>
      <c r="AD159" t="n">
        <v>49508450900546</v>
      </c>
      <c r="AE159" t="inlineStr">
        <is>
          <t>20607956878</t>
        </is>
      </c>
      <c r="AF159" t="inlineStr">
        <is>
          <t>05a4f562a3dbedc0214ed00c685a9ac8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3244.434462</v>
      </c>
      <c r="M160" t="n">
        <v>36.139501</v>
      </c>
      <c r="N160" t="n">
        <v>37.621108</v>
      </c>
      <c r="O160" t="n">
        <v>43.374734</v>
      </c>
      <c r="P160" t="n">
        <v>13.944083</v>
      </c>
      <c r="Q160" t="n">
        <v>11.890405</v>
      </c>
      <c r="R160" t="n">
        <v>41.110617</v>
      </c>
      <c r="S160" t="n">
        <v>39.840356</v>
      </c>
      <c r="T160" t="n">
        <v>31.61506</v>
      </c>
      <c r="U160" t="n">
        <v>38.219165</v>
      </c>
      <c r="V160" t="n">
        <v>36.029968</v>
      </c>
      <c r="W160" t="n">
        <v>37.601033</v>
      </c>
      <c r="X160" t="n">
        <v>43.357078</v>
      </c>
      <c r="Y160" t="n">
        <v>1.103308</v>
      </c>
      <c r="Z160" t="n">
        <v>12516.08</v>
      </c>
      <c r="AA160" t="n">
        <v>5.11</v>
      </c>
      <c r="AB160" t="n">
        <v>77270304717357</v>
      </c>
      <c r="AC160" t="n">
        <v>19965680742</v>
      </c>
      <c r="AD160" t="n">
        <v>32546477701382</v>
      </c>
      <c r="AE160" t="inlineStr">
        <is>
          <t>13770700740</t>
        </is>
      </c>
      <c r="AF160" t="inlineStr">
        <is>
          <t>01498b48a348d94aa0c3d890c025a23a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897.751385</v>
      </c>
      <c r="M161" t="n">
        <v>33.084528</v>
      </c>
      <c r="N161" t="n">
        <v>36.331417</v>
      </c>
      <c r="O161" t="n">
        <v>42.181295</v>
      </c>
      <c r="P161" t="n">
        <v>9.857767000000001</v>
      </c>
      <c r="Q161" t="n">
        <v>8.950453</v>
      </c>
      <c r="R161" t="n">
        <v>16.659705</v>
      </c>
      <c r="S161" t="n">
        <v>16.23027</v>
      </c>
      <c r="T161" t="n">
        <v>28.516069</v>
      </c>
      <c r="U161" t="n">
        <v>36.23187</v>
      </c>
      <c r="V161" t="n">
        <v>32.983896</v>
      </c>
      <c r="W161" t="n">
        <v>36.31617</v>
      </c>
      <c r="X161" t="n">
        <v>42.168017</v>
      </c>
      <c r="Y161" t="n">
        <v>1.484441</v>
      </c>
      <c r="Z161" t="n">
        <v>6832.93</v>
      </c>
      <c r="AA161" t="n">
        <v>3.14</v>
      </c>
      <c r="AB161" t="n">
        <v>42881031163161</v>
      </c>
      <c r="AC161" t="n">
        <v>11522836232</v>
      </c>
      <c r="AD161" t="n">
        <v>17795215652710</v>
      </c>
      <c r="AE161" t="inlineStr">
        <is>
          <t>8539713870</t>
        </is>
      </c>
      <c r="AF161" t="inlineStr">
        <is>
          <t>b3960cd227e0dc85088e960a97057c34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204.827077</v>
      </c>
      <c r="M162" t="n">
        <v>31.331113</v>
      </c>
      <c r="N162" t="n">
        <v>35.487495</v>
      </c>
      <c r="O162" t="n">
        <v>40.74598</v>
      </c>
      <c r="P162" t="n">
        <v>7.657199</v>
      </c>
      <c r="Q162" t="n">
        <v>7.436403</v>
      </c>
      <c r="R162" t="n">
        <v>5.716026</v>
      </c>
      <c r="S162" t="n">
        <v>5.563439</v>
      </c>
      <c r="T162" t="n">
        <v>26.855521</v>
      </c>
      <c r="U162" t="n">
        <v>34.64</v>
      </c>
      <c r="V162" t="n">
        <v>31.291313</v>
      </c>
      <c r="W162" t="n">
        <v>35.478034</v>
      </c>
      <c r="X162" t="n">
        <v>40.734546</v>
      </c>
      <c r="Y162" t="n">
        <v>2.278146</v>
      </c>
      <c r="Z162" t="n">
        <v>2720.89</v>
      </c>
      <c r="AA162" t="n">
        <v>1.66</v>
      </c>
      <c r="AB162" t="n">
        <v>17481973118904</v>
      </c>
      <c r="AC162" t="n">
        <v>6832255032</v>
      </c>
      <c r="AD162" t="n">
        <v>7134520990613</v>
      </c>
      <c r="AE162" t="inlineStr">
        <is>
          <t>4523982355</t>
        </is>
      </c>
      <c r="AF162" t="inlineStr">
        <is>
          <t>ae771d7f4810992eb15d97185360334e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57.433846</v>
      </c>
      <c r="M163" t="n">
        <v>30.210565</v>
      </c>
      <c r="N163" t="n">
        <v>34.654541</v>
      </c>
      <c r="O163" t="n">
        <v>39.082213</v>
      </c>
      <c r="P163" t="n">
        <v>6.664516</v>
      </c>
      <c r="Q163" t="n">
        <v>6.820054</v>
      </c>
      <c r="R163" t="n">
        <v>0.718386</v>
      </c>
      <c r="S163" t="n">
        <v>0.648429</v>
      </c>
      <c r="T163" t="n">
        <v>25.852159</v>
      </c>
      <c r="U163" t="n">
        <v>33.243041</v>
      </c>
      <c r="V163" t="n">
        <v>30.194116</v>
      </c>
      <c r="W163" t="n">
        <v>34.649384</v>
      </c>
      <c r="X163" t="n">
        <v>39.068434</v>
      </c>
      <c r="Y163" t="n">
        <v>2.586924</v>
      </c>
      <c r="Z163" t="n">
        <v>1161.03</v>
      </c>
      <c r="AA163" t="n">
        <v>1.51</v>
      </c>
      <c r="AB163" t="n">
        <v>7852138820963</v>
      </c>
      <c r="AC163" t="n">
        <v>5046268026</v>
      </c>
      <c r="AD163" t="n">
        <v>3089992998152</v>
      </c>
      <c r="AE163" t="inlineStr">
        <is>
          <t>4110428885</t>
        </is>
      </c>
      <c r="AF163" t="inlineStr">
        <is>
          <t>ca33d21fc2e6cf6da9eef00fd2174c47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11918.178462</v>
      </c>
      <c r="M164" t="n">
        <v>40.558971</v>
      </c>
      <c r="N164" t="n">
        <v>38.669375</v>
      </c>
      <c r="O164" t="n">
        <v>44.69871</v>
      </c>
      <c r="P164" t="n">
        <v>19.91078</v>
      </c>
      <c r="Q164" t="n">
        <v>16.245517</v>
      </c>
      <c r="R164" t="n">
        <v>72.63850100000001</v>
      </c>
      <c r="S164" t="n">
        <v>70.42076</v>
      </c>
      <c r="T164" t="n">
        <v>36.373404</v>
      </c>
      <c r="U164" t="n">
        <v>40.470995</v>
      </c>
      <c r="V164" t="n">
        <v>40.497216</v>
      </c>
      <c r="W164" t="n">
        <v>38.64643</v>
      </c>
      <c r="X164" t="n">
        <v>44.669957</v>
      </c>
      <c r="Y164" t="n">
        <v>0.8463580000000001</v>
      </c>
      <c r="Z164" t="n">
        <v>9523.309999999999</v>
      </c>
      <c r="AA164" t="n">
        <v>4.88</v>
      </c>
      <c r="AB164" t="n">
        <v>68791079109754</v>
      </c>
      <c r="AC164" t="n">
        <v>22823464328</v>
      </c>
      <c r="AD164" t="n">
        <v>32442275128886</v>
      </c>
      <c r="AE164" t="inlineStr">
        <is>
          <t>17024619198</t>
        </is>
      </c>
      <c r="AF164" t="inlineStr">
        <is>
          <t>e0013a5389a7e5eb1bb01a565bf6c76c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4940.529231</v>
      </c>
      <c r="M165" t="n">
        <v>37.545361</v>
      </c>
      <c r="N165" t="n">
        <v>37.738173</v>
      </c>
      <c r="O165" t="n">
        <v>43.731442</v>
      </c>
      <c r="P165" t="n">
        <v>15.88663</v>
      </c>
      <c r="Q165" t="n">
        <v>13.282689</v>
      </c>
      <c r="R165" t="n">
        <v>52.508359</v>
      </c>
      <c r="S165" t="n">
        <v>50.74106</v>
      </c>
      <c r="T165" t="n">
        <v>33.068792</v>
      </c>
      <c r="U165" t="n">
        <v>38.918165</v>
      </c>
      <c r="V165" t="n">
        <v>37.455475</v>
      </c>
      <c r="W165" t="n">
        <v>37.718127</v>
      </c>
      <c r="X165" t="n">
        <v>43.709617</v>
      </c>
      <c r="Y165" t="n">
        <v>1.050694</v>
      </c>
      <c r="Z165" t="n">
        <v>10162.47</v>
      </c>
      <c r="AA165" t="n">
        <v>3.73</v>
      </c>
      <c r="AB165" t="n">
        <v>60220616602041</v>
      </c>
      <c r="AC165" t="n">
        <v>16237279620</v>
      </c>
      <c r="AD165" t="n">
        <v>26449770464109</v>
      </c>
      <c r="AE165" t="inlineStr">
        <is>
          <t>9949251260</t>
        </is>
      </c>
      <c r="AF165" t="inlineStr">
        <is>
          <t>15dbbe947a2ec40de3a654bc3ba54338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1591.668923</v>
      </c>
      <c r="M166" t="n">
        <v>34.346905</v>
      </c>
      <c r="N166" t="n">
        <v>36.739398</v>
      </c>
      <c r="O166" t="n">
        <v>42.742058</v>
      </c>
      <c r="P166" t="n">
        <v>11.560581</v>
      </c>
      <c r="Q166" t="n">
        <v>10.162758</v>
      </c>
      <c r="R166" t="n">
        <v>26.873813</v>
      </c>
      <c r="S166" t="n">
        <v>26.088932</v>
      </c>
      <c r="T166" t="n">
        <v>29.762168</v>
      </c>
      <c r="U166" t="n">
        <v>37.073388</v>
      </c>
      <c r="V166" t="n">
        <v>34.239874</v>
      </c>
      <c r="W166" t="n">
        <v>36.723013</v>
      </c>
      <c r="X166" t="n">
        <v>42.729399</v>
      </c>
      <c r="Y166" t="n">
        <v>1.462618</v>
      </c>
      <c r="Z166" t="n">
        <v>6471.9</v>
      </c>
      <c r="AA166" t="n">
        <v>2.17</v>
      </c>
      <c r="AB166" t="n">
        <v>40013265948037</v>
      </c>
      <c r="AC166" t="n">
        <v>9521282944</v>
      </c>
      <c r="AD166" t="n">
        <v>16824811346571</v>
      </c>
      <c r="AE166" t="inlineStr">
        <is>
          <t>5824019164</t>
        </is>
      </c>
      <c r="AF166" t="inlineStr">
        <is>
          <t>3ccff08e60cb63d8c4abbe0c68bcebaa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380.695385</v>
      </c>
      <c r="M167" t="n">
        <v>31.97835</v>
      </c>
      <c r="N167" t="n">
        <v>35.878444</v>
      </c>
      <c r="O167" t="n">
        <v>41.596683</v>
      </c>
      <c r="P167" t="n">
        <v>8.412848</v>
      </c>
      <c r="Q167" t="n">
        <v>7.949484</v>
      </c>
      <c r="R167" t="n">
        <v>9.027386</v>
      </c>
      <c r="S167" t="n">
        <v>8.793162000000001</v>
      </c>
      <c r="T167" t="n">
        <v>27.460545</v>
      </c>
      <c r="U167" t="n">
        <v>35.395148</v>
      </c>
      <c r="V167" t="n">
        <v>31.910571</v>
      </c>
      <c r="W167" t="n">
        <v>35.86664</v>
      </c>
      <c r="X167" t="n">
        <v>41.586996</v>
      </c>
      <c r="Y167" t="n">
        <v>2.15832</v>
      </c>
      <c r="Z167" t="n">
        <v>3043.06</v>
      </c>
      <c r="AA167" t="n">
        <v>1.12</v>
      </c>
      <c r="AB167" t="n">
        <v>18898821151382</v>
      </c>
      <c r="AC167" t="n">
        <v>4679237589</v>
      </c>
      <c r="AD167" t="n">
        <v>7927935262946</v>
      </c>
      <c r="AE167" t="inlineStr">
        <is>
          <t>3034413633</t>
        </is>
      </c>
      <c r="AF167" t="inlineStr">
        <is>
          <t>e6907dfebeb67a253bfcce5c6b11f5d8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87.371077</v>
      </c>
      <c r="M168" t="n">
        <v>30.781443</v>
      </c>
      <c r="N168" t="n">
        <v>35.165079</v>
      </c>
      <c r="O168" t="n">
        <v>40.108454</v>
      </c>
      <c r="P168" t="n">
        <v>7.095502</v>
      </c>
      <c r="Q168" t="n">
        <v>7.09168</v>
      </c>
      <c r="R168" t="n">
        <v>2.013109</v>
      </c>
      <c r="S168" t="n">
        <v>1.921414</v>
      </c>
      <c r="T168" t="n">
        <v>26.364931</v>
      </c>
      <c r="U168" t="n">
        <v>34.094909</v>
      </c>
      <c r="V168" t="n">
        <v>30.759938</v>
      </c>
      <c r="W168" t="n">
        <v>35.158331</v>
      </c>
      <c r="X168" t="n">
        <v>40.10147</v>
      </c>
      <c r="Y168" t="n">
        <v>2.975254</v>
      </c>
      <c r="Z168" t="n">
        <v>1154.42</v>
      </c>
      <c r="AA168" t="n">
        <v>0.66</v>
      </c>
      <c r="AB168" t="n">
        <v>7914348329925</v>
      </c>
      <c r="AC168" t="n">
        <v>2774717353</v>
      </c>
      <c r="AD168" t="n">
        <v>3259799500541</v>
      </c>
      <c r="AE168" t="inlineStr">
        <is>
          <t>1937560768</t>
        </is>
      </c>
      <c r="AF168" t="inlineStr">
        <is>
          <t>a97141bb041642a9c7bfa4323534a257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35.084308</v>
      </c>
      <c r="M169" t="n">
        <v>29.678978</v>
      </c>
      <c r="N169" t="n">
        <v>34.308087</v>
      </c>
      <c r="O169" t="n">
        <v>38.38898</v>
      </c>
      <c r="P169" t="n">
        <v>6.37757</v>
      </c>
      <c r="Q169" t="n">
        <v>6.636103</v>
      </c>
      <c r="R169" t="n">
        <v>0.039278</v>
      </c>
      <c r="S169" t="n">
        <v>0.030689</v>
      </c>
      <c r="T169" t="n">
        <v>25.391942</v>
      </c>
      <c r="U169" t="n">
        <v>32.687429</v>
      </c>
      <c r="V169" t="n">
        <v>29.664936</v>
      </c>
      <c r="W169" t="n">
        <v>34.302297</v>
      </c>
      <c r="X169" t="n">
        <v>38.375509</v>
      </c>
      <c r="Y169" t="n">
        <v>3.344984</v>
      </c>
      <c r="Z169" t="n">
        <v>528.4400000000001</v>
      </c>
      <c r="AA169" t="n">
        <v>0.49</v>
      </c>
      <c r="AB169" t="n">
        <v>3664944547342</v>
      </c>
      <c r="AC169" t="n">
        <v>2077317222</v>
      </c>
      <c r="AD169" t="n">
        <v>1504697587987</v>
      </c>
      <c r="AE169" t="inlineStr">
        <is>
          <t>1471545040</t>
        </is>
      </c>
      <c r="AF169" t="inlineStr">
        <is>
          <t>705ac84ced6b5a60351e37d04f802dab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7930.929231</v>
      </c>
      <c r="M170" t="n">
        <v>38.696246</v>
      </c>
      <c r="N170" t="n">
        <v>37.679201</v>
      </c>
      <c r="O170" t="n">
        <v>44.04109</v>
      </c>
      <c r="P170" t="n">
        <v>18.100517</v>
      </c>
      <c r="Q170" t="n">
        <v>14.484476</v>
      </c>
      <c r="R170" t="n">
        <v>60.866937</v>
      </c>
      <c r="S170" t="n">
        <v>58.858819</v>
      </c>
      <c r="T170" t="n">
        <v>34.250228</v>
      </c>
      <c r="U170" t="n">
        <v>39.356008</v>
      </c>
      <c r="V170" t="n">
        <v>38.649974</v>
      </c>
      <c r="W170" t="n">
        <v>37.657982</v>
      </c>
      <c r="X170" t="n">
        <v>44.016099</v>
      </c>
      <c r="Y170" t="n">
        <v>0.813754</v>
      </c>
      <c r="Z170" t="n">
        <v>9378.68</v>
      </c>
      <c r="AA170" t="n">
        <v>3.09</v>
      </c>
      <c r="AB170" t="n">
        <v>55062267825494</v>
      </c>
      <c r="AC170" t="n">
        <v>14383922143</v>
      </c>
      <c r="AD170" t="n">
        <v>24444928899304</v>
      </c>
      <c r="AE170" t="inlineStr">
        <is>
          <t>8230499055</t>
        </is>
      </c>
      <c r="AF170" t="inlineStr">
        <is>
          <t>026c2ac96c0bc4096523f55e7a666159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3098.093538</v>
      </c>
      <c r="M171" t="n">
        <v>36.021391</v>
      </c>
      <c r="N171" t="n">
        <v>37.0187</v>
      </c>
      <c r="O171" t="n">
        <v>43.25828</v>
      </c>
      <c r="P171" t="n">
        <v>14.05423</v>
      </c>
      <c r="Q171" t="n">
        <v>11.81167</v>
      </c>
      <c r="R171" t="n">
        <v>39.974706</v>
      </c>
      <c r="S171" t="n">
        <v>38.633669</v>
      </c>
      <c r="T171" t="n">
        <v>31.428232</v>
      </c>
      <c r="U171" t="n">
        <v>37.994931</v>
      </c>
      <c r="V171" t="n">
        <v>35.939807</v>
      </c>
      <c r="W171" t="n">
        <v>37.000399</v>
      </c>
      <c r="X171" t="n">
        <v>43.239279</v>
      </c>
      <c r="Y171" t="n">
        <v>1.165946</v>
      </c>
      <c r="Z171" t="n">
        <v>6155.05</v>
      </c>
      <c r="AA171" t="n">
        <v>2.19</v>
      </c>
      <c r="AB171" t="n">
        <v>36274594626155</v>
      </c>
      <c r="AC171" t="n">
        <v>9371902709</v>
      </c>
      <c r="AD171" t="n">
        <v>16027441618771</v>
      </c>
      <c r="AE171" t="inlineStr">
        <is>
          <t>5830766569</t>
        </is>
      </c>
      <c r="AF171" t="inlineStr">
        <is>
          <t>1eacc00d56d4fcece9c7b9e1bf285034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873.596308</v>
      </c>
      <c r="M172" t="n">
        <v>33.192025</v>
      </c>
      <c r="N172" t="n">
        <v>36.29232</v>
      </c>
      <c r="O172" t="n">
        <v>42.340515</v>
      </c>
      <c r="P172" t="n">
        <v>10.031153</v>
      </c>
      <c r="Q172" t="n">
        <v>9.071555999999999</v>
      </c>
      <c r="R172" t="n">
        <v>16.99392</v>
      </c>
      <c r="S172" t="n">
        <v>16.526971</v>
      </c>
      <c r="T172" t="n">
        <v>28.611142</v>
      </c>
      <c r="U172" t="n">
        <v>36.346743</v>
      </c>
      <c r="V172" t="n">
        <v>33.101537</v>
      </c>
      <c r="W172" t="n">
        <v>36.277133</v>
      </c>
      <c r="X172" t="n">
        <v>42.32766</v>
      </c>
      <c r="Y172" t="n">
        <v>1.835107</v>
      </c>
      <c r="Z172" t="n">
        <v>3453.77</v>
      </c>
      <c r="AA172" t="n">
        <v>1.07</v>
      </c>
      <c r="AB172" t="n">
        <v>21056215649801</v>
      </c>
      <c r="AC172" t="n">
        <v>4743405170</v>
      </c>
      <c r="AD172" t="n">
        <v>8986094793232</v>
      </c>
      <c r="AE172" t="inlineStr">
        <is>
          <t>2857885555</t>
        </is>
      </c>
      <c r="AF172" t="inlineStr">
        <is>
          <t>046b4bb852cbdf9750c6cdfd4c24f10f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213.725538</v>
      </c>
      <c r="M173" t="n">
        <v>31.473325</v>
      </c>
      <c r="N173" t="n">
        <v>35.629092</v>
      </c>
      <c r="O173" t="n">
        <v>41.102566</v>
      </c>
      <c r="P173" t="n">
        <v>7.795692</v>
      </c>
      <c r="Q173" t="n">
        <v>7.538545</v>
      </c>
      <c r="R173" t="n">
        <v>5.559377</v>
      </c>
      <c r="S173" t="n">
        <v>5.413174</v>
      </c>
      <c r="T173" t="n">
        <v>26.991895</v>
      </c>
      <c r="U173" t="n">
        <v>34.923928</v>
      </c>
      <c r="V173" t="n">
        <v>31.431086</v>
      </c>
      <c r="W173" t="n">
        <v>35.617925</v>
      </c>
      <c r="X173" t="n">
        <v>41.091232</v>
      </c>
      <c r="Y173" t="n">
        <v>2.619362</v>
      </c>
      <c r="Z173" t="n">
        <v>1211.71</v>
      </c>
      <c r="AA173" t="n">
        <v>0.49</v>
      </c>
      <c r="AB173" t="n">
        <v>9546227447176</v>
      </c>
      <c r="AC173" t="n">
        <v>2517192082</v>
      </c>
      <c r="AD173" t="n">
        <v>4133259792780</v>
      </c>
      <c r="AE173" t="inlineStr">
        <is>
          <t>1719290580</t>
        </is>
      </c>
      <c r="AF173" t="inlineStr">
        <is>
          <t>43d4406ddb2d9cb73c480bb00db6119d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55.266462</v>
      </c>
      <c r="M174" t="n">
        <v>30.403809</v>
      </c>
      <c r="N174" t="n">
        <v>34.977293</v>
      </c>
      <c r="O174" t="n">
        <v>39.757975</v>
      </c>
      <c r="P174" t="n">
        <v>6.794656</v>
      </c>
      <c r="Q174" t="n">
        <v>6.90695</v>
      </c>
      <c r="R174" t="n">
        <v>0.548665</v>
      </c>
      <c r="S174" t="n">
        <v>0.52195</v>
      </c>
      <c r="T174" t="n">
        <v>26.039123</v>
      </c>
      <c r="U174" t="n">
        <v>33.695601</v>
      </c>
      <c r="V174" t="n">
        <v>30.387633</v>
      </c>
      <c r="W174" t="n">
        <v>34.970547</v>
      </c>
      <c r="X174" t="n">
        <v>39.7447</v>
      </c>
      <c r="Y174" t="n">
        <v>3.361126</v>
      </c>
      <c r="Z174" t="n">
        <v>691.01</v>
      </c>
      <c r="AA174" t="n">
        <v>0.35</v>
      </c>
      <c r="AB174" t="n">
        <v>4350426756384</v>
      </c>
      <c r="AC174" t="n">
        <v>1600415119</v>
      </c>
      <c r="AD174" t="n">
        <v>1816469445428</v>
      </c>
      <c r="AE174" t="inlineStr">
        <is>
          <t>961982551</t>
        </is>
      </c>
      <c r="AF174" t="inlineStr">
        <is>
          <t>b471c19600c6fcfc1bd52ffcef725082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27.548308</v>
      </c>
      <c r="M175" t="n">
        <v>29.182251</v>
      </c>
      <c r="N175" t="n">
        <v>34.001355</v>
      </c>
      <c r="O175" t="n">
        <v>37.893848</v>
      </c>
      <c r="P175" t="n">
        <v>6.178697</v>
      </c>
      <c r="Q175" t="n">
        <v>6.506726</v>
      </c>
      <c r="R175" t="n">
        <v>0</v>
      </c>
      <c r="S175" t="n">
        <v>0</v>
      </c>
      <c r="T175" t="n">
        <v>24.969555</v>
      </c>
      <c r="U175" t="n">
        <v>32.10153</v>
      </c>
      <c r="V175" t="n">
        <v>29.16546</v>
      </c>
      <c r="W175" t="n">
        <v>33.996251</v>
      </c>
      <c r="X175" t="n">
        <v>37.878742</v>
      </c>
      <c r="Y175" t="n">
        <v>3.704152</v>
      </c>
      <c r="Z175" t="n">
        <v>342.79</v>
      </c>
      <c r="AA175" t="n">
        <v>0.26</v>
      </c>
      <c r="AB175" t="n">
        <v>2144373124125</v>
      </c>
      <c r="AC175" t="n">
        <v>1167781497</v>
      </c>
      <c r="AD175" t="n">
        <v>909152544085</v>
      </c>
      <c r="AE175" t="inlineStr">
        <is>
          <t>707436406</t>
        </is>
      </c>
      <c r="AF175" t="inlineStr">
        <is>
          <t>1fa501bdcb693fb49cc7f798c2ce156f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3873.522462</v>
      </c>
      <c r="M176" t="n">
        <v>35.86746</v>
      </c>
      <c r="N176" t="n">
        <v>36.801247</v>
      </c>
      <c r="O176" t="n">
        <v>43.388544</v>
      </c>
      <c r="P176" t="n">
        <v>14.853205</v>
      </c>
      <c r="Q176" t="n">
        <v>11.786405</v>
      </c>
      <c r="R176" t="n">
        <v>35.965702</v>
      </c>
      <c r="S176" t="n">
        <v>34.66408</v>
      </c>
      <c r="T176" t="n">
        <v>31.12905</v>
      </c>
      <c r="U176" t="n">
        <v>37.835531</v>
      </c>
      <c r="V176" t="n">
        <v>35.833056</v>
      </c>
      <c r="W176" t="n">
        <v>36.783294</v>
      </c>
      <c r="X176" t="n">
        <v>43.36927</v>
      </c>
      <c r="Y176" t="n">
        <v>0.769562</v>
      </c>
      <c r="Z176" t="n">
        <v>3892.09</v>
      </c>
      <c r="AA176" t="n">
        <v>1.42</v>
      </c>
      <c r="AB176" t="n">
        <v>24304586581099</v>
      </c>
      <c r="AC176" t="n">
        <v>6932386846</v>
      </c>
      <c r="AD176" t="n">
        <v>10926900341349</v>
      </c>
      <c r="AE176" t="inlineStr">
        <is>
          <t>4027591370</t>
        </is>
      </c>
      <c r="AF176" t="inlineStr">
        <is>
          <t>7893c2f0b4253fdc3ef5b49f457ff966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1313.497846</v>
      </c>
      <c r="M177" t="n">
        <v>33.889861</v>
      </c>
      <c r="N177" t="n">
        <v>36.387446</v>
      </c>
      <c r="O177" t="n">
        <v>42.670029</v>
      </c>
      <c r="P177" t="n">
        <v>11.296647</v>
      </c>
      <c r="Q177" t="n">
        <v>9.756656</v>
      </c>
      <c r="R177" t="n">
        <v>19.136744</v>
      </c>
      <c r="S177" t="n">
        <v>18.498068</v>
      </c>
      <c r="T177" t="n">
        <v>29.223204</v>
      </c>
      <c r="U177" t="n">
        <v>36.741795</v>
      </c>
      <c r="V177" t="n">
        <v>33.833093</v>
      </c>
      <c r="W177" t="n">
        <v>36.372391</v>
      </c>
      <c r="X177" t="n">
        <v>42.656741</v>
      </c>
      <c r="Y177" t="n">
        <v>1.390645</v>
      </c>
      <c r="Z177" t="n">
        <v>2640.47</v>
      </c>
      <c r="AA177" t="n">
        <v>0.86</v>
      </c>
      <c r="AB177" t="n">
        <v>17198464580419</v>
      </c>
      <c r="AC177" t="n">
        <v>4150298507</v>
      </c>
      <c r="AD177" t="n">
        <v>7404102933213</v>
      </c>
      <c r="AE177" t="inlineStr">
        <is>
          <t>2445139038</t>
        </is>
      </c>
      <c r="AF177" t="inlineStr">
        <is>
          <t>557ae7299c8f4e761a30be357b4b654c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335.579077</v>
      </c>
      <c r="M178" t="n">
        <v>31.987946</v>
      </c>
      <c r="N178" t="n">
        <v>35.886766</v>
      </c>
      <c r="O178" t="n">
        <v>41.69846</v>
      </c>
      <c r="P178" t="n">
        <v>8.483098</v>
      </c>
      <c r="Q178" t="n">
        <v>7.970972</v>
      </c>
      <c r="R178" t="n">
        <v>5.979269</v>
      </c>
      <c r="S178" t="n">
        <v>5.801902</v>
      </c>
      <c r="T178" t="n">
        <v>27.453904</v>
      </c>
      <c r="U178" t="n">
        <v>35.450202</v>
      </c>
      <c r="V178" t="n">
        <v>31.935644</v>
      </c>
      <c r="W178" t="n">
        <v>35.875329</v>
      </c>
      <c r="X178" t="n">
        <v>41.691516</v>
      </c>
      <c r="Y178" t="n">
        <v>2.30498</v>
      </c>
      <c r="Z178" t="n">
        <v>1371.94</v>
      </c>
      <c r="AA178" t="n">
        <v>0.35</v>
      </c>
      <c r="AB178" t="n">
        <v>8485914997578</v>
      </c>
      <c r="AC178" t="n">
        <v>1840335770</v>
      </c>
      <c r="AD178" t="n">
        <v>3576329590569</v>
      </c>
      <c r="AE178" t="inlineStr">
        <is>
          <t>942152570</t>
        </is>
      </c>
      <c r="AF178" t="inlineStr">
        <is>
          <t>1cbbcff2d1456361a752ab056ab16fa8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91.824</v>
      </c>
      <c r="M179" t="n">
        <v>30.904009</v>
      </c>
      <c r="N179" t="n">
        <v>35.318043</v>
      </c>
      <c r="O179" t="n">
        <v>40.497067</v>
      </c>
      <c r="P179" t="n">
        <v>7.195468</v>
      </c>
      <c r="Q179" t="n">
        <v>7.155936</v>
      </c>
      <c r="R179" t="n">
        <v>0.9272049999999999</v>
      </c>
      <c r="S179" t="n">
        <v>0.898753</v>
      </c>
      <c r="T179" t="n">
        <v>26.479795</v>
      </c>
      <c r="U179" t="n">
        <v>34.333204</v>
      </c>
      <c r="V179" t="n">
        <v>30.88206</v>
      </c>
      <c r="W179" t="n">
        <v>35.310404</v>
      </c>
      <c r="X179" t="n">
        <v>40.48717</v>
      </c>
      <c r="Y179" t="n">
        <v>3.149998</v>
      </c>
      <c r="Z179" t="n">
        <v>527.8099999999999</v>
      </c>
      <c r="AA179" t="n">
        <v>0.18</v>
      </c>
      <c r="AB179" t="n">
        <v>3670159520341</v>
      </c>
      <c r="AC179" t="n">
        <v>1002231557</v>
      </c>
      <c r="AD179" t="n">
        <v>1488093791542</v>
      </c>
      <c r="AE179" t="inlineStr">
        <is>
          <t>497599598</t>
        </is>
      </c>
      <c r="AF179" t="inlineStr">
        <is>
          <t>3802a2dfa6b3b64c161f8b1d0ad7dc42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34.312615</v>
      </c>
      <c r="M180" t="n">
        <v>29.858962</v>
      </c>
      <c r="N180" t="n">
        <v>34.581725</v>
      </c>
      <c r="O180" t="n">
        <v>39.090531</v>
      </c>
      <c r="P180" t="n">
        <v>6.476167</v>
      </c>
      <c r="Q180" t="n">
        <v>6.699558</v>
      </c>
      <c r="R180" t="n">
        <v>0.00483</v>
      </c>
      <c r="S180" t="n">
        <v>0.00519</v>
      </c>
      <c r="T180" t="n">
        <v>25.567442</v>
      </c>
      <c r="U180" t="n">
        <v>33.106705</v>
      </c>
      <c r="V180" t="n">
        <v>29.846627</v>
      </c>
      <c r="W180" t="n">
        <v>34.576509</v>
      </c>
      <c r="X180" t="n">
        <v>39.077778</v>
      </c>
      <c r="Y180" t="n">
        <v>3.605332</v>
      </c>
      <c r="Z180" t="n">
        <v>263.71</v>
      </c>
      <c r="AA180" t="n">
        <v>0.12</v>
      </c>
      <c r="AB180" t="n">
        <v>1839871361418</v>
      </c>
      <c r="AC180" t="n">
        <v>655503186</v>
      </c>
      <c r="AD180" t="n">
        <v>748575712604</v>
      </c>
      <c r="AE180" t="inlineStr">
        <is>
          <t>346492761</t>
        </is>
      </c>
      <c r="AF180" t="inlineStr">
        <is>
          <t>c399ea8088020877b78f6a0cc8a334e7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19.776</v>
      </c>
      <c r="M181" t="n">
        <v>28.571985</v>
      </c>
      <c r="N181" t="n">
        <v>33.528635</v>
      </c>
      <c r="O181" t="n">
        <v>37.087231</v>
      </c>
      <c r="P181" t="n">
        <v>5.945723</v>
      </c>
      <c r="Q181" t="n">
        <v>6.349306</v>
      </c>
      <c r="R181" t="n">
        <v>0</v>
      </c>
      <c r="S181" t="n">
        <v>0</v>
      </c>
      <c r="T181" t="n">
        <v>24.433755</v>
      </c>
      <c r="U181" t="n">
        <v>31.61277</v>
      </c>
      <c r="V181" t="n">
        <v>28.555855</v>
      </c>
      <c r="W181" t="n">
        <v>33.523516</v>
      </c>
      <c r="X181" t="n">
        <v>37.08001</v>
      </c>
      <c r="Y181" t="n">
        <v>3.889325</v>
      </c>
      <c r="Z181" t="n">
        <v>145.21</v>
      </c>
      <c r="AA181" t="n">
        <v>0.08</v>
      </c>
      <c r="AB181" t="n">
        <v>977245849751</v>
      </c>
      <c r="AC181" t="n">
        <v>443348114</v>
      </c>
      <c r="AD181" t="n">
        <v>386407913987</v>
      </c>
      <c r="AE181" t="inlineStr">
        <is>
          <t>239568174</t>
        </is>
      </c>
      <c r="AF181" t="inlineStr">
        <is>
          <t>fd822c8374559be4322ae8ef9fdc3eab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10374.199416</v>
      </c>
      <c r="M182" t="n">
        <v>44.277628</v>
      </c>
      <c r="N182" t="n">
        <v>46.87017</v>
      </c>
      <c r="O182" t="n">
        <v>44.179878</v>
      </c>
      <c r="P182" t="n">
        <v>30.928403</v>
      </c>
      <c r="Q182" t="n">
        <v>22.956016</v>
      </c>
      <c r="R182" t="n">
        <v>99.542878</v>
      </c>
      <c r="S182" t="n">
        <v>98.560508</v>
      </c>
      <c r="T182" t="n">
        <v>44.422583</v>
      </c>
      <c r="U182" t="n">
        <v>43.818587</v>
      </c>
      <c r="V182" t="n">
        <v>44.118362</v>
      </c>
      <c r="W182" t="n">
        <v>46.76514</v>
      </c>
      <c r="X182" t="n">
        <v>44.059566</v>
      </c>
      <c r="Y182" t="n">
        <v>0.001194</v>
      </c>
      <c r="Z182" t="n">
        <v>30683.25</v>
      </c>
      <c r="AA182" t="n">
        <v>15.78</v>
      </c>
      <c r="AB182" t="n">
        <v>192455337948316</v>
      </c>
      <c r="AC182" t="n">
        <v>63807721435</v>
      </c>
      <c r="AD182" t="n">
        <v>80584261858252</v>
      </c>
      <c r="AE182" t="inlineStr">
        <is>
          <t>42779068617</t>
        </is>
      </c>
      <c r="AF182" t="inlineStr">
        <is>
          <t>bb0b61b651d9404256ee567f14bf7ba6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3444.797908</v>
      </c>
      <c r="M183" t="n">
        <v>42.454872</v>
      </c>
      <c r="N183" t="n">
        <v>45.707016</v>
      </c>
      <c r="O183" t="n">
        <v>43.274163</v>
      </c>
      <c r="P183" t="n">
        <v>27.244276</v>
      </c>
      <c r="Q183" t="n">
        <v>20.654783</v>
      </c>
      <c r="R183" t="n">
        <v>97.384529</v>
      </c>
      <c r="S183" t="n">
        <v>95.447934</v>
      </c>
      <c r="T183" t="n">
        <v>41.425321</v>
      </c>
      <c r="U183" t="n">
        <v>42.647345</v>
      </c>
      <c r="V183" t="n">
        <v>42.191986</v>
      </c>
      <c r="W183" t="n">
        <v>45.604714</v>
      </c>
      <c r="X183" t="n">
        <v>43.163703</v>
      </c>
      <c r="Y183" t="n">
        <v>0.001951</v>
      </c>
      <c r="Z183" t="n">
        <v>29472.7</v>
      </c>
      <c r="AA183" t="n">
        <v>13.85</v>
      </c>
      <c r="AB183" t="n">
        <v>186499897751031</v>
      </c>
      <c r="AC183" t="n">
        <v>51587279035</v>
      </c>
      <c r="AD183" t="n">
        <v>77482408662865</v>
      </c>
      <c r="AE183" t="inlineStr">
        <is>
          <t>37880422011</t>
        </is>
      </c>
      <c r="AF183" t="inlineStr">
        <is>
          <t>3b4d3b7bb188fb5fa59ad079b63e1910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1146.962044</v>
      </c>
      <c r="M184" t="n">
        <v>40.208819</v>
      </c>
      <c r="N184" t="n">
        <v>44.238148</v>
      </c>
      <c r="O184" t="n">
        <v>42.342086</v>
      </c>
      <c r="P184" t="n">
        <v>23.354221</v>
      </c>
      <c r="Q184" t="n">
        <v>18.171589</v>
      </c>
      <c r="R184" t="n">
        <v>90.810661</v>
      </c>
      <c r="S184" t="n">
        <v>88.677013</v>
      </c>
      <c r="T184" t="n">
        <v>38.175824</v>
      </c>
      <c r="U184" t="n">
        <v>41.211757</v>
      </c>
      <c r="V184" t="n">
        <v>39.888924</v>
      </c>
      <c r="W184" t="n">
        <v>44.146955</v>
      </c>
      <c r="X184" t="n">
        <v>42.243331</v>
      </c>
      <c r="Y184" t="n">
        <v>0.004451</v>
      </c>
      <c r="Z184" t="n">
        <v>15197.51</v>
      </c>
      <c r="AA184" t="n">
        <v>9</v>
      </c>
      <c r="AB184" t="n">
        <v>104447978569557</v>
      </c>
      <c r="AC184" t="n">
        <v>37873572922</v>
      </c>
      <c r="AD184" t="n">
        <v>43374556153631</v>
      </c>
      <c r="AE184" t="inlineStr">
        <is>
          <t>26394518734</t>
        </is>
      </c>
      <c r="AF184" t="inlineStr">
        <is>
          <t>24239512db6335b38d334277b556eeeb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420.568549</v>
      </c>
      <c r="M185" t="n">
        <v>37.825439</v>
      </c>
      <c r="N185" t="n">
        <v>42.262129</v>
      </c>
      <c r="O185" t="n">
        <v>41.018317</v>
      </c>
      <c r="P185" t="n">
        <v>20.031382</v>
      </c>
      <c r="Q185" t="n">
        <v>15.940629</v>
      </c>
      <c r="R185" t="n">
        <v>80.393349</v>
      </c>
      <c r="S185" t="n">
        <v>78.234747</v>
      </c>
      <c r="T185" t="n">
        <v>35.017899</v>
      </c>
      <c r="U185" t="n">
        <v>39.470867</v>
      </c>
      <c r="V185" t="n">
        <v>37.539296</v>
      </c>
      <c r="W185" t="n">
        <v>42.197623</v>
      </c>
      <c r="X185" t="n">
        <v>40.94067</v>
      </c>
      <c r="Y185" t="n">
        <v>0.011036</v>
      </c>
      <c r="Z185" t="n">
        <v>9215.889999999999</v>
      </c>
      <c r="AA185" t="n">
        <v>6.86</v>
      </c>
      <c r="AB185" t="n">
        <v>61138010526181</v>
      </c>
      <c r="AC185" t="n">
        <v>28329127929</v>
      </c>
      <c r="AD185" t="n">
        <v>24810255723482</v>
      </c>
      <c r="AE185" t="inlineStr">
        <is>
          <t>18743553829</t>
        </is>
      </c>
      <c r="AF185" t="inlineStr">
        <is>
          <t>51c0cc0ade08a446caed77ebd35f80e7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165.495262</v>
      </c>
      <c r="M186" t="n">
        <v>35.210777</v>
      </c>
      <c r="N186" t="n">
        <v>39.914937</v>
      </c>
      <c r="O186" t="n">
        <v>39.206931</v>
      </c>
      <c r="P186" t="n">
        <v>16.972074</v>
      </c>
      <c r="Q186" t="n">
        <v>13.773838</v>
      </c>
      <c r="R186" t="n">
        <v>63.737664</v>
      </c>
      <c r="S186" t="n">
        <v>61.797981</v>
      </c>
      <c r="T186" t="n">
        <v>31.689751</v>
      </c>
      <c r="U186" t="n">
        <v>37.352594</v>
      </c>
      <c r="V186" t="n">
        <v>35.00397</v>
      </c>
      <c r="W186" t="n">
        <v>39.874337</v>
      </c>
      <c r="X186" t="n">
        <v>39.152333</v>
      </c>
      <c r="Y186" t="n">
        <v>0.042963</v>
      </c>
      <c r="Z186" t="n">
        <v>5795.06</v>
      </c>
      <c r="AA186" t="n">
        <v>6.31</v>
      </c>
      <c r="AB186" t="n">
        <v>37264346132096</v>
      </c>
      <c r="AC186" t="n">
        <v>22267064495</v>
      </c>
      <c r="AD186" t="n">
        <v>15620540517257</v>
      </c>
      <c r="AE186" t="inlineStr">
        <is>
          <t>17277049988</t>
        </is>
      </c>
      <c r="AF186" t="inlineStr">
        <is>
          <t>2e1ed4bd169b841e54352fdd8c6b0581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70.589033</v>
      </c>
      <c r="M187" t="n">
        <v>32.386916</v>
      </c>
      <c r="N187" t="n">
        <v>37.272137</v>
      </c>
      <c r="O187" t="n">
        <v>37.283655</v>
      </c>
      <c r="P187" t="n">
        <v>13.91593</v>
      </c>
      <c r="Q187" t="n">
        <v>11.542043</v>
      </c>
      <c r="R187" t="n">
        <v>40.804257</v>
      </c>
      <c r="S187" t="n">
        <v>39.246971</v>
      </c>
      <c r="T187" t="n">
        <v>28.309046</v>
      </c>
      <c r="U187" t="n">
        <v>34.837423</v>
      </c>
      <c r="V187" t="n">
        <v>32.266657</v>
      </c>
      <c r="W187" t="n">
        <v>37.251925</v>
      </c>
      <c r="X187" t="n">
        <v>37.256274</v>
      </c>
      <c r="Y187" t="n">
        <v>0.138369</v>
      </c>
      <c r="Z187" t="n">
        <v>3275.35</v>
      </c>
      <c r="AA187" t="n">
        <v>5.37</v>
      </c>
      <c r="AB187" t="n">
        <v>19716464432081</v>
      </c>
      <c r="AC187" t="n">
        <v>17157933298</v>
      </c>
      <c r="AD187" t="n">
        <v>8749308658308</v>
      </c>
      <c r="AE187" t="inlineStr">
        <is>
          <t>14916644967</t>
        </is>
      </c>
      <c r="AF187" t="inlineStr">
        <is>
          <t>be97870ded4a32f6a00d4c57ee4f4460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5212.02276</v>
      </c>
      <c r="M188" t="n">
        <v>42.927759</v>
      </c>
      <c r="N188" t="n">
        <v>45.922582</v>
      </c>
      <c r="O188" t="n">
        <v>43.160615</v>
      </c>
      <c r="P188" t="n">
        <v>28.84383</v>
      </c>
      <c r="Q188" t="n">
        <v>21.618966</v>
      </c>
      <c r="R188" t="n">
        <v>98.639852</v>
      </c>
      <c r="S188" t="n">
        <v>96.792558</v>
      </c>
      <c r="T188" t="n">
        <v>42.655133</v>
      </c>
      <c r="U188" t="n">
        <v>42.865247</v>
      </c>
      <c r="V188" t="n">
        <v>42.661688</v>
      </c>
      <c r="W188" t="n">
        <v>45.795531</v>
      </c>
      <c r="X188" t="n">
        <v>43.015063</v>
      </c>
      <c r="Y188" t="n">
        <v>0.001364</v>
      </c>
      <c r="Z188" t="n">
        <v>14750.7</v>
      </c>
      <c r="AA188" t="n">
        <v>7.14</v>
      </c>
      <c r="AB188" t="n">
        <v>92819914398205</v>
      </c>
      <c r="AC188" t="n">
        <v>30401431249</v>
      </c>
      <c r="AD188" t="n">
        <v>38719929992548</v>
      </c>
      <c r="AE188" t="inlineStr">
        <is>
          <t>19187725488</t>
        </is>
      </c>
      <c r="AF188" t="inlineStr">
        <is>
          <t>7b8d7e3def0cbabfd9794bfb882e8464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1802.399489</v>
      </c>
      <c r="M189" t="n">
        <v>41.104975</v>
      </c>
      <c r="N189" t="n">
        <v>44.824802</v>
      </c>
      <c r="O189" t="n">
        <v>42.488644</v>
      </c>
      <c r="P189" t="n">
        <v>25.145967</v>
      </c>
      <c r="Q189" t="n">
        <v>19.301798</v>
      </c>
      <c r="R189" t="n">
        <v>94.858634</v>
      </c>
      <c r="S189" t="n">
        <v>92.12319100000001</v>
      </c>
      <c r="T189" t="n">
        <v>39.631072</v>
      </c>
      <c r="U189" t="n">
        <v>41.776642</v>
      </c>
      <c r="V189" t="n">
        <v>40.766</v>
      </c>
      <c r="W189" t="n">
        <v>44.714529</v>
      </c>
      <c r="X189" t="n">
        <v>42.359367</v>
      </c>
      <c r="Y189" t="n">
        <v>0.003454</v>
      </c>
      <c r="Z189" t="n">
        <v>11084.64</v>
      </c>
      <c r="AA189" t="n">
        <v>5.04</v>
      </c>
      <c r="AB189" t="n">
        <v>87765600224304</v>
      </c>
      <c r="AC189" t="n">
        <v>23851150907</v>
      </c>
      <c r="AD189" t="n">
        <v>38023209130033</v>
      </c>
      <c r="AE189" t="inlineStr">
        <is>
          <t>17910378907</t>
        </is>
      </c>
      <c r="AF189" t="inlineStr">
        <is>
          <t>ea8be1a0f61f4239f07253d6e539cace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626.832233</v>
      </c>
      <c r="M190" t="n">
        <v>38.908215</v>
      </c>
      <c r="N190" t="n">
        <v>43.192091</v>
      </c>
      <c r="O190" t="n">
        <v>41.540646</v>
      </c>
      <c r="P190" t="n">
        <v>21.535977</v>
      </c>
      <c r="Q190" t="n">
        <v>16.947589</v>
      </c>
      <c r="R190" t="n">
        <v>86.527002</v>
      </c>
      <c r="S190" t="n">
        <v>83.803178</v>
      </c>
      <c r="T190" t="n">
        <v>36.489443</v>
      </c>
      <c r="U190" t="n">
        <v>40.301827</v>
      </c>
      <c r="V190" t="n">
        <v>38.57484</v>
      </c>
      <c r="W190" t="n">
        <v>43.109986</v>
      </c>
      <c r="X190" t="n">
        <v>41.43973</v>
      </c>
      <c r="Y190" t="n">
        <v>0.007577</v>
      </c>
      <c r="Z190" t="n">
        <v>7767.7</v>
      </c>
      <c r="AA190" t="n">
        <v>4.47</v>
      </c>
      <c r="AB190" t="n">
        <v>48520354467370</v>
      </c>
      <c r="AC190" t="n">
        <v>17657718113</v>
      </c>
      <c r="AD190" t="n">
        <v>20564243290998</v>
      </c>
      <c r="AE190" t="inlineStr">
        <is>
          <t>12202019465</t>
        </is>
      </c>
      <c r="AF190" t="inlineStr">
        <is>
          <t>531053a1fec772dd711e31a7a7756f65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242.550438</v>
      </c>
      <c r="M191" t="n">
        <v>36.523325</v>
      </c>
      <c r="N191" t="n">
        <v>41.110501</v>
      </c>
      <c r="O191" t="n">
        <v>40.129087</v>
      </c>
      <c r="P191" t="n">
        <v>18.541497</v>
      </c>
      <c r="Q191" t="n">
        <v>14.859608</v>
      </c>
      <c r="R191" t="n">
        <v>73.648612</v>
      </c>
      <c r="S191" t="n">
        <v>71.17429</v>
      </c>
      <c r="T191" t="n">
        <v>33.357964</v>
      </c>
      <c r="U191" t="n">
        <v>38.481569</v>
      </c>
      <c r="V191" t="n">
        <v>36.267623</v>
      </c>
      <c r="W191" t="n">
        <v>41.053866</v>
      </c>
      <c r="X191" t="n">
        <v>40.058418</v>
      </c>
      <c r="Y191" t="n">
        <v>0.023542</v>
      </c>
      <c r="Z191" t="n">
        <v>4584.32</v>
      </c>
      <c r="AA191" t="n">
        <v>3.42</v>
      </c>
      <c r="AB191" t="n">
        <v>30604147596523</v>
      </c>
      <c r="AC191" t="n">
        <v>14908151984</v>
      </c>
      <c r="AD191" t="n">
        <v>12272815980553</v>
      </c>
      <c r="AE191" t="inlineStr">
        <is>
          <t>9342255773</t>
        </is>
      </c>
      <c r="AF191" t="inlineStr">
        <is>
          <t>01a25e55dbf2d72d4c501752f99a4373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99.64794500000001</v>
      </c>
      <c r="M192" t="n">
        <v>33.862197</v>
      </c>
      <c r="N192" t="n">
        <v>38.796081</v>
      </c>
      <c r="O192" t="n">
        <v>38.342639</v>
      </c>
      <c r="P192" t="n">
        <v>15.620522</v>
      </c>
      <c r="Q192" t="n">
        <v>12.734352</v>
      </c>
      <c r="R192" t="n">
        <v>54.507451</v>
      </c>
      <c r="S192" t="n">
        <v>52.40164</v>
      </c>
      <c r="T192" t="n">
        <v>30.042872</v>
      </c>
      <c r="U192" t="n">
        <v>36.333026</v>
      </c>
      <c r="V192" t="n">
        <v>33.692066</v>
      </c>
      <c r="W192" t="n">
        <v>38.764553</v>
      </c>
      <c r="X192" t="n">
        <v>38.300787</v>
      </c>
      <c r="Y192" t="n">
        <v>0.09683600000000001</v>
      </c>
      <c r="Z192" t="n">
        <v>2524.83</v>
      </c>
      <c r="AA192" t="n">
        <v>2.25</v>
      </c>
      <c r="AB192" t="n">
        <v>21037669739964</v>
      </c>
      <c r="AC192" t="n">
        <v>10351937791</v>
      </c>
      <c r="AD192" t="n">
        <v>8951973570180</v>
      </c>
      <c r="AE192" t="inlineStr">
        <is>
          <t>8038054593</t>
        </is>
      </c>
      <c r="AF192" t="inlineStr">
        <is>
          <t>014dab44fd3dc8b9ba25306f2a041609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43.936942</v>
      </c>
      <c r="M193" t="n">
        <v>30.980753</v>
      </c>
      <c r="N193" t="n">
        <v>36.403789</v>
      </c>
      <c r="O193" t="n">
        <v>36.5858</v>
      </c>
      <c r="P193" t="n">
        <v>12.533739</v>
      </c>
      <c r="Q193" t="n">
        <v>10.463606</v>
      </c>
      <c r="R193" t="n">
        <v>29.459262</v>
      </c>
      <c r="S193" t="n">
        <v>27.966766</v>
      </c>
      <c r="T193" t="n">
        <v>26.725861</v>
      </c>
      <c r="U193" t="n">
        <v>33.925723</v>
      </c>
      <c r="V193" t="n">
        <v>30.886509</v>
      </c>
      <c r="W193" t="n">
        <v>36.385877</v>
      </c>
      <c r="X193" t="n">
        <v>36.556775</v>
      </c>
      <c r="Y193" t="n">
        <v>0.168037</v>
      </c>
      <c r="Z193" t="n">
        <v>1755.43</v>
      </c>
      <c r="AA193" t="n">
        <v>2.22</v>
      </c>
      <c r="AB193" t="n">
        <v>11390487970819</v>
      </c>
      <c r="AC193" t="n">
        <v>7792861346</v>
      </c>
      <c r="AD193" t="n">
        <v>4703828394061</v>
      </c>
      <c r="AE193" t="inlineStr">
        <is>
          <t>6085099823</t>
        </is>
      </c>
      <c r="AF193" t="inlineStr">
        <is>
          <t>7bf5ec5e9d59e4d1bf4327b3ce1150f5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3165.460909</v>
      </c>
      <c r="M194" t="n">
        <v>41.266632</v>
      </c>
      <c r="N194" t="n">
        <v>44.802829</v>
      </c>
      <c r="O194" t="n">
        <v>42.445334</v>
      </c>
      <c r="P194" t="n">
        <v>27.289195</v>
      </c>
      <c r="Q194" t="n">
        <v>20.38014</v>
      </c>
      <c r="R194" t="n">
        <v>96.068994</v>
      </c>
      <c r="S194" t="n">
        <v>93.339511</v>
      </c>
      <c r="T194" t="n">
        <v>40.975624</v>
      </c>
      <c r="U194" t="n">
        <v>41.896773</v>
      </c>
      <c r="V194" t="n">
        <v>40.838788</v>
      </c>
      <c r="W194" t="n">
        <v>44.663154</v>
      </c>
      <c r="X194" t="n">
        <v>42.294564</v>
      </c>
      <c r="Y194" t="n">
        <v>0.001777</v>
      </c>
      <c r="Z194" t="n">
        <v>14684.54</v>
      </c>
      <c r="AA194" t="n">
        <v>4.37</v>
      </c>
      <c r="AB194" t="n">
        <v>91383413503848</v>
      </c>
      <c r="AC194" t="n">
        <v>18044762897</v>
      </c>
      <c r="AD194" t="n">
        <v>38438292118737</v>
      </c>
      <c r="AE194" t="inlineStr">
        <is>
          <t>11704032370</t>
        </is>
      </c>
      <c r="AF194" t="inlineStr">
        <is>
          <t>3e17abea169d08578eade20ad69fee72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1134.407841</v>
      </c>
      <c r="M195" t="n">
        <v>39.738159</v>
      </c>
      <c r="N195" t="n">
        <v>43.803497</v>
      </c>
      <c r="O195" t="n">
        <v>41.886433</v>
      </c>
      <c r="P195" t="n">
        <v>23.677176</v>
      </c>
      <c r="Q195" t="n">
        <v>18.225377</v>
      </c>
      <c r="R195" t="n">
        <v>90.829272</v>
      </c>
      <c r="S195" t="n">
        <v>87.899688</v>
      </c>
      <c r="T195" t="n">
        <v>38.177692</v>
      </c>
      <c r="U195" t="n">
        <v>40.912711</v>
      </c>
      <c r="V195" t="n">
        <v>39.310963</v>
      </c>
      <c r="W195" t="n">
        <v>43.688848</v>
      </c>
      <c r="X195" t="n">
        <v>41.759033</v>
      </c>
      <c r="Y195" t="n">
        <v>0.005578</v>
      </c>
      <c r="Z195" t="n">
        <v>14981.3</v>
      </c>
      <c r="AA195" t="n">
        <v>3.2</v>
      </c>
      <c r="AB195" t="n">
        <v>94395013494742</v>
      </c>
      <c r="AC195" t="n">
        <v>13169104652</v>
      </c>
      <c r="AD195" t="n">
        <v>39156867119736</v>
      </c>
      <c r="AE195" t="inlineStr">
        <is>
          <t>8910306896</t>
        </is>
      </c>
      <c r="AF195" t="inlineStr">
        <is>
          <t>0e09cfe969c85c189e9b21710c662310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415.087266</v>
      </c>
      <c r="M196" t="n">
        <v>37.768202</v>
      </c>
      <c r="N196" t="n">
        <v>42.207896</v>
      </c>
      <c r="O196" t="n">
        <v>40.896952</v>
      </c>
      <c r="P196" t="n">
        <v>20.403585</v>
      </c>
      <c r="Q196" t="n">
        <v>16.089114</v>
      </c>
      <c r="R196" t="n">
        <v>81.36290099999999</v>
      </c>
      <c r="S196" t="n">
        <v>78.596889</v>
      </c>
      <c r="T196" t="n">
        <v>35.196757</v>
      </c>
      <c r="U196" t="n">
        <v>39.501053</v>
      </c>
      <c r="V196" t="n">
        <v>37.416733</v>
      </c>
      <c r="W196" t="n">
        <v>42.130949</v>
      </c>
      <c r="X196" t="n">
        <v>40.80504</v>
      </c>
      <c r="Y196" t="n">
        <v>0.016347</v>
      </c>
      <c r="Z196" t="n">
        <v>8351.110000000001</v>
      </c>
      <c r="AA196" t="n">
        <v>2.24</v>
      </c>
      <c r="AB196" t="n">
        <v>53543099379940</v>
      </c>
      <c r="AC196" t="n">
        <v>9830914437</v>
      </c>
      <c r="AD196" t="n">
        <v>21921112660336</v>
      </c>
      <c r="AE196" t="inlineStr">
        <is>
          <t>6104006803</t>
        </is>
      </c>
      <c r="AF196" t="inlineStr">
        <is>
          <t>d246502b440f88c27bea763ba3fe04be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166.673775</v>
      </c>
      <c r="M197" t="n">
        <v>35.482426</v>
      </c>
      <c r="N197" t="n">
        <v>40.19687</v>
      </c>
      <c r="O197" t="n">
        <v>39.447508</v>
      </c>
      <c r="P197" t="n">
        <v>17.5023</v>
      </c>
      <c r="Q197" t="n">
        <v>14.063865</v>
      </c>
      <c r="R197" t="n">
        <v>67.026697</v>
      </c>
      <c r="S197" t="n">
        <v>64.511186</v>
      </c>
      <c r="T197" t="n">
        <v>32.106658</v>
      </c>
      <c r="U197" t="n">
        <v>37.713558</v>
      </c>
      <c r="V197" t="n">
        <v>35.240337</v>
      </c>
      <c r="W197" t="n">
        <v>40.148441</v>
      </c>
      <c r="X197" t="n">
        <v>39.386011</v>
      </c>
      <c r="Y197" t="n">
        <v>0.053192</v>
      </c>
      <c r="Z197" t="n">
        <v>5080.87</v>
      </c>
      <c r="AA197" t="n">
        <v>2</v>
      </c>
      <c r="AB197" t="n">
        <v>33573030506207</v>
      </c>
      <c r="AC197" t="n">
        <v>8758223649</v>
      </c>
      <c r="AD197" t="n">
        <v>13428053049787</v>
      </c>
      <c r="AE197" t="inlineStr">
        <is>
          <t>5444968241</t>
        </is>
      </c>
      <c r="AF197" t="inlineStr">
        <is>
          <t>7069617349c938113f2fef1f2ad1eb42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71.14416900000001</v>
      </c>
      <c r="M198" t="n">
        <v>32.832051</v>
      </c>
      <c r="N198" t="n">
        <v>37.943302</v>
      </c>
      <c r="O198" t="n">
        <v>37.737113</v>
      </c>
      <c r="P198" t="n">
        <v>14.667259</v>
      </c>
      <c r="Q198" t="n">
        <v>11.957227</v>
      </c>
      <c r="R198" t="n">
        <v>46.008602</v>
      </c>
      <c r="S198" t="n">
        <v>43.92566</v>
      </c>
      <c r="T198" t="n">
        <v>28.832254</v>
      </c>
      <c r="U198" t="n">
        <v>35.602312</v>
      </c>
      <c r="V198" t="n">
        <v>32.681748</v>
      </c>
      <c r="W198" t="n">
        <v>37.909133</v>
      </c>
      <c r="X198" t="n">
        <v>37.693425</v>
      </c>
      <c r="Y198" t="n">
        <v>0.127474</v>
      </c>
      <c r="Z198" t="n">
        <v>3323.55</v>
      </c>
      <c r="AA198" t="n">
        <v>1.65</v>
      </c>
      <c r="AB198" t="n">
        <v>22681033146803</v>
      </c>
      <c r="AC198" t="n">
        <v>6087867837</v>
      </c>
      <c r="AD198" t="n">
        <v>8868830674076</v>
      </c>
      <c r="AE198" t="inlineStr">
        <is>
          <t>4468989124</t>
        </is>
      </c>
      <c r="AF198" t="inlineStr">
        <is>
          <t>5e2ad40591522160644ebbe64fb1d4bc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30.346239</v>
      </c>
      <c r="M199" t="n">
        <v>29.996835</v>
      </c>
      <c r="N199" t="n">
        <v>35.844192</v>
      </c>
      <c r="O199" t="n">
        <v>36.217676</v>
      </c>
      <c r="P199" t="n">
        <v>11.455039</v>
      </c>
      <c r="Q199" t="n">
        <v>9.670935999999999</v>
      </c>
      <c r="R199" t="n">
        <v>21.472802</v>
      </c>
      <c r="S199" t="n">
        <v>20.121759</v>
      </c>
      <c r="T199" t="n">
        <v>25.67418</v>
      </c>
      <c r="U199" t="n">
        <v>33.222918</v>
      </c>
      <c r="V199" t="n">
        <v>29.910344</v>
      </c>
      <c r="W199" t="n">
        <v>35.83022</v>
      </c>
      <c r="X199" t="n">
        <v>36.194057</v>
      </c>
      <c r="Y199" t="n">
        <v>0.202463</v>
      </c>
      <c r="Z199" t="n">
        <v>1416.88</v>
      </c>
      <c r="AA199" t="n">
        <v>1.52</v>
      </c>
      <c r="AB199" t="n">
        <v>11893710840271</v>
      </c>
      <c r="AC199" t="n">
        <v>4026291411</v>
      </c>
      <c r="AD199" t="n">
        <v>4941328823362</v>
      </c>
      <c r="AE199" t="inlineStr">
        <is>
          <t>5366826502</t>
        </is>
      </c>
      <c r="AF199" t="inlineStr">
        <is>
          <t>abdc53b4f727748cfbd5850d4db72937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1506.323553</v>
      </c>
      <c r="M200" t="n">
        <v>38.08162</v>
      </c>
      <c r="N200" t="n">
        <v>42.845488</v>
      </c>
      <c r="O200" t="n">
        <v>41.46462</v>
      </c>
      <c r="P200" t="n">
        <v>24.793497</v>
      </c>
      <c r="Q200" t="n">
        <v>18.003007</v>
      </c>
      <c r="R200" t="n">
        <v>86.653908</v>
      </c>
      <c r="S200" t="n">
        <v>83.94567499999999</v>
      </c>
      <c r="T200" t="n">
        <v>36.609373</v>
      </c>
      <c r="U200" t="n">
        <v>40.161864</v>
      </c>
      <c r="V200" t="n">
        <v>37.569625</v>
      </c>
      <c r="W200" t="n">
        <v>42.734176</v>
      </c>
      <c r="X200" t="n">
        <v>41.332817</v>
      </c>
      <c r="Y200" t="n">
        <v>0.002311</v>
      </c>
      <c r="Z200" t="n">
        <v>10306.91</v>
      </c>
      <c r="AA200" t="n">
        <v>1.75</v>
      </c>
      <c r="AB200" t="n">
        <v>65184257734701</v>
      </c>
      <c r="AC200" t="n">
        <v>8009183891</v>
      </c>
      <c r="AD200" t="n">
        <v>26912494969188</v>
      </c>
      <c r="AE200" t="inlineStr">
        <is>
          <t>4652982673</t>
        </is>
      </c>
      <c r="AF200" t="inlineStr">
        <is>
          <t>68eeb68f37f9ce81ab8631238d5b4bab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573.037466</v>
      </c>
      <c r="M201" t="n">
        <v>37.119227</v>
      </c>
      <c r="N201" t="n">
        <v>42.05272</v>
      </c>
      <c r="O201" t="n">
        <v>40.955633</v>
      </c>
      <c r="P201" t="n">
        <v>21.657852</v>
      </c>
      <c r="Q201" t="n">
        <v>16.396198</v>
      </c>
      <c r="R201" t="n">
        <v>80.309979</v>
      </c>
      <c r="S201" t="n">
        <v>77.556375</v>
      </c>
      <c r="T201" t="n">
        <v>34.884135</v>
      </c>
      <c r="U201" t="n">
        <v>39.376498</v>
      </c>
      <c r="V201" t="n">
        <v>36.653477</v>
      </c>
      <c r="W201" t="n">
        <v>41.959528</v>
      </c>
      <c r="X201" t="n">
        <v>40.84703</v>
      </c>
      <c r="Y201" t="n">
        <v>0.008644000000000001</v>
      </c>
      <c r="Z201" t="n">
        <v>6568.44</v>
      </c>
      <c r="AA201" t="n">
        <v>1.37</v>
      </c>
      <c r="AB201" t="n">
        <v>42059894745027</v>
      </c>
      <c r="AC201" t="n">
        <v>6033638505</v>
      </c>
      <c r="AD201" t="n">
        <v>17173164320582</v>
      </c>
      <c r="AE201" t="inlineStr">
        <is>
          <t>3664010994</t>
        </is>
      </c>
      <c r="AF201" t="inlineStr">
        <is>
          <t>08f678f9931a7c28cfafc414756f084e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228.127951</v>
      </c>
      <c r="M202" t="n">
        <v>35.715641</v>
      </c>
      <c r="N202" t="n">
        <v>40.681404</v>
      </c>
      <c r="O202" t="n">
        <v>39.959946</v>
      </c>
      <c r="P202" t="n">
        <v>18.78309</v>
      </c>
      <c r="Q202" t="n">
        <v>14.677988</v>
      </c>
      <c r="R202" t="n">
        <v>69.789676</v>
      </c>
      <c r="S202" t="n">
        <v>67.283413</v>
      </c>
      <c r="T202" t="n">
        <v>32.687921</v>
      </c>
      <c r="U202" t="n">
        <v>38.16365</v>
      </c>
      <c r="V202" t="n">
        <v>35.360588</v>
      </c>
      <c r="W202" t="n">
        <v>40.617509</v>
      </c>
      <c r="X202" t="n">
        <v>39.881512</v>
      </c>
      <c r="Y202" t="n">
        <v>0.027915</v>
      </c>
      <c r="Z202" t="n">
        <v>3680.02</v>
      </c>
      <c r="AA202" t="n">
        <v>0.95</v>
      </c>
      <c r="AB202" t="n">
        <v>25608468575495</v>
      </c>
      <c r="AC202" t="n">
        <v>4965025419</v>
      </c>
      <c r="AD202" t="n">
        <v>10388408951487</v>
      </c>
      <c r="AE202" t="inlineStr">
        <is>
          <t>2744004270</t>
        </is>
      </c>
      <c r="AF202" t="inlineStr">
        <is>
          <t>31c37883fd58e60e7091b4db515339bb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97.910607</v>
      </c>
      <c r="M203" t="n">
        <v>33.789839</v>
      </c>
      <c r="N203" t="n">
        <v>38.896863</v>
      </c>
      <c r="O203" t="n">
        <v>38.574432</v>
      </c>
      <c r="P203" t="n">
        <v>16.0519</v>
      </c>
      <c r="Q203" t="n">
        <v>12.857332</v>
      </c>
      <c r="R203" t="n">
        <v>54.163276</v>
      </c>
      <c r="S203" t="n">
        <v>51.943377</v>
      </c>
      <c r="T203" t="n">
        <v>30.065216</v>
      </c>
      <c r="U203" t="n">
        <v>36.524607</v>
      </c>
      <c r="V203" t="n">
        <v>33.567874</v>
      </c>
      <c r="W203" t="n">
        <v>38.857717</v>
      </c>
      <c r="X203" t="n">
        <v>38.522173</v>
      </c>
      <c r="Y203" t="n">
        <v>0.09284199999999999</v>
      </c>
      <c r="Z203" t="n">
        <v>2426.55</v>
      </c>
      <c r="AA203" t="n">
        <v>0.88</v>
      </c>
      <c r="AB203" t="n">
        <v>17243946081473</v>
      </c>
      <c r="AC203" t="n">
        <v>4729503100</v>
      </c>
      <c r="AD203" t="n">
        <v>6881051505860</v>
      </c>
      <c r="AE203" t="inlineStr">
        <is>
          <t>2565794230</t>
        </is>
      </c>
      <c r="AF203" t="inlineStr">
        <is>
          <t>1da49588a50948428eaab3f7581498ee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43.900056</v>
      </c>
      <c r="M204" t="n">
        <v>31.297142</v>
      </c>
      <c r="N204" t="n">
        <v>36.756647</v>
      </c>
      <c r="O204" t="n">
        <v>36.948472</v>
      </c>
      <c r="P204" t="n">
        <v>13.106513</v>
      </c>
      <c r="Q204" t="n">
        <v>10.761307</v>
      </c>
      <c r="R204" t="n">
        <v>32.30229</v>
      </c>
      <c r="S204" t="n">
        <v>30.598484</v>
      </c>
      <c r="T204" t="n">
        <v>27.078311</v>
      </c>
      <c r="U204" t="n">
        <v>34.407829</v>
      </c>
      <c r="V204" t="n">
        <v>31.179691</v>
      </c>
      <c r="W204" t="n">
        <v>36.730981</v>
      </c>
      <c r="X204" t="n">
        <v>36.918912</v>
      </c>
      <c r="Y204" t="n">
        <v>0.162087</v>
      </c>
      <c r="Z204" t="n">
        <v>1751.14</v>
      </c>
      <c r="AA204" t="n">
        <v>0.67</v>
      </c>
      <c r="AB204" t="n">
        <v>11864079398453</v>
      </c>
      <c r="AC204" t="n">
        <v>3169056294</v>
      </c>
      <c r="AD204" t="n">
        <v>4643908550032</v>
      </c>
      <c r="AE204" t="inlineStr">
        <is>
          <t>1814565508</t>
        </is>
      </c>
      <c r="AF204" t="inlineStr">
        <is>
          <t>11627ae9d8c0973088b5c6998a64aa6d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20.794569</v>
      </c>
      <c r="M205" t="n">
        <v>28.66641</v>
      </c>
      <c r="N205" t="n">
        <v>34.835985</v>
      </c>
      <c r="O205" t="n">
        <v>35.495484</v>
      </c>
      <c r="P205" t="n">
        <v>10.038524</v>
      </c>
      <c r="Q205" t="n">
        <v>8.617815</v>
      </c>
      <c r="R205" t="n">
        <v>9.557112</v>
      </c>
      <c r="S205" t="n">
        <v>8.496862</v>
      </c>
      <c r="T205" t="n">
        <v>24.29367</v>
      </c>
      <c r="U205" t="n">
        <v>32.235045</v>
      </c>
      <c r="V205" t="n">
        <v>28.598782</v>
      </c>
      <c r="W205" t="n">
        <v>34.820712</v>
      </c>
      <c r="X205" t="n">
        <v>35.475352</v>
      </c>
      <c r="Y205" t="n">
        <v>0.247442</v>
      </c>
      <c r="Z205" t="n">
        <v>1010.75</v>
      </c>
      <c r="AA205" t="n">
        <v>0.36</v>
      </c>
      <c r="AB205" t="n">
        <v>7141257409618</v>
      </c>
      <c r="AC205" t="n">
        <v>1897832831</v>
      </c>
      <c r="AD205" t="n">
        <v>2699631138046</v>
      </c>
      <c r="AE205" t="inlineStr">
        <is>
          <t>1003738482</t>
        </is>
      </c>
      <c r="AF205" t="inlineStr">
        <is>
          <t>2e243b0bd2e52fe7c7f7ba352a32f170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903.705236</v>
      </c>
      <c r="M206" t="n">
        <v>35.581478</v>
      </c>
      <c r="N206" t="n">
        <v>41.279231</v>
      </c>
      <c r="O206" t="n">
        <v>40.695315</v>
      </c>
      <c r="P206" t="n">
        <v>23.236889</v>
      </c>
      <c r="Q206" t="n">
        <v>15.769429</v>
      </c>
      <c r="R206" t="n">
        <v>72.810008</v>
      </c>
      <c r="S206" t="n">
        <v>70.457855</v>
      </c>
      <c r="T206" t="n">
        <v>32.576285</v>
      </c>
      <c r="U206" t="n">
        <v>38.71542</v>
      </c>
      <c r="V206" t="n">
        <v>35.172524</v>
      </c>
      <c r="W206" t="n">
        <v>41.200362</v>
      </c>
      <c r="X206" t="n">
        <v>40.588082</v>
      </c>
      <c r="Y206" t="n">
        <v>0.004108</v>
      </c>
      <c r="Z206" t="n">
        <v>6098.47</v>
      </c>
      <c r="AA206" t="n">
        <v>1.02</v>
      </c>
      <c r="AB206" t="n">
        <v>37420508978476</v>
      </c>
      <c r="AC206" t="n">
        <v>5054419682</v>
      </c>
      <c r="AD206" t="n">
        <v>15918304470716</v>
      </c>
      <c r="AE206" t="inlineStr">
        <is>
          <t>2675141068</t>
        </is>
      </c>
      <c r="AF206" t="inlineStr">
        <is>
          <t>4c91831a1e3f4496d78aed8bc89c2634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362.583515</v>
      </c>
      <c r="M207" t="n">
        <v>34.970811</v>
      </c>
      <c r="N207" t="n">
        <v>40.64997</v>
      </c>
      <c r="O207" t="n">
        <v>40.23097</v>
      </c>
      <c r="P207" t="n">
        <v>20.393516</v>
      </c>
      <c r="Q207" t="n">
        <v>14.703682</v>
      </c>
      <c r="R207" t="n">
        <v>66.294335</v>
      </c>
      <c r="S207" t="n">
        <v>64.034002</v>
      </c>
      <c r="T207" t="n">
        <v>31.670353</v>
      </c>
      <c r="U207" t="n">
        <v>38.074767</v>
      </c>
      <c r="V207" t="n">
        <v>34.589604</v>
      </c>
      <c r="W207" t="n">
        <v>40.582033</v>
      </c>
      <c r="X207" t="n">
        <v>40.140661</v>
      </c>
      <c r="Y207" t="n">
        <v>0.015556</v>
      </c>
      <c r="Z207" t="n">
        <v>2831.72</v>
      </c>
      <c r="AA207" t="n">
        <v>0.7</v>
      </c>
      <c r="AB207" t="n">
        <v>22879592056769</v>
      </c>
      <c r="AC207" t="n">
        <v>3815811948</v>
      </c>
      <c r="AD207" t="n">
        <v>9680140341651</v>
      </c>
      <c r="AE207" t="inlineStr">
        <is>
          <t>2409410865</t>
        </is>
      </c>
      <c r="AF207" t="inlineStr">
        <is>
          <t>e3ee8c453e1b8647095f474ba6ac6327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152.62015</v>
      </c>
      <c r="M208" t="n">
        <v>33.98027</v>
      </c>
      <c r="N208" t="n">
        <v>39.534749</v>
      </c>
      <c r="O208" t="n">
        <v>39.310124</v>
      </c>
      <c r="P208" t="n">
        <v>17.72296</v>
      </c>
      <c r="Q208" t="n">
        <v>13.422789</v>
      </c>
      <c r="R208" t="n">
        <v>55.89683</v>
      </c>
      <c r="S208" t="n">
        <v>53.796275</v>
      </c>
      <c r="T208" t="n">
        <v>30.2981</v>
      </c>
      <c r="U208" t="n">
        <v>37.067664</v>
      </c>
      <c r="V208" t="n">
        <v>33.674902</v>
      </c>
      <c r="W208" t="n">
        <v>39.48346</v>
      </c>
      <c r="X208" t="n">
        <v>39.247006</v>
      </c>
      <c r="Y208" t="n">
        <v>0.053854</v>
      </c>
      <c r="Z208" t="n">
        <v>2296.57</v>
      </c>
      <c r="AA208" t="n">
        <v>0.66</v>
      </c>
      <c r="AB208" t="n">
        <v>14480990721678</v>
      </c>
      <c r="AC208" t="n">
        <v>3272509441</v>
      </c>
      <c r="AD208" t="n">
        <v>6038883030197</v>
      </c>
      <c r="AE208" t="inlineStr">
        <is>
          <t>1757425334</t>
        </is>
      </c>
      <c r="AF208" t="inlineStr">
        <is>
          <t>f05e669e88406b63f211f3d555c0e63a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69.25006500000001</v>
      </c>
      <c r="M209" t="n">
        <v>32.423201</v>
      </c>
      <c r="N209" t="n">
        <v>37.969608</v>
      </c>
      <c r="O209" t="n">
        <v>37.974357</v>
      </c>
      <c r="P209" t="n">
        <v>15.02943</v>
      </c>
      <c r="Q209" t="n">
        <v>11.866271</v>
      </c>
      <c r="R209" t="n">
        <v>40.225442</v>
      </c>
      <c r="S209" t="n">
        <v>38.411697</v>
      </c>
      <c r="T209" t="n">
        <v>28.34944</v>
      </c>
      <c r="U209" t="n">
        <v>35.568769</v>
      </c>
      <c r="V209" t="n">
        <v>32.231348</v>
      </c>
      <c r="W209" t="n">
        <v>37.937269</v>
      </c>
      <c r="X209" t="n">
        <v>37.931454</v>
      </c>
      <c r="Y209" t="n">
        <v>0.133218</v>
      </c>
      <c r="Z209" t="n">
        <v>1264.58</v>
      </c>
      <c r="AA209" t="n">
        <v>0.43</v>
      </c>
      <c r="AB209" t="n">
        <v>10367372834253</v>
      </c>
      <c r="AC209" t="n">
        <v>2820957838</v>
      </c>
      <c r="AD209" t="n">
        <v>4357479333545</v>
      </c>
      <c r="AE209" t="inlineStr">
        <is>
          <t>1512500489</t>
        </is>
      </c>
      <c r="AF209" t="inlineStr">
        <is>
          <t>d8f1b7abe0e3da403aeaaa15ddd7c732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32.618426</v>
      </c>
      <c r="M210" t="n">
        <v>30.187856</v>
      </c>
      <c r="N210" t="n">
        <v>36.075224</v>
      </c>
      <c r="O210" t="n">
        <v>36.497976</v>
      </c>
      <c r="P210" t="n">
        <v>11.977058</v>
      </c>
      <c r="Q210" t="n">
        <v>9.898612999999999</v>
      </c>
      <c r="R210" t="n">
        <v>19.986541</v>
      </c>
      <c r="S210" t="n">
        <v>18.740067</v>
      </c>
      <c r="T210" t="n">
        <v>25.846158</v>
      </c>
      <c r="U210" t="n">
        <v>33.672793</v>
      </c>
      <c r="V210" t="n">
        <v>30.081786</v>
      </c>
      <c r="W210" t="n">
        <v>36.05957</v>
      </c>
      <c r="X210" t="n">
        <v>36.472144</v>
      </c>
      <c r="Y210" t="n">
        <v>0.197095</v>
      </c>
      <c r="Z210" t="n">
        <v>1247.24</v>
      </c>
      <c r="AA210" t="n">
        <v>0.37</v>
      </c>
      <c r="AB210" t="n">
        <v>7652803392602</v>
      </c>
      <c r="AC210" t="n">
        <v>1809371747</v>
      </c>
      <c r="AD210" t="n">
        <v>3313638614370</v>
      </c>
      <c r="AE210" t="inlineStr">
        <is>
          <t>1007929923</t>
        </is>
      </c>
      <c r="AF210" t="inlineStr">
        <is>
          <t>74aa3b4805827ad515b4d3bd6a4238b5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16.696518</v>
      </c>
      <c r="M211" t="n">
        <v>27.6332</v>
      </c>
      <c r="N211" t="n">
        <v>34.287025</v>
      </c>
      <c r="O211" t="n">
        <v>35.142599</v>
      </c>
      <c r="P211" t="n">
        <v>8.872420999999999</v>
      </c>
      <c r="Q211" t="n">
        <v>7.783466</v>
      </c>
      <c r="R211" t="n">
        <v>0.579824</v>
      </c>
      <c r="S211" t="n">
        <v>0.394871</v>
      </c>
      <c r="T211" t="n">
        <v>23.281868</v>
      </c>
      <c r="U211" t="n">
        <v>31.45202</v>
      </c>
      <c r="V211" t="n">
        <v>27.578466</v>
      </c>
      <c r="W211" t="n">
        <v>34.275497</v>
      </c>
      <c r="X211" t="n">
        <v>35.126523</v>
      </c>
      <c r="Y211" t="n">
        <v>0.277951</v>
      </c>
      <c r="Z211" t="n">
        <v>783.78</v>
      </c>
      <c r="AA211" t="n">
        <v>0.3</v>
      </c>
      <c r="AB211" t="n">
        <v>4900452046666</v>
      </c>
      <c r="AC211" t="n">
        <v>1224965454</v>
      </c>
      <c r="AD211" t="n">
        <v>2101755097501</v>
      </c>
      <c r="AE211" t="inlineStr">
        <is>
          <t>821389581</t>
        </is>
      </c>
      <c r="AF211" t="inlineStr">
        <is>
          <t>e7591320101e9afa6e74346ca62794e2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405.710806</v>
      </c>
      <c r="M212" t="n">
        <v>32.395408</v>
      </c>
      <c r="N212" t="n">
        <v>39.460717</v>
      </c>
      <c r="O212" t="n">
        <v>39.639292</v>
      </c>
      <c r="P212" t="n">
        <v>19.781421</v>
      </c>
      <c r="Q212" t="n">
        <v>12.798171</v>
      </c>
      <c r="R212" t="n">
        <v>42.011747</v>
      </c>
      <c r="S212" t="n">
        <v>40.245028</v>
      </c>
      <c r="T212" t="n">
        <v>28.088675</v>
      </c>
      <c r="U212" t="n">
        <v>36.688186</v>
      </c>
      <c r="V212" t="n">
        <v>32.168108</v>
      </c>
      <c r="W212" t="n">
        <v>39.410476</v>
      </c>
      <c r="X212" t="n">
        <v>39.558491</v>
      </c>
      <c r="Y212" t="n">
        <v>0.009287999999999999</v>
      </c>
      <c r="Z212" t="n">
        <v>2170.38</v>
      </c>
      <c r="AA212" t="n">
        <v>0.42</v>
      </c>
      <c r="AB212" t="n">
        <v>13747734593740</v>
      </c>
      <c r="AC212" t="n">
        <v>2258731234</v>
      </c>
      <c r="AD212" t="n">
        <v>5668248797600</v>
      </c>
      <c r="AE212" t="inlineStr">
        <is>
          <t>1112723344</t>
        </is>
      </c>
      <c r="AF212" t="inlineStr">
        <is>
          <t>6cef0997b0557a6817a5423851bdd88d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175.388129</v>
      </c>
      <c r="M213" t="n">
        <v>32.0659</v>
      </c>
      <c r="N213" t="n">
        <v>38.966033</v>
      </c>
      <c r="O213" t="n">
        <v>39.199901</v>
      </c>
      <c r="P213" t="n">
        <v>17.828936</v>
      </c>
      <c r="Q213" t="n">
        <v>12.2325</v>
      </c>
      <c r="R213" t="n">
        <v>36.701834</v>
      </c>
      <c r="S213" t="n">
        <v>35.046382</v>
      </c>
      <c r="T213" t="n">
        <v>27.710545</v>
      </c>
      <c r="U213" t="n">
        <v>36.217941</v>
      </c>
      <c r="V213" t="n">
        <v>31.847162</v>
      </c>
      <c r="W213" t="n">
        <v>38.921124</v>
      </c>
      <c r="X213" t="n">
        <v>39.132391</v>
      </c>
      <c r="Y213" t="n">
        <v>0.031878</v>
      </c>
      <c r="Z213" t="n">
        <v>1257.4</v>
      </c>
      <c r="AA213" t="n">
        <v>0.32</v>
      </c>
      <c r="AB213" t="n">
        <v>8079613099744</v>
      </c>
      <c r="AC213" t="n">
        <v>1732623758</v>
      </c>
      <c r="AD213" t="n">
        <v>3294937201542</v>
      </c>
      <c r="AE213" t="inlineStr">
        <is>
          <t>828706712</t>
        </is>
      </c>
      <c r="AF213" t="inlineStr">
        <is>
          <t>4af93d914941b52ee10f58f26740ed12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81.335814</v>
      </c>
      <c r="M214" t="n">
        <v>31.477267</v>
      </c>
      <c r="N214" t="n">
        <v>38.081582</v>
      </c>
      <c r="O214" t="n">
        <v>38.339172</v>
      </c>
      <c r="P214" t="n">
        <v>15.644145</v>
      </c>
      <c r="Q214" t="n">
        <v>11.424021</v>
      </c>
      <c r="R214" t="n">
        <v>28.321542</v>
      </c>
      <c r="S214" t="n">
        <v>26.893836</v>
      </c>
      <c r="T214" t="n">
        <v>27.054525</v>
      </c>
      <c r="U214" t="n">
        <v>35.423074</v>
      </c>
      <c r="V214" t="n">
        <v>31.288174</v>
      </c>
      <c r="W214" t="n">
        <v>38.046615</v>
      </c>
      <c r="X214" t="n">
        <v>38.290213</v>
      </c>
      <c r="Y214" t="n">
        <v>0.096818</v>
      </c>
      <c r="Z214" t="n">
        <v>698.98</v>
      </c>
      <c r="AA214" t="n">
        <v>0.25</v>
      </c>
      <c r="AB214" t="n">
        <v>4822623859797</v>
      </c>
      <c r="AC214" t="n">
        <v>1562140429</v>
      </c>
      <c r="AD214" t="n">
        <v>1981530479309</v>
      </c>
      <c r="AE214" t="inlineStr">
        <is>
          <t>720386022</t>
        </is>
      </c>
      <c r="AF214" t="inlineStr">
        <is>
          <t>ee5b626ab20dafa7d268053d224e9c8d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40.366362</v>
      </c>
      <c r="M215" t="n">
        <v>30.39854</v>
      </c>
      <c r="N215" t="n">
        <v>36.676788</v>
      </c>
      <c r="O215" t="n">
        <v>37.127625</v>
      </c>
      <c r="P215" t="n">
        <v>13.15123</v>
      </c>
      <c r="Q215" t="n">
        <v>10.249201</v>
      </c>
      <c r="R215" t="n">
        <v>16.586104</v>
      </c>
      <c r="S215" t="n">
        <v>15.454551</v>
      </c>
      <c r="T215" t="n">
        <v>25.917888</v>
      </c>
      <c r="U215" t="n">
        <v>34.165009</v>
      </c>
      <c r="V215" t="n">
        <v>30.26377</v>
      </c>
      <c r="W215" t="n">
        <v>36.653449</v>
      </c>
      <c r="X215" t="n">
        <v>37.099355</v>
      </c>
      <c r="Y215" t="n">
        <v>0.180301</v>
      </c>
      <c r="Z215" t="n">
        <v>497.18</v>
      </c>
      <c r="AA215" t="n">
        <v>0.19</v>
      </c>
      <c r="AB215" t="n">
        <v>3320180887300</v>
      </c>
      <c r="AC215" t="n">
        <v>1304047602</v>
      </c>
      <c r="AD215" t="n">
        <v>1319333952864</v>
      </c>
      <c r="AE215" t="inlineStr">
        <is>
          <t>524358315</t>
        </is>
      </c>
      <c r="AF215" t="inlineStr">
        <is>
          <t>7daeed8874e4029fdd517f34af17ea38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20.798258</v>
      </c>
      <c r="M216" t="n">
        <v>28.592483</v>
      </c>
      <c r="N216" t="n">
        <v>35.035589</v>
      </c>
      <c r="O216" t="n">
        <v>35.844194</v>
      </c>
      <c r="P216" t="n">
        <v>10.239232</v>
      </c>
      <c r="Q216" t="n">
        <v>8.594196</v>
      </c>
      <c r="R216" t="n">
        <v>2.279203</v>
      </c>
      <c r="S216" t="n">
        <v>1.793982</v>
      </c>
      <c r="T216" t="n">
        <v>24.145534</v>
      </c>
      <c r="U216" t="n">
        <v>32.304163</v>
      </c>
      <c r="V216" t="n">
        <v>28.514144</v>
      </c>
      <c r="W216" t="n">
        <v>35.024624</v>
      </c>
      <c r="X216" t="n">
        <v>35.824692</v>
      </c>
      <c r="Y216" t="n">
        <v>0.273555</v>
      </c>
      <c r="Z216" t="n">
        <v>352.29</v>
      </c>
      <c r="AA216" t="n">
        <v>0.16</v>
      </c>
      <c r="AB216" t="n">
        <v>2372320092292</v>
      </c>
      <c r="AC216" t="n">
        <v>887601776</v>
      </c>
      <c r="AD216" t="n">
        <v>940967023015</v>
      </c>
      <c r="AE216" t="inlineStr">
        <is>
          <t>406376972</t>
        </is>
      </c>
      <c r="AF216" t="inlineStr">
        <is>
          <t>a23d111a0ac632d5312521fa6fe9b0d3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11.847833</v>
      </c>
      <c r="M217" t="n">
        <v>26.511227</v>
      </c>
      <c r="N217" t="n">
        <v>33.377859</v>
      </c>
      <c r="O217" t="n">
        <v>34.636361</v>
      </c>
      <c r="P217" t="n">
        <v>7.680825</v>
      </c>
      <c r="Q217" t="n">
        <v>6.941169</v>
      </c>
      <c r="R217" t="n">
        <v>0</v>
      </c>
      <c r="S217" t="n">
        <v>0</v>
      </c>
      <c r="T217" t="n">
        <v>22.215703</v>
      </c>
      <c r="U217" t="n">
        <v>30.419224</v>
      </c>
      <c r="V217" t="n">
        <v>26.464822</v>
      </c>
      <c r="W217" t="n">
        <v>33.36638</v>
      </c>
      <c r="X217" t="n">
        <v>34.612065</v>
      </c>
      <c r="Y217" t="n">
        <v>0.337062</v>
      </c>
      <c r="Z217" t="n">
        <v>235.64</v>
      </c>
      <c r="AA217" t="n">
        <v>0.07000000000000001</v>
      </c>
      <c r="AB217" t="n">
        <v>1635488422186</v>
      </c>
      <c r="AC217" t="n">
        <v>465600514</v>
      </c>
      <c r="AD217" t="n">
        <v>637239345123</v>
      </c>
      <c r="AE217" t="inlineStr">
        <is>
          <t>214544363</t>
        </is>
      </c>
      <c r="AF217" t="inlineStr">
        <is>
          <t>426619831fdfa346d2309f9051c5553c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28110.077</v>
      </c>
      <c r="M218" t="n">
        <v>40.333787</v>
      </c>
      <c r="N218" t="n">
        <v>49.507965</v>
      </c>
      <c r="O218" t="n">
        <v>47.67557</v>
      </c>
      <c r="P218" t="n">
        <v>26.910547</v>
      </c>
      <c r="Q218" t="n">
        <v>18.10266</v>
      </c>
      <c r="R218" t="n">
        <v>96.619326</v>
      </c>
      <c r="S218" t="n">
        <v>94.911272</v>
      </c>
      <c r="T218" t="n">
        <v>41.077476</v>
      </c>
      <c r="U218" t="n">
        <v>42.420436</v>
      </c>
      <c r="V218" t="n">
        <v>40.266994</v>
      </c>
      <c r="W218" t="n">
        <v>49.496577</v>
      </c>
      <c r="X218" t="n">
        <v>47.650282</v>
      </c>
      <c r="Y218" t="n">
        <v>0.41613</v>
      </c>
      <c r="Z218" t="n">
        <v>46232.72</v>
      </c>
      <c r="AA218" t="n">
        <v>21.18</v>
      </c>
      <c r="AB218" t="n">
        <v>282855980575207</v>
      </c>
      <c r="AC218" t="n">
        <v>86807574012</v>
      </c>
      <c r="AD218" t="n">
        <v>120231965597730</v>
      </c>
      <c r="AE218" t="inlineStr">
        <is>
          <t>57925960574</t>
        </is>
      </c>
      <c r="AF218" t="inlineStr">
        <is>
          <t>d8be90a5af668cfe1929ecbbd180a088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9950.994237000001</v>
      </c>
      <c r="M219" t="n">
        <v>39.643963</v>
      </c>
      <c r="N219" t="n">
        <v>48.6653</v>
      </c>
      <c r="O219" t="n">
        <v>46.421929</v>
      </c>
      <c r="P219" t="n">
        <v>24.419309</v>
      </c>
      <c r="Q219" t="n">
        <v>17.184411</v>
      </c>
      <c r="R219" t="n">
        <v>91.299819</v>
      </c>
      <c r="S219" t="n">
        <v>89.516587</v>
      </c>
      <c r="T219" t="n">
        <v>39.352161</v>
      </c>
      <c r="U219" t="n">
        <v>41.65172</v>
      </c>
      <c r="V219" t="n">
        <v>39.633247</v>
      </c>
      <c r="W219" t="n">
        <v>48.659157</v>
      </c>
      <c r="X219" t="n">
        <v>46.403049</v>
      </c>
      <c r="Y219" t="n">
        <v>0.478004</v>
      </c>
      <c r="Z219" t="n">
        <v>35417.9</v>
      </c>
      <c r="AA219" t="n">
        <v>16.97</v>
      </c>
      <c r="AB219" t="n">
        <v>220869997063084</v>
      </c>
      <c r="AC219" t="n">
        <v>68279276057</v>
      </c>
      <c r="AD219" t="n">
        <v>92148101341917</v>
      </c>
      <c r="AE219" t="inlineStr">
        <is>
          <t>46729185931</t>
        </is>
      </c>
      <c r="AF219" t="inlineStr">
        <is>
          <t>8c513d8735158a1d9a74971f655aebb2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4105.2154</v>
      </c>
      <c r="M220" t="n">
        <v>38.518977</v>
      </c>
      <c r="N220" t="n">
        <v>47.332817</v>
      </c>
      <c r="O220" t="n">
        <v>44.541279</v>
      </c>
      <c r="P220" t="n">
        <v>21.192999</v>
      </c>
      <c r="Q220" t="n">
        <v>15.870022</v>
      </c>
      <c r="R220" t="n">
        <v>80.91033899999999</v>
      </c>
      <c r="S220" t="n">
        <v>79.130447</v>
      </c>
      <c r="T220" t="n">
        <v>36.909506</v>
      </c>
      <c r="U220" t="n">
        <v>40.469461</v>
      </c>
      <c r="V220" t="n">
        <v>38.507178</v>
      </c>
      <c r="W220" t="n">
        <v>47.32189</v>
      </c>
      <c r="X220" t="n">
        <v>44.512805</v>
      </c>
      <c r="Y220" t="n">
        <v>0.508092</v>
      </c>
      <c r="Z220" t="n">
        <v>18060.86</v>
      </c>
      <c r="AA220" t="n">
        <v>14.38</v>
      </c>
      <c r="AB220" t="n">
        <v>119837889206550</v>
      </c>
      <c r="AC220" t="n">
        <v>52409552147</v>
      </c>
      <c r="AD220" t="n">
        <v>50702825758383</v>
      </c>
      <c r="AE220" t="inlineStr">
        <is>
          <t>42803073649</t>
        </is>
      </c>
      <c r="AF220" t="inlineStr">
        <is>
          <t>6dfc3348bd6d34cf54da37ba4ba4a5b9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2011.333897</v>
      </c>
      <c r="M221" t="n">
        <v>36.737354</v>
      </c>
      <c r="N221" t="n">
        <v>45.454196</v>
      </c>
      <c r="O221" t="n">
        <v>42.157759</v>
      </c>
      <c r="P221" t="n">
        <v>17.631118</v>
      </c>
      <c r="Q221" t="n">
        <v>14.109669</v>
      </c>
      <c r="R221" t="n">
        <v>65.015747</v>
      </c>
      <c r="S221" t="n">
        <v>63.285776</v>
      </c>
      <c r="T221" t="n">
        <v>33.960068</v>
      </c>
      <c r="U221" t="n">
        <v>38.773359</v>
      </c>
      <c r="V221" t="n">
        <v>36.71039</v>
      </c>
      <c r="W221" t="n">
        <v>45.436821</v>
      </c>
      <c r="X221" t="n">
        <v>42.124904</v>
      </c>
      <c r="Y221" t="n">
        <v>0.595392</v>
      </c>
      <c r="Z221" t="n">
        <v>12278.01</v>
      </c>
      <c r="AA221" t="n">
        <v>11.18</v>
      </c>
      <c r="AB221" t="n">
        <v>74566301135077</v>
      </c>
      <c r="AC221" t="n">
        <v>42392304443</v>
      </c>
      <c r="AD221" t="n">
        <v>32116404761452</v>
      </c>
      <c r="AE221" t="inlineStr">
        <is>
          <t>30802591047</t>
        </is>
      </c>
      <c r="AF221" t="inlineStr">
        <is>
          <t>31bf51ad48e7f72b844a54190bf28c6c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965.4775990000001</v>
      </c>
      <c r="M222" t="n">
        <v>34.235715</v>
      </c>
      <c r="N222" t="n">
        <v>42.86974</v>
      </c>
      <c r="O222" t="n">
        <v>39.308406</v>
      </c>
      <c r="P222" t="n">
        <v>13.98451</v>
      </c>
      <c r="Q222" t="n">
        <v>11.997927</v>
      </c>
      <c r="R222" t="n">
        <v>45.317089</v>
      </c>
      <c r="S222" t="n">
        <v>43.784763</v>
      </c>
      <c r="T222" t="n">
        <v>30.689109</v>
      </c>
      <c r="U222" t="n">
        <v>36.472102</v>
      </c>
      <c r="V222" t="n">
        <v>34.190648</v>
      </c>
      <c r="W222" t="n">
        <v>42.840124</v>
      </c>
      <c r="X222" t="n">
        <v>39.270134</v>
      </c>
      <c r="Y222" t="n">
        <v>0.71811</v>
      </c>
      <c r="Z222" t="n">
        <v>7887.51</v>
      </c>
      <c r="AA222" t="n">
        <v>9.050000000000001</v>
      </c>
      <c r="AB222" t="n">
        <v>48721852291549</v>
      </c>
      <c r="AC222" t="n">
        <v>35971867152</v>
      </c>
      <c r="AD222" t="n">
        <v>20736928715697</v>
      </c>
      <c r="AE222" t="inlineStr">
        <is>
          <t>24846911525</t>
        </is>
      </c>
      <c r="AF222" t="inlineStr">
        <is>
          <t>1c376cc57ac27e1071124415c9ca8d77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455.437486</v>
      </c>
      <c r="M223" t="n">
        <v>31.327442</v>
      </c>
      <c r="N223" t="n">
        <v>39.848178</v>
      </c>
      <c r="O223" t="n">
        <v>36.255095</v>
      </c>
      <c r="P223" t="n">
        <v>10.672861</v>
      </c>
      <c r="Q223" t="n">
        <v>9.842504999999999</v>
      </c>
      <c r="R223" t="n">
        <v>25.609878</v>
      </c>
      <c r="S223" t="n">
        <v>24.543116</v>
      </c>
      <c r="T223" t="n">
        <v>27.442475</v>
      </c>
      <c r="U223" t="n">
        <v>33.666967</v>
      </c>
      <c r="V223" t="n">
        <v>31.271117</v>
      </c>
      <c r="W223" t="n">
        <v>39.807665</v>
      </c>
      <c r="X223" t="n">
        <v>36.210944</v>
      </c>
      <c r="Y223" t="n">
        <v>0.830139</v>
      </c>
      <c r="Z223" t="n">
        <v>4871.63</v>
      </c>
      <c r="AA223" t="n">
        <v>9.050000000000001</v>
      </c>
      <c r="AB223" t="n">
        <v>30139902771825</v>
      </c>
      <c r="AC223" t="n">
        <v>31716177447</v>
      </c>
      <c r="AD223" t="n">
        <v>12889794550203</v>
      </c>
      <c r="AE223" t="inlineStr">
        <is>
          <t>24880366807</t>
        </is>
      </c>
      <c r="AF223" t="inlineStr">
        <is>
          <t>2e3b2230cf1205cb84d3553d212aad76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13706.384692</v>
      </c>
      <c r="M224" t="n">
        <v>39.939292</v>
      </c>
      <c r="N224" t="n">
        <v>49.071792</v>
      </c>
      <c r="O224" t="n">
        <v>46.952241</v>
      </c>
      <c r="P224" t="n">
        <v>25.56504</v>
      </c>
      <c r="Q224" t="n">
        <v>17.593435</v>
      </c>
      <c r="R224" t="n">
        <v>94.43029199999999</v>
      </c>
      <c r="S224" t="n">
        <v>92.413591</v>
      </c>
      <c r="T224" t="n">
        <v>40.141406</v>
      </c>
      <c r="U224" t="n">
        <v>41.986069</v>
      </c>
      <c r="V224" t="n">
        <v>39.927108</v>
      </c>
      <c r="W224" t="n">
        <v>49.064877</v>
      </c>
      <c r="X224" t="n">
        <v>46.932802</v>
      </c>
      <c r="Y224" t="n">
        <v>0.521689</v>
      </c>
      <c r="Z224" t="n">
        <v>16807.39</v>
      </c>
      <c r="AA224" t="n">
        <v>9.85</v>
      </c>
      <c r="AB224" t="n">
        <v>98173513290370</v>
      </c>
      <c r="AC224" t="n">
        <v>42425100622</v>
      </c>
      <c r="AD224" t="n">
        <v>43882454388777</v>
      </c>
      <c r="AE224" t="inlineStr">
        <is>
          <t>26726058261</t>
        </is>
      </c>
      <c r="AF224" t="inlineStr">
        <is>
          <t>7e3084250275e71f15e64c825611c3b8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5665.431184</v>
      </c>
      <c r="M225" t="n">
        <v>39.132049</v>
      </c>
      <c r="N225" t="n">
        <v>48.095841</v>
      </c>
      <c r="O225" t="n">
        <v>45.532893</v>
      </c>
      <c r="P225" t="n">
        <v>22.837219</v>
      </c>
      <c r="Q225" t="n">
        <v>16.561119</v>
      </c>
      <c r="R225" t="n">
        <v>87.40758700000001</v>
      </c>
      <c r="S225" t="n">
        <v>85.27689599999999</v>
      </c>
      <c r="T225" t="n">
        <v>38.162385</v>
      </c>
      <c r="U225" t="n">
        <v>41.112291</v>
      </c>
      <c r="V225" t="n">
        <v>39.124993</v>
      </c>
      <c r="W225" t="n">
        <v>48.088028</v>
      </c>
      <c r="X225" t="n">
        <v>45.51067</v>
      </c>
      <c r="Y225" t="n">
        <v>0.5529579999999999</v>
      </c>
      <c r="Z225" t="n">
        <v>14555.4</v>
      </c>
      <c r="AA225" t="n">
        <v>7.35</v>
      </c>
      <c r="AB225" t="n">
        <v>89801898750853</v>
      </c>
      <c r="AC225" t="n">
        <v>34382317998</v>
      </c>
      <c r="AD225" t="n">
        <v>37919264674248</v>
      </c>
      <c r="AE225" t="inlineStr">
        <is>
          <t>20102088509</t>
        </is>
      </c>
      <c r="AF225" t="inlineStr">
        <is>
          <t>444709f2466b5b9f4afe707e588114f6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2664.665796</v>
      </c>
      <c r="M226" t="n">
        <v>37.678015</v>
      </c>
      <c r="N226" t="n">
        <v>46.562027</v>
      </c>
      <c r="O226" t="n">
        <v>43.458238</v>
      </c>
      <c r="P226" t="n">
        <v>19.336862</v>
      </c>
      <c r="Q226" t="n">
        <v>15.004293</v>
      </c>
      <c r="R226" t="n">
        <v>74.03398900000001</v>
      </c>
      <c r="S226" t="n">
        <v>71.998155</v>
      </c>
      <c r="T226" t="n">
        <v>35.421003</v>
      </c>
      <c r="U226" t="n">
        <v>39.70188</v>
      </c>
      <c r="V226" t="n">
        <v>37.660057</v>
      </c>
      <c r="W226" t="n">
        <v>46.54707</v>
      </c>
      <c r="X226" t="n">
        <v>43.425854</v>
      </c>
      <c r="Y226" t="n">
        <v>0.629482</v>
      </c>
      <c r="Z226" t="n">
        <v>9256.440000000001</v>
      </c>
      <c r="AA226" t="n">
        <v>6.57</v>
      </c>
      <c r="AB226" t="n">
        <v>55800095723777</v>
      </c>
      <c r="AC226" t="n">
        <v>26249597530</v>
      </c>
      <c r="AD226" t="n">
        <v>24143682315733</v>
      </c>
      <c r="AE226" t="inlineStr">
        <is>
          <t>18083526336</t>
        </is>
      </c>
      <c r="AF226" t="inlineStr">
        <is>
          <t>bd38addb5a45ce48c8407c1b0fbf7a5e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1298.419734</v>
      </c>
      <c r="M227" t="n">
        <v>35.551002</v>
      </c>
      <c r="N227" t="n">
        <v>44.529326</v>
      </c>
      <c r="O227" t="n">
        <v>40.982728</v>
      </c>
      <c r="P227" t="n">
        <v>15.754892</v>
      </c>
      <c r="Q227" t="n">
        <v>13.075459</v>
      </c>
      <c r="R227" t="n">
        <v>55.592636</v>
      </c>
      <c r="S227" t="n">
        <v>53.800307</v>
      </c>
      <c r="T227" t="n">
        <v>32.340106</v>
      </c>
      <c r="U227" t="n">
        <v>37.787944</v>
      </c>
      <c r="V227" t="n">
        <v>35.515403</v>
      </c>
      <c r="W227" t="n">
        <v>44.508844</v>
      </c>
      <c r="X227" t="n">
        <v>40.946906</v>
      </c>
      <c r="Y227" t="n">
        <v>0.725423</v>
      </c>
      <c r="Z227" t="n">
        <v>6034.45</v>
      </c>
      <c r="AA227" t="n">
        <v>4.92</v>
      </c>
      <c r="AB227" t="n">
        <v>38182311500307</v>
      </c>
      <c r="AC227" t="n">
        <v>20543414831</v>
      </c>
      <c r="AD227" t="n">
        <v>15756108382307</v>
      </c>
      <c r="AE227" t="inlineStr">
        <is>
          <t>13526762829</t>
        </is>
      </c>
      <c r="AF227" t="inlineStr">
        <is>
          <t>cc7ae1af70bc877c88071b5b7adc1300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608.16107</v>
      </c>
      <c r="M228" t="n">
        <v>32.800684</v>
      </c>
      <c r="N228" t="n">
        <v>41.86942</v>
      </c>
      <c r="O228" t="n">
        <v>38.11538</v>
      </c>
      <c r="P228" t="n">
        <v>12.257908</v>
      </c>
      <c r="Q228" t="n">
        <v>10.921549</v>
      </c>
      <c r="R228" t="n">
        <v>34.632274</v>
      </c>
      <c r="S228" t="n">
        <v>33.368826</v>
      </c>
      <c r="T228" t="n">
        <v>29.063786</v>
      </c>
      <c r="U228" t="n">
        <v>35.282566</v>
      </c>
      <c r="V228" t="n">
        <v>32.750243</v>
      </c>
      <c r="W228" t="n">
        <v>41.840568</v>
      </c>
      <c r="X228" t="n">
        <v>38.076584</v>
      </c>
      <c r="Y228" t="n">
        <v>0.823256</v>
      </c>
      <c r="Z228" t="n">
        <v>4191.68</v>
      </c>
      <c r="AA228" t="n">
        <v>4.57</v>
      </c>
      <c r="AB228" t="n">
        <v>25917127771072</v>
      </c>
      <c r="AC228" t="n">
        <v>16931698902</v>
      </c>
      <c r="AD228" t="n">
        <v>10976458826742</v>
      </c>
      <c r="AE228" t="inlineStr">
        <is>
          <t>12582220344</t>
        </is>
      </c>
      <c r="AF228" t="inlineStr">
        <is>
          <t>451cec2af8d3d5b6b5a381628b37e83e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279.010835</v>
      </c>
      <c r="M229" t="n">
        <v>29.82029</v>
      </c>
      <c r="N229" t="n">
        <v>38.842024</v>
      </c>
      <c r="O229" t="n">
        <v>35.076005</v>
      </c>
      <c r="P229" t="n">
        <v>9.238484</v>
      </c>
      <c r="Q229" t="n">
        <v>8.888396999999999</v>
      </c>
      <c r="R229" t="n">
        <v>15.604964</v>
      </c>
      <c r="S229" t="n">
        <v>14.932349</v>
      </c>
      <c r="T229" t="n">
        <v>25.912541</v>
      </c>
      <c r="U229" t="n">
        <v>32.454256</v>
      </c>
      <c r="V229" t="n">
        <v>29.759479</v>
      </c>
      <c r="W229" t="n">
        <v>38.79583</v>
      </c>
      <c r="X229" t="n">
        <v>35.033805</v>
      </c>
      <c r="Y229" t="n">
        <v>0.947362</v>
      </c>
      <c r="Z229" t="n">
        <v>2689.02</v>
      </c>
      <c r="AA229" t="n">
        <v>4.82</v>
      </c>
      <c r="AB229" t="n">
        <v>16169174357464</v>
      </c>
      <c r="AC229" t="n">
        <v>14515853966</v>
      </c>
      <c r="AD229" t="n">
        <v>7072877731209</v>
      </c>
      <c r="AE229" t="inlineStr">
        <is>
          <t>13131992544</t>
        </is>
      </c>
      <c r="AF229" t="inlineStr">
        <is>
          <t>53abef8d11942978fa25c6e70c20885d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9103.910244000001</v>
      </c>
      <c r="M230" t="n">
        <v>39.627995</v>
      </c>
      <c r="N230" t="n">
        <v>48.674033</v>
      </c>
      <c r="O230" t="n">
        <v>46.270667</v>
      </c>
      <c r="P230" t="n">
        <v>24.51544</v>
      </c>
      <c r="Q230" t="n">
        <v>17.192227</v>
      </c>
      <c r="R230" t="n">
        <v>92.000584</v>
      </c>
      <c r="S230" t="n">
        <v>89.78931900000001</v>
      </c>
      <c r="T230" t="n">
        <v>39.358278</v>
      </c>
      <c r="U230" t="n">
        <v>41.626345</v>
      </c>
      <c r="V230" t="n">
        <v>39.621334</v>
      </c>
      <c r="W230" t="n">
        <v>48.667407</v>
      </c>
      <c r="X230" t="n">
        <v>46.251196</v>
      </c>
      <c r="Y230" t="n">
        <v>0.590657</v>
      </c>
      <c r="Z230" t="n">
        <v>8943.6</v>
      </c>
      <c r="AA230" t="n">
        <v>6.67</v>
      </c>
      <c r="AB230" t="n">
        <v>52669742278860</v>
      </c>
      <c r="AC230" t="n">
        <v>27097446047</v>
      </c>
      <c r="AD230" t="n">
        <v>23348296363330</v>
      </c>
      <c r="AE230" t="inlineStr">
        <is>
          <t>17972575469</t>
        </is>
      </c>
      <c r="AF230" t="inlineStr">
        <is>
          <t>7885ea3607eaf4b2304c7f215e13002c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4130.286944</v>
      </c>
      <c r="M231" t="n">
        <v>38.655254</v>
      </c>
      <c r="N231" t="n">
        <v>47.597427</v>
      </c>
      <c r="O231" t="n">
        <v>44.751647</v>
      </c>
      <c r="P231" t="n">
        <v>21.578481</v>
      </c>
      <c r="Q231" t="n">
        <v>16.033505</v>
      </c>
      <c r="R231" t="n">
        <v>83.332658</v>
      </c>
      <c r="S231" t="n">
        <v>81.01802499999999</v>
      </c>
      <c r="T231" t="n">
        <v>37.184516</v>
      </c>
      <c r="U231" t="n">
        <v>40.638014</v>
      </c>
      <c r="V231" t="n">
        <v>38.646072</v>
      </c>
      <c r="W231" t="n">
        <v>47.587876</v>
      </c>
      <c r="X231" t="n">
        <v>44.727256</v>
      </c>
      <c r="Y231" t="n">
        <v>0.66467</v>
      </c>
      <c r="Z231" t="n">
        <v>8102.09</v>
      </c>
      <c r="AA231" t="n">
        <v>5.29</v>
      </c>
      <c r="AB231" t="n">
        <v>52041044509627</v>
      </c>
      <c r="AC231" t="n">
        <v>22153302437</v>
      </c>
      <c r="AD231" t="n">
        <v>22726379736023</v>
      </c>
      <c r="AE231" t="inlineStr">
        <is>
          <t>15397020122</t>
        </is>
      </c>
      <c r="AF231" t="inlineStr">
        <is>
          <t>62f9e0e8689a9f1b3b51ee3aee9bee66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1976.587105</v>
      </c>
      <c r="M232" t="n">
        <v>36.956912</v>
      </c>
      <c r="N232" t="n">
        <v>45.951284</v>
      </c>
      <c r="O232" t="n">
        <v>42.613518</v>
      </c>
      <c r="P232" t="n">
        <v>17.99986</v>
      </c>
      <c r="Q232" t="n">
        <v>14.321568</v>
      </c>
      <c r="R232" t="n">
        <v>68.002129</v>
      </c>
      <c r="S232" t="n">
        <v>65.878612</v>
      </c>
      <c r="T232" t="n">
        <v>34.298061</v>
      </c>
      <c r="U232" t="n">
        <v>39.078189</v>
      </c>
      <c r="V232" t="n">
        <v>36.933954</v>
      </c>
      <c r="W232" t="n">
        <v>45.934258</v>
      </c>
      <c r="X232" t="n">
        <v>42.580444</v>
      </c>
      <c r="Y232" t="n">
        <v>0.765477</v>
      </c>
      <c r="Z232" t="n">
        <v>5387.91</v>
      </c>
      <c r="AA232" t="n">
        <v>4.1</v>
      </c>
      <c r="AB232" t="n">
        <v>35251473201006</v>
      </c>
      <c r="AC232" t="n">
        <v>16439739121</v>
      </c>
      <c r="AD232" t="n">
        <v>15122493205929</v>
      </c>
      <c r="AE232" t="inlineStr">
        <is>
          <t>11957032484</t>
        </is>
      </c>
      <c r="AF232" t="inlineStr">
        <is>
          <t>fd2ba2a2e4ca0792c7f6bbde90bea168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947.123031</v>
      </c>
      <c r="M233" t="n">
        <v>34.600066</v>
      </c>
      <c r="N233" t="n">
        <v>43.818679</v>
      </c>
      <c r="O233" t="n">
        <v>40.080277</v>
      </c>
      <c r="P233" t="n">
        <v>14.432875</v>
      </c>
      <c r="Q233" t="n">
        <v>12.299411</v>
      </c>
      <c r="R233" t="n">
        <v>48.375214</v>
      </c>
      <c r="S233" t="n">
        <v>46.671748</v>
      </c>
      <c r="T233" t="n">
        <v>31.156352</v>
      </c>
      <c r="U233" t="n">
        <v>37.003867</v>
      </c>
      <c r="V233" t="n">
        <v>34.558761</v>
      </c>
      <c r="W233" t="n">
        <v>43.795788</v>
      </c>
      <c r="X233" t="n">
        <v>40.042894</v>
      </c>
      <c r="Y233" t="n">
        <v>0.870986</v>
      </c>
      <c r="Z233" t="n">
        <v>3994.27</v>
      </c>
      <c r="AA233" t="n">
        <v>2.88</v>
      </c>
      <c r="AB233" t="n">
        <v>25293032843122</v>
      </c>
      <c r="AC233" t="n">
        <v>12158723303</v>
      </c>
      <c r="AD233" t="n">
        <v>10423236014581</v>
      </c>
      <c r="AE233" t="inlineStr">
        <is>
          <t>7841401977</t>
        </is>
      </c>
      <c r="AF233" t="inlineStr">
        <is>
          <t>8fede76ad44259ece1523931490d02c3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432.280335</v>
      </c>
      <c r="M234" t="n">
        <v>31.726394</v>
      </c>
      <c r="N234" t="n">
        <v>41.070774</v>
      </c>
      <c r="O234" t="n">
        <v>37.185819</v>
      </c>
      <c r="P234" t="n">
        <v>11.066425</v>
      </c>
      <c r="Q234" t="n">
        <v>10.155237</v>
      </c>
      <c r="R234" t="n">
        <v>28.404808</v>
      </c>
      <c r="S234" t="n">
        <v>27.245858</v>
      </c>
      <c r="T234" t="n">
        <v>27.911692</v>
      </c>
      <c r="U234" t="n">
        <v>34.384832</v>
      </c>
      <c r="V234" t="n">
        <v>31.671949</v>
      </c>
      <c r="W234" t="n">
        <v>41.041387</v>
      </c>
      <c r="X234" t="n">
        <v>37.147867</v>
      </c>
      <c r="Y234" t="n">
        <v>0.974992</v>
      </c>
      <c r="Z234" t="n">
        <v>2764.21</v>
      </c>
      <c r="AA234" t="n">
        <v>2.69</v>
      </c>
      <c r="AB234" t="n">
        <v>17307211419895</v>
      </c>
      <c r="AC234" t="n">
        <v>9841097228</v>
      </c>
      <c r="AD234" t="n">
        <v>7220166186296</v>
      </c>
      <c r="AE234" t="inlineStr">
        <is>
          <t>7387004402</t>
        </is>
      </c>
      <c r="AF234" t="inlineStr">
        <is>
          <t>7e6ac8f9932384feab10c2c6d1499dfa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195.640667</v>
      </c>
      <c r="M235" t="n">
        <v>28.782307</v>
      </c>
      <c r="N235" t="n">
        <v>38.151896</v>
      </c>
      <c r="O235" t="n">
        <v>34.238062</v>
      </c>
      <c r="P235" t="n">
        <v>8.346086</v>
      </c>
      <c r="Q235" t="n">
        <v>8.280212000000001</v>
      </c>
      <c r="R235" t="n">
        <v>9.922955</v>
      </c>
      <c r="S235" t="n">
        <v>9.461169</v>
      </c>
      <c r="T235" t="n">
        <v>24.890774</v>
      </c>
      <c r="U235" t="n">
        <v>31.521316</v>
      </c>
      <c r="V235" t="n">
        <v>28.723203</v>
      </c>
      <c r="W235" t="n">
        <v>38.114321</v>
      </c>
      <c r="X235" t="n">
        <v>34.190517</v>
      </c>
      <c r="Y235" t="n">
        <v>0.986677</v>
      </c>
      <c r="Z235" t="n">
        <v>1780.01</v>
      </c>
      <c r="AA235" t="n">
        <v>2.28</v>
      </c>
      <c r="AB235" t="n">
        <v>10866574527062</v>
      </c>
      <c r="AC235" t="n">
        <v>8067569525</v>
      </c>
      <c r="AD235" t="n">
        <v>4669144769231</v>
      </c>
      <c r="AE235" t="inlineStr">
        <is>
          <t>6118111132</t>
        </is>
      </c>
      <c r="AF235" t="inlineStr">
        <is>
          <t>4df1229bcd12366292b47e051673abdc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5484.63352</v>
      </c>
      <c r="M236" t="n">
        <v>38.97186</v>
      </c>
      <c r="N236" t="n">
        <v>47.933331</v>
      </c>
      <c r="O236" t="n">
        <v>45.030479</v>
      </c>
      <c r="P236" t="n">
        <v>22.799253</v>
      </c>
      <c r="Q236" t="n">
        <v>16.469016</v>
      </c>
      <c r="R236" t="n">
        <v>86.201044</v>
      </c>
      <c r="S236" t="n">
        <v>83.7453</v>
      </c>
      <c r="T236" t="n">
        <v>37.89979</v>
      </c>
      <c r="U236" t="n">
        <v>40.945461</v>
      </c>
      <c r="V236" t="n">
        <v>38.965744</v>
      </c>
      <c r="W236" t="n">
        <v>47.924951</v>
      </c>
      <c r="X236" t="n">
        <v>45.008885</v>
      </c>
      <c r="Y236" t="n">
        <v>0.644865</v>
      </c>
      <c r="Z236" t="n">
        <v>8619.459999999999</v>
      </c>
      <c r="AA236" t="n">
        <v>3.13</v>
      </c>
      <c r="AB236" t="n">
        <v>50265383124363</v>
      </c>
      <c r="AC236" t="n">
        <v>13818977182</v>
      </c>
      <c r="AD236" t="n">
        <v>22481291806734</v>
      </c>
      <c r="AE236" t="inlineStr">
        <is>
          <t>8343931701</t>
        </is>
      </c>
      <c r="AF236" t="inlineStr">
        <is>
          <t>d4924b3f497d624e9e49f4e33e0eaade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2692.75463</v>
      </c>
      <c r="M237" t="n">
        <v>37.731073</v>
      </c>
      <c r="N237" t="n">
        <v>46.67932</v>
      </c>
      <c r="O237" t="n">
        <v>43.36311</v>
      </c>
      <c r="P237" t="n">
        <v>19.653561</v>
      </c>
      <c r="Q237" t="n">
        <v>15.113616</v>
      </c>
      <c r="R237" t="n">
        <v>74.90862199999999</v>
      </c>
      <c r="S237" t="n">
        <v>72.39754499999999</v>
      </c>
      <c r="T237" t="n">
        <v>35.525955</v>
      </c>
      <c r="U237" t="n">
        <v>39.76235</v>
      </c>
      <c r="V237" t="n">
        <v>37.716461</v>
      </c>
      <c r="W237" t="n">
        <v>46.666248</v>
      </c>
      <c r="X237" t="n">
        <v>43.334721</v>
      </c>
      <c r="Y237" t="n">
        <v>0.755706</v>
      </c>
      <c r="Z237" t="n">
        <v>6214.85</v>
      </c>
      <c r="AA237" t="n">
        <v>2.93</v>
      </c>
      <c r="AB237" t="n">
        <v>37355469974613</v>
      </c>
      <c r="AC237" t="n">
        <v>11996584889</v>
      </c>
      <c r="AD237" t="n">
        <v>16199316411911</v>
      </c>
      <c r="AE237" t="inlineStr">
        <is>
          <t>7873173162</t>
        </is>
      </c>
      <c r="AF237" t="inlineStr">
        <is>
          <t>75d75e4d48f8c80ba888ffb0bee3c17d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1286.723123</v>
      </c>
      <c r="M238" t="n">
        <v>35.733875</v>
      </c>
      <c r="N238" t="n">
        <v>44.87053</v>
      </c>
      <c r="O238" t="n">
        <v>41.217628</v>
      </c>
      <c r="P238" t="n">
        <v>16.074675</v>
      </c>
      <c r="Q238" t="n">
        <v>13.256004</v>
      </c>
      <c r="R238" t="n">
        <v>57.541401</v>
      </c>
      <c r="S238" t="n">
        <v>55.431806</v>
      </c>
      <c r="T238" t="n">
        <v>32.58365</v>
      </c>
      <c r="U238" t="n">
        <v>38.009673</v>
      </c>
      <c r="V238" t="n">
        <v>35.703934</v>
      </c>
      <c r="W238" t="n">
        <v>44.851301</v>
      </c>
      <c r="X238" t="n">
        <v>41.182348</v>
      </c>
      <c r="Y238" t="n">
        <v>0.910197</v>
      </c>
      <c r="Z238" t="n">
        <v>4302.02</v>
      </c>
      <c r="AA238" t="n">
        <v>1.92</v>
      </c>
      <c r="AB238" t="n">
        <v>28047580922706</v>
      </c>
      <c r="AC238" t="n">
        <v>8964919685</v>
      </c>
      <c r="AD238" t="n">
        <v>12068019335938</v>
      </c>
      <c r="AE238" t="inlineStr">
        <is>
          <t>5558075956</t>
        </is>
      </c>
      <c r="AF238" t="inlineStr">
        <is>
          <t>35f13c62c51335f3f29746036501e943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607.821717</v>
      </c>
      <c r="M239" t="n">
        <v>33.157303</v>
      </c>
      <c r="N239" t="n">
        <v>42.586328</v>
      </c>
      <c r="O239" t="n">
        <v>38.741834</v>
      </c>
      <c r="P239" t="n">
        <v>12.662019</v>
      </c>
      <c r="Q239" t="n">
        <v>11.200677</v>
      </c>
      <c r="R239" t="n">
        <v>37.483546</v>
      </c>
      <c r="S239" t="n">
        <v>36.03962</v>
      </c>
      <c r="T239" t="n">
        <v>29.478422</v>
      </c>
      <c r="U239" t="n">
        <v>35.767385</v>
      </c>
      <c r="V239" t="n">
        <v>33.111481</v>
      </c>
      <c r="W239" t="n">
        <v>42.556872</v>
      </c>
      <c r="X239" t="n">
        <v>38.703964</v>
      </c>
      <c r="Y239" t="n">
        <v>1.022946</v>
      </c>
      <c r="Z239" t="n">
        <v>3374.56</v>
      </c>
      <c r="AA239" t="n">
        <v>1.3</v>
      </c>
      <c r="AB239" t="n">
        <v>22238625426362</v>
      </c>
      <c r="AC239" t="n">
        <v>5985564056</v>
      </c>
      <c r="AD239" t="n">
        <v>9464955311363</v>
      </c>
      <c r="AE239" t="inlineStr">
        <is>
          <t>3805473618</t>
        </is>
      </c>
      <c r="AF239" t="inlineStr">
        <is>
          <t>45cbd7520a378399ee6454df72a49500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269.291324</v>
      </c>
      <c r="M240" t="n">
        <v>30.190521</v>
      </c>
      <c r="N240" t="n">
        <v>39.992984</v>
      </c>
      <c r="O240" t="n">
        <v>35.933906</v>
      </c>
      <c r="P240" t="n">
        <v>9.566321</v>
      </c>
      <c r="Q240" t="n">
        <v>9.15185</v>
      </c>
      <c r="R240" t="n">
        <v>18.213797</v>
      </c>
      <c r="S240" t="n">
        <v>17.480911</v>
      </c>
      <c r="T240" t="n">
        <v>26.333795</v>
      </c>
      <c r="U240" t="n">
        <v>33.061407</v>
      </c>
      <c r="V240" t="n">
        <v>30.133916</v>
      </c>
      <c r="W240" t="n">
        <v>39.9677</v>
      </c>
      <c r="X240" t="n">
        <v>35.899109</v>
      </c>
      <c r="Y240" t="n">
        <v>1.084765</v>
      </c>
      <c r="Z240" t="n">
        <v>1663.87</v>
      </c>
      <c r="AA240" t="n">
        <v>0.86</v>
      </c>
      <c r="AB240" t="n">
        <v>10336442084842</v>
      </c>
      <c r="AC240" t="n">
        <v>4736266877</v>
      </c>
      <c r="AD240" t="n">
        <v>4341082233232</v>
      </c>
      <c r="AE240" t="inlineStr">
        <is>
          <t>2324527774</t>
        </is>
      </c>
      <c r="AF240" t="inlineStr">
        <is>
          <t>83812875fc4313785635c7e9a0b217f0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120.381772</v>
      </c>
      <c r="M241" t="n">
        <v>27.237335</v>
      </c>
      <c r="N241" t="n">
        <v>37.07316</v>
      </c>
      <c r="O241" t="n">
        <v>32.966463</v>
      </c>
      <c r="P241" t="n">
        <v>7.192205</v>
      </c>
      <c r="Q241" t="n">
        <v>7.46073</v>
      </c>
      <c r="R241" t="n">
        <v>1.997776</v>
      </c>
      <c r="S241" t="n">
        <v>1.89283</v>
      </c>
      <c r="T241" t="n">
        <v>23.392092</v>
      </c>
      <c r="U241" t="n">
        <v>30.097947</v>
      </c>
      <c r="V241" t="n">
        <v>27.17491</v>
      </c>
      <c r="W241" t="n">
        <v>37.046643</v>
      </c>
      <c r="X241" t="n">
        <v>32.91775</v>
      </c>
      <c r="Y241" t="n">
        <v>1.050669</v>
      </c>
      <c r="Z241" t="n">
        <v>1044.91</v>
      </c>
      <c r="AA241" t="n">
        <v>0.87</v>
      </c>
      <c r="AB241" t="n">
        <v>6373371815135</v>
      </c>
      <c r="AC241" t="n">
        <v>3778642278</v>
      </c>
      <c r="AD241" t="n">
        <v>2733247951830</v>
      </c>
      <c r="AE241" t="inlineStr">
        <is>
          <t>2314655072</t>
        </is>
      </c>
      <c r="AF241" t="inlineStr">
        <is>
          <t>cb05464712c045c5b4bc6c228559223b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3992.402674</v>
      </c>
      <c r="M242" t="n">
        <v>38.239756</v>
      </c>
      <c r="N242" t="n">
        <v>47.248337</v>
      </c>
      <c r="O242" t="n">
        <v>43.904843</v>
      </c>
      <c r="P242" t="n">
        <v>21.41654</v>
      </c>
      <c r="Q242" t="n">
        <v>15.760266</v>
      </c>
      <c r="R242" t="n">
        <v>78.677184</v>
      </c>
      <c r="S242" t="n">
        <v>76.237758</v>
      </c>
      <c r="T242" t="n">
        <v>36.428485</v>
      </c>
      <c r="U242" t="n">
        <v>40.284981</v>
      </c>
      <c r="V242" t="n">
        <v>38.231277</v>
      </c>
      <c r="W242" t="n">
        <v>47.23795</v>
      </c>
      <c r="X242" t="n">
        <v>43.88262</v>
      </c>
      <c r="Y242" t="n">
        <v>0.707808</v>
      </c>
      <c r="Z242" t="n">
        <v>6045.3</v>
      </c>
      <c r="AA242" t="n">
        <v>1.89</v>
      </c>
      <c r="AB242" t="n">
        <v>35648852204124</v>
      </c>
      <c r="AC242" t="n">
        <v>8865975202</v>
      </c>
      <c r="AD242" t="n">
        <v>15788063338196</v>
      </c>
      <c r="AE242" t="inlineStr">
        <is>
          <t>5057110619</t>
        </is>
      </c>
      <c r="AF242" t="inlineStr">
        <is>
          <t>3443d283e68bfe04cb7eaf8e392b86e8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1993.289172</v>
      </c>
      <c r="M243" t="n">
        <v>36.850772</v>
      </c>
      <c r="N243" t="n">
        <v>45.938433</v>
      </c>
      <c r="O243" t="n">
        <v>42.285614</v>
      </c>
      <c r="P243" t="n">
        <v>18.215089</v>
      </c>
      <c r="Q243" t="n">
        <v>14.323485</v>
      </c>
      <c r="R243" t="n">
        <v>66.062608</v>
      </c>
      <c r="S243" t="n">
        <v>63.598521</v>
      </c>
      <c r="T243" t="n">
        <v>34.117522</v>
      </c>
      <c r="U243" t="n">
        <v>39.014779</v>
      </c>
      <c r="V243" t="n">
        <v>36.831485</v>
      </c>
      <c r="W243" t="n">
        <v>45.92414</v>
      </c>
      <c r="X243" t="n">
        <v>42.25806</v>
      </c>
      <c r="Y243" t="n">
        <v>0.85016</v>
      </c>
      <c r="Z243" t="n">
        <v>4506.17</v>
      </c>
      <c r="AA243" t="n">
        <v>1.79</v>
      </c>
      <c r="AB243" t="n">
        <v>26375697368376</v>
      </c>
      <c r="AC243" t="n">
        <v>7612834756</v>
      </c>
      <c r="AD243" t="n">
        <v>11775029676068</v>
      </c>
      <c r="AE243" t="inlineStr">
        <is>
          <t>4764931346</t>
        </is>
      </c>
      <c r="AF243" t="inlineStr">
        <is>
          <t>1a62d7aa2665473ccc542171133cc726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944.902482</v>
      </c>
      <c r="M244" t="n">
        <v>34.705728</v>
      </c>
      <c r="N244" t="n">
        <v>44.147004</v>
      </c>
      <c r="O244" t="n">
        <v>40.154617</v>
      </c>
      <c r="P244" t="n">
        <v>14.698965</v>
      </c>
      <c r="Q244" t="n">
        <v>12.42558</v>
      </c>
      <c r="R244" t="n">
        <v>47.768732</v>
      </c>
      <c r="S244" t="n">
        <v>45.866617</v>
      </c>
      <c r="T244" t="n">
        <v>31.266277</v>
      </c>
      <c r="U244" t="n">
        <v>37.152259</v>
      </c>
      <c r="V244" t="n">
        <v>34.670858</v>
      </c>
      <c r="W244" t="n">
        <v>44.127531</v>
      </c>
      <c r="X244" t="n">
        <v>40.118432</v>
      </c>
      <c r="Y244" t="n">
        <v>1.04424</v>
      </c>
      <c r="Z244" t="n">
        <v>3330.09</v>
      </c>
      <c r="AA244" t="n">
        <v>1.19</v>
      </c>
      <c r="AB244" t="n">
        <v>20311433837141</v>
      </c>
      <c r="AC244" t="n">
        <v>5850822879</v>
      </c>
      <c r="AD244" t="n">
        <v>8710714720978</v>
      </c>
      <c r="AE244" t="inlineStr">
        <is>
          <t>3223774950</t>
        </is>
      </c>
      <c r="AF244" t="inlineStr">
        <is>
          <t>90752c08da697e734c41d640285d8d4f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438.613694</v>
      </c>
      <c r="M245" t="n">
        <v>32.054665</v>
      </c>
      <c r="N245" t="n">
        <v>41.85031</v>
      </c>
      <c r="O245" t="n">
        <v>37.683843</v>
      </c>
      <c r="P245" t="n">
        <v>11.424404</v>
      </c>
      <c r="Q245" t="n">
        <v>10.400647</v>
      </c>
      <c r="R245" t="n">
        <v>28.423484</v>
      </c>
      <c r="S245" t="n">
        <v>27.299387</v>
      </c>
      <c r="T245" t="n">
        <v>28.270551</v>
      </c>
      <c r="U245" t="n">
        <v>34.826506</v>
      </c>
      <c r="V245" t="n">
        <v>32.006469</v>
      </c>
      <c r="W245" t="n">
        <v>41.828419</v>
      </c>
      <c r="X245" t="n">
        <v>37.64329</v>
      </c>
      <c r="Y245" t="n">
        <v>1.168601</v>
      </c>
      <c r="Z245" t="n">
        <v>2700.02</v>
      </c>
      <c r="AA245" t="n">
        <v>0.79</v>
      </c>
      <c r="AB245" t="n">
        <v>16055638007826</v>
      </c>
      <c r="AC245" t="n">
        <v>3769767933</v>
      </c>
      <c r="AD245" t="n">
        <v>7071068201136</v>
      </c>
      <c r="AE245" t="inlineStr">
        <is>
          <t>2117371896</t>
        </is>
      </c>
      <c r="AF245" t="inlineStr">
        <is>
          <t>f2b434d935833c478c4fba567ec1043e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193.689388</v>
      </c>
      <c r="M246" t="n">
        <v>29.13532</v>
      </c>
      <c r="N246" t="n">
        <v>39.239807</v>
      </c>
      <c r="O246" t="n">
        <v>34.998363</v>
      </c>
      <c r="P246" t="n">
        <v>8.654044000000001</v>
      </c>
      <c r="Q246" t="n">
        <v>8.528305</v>
      </c>
      <c r="R246" t="n">
        <v>10.604264</v>
      </c>
      <c r="S246" t="n">
        <v>10.098309</v>
      </c>
      <c r="T246" t="n">
        <v>25.281338</v>
      </c>
      <c r="U246" t="n">
        <v>32.116857</v>
      </c>
      <c r="V246" t="n">
        <v>29.079256</v>
      </c>
      <c r="W246" t="n">
        <v>39.215974</v>
      </c>
      <c r="X246" t="n">
        <v>34.966718</v>
      </c>
      <c r="Y246" t="n">
        <v>1.180662</v>
      </c>
      <c r="Z246" t="n">
        <v>1046.09</v>
      </c>
      <c r="AA246" t="n">
        <v>0.61</v>
      </c>
      <c r="AB246" t="n">
        <v>6280845213163</v>
      </c>
      <c r="AC246" t="n">
        <v>2868357598</v>
      </c>
      <c r="AD246" t="n">
        <v>2732858874140</v>
      </c>
      <c r="AE246" t="inlineStr">
        <is>
          <t>1684194131</t>
        </is>
      </c>
      <c r="AF246" t="inlineStr">
        <is>
          <t>b415aaa46f6f0afc09ff261cd27c5837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86.472297</v>
      </c>
      <c r="M247" t="n">
        <v>26.234843</v>
      </c>
      <c r="N247" t="n">
        <v>36.255696</v>
      </c>
      <c r="O247" t="n">
        <v>32.218285</v>
      </c>
      <c r="P247" t="n">
        <v>6.496737</v>
      </c>
      <c r="Q247" t="n">
        <v>6.956071</v>
      </c>
      <c r="R247" t="n">
        <v>0.219478</v>
      </c>
      <c r="S247" t="n">
        <v>0.196552</v>
      </c>
      <c r="T247" t="n">
        <v>22.432158</v>
      </c>
      <c r="U247" t="n">
        <v>29.229388</v>
      </c>
      <c r="V247" t="n">
        <v>26.174991</v>
      </c>
      <c r="W247" t="n">
        <v>36.231486</v>
      </c>
      <c r="X247" t="n">
        <v>32.174528</v>
      </c>
      <c r="Y247" t="n">
        <v>1.167953</v>
      </c>
      <c r="Z247" t="n">
        <v>668.51</v>
      </c>
      <c r="AA247" t="n">
        <v>0.48</v>
      </c>
      <c r="AB247" t="n">
        <v>3866155770098</v>
      </c>
      <c r="AC247" t="n">
        <v>2180966616</v>
      </c>
      <c r="AD247" t="n">
        <v>1749473951620</v>
      </c>
      <c r="AE247" t="inlineStr">
        <is>
          <t>1260147989</t>
        </is>
      </c>
      <c r="AF247" t="inlineStr">
        <is>
          <t>784715d31c20b403f9524238f1c8ca60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2524.055637</v>
      </c>
      <c r="M248" t="n">
        <v>36.614203</v>
      </c>
      <c r="N248" t="n">
        <v>45.997096</v>
      </c>
      <c r="O248" t="n">
        <v>42.068741</v>
      </c>
      <c r="P248" t="n">
        <v>19.089711</v>
      </c>
      <c r="Q248" t="n">
        <v>14.368026</v>
      </c>
      <c r="R248" t="n">
        <v>58.941762</v>
      </c>
      <c r="S248" t="n">
        <v>56.868618</v>
      </c>
      <c r="T248" t="n">
        <v>33.591965</v>
      </c>
      <c r="U248" t="n">
        <v>39.020627</v>
      </c>
      <c r="V248" t="n">
        <v>36.603484</v>
      </c>
      <c r="W248" t="n">
        <v>45.985342</v>
      </c>
      <c r="X248" t="n">
        <v>42.044954</v>
      </c>
      <c r="Y248" t="n">
        <v>0.76226</v>
      </c>
      <c r="Z248" t="n">
        <v>2275.73</v>
      </c>
      <c r="AA248" t="n">
        <v>1.02</v>
      </c>
      <c r="AB248" t="n">
        <v>13203177314560</v>
      </c>
      <c r="AC248" t="n">
        <v>4714950406</v>
      </c>
      <c r="AD248" t="n">
        <v>5940603510392</v>
      </c>
      <c r="AE248" t="inlineStr">
        <is>
          <t>2681362747</t>
        </is>
      </c>
      <c r="AF248" t="inlineStr">
        <is>
          <t>b34c7baa2eae5cb9927c2ad1c50ee5ea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1272.271114</v>
      </c>
      <c r="M249" t="n">
        <v>35.202681</v>
      </c>
      <c r="N249" t="n">
        <v>44.643254</v>
      </c>
      <c r="O249" t="n">
        <v>40.525743</v>
      </c>
      <c r="P249" t="n">
        <v>16.048719</v>
      </c>
      <c r="Q249" t="n">
        <v>12.98686</v>
      </c>
      <c r="R249" t="n">
        <v>46.133896</v>
      </c>
      <c r="S249" t="n">
        <v>44.2063</v>
      </c>
      <c r="T249" t="n">
        <v>31.747754</v>
      </c>
      <c r="U249" t="n">
        <v>37.694494</v>
      </c>
      <c r="V249" t="n">
        <v>35.179466</v>
      </c>
      <c r="W249" t="n">
        <v>44.6284</v>
      </c>
      <c r="X249" t="n">
        <v>40.494246</v>
      </c>
      <c r="Y249" t="n">
        <v>0.948303</v>
      </c>
      <c r="Z249" t="n">
        <v>1669.64</v>
      </c>
      <c r="AA249" t="n">
        <v>0.8100000000000001</v>
      </c>
      <c r="AB249" t="n">
        <v>9995368801901</v>
      </c>
      <c r="AC249" t="n">
        <v>3850054542</v>
      </c>
      <c r="AD249" t="n">
        <v>4356736672475</v>
      </c>
      <c r="AE249" t="inlineStr">
        <is>
          <t>2144391508</t>
        </is>
      </c>
      <c r="AF249" t="inlineStr">
        <is>
          <t>e7fd7351662b4ac711a84c4724098828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602.87159</v>
      </c>
      <c r="M250" t="n">
        <v>33.056672</v>
      </c>
      <c r="N250" t="n">
        <v>42.806201</v>
      </c>
      <c r="O250" t="n">
        <v>38.500512</v>
      </c>
      <c r="P250" t="n">
        <v>12.80085</v>
      </c>
      <c r="Q250" t="n">
        <v>11.198605</v>
      </c>
      <c r="R250" t="n">
        <v>29.936503</v>
      </c>
      <c r="S250" t="n">
        <v>28.610192</v>
      </c>
      <c r="T250" t="n">
        <v>29.291671</v>
      </c>
      <c r="U250" t="n">
        <v>35.768352</v>
      </c>
      <c r="V250" t="n">
        <v>33.018856</v>
      </c>
      <c r="W250" t="n">
        <v>42.785372</v>
      </c>
      <c r="X250" t="n">
        <v>38.461725</v>
      </c>
      <c r="Y250" t="n">
        <v>1.171237</v>
      </c>
      <c r="Z250" t="n">
        <v>1164.93</v>
      </c>
      <c r="AA250" t="n">
        <v>0.66</v>
      </c>
      <c r="AB250" t="n">
        <v>7070521033223</v>
      </c>
      <c r="AC250" t="n">
        <v>3066830152</v>
      </c>
      <c r="AD250" t="n">
        <v>3038467004314</v>
      </c>
      <c r="AE250" t="inlineStr">
        <is>
          <t>1760854885</t>
        </is>
      </c>
      <c r="AF250" t="inlineStr">
        <is>
          <t>1d679df14bbc579bcffb0c866eaf6686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275.901329</v>
      </c>
      <c r="M251" t="n">
        <v>30.425809</v>
      </c>
      <c r="N251" t="n">
        <v>40.516745</v>
      </c>
      <c r="O251" t="n">
        <v>36.233522</v>
      </c>
      <c r="P251" t="n">
        <v>9.846107</v>
      </c>
      <c r="Q251" t="n">
        <v>9.335729000000001</v>
      </c>
      <c r="R251" t="n">
        <v>13.189438</v>
      </c>
      <c r="S251" t="n">
        <v>12.618911</v>
      </c>
      <c r="T251" t="n">
        <v>26.562512</v>
      </c>
      <c r="U251" t="n">
        <v>33.37497</v>
      </c>
      <c r="V251" t="n">
        <v>30.375825</v>
      </c>
      <c r="W251" t="n">
        <v>40.490197</v>
      </c>
      <c r="X251" t="n">
        <v>36.196907</v>
      </c>
      <c r="Y251" t="n">
        <v>1.318435</v>
      </c>
      <c r="Z251" t="n">
        <v>714.6</v>
      </c>
      <c r="AA251" t="n">
        <v>0.39</v>
      </c>
      <c r="AB251" t="n">
        <v>4693122395689</v>
      </c>
      <c r="AC251" t="n">
        <v>2128930639</v>
      </c>
      <c r="AD251" t="n">
        <v>2007569399843</v>
      </c>
      <c r="AE251" t="inlineStr">
        <is>
          <t>1143662973</t>
        </is>
      </c>
      <c r="AF251" t="inlineStr">
        <is>
          <t>56c0aabe6883b85410cb779e39628509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120.473988</v>
      </c>
      <c r="M252" t="n">
        <v>27.536533</v>
      </c>
      <c r="N252" t="n">
        <v>37.829252</v>
      </c>
      <c r="O252" t="n">
        <v>33.630738</v>
      </c>
      <c r="P252" t="n">
        <v>7.429371</v>
      </c>
      <c r="Q252" t="n">
        <v>7.662185</v>
      </c>
      <c r="R252" t="n">
        <v>0.982572</v>
      </c>
      <c r="S252" t="n">
        <v>0.9160740000000001</v>
      </c>
      <c r="T252" t="n">
        <v>23.715748</v>
      </c>
      <c r="U252" t="n">
        <v>30.587209</v>
      </c>
      <c r="V252" t="n">
        <v>27.479397</v>
      </c>
      <c r="W252" t="n">
        <v>37.798434</v>
      </c>
      <c r="X252" t="n">
        <v>33.589231</v>
      </c>
      <c r="Y252" t="n">
        <v>1.311775</v>
      </c>
      <c r="Z252" t="n">
        <v>475.23</v>
      </c>
      <c r="AA252" t="n">
        <v>0.25</v>
      </c>
      <c r="AB252" t="n">
        <v>2993299837780</v>
      </c>
      <c r="AC252" t="n">
        <v>1378754817</v>
      </c>
      <c r="AD252" t="n">
        <v>1242629605096</v>
      </c>
      <c r="AE252" t="inlineStr">
        <is>
          <t>679290518</t>
        </is>
      </c>
      <c r="AF252" t="inlineStr">
        <is>
          <t>1df302f5ef77d3736cf7b4046ce32019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54.809191</v>
      </c>
      <c r="M253" t="n">
        <v>24.718434</v>
      </c>
      <c r="N253" t="n">
        <v>35.128491</v>
      </c>
      <c r="O253" t="n">
        <v>30.813892</v>
      </c>
      <c r="P253" t="n">
        <v>5.624453</v>
      </c>
      <c r="Q253" t="n">
        <v>6.298662</v>
      </c>
      <c r="R253" t="n">
        <v>0.014154</v>
      </c>
      <c r="S253" t="n">
        <v>0.013375</v>
      </c>
      <c r="T253" t="n">
        <v>20.988247</v>
      </c>
      <c r="U253" t="n">
        <v>27.628091</v>
      </c>
      <c r="V253" t="n">
        <v>24.659389</v>
      </c>
      <c r="W253" t="n">
        <v>35.110926</v>
      </c>
      <c r="X253" t="n">
        <v>30.762656</v>
      </c>
      <c r="Y253" t="n">
        <v>1.156714</v>
      </c>
      <c r="Z253" t="n">
        <v>296.15</v>
      </c>
      <c r="AA253" t="n">
        <v>0.18</v>
      </c>
      <c r="AB253" t="n">
        <v>1841014536843</v>
      </c>
      <c r="AC253" t="n">
        <v>942639080</v>
      </c>
      <c r="AD253" t="n">
        <v>775351479750</v>
      </c>
      <c r="AE253" t="inlineStr">
        <is>
          <t>458764131</t>
        </is>
      </c>
      <c r="AF253" t="inlineStr">
        <is>
          <t>89d502fa07ca61d617ed753e83515499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27586.473834</v>
      </c>
      <c r="M254" t="n">
        <v>43.261281</v>
      </c>
      <c r="N254" t="n">
        <v>48.9897</v>
      </c>
      <c r="O254" t="n">
        <v>50.40093</v>
      </c>
      <c r="P254" t="n">
        <v>30.94493</v>
      </c>
      <c r="Q254" t="n">
        <v>22.891858</v>
      </c>
      <c r="R254" t="n">
        <v>94.72282800000001</v>
      </c>
      <c r="S254" t="n">
        <v>92.911252</v>
      </c>
      <c r="T254" t="n">
        <v>44.563641</v>
      </c>
      <c r="U254" t="n">
        <v>44.27061</v>
      </c>
      <c r="V254" t="n">
        <v>43.162059</v>
      </c>
      <c r="W254" t="n">
        <v>48.963764</v>
      </c>
      <c r="X254" t="n">
        <v>50.335437</v>
      </c>
      <c r="Y254" t="n">
        <v>0.013236</v>
      </c>
      <c r="Z254" t="n">
        <v>26390.09</v>
      </c>
      <c r="AA254" t="n">
        <v>16.66</v>
      </c>
      <c r="AB254" t="n">
        <v>159661837026445</v>
      </c>
      <c r="AC254" t="n">
        <v>62976170092</v>
      </c>
      <c r="AD254" t="n">
        <v>68775973602115</v>
      </c>
      <c r="AE254" t="inlineStr">
        <is>
          <t>45404555364</t>
        </is>
      </c>
      <c r="AF254" t="inlineStr">
        <is>
          <t>341ddc8fd5ee9ea49466bba82926382e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10256.330746</v>
      </c>
      <c r="M255" t="n">
        <v>41.255119</v>
      </c>
      <c r="N255" t="n">
        <v>47.004368</v>
      </c>
      <c r="O255" t="n">
        <v>48.398394</v>
      </c>
      <c r="P255" t="n">
        <v>27.197584</v>
      </c>
      <c r="Q255" t="n">
        <v>20.364219</v>
      </c>
      <c r="R255" t="n">
        <v>91.32437299999999</v>
      </c>
      <c r="S255" t="n">
        <v>89.20413499999999</v>
      </c>
      <c r="T255" t="n">
        <v>40.818833</v>
      </c>
      <c r="U255" t="n">
        <v>42.457718</v>
      </c>
      <c r="V255" t="n">
        <v>41.192149</v>
      </c>
      <c r="W255" t="n">
        <v>46.992004</v>
      </c>
      <c r="X255" t="n">
        <v>48.368237</v>
      </c>
      <c r="Y255" t="n">
        <v>0.011194</v>
      </c>
      <c r="Z255" t="n">
        <v>22528.43</v>
      </c>
      <c r="AA255" t="n">
        <v>11.8</v>
      </c>
      <c r="AB255" t="n">
        <v>150364491339409</v>
      </c>
      <c r="AC255" t="n">
        <v>45369498068</v>
      </c>
      <c r="AD255" t="n">
        <v>63214952934641</v>
      </c>
      <c r="AE255" t="inlineStr">
        <is>
          <t>34840473512</t>
        </is>
      </c>
      <c r="AF255" t="inlineStr">
        <is>
          <t>57fcf17823e750810ab977d89dca55bd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3841.962345</v>
      </c>
      <c r="M256" t="n">
        <v>38.921021</v>
      </c>
      <c r="N256" t="n">
        <v>44.649337</v>
      </c>
      <c r="O256" t="n">
        <v>46.073435</v>
      </c>
      <c r="P256" t="n">
        <v>23.181944</v>
      </c>
      <c r="Q256" t="n">
        <v>17.577233</v>
      </c>
      <c r="R256" t="n">
        <v>84.815175</v>
      </c>
      <c r="S256" t="n">
        <v>82.23226200000001</v>
      </c>
      <c r="T256" t="n">
        <v>37.019917</v>
      </c>
      <c r="U256" t="n">
        <v>40.245162</v>
      </c>
      <c r="V256" t="n">
        <v>38.870788</v>
      </c>
      <c r="W256" t="n">
        <v>44.641645</v>
      </c>
      <c r="X256" t="n">
        <v>46.046179</v>
      </c>
      <c r="Y256" t="n">
        <v>0.010209</v>
      </c>
      <c r="Z256" t="n">
        <v>14724.38</v>
      </c>
      <c r="AA256" t="n">
        <v>8.93</v>
      </c>
      <c r="AB256" t="n">
        <v>91147364699566</v>
      </c>
      <c r="AC256" t="n">
        <v>34718249840</v>
      </c>
      <c r="AD256" t="n">
        <v>38527665194642</v>
      </c>
      <c r="AE256" t="inlineStr">
        <is>
          <t>24989031334</t>
        </is>
      </c>
      <c r="AF256" t="inlineStr">
        <is>
          <t>18f641b5507829142814901db4ced9b0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1494.159994</v>
      </c>
      <c r="M257" t="n">
        <v>36.438889</v>
      </c>
      <c r="N257" t="n">
        <v>42.248032</v>
      </c>
      <c r="O257" t="n">
        <v>43.739623</v>
      </c>
      <c r="P257" t="n">
        <v>19.395072</v>
      </c>
      <c r="Q257" t="n">
        <v>14.830911</v>
      </c>
      <c r="R257" t="n">
        <v>74.25851</v>
      </c>
      <c r="S257" t="n">
        <v>71.257766</v>
      </c>
      <c r="T257" t="n">
        <v>33.546673</v>
      </c>
      <c r="U257" t="n">
        <v>37.848119</v>
      </c>
      <c r="V257" t="n">
        <v>36.391384</v>
      </c>
      <c r="W257" t="n">
        <v>42.241111</v>
      </c>
      <c r="X257" t="n">
        <v>43.683493</v>
      </c>
      <c r="Y257" t="n">
        <v>0.015995</v>
      </c>
      <c r="Z257" t="n">
        <v>8949.98</v>
      </c>
      <c r="AA257" t="n">
        <v>7.86</v>
      </c>
      <c r="AB257" t="n">
        <v>53944884126926</v>
      </c>
      <c r="AC257" t="n">
        <v>27295347680</v>
      </c>
      <c r="AD257" t="n">
        <v>23625136590091</v>
      </c>
      <c r="AE257" t="inlineStr">
        <is>
          <t>22227827716</t>
        </is>
      </c>
      <c r="AF257" t="inlineStr">
        <is>
          <t>a35a4949f045e7506a419f7e0ec1c742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556.361792</v>
      </c>
      <c r="M258" t="n">
        <v>33.745089</v>
      </c>
      <c r="N258" t="n">
        <v>39.756673</v>
      </c>
      <c r="O258" t="n">
        <v>41.281346</v>
      </c>
      <c r="P258" t="n">
        <v>15.58089</v>
      </c>
      <c r="Q258" t="n">
        <v>12.075205</v>
      </c>
      <c r="R258" t="n">
        <v>58.638262</v>
      </c>
      <c r="S258" t="n">
        <v>55.407943</v>
      </c>
      <c r="T258" t="n">
        <v>30.156289</v>
      </c>
      <c r="U258" t="n">
        <v>35.202263</v>
      </c>
      <c r="V258" t="n">
        <v>33.691154</v>
      </c>
      <c r="W258" t="n">
        <v>39.752143</v>
      </c>
      <c r="X258" t="n">
        <v>41.217596</v>
      </c>
      <c r="Y258" t="n">
        <v>0.023822</v>
      </c>
      <c r="Z258" t="n">
        <v>4774.27</v>
      </c>
      <c r="AA258" t="n">
        <v>6.24</v>
      </c>
      <c r="AB258" t="n">
        <v>29924547292897</v>
      </c>
      <c r="AC258" t="n">
        <v>20340191610</v>
      </c>
      <c r="AD258" t="n">
        <v>12671101578894</v>
      </c>
      <c r="AE258" t="inlineStr">
        <is>
          <t>18023327993</t>
        </is>
      </c>
      <c r="AF258" t="inlineStr">
        <is>
          <t>6be0ca6c49b0015cb65c7c9cdc18d9c4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209.745946</v>
      </c>
      <c r="M259" t="n">
        <v>31.063007</v>
      </c>
      <c r="N259" t="n">
        <v>37.557492</v>
      </c>
      <c r="O259" t="n">
        <v>38.755148</v>
      </c>
      <c r="P259" t="n">
        <v>12.108452</v>
      </c>
      <c r="Q259" t="n">
        <v>9.663745</v>
      </c>
      <c r="R259" t="n">
        <v>39.706821</v>
      </c>
      <c r="S259" t="n">
        <v>37.098481</v>
      </c>
      <c r="T259" t="n">
        <v>27.097401</v>
      </c>
      <c r="U259" t="n">
        <v>32.622678</v>
      </c>
      <c r="V259" t="n">
        <v>31.003663</v>
      </c>
      <c r="W259" t="n">
        <v>37.544395</v>
      </c>
      <c r="X259" t="n">
        <v>38.647515</v>
      </c>
      <c r="Y259" t="n">
        <v>0.036247</v>
      </c>
      <c r="Z259" t="n">
        <v>2907.66</v>
      </c>
      <c r="AA259" t="n">
        <v>4.77</v>
      </c>
      <c r="AB259" t="n">
        <v>18271298410013</v>
      </c>
      <c r="AC259" t="n">
        <v>15947750766</v>
      </c>
      <c r="AD259" t="n">
        <v>7740618527844</v>
      </c>
      <c r="AE259" t="inlineStr">
        <is>
          <t>13806684468</t>
        </is>
      </c>
      <c r="AF259" t="inlineStr">
        <is>
          <t>fefc988eb65a8922e623121f17335658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14406.846077</v>
      </c>
      <c r="M260" t="n">
        <v>41.683652</v>
      </c>
      <c r="N260" t="n">
        <v>47.678929</v>
      </c>
      <c r="O260" t="n">
        <v>49.173878</v>
      </c>
      <c r="P260" t="n">
        <v>28.802693</v>
      </c>
      <c r="Q260" t="n">
        <v>21.367916</v>
      </c>
      <c r="R260" t="n">
        <v>92.397373</v>
      </c>
      <c r="S260" t="n">
        <v>90.260912</v>
      </c>
      <c r="T260" t="n">
        <v>42.331482</v>
      </c>
      <c r="U260" t="n">
        <v>42.984125</v>
      </c>
      <c r="V260" t="n">
        <v>41.617937</v>
      </c>
      <c r="W260" t="n">
        <v>47.664041</v>
      </c>
      <c r="X260" t="n">
        <v>49.138892</v>
      </c>
      <c r="Y260" t="n">
        <v>0.013634</v>
      </c>
      <c r="Z260" t="n">
        <v>12072.15</v>
      </c>
      <c r="AA260" t="n">
        <v>7.29</v>
      </c>
      <c r="AB260" t="n">
        <v>71906146400294</v>
      </c>
      <c r="AC260" t="n">
        <v>29901163028</v>
      </c>
      <c r="AD260" t="n">
        <v>31534334353004</v>
      </c>
      <c r="AE260" t="inlineStr">
        <is>
          <t>19695719177</t>
        </is>
      </c>
      <c r="AF260" t="inlineStr">
        <is>
          <t>7547bad99cd7f44dd92cd3f604eb654a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5673.929763</v>
      </c>
      <c r="M261" t="n">
        <v>39.801714</v>
      </c>
      <c r="N261" t="n">
        <v>45.696107</v>
      </c>
      <c r="O261" t="n">
        <v>47.172825</v>
      </c>
      <c r="P261" t="n">
        <v>25.068932</v>
      </c>
      <c r="Q261" t="n">
        <v>18.833704</v>
      </c>
      <c r="R261" t="n">
        <v>87.595096</v>
      </c>
      <c r="S261" t="n">
        <v>85.247694</v>
      </c>
      <c r="T261" t="n">
        <v>38.705582</v>
      </c>
      <c r="U261" t="n">
        <v>41.18191</v>
      </c>
      <c r="V261" t="n">
        <v>39.746895</v>
      </c>
      <c r="W261" t="n">
        <v>45.68802</v>
      </c>
      <c r="X261" t="n">
        <v>47.149492</v>
      </c>
      <c r="Y261" t="n">
        <v>0.012805</v>
      </c>
      <c r="Z261" t="n">
        <v>11798.92</v>
      </c>
      <c r="AA261" t="n">
        <v>5.76</v>
      </c>
      <c r="AB261" t="n">
        <v>72386849231100</v>
      </c>
      <c r="AC261" t="n">
        <v>21402898859</v>
      </c>
      <c r="AD261" t="n">
        <v>30762829754993</v>
      </c>
      <c r="AE261" t="inlineStr">
        <is>
          <t>15925234146</t>
        </is>
      </c>
      <c r="AF261" t="inlineStr">
        <is>
          <t>9bb3297e8916da4cdb7d6d0299771f32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2189.958964</v>
      </c>
      <c r="M262" t="n">
        <v>37.508215</v>
      </c>
      <c r="N262" t="n">
        <v>43.372871</v>
      </c>
      <c r="O262" t="n">
        <v>44.901219</v>
      </c>
      <c r="P262" t="n">
        <v>21.141684</v>
      </c>
      <c r="Q262" t="n">
        <v>16.07777</v>
      </c>
      <c r="R262" t="n">
        <v>79.03892</v>
      </c>
      <c r="S262" t="n">
        <v>76.33995</v>
      </c>
      <c r="T262" t="n">
        <v>35.110499</v>
      </c>
      <c r="U262" t="n">
        <v>38.957345</v>
      </c>
      <c r="V262" t="n">
        <v>37.459578</v>
      </c>
      <c r="W262" t="n">
        <v>43.366577</v>
      </c>
      <c r="X262" t="n">
        <v>44.866132</v>
      </c>
      <c r="Y262" t="n">
        <v>0.015212</v>
      </c>
      <c r="Z262" t="n">
        <v>7299.35</v>
      </c>
      <c r="AA262" t="n">
        <v>3.98</v>
      </c>
      <c r="AB262" t="n">
        <v>45201943592178</v>
      </c>
      <c r="AC262" t="n">
        <v>15745751475</v>
      </c>
      <c r="AD262" t="n">
        <v>19066558141493</v>
      </c>
      <c r="AE262" t="inlineStr">
        <is>
          <t>11052915148</t>
        </is>
      </c>
      <c r="AF262" t="inlineStr">
        <is>
          <t>cfcdeee34d679260b7400b07cb0e2251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842.037962</v>
      </c>
      <c r="M263" t="n">
        <v>35.017699</v>
      </c>
      <c r="N263" t="n">
        <v>41.086716</v>
      </c>
      <c r="O263" t="n">
        <v>42.655381</v>
      </c>
      <c r="P263" t="n">
        <v>17.410593</v>
      </c>
      <c r="Q263" t="n">
        <v>13.355694</v>
      </c>
      <c r="R263" t="n">
        <v>65.935497</v>
      </c>
      <c r="S263" t="n">
        <v>63.104418</v>
      </c>
      <c r="T263" t="n">
        <v>31.758048</v>
      </c>
      <c r="U263" t="n">
        <v>36.588018</v>
      </c>
      <c r="V263" t="n">
        <v>34.964131</v>
      </c>
      <c r="W263" t="n">
        <v>41.081055</v>
      </c>
      <c r="X263" t="n">
        <v>42.590525</v>
      </c>
      <c r="Y263" t="n">
        <v>0.019445</v>
      </c>
      <c r="Z263" t="n">
        <v>4215.09</v>
      </c>
      <c r="AA263" t="n">
        <v>2.76</v>
      </c>
      <c r="AB263" t="n">
        <v>27132934367930</v>
      </c>
      <c r="AC263" t="n">
        <v>12000296568</v>
      </c>
      <c r="AD263" t="n">
        <v>11089983546567</v>
      </c>
      <c r="AE263" t="inlineStr">
        <is>
          <t>7780138650</t>
        </is>
      </c>
      <c r="AF263" t="inlineStr">
        <is>
          <t>67cb188c2c5c20946de30b886bbb3ffa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308.873895</v>
      </c>
      <c r="M264" t="n">
        <v>32.365549</v>
      </c>
      <c r="N264" t="n">
        <v>38.905578</v>
      </c>
      <c r="O264" t="n">
        <v>40.484039</v>
      </c>
      <c r="P264" t="n">
        <v>13.69472</v>
      </c>
      <c r="Q264" t="n">
        <v>10.745374</v>
      </c>
      <c r="R264" t="n">
        <v>48.773244</v>
      </c>
      <c r="S264" t="n">
        <v>46.0968</v>
      </c>
      <c r="T264" t="n">
        <v>28.571308</v>
      </c>
      <c r="U264" t="n">
        <v>34.0918</v>
      </c>
      <c r="V264" t="n">
        <v>32.300247</v>
      </c>
      <c r="W264" t="n">
        <v>38.900332</v>
      </c>
      <c r="X264" t="n">
        <v>40.391232</v>
      </c>
      <c r="Y264" t="n">
        <v>0.026632</v>
      </c>
      <c r="Z264" t="n">
        <v>2560.18</v>
      </c>
      <c r="AA264" t="n">
        <v>2.57</v>
      </c>
      <c r="AB264" t="n">
        <v>16058368987355</v>
      </c>
      <c r="AC264" t="n">
        <v>8641042630</v>
      </c>
      <c r="AD264" t="n">
        <v>6816671967366</v>
      </c>
      <c r="AE264" t="inlineStr">
        <is>
          <t>7500103381</t>
        </is>
      </c>
      <c r="AF264" t="inlineStr">
        <is>
          <t>cfe4b669a40d738a1a60b023c887d8b8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120.912933</v>
      </c>
      <c r="M265" t="n">
        <v>29.748501</v>
      </c>
      <c r="N265" t="n">
        <v>36.95248</v>
      </c>
      <c r="O265" t="n">
        <v>38.023293</v>
      </c>
      <c r="P265" t="n">
        <v>10.430412</v>
      </c>
      <c r="Q265" t="n">
        <v>8.560727999999999</v>
      </c>
      <c r="R265" t="n">
        <v>29.885008</v>
      </c>
      <c r="S265" t="n">
        <v>27.882305</v>
      </c>
      <c r="T265" t="n">
        <v>25.679882</v>
      </c>
      <c r="U265" t="n">
        <v>31.561915</v>
      </c>
      <c r="V265" t="n">
        <v>29.682347</v>
      </c>
      <c r="W265" t="n">
        <v>36.941011</v>
      </c>
      <c r="X265" t="n">
        <v>37.879438</v>
      </c>
      <c r="Y265" t="n">
        <v>0.041348</v>
      </c>
      <c r="Z265" t="n">
        <v>1432.98</v>
      </c>
      <c r="AA265" t="n">
        <v>2.14</v>
      </c>
      <c r="AB265" t="n">
        <v>9248183691405</v>
      </c>
      <c r="AC265" t="n">
        <v>6392004563</v>
      </c>
      <c r="AD265" t="n">
        <v>3807894906917</v>
      </c>
      <c r="AE265" t="inlineStr">
        <is>
          <t>6270701154</t>
        </is>
      </c>
      <c r="AF265" t="inlineStr">
        <is>
          <t>e902809c0c9f395e576d3117495e4e6e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9212.138016000001</v>
      </c>
      <c r="M266" t="n">
        <v>40.128968</v>
      </c>
      <c r="N266" t="n">
        <v>46.583216</v>
      </c>
      <c r="O266" t="n">
        <v>48.245735</v>
      </c>
      <c r="P266" t="n">
        <v>27.233931</v>
      </c>
      <c r="Q266" t="n">
        <v>20.012782</v>
      </c>
      <c r="R266" t="n">
        <v>89.219587</v>
      </c>
      <c r="S266" t="n">
        <v>86.824414</v>
      </c>
      <c r="T266" t="n">
        <v>40.467949</v>
      </c>
      <c r="U266" t="n">
        <v>41.799358</v>
      </c>
      <c r="V266" t="n">
        <v>40.063364</v>
      </c>
      <c r="W266" t="n">
        <v>46.573494</v>
      </c>
      <c r="X266" t="n">
        <v>48.223364</v>
      </c>
      <c r="Y266" t="n">
        <v>0.017006</v>
      </c>
      <c r="Z266" t="n">
        <v>7267.95</v>
      </c>
      <c r="AA266" t="n">
        <v>4.44</v>
      </c>
      <c r="AB266" t="n">
        <v>42389730740522</v>
      </c>
      <c r="AC266" t="n">
        <v>17139329186</v>
      </c>
      <c r="AD266" t="n">
        <v>19004113620188</v>
      </c>
      <c r="AE266" t="inlineStr">
        <is>
          <t>11888274423</t>
        </is>
      </c>
      <c r="AF266" t="inlineStr">
        <is>
          <t>f64634af1f05f386dcb7028a2fc087f3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3730.835319</v>
      </c>
      <c r="M267" t="n">
        <v>38.489871</v>
      </c>
      <c r="N267" t="n">
        <v>44.706044</v>
      </c>
      <c r="O267" t="n">
        <v>46.305604</v>
      </c>
      <c r="P267" t="n">
        <v>23.542131</v>
      </c>
      <c r="Q267" t="n">
        <v>17.63336</v>
      </c>
      <c r="R267" t="n">
        <v>83.34731600000001</v>
      </c>
      <c r="S267" t="n">
        <v>80.84562699999999</v>
      </c>
      <c r="T267" t="n">
        <v>37.133094</v>
      </c>
      <c r="U267" t="n">
        <v>40.109846</v>
      </c>
      <c r="V267" t="n">
        <v>38.433675</v>
      </c>
      <c r="W267" t="n">
        <v>44.700057</v>
      </c>
      <c r="X267" t="n">
        <v>46.280167</v>
      </c>
      <c r="Y267" t="n">
        <v>0.01771</v>
      </c>
      <c r="Z267" t="n">
        <v>7205.42</v>
      </c>
      <c r="AA267" t="n">
        <v>3.54</v>
      </c>
      <c r="AB267" t="n">
        <v>44037821019291</v>
      </c>
      <c r="AC267" t="n">
        <v>12303716531</v>
      </c>
      <c r="AD267" t="n">
        <v>18802465130184</v>
      </c>
      <c r="AE267" t="inlineStr">
        <is>
          <t>9665988205</t>
        </is>
      </c>
      <c r="AF267" t="inlineStr">
        <is>
          <t>ef0bfd8b26bb4f2df7746f0275ea9949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1460.682087</v>
      </c>
      <c r="M268" t="n">
        <v>36.368522</v>
      </c>
      <c r="N268" t="n">
        <v>42.504174</v>
      </c>
      <c r="O268" t="n">
        <v>44.107857</v>
      </c>
      <c r="P268" t="n">
        <v>19.716323</v>
      </c>
      <c r="Q268" t="n">
        <v>14.983851</v>
      </c>
      <c r="R268" t="n">
        <v>73.29127</v>
      </c>
      <c r="S268" t="n">
        <v>70.613207</v>
      </c>
      <c r="T268" t="n">
        <v>33.74273</v>
      </c>
      <c r="U268" t="n">
        <v>37.9906</v>
      </c>
      <c r="V268" t="n">
        <v>36.314754</v>
      </c>
      <c r="W268" t="n">
        <v>42.498425</v>
      </c>
      <c r="X268" t="n">
        <v>44.063767</v>
      </c>
      <c r="Y268" t="n">
        <v>0.02208</v>
      </c>
      <c r="Z268" t="n">
        <v>4316.27</v>
      </c>
      <c r="AA268" t="n">
        <v>2.34</v>
      </c>
      <c r="AB268" t="n">
        <v>28256524156316</v>
      </c>
      <c r="AC268" t="n">
        <v>8833731442</v>
      </c>
      <c r="AD268" t="n">
        <v>12143819785359</v>
      </c>
      <c r="AE268" t="inlineStr">
        <is>
          <t>6959673380</t>
        </is>
      </c>
      <c r="AF268" t="inlineStr">
        <is>
          <t>d312fb260973d821136e4474fb71ce96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556.096211</v>
      </c>
      <c r="M269" t="n">
        <v>33.971271</v>
      </c>
      <c r="N269" t="n">
        <v>40.357817</v>
      </c>
      <c r="O269" t="n">
        <v>41.987308</v>
      </c>
      <c r="P269" t="n">
        <v>16.032785</v>
      </c>
      <c r="Q269" t="n">
        <v>12.334625</v>
      </c>
      <c r="R269" t="n">
        <v>59.008914</v>
      </c>
      <c r="S269" t="n">
        <v>56.356815</v>
      </c>
      <c r="T269" t="n">
        <v>30.526829</v>
      </c>
      <c r="U269" t="n">
        <v>35.705055</v>
      </c>
      <c r="V269" t="n">
        <v>33.910917</v>
      </c>
      <c r="W269" t="n">
        <v>40.353707</v>
      </c>
      <c r="X269" t="n">
        <v>41.914981</v>
      </c>
      <c r="Y269" t="n">
        <v>0.027228</v>
      </c>
      <c r="Z269" t="n">
        <v>2204.03</v>
      </c>
      <c r="AA269" t="n">
        <v>1.79</v>
      </c>
      <c r="AB269" t="n">
        <v>17339388842590</v>
      </c>
      <c r="AC269" t="n">
        <v>6449002157</v>
      </c>
      <c r="AD269" t="n">
        <v>7576087472856</v>
      </c>
      <c r="AE269" t="inlineStr">
        <is>
          <t>6568838399</t>
        </is>
      </c>
      <c r="AF269" t="inlineStr">
        <is>
          <t>1bb1bc9b78ae76d46563e2410d2f0566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206.481518</v>
      </c>
      <c r="M270" t="n">
        <v>31.408274</v>
      </c>
      <c r="N270" t="n">
        <v>38.340444</v>
      </c>
      <c r="O270" t="n">
        <v>39.929146</v>
      </c>
      <c r="P270" t="n">
        <v>12.461302</v>
      </c>
      <c r="Q270" t="n">
        <v>9.883046</v>
      </c>
      <c r="R270" t="n">
        <v>41.308886</v>
      </c>
      <c r="S270" t="n">
        <v>39.108734</v>
      </c>
      <c r="T270" t="n">
        <v>27.510384</v>
      </c>
      <c r="U270" t="n">
        <v>33.296307</v>
      </c>
      <c r="V270" t="n">
        <v>31.336904</v>
      </c>
      <c r="W270" t="n">
        <v>38.335641</v>
      </c>
      <c r="X270" t="n">
        <v>39.843835</v>
      </c>
      <c r="Y270" t="n">
        <v>0.032779</v>
      </c>
      <c r="Z270" t="n">
        <v>1531.05</v>
      </c>
      <c r="AA270" t="n">
        <v>1.19</v>
      </c>
      <c r="AB270" t="n">
        <v>10344209184109</v>
      </c>
      <c r="AC270" t="n">
        <v>4682963930</v>
      </c>
      <c r="AD270" t="n">
        <v>4086997527584</v>
      </c>
      <c r="AE270" t="inlineStr">
        <is>
          <t>3449158383</t>
        </is>
      </c>
      <c r="AF270" t="inlineStr">
        <is>
          <t>668e16b88aaade43bd3fa428ba128b78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81.699224</v>
      </c>
      <c r="M271" t="n">
        <v>28.866242</v>
      </c>
      <c r="N271" t="n">
        <v>36.503702</v>
      </c>
      <c r="O271" t="n">
        <v>37.714826</v>
      </c>
      <c r="P271" t="n">
        <v>9.378723000000001</v>
      </c>
      <c r="Q271" t="n">
        <v>7.873287</v>
      </c>
      <c r="R271" t="n">
        <v>23.843034</v>
      </c>
      <c r="S271" t="n">
        <v>22.245671</v>
      </c>
      <c r="T271" t="n">
        <v>24.75417</v>
      </c>
      <c r="U271" t="n">
        <v>30.86793</v>
      </c>
      <c r="V271" t="n">
        <v>28.792242</v>
      </c>
      <c r="W271" t="n">
        <v>36.49481</v>
      </c>
      <c r="X271" t="n">
        <v>37.56854</v>
      </c>
      <c r="Y271" t="n">
        <v>0.045819</v>
      </c>
      <c r="Z271" t="n">
        <v>894.01</v>
      </c>
      <c r="AA271" t="n">
        <v>1.2</v>
      </c>
      <c r="AB271" t="n">
        <v>5852212804858</v>
      </c>
      <c r="AC271" t="n">
        <v>3658755205</v>
      </c>
      <c r="AD271" t="n">
        <v>2379455080415</v>
      </c>
      <c r="AE271" t="inlineStr">
        <is>
          <t>3556982477</t>
        </is>
      </c>
      <c r="AF271" t="inlineStr">
        <is>
          <t>03d4fbebe45835a8fc0fc2e2088fda2d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4613.23415</v>
      </c>
      <c r="M272" t="n">
        <v>37.016549</v>
      </c>
      <c r="N272" t="n">
        <v>44.927917</v>
      </c>
      <c r="O272" t="n">
        <v>46.86067</v>
      </c>
      <c r="P272" t="n">
        <v>24.731253</v>
      </c>
      <c r="Q272" t="n">
        <v>17.234388</v>
      </c>
      <c r="R272" t="n">
        <v>79.408168</v>
      </c>
      <c r="S272" t="n">
        <v>76.94311399999999</v>
      </c>
      <c r="T272" t="n">
        <v>35.761777</v>
      </c>
      <c r="U272" t="n">
        <v>39.606993</v>
      </c>
      <c r="V272" t="n">
        <v>36.936257</v>
      </c>
      <c r="W272" t="n">
        <v>44.921324</v>
      </c>
      <c r="X272" t="n">
        <v>46.841882</v>
      </c>
      <c r="Y272" t="n">
        <v>0.015022</v>
      </c>
      <c r="Z272" t="n">
        <v>4480.31</v>
      </c>
      <c r="AA272" t="n">
        <v>1.71</v>
      </c>
      <c r="AB272" t="n">
        <v>27347659915892</v>
      </c>
      <c r="AC272" t="n">
        <v>7706762540</v>
      </c>
      <c r="AD272" t="n">
        <v>11715386948058</v>
      </c>
      <c r="AE272" t="inlineStr">
        <is>
          <t>4527586236</t>
        </is>
      </c>
      <c r="AF272" t="inlineStr">
        <is>
          <t>d9ac71a177ed46308a485af976359753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1971.364021</v>
      </c>
      <c r="M273" t="n">
        <v>35.979929</v>
      </c>
      <c r="N273" t="n">
        <v>43.280751</v>
      </c>
      <c r="O273" t="n">
        <v>45.048099</v>
      </c>
      <c r="P273" t="n">
        <v>21.340814</v>
      </c>
      <c r="Q273" t="n">
        <v>15.48813</v>
      </c>
      <c r="R273" t="n">
        <v>72.16786399999999</v>
      </c>
      <c r="S273" t="n">
        <v>69.70373600000001</v>
      </c>
      <c r="T273" t="n">
        <v>33.821544</v>
      </c>
      <c r="U273" t="n">
        <v>38.253873</v>
      </c>
      <c r="V273" t="n">
        <v>35.910937</v>
      </c>
      <c r="W273" t="n">
        <v>43.276457</v>
      </c>
      <c r="X273" t="n">
        <v>45.017449</v>
      </c>
      <c r="Y273" t="n">
        <v>0.020525</v>
      </c>
      <c r="Z273" t="n">
        <v>3471.68</v>
      </c>
      <c r="AA273" t="n">
        <v>1.22</v>
      </c>
      <c r="AB273" t="n">
        <v>21322365886545</v>
      </c>
      <c r="AC273" t="n">
        <v>5334645279</v>
      </c>
      <c r="AD273" t="n">
        <v>9073870012398</v>
      </c>
      <c r="AE273" t="inlineStr">
        <is>
          <t>3297595508</t>
        </is>
      </c>
      <c r="AF273" t="inlineStr">
        <is>
          <t>badf97f8fba591a8325446d57b84791f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800.40083</v>
      </c>
      <c r="M274" t="n">
        <v>34.369597</v>
      </c>
      <c r="N274" t="n">
        <v>41.368256</v>
      </c>
      <c r="O274" t="n">
        <v>43.017043</v>
      </c>
      <c r="P274" t="n">
        <v>17.681952</v>
      </c>
      <c r="Q274" t="n">
        <v>13.237028</v>
      </c>
      <c r="R274" t="n">
        <v>60.495297</v>
      </c>
      <c r="S274" t="n">
        <v>58.090372</v>
      </c>
      <c r="T274" t="n">
        <v>31.32165</v>
      </c>
      <c r="U274" t="n">
        <v>36.463898</v>
      </c>
      <c r="V274" t="n">
        <v>34.305879</v>
      </c>
      <c r="W274" t="n">
        <v>41.364078</v>
      </c>
      <c r="X274" t="n">
        <v>42.956695</v>
      </c>
      <c r="Y274" t="n">
        <v>0.024951</v>
      </c>
      <c r="Z274" t="n">
        <v>2234.93</v>
      </c>
      <c r="AA274" t="n">
        <v>0.89</v>
      </c>
      <c r="AB274" t="n">
        <v>13950209501793</v>
      </c>
      <c r="AC274" t="n">
        <v>3733796181</v>
      </c>
      <c r="AD274" t="n">
        <v>5853965955529</v>
      </c>
      <c r="AE274" t="inlineStr">
        <is>
          <t>2433084151</t>
        </is>
      </c>
      <c r="AF274" t="inlineStr">
        <is>
          <t>50de7adb0a23d98e9079e1ca5a48507a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303.141781</v>
      </c>
      <c r="M275" t="n">
        <v>32.284706</v>
      </c>
      <c r="N275" t="n">
        <v>39.432543</v>
      </c>
      <c r="O275" t="n">
        <v>41.084031</v>
      </c>
      <c r="P275" t="n">
        <v>14.051375</v>
      </c>
      <c r="Q275" t="n">
        <v>10.838812</v>
      </c>
      <c r="R275" t="n">
        <v>45.365945</v>
      </c>
      <c r="S275" t="n">
        <v>43.306862</v>
      </c>
      <c r="T275" t="n">
        <v>28.596498</v>
      </c>
      <c r="U275" t="n">
        <v>34.367203</v>
      </c>
      <c r="V275" t="n">
        <v>32.214483</v>
      </c>
      <c r="W275" t="n">
        <v>39.428112</v>
      </c>
      <c r="X275" t="n">
        <v>40.999912</v>
      </c>
      <c r="Y275" t="n">
        <v>0.028441</v>
      </c>
      <c r="Z275" t="n">
        <v>1373.98</v>
      </c>
      <c r="AA275" t="n">
        <v>0.63</v>
      </c>
      <c r="AB275" t="n">
        <v>8718672629901</v>
      </c>
      <c r="AC275" t="n">
        <v>2635531468</v>
      </c>
      <c r="AD275" t="n">
        <v>3620623553326</v>
      </c>
      <c r="AE275" t="inlineStr">
        <is>
          <t>1829912335</t>
        </is>
      </c>
      <c r="AF275" t="inlineStr">
        <is>
          <t>d33a639ba097d8fcfd193226814e98c8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116.855452</v>
      </c>
      <c r="M276" t="n">
        <v>29.984281</v>
      </c>
      <c r="N276" t="n">
        <v>37.620055</v>
      </c>
      <c r="O276" t="n">
        <v>39.17943</v>
      </c>
      <c r="P276" t="n">
        <v>10.738818</v>
      </c>
      <c r="Q276" t="n">
        <v>8.729774000000001</v>
      </c>
      <c r="R276" t="n">
        <v>29.849037</v>
      </c>
      <c r="S276" t="n">
        <v>28.239875</v>
      </c>
      <c r="T276" t="n">
        <v>25.969794</v>
      </c>
      <c r="U276" t="n">
        <v>32.167133</v>
      </c>
      <c r="V276" t="n">
        <v>29.905275</v>
      </c>
      <c r="W276" t="n">
        <v>37.616115</v>
      </c>
      <c r="X276" t="n">
        <v>39.101274</v>
      </c>
      <c r="Y276" t="n">
        <v>0.042651</v>
      </c>
      <c r="Z276" t="n">
        <v>815.92</v>
      </c>
      <c r="AA276" t="n">
        <v>0.43</v>
      </c>
      <c r="AB276" t="n">
        <v>5483007066397</v>
      </c>
      <c r="AC276" t="n">
        <v>2057798844</v>
      </c>
      <c r="AD276" t="n">
        <v>2182548065644</v>
      </c>
      <c r="AE276" t="inlineStr">
        <is>
          <t>1256447839</t>
        </is>
      </c>
      <c r="AF276" t="inlineStr">
        <is>
          <t>0bf527084e662598242158b1382fca74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49.800046</v>
      </c>
      <c r="M277" t="n">
        <v>27.621595</v>
      </c>
      <c r="N277" t="n">
        <v>35.912009</v>
      </c>
      <c r="O277" t="n">
        <v>37.193969</v>
      </c>
      <c r="P277" t="n">
        <v>8.047169999999999</v>
      </c>
      <c r="Q277" t="n">
        <v>7.01797</v>
      </c>
      <c r="R277" t="n">
        <v>15.755964</v>
      </c>
      <c r="S277" t="n">
        <v>14.653361</v>
      </c>
      <c r="T277" t="n">
        <v>23.509765</v>
      </c>
      <c r="U277" t="n">
        <v>29.860836</v>
      </c>
      <c r="V277" t="n">
        <v>27.548916</v>
      </c>
      <c r="W277" t="n">
        <v>35.905564</v>
      </c>
      <c r="X277" t="n">
        <v>37.093533</v>
      </c>
      <c r="Y277" t="n">
        <v>0.065292</v>
      </c>
      <c r="Z277" t="n">
        <v>493.89</v>
      </c>
      <c r="AA277" t="n">
        <v>0.43</v>
      </c>
      <c r="AB277" t="n">
        <v>3283763827806</v>
      </c>
      <c r="AC277" t="n">
        <v>1566441991</v>
      </c>
      <c r="AD277" t="n">
        <v>1316745027817</v>
      </c>
      <c r="AE277" t="inlineStr">
        <is>
          <t>1282550117</t>
        </is>
      </c>
      <c r="AF277" t="inlineStr">
        <is>
          <t>178464670a80da3b2edf4a67ab8a9b48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2764.380235</v>
      </c>
      <c r="M278" t="n">
        <v>34.579757</v>
      </c>
      <c r="N278" t="n">
        <v>43.592101</v>
      </c>
      <c r="O278" t="n">
        <v>45.737641</v>
      </c>
      <c r="P278" t="n">
        <v>23.157127</v>
      </c>
      <c r="Q278" t="n">
        <v>14.728723</v>
      </c>
      <c r="R278" t="n">
        <v>66.45347700000001</v>
      </c>
      <c r="S278" t="n">
        <v>63.937671</v>
      </c>
      <c r="T278" t="n">
        <v>31.796109</v>
      </c>
      <c r="U278" t="n">
        <v>37.800912</v>
      </c>
      <c r="V278" t="n">
        <v>34.485984</v>
      </c>
      <c r="W278" t="n">
        <v>43.586244</v>
      </c>
      <c r="X278" t="n">
        <v>45.712703</v>
      </c>
      <c r="Y278" t="n">
        <v>0.017109</v>
      </c>
      <c r="Z278" t="n">
        <v>3340.35</v>
      </c>
      <c r="AA278" t="n">
        <v>1.08</v>
      </c>
      <c r="AB278" t="n">
        <v>19947953283926</v>
      </c>
      <c r="AC278" t="n">
        <v>4502244083</v>
      </c>
      <c r="AD278" t="n">
        <v>8724050766716</v>
      </c>
      <c r="AE278" t="inlineStr">
        <is>
          <t>2892218316</t>
        </is>
      </c>
      <c r="AF278" t="inlineStr">
        <is>
          <t>0a655a726e4573f433236e17bfbb0c4e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1221.379236</v>
      </c>
      <c r="M279" t="n">
        <v>33.913772</v>
      </c>
      <c r="N279" t="n">
        <v>42.219561</v>
      </c>
      <c r="O279" t="n">
        <v>44.163489</v>
      </c>
      <c r="P279" t="n">
        <v>19.866158</v>
      </c>
      <c r="Q279" t="n">
        <v>13.564814</v>
      </c>
      <c r="R279" t="n">
        <v>59.007306</v>
      </c>
      <c r="S279" t="n">
        <v>56.525954</v>
      </c>
      <c r="T279" t="n">
        <v>30.784271</v>
      </c>
      <c r="U279" t="n">
        <v>36.747474</v>
      </c>
      <c r="V279" t="n">
        <v>33.832405</v>
      </c>
      <c r="W279" t="n">
        <v>42.216073</v>
      </c>
      <c r="X279" t="n">
        <v>44.123077</v>
      </c>
      <c r="Y279" t="n">
        <v>0.023635</v>
      </c>
      <c r="Z279" t="n">
        <v>2209.55</v>
      </c>
      <c r="AA279" t="n">
        <v>0.72</v>
      </c>
      <c r="AB279" t="n">
        <v>13384410966236</v>
      </c>
      <c r="AC279" t="n">
        <v>3041458382</v>
      </c>
      <c r="AD279" t="n">
        <v>5780818269333</v>
      </c>
      <c r="AE279" t="inlineStr">
        <is>
          <t>1919904653</t>
        </is>
      </c>
      <c r="AF279" t="inlineStr">
        <is>
          <t>a2deac4eb67bd4279b48f15d8fdec7f3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510.420041</v>
      </c>
      <c r="M280" t="n">
        <v>32.74041</v>
      </c>
      <c r="N280" t="n">
        <v>40.56869</v>
      </c>
      <c r="O280" t="n">
        <v>42.325329</v>
      </c>
      <c r="P280" t="n">
        <v>16.264828</v>
      </c>
      <c r="Q280" t="n">
        <v>11.831357</v>
      </c>
      <c r="R280" t="n">
        <v>47.570941</v>
      </c>
      <c r="S280" t="n">
        <v>45.300475</v>
      </c>
      <c r="T280" t="n">
        <v>29.181473</v>
      </c>
      <c r="U280" t="n">
        <v>35.266361</v>
      </c>
      <c r="V280" t="n">
        <v>32.66396</v>
      </c>
      <c r="W280" t="n">
        <v>40.564687</v>
      </c>
      <c r="X280" t="n">
        <v>42.250437</v>
      </c>
      <c r="Y280" t="n">
        <v>0.02728</v>
      </c>
      <c r="Z280" t="n">
        <v>1411.92</v>
      </c>
      <c r="AA280" t="n">
        <v>0.49</v>
      </c>
      <c r="AB280" t="n">
        <v>8837329528000</v>
      </c>
      <c r="AC280" t="n">
        <v>2137738267</v>
      </c>
      <c r="AD280" t="n">
        <v>3708630309312</v>
      </c>
      <c r="AE280" t="inlineStr">
        <is>
          <t>1351233726</t>
        </is>
      </c>
      <c r="AF280" t="inlineStr">
        <is>
          <t>b0608c57d3f583d50ce569a90d6ea676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199.679705</v>
      </c>
      <c r="M281" t="n">
        <v>31.028799</v>
      </c>
      <c r="N281" t="n">
        <v>38.848292</v>
      </c>
      <c r="O281" t="n">
        <v>40.555377</v>
      </c>
      <c r="P281" t="n">
        <v>12.73786</v>
      </c>
      <c r="Q281" t="n">
        <v>9.809388999999999</v>
      </c>
      <c r="R281" t="n">
        <v>33.687982</v>
      </c>
      <c r="S281" t="n">
        <v>31.870437</v>
      </c>
      <c r="T281" t="n">
        <v>27.111756</v>
      </c>
      <c r="U281" t="n">
        <v>33.405065</v>
      </c>
      <c r="V281" t="n">
        <v>30.95191</v>
      </c>
      <c r="W281" t="n">
        <v>38.843657</v>
      </c>
      <c r="X281" t="n">
        <v>40.456713</v>
      </c>
      <c r="Y281" t="n">
        <v>0.035811</v>
      </c>
      <c r="Z281" t="n">
        <v>796.45</v>
      </c>
      <c r="AA281" t="n">
        <v>0.32</v>
      </c>
      <c r="AB281" t="n">
        <v>5367899679618</v>
      </c>
      <c r="AC281" t="n">
        <v>1581187722</v>
      </c>
      <c r="AD281" t="n">
        <v>2267919512062</v>
      </c>
      <c r="AE281" t="inlineStr">
        <is>
          <t>973561938</t>
        </is>
      </c>
      <c r="AF281" t="inlineStr">
        <is>
          <t>b8f9a11cb801d75f1345a0053dbdfd76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81.20126</v>
      </c>
      <c r="M282" t="n">
        <v>28.978872</v>
      </c>
      <c r="N282" t="n">
        <v>37.06851</v>
      </c>
      <c r="O282" t="n">
        <v>38.554764</v>
      </c>
      <c r="P282" t="n">
        <v>9.675485999999999</v>
      </c>
      <c r="Q282" t="n">
        <v>7.985668</v>
      </c>
      <c r="R282" t="n">
        <v>20.690314</v>
      </c>
      <c r="S282" t="n">
        <v>19.556996</v>
      </c>
      <c r="T282" t="n">
        <v>24.872142</v>
      </c>
      <c r="U282" t="n">
        <v>31.269698</v>
      </c>
      <c r="V282" t="n">
        <v>28.899324</v>
      </c>
      <c r="W282" t="n">
        <v>37.063483</v>
      </c>
      <c r="X282" t="n">
        <v>38.455602</v>
      </c>
      <c r="Y282" t="n">
        <v>0.056733</v>
      </c>
      <c r="Z282" t="n">
        <v>500.9</v>
      </c>
      <c r="AA282" t="n">
        <v>0.28</v>
      </c>
      <c r="AB282" t="n">
        <v>3289134652462</v>
      </c>
      <c r="AC282" t="n">
        <v>1214584607</v>
      </c>
      <c r="AD282" t="n">
        <v>1343711283615</v>
      </c>
      <c r="AE282" t="inlineStr">
        <is>
          <t>792285079</t>
        </is>
      </c>
      <c r="AF282" t="inlineStr">
        <is>
          <t>ce815871bcf773fc8f81978f7cb1145f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37.214478</v>
      </c>
      <c r="M283" t="n">
        <v>26.703027</v>
      </c>
      <c r="N283" t="n">
        <v>35.340926</v>
      </c>
      <c r="O283" t="n">
        <v>36.654399</v>
      </c>
      <c r="P283" t="n">
        <v>7.157883</v>
      </c>
      <c r="Q283" t="n">
        <v>6.407729</v>
      </c>
      <c r="R283" t="n">
        <v>8.640382000000001</v>
      </c>
      <c r="S283" t="n">
        <v>7.946288</v>
      </c>
      <c r="T283" t="n">
        <v>22.584817</v>
      </c>
      <c r="U283" t="n">
        <v>29.118283</v>
      </c>
      <c r="V283" t="n">
        <v>26.62806</v>
      </c>
      <c r="W283" t="n">
        <v>35.329013</v>
      </c>
      <c r="X283" t="n">
        <v>36.578574</v>
      </c>
      <c r="Y283" t="n">
        <v>0.105402</v>
      </c>
      <c r="Z283" t="n">
        <v>335.03</v>
      </c>
      <c r="AA283" t="n">
        <v>0.24</v>
      </c>
      <c r="AB283" t="n">
        <v>2185437575534</v>
      </c>
      <c r="AC283" t="n">
        <v>999199600</v>
      </c>
      <c r="AD283" t="n">
        <v>897141797766</v>
      </c>
      <c r="AE283" t="inlineStr">
        <is>
          <t>682455661</t>
        </is>
      </c>
      <c r="AF283" t="inlineStr">
        <is>
          <t>0e2a44a805f3e79f830048cff8c89a18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1298.213171</v>
      </c>
      <c r="M284" t="n">
        <v>32.006798</v>
      </c>
      <c r="N284" t="n">
        <v>42.268122</v>
      </c>
      <c r="O284" t="n">
        <v>44.460468</v>
      </c>
      <c r="P284" t="n">
        <v>19.847112</v>
      </c>
      <c r="Q284" t="n">
        <v>12.008571</v>
      </c>
      <c r="R284" t="n">
        <v>42.14427</v>
      </c>
      <c r="S284" t="n">
        <v>40.030903</v>
      </c>
      <c r="T284" t="n">
        <v>28.036764</v>
      </c>
      <c r="U284" t="n">
        <v>35.729423</v>
      </c>
      <c r="V284" t="n">
        <v>31.909735</v>
      </c>
      <c r="W284" t="n">
        <v>42.263714</v>
      </c>
      <c r="X284" t="n">
        <v>44.419546</v>
      </c>
      <c r="Y284" t="n">
        <v>0.018955</v>
      </c>
      <c r="Z284" t="n">
        <v>1753</v>
      </c>
      <c r="AA284" t="n">
        <v>0.44</v>
      </c>
      <c r="AB284" t="n">
        <v>10725776101904</v>
      </c>
      <c r="AC284" t="n">
        <v>2009243017</v>
      </c>
      <c r="AD284" t="n">
        <v>4577123429651</v>
      </c>
      <c r="AE284" t="inlineStr">
        <is>
          <t>1147509916</t>
        </is>
      </c>
      <c r="AF284" t="inlineStr">
        <is>
          <t>8bdffcbe04f314d3a00dac68d315f273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603.210943</v>
      </c>
      <c r="M285" t="n">
        <v>31.594958</v>
      </c>
      <c r="N285" t="n">
        <v>41.077516</v>
      </c>
      <c r="O285" t="n">
        <v>43.048398</v>
      </c>
      <c r="P285" t="n">
        <v>17.223069</v>
      </c>
      <c r="Q285" t="n">
        <v>11.302352</v>
      </c>
      <c r="R285" t="n">
        <v>35.768553</v>
      </c>
      <c r="S285" t="n">
        <v>33.866348</v>
      </c>
      <c r="T285" t="n">
        <v>27.551795</v>
      </c>
      <c r="U285" t="n">
        <v>34.933002</v>
      </c>
      <c r="V285" t="n">
        <v>31.50799</v>
      </c>
      <c r="W285" t="n">
        <v>41.074626</v>
      </c>
      <c r="X285" t="n">
        <v>42.990009</v>
      </c>
      <c r="Y285" t="n">
        <v>0.025139</v>
      </c>
      <c r="Z285" t="n">
        <v>1128.76</v>
      </c>
      <c r="AA285" t="n">
        <v>0.27</v>
      </c>
      <c r="AB285" t="n">
        <v>7562292053782</v>
      </c>
      <c r="AC285" t="n">
        <v>1341478857</v>
      </c>
      <c r="AD285" t="n">
        <v>3177829789134</v>
      </c>
      <c r="AE285" t="inlineStr">
        <is>
          <t>780692882</t>
        </is>
      </c>
      <c r="AF285" t="inlineStr">
        <is>
          <t>736973a499044b3b17b701f16f4da259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262.323523</v>
      </c>
      <c r="M286" t="n">
        <v>30.756154</v>
      </c>
      <c r="N286" t="n">
        <v>39.603999</v>
      </c>
      <c r="O286" t="n">
        <v>41.388063</v>
      </c>
      <c r="P286" t="n">
        <v>14.035869</v>
      </c>
      <c r="Q286" t="n">
        <v>10.073446</v>
      </c>
      <c r="R286" t="n">
        <v>26.606712</v>
      </c>
      <c r="S286" t="n">
        <v>24.988635</v>
      </c>
      <c r="T286" t="n">
        <v>26.624219</v>
      </c>
      <c r="U286" t="n">
        <v>33.699401</v>
      </c>
      <c r="V286" t="n">
        <v>30.676077</v>
      </c>
      <c r="W286" t="n">
        <v>39.600412</v>
      </c>
      <c r="X286" t="n">
        <v>41.309527</v>
      </c>
      <c r="Y286" t="n">
        <v>0.028855</v>
      </c>
      <c r="Z286" t="n">
        <v>734.95</v>
      </c>
      <c r="AA286" t="n">
        <v>0.16</v>
      </c>
      <c r="AB286" t="n">
        <v>4726750214706</v>
      </c>
      <c r="AC286" t="n">
        <v>875261011</v>
      </c>
      <c r="AD286" t="n">
        <v>1927434668485</v>
      </c>
      <c r="AE286" t="inlineStr">
        <is>
          <t>437664070</t>
        </is>
      </c>
      <c r="AF286" t="inlineStr">
        <is>
          <t>69cdcf2df84b85636670c3df36d8af8f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109.374933</v>
      </c>
      <c r="M287" t="n">
        <v>29.418502</v>
      </c>
      <c r="N287" t="n">
        <v>38.052574</v>
      </c>
      <c r="O287" t="n">
        <v>39.605955</v>
      </c>
      <c r="P287" t="n">
        <v>10.926134</v>
      </c>
      <c r="Q287" t="n">
        <v>8.522149000000001</v>
      </c>
      <c r="R287" t="n">
        <v>16.895578</v>
      </c>
      <c r="S287" t="n">
        <v>15.766358</v>
      </c>
      <c r="T287" t="n">
        <v>25.221458</v>
      </c>
      <c r="U287" t="n">
        <v>32.045402</v>
      </c>
      <c r="V287" t="n">
        <v>29.337232</v>
      </c>
      <c r="W287" t="n">
        <v>38.046452</v>
      </c>
      <c r="X287" t="n">
        <v>39.510661</v>
      </c>
      <c r="Y287" t="n">
        <v>0.047803</v>
      </c>
      <c r="Z287" t="n">
        <v>355.2</v>
      </c>
      <c r="AA287" t="n">
        <v>0.09</v>
      </c>
      <c r="AB287" t="n">
        <v>2949492692605</v>
      </c>
      <c r="AC287" t="n">
        <v>630061107</v>
      </c>
      <c r="AD287" t="n">
        <v>1224920196185</v>
      </c>
      <c r="AE287" t="inlineStr">
        <is>
          <t>341760287</t>
        </is>
      </c>
      <c r="AF287" t="inlineStr">
        <is>
          <t>506e067aaeba84d87e0329a0d9f282d4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47.955737</v>
      </c>
      <c r="M288" t="n">
        <v>27.636826</v>
      </c>
      <c r="N288" t="n">
        <v>36.44588</v>
      </c>
      <c r="O288" t="n">
        <v>37.829038</v>
      </c>
      <c r="P288" t="n">
        <v>8.215171</v>
      </c>
      <c r="Q288" t="n">
        <v>7.025363</v>
      </c>
      <c r="R288" t="n">
        <v>8.918559</v>
      </c>
      <c r="S288" t="n">
        <v>8.270200000000001</v>
      </c>
      <c r="T288" t="n">
        <v>23.457945</v>
      </c>
      <c r="U288" t="n">
        <v>30.120249</v>
      </c>
      <c r="V288" t="n">
        <v>27.558042</v>
      </c>
      <c r="W288" t="n">
        <v>36.441176</v>
      </c>
      <c r="X288" t="n">
        <v>37.697234</v>
      </c>
      <c r="Y288" t="n">
        <v>0.087313</v>
      </c>
      <c r="Z288" t="n">
        <v>233.65</v>
      </c>
      <c r="AA288" t="n">
        <v>0.1</v>
      </c>
      <c r="AB288" t="n">
        <v>1578796550517</v>
      </c>
      <c r="AC288" t="n">
        <v>467375416</v>
      </c>
      <c r="AD288" t="n">
        <v>626049376919</v>
      </c>
      <c r="AE288" t="inlineStr">
        <is>
          <t>277733691</t>
        </is>
      </c>
      <c r="AF288" t="inlineStr">
        <is>
          <t>7dd637f3d27805118a4ac96bd69fd1da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24.828095</v>
      </c>
      <c r="M289" t="n">
        <v>25.59258</v>
      </c>
      <c r="N289" t="n">
        <v>34.849657</v>
      </c>
      <c r="O289" t="n">
        <v>36.020301</v>
      </c>
      <c r="P289" t="n">
        <v>6.147318</v>
      </c>
      <c r="Q289" t="n">
        <v>5.7248</v>
      </c>
      <c r="R289" t="n">
        <v>1.115255</v>
      </c>
      <c r="S289" t="n">
        <v>0.814427</v>
      </c>
      <c r="T289" t="n">
        <v>21.5203</v>
      </c>
      <c r="U289" t="n">
        <v>28.160345</v>
      </c>
      <c r="V289" t="n">
        <v>25.515953</v>
      </c>
      <c r="W289" t="n">
        <v>34.842604</v>
      </c>
      <c r="X289" t="n">
        <v>35.936911</v>
      </c>
      <c r="Y289" t="n">
        <v>0.179642</v>
      </c>
      <c r="Z289" t="n">
        <v>124.56</v>
      </c>
      <c r="AA289" t="n">
        <v>0.07000000000000001</v>
      </c>
      <c r="AB289" t="n">
        <v>1073990667392</v>
      </c>
      <c r="AC289" t="n">
        <v>417576889</v>
      </c>
      <c r="AD289" t="n">
        <v>436646366037</v>
      </c>
      <c r="AE289" t="inlineStr">
        <is>
          <t>283816566</t>
        </is>
      </c>
      <c r="AF289" t="inlineStr">
        <is>
          <t>68e9209b730e53f726bd7067dc02ea75</t>
        </is>
      </c>
      <c r="AG289" t="inlineStr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5">
    <outlinePr summaryBelow="1" summaryRight="1"/>
    <pageSetUpPr/>
  </sheetPr>
  <dimension ref="A1:AG289"/>
  <sheetViews>
    <sheetView tabSelected="1" workbookViewId="0">
      <selection activeCell="A2" sqref="A2:Z289"/>
    </sheetView>
  </sheetViews>
  <sheetFormatPr baseColWidth="10" defaultColWidth="11.1640625" defaultRowHeight="16"/>
  <cols>
    <col width="8.6640625" bestFit="1" customWidth="1" style="241" min="1" max="1"/>
    <col width="13.33203125" bestFit="1" customWidth="1" style="241" min="2" max="2"/>
    <col width="11" bestFit="1" customWidth="1" style="241" min="3" max="3"/>
    <col width="14.6640625" bestFit="1" customWidth="1" style="241" min="4" max="4"/>
    <col width="6.6640625" bestFit="1" customWidth="1" style="241" min="5" max="5"/>
    <col width="13.1640625" bestFit="1" customWidth="1" style="241" min="6" max="6"/>
    <col width="10" bestFit="1" customWidth="1" style="241" min="7" max="7"/>
    <col width="5" bestFit="1" customWidth="1" style="241" min="8" max="8"/>
    <col width="9.5" bestFit="1" customWidth="1" style="241" min="9" max="9"/>
    <col width="10" bestFit="1" customWidth="1" style="241" min="10" max="10"/>
    <col width="4" bestFit="1" customWidth="1" style="241" min="11" max="11"/>
    <col width="13.6640625" bestFit="1" customWidth="1" style="241" min="12" max="12"/>
    <col width="12.1640625" bestFit="1" customWidth="1" style="241" min="13" max="15"/>
    <col width="12.5" bestFit="1" customWidth="1" style="241" min="16" max="16"/>
    <col width="14.1640625" bestFit="1" customWidth="1" style="241" min="17" max="17"/>
    <col width="9.33203125" bestFit="1" customWidth="1" style="241" min="18" max="18"/>
    <col width="14.33203125" bestFit="1" customWidth="1" style="241" min="19" max="19"/>
    <col width="11.6640625" bestFit="1" customWidth="1" style="241" min="20" max="20"/>
    <col width="12" bestFit="1" customWidth="1" style="241" min="21" max="21"/>
    <col width="11" bestFit="1" customWidth="1" style="241" min="23" max="23"/>
    <col width="12.1640625" bestFit="1" customWidth="1" style="241" min="25" max="26"/>
  </cols>
  <sheetData>
    <row r="1" customFormat="1" s="115">
      <c r="A1" s="114" t="inlineStr">
        <is>
          <t>TestCfg</t>
        </is>
      </c>
      <c r="B1" s="115" t="inlineStr">
        <is>
          <t>EncodeMethod</t>
        </is>
      </c>
      <c r="C1" s="115" t="inlineStr">
        <is>
          <t>CodecName</t>
        </is>
      </c>
      <c r="D1" s="114" t="inlineStr">
        <is>
          <t>EncodePreset</t>
        </is>
      </c>
      <c r="E1" s="114" t="inlineStr">
        <is>
          <t>Class</t>
        </is>
      </c>
      <c r="F1" s="114" t="inlineStr">
        <is>
          <t>Name</t>
        </is>
      </c>
      <c r="G1" s="114" t="inlineStr">
        <is>
          <t>OrigRes</t>
        </is>
      </c>
      <c r="H1" s="114" t="inlineStr">
        <is>
          <t>FPS</t>
        </is>
      </c>
      <c r="I1" s="114" t="inlineStr">
        <is>
          <t>BitDepth</t>
        </is>
      </c>
      <c r="J1" s="115" t="inlineStr">
        <is>
          <t>CodedRes</t>
        </is>
      </c>
      <c r="K1" s="114" t="inlineStr">
        <is>
          <t>QP</t>
        </is>
      </c>
      <c r="L1" s="114" t="inlineStr">
        <is>
          <t>Bitrate(kbps)</t>
        </is>
      </c>
      <c r="M1" s="114" t="inlineStr">
        <is>
          <t>PSNR_Y</t>
        </is>
      </c>
      <c r="N1" s="114" t="inlineStr">
        <is>
          <t>PSNR_U</t>
        </is>
      </c>
      <c r="O1" s="114" t="inlineStr">
        <is>
          <t>PSNR_V</t>
        </is>
      </c>
      <c r="P1" s="114" t="inlineStr">
        <is>
          <t>SSIM_Y(dB)</t>
        </is>
      </c>
      <c r="Q1" s="115" t="inlineStr">
        <is>
          <t>MS-SSIM_Y(dB)</t>
        </is>
      </c>
      <c r="R1" s="114" t="inlineStr">
        <is>
          <t>VMAF_Y</t>
        </is>
      </c>
      <c r="S1" s="114" t="inlineStr">
        <is>
          <t>VMAF_Y-NEG</t>
        </is>
      </c>
      <c r="T1" s="114" t="inlineStr">
        <is>
          <t>PSNR-HVS</t>
        </is>
      </c>
      <c r="U1" s="114" t="inlineStr">
        <is>
          <t>CIEDE2000</t>
        </is>
      </c>
      <c r="V1" s="114" t="inlineStr">
        <is>
          <t>APSNR_Y</t>
        </is>
      </c>
      <c r="W1" s="114" t="inlineStr">
        <is>
          <t>APSNR_U</t>
        </is>
      </c>
      <c r="X1" s="114" t="inlineStr">
        <is>
          <t>APSNR_V</t>
        </is>
      </c>
      <c r="Y1" s="114" t="inlineStr">
        <is>
          <t>EncT[s]</t>
        </is>
      </c>
      <c r="Z1" s="114" t="inlineStr">
        <is>
          <t>DecT[s]</t>
        </is>
      </c>
      <c r="AA1" s="162" t="inlineStr">
        <is>
          <t>EncInstr</t>
        </is>
      </c>
      <c r="AB1" s="162" t="inlineStr">
        <is>
          <t>DecInstr</t>
        </is>
      </c>
      <c r="AC1" s="162" t="inlineStr">
        <is>
          <t>EncCycles</t>
        </is>
      </c>
      <c r="AD1" s="162" t="inlineStr">
        <is>
          <t>DecCycles</t>
        </is>
      </c>
      <c r="AE1" s="163" t="inlineStr">
        <is>
          <t>EncMD5</t>
        </is>
      </c>
    </row>
    <row r="2">
      <c r="A2" t="inlineStr">
        <is>
          <t>AS</t>
        </is>
      </c>
      <c r="B2" t="inlineStr">
        <is>
          <t>aom</t>
        </is>
      </c>
      <c r="C2" t="inlineStr">
        <is>
          <t>av2</t>
        </is>
      </c>
      <c r="D2" t="inlineStr">
        <is>
          <t>0</t>
        </is>
      </c>
      <c r="E2" t="inlineStr">
        <is>
          <t>A1</t>
        </is>
      </c>
      <c r="F2" t="inlineStr">
        <is>
          <t>BoxingPractice</t>
        </is>
      </c>
      <c r="G2" t="inlineStr">
        <is>
          <t>3840x2160</t>
        </is>
      </c>
      <c r="H2" t="inlineStr">
        <is>
          <t>60.0000</t>
        </is>
      </c>
      <c r="I2" t="inlineStr">
        <is>
          <t>10</t>
        </is>
      </c>
      <c r="J2" t="inlineStr">
        <is>
          <t>3840x2160</t>
        </is>
      </c>
      <c r="K2" t="inlineStr">
        <is>
          <t>110</t>
        </is>
      </c>
      <c r="L2" t="n">
        <v>20811.653577</v>
      </c>
      <c r="M2" t="n">
        <v>42.387381</v>
      </c>
      <c r="N2" t="n">
        <v>48.76379</v>
      </c>
      <c r="O2" t="n">
        <v>48.732119</v>
      </c>
      <c r="P2" t="n">
        <v>29.254815</v>
      </c>
      <c r="Q2" t="n">
        <v>20.328261</v>
      </c>
      <c r="R2" t="n">
        <v>99.975559</v>
      </c>
      <c r="S2" t="n">
        <v>99.923458</v>
      </c>
      <c r="T2" t="n">
        <v>43.009897</v>
      </c>
      <c r="U2" t="n">
        <v>43.276957</v>
      </c>
      <c r="V2" t="n">
        <v>42.3282</v>
      </c>
      <c r="W2" t="n">
        <v>48.732329</v>
      </c>
      <c r="X2" t="n">
        <v>48.701076</v>
      </c>
      <c r="Y2" t="n">
        <v>0.934877</v>
      </c>
      <c r="Z2" t="inlineStr"/>
      <c r="AA2" t="inlineStr"/>
      <c r="AB2" t="inlineStr"/>
      <c r="AC2" t="inlineStr"/>
      <c r="AD2" t="inlineStr"/>
      <c r="AE2" t="inlineStr"/>
      <c r="AF2" t="inlineStr">
        <is>
          <t>8f6cace7cbb45bffc653e8ce81dc139c</t>
        </is>
      </c>
      <c r="AG2" t="inlineStr"/>
    </row>
    <row r="3">
      <c r="A3" t="inlineStr">
        <is>
          <t>AS</t>
        </is>
      </c>
      <c r="B3" t="inlineStr">
        <is>
          <t>aom</t>
        </is>
      </c>
      <c r="C3" t="inlineStr">
        <is>
          <t>av2</t>
        </is>
      </c>
      <c r="D3" t="inlineStr">
        <is>
          <t>0</t>
        </is>
      </c>
      <c r="E3" t="inlineStr">
        <is>
          <t>A1</t>
        </is>
      </c>
      <c r="F3" t="inlineStr">
        <is>
          <t>BoxingPractice</t>
        </is>
      </c>
      <c r="G3" t="inlineStr">
        <is>
          <t>3840x2160</t>
        </is>
      </c>
      <c r="H3" t="inlineStr">
        <is>
          <t>60.0000</t>
        </is>
      </c>
      <c r="I3" t="inlineStr">
        <is>
          <t>10</t>
        </is>
      </c>
      <c r="J3" t="inlineStr">
        <is>
          <t>3840x2160</t>
        </is>
      </c>
      <c r="K3" t="inlineStr">
        <is>
          <t>135</t>
        </is>
      </c>
      <c r="L3" t="n">
        <v>7622.221471</v>
      </c>
      <c r="M3" t="n">
        <v>41.555023</v>
      </c>
      <c r="N3" t="n">
        <v>47.585201</v>
      </c>
      <c r="O3" t="n">
        <v>47.46189</v>
      </c>
      <c r="P3" t="n">
        <v>27.44122</v>
      </c>
      <c r="Q3" t="n">
        <v>19.564682</v>
      </c>
      <c r="R3" t="n">
        <v>99.787424</v>
      </c>
      <c r="S3" t="n">
        <v>97.77234799999999</v>
      </c>
      <c r="T3" t="n">
        <v>41.47178</v>
      </c>
      <c r="U3" t="n">
        <v>42.415556</v>
      </c>
      <c r="V3" t="n">
        <v>41.535807</v>
      </c>
      <c r="W3" t="n">
        <v>47.569114</v>
      </c>
      <c r="X3" t="n">
        <v>47.443851</v>
      </c>
      <c r="Y3" t="n">
        <v>1.078314</v>
      </c>
      <c r="Z3" t="inlineStr"/>
      <c r="AA3" t="inlineStr"/>
      <c r="AB3" t="inlineStr"/>
      <c r="AC3" t="inlineStr"/>
      <c r="AD3" t="inlineStr"/>
      <c r="AE3" t="inlineStr"/>
      <c r="AF3" t="inlineStr">
        <is>
          <t>35f96dc1e89d68ec2a5abe802519bde7</t>
        </is>
      </c>
      <c r="AG3" t="inlineStr"/>
    </row>
    <row r="4">
      <c r="A4" t="inlineStr">
        <is>
          <t>AS</t>
        </is>
      </c>
      <c r="B4" t="inlineStr">
        <is>
          <t>aom</t>
        </is>
      </c>
      <c r="C4" t="inlineStr">
        <is>
          <t>av2</t>
        </is>
      </c>
      <c r="D4" t="inlineStr">
        <is>
          <t>0</t>
        </is>
      </c>
      <c r="E4" t="inlineStr">
        <is>
          <t>A1</t>
        </is>
      </c>
      <c r="F4" t="inlineStr">
        <is>
          <t>BoxingPractice</t>
        </is>
      </c>
      <c r="G4" t="inlineStr">
        <is>
          <t>3840x2160</t>
        </is>
      </c>
      <c r="H4" t="inlineStr">
        <is>
          <t>60.0000</t>
        </is>
      </c>
      <c r="I4" t="inlineStr">
        <is>
          <t>10</t>
        </is>
      </c>
      <c r="J4" t="inlineStr">
        <is>
          <t>3840x2160</t>
        </is>
      </c>
      <c r="K4" t="inlineStr">
        <is>
          <t>160</t>
        </is>
      </c>
      <c r="L4" t="n">
        <v>3054.235611</v>
      </c>
      <c r="M4" t="n">
        <v>40.315461</v>
      </c>
      <c r="N4" t="n">
        <v>46.081346</v>
      </c>
      <c r="O4" t="n">
        <v>45.777065</v>
      </c>
      <c r="P4" t="n">
        <v>25.134354</v>
      </c>
      <c r="Q4" t="n">
        <v>18.50056</v>
      </c>
      <c r="R4" t="n">
        <v>95.59346499999999</v>
      </c>
      <c r="S4" t="n">
        <v>92.939075</v>
      </c>
      <c r="T4" t="n">
        <v>39.207708</v>
      </c>
      <c r="U4" t="n">
        <v>41.276162</v>
      </c>
      <c r="V4" t="n">
        <v>40.29913</v>
      </c>
      <c r="W4" t="n">
        <v>46.065014</v>
      </c>
      <c r="X4" t="n">
        <v>45.76071</v>
      </c>
      <c r="Y4" t="n">
        <v>1.135034</v>
      </c>
      <c r="Z4" t="inlineStr"/>
      <c r="AA4" t="inlineStr"/>
      <c r="AB4" t="inlineStr"/>
      <c r="AC4" t="inlineStr"/>
      <c r="AD4" t="inlineStr"/>
      <c r="AE4" t="inlineStr"/>
      <c r="AF4" t="inlineStr">
        <is>
          <t>ec2fc52aa4412bca68f65ea1cd10e409</t>
        </is>
      </c>
      <c r="AG4" t="inlineStr"/>
    </row>
    <row r="5">
      <c r="A5" t="inlineStr">
        <is>
          <t>AS</t>
        </is>
      </c>
      <c r="B5" t="inlineStr">
        <is>
          <t>aom</t>
        </is>
      </c>
      <c r="C5" t="inlineStr">
        <is>
          <t>av2</t>
        </is>
      </c>
      <c r="D5" t="inlineStr">
        <is>
          <t>0</t>
        </is>
      </c>
      <c r="E5" t="inlineStr">
        <is>
          <t>A1</t>
        </is>
      </c>
      <c r="F5" t="inlineStr">
        <is>
          <t>BoxingPractice</t>
        </is>
      </c>
      <c r="G5" t="inlineStr">
        <is>
          <t>3840x2160</t>
        </is>
      </c>
      <c r="H5" t="inlineStr">
        <is>
          <t>60.0000</t>
        </is>
      </c>
      <c r="I5" t="inlineStr">
        <is>
          <t>10</t>
        </is>
      </c>
      <c r="J5" t="inlineStr">
        <is>
          <t>3840x2160</t>
        </is>
      </c>
      <c r="K5" t="inlineStr">
        <is>
          <t>185</t>
        </is>
      </c>
      <c r="L5" t="n">
        <v>1477.472681</v>
      </c>
      <c r="M5" t="n">
        <v>38.353271</v>
      </c>
      <c r="N5" t="n">
        <v>44.081529</v>
      </c>
      <c r="O5" t="n">
        <v>43.735637</v>
      </c>
      <c r="P5" t="n">
        <v>21.971773</v>
      </c>
      <c r="Q5" t="n">
        <v>16.81807</v>
      </c>
      <c r="R5" t="n">
        <v>86.706706</v>
      </c>
      <c r="S5" t="n">
        <v>83.798447</v>
      </c>
      <c r="T5" t="n">
        <v>36.057727</v>
      </c>
      <c r="U5" t="n">
        <v>39.633281</v>
      </c>
      <c r="V5" t="n">
        <v>38.328267</v>
      </c>
      <c r="W5" t="n">
        <v>44.062085</v>
      </c>
      <c r="X5" t="n">
        <v>43.716337</v>
      </c>
      <c r="Y5" t="n">
        <v>1.139551</v>
      </c>
      <c r="Z5" t="inlineStr"/>
      <c r="AA5" t="inlineStr"/>
      <c r="AB5" t="inlineStr"/>
      <c r="AC5" t="inlineStr"/>
      <c r="AD5" t="inlineStr"/>
      <c r="AE5" t="inlineStr"/>
      <c r="AF5" t="inlineStr">
        <is>
          <t>e105f2b8bc5eb067a4659de092e40ce2</t>
        </is>
      </c>
      <c r="AG5" t="inlineStr"/>
    </row>
    <row r="6">
      <c r="A6" t="inlineStr">
        <is>
          <t>AS</t>
        </is>
      </c>
      <c r="B6" t="inlineStr">
        <is>
          <t>aom</t>
        </is>
      </c>
      <c r="C6" t="inlineStr">
        <is>
          <t>av2</t>
        </is>
      </c>
      <c r="D6" t="inlineStr">
        <is>
          <t>0</t>
        </is>
      </c>
      <c r="E6" t="inlineStr">
        <is>
          <t>A1</t>
        </is>
      </c>
      <c r="F6" t="inlineStr">
        <is>
          <t>BoxingPractice</t>
        </is>
      </c>
      <c r="G6" t="inlineStr">
        <is>
          <t>3840x2160</t>
        </is>
      </c>
      <c r="H6" t="inlineStr">
        <is>
          <t>60.0000</t>
        </is>
      </c>
      <c r="I6" t="inlineStr">
        <is>
          <t>10</t>
        </is>
      </c>
      <c r="J6" t="inlineStr">
        <is>
          <t>3840x2160</t>
        </is>
      </c>
      <c r="K6" t="inlineStr">
        <is>
          <t>210</t>
        </is>
      </c>
      <c r="L6" t="n">
        <v>706.551295</v>
      </c>
      <c r="M6" t="n">
        <v>35.631849</v>
      </c>
      <c r="N6" t="n">
        <v>41.664435</v>
      </c>
      <c r="O6" t="n">
        <v>41.391692</v>
      </c>
      <c r="P6" t="n">
        <v>18.308633</v>
      </c>
      <c r="Q6" t="n">
        <v>14.563542</v>
      </c>
      <c r="R6" t="n">
        <v>71.81392099999999</v>
      </c>
      <c r="S6" t="n">
        <v>68.735084</v>
      </c>
      <c r="T6" t="n">
        <v>32.37117</v>
      </c>
      <c r="U6" t="n">
        <v>37.456244</v>
      </c>
      <c r="V6" t="n">
        <v>35.599931</v>
      </c>
      <c r="W6" t="n">
        <v>41.641351</v>
      </c>
      <c r="X6" t="n">
        <v>41.373613</v>
      </c>
      <c r="Y6" t="n">
        <v>1.248676</v>
      </c>
      <c r="Z6" t="inlineStr"/>
      <c r="AA6" t="inlineStr"/>
      <c r="AB6" t="inlineStr"/>
      <c r="AC6" t="inlineStr"/>
      <c r="AD6" t="inlineStr"/>
      <c r="AE6" t="inlineStr"/>
      <c r="AF6" t="inlineStr">
        <is>
          <t>fe3c2de8de4eac683a1278912d1d1b95</t>
        </is>
      </c>
      <c r="AG6" t="inlineStr"/>
    </row>
    <row r="7">
      <c r="A7" t="inlineStr">
        <is>
          <t>AS</t>
        </is>
      </c>
      <c r="B7" t="inlineStr">
        <is>
          <t>aom</t>
        </is>
      </c>
      <c r="C7" t="inlineStr">
        <is>
          <t>av2</t>
        </is>
      </c>
      <c r="D7" t="inlineStr">
        <is>
          <t>0</t>
        </is>
      </c>
      <c r="E7" t="inlineStr">
        <is>
          <t>A1</t>
        </is>
      </c>
      <c r="F7" t="inlineStr">
        <is>
          <t>BoxingPractice</t>
        </is>
      </c>
      <c r="G7" t="inlineStr">
        <is>
          <t>3840x2160</t>
        </is>
      </c>
      <c r="H7" t="inlineStr">
        <is>
          <t>60.0000</t>
        </is>
      </c>
      <c r="I7" t="inlineStr">
        <is>
          <t>10</t>
        </is>
      </c>
      <c r="J7" t="inlineStr">
        <is>
          <t>3840x2160</t>
        </is>
      </c>
      <c r="K7" t="inlineStr">
        <is>
          <t>235</t>
        </is>
      </c>
      <c r="L7" t="n">
        <v>331.636364</v>
      </c>
      <c r="M7" t="n">
        <v>32.483124</v>
      </c>
      <c r="N7" t="n">
        <v>39.013028</v>
      </c>
      <c r="O7" t="n">
        <v>39.020076</v>
      </c>
      <c r="P7" t="n">
        <v>14.594628</v>
      </c>
      <c r="Q7" t="n">
        <v>12.074268</v>
      </c>
      <c r="R7" t="n">
        <v>51.926117</v>
      </c>
      <c r="S7" t="n">
        <v>49.02184</v>
      </c>
      <c r="T7" t="n">
        <v>28.630123</v>
      </c>
      <c r="U7" t="n">
        <v>34.914498</v>
      </c>
      <c r="V7" t="n">
        <v>32.447318</v>
      </c>
      <c r="W7" t="n">
        <v>38.991478</v>
      </c>
      <c r="X7" t="n">
        <v>38.99771</v>
      </c>
      <c r="Y7" t="n">
        <v>1.196767</v>
      </c>
      <c r="Z7" t="inlineStr"/>
      <c r="AA7" t="inlineStr"/>
      <c r="AB7" t="inlineStr"/>
      <c r="AC7" t="inlineStr"/>
      <c r="AD7" t="inlineStr"/>
      <c r="AE7" t="inlineStr"/>
      <c r="AF7" t="inlineStr">
        <is>
          <t>fbcff137abf570584b51c5e0b26c8af0</t>
        </is>
      </c>
      <c r="AG7" t="inlineStr"/>
    </row>
    <row r="8">
      <c r="A8" t="inlineStr">
        <is>
          <t>AS</t>
        </is>
      </c>
      <c r="B8" t="inlineStr">
        <is>
          <t>aom</t>
        </is>
      </c>
      <c r="C8" t="inlineStr">
        <is>
          <t>av2</t>
        </is>
      </c>
      <c r="D8" t="inlineStr">
        <is>
          <t>0</t>
        </is>
      </c>
      <c r="E8" t="inlineStr">
        <is>
          <t>A1</t>
        </is>
      </c>
      <c r="F8" t="inlineStr">
        <is>
          <t>BoxingPractice</t>
        </is>
      </c>
      <c r="G8" t="inlineStr">
        <is>
          <t>3840x2160</t>
        </is>
      </c>
      <c r="H8" t="inlineStr">
        <is>
          <t>60.0000</t>
        </is>
      </c>
      <c r="I8" t="inlineStr">
        <is>
          <t>10</t>
        </is>
      </c>
      <c r="J8" t="inlineStr">
        <is>
          <t>2560x1440</t>
        </is>
      </c>
      <c r="K8" t="inlineStr">
        <is>
          <t>110</t>
        </is>
      </c>
      <c r="L8" t="n">
        <v>10391.522324</v>
      </c>
      <c r="M8" t="n">
        <v>41.562826</v>
      </c>
      <c r="N8" t="n">
        <v>47.135782</v>
      </c>
      <c r="O8" t="n">
        <v>47.222622</v>
      </c>
      <c r="P8" t="n">
        <v>28.282447</v>
      </c>
      <c r="Q8" t="n">
        <v>19.864515</v>
      </c>
      <c r="R8" t="n">
        <v>99.95036</v>
      </c>
      <c r="S8" t="n">
        <v>98.267212</v>
      </c>
      <c r="T8" t="n">
        <v>42.100091</v>
      </c>
      <c r="U8" t="n">
        <v>42.451457</v>
      </c>
      <c r="V8" t="n">
        <v>41.545984</v>
      </c>
      <c r="W8" t="n">
        <v>47.123431</v>
      </c>
      <c r="X8" t="n">
        <v>47.207333</v>
      </c>
      <c r="Y8" t="n">
        <v>1.149991</v>
      </c>
      <c r="Z8" t="inlineStr"/>
      <c r="AA8" t="inlineStr"/>
      <c r="AB8" t="inlineStr"/>
      <c r="AC8" t="inlineStr"/>
      <c r="AD8" t="inlineStr"/>
      <c r="AE8" t="inlineStr"/>
      <c r="AF8" t="inlineStr">
        <is>
          <t>110ef02f6e96779280f26b5ff2565591</t>
        </is>
      </c>
      <c r="AG8" t="inlineStr"/>
    </row>
    <row r="9">
      <c r="A9" t="inlineStr">
        <is>
          <t>AS</t>
        </is>
      </c>
      <c r="B9" t="inlineStr">
        <is>
          <t>aom</t>
        </is>
      </c>
      <c r="C9" t="inlineStr">
        <is>
          <t>av2</t>
        </is>
      </c>
      <c r="D9" t="inlineStr">
        <is>
          <t>0</t>
        </is>
      </c>
      <c r="E9" t="inlineStr">
        <is>
          <t>A1</t>
        </is>
      </c>
      <c r="F9" t="inlineStr">
        <is>
          <t>BoxingPractice</t>
        </is>
      </c>
      <c r="G9" t="inlineStr">
        <is>
          <t>3840x2160</t>
        </is>
      </c>
      <c r="H9" t="inlineStr">
        <is>
          <t>60.0000</t>
        </is>
      </c>
      <c r="I9" t="inlineStr">
        <is>
          <t>10</t>
        </is>
      </c>
      <c r="J9" t="inlineStr">
        <is>
          <t>2560x1440</t>
        </is>
      </c>
      <c r="K9" t="inlineStr">
        <is>
          <t>135</t>
        </is>
      </c>
      <c r="L9" t="n">
        <v>4264.110044</v>
      </c>
      <c r="M9" t="n">
        <v>40.688673</v>
      </c>
      <c r="N9" t="n">
        <v>46.135795</v>
      </c>
      <c r="O9" t="n">
        <v>46.036011</v>
      </c>
      <c r="P9" t="n">
        <v>26.318298</v>
      </c>
      <c r="Q9" t="n">
        <v>19.014538</v>
      </c>
      <c r="R9" t="n">
        <v>97.484819</v>
      </c>
      <c r="S9" t="n">
        <v>94.815169</v>
      </c>
      <c r="T9" t="n">
        <v>40.274915</v>
      </c>
      <c r="U9" t="n">
        <v>41.617508</v>
      </c>
      <c r="V9" t="n">
        <v>40.675908</v>
      </c>
      <c r="W9" t="n">
        <v>46.124041</v>
      </c>
      <c r="X9" t="n">
        <v>46.021069</v>
      </c>
      <c r="Y9" t="n">
        <v>1.123554</v>
      </c>
      <c r="Z9" t="inlineStr"/>
      <c r="AA9" t="inlineStr"/>
      <c r="AB9" t="inlineStr"/>
      <c r="AC9" t="inlineStr"/>
      <c r="AD9" t="inlineStr"/>
      <c r="AE9" t="inlineStr"/>
      <c r="AF9" t="inlineStr">
        <is>
          <t>c2744106b65229a8493f08d5382912cf</t>
        </is>
      </c>
      <c r="AG9" t="inlineStr"/>
    </row>
    <row r="10">
      <c r="A10" t="inlineStr">
        <is>
          <t>AS</t>
        </is>
      </c>
      <c r="B10" t="inlineStr">
        <is>
          <t>aom</t>
        </is>
      </c>
      <c r="C10" t="inlineStr">
        <is>
          <t>av2</t>
        </is>
      </c>
      <c r="D10" t="inlineStr">
        <is>
          <t>0</t>
        </is>
      </c>
      <c r="E10" t="inlineStr">
        <is>
          <t>A1</t>
        </is>
      </c>
      <c r="F10" t="inlineStr">
        <is>
          <t>BoxingPractice</t>
        </is>
      </c>
      <c r="G10" t="inlineStr">
        <is>
          <t>3840x2160</t>
        </is>
      </c>
      <c r="H10" t="inlineStr">
        <is>
          <t>60.0000</t>
        </is>
      </c>
      <c r="I10" t="inlineStr">
        <is>
          <t>10</t>
        </is>
      </c>
      <c r="J10" t="inlineStr">
        <is>
          <t>2560x1440</t>
        </is>
      </c>
      <c r="K10" t="inlineStr">
        <is>
          <t>160</t>
        </is>
      </c>
      <c r="L10" t="n">
        <v>1982.485207</v>
      </c>
      <c r="M10" t="n">
        <v>39.166466</v>
      </c>
      <c r="N10" t="n">
        <v>44.666191</v>
      </c>
      <c r="O10" t="n">
        <v>44.394279</v>
      </c>
      <c r="P10" t="n">
        <v>23.531247</v>
      </c>
      <c r="Q10" t="n">
        <v>17.632582</v>
      </c>
      <c r="R10" t="n">
        <v>91.02736</v>
      </c>
      <c r="S10" t="n">
        <v>88.02609</v>
      </c>
      <c r="T10" t="n">
        <v>37.507055</v>
      </c>
      <c r="U10" t="n">
        <v>40.337493</v>
      </c>
      <c r="V10" t="n">
        <v>39.146757</v>
      </c>
      <c r="W10" t="n">
        <v>44.65028</v>
      </c>
      <c r="X10" t="n">
        <v>44.379057</v>
      </c>
      <c r="Y10" t="n">
        <v>1.213226</v>
      </c>
      <c r="Z10" t="inlineStr"/>
      <c r="AA10" t="inlineStr"/>
      <c r="AB10" t="inlineStr"/>
      <c r="AC10" t="inlineStr"/>
      <c r="AD10" t="inlineStr"/>
      <c r="AE10" t="inlineStr"/>
      <c r="AF10" t="inlineStr">
        <is>
          <t>6d01f8aaa17529ba584b4481d237e139</t>
        </is>
      </c>
      <c r="AG10" t="inlineStr"/>
    </row>
    <row r="11">
      <c r="A11" t="inlineStr">
        <is>
          <t>AS</t>
        </is>
      </c>
      <c r="B11" t="inlineStr">
        <is>
          <t>aom</t>
        </is>
      </c>
      <c r="C11" t="inlineStr">
        <is>
          <t>av2</t>
        </is>
      </c>
      <c r="D11" t="inlineStr">
        <is>
          <t>0</t>
        </is>
      </c>
      <c r="E11" t="inlineStr">
        <is>
          <t>A1</t>
        </is>
      </c>
      <c r="F11" t="inlineStr">
        <is>
          <t>BoxingPractice</t>
        </is>
      </c>
      <c r="G11" t="inlineStr">
        <is>
          <t>3840x2160</t>
        </is>
      </c>
      <c r="H11" t="inlineStr">
        <is>
          <t>60.0000</t>
        </is>
      </c>
      <c r="I11" t="inlineStr">
        <is>
          <t>10</t>
        </is>
      </c>
      <c r="J11" t="inlineStr">
        <is>
          <t>2560x1440</t>
        </is>
      </c>
      <c r="K11" t="inlineStr">
        <is>
          <t>185</t>
        </is>
      </c>
      <c r="L11" t="n">
        <v>966.211635</v>
      </c>
      <c r="M11" t="n">
        <v>36.904017</v>
      </c>
      <c r="N11" t="n">
        <v>42.764518</v>
      </c>
      <c r="O11" t="n">
        <v>42.389478</v>
      </c>
      <c r="P11" t="n">
        <v>20.080992</v>
      </c>
      <c r="Q11" t="n">
        <v>15.658653</v>
      </c>
      <c r="R11" t="n">
        <v>79.28545200000001</v>
      </c>
      <c r="S11" t="n">
        <v>76.103223</v>
      </c>
      <c r="T11" t="n">
        <v>34.094315</v>
      </c>
      <c r="U11" t="n">
        <v>38.554397</v>
      </c>
      <c r="V11" t="n">
        <v>36.876022</v>
      </c>
      <c r="W11" t="n">
        <v>42.746435</v>
      </c>
      <c r="X11" t="n">
        <v>42.367677</v>
      </c>
      <c r="Y11" t="n">
        <v>1.244372</v>
      </c>
      <c r="Z11" t="inlineStr"/>
      <c r="AA11" t="inlineStr"/>
      <c r="AB11" t="inlineStr"/>
      <c r="AC11" t="inlineStr"/>
      <c r="AD11" t="inlineStr"/>
      <c r="AE11" t="inlineStr"/>
      <c r="AF11" t="inlineStr">
        <is>
          <t>91f1c8a60fa6b81957259a15d075ca06</t>
        </is>
      </c>
      <c r="AG11" t="inlineStr"/>
    </row>
    <row r="12">
      <c r="A12" t="inlineStr">
        <is>
          <t>AS</t>
        </is>
      </c>
      <c r="B12" t="inlineStr">
        <is>
          <t>aom</t>
        </is>
      </c>
      <c r="C12" t="inlineStr">
        <is>
          <t>av2</t>
        </is>
      </c>
      <c r="D12" t="inlineStr">
        <is>
          <t>0</t>
        </is>
      </c>
      <c r="E12" t="inlineStr">
        <is>
          <t>A1</t>
        </is>
      </c>
      <c r="F12" t="inlineStr">
        <is>
          <t>BoxingPractice</t>
        </is>
      </c>
      <c r="G12" t="inlineStr">
        <is>
          <t>3840x2160</t>
        </is>
      </c>
      <c r="H12" t="inlineStr">
        <is>
          <t>60.0000</t>
        </is>
      </c>
      <c r="I12" t="inlineStr">
        <is>
          <t>10</t>
        </is>
      </c>
      <c r="J12" t="inlineStr">
        <is>
          <t>2560x1440</t>
        </is>
      </c>
      <c r="K12" t="inlineStr">
        <is>
          <t>210</t>
        </is>
      </c>
      <c r="L12" t="n">
        <v>452.645201</v>
      </c>
      <c r="M12" t="n">
        <v>33.979331</v>
      </c>
      <c r="N12" t="n">
        <v>40.464208</v>
      </c>
      <c r="O12" t="n">
        <v>40.12305</v>
      </c>
      <c r="P12" t="n">
        <v>16.358363</v>
      </c>
      <c r="Q12" t="n">
        <v>13.253918</v>
      </c>
      <c r="R12" t="n">
        <v>61.732023</v>
      </c>
      <c r="S12" t="n">
        <v>58.580735</v>
      </c>
      <c r="T12" t="n">
        <v>30.374845</v>
      </c>
      <c r="U12" t="n">
        <v>36.27904</v>
      </c>
      <c r="V12" t="n">
        <v>33.945278</v>
      </c>
      <c r="W12" t="n">
        <v>40.445144</v>
      </c>
      <c r="X12" t="n">
        <v>40.100032</v>
      </c>
      <c r="Y12" t="n">
        <v>1.233942</v>
      </c>
      <c r="Z12" t="inlineStr"/>
      <c r="AA12" t="inlineStr"/>
      <c r="AB12" t="inlineStr"/>
      <c r="AC12" t="inlineStr"/>
      <c r="AD12" t="inlineStr"/>
      <c r="AE12" t="inlineStr"/>
      <c r="AF12" t="inlineStr">
        <is>
          <t>c845b283c5578b279ea91ab51697d8fe</t>
        </is>
      </c>
      <c r="AG12" t="inlineStr"/>
    </row>
    <row r="13">
      <c r="A13" t="inlineStr">
        <is>
          <t>AS</t>
        </is>
      </c>
      <c r="B13" t="inlineStr">
        <is>
          <t>aom</t>
        </is>
      </c>
      <c r="C13" t="inlineStr">
        <is>
          <t>av2</t>
        </is>
      </c>
      <c r="D13" t="inlineStr">
        <is>
          <t>0</t>
        </is>
      </c>
      <c r="E13" t="inlineStr">
        <is>
          <t>A1</t>
        </is>
      </c>
      <c r="F13" t="inlineStr">
        <is>
          <t>BoxingPractice</t>
        </is>
      </c>
      <c r="G13" t="inlineStr">
        <is>
          <t>3840x2160</t>
        </is>
      </c>
      <c r="H13" t="inlineStr">
        <is>
          <t>60.0000</t>
        </is>
      </c>
      <c r="I13" t="inlineStr">
        <is>
          <t>10</t>
        </is>
      </c>
      <c r="J13" t="inlineStr">
        <is>
          <t>2560x1440</t>
        </is>
      </c>
      <c r="K13" t="inlineStr">
        <is>
          <t>235</t>
        </is>
      </c>
      <c r="L13" t="n">
        <v>207.779912</v>
      </c>
      <c r="M13" t="n">
        <v>30.81758</v>
      </c>
      <c r="N13" t="n">
        <v>37.912393</v>
      </c>
      <c r="O13" t="n">
        <v>37.982869</v>
      </c>
      <c r="P13" t="n">
        <v>12.801706</v>
      </c>
      <c r="Q13" t="n">
        <v>10.834729</v>
      </c>
      <c r="R13" t="n">
        <v>40.876506</v>
      </c>
      <c r="S13" t="n">
        <v>38.172815</v>
      </c>
      <c r="T13" t="n">
        <v>26.809453</v>
      </c>
      <c r="U13" t="n">
        <v>33.699499</v>
      </c>
      <c r="V13" t="n">
        <v>30.784402</v>
      </c>
      <c r="W13" t="n">
        <v>37.901074</v>
      </c>
      <c r="X13" t="n">
        <v>37.962593</v>
      </c>
      <c r="Y13" t="n">
        <v>1.258016</v>
      </c>
      <c r="Z13" t="inlineStr"/>
      <c r="AA13" t="inlineStr"/>
      <c r="AB13" t="inlineStr"/>
      <c r="AC13" t="inlineStr"/>
      <c r="AD13" t="inlineStr"/>
      <c r="AE13" t="inlineStr"/>
      <c r="AF13" t="inlineStr">
        <is>
          <t>fb507bf65a10b4eafab36770930dec2f</t>
        </is>
      </c>
      <c r="AG13" t="inlineStr"/>
    </row>
    <row r="14">
      <c r="A14" t="inlineStr">
        <is>
          <t>AS</t>
        </is>
      </c>
      <c r="B14" t="inlineStr">
        <is>
          <t>aom</t>
        </is>
      </c>
      <c r="C14" t="inlineStr">
        <is>
          <t>av2</t>
        </is>
      </c>
      <c r="D14" t="inlineStr">
        <is>
          <t>0</t>
        </is>
      </c>
      <c r="E14" t="inlineStr">
        <is>
          <t>A1</t>
        </is>
      </c>
      <c r="F14" t="inlineStr">
        <is>
          <t>BoxingPractice</t>
        </is>
      </c>
      <c r="G14" t="inlineStr">
        <is>
          <t>3840x2160</t>
        </is>
      </c>
      <c r="H14" t="inlineStr">
        <is>
          <t>60.0000</t>
        </is>
      </c>
      <c r="I14" t="inlineStr">
        <is>
          <t>10</t>
        </is>
      </c>
      <c r="J14" t="inlineStr">
        <is>
          <t>1920x1080</t>
        </is>
      </c>
      <c r="K14" t="inlineStr">
        <is>
          <t>110</t>
        </is>
      </c>
      <c r="L14" t="n">
        <v>6913.22831</v>
      </c>
      <c r="M14" t="n">
        <v>40.635883</v>
      </c>
      <c r="N14" t="n">
        <v>45.967153</v>
      </c>
      <c r="O14" t="n">
        <v>45.811653</v>
      </c>
      <c r="P14" t="n">
        <v>27.525845</v>
      </c>
      <c r="Q14" t="n">
        <v>19.377292</v>
      </c>
      <c r="R14" t="n">
        <v>98.067583</v>
      </c>
      <c r="S14" t="n">
        <v>95.51913</v>
      </c>
      <c r="T14" t="n">
        <v>41.084084</v>
      </c>
      <c r="U14" t="n">
        <v>41.741516</v>
      </c>
      <c r="V14" t="n">
        <v>40.626446</v>
      </c>
      <c r="W14" t="n">
        <v>45.960083</v>
      </c>
      <c r="X14" t="n">
        <v>45.800533</v>
      </c>
      <c r="Y14" t="n">
        <v>1.240721</v>
      </c>
      <c r="Z14" t="inlineStr"/>
      <c r="AA14" t="inlineStr"/>
      <c r="AB14" t="inlineStr"/>
      <c r="AC14" t="inlineStr"/>
      <c r="AD14" t="inlineStr"/>
      <c r="AE14" t="inlineStr"/>
      <c r="AF14" t="inlineStr">
        <is>
          <t>83f3cb60e8c918638dcb526fad1b3f0e</t>
        </is>
      </c>
      <c r="AG14" t="inlineStr"/>
    </row>
    <row r="15">
      <c r="A15" t="inlineStr">
        <is>
          <t>AS</t>
        </is>
      </c>
      <c r="B15" t="inlineStr">
        <is>
          <t>aom</t>
        </is>
      </c>
      <c r="C15" t="inlineStr">
        <is>
          <t>av2</t>
        </is>
      </c>
      <c r="D15" t="inlineStr">
        <is>
          <t>0</t>
        </is>
      </c>
      <c r="E15" t="inlineStr">
        <is>
          <t>A1</t>
        </is>
      </c>
      <c r="F15" t="inlineStr">
        <is>
          <t>BoxingPractice</t>
        </is>
      </c>
      <c r="G15" t="inlineStr">
        <is>
          <t>3840x2160</t>
        </is>
      </c>
      <c r="H15" t="inlineStr">
        <is>
          <t>60.0000</t>
        </is>
      </c>
      <c r="I15" t="inlineStr">
        <is>
          <t>10</t>
        </is>
      </c>
      <c r="J15" t="inlineStr">
        <is>
          <t>1920x1080</t>
        </is>
      </c>
      <c r="K15" t="inlineStr">
        <is>
          <t>135</t>
        </is>
      </c>
      <c r="L15" t="n">
        <v>3065.626066</v>
      </c>
      <c r="M15" t="n">
        <v>39.705801</v>
      </c>
      <c r="N15" t="n">
        <v>45.077645</v>
      </c>
      <c r="O15" t="n">
        <v>44.777259</v>
      </c>
      <c r="P15" t="n">
        <v>25.325689</v>
      </c>
      <c r="Q15" t="n">
        <v>18.422168</v>
      </c>
      <c r="R15" t="n">
        <v>93.983194</v>
      </c>
      <c r="S15" t="n">
        <v>91.118426</v>
      </c>
      <c r="T15" t="n">
        <v>39.044944</v>
      </c>
      <c r="U15" t="n">
        <v>40.899787</v>
      </c>
      <c r="V15" t="n">
        <v>39.693353</v>
      </c>
      <c r="W15" t="n">
        <v>45.068635</v>
      </c>
      <c r="X15" t="n">
        <v>44.763982</v>
      </c>
      <c r="Y15" t="n">
        <v>1.293674</v>
      </c>
      <c r="Z15" t="inlineStr"/>
      <c r="AA15" t="inlineStr"/>
      <c r="AB15" t="inlineStr"/>
      <c r="AC15" t="inlineStr"/>
      <c r="AD15" t="inlineStr"/>
      <c r="AE15" t="inlineStr"/>
      <c r="AF15" t="inlineStr">
        <is>
          <t>800180a7e0e823b5bf356f1aeaedf0b7</t>
        </is>
      </c>
      <c r="AG15" t="inlineStr"/>
    </row>
    <row r="16">
      <c r="A16" t="inlineStr">
        <is>
          <t>AS</t>
        </is>
      </c>
      <c r="B16" t="inlineStr">
        <is>
          <t>aom</t>
        </is>
      </c>
      <c r="C16" t="inlineStr">
        <is>
          <t>av2</t>
        </is>
      </c>
      <c r="D16" t="inlineStr">
        <is>
          <t>0</t>
        </is>
      </c>
      <c r="E16" t="inlineStr">
        <is>
          <t>A1</t>
        </is>
      </c>
      <c r="F16" t="inlineStr">
        <is>
          <t>BoxingPractice</t>
        </is>
      </c>
      <c r="G16" t="inlineStr">
        <is>
          <t>3840x2160</t>
        </is>
      </c>
      <c r="H16" t="inlineStr">
        <is>
          <t>60.0000</t>
        </is>
      </c>
      <c r="I16" t="inlineStr">
        <is>
          <t>10</t>
        </is>
      </c>
      <c r="J16" t="inlineStr">
        <is>
          <t>1920x1080</t>
        </is>
      </c>
      <c r="K16" t="inlineStr">
        <is>
          <t>160</t>
        </is>
      </c>
      <c r="L16" t="n">
        <v>1469.626988</v>
      </c>
      <c r="M16" t="n">
        <v>38.065948</v>
      </c>
      <c r="N16" t="n">
        <v>43.661045</v>
      </c>
      <c r="O16" t="n">
        <v>43.250915</v>
      </c>
      <c r="P16" t="n">
        <v>22.23746</v>
      </c>
      <c r="Q16" t="n">
        <v>16.837841</v>
      </c>
      <c r="R16" t="n">
        <v>85.87538000000001</v>
      </c>
      <c r="S16" t="n">
        <v>82.71609599999999</v>
      </c>
      <c r="T16" t="n">
        <v>36.057718</v>
      </c>
      <c r="U16" t="n">
        <v>39.540536</v>
      </c>
      <c r="V16" t="n">
        <v>38.044589</v>
      </c>
      <c r="W16" t="n">
        <v>43.647753</v>
      </c>
      <c r="X16" t="n">
        <v>43.237614</v>
      </c>
      <c r="Y16" t="n">
        <v>1.373219</v>
      </c>
      <c r="Z16" t="inlineStr"/>
      <c r="AA16" t="inlineStr"/>
      <c r="AB16" t="inlineStr"/>
      <c r="AC16" t="inlineStr"/>
      <c r="AD16" t="inlineStr"/>
      <c r="AE16" t="inlineStr"/>
      <c r="AF16" t="inlineStr">
        <is>
          <t>8875e2b2458d326a5d968daa43e6e247</t>
        </is>
      </c>
      <c r="AG16" t="inlineStr"/>
    </row>
    <row r="17">
      <c r="A17" t="inlineStr">
        <is>
          <t>AS</t>
        </is>
      </c>
      <c r="B17" t="inlineStr">
        <is>
          <t>aom</t>
        </is>
      </c>
      <c r="C17" t="inlineStr">
        <is>
          <t>av2</t>
        </is>
      </c>
      <c r="D17" t="inlineStr">
        <is>
          <t>0</t>
        </is>
      </c>
      <c r="E17" t="inlineStr">
        <is>
          <t>A1</t>
        </is>
      </c>
      <c r="F17" t="inlineStr">
        <is>
          <t>BoxingPractice</t>
        </is>
      </c>
      <c r="G17" t="inlineStr">
        <is>
          <t>3840x2160</t>
        </is>
      </c>
      <c r="H17" t="inlineStr">
        <is>
          <t>60.0000</t>
        </is>
      </c>
      <c r="I17" t="inlineStr">
        <is>
          <t>10</t>
        </is>
      </c>
      <c r="J17" t="inlineStr">
        <is>
          <t>1920x1080</t>
        </is>
      </c>
      <c r="K17" t="inlineStr">
        <is>
          <t>185</t>
        </is>
      </c>
      <c r="L17" t="n">
        <v>708.284946</v>
      </c>
      <c r="M17" t="n">
        <v>35.695356</v>
      </c>
      <c r="N17" t="n">
        <v>41.800568</v>
      </c>
      <c r="O17" t="n">
        <v>41.377546</v>
      </c>
      <c r="P17" t="n">
        <v>18.680986</v>
      </c>
      <c r="Q17" t="n">
        <v>14.737347</v>
      </c>
      <c r="R17" t="n">
        <v>71.826773</v>
      </c>
      <c r="S17" t="n">
        <v>68.70934200000001</v>
      </c>
      <c r="T17" t="n">
        <v>32.593141</v>
      </c>
      <c r="U17" t="n">
        <v>37.680582</v>
      </c>
      <c r="V17" t="n">
        <v>35.665806</v>
      </c>
      <c r="W17" t="n">
        <v>41.783409</v>
      </c>
      <c r="X17" t="n">
        <v>41.360802</v>
      </c>
      <c r="Y17" t="n">
        <v>1.42358</v>
      </c>
      <c r="Z17" t="inlineStr"/>
      <c r="AA17" t="inlineStr"/>
      <c r="AB17" t="inlineStr"/>
      <c r="AC17" t="inlineStr"/>
      <c r="AD17" t="inlineStr"/>
      <c r="AE17" t="inlineStr"/>
      <c r="AF17" t="inlineStr">
        <is>
          <t>4ba3bc2551a70aef624cdbfa0ca1815d</t>
        </is>
      </c>
      <c r="AG17" t="inlineStr"/>
    </row>
    <row r="18">
      <c r="A18" t="inlineStr">
        <is>
          <t>AS</t>
        </is>
      </c>
      <c r="B18" t="inlineStr">
        <is>
          <t>aom</t>
        </is>
      </c>
      <c r="C18" t="inlineStr">
        <is>
          <t>av2</t>
        </is>
      </c>
      <c r="D18" t="inlineStr">
        <is>
          <t>0</t>
        </is>
      </c>
      <c r="E18" t="inlineStr">
        <is>
          <t>A1</t>
        </is>
      </c>
      <c r="F18" t="inlineStr">
        <is>
          <t>BoxingPractice</t>
        </is>
      </c>
      <c r="G18" t="inlineStr">
        <is>
          <t>3840x2160</t>
        </is>
      </c>
      <c r="H18" t="inlineStr">
        <is>
          <t>60.0000</t>
        </is>
      </c>
      <c r="I18" t="inlineStr">
        <is>
          <t>10</t>
        </is>
      </c>
      <c r="J18" t="inlineStr">
        <is>
          <t>1920x1080</t>
        </is>
      </c>
      <c r="K18" t="inlineStr">
        <is>
          <t>210</t>
        </is>
      </c>
      <c r="L18" t="n">
        <v>327.829709</v>
      </c>
      <c r="M18" t="n">
        <v>32.750681</v>
      </c>
      <c r="N18" t="n">
        <v>39.554306</v>
      </c>
      <c r="O18" t="n">
        <v>39.292615</v>
      </c>
      <c r="P18" t="n">
        <v>14.972486</v>
      </c>
      <c r="Q18" t="n">
        <v>12.295784</v>
      </c>
      <c r="R18" t="n">
        <v>53.138924</v>
      </c>
      <c r="S18" t="n">
        <v>50.166856</v>
      </c>
      <c r="T18" t="n">
        <v>28.965734</v>
      </c>
      <c r="U18" t="n">
        <v>35.364616</v>
      </c>
      <c r="V18" t="n">
        <v>32.717639</v>
      </c>
      <c r="W18" t="n">
        <v>39.536143</v>
      </c>
      <c r="X18" t="n">
        <v>39.271318</v>
      </c>
      <c r="Y18" t="n">
        <v>1.425072</v>
      </c>
      <c r="Z18" t="inlineStr"/>
      <c r="AA18" t="inlineStr"/>
      <c r="AB18" t="inlineStr"/>
      <c r="AC18" t="inlineStr"/>
      <c r="AD18" t="inlineStr"/>
      <c r="AE18" t="inlineStr"/>
      <c r="AF18" t="inlineStr">
        <is>
          <t>b38ce3eba48bbe539e5963d6cc251785</t>
        </is>
      </c>
      <c r="AG18" t="inlineStr"/>
    </row>
    <row r="19">
      <c r="A19" t="inlineStr">
        <is>
          <t>AS</t>
        </is>
      </c>
      <c r="B19" t="inlineStr">
        <is>
          <t>aom</t>
        </is>
      </c>
      <c r="C19" t="inlineStr">
        <is>
          <t>av2</t>
        </is>
      </c>
      <c r="D19" t="inlineStr">
        <is>
          <t>0</t>
        </is>
      </c>
      <c r="E19" t="inlineStr">
        <is>
          <t>A1</t>
        </is>
      </c>
      <c r="F19" t="inlineStr">
        <is>
          <t>BoxingPractice</t>
        </is>
      </c>
      <c r="G19" t="inlineStr">
        <is>
          <t>3840x2160</t>
        </is>
      </c>
      <c r="H19" t="inlineStr">
        <is>
          <t>60.0000</t>
        </is>
      </c>
      <c r="I19" t="inlineStr">
        <is>
          <t>10</t>
        </is>
      </c>
      <c r="J19" t="inlineStr">
        <is>
          <t>1920x1080</t>
        </is>
      </c>
      <c r="K19" t="inlineStr">
        <is>
          <t>235</t>
        </is>
      </c>
      <c r="L19" t="n">
        <v>146.64474</v>
      </c>
      <c r="M19" t="n">
        <v>29.598291</v>
      </c>
      <c r="N19" t="n">
        <v>37.191041</v>
      </c>
      <c r="O19" t="n">
        <v>37.16107</v>
      </c>
      <c r="P19" t="n">
        <v>11.559625</v>
      </c>
      <c r="Q19" t="n">
        <v>9.945247999999999</v>
      </c>
      <c r="R19" t="n">
        <v>32.346142</v>
      </c>
      <c r="S19" t="n">
        <v>29.900354</v>
      </c>
      <c r="T19" t="n">
        <v>25.522153</v>
      </c>
      <c r="U19" t="n">
        <v>32.781533</v>
      </c>
      <c r="V19" t="n">
        <v>29.565127</v>
      </c>
      <c r="W19" t="n">
        <v>37.179263</v>
      </c>
      <c r="X19" t="n">
        <v>37.145369</v>
      </c>
      <c r="Y19" t="n">
        <v>1.351378</v>
      </c>
      <c r="Z19" t="inlineStr"/>
      <c r="AA19" t="inlineStr"/>
      <c r="AB19" t="inlineStr"/>
      <c r="AC19" s="161" t="inlineStr"/>
      <c r="AD19" t="inlineStr"/>
      <c r="AE19" t="inlineStr"/>
      <c r="AF19" t="inlineStr">
        <is>
          <t>36eb45822281b2446cb75459b491f11c</t>
        </is>
      </c>
      <c r="AG19" t="inlineStr"/>
    </row>
    <row r="20">
      <c r="A20" t="inlineStr">
        <is>
          <t>AS</t>
        </is>
      </c>
      <c r="B20" t="inlineStr">
        <is>
          <t>aom</t>
        </is>
      </c>
      <c r="C20" t="inlineStr">
        <is>
          <t>av2</t>
        </is>
      </c>
      <c r="D20" t="inlineStr">
        <is>
          <t>0</t>
        </is>
      </c>
      <c r="E20" t="inlineStr">
        <is>
          <t>A1</t>
        </is>
      </c>
      <c r="F20" t="inlineStr">
        <is>
          <t>BoxingPractice</t>
        </is>
      </c>
      <c r="G20" t="inlineStr">
        <is>
          <t>3840x2160</t>
        </is>
      </c>
      <c r="H20" t="inlineStr">
        <is>
          <t>60.0000</t>
        </is>
      </c>
      <c r="I20" t="inlineStr">
        <is>
          <t>10</t>
        </is>
      </c>
      <c r="J20" t="inlineStr">
        <is>
          <t>1280x720</t>
        </is>
      </c>
      <c r="K20" t="inlineStr">
        <is>
          <t>110</t>
        </is>
      </c>
      <c r="L20" t="n">
        <v>4023.169446</v>
      </c>
      <c r="M20" t="n">
        <v>38.365984</v>
      </c>
      <c r="N20" t="n">
        <v>44.530436</v>
      </c>
      <c r="O20" t="n">
        <v>43.878188</v>
      </c>
      <c r="P20" t="n">
        <v>26.005646</v>
      </c>
      <c r="Q20" t="n">
        <v>18.086494</v>
      </c>
      <c r="R20" t="n">
        <v>90.374246</v>
      </c>
      <c r="S20" t="n">
        <v>87.748867</v>
      </c>
      <c r="T20" t="n">
        <v>37.548982</v>
      </c>
      <c r="U20" t="n">
        <v>40.448076</v>
      </c>
      <c r="V20" t="n">
        <v>38.360668</v>
      </c>
      <c r="W20" t="n">
        <v>44.525369</v>
      </c>
      <c r="X20" t="n">
        <v>43.868746</v>
      </c>
      <c r="Y20" t="n">
        <v>1.301152</v>
      </c>
      <c r="Z20" t="inlineStr"/>
      <c r="AA20" t="inlineStr"/>
      <c r="AB20" t="inlineStr"/>
      <c r="AC20" t="inlineStr"/>
      <c r="AD20" t="inlineStr"/>
      <c r="AE20" t="inlineStr"/>
      <c r="AF20" t="inlineStr">
        <is>
          <t>f03047f1128d5aae35dee9e8ff1fda59</t>
        </is>
      </c>
      <c r="AG20" t="inlineStr"/>
    </row>
    <row r="21">
      <c r="A21" t="inlineStr">
        <is>
          <t>AS</t>
        </is>
      </c>
      <c r="B21" t="inlineStr">
        <is>
          <t>aom</t>
        </is>
      </c>
      <c r="C21" t="inlineStr">
        <is>
          <t>av2</t>
        </is>
      </c>
      <c r="D21" t="inlineStr">
        <is>
          <t>0</t>
        </is>
      </c>
      <c r="E21" t="inlineStr">
        <is>
          <t>A1</t>
        </is>
      </c>
      <c r="F21" t="inlineStr">
        <is>
          <t>BoxingPractice</t>
        </is>
      </c>
      <c r="G21" t="inlineStr">
        <is>
          <t>3840x2160</t>
        </is>
      </c>
      <c r="H21" t="inlineStr">
        <is>
          <t>60.0000</t>
        </is>
      </c>
      <c r="I21" t="inlineStr">
        <is>
          <t>10</t>
        </is>
      </c>
      <c r="J21" t="inlineStr">
        <is>
          <t>1280x720</t>
        </is>
      </c>
      <c r="K21" t="inlineStr">
        <is>
          <t>135</t>
        </is>
      </c>
      <c r="L21" t="n">
        <v>1957.819411</v>
      </c>
      <c r="M21" t="n">
        <v>37.507851</v>
      </c>
      <c r="N21" t="n">
        <v>43.693294</v>
      </c>
      <c r="O21" t="n">
        <v>43.008115</v>
      </c>
      <c r="P21" t="n">
        <v>23.522284</v>
      </c>
      <c r="Q21" t="n">
        <v>17.04052</v>
      </c>
      <c r="R21" t="n">
        <v>84.462873</v>
      </c>
      <c r="S21" t="n">
        <v>81.665272</v>
      </c>
      <c r="T21" t="n">
        <v>35.830158</v>
      </c>
      <c r="U21" t="n">
        <v>39.591362</v>
      </c>
      <c r="V21" t="n">
        <v>37.49708</v>
      </c>
      <c r="W21" t="n">
        <v>43.685517</v>
      </c>
      <c r="X21" t="n">
        <v>42.997151</v>
      </c>
      <c r="Y21" t="n">
        <v>1.41355</v>
      </c>
      <c r="Z21" t="inlineStr"/>
      <c r="AA21" t="inlineStr"/>
      <c r="AB21" t="inlineStr"/>
      <c r="AC21" t="inlineStr"/>
      <c r="AD21" t="inlineStr"/>
      <c r="AE21" t="inlineStr"/>
      <c r="AF21" t="inlineStr">
        <is>
          <t>78ed31cb90be34bfb69f032d6129113a</t>
        </is>
      </c>
      <c r="AG21" t="inlineStr"/>
    </row>
    <row r="22">
      <c r="A22" t="inlineStr">
        <is>
          <t>AS</t>
        </is>
      </c>
      <c r="B22" t="inlineStr">
        <is>
          <t>aom</t>
        </is>
      </c>
      <c r="C22" t="inlineStr">
        <is>
          <t>av2</t>
        </is>
      </c>
      <c r="D22" t="inlineStr">
        <is>
          <t>0</t>
        </is>
      </c>
      <c r="E22" t="inlineStr">
        <is>
          <t>A1</t>
        </is>
      </c>
      <c r="F22" t="inlineStr">
        <is>
          <t>BoxingPractice</t>
        </is>
      </c>
      <c r="G22" t="inlineStr">
        <is>
          <t>3840x2160</t>
        </is>
      </c>
      <c r="H22" t="inlineStr">
        <is>
          <t>60.0000</t>
        </is>
      </c>
      <c r="I22" t="inlineStr">
        <is>
          <t>10</t>
        </is>
      </c>
      <c r="J22" t="inlineStr">
        <is>
          <t>1280x720</t>
        </is>
      </c>
      <c r="K22" t="inlineStr">
        <is>
          <t>160</t>
        </is>
      </c>
      <c r="L22" t="n">
        <v>950.627219</v>
      </c>
      <c r="M22" t="n">
        <v>35.988266</v>
      </c>
      <c r="N22" t="n">
        <v>42.312789</v>
      </c>
      <c r="O22" t="n">
        <v>41.693475</v>
      </c>
      <c r="P22" t="n">
        <v>20.220985</v>
      </c>
      <c r="Q22" t="n">
        <v>15.385404</v>
      </c>
      <c r="R22" t="n">
        <v>73.79064</v>
      </c>
      <c r="S22" t="n">
        <v>70.854207</v>
      </c>
      <c r="T22" t="n">
        <v>33.289754</v>
      </c>
      <c r="U22" t="n">
        <v>38.215541</v>
      </c>
      <c r="V22" t="n">
        <v>35.968476</v>
      </c>
      <c r="W22" t="n">
        <v>42.301668</v>
      </c>
      <c r="X22" t="n">
        <v>41.681876</v>
      </c>
      <c r="Y22" t="n">
        <v>1.460969</v>
      </c>
      <c r="Z22" t="inlineStr"/>
      <c r="AA22" t="inlineStr"/>
      <c r="AB22" t="inlineStr"/>
      <c r="AC22" t="inlineStr"/>
      <c r="AD22" t="inlineStr"/>
      <c r="AE22" t="inlineStr"/>
      <c r="AF22" t="inlineStr">
        <is>
          <t>0df7f0eaf5b74cb9c96a6f828745ef94</t>
        </is>
      </c>
      <c r="AG22" t="inlineStr"/>
    </row>
    <row r="23">
      <c r="A23" t="inlineStr">
        <is>
          <t>AS</t>
        </is>
      </c>
      <c r="B23" t="inlineStr">
        <is>
          <t>aom</t>
        </is>
      </c>
      <c r="C23" t="inlineStr">
        <is>
          <t>av2</t>
        </is>
      </c>
      <c r="D23" t="inlineStr">
        <is>
          <t>0</t>
        </is>
      </c>
      <c r="E23" t="inlineStr">
        <is>
          <t>A1</t>
        </is>
      </c>
      <c r="F23" t="inlineStr">
        <is>
          <t>BoxingPractice</t>
        </is>
      </c>
      <c r="G23" t="inlineStr">
        <is>
          <t>3840x2160</t>
        </is>
      </c>
      <c r="H23" t="inlineStr">
        <is>
          <t>60.0000</t>
        </is>
      </c>
      <c r="I23" t="inlineStr">
        <is>
          <t>10</t>
        </is>
      </c>
      <c r="J23" t="inlineStr">
        <is>
          <t>1280x720</t>
        </is>
      </c>
      <c r="K23" t="inlineStr">
        <is>
          <t>185</t>
        </is>
      </c>
      <c r="L23" t="n">
        <v>454.19811</v>
      </c>
      <c r="M23" t="n">
        <v>33.749549</v>
      </c>
      <c r="N23" t="n">
        <v>40.579396</v>
      </c>
      <c r="O23" t="n">
        <v>40.056699</v>
      </c>
      <c r="P23" t="n">
        <v>16.658739</v>
      </c>
      <c r="Q23" t="n">
        <v>13.289429</v>
      </c>
      <c r="R23" t="n">
        <v>57.643383</v>
      </c>
      <c r="S23" t="n">
        <v>54.877708</v>
      </c>
      <c r="T23" t="n">
        <v>30.23479</v>
      </c>
      <c r="U23" t="n">
        <v>36.366043</v>
      </c>
      <c r="V23" t="n">
        <v>33.721407</v>
      </c>
      <c r="W23" t="n">
        <v>40.562986</v>
      </c>
      <c r="X23" t="n">
        <v>40.043847</v>
      </c>
      <c r="Y23" t="n">
        <v>1.448754</v>
      </c>
      <c r="Z23" t="inlineStr"/>
      <c r="AA23" t="inlineStr"/>
      <c r="AB23" t="inlineStr"/>
      <c r="AC23" s="160" t="inlineStr"/>
      <c r="AD23" s="160" t="inlineStr"/>
      <c r="AE23" t="inlineStr"/>
      <c r="AF23" t="inlineStr">
        <is>
          <t>6898cd3541a384d2382cabff5d246650</t>
        </is>
      </c>
      <c r="AG23" t="inlineStr"/>
    </row>
    <row r="24">
      <c r="A24" t="inlineStr">
        <is>
          <t>AS</t>
        </is>
      </c>
      <c r="B24" t="inlineStr">
        <is>
          <t>aom</t>
        </is>
      </c>
      <c r="C24" t="inlineStr">
        <is>
          <t>av2</t>
        </is>
      </c>
      <c r="D24" t="inlineStr">
        <is>
          <t>0</t>
        </is>
      </c>
      <c r="E24" t="inlineStr">
        <is>
          <t>A1</t>
        </is>
      </c>
      <c r="F24" t="inlineStr">
        <is>
          <t>BoxingPractice</t>
        </is>
      </c>
      <c r="G24" t="inlineStr">
        <is>
          <t>3840x2160</t>
        </is>
      </c>
      <c r="H24" t="inlineStr">
        <is>
          <t>60.0000</t>
        </is>
      </c>
      <c r="I24" t="inlineStr">
        <is>
          <t>10</t>
        </is>
      </c>
      <c r="J24" t="inlineStr">
        <is>
          <t>1280x720</t>
        </is>
      </c>
      <c r="K24" t="inlineStr">
        <is>
          <t>210</t>
        </is>
      </c>
      <c r="L24" t="n">
        <v>204.921233</v>
      </c>
      <c r="M24" t="n">
        <v>30.940524</v>
      </c>
      <c r="N24" t="n">
        <v>38.410077</v>
      </c>
      <c r="O24" t="n">
        <v>38.147668</v>
      </c>
      <c r="P24" t="n">
        <v>13.096068</v>
      </c>
      <c r="Q24" t="n">
        <v>10.967578</v>
      </c>
      <c r="R24" t="n">
        <v>38.623886</v>
      </c>
      <c r="S24" t="n">
        <v>36.247793</v>
      </c>
      <c r="T24" t="n">
        <v>26.957642</v>
      </c>
      <c r="U24" t="n">
        <v>34.05443</v>
      </c>
      <c r="V24" t="n">
        <v>30.908807</v>
      </c>
      <c r="W24" t="n">
        <v>38.392008</v>
      </c>
      <c r="X24" t="n">
        <v>38.131235</v>
      </c>
      <c r="Y24" t="n">
        <v>1.536943</v>
      </c>
      <c r="Z24" t="inlineStr"/>
      <c r="AA24" t="inlineStr"/>
      <c r="AB24" t="inlineStr"/>
      <c r="AC24" t="inlineStr"/>
      <c r="AD24" t="inlineStr"/>
      <c r="AE24" t="inlineStr"/>
      <c r="AF24" t="inlineStr">
        <is>
          <t>d59e07c1d6fdd0ad8ce32cdd88a925ec</t>
        </is>
      </c>
      <c r="AG24" t="inlineStr"/>
    </row>
    <row r="25">
      <c r="A25" t="inlineStr">
        <is>
          <t>AS</t>
        </is>
      </c>
      <c r="B25" t="inlineStr">
        <is>
          <t>aom</t>
        </is>
      </c>
      <c r="C25" t="inlineStr">
        <is>
          <t>av2</t>
        </is>
      </c>
      <c r="D25" t="inlineStr">
        <is>
          <t>0</t>
        </is>
      </c>
      <c r="E25" t="inlineStr">
        <is>
          <t>A1</t>
        </is>
      </c>
      <c r="F25" t="inlineStr">
        <is>
          <t>BoxingPractice</t>
        </is>
      </c>
      <c r="G25" t="inlineStr">
        <is>
          <t>3840x2160</t>
        </is>
      </c>
      <c r="H25" t="inlineStr">
        <is>
          <t>60.0000</t>
        </is>
      </c>
      <c r="I25" t="inlineStr">
        <is>
          <t>10</t>
        </is>
      </c>
      <c r="J25" t="inlineStr">
        <is>
          <t>1280x720</t>
        </is>
      </c>
      <c r="K25" t="inlineStr">
        <is>
          <t>235</t>
        </is>
      </c>
      <c r="L25" t="n">
        <v>90.138784</v>
      </c>
      <c r="M25" t="n">
        <v>27.950003</v>
      </c>
      <c r="N25" t="n">
        <v>36.309934</v>
      </c>
      <c r="O25" t="n">
        <v>36.322207</v>
      </c>
      <c r="P25" t="n">
        <v>9.949093</v>
      </c>
      <c r="Q25" t="n">
        <v>8.804004000000001</v>
      </c>
      <c r="R25" t="n">
        <v>19.905793</v>
      </c>
      <c r="S25" t="n">
        <v>18.141077</v>
      </c>
      <c r="T25" t="n">
        <v>23.84338</v>
      </c>
      <c r="U25" t="n">
        <v>31.569472</v>
      </c>
      <c r="V25" t="n">
        <v>27.917884</v>
      </c>
      <c r="W25" t="n">
        <v>36.302566</v>
      </c>
      <c r="X25" t="n">
        <v>36.316434</v>
      </c>
      <c r="Y25" t="n">
        <v>1.376207</v>
      </c>
      <c r="Z25" t="inlineStr"/>
      <c r="AA25" t="inlineStr"/>
      <c r="AB25" t="inlineStr"/>
      <c r="AC25" t="inlineStr"/>
      <c r="AD25" t="inlineStr"/>
      <c r="AE25" t="inlineStr"/>
      <c r="AF25" t="inlineStr">
        <is>
          <t>c081a6cff5e3b7d788220f10867b5089</t>
        </is>
      </c>
      <c r="AG25" t="inlineStr"/>
    </row>
    <row r="26">
      <c r="A26" t="inlineStr">
        <is>
          <t>AS</t>
        </is>
      </c>
      <c r="B26" t="inlineStr">
        <is>
          <t>aom</t>
        </is>
      </c>
      <c r="C26" t="inlineStr">
        <is>
          <t>av2</t>
        </is>
      </c>
      <c r="D26" t="inlineStr">
        <is>
          <t>0</t>
        </is>
      </c>
      <c r="E26" t="inlineStr">
        <is>
          <t>A1</t>
        </is>
      </c>
      <c r="F26" t="inlineStr">
        <is>
          <t>BoxingPractice</t>
        </is>
      </c>
      <c r="G26" t="inlineStr">
        <is>
          <t>3840x2160</t>
        </is>
      </c>
      <c r="H26" t="inlineStr">
        <is>
          <t>60.0000</t>
        </is>
      </c>
      <c r="I26" t="inlineStr">
        <is>
          <t>10</t>
        </is>
      </c>
      <c r="J26" t="inlineStr">
        <is>
          <t>960x540</t>
        </is>
      </c>
      <c r="K26" t="inlineStr">
        <is>
          <t>110</t>
        </is>
      </c>
      <c r="L26" t="n">
        <v>2908.922462</v>
      </c>
      <c r="M26" t="n">
        <v>36.253102</v>
      </c>
      <c r="N26" t="n">
        <v>43.472024</v>
      </c>
      <c r="O26" t="n">
        <v>42.583208</v>
      </c>
      <c r="P26" t="n">
        <v>24.94082</v>
      </c>
      <c r="Q26" t="n">
        <v>16.488542</v>
      </c>
      <c r="R26" t="n">
        <v>79.20147299999999</v>
      </c>
      <c r="S26" t="n">
        <v>76.537916</v>
      </c>
      <c r="T26" t="n">
        <v>33.793155</v>
      </c>
      <c r="U26" t="n">
        <v>39.253809</v>
      </c>
      <c r="V26" t="n">
        <v>36.249011</v>
      </c>
      <c r="W26" t="n">
        <v>43.467587</v>
      </c>
      <c r="X26" t="n">
        <v>42.575252</v>
      </c>
      <c r="Y26" t="n">
        <v>1.397531</v>
      </c>
      <c r="Z26" t="inlineStr"/>
      <c r="AA26" t="inlineStr"/>
      <c r="AB26" t="inlineStr"/>
      <c r="AC26" t="inlineStr"/>
      <c r="AD26" t="inlineStr"/>
      <c r="AE26" t="inlineStr"/>
      <c r="AF26" t="inlineStr">
        <is>
          <t>03e86a7b87f3adb1792b11cd53104c50</t>
        </is>
      </c>
      <c r="AG26" t="inlineStr"/>
    </row>
    <row r="27">
      <c r="A27" t="inlineStr">
        <is>
          <t>AS</t>
        </is>
      </c>
      <c r="B27" t="inlineStr">
        <is>
          <t>aom</t>
        </is>
      </c>
      <c r="C27" t="inlineStr">
        <is>
          <t>av2</t>
        </is>
      </c>
      <c r="D27" t="inlineStr">
        <is>
          <t>0</t>
        </is>
      </c>
      <c r="E27" t="inlineStr">
        <is>
          <t>A1</t>
        </is>
      </c>
      <c r="F27" t="inlineStr">
        <is>
          <t>BoxingPractice</t>
        </is>
      </c>
      <c r="G27" t="inlineStr">
        <is>
          <t>3840x2160</t>
        </is>
      </c>
      <c r="H27" t="inlineStr">
        <is>
          <t>60.0000</t>
        </is>
      </c>
      <c r="I27" t="inlineStr">
        <is>
          <t>10</t>
        </is>
      </c>
      <c r="J27" t="inlineStr">
        <is>
          <t>960x540</t>
        </is>
      </c>
      <c r="K27" t="inlineStr">
        <is>
          <t>135</t>
        </is>
      </c>
      <c r="L27" t="n">
        <v>1457.498809</v>
      </c>
      <c r="M27" t="n">
        <v>35.577756</v>
      </c>
      <c r="N27" t="n">
        <v>42.685488</v>
      </c>
      <c r="O27" t="n">
        <v>41.833855</v>
      </c>
      <c r="P27" t="n">
        <v>22.224249</v>
      </c>
      <c r="Q27" t="n">
        <v>15.576822</v>
      </c>
      <c r="R27" t="n">
        <v>72.426373</v>
      </c>
      <c r="S27" t="n">
        <v>69.728314</v>
      </c>
      <c r="T27" t="n">
        <v>32.717665</v>
      </c>
      <c r="U27" t="n">
        <v>38.450029</v>
      </c>
      <c r="V27" t="n">
        <v>35.56969</v>
      </c>
      <c r="W27" t="n">
        <v>42.678957</v>
      </c>
      <c r="X27" t="n">
        <v>41.824121</v>
      </c>
      <c r="Y27" t="n">
        <v>1.476725</v>
      </c>
      <c r="Z27" t="inlineStr"/>
      <c r="AA27" t="inlineStr"/>
      <c r="AB27" t="inlineStr"/>
      <c r="AC27" t="inlineStr"/>
      <c r="AD27" t="inlineStr"/>
      <c r="AE27" t="inlineStr"/>
      <c r="AF27" t="inlineStr">
        <is>
          <t>febcf575d7380d13b44f91e9324639b7</t>
        </is>
      </c>
      <c r="AG27" t="inlineStr"/>
    </row>
    <row r="28">
      <c r="A28" t="inlineStr">
        <is>
          <t>AS</t>
        </is>
      </c>
      <c r="B28" t="inlineStr">
        <is>
          <t>aom</t>
        </is>
      </c>
      <c r="C28" t="inlineStr">
        <is>
          <t>av2</t>
        </is>
      </c>
      <c r="D28" t="inlineStr">
        <is>
          <t>0</t>
        </is>
      </c>
      <c r="E28" t="inlineStr">
        <is>
          <t>A1</t>
        </is>
      </c>
      <c r="F28" t="inlineStr">
        <is>
          <t>BoxingPractice</t>
        </is>
      </c>
      <c r="G28" t="inlineStr">
        <is>
          <t>3840x2160</t>
        </is>
      </c>
      <c r="H28" t="inlineStr">
        <is>
          <t>60.0000</t>
        </is>
      </c>
      <c r="I28" t="inlineStr">
        <is>
          <t>10</t>
        </is>
      </c>
      <c r="J28" t="inlineStr">
        <is>
          <t>960x540</t>
        </is>
      </c>
      <c r="K28" t="inlineStr">
        <is>
          <t>160</t>
        </is>
      </c>
      <c r="L28" t="n">
        <v>701.217552</v>
      </c>
      <c r="M28" t="n">
        <v>34.296722</v>
      </c>
      <c r="N28" t="n">
        <v>41.403109</v>
      </c>
      <c r="O28" t="n">
        <v>40.677298</v>
      </c>
      <c r="P28" t="n">
        <v>18.8195</v>
      </c>
      <c r="Q28" t="n">
        <v>14.107922</v>
      </c>
      <c r="R28" t="n">
        <v>60.743775</v>
      </c>
      <c r="S28" t="n">
        <v>58.053353</v>
      </c>
      <c r="T28" t="n">
        <v>30.907092</v>
      </c>
      <c r="U28" t="n">
        <v>37.149657</v>
      </c>
      <c r="V28" t="n">
        <v>34.280476</v>
      </c>
      <c r="W28" t="n">
        <v>41.39169</v>
      </c>
      <c r="X28" t="n">
        <v>40.664357</v>
      </c>
      <c r="Y28" t="n">
        <v>1.524952</v>
      </c>
      <c r="Z28" t="inlineStr"/>
      <c r="AA28" t="inlineStr"/>
      <c r="AB28" t="inlineStr"/>
      <c r="AC28" t="inlineStr"/>
      <c r="AD28" t="inlineStr"/>
      <c r="AE28" t="inlineStr"/>
      <c r="AF28" t="inlineStr">
        <is>
          <t>050a07d2d65d525c7d82db0b29f61550</t>
        </is>
      </c>
      <c r="AG28" t="inlineStr"/>
    </row>
    <row r="29">
      <c r="A29" t="inlineStr">
        <is>
          <t>AS</t>
        </is>
      </c>
      <c r="B29" t="inlineStr">
        <is>
          <t>aom</t>
        </is>
      </c>
      <c r="C29" t="inlineStr">
        <is>
          <t>av2</t>
        </is>
      </c>
      <c r="D29" t="inlineStr">
        <is>
          <t>0</t>
        </is>
      </c>
      <c r="E29" t="inlineStr">
        <is>
          <t>A1</t>
        </is>
      </c>
      <c r="F29" t="inlineStr">
        <is>
          <t>BoxingPractice</t>
        </is>
      </c>
      <c r="G29" t="inlineStr">
        <is>
          <t>3840x2160</t>
        </is>
      </c>
      <c r="H29" t="inlineStr">
        <is>
          <t>60.0000</t>
        </is>
      </c>
      <c r="I29" t="inlineStr">
        <is>
          <t>10</t>
        </is>
      </c>
      <c r="J29" t="inlineStr">
        <is>
          <t>960x540</t>
        </is>
      </c>
      <c r="K29" t="inlineStr">
        <is>
          <t>185</t>
        </is>
      </c>
      <c r="L29" t="n">
        <v>333.886421</v>
      </c>
      <c r="M29" t="n">
        <v>32.317911</v>
      </c>
      <c r="N29" t="n">
        <v>39.737028</v>
      </c>
      <c r="O29" t="n">
        <v>39.166902</v>
      </c>
      <c r="P29" t="n">
        <v>15.285115</v>
      </c>
      <c r="Q29" t="n">
        <v>12.20308</v>
      </c>
      <c r="R29" t="n">
        <v>45.015358</v>
      </c>
      <c r="S29" t="n">
        <v>42.537115</v>
      </c>
      <c r="T29" t="n">
        <v>28.467349</v>
      </c>
      <c r="U29" t="n">
        <v>35.396406</v>
      </c>
      <c r="V29" t="n">
        <v>32.292953</v>
      </c>
      <c r="W29" t="n">
        <v>39.72207</v>
      </c>
      <c r="X29" t="n">
        <v>39.150766</v>
      </c>
      <c r="Y29" t="n">
        <v>1.517901</v>
      </c>
      <c r="Z29" t="inlineStr"/>
      <c r="AA29" t="inlineStr"/>
      <c r="AB29" t="inlineStr"/>
      <c r="AC29" t="inlineStr"/>
      <c r="AD29" t="inlineStr"/>
      <c r="AE29" t="inlineStr"/>
      <c r="AF29" t="inlineStr">
        <is>
          <t>0bf05f0a17f2e18bfed183f082996efe</t>
        </is>
      </c>
      <c r="AG29" t="inlineStr"/>
    </row>
    <row r="30">
      <c r="A30" t="inlineStr">
        <is>
          <t>AS</t>
        </is>
      </c>
      <c r="B30" t="inlineStr">
        <is>
          <t>aom</t>
        </is>
      </c>
      <c r="C30" t="inlineStr">
        <is>
          <t>av2</t>
        </is>
      </c>
      <c r="D30" t="inlineStr">
        <is>
          <t>0</t>
        </is>
      </c>
      <c r="E30" t="inlineStr">
        <is>
          <t>A1</t>
        </is>
      </c>
      <c r="F30" t="inlineStr">
        <is>
          <t>BoxingPractice</t>
        </is>
      </c>
      <c r="G30" t="inlineStr">
        <is>
          <t>3840x2160</t>
        </is>
      </c>
      <c r="H30" t="inlineStr">
        <is>
          <t>60.0000</t>
        </is>
      </c>
      <c r="I30" t="inlineStr">
        <is>
          <t>10</t>
        </is>
      </c>
      <c r="J30" t="inlineStr">
        <is>
          <t>960x540</t>
        </is>
      </c>
      <c r="K30" t="inlineStr">
        <is>
          <t>210</t>
        </is>
      </c>
      <c r="L30" t="n">
        <v>151.830938</v>
      </c>
      <c r="M30" t="n">
        <v>29.752584</v>
      </c>
      <c r="N30" t="n">
        <v>37.677934</v>
      </c>
      <c r="O30" t="n">
        <v>37.59634</v>
      </c>
      <c r="P30" t="n">
        <v>11.938684</v>
      </c>
      <c r="Q30" t="n">
        <v>10.108786</v>
      </c>
      <c r="R30" t="n">
        <v>27.880806</v>
      </c>
      <c r="S30" t="n">
        <v>25.93732</v>
      </c>
      <c r="T30" t="n">
        <v>25.660207</v>
      </c>
      <c r="U30" t="n">
        <v>33.225652</v>
      </c>
      <c r="V30" t="n">
        <v>29.722906</v>
      </c>
      <c r="W30" t="n">
        <v>37.665525</v>
      </c>
      <c r="X30" t="n">
        <v>37.581704</v>
      </c>
      <c r="Y30" t="n">
        <v>1.554684</v>
      </c>
      <c r="Z30" t="inlineStr"/>
      <c r="AA30" t="inlineStr"/>
      <c r="AB30" t="inlineStr"/>
      <c r="AC30" t="inlineStr"/>
      <c r="AD30" t="inlineStr"/>
      <c r="AE30" t="inlineStr"/>
      <c r="AF30" t="inlineStr">
        <is>
          <t>fb9212ee1a46d9252d7802d323fcecea</t>
        </is>
      </c>
      <c r="AG30" t="inlineStr"/>
    </row>
    <row r="31">
      <c r="A31" t="inlineStr">
        <is>
          <t>AS</t>
        </is>
      </c>
      <c r="B31" t="inlineStr">
        <is>
          <t>aom</t>
        </is>
      </c>
      <c r="C31" t="inlineStr">
        <is>
          <t>av2</t>
        </is>
      </c>
      <c r="D31" t="inlineStr">
        <is>
          <t>0</t>
        </is>
      </c>
      <c r="E31" t="inlineStr">
        <is>
          <t>A1</t>
        </is>
      </c>
      <c r="F31" t="inlineStr">
        <is>
          <t>BoxingPractice</t>
        </is>
      </c>
      <c r="G31" t="inlineStr">
        <is>
          <t>3840x2160</t>
        </is>
      </c>
      <c r="H31" t="inlineStr">
        <is>
          <t>60.0000</t>
        </is>
      </c>
      <c r="I31" t="inlineStr">
        <is>
          <t>10</t>
        </is>
      </c>
      <c r="J31" t="inlineStr">
        <is>
          <t>960x540</t>
        </is>
      </c>
      <c r="K31" t="inlineStr">
        <is>
          <t>235</t>
        </is>
      </c>
      <c r="L31" t="n">
        <v>67.996004</v>
      </c>
      <c r="M31" t="n">
        <v>26.935437</v>
      </c>
      <c r="N31" t="n">
        <v>35.762103</v>
      </c>
      <c r="O31" t="n">
        <v>35.876006</v>
      </c>
      <c r="P31" t="n">
        <v>8.963533</v>
      </c>
      <c r="Q31" t="n">
        <v>8.100868</v>
      </c>
      <c r="R31" t="n">
        <v>10.819928</v>
      </c>
      <c r="S31" t="n">
        <v>9.729538</v>
      </c>
      <c r="T31" t="n">
        <v>22.83903</v>
      </c>
      <c r="U31" t="n">
        <v>30.687896</v>
      </c>
      <c r="V31" t="n">
        <v>26.903229</v>
      </c>
      <c r="W31" t="n">
        <v>35.755988</v>
      </c>
      <c r="X31" t="n">
        <v>35.867903</v>
      </c>
      <c r="Y31" t="n">
        <v>1.508595</v>
      </c>
      <c r="Z31" t="inlineStr"/>
      <c r="AA31" t="inlineStr"/>
      <c r="AB31" t="inlineStr"/>
      <c r="AC31" t="inlineStr"/>
      <c r="AD31" t="inlineStr"/>
      <c r="AE31" t="inlineStr"/>
      <c r="AF31" t="inlineStr">
        <is>
          <t>432e29caf0831754beb3cc0c2398bddf</t>
        </is>
      </c>
      <c r="AG31" t="inlineStr"/>
    </row>
    <row r="32">
      <c r="A32" t="inlineStr">
        <is>
          <t>AS</t>
        </is>
      </c>
      <c r="B32" t="inlineStr">
        <is>
          <t>aom</t>
        </is>
      </c>
      <c r="C32" t="inlineStr">
        <is>
          <t>av2</t>
        </is>
      </c>
      <c r="D32" t="inlineStr">
        <is>
          <t>0</t>
        </is>
      </c>
      <c r="E32" t="inlineStr">
        <is>
          <t>A1</t>
        </is>
      </c>
      <c r="F32" t="inlineStr">
        <is>
          <t>BoxingPractice</t>
        </is>
      </c>
      <c r="G32" t="inlineStr">
        <is>
          <t>3840x2160</t>
        </is>
      </c>
      <c r="H32" t="inlineStr">
        <is>
          <t>60.0000</t>
        </is>
      </c>
      <c r="I32" t="inlineStr">
        <is>
          <t>10</t>
        </is>
      </c>
      <c r="J32" t="inlineStr">
        <is>
          <t>640x360</t>
        </is>
      </c>
      <c r="K32" t="inlineStr">
        <is>
          <t>110</t>
        </is>
      </c>
      <c r="L32" t="n">
        <v>1732.75463</v>
      </c>
      <c r="M32" t="n">
        <v>33.23669</v>
      </c>
      <c r="N32" t="n">
        <v>42.02372</v>
      </c>
      <c r="O32" t="n">
        <v>41.085544</v>
      </c>
      <c r="P32" t="n">
        <v>21.614757</v>
      </c>
      <c r="Q32" t="n">
        <v>13.863179</v>
      </c>
      <c r="R32" t="n">
        <v>53.212933</v>
      </c>
      <c r="S32" t="n">
        <v>51.039861</v>
      </c>
      <c r="T32" t="n">
        <v>29.248856</v>
      </c>
      <c r="U32" t="n">
        <v>37.337618</v>
      </c>
      <c r="V32" t="n">
        <v>33.233742</v>
      </c>
      <c r="W32" t="n">
        <v>42.019367</v>
      </c>
      <c r="X32" t="n">
        <v>41.078641</v>
      </c>
      <c r="Y32" t="n">
        <v>1.449686</v>
      </c>
      <c r="Z32" t="inlineStr"/>
      <c r="AA32" t="inlineStr"/>
      <c r="AB32" t="inlineStr"/>
      <c r="AC32" t="inlineStr"/>
      <c r="AD32" t="inlineStr"/>
      <c r="AE32" t="inlineStr"/>
      <c r="AF32" t="inlineStr">
        <is>
          <t>a99eb543ac0fd40b76d2f1a0598c0bab</t>
        </is>
      </c>
      <c r="AG32" t="inlineStr"/>
    </row>
    <row r="33">
      <c r="A33" t="inlineStr">
        <is>
          <t>AS</t>
        </is>
      </c>
      <c r="B33" t="inlineStr">
        <is>
          <t>aom</t>
        </is>
      </c>
      <c r="C33" t="inlineStr">
        <is>
          <t>av2</t>
        </is>
      </c>
      <c r="D33" t="inlineStr">
        <is>
          <t>0</t>
        </is>
      </c>
      <c r="E33" t="inlineStr">
        <is>
          <t>A1</t>
        </is>
      </c>
      <c r="F33" t="inlineStr">
        <is>
          <t>BoxingPractice</t>
        </is>
      </c>
      <c r="G33" t="inlineStr">
        <is>
          <t>3840x2160</t>
        </is>
      </c>
      <c r="H33" t="inlineStr">
        <is>
          <t>60.0000</t>
        </is>
      </c>
      <c r="I33" t="inlineStr">
        <is>
          <t>10</t>
        </is>
      </c>
      <c r="J33" t="inlineStr">
        <is>
          <t>640x360</t>
        </is>
      </c>
      <c r="K33" t="inlineStr">
        <is>
          <t>135</t>
        </is>
      </c>
      <c r="L33" t="n">
        <v>885.973104</v>
      </c>
      <c r="M33" t="n">
        <v>32.759306</v>
      </c>
      <c r="N33" t="n">
        <v>41.309829</v>
      </c>
      <c r="O33" t="n">
        <v>40.458589</v>
      </c>
      <c r="P33" t="n">
        <v>19.286656</v>
      </c>
      <c r="Q33" t="n">
        <v>13.195295</v>
      </c>
      <c r="R33" t="n">
        <v>46.425256</v>
      </c>
      <c r="S33" t="n">
        <v>44.329391</v>
      </c>
      <c r="T33" t="n">
        <v>28.69475</v>
      </c>
      <c r="U33" t="n">
        <v>36.642195</v>
      </c>
      <c r="V33" t="n">
        <v>32.753811</v>
      </c>
      <c r="W33" t="n">
        <v>41.303838</v>
      </c>
      <c r="X33" t="n">
        <v>40.450966</v>
      </c>
      <c r="Y33" t="n">
        <v>1.521655</v>
      </c>
      <c r="Z33" t="inlineStr"/>
      <c r="AA33" t="inlineStr"/>
      <c r="AB33" t="inlineStr"/>
      <c r="AC33" t="inlineStr"/>
      <c r="AD33" t="inlineStr"/>
      <c r="AE33" t="inlineStr"/>
      <c r="AF33" t="inlineStr">
        <is>
          <t>50f595fc753f158a1f1e9090df21ec9c</t>
        </is>
      </c>
      <c r="AG33" t="inlineStr"/>
    </row>
    <row r="34">
      <c r="A34" t="inlineStr">
        <is>
          <t>AS</t>
        </is>
      </c>
      <c r="B34" t="inlineStr">
        <is>
          <t>aom</t>
        </is>
      </c>
      <c r="C34" t="inlineStr">
        <is>
          <t>av2</t>
        </is>
      </c>
      <c r="D34" t="inlineStr">
        <is>
          <t>0</t>
        </is>
      </c>
      <c r="E34" t="inlineStr">
        <is>
          <t>A1</t>
        </is>
      </c>
      <c r="F34" t="inlineStr">
        <is>
          <t>BoxingPractice</t>
        </is>
      </c>
      <c r="G34" t="inlineStr">
        <is>
          <t>3840x2160</t>
        </is>
      </c>
      <c r="H34" t="inlineStr">
        <is>
          <t>60.0000</t>
        </is>
      </c>
      <c r="I34" t="inlineStr">
        <is>
          <t>10</t>
        </is>
      </c>
      <c r="J34" t="inlineStr">
        <is>
          <t>640x360</t>
        </is>
      </c>
      <c r="K34" t="inlineStr">
        <is>
          <t>160</t>
        </is>
      </c>
      <c r="L34" t="n">
        <v>429.473296</v>
      </c>
      <c r="M34" t="n">
        <v>31.787635</v>
      </c>
      <c r="N34" t="n">
        <v>40.116831</v>
      </c>
      <c r="O34" t="n">
        <v>39.39497</v>
      </c>
      <c r="P34" t="n">
        <v>16.271197</v>
      </c>
      <c r="Q34" t="n">
        <v>12.076426</v>
      </c>
      <c r="R34" t="n">
        <v>35.887748</v>
      </c>
      <c r="S34" t="n">
        <v>33.953769</v>
      </c>
      <c r="T34" t="n">
        <v>27.626256</v>
      </c>
      <c r="U34" t="n">
        <v>35.490368</v>
      </c>
      <c r="V34" t="n">
        <v>31.775708</v>
      </c>
      <c r="W34" t="n">
        <v>40.106864</v>
      </c>
      <c r="X34" t="n">
        <v>39.38581</v>
      </c>
      <c r="Y34" t="n">
        <v>1.573016</v>
      </c>
      <c r="Z34" t="inlineStr"/>
      <c r="AA34" t="inlineStr"/>
      <c r="AB34" t="inlineStr"/>
      <c r="AC34" t="inlineStr"/>
      <c r="AD34" t="inlineStr"/>
      <c r="AE34" t="inlineStr"/>
      <c r="AF34" t="inlineStr">
        <is>
          <t>fe6335692c20f732071fc541f8859b6e</t>
        </is>
      </c>
      <c r="AG34" t="inlineStr"/>
    </row>
    <row r="35">
      <c r="A35" t="inlineStr">
        <is>
          <t>AS</t>
        </is>
      </c>
      <c r="B35" t="inlineStr">
        <is>
          <t>aom</t>
        </is>
      </c>
      <c r="C35" t="inlineStr">
        <is>
          <t>av2</t>
        </is>
      </c>
      <c r="D35" t="inlineStr">
        <is>
          <t>0</t>
        </is>
      </c>
      <c r="E35" t="inlineStr">
        <is>
          <t>A1</t>
        </is>
      </c>
      <c r="F35" t="inlineStr">
        <is>
          <t>BoxingPractice</t>
        </is>
      </c>
      <c r="G35" t="inlineStr">
        <is>
          <t>3840x2160</t>
        </is>
      </c>
      <c r="H35" t="inlineStr">
        <is>
          <t>60.0000</t>
        </is>
      </c>
      <c r="I35" t="inlineStr">
        <is>
          <t>10</t>
        </is>
      </c>
      <c r="J35" t="inlineStr">
        <is>
          <t>640x360</t>
        </is>
      </c>
      <c r="K35" t="inlineStr">
        <is>
          <t>185</t>
        </is>
      </c>
      <c r="L35" t="n">
        <v>204.342119</v>
      </c>
      <c r="M35" t="n">
        <v>30.178561</v>
      </c>
      <c r="N35" t="n">
        <v>38.581182</v>
      </c>
      <c r="O35" t="n">
        <v>38.068629</v>
      </c>
      <c r="P35" t="n">
        <v>13.129442</v>
      </c>
      <c r="Q35" t="n">
        <v>10.547577</v>
      </c>
      <c r="R35" t="n">
        <v>22.683799</v>
      </c>
      <c r="S35" t="n">
        <v>21.278917</v>
      </c>
      <c r="T35" t="n">
        <v>25.958723</v>
      </c>
      <c r="U35" t="n">
        <v>33.866727</v>
      </c>
      <c r="V35" t="n">
        <v>30.158061</v>
      </c>
      <c r="W35" t="n">
        <v>38.569345</v>
      </c>
      <c r="X35" t="n">
        <v>38.054704</v>
      </c>
      <c r="Y35" t="n">
        <v>1.642374</v>
      </c>
      <c r="Z35" t="inlineStr"/>
      <c r="AA35" t="inlineStr"/>
      <c r="AB35" t="inlineStr"/>
      <c r="AC35" t="inlineStr"/>
      <c r="AD35" t="inlineStr"/>
      <c r="AE35" t="inlineStr"/>
      <c r="AF35" t="inlineStr">
        <is>
          <t>c121d5f3db9d26b062f1a845c072aa64</t>
        </is>
      </c>
      <c r="AG35" t="inlineStr"/>
    </row>
    <row r="36">
      <c r="A36" t="inlineStr">
        <is>
          <t>AS</t>
        </is>
      </c>
      <c r="B36" t="inlineStr">
        <is>
          <t>aom</t>
        </is>
      </c>
      <c r="C36" t="inlineStr">
        <is>
          <t>av2</t>
        </is>
      </c>
      <c r="D36" t="inlineStr">
        <is>
          <t>0</t>
        </is>
      </c>
      <c r="E36" t="inlineStr">
        <is>
          <t>A1</t>
        </is>
      </c>
      <c r="F36" t="inlineStr">
        <is>
          <t>BoxingPractice</t>
        </is>
      </c>
      <c r="G36" t="inlineStr">
        <is>
          <t>3840x2160</t>
        </is>
      </c>
      <c r="H36" t="inlineStr">
        <is>
          <t>60.0000</t>
        </is>
      </c>
      <c r="I36" t="inlineStr">
        <is>
          <t>10</t>
        </is>
      </c>
      <c r="J36" t="inlineStr">
        <is>
          <t>640x360</t>
        </is>
      </c>
      <c r="K36" t="inlineStr">
        <is>
          <t>210</t>
        </is>
      </c>
      <c r="L36" t="n">
        <v>91.817106</v>
      </c>
      <c r="M36" t="n">
        <v>27.921747</v>
      </c>
      <c r="N36" t="n">
        <v>36.877099</v>
      </c>
      <c r="O36" t="n">
        <v>36.678768</v>
      </c>
      <c r="P36" t="n">
        <v>10.142567</v>
      </c>
      <c r="Q36" t="n">
        <v>8.799552</v>
      </c>
      <c r="R36" t="n">
        <v>10.381611</v>
      </c>
      <c r="S36" t="n">
        <v>9.471271</v>
      </c>
      <c r="T36" t="n">
        <v>23.751435</v>
      </c>
      <c r="U36" t="n">
        <v>31.804038</v>
      </c>
      <c r="V36" t="n">
        <v>27.893584</v>
      </c>
      <c r="W36" t="n">
        <v>36.866094</v>
      </c>
      <c r="X36" t="n">
        <v>36.66981</v>
      </c>
      <c r="Y36" t="n">
        <v>1.54362</v>
      </c>
      <c r="Z36" t="inlineStr"/>
      <c r="AA36" t="inlineStr"/>
      <c r="AB36" t="inlineStr"/>
      <c r="AC36" t="inlineStr"/>
      <c r="AD36" t="inlineStr"/>
      <c r="AE36" t="inlineStr"/>
      <c r="AF36" t="inlineStr">
        <is>
          <t>49f2138c9bb9aa4b90727bac19cceff5</t>
        </is>
      </c>
      <c r="AG36" t="inlineStr"/>
    </row>
    <row r="37">
      <c r="A37" t="inlineStr">
        <is>
          <t>AS</t>
        </is>
      </c>
      <c r="B37" t="inlineStr">
        <is>
          <t>aom</t>
        </is>
      </c>
      <c r="C37" t="inlineStr">
        <is>
          <t>av2</t>
        </is>
      </c>
      <c r="D37" t="inlineStr">
        <is>
          <t>0</t>
        </is>
      </c>
      <c r="E37" t="inlineStr">
        <is>
          <t>A1</t>
        </is>
      </c>
      <c r="F37" t="inlineStr">
        <is>
          <t>BoxingPractice</t>
        </is>
      </c>
      <c r="G37" t="inlineStr">
        <is>
          <t>3840x2160</t>
        </is>
      </c>
      <c r="H37" t="inlineStr">
        <is>
          <t>60.0000</t>
        </is>
      </c>
      <c r="I37" t="inlineStr">
        <is>
          <t>10</t>
        </is>
      </c>
      <c r="J37" t="inlineStr">
        <is>
          <t>640x360</t>
        </is>
      </c>
      <c r="K37" t="inlineStr">
        <is>
          <t>235</t>
        </is>
      </c>
      <c r="L37" t="n">
        <v>41.932222</v>
      </c>
      <c r="M37" t="n">
        <v>25.348977</v>
      </c>
      <c r="N37" t="n">
        <v>34.924116</v>
      </c>
      <c r="O37" t="n">
        <v>34.720372</v>
      </c>
      <c r="P37" t="n">
        <v>7.557342</v>
      </c>
      <c r="Q37" t="n">
        <v>7.102352</v>
      </c>
      <c r="R37" t="n">
        <v>0.174706</v>
      </c>
      <c r="S37" t="n">
        <v>0.106187</v>
      </c>
      <c r="T37" t="n">
        <v>21.313799</v>
      </c>
      <c r="U37" t="n">
        <v>29.233012</v>
      </c>
      <c r="V37" t="n">
        <v>25.319995</v>
      </c>
      <c r="W37" t="n">
        <v>34.918426</v>
      </c>
      <c r="X37" t="n">
        <v>34.712946</v>
      </c>
      <c r="Y37" t="n">
        <v>1.327156</v>
      </c>
      <c r="Z37" t="inlineStr"/>
      <c r="AA37" t="inlineStr"/>
      <c r="AB37" t="inlineStr"/>
      <c r="AC37" t="inlineStr"/>
      <c r="AD37" t="inlineStr"/>
      <c r="AE37" t="inlineStr"/>
      <c r="AF37" t="inlineStr">
        <is>
          <t>94af3643b38d84dcbcdae8ec6968aa9a</t>
        </is>
      </c>
      <c r="AG37" t="inlineStr"/>
    </row>
    <row r="38">
      <c r="A38" t="inlineStr">
        <is>
          <t>AS</t>
        </is>
      </c>
      <c r="B38" t="inlineStr">
        <is>
          <t>aom</t>
        </is>
      </c>
      <c r="C38" t="inlineStr">
        <is>
          <t>av2</t>
        </is>
      </c>
      <c r="D38" t="inlineStr">
        <is>
          <t>0</t>
        </is>
      </c>
      <c r="E38" t="inlineStr">
        <is>
          <t>A1</t>
        </is>
      </c>
      <c r="F38" t="inlineStr">
        <is>
          <t>Crosswalk</t>
        </is>
      </c>
      <c r="G38" t="inlineStr">
        <is>
          <t>3840x2160</t>
        </is>
      </c>
      <c r="H38" t="inlineStr">
        <is>
          <t>60.0000</t>
        </is>
      </c>
      <c r="I38" t="inlineStr">
        <is>
          <t>10</t>
        </is>
      </c>
      <c r="J38" t="inlineStr">
        <is>
          <t>3840x2160</t>
        </is>
      </c>
      <c r="K38" t="inlineStr">
        <is>
          <t>110</t>
        </is>
      </c>
      <c r="L38" t="n">
        <v>19320.389149</v>
      </c>
      <c r="M38" t="n">
        <v>42.783521</v>
      </c>
      <c r="N38" t="n">
        <v>48.801487</v>
      </c>
      <c r="O38" t="n">
        <v>52.248104</v>
      </c>
      <c r="P38" t="n">
        <v>28.389788</v>
      </c>
      <c r="Q38" t="n">
        <v>20.049378</v>
      </c>
      <c r="R38" t="n">
        <v>95.489632</v>
      </c>
      <c r="S38" t="n">
        <v>93.599453</v>
      </c>
      <c r="T38" t="n">
        <v>43.127048</v>
      </c>
      <c r="U38" t="n">
        <v>43.691683</v>
      </c>
      <c r="V38" t="n">
        <v>42.73355</v>
      </c>
      <c r="W38" t="n">
        <v>48.781341</v>
      </c>
      <c r="X38" t="n">
        <v>52.234131</v>
      </c>
      <c r="Y38" t="n">
        <v>0.32788</v>
      </c>
      <c r="Z38" t="inlineStr"/>
      <c r="AA38" t="inlineStr"/>
      <c r="AB38" t="inlineStr"/>
      <c r="AC38" t="inlineStr"/>
      <c r="AD38" t="inlineStr"/>
      <c r="AE38" t="inlineStr"/>
      <c r="AF38" t="inlineStr">
        <is>
          <t>72a0e1d7cd6e65a9c88068f337007c02</t>
        </is>
      </c>
      <c r="AG38" t="inlineStr"/>
    </row>
    <row r="39">
      <c r="A39" t="inlineStr">
        <is>
          <t>AS</t>
        </is>
      </c>
      <c r="B39" t="inlineStr">
        <is>
          <t>aom</t>
        </is>
      </c>
      <c r="C39" t="inlineStr">
        <is>
          <t>av2</t>
        </is>
      </c>
      <c r="D39" t="inlineStr">
        <is>
          <t>0</t>
        </is>
      </c>
      <c r="E39" t="inlineStr">
        <is>
          <t>A1</t>
        </is>
      </c>
      <c r="F39" t="inlineStr">
        <is>
          <t>Crosswalk</t>
        </is>
      </c>
      <c r="G39" t="inlineStr">
        <is>
          <t>3840x2160</t>
        </is>
      </c>
      <c r="H39" t="inlineStr">
        <is>
          <t>60.0000</t>
        </is>
      </c>
      <c r="I39" t="inlineStr">
        <is>
          <t>10</t>
        </is>
      </c>
      <c r="J39" t="inlineStr">
        <is>
          <t>3840x2160</t>
        </is>
      </c>
      <c r="K39" t="inlineStr">
        <is>
          <t>135</t>
        </is>
      </c>
      <c r="L39" t="n">
        <v>6249.273188</v>
      </c>
      <c r="M39" t="n">
        <v>42.092545</v>
      </c>
      <c r="N39" t="n">
        <v>48.103374</v>
      </c>
      <c r="O39" t="n">
        <v>51.270119</v>
      </c>
      <c r="P39" t="n">
        <v>25.774358</v>
      </c>
      <c r="Q39" t="n">
        <v>19.148561</v>
      </c>
      <c r="R39" t="n">
        <v>90.731944</v>
      </c>
      <c r="S39" t="n">
        <v>88.561415</v>
      </c>
      <c r="T39" t="n">
        <v>41.518047</v>
      </c>
      <c r="U39" t="n">
        <v>43.013467</v>
      </c>
      <c r="V39" t="n">
        <v>42.079945</v>
      </c>
      <c r="W39" t="n">
        <v>48.096353</v>
      </c>
      <c r="X39" t="n">
        <v>51.259609</v>
      </c>
      <c r="Y39" t="n">
        <v>0.351789</v>
      </c>
      <c r="Z39" t="inlineStr"/>
      <c r="AA39" t="inlineStr"/>
      <c r="AB39" t="inlineStr"/>
      <c r="AC39" t="inlineStr"/>
      <c r="AD39" t="inlineStr"/>
      <c r="AE39" t="inlineStr"/>
      <c r="AF39" t="inlineStr">
        <is>
          <t>f7dd334fe69aefa8ff89bfa2888675b7</t>
        </is>
      </c>
      <c r="AG39" t="inlineStr"/>
    </row>
    <row r="40">
      <c r="A40" t="inlineStr">
        <is>
          <t>AS</t>
        </is>
      </c>
      <c r="B40" t="inlineStr">
        <is>
          <t>aom</t>
        </is>
      </c>
      <c r="C40" t="inlineStr">
        <is>
          <t>av2</t>
        </is>
      </c>
      <c r="D40" t="inlineStr">
        <is>
          <t>0</t>
        </is>
      </c>
      <c r="E40" t="inlineStr">
        <is>
          <t>A1</t>
        </is>
      </c>
      <c r="F40" t="inlineStr">
        <is>
          <t>Crosswalk</t>
        </is>
      </c>
      <c r="G40" t="inlineStr">
        <is>
          <t>3840x2160</t>
        </is>
      </c>
      <c r="H40" t="inlineStr">
        <is>
          <t>60.0000</t>
        </is>
      </c>
      <c r="I40" t="inlineStr">
        <is>
          <t>10</t>
        </is>
      </c>
      <c r="J40" t="inlineStr">
        <is>
          <t>3840x2160</t>
        </is>
      </c>
      <c r="K40" t="inlineStr">
        <is>
          <t>160</t>
        </is>
      </c>
      <c r="L40" t="n">
        <v>2455.358795</v>
      </c>
      <c r="M40" t="n">
        <v>41.038103</v>
      </c>
      <c r="N40" t="n">
        <v>47.079987</v>
      </c>
      <c r="O40" t="n">
        <v>49.782958</v>
      </c>
      <c r="P40" t="n">
        <v>22.595361</v>
      </c>
      <c r="Q40" t="n">
        <v>17.901668</v>
      </c>
      <c r="R40" t="n">
        <v>82.274963</v>
      </c>
      <c r="S40" t="n">
        <v>79.94732500000001</v>
      </c>
      <c r="T40" t="n">
        <v>39.377984</v>
      </c>
      <c r="U40" t="n">
        <v>42.016835</v>
      </c>
      <c r="V40" t="n">
        <v>41.015248</v>
      </c>
      <c r="W40" t="n">
        <v>47.070614</v>
      </c>
      <c r="X40" t="n">
        <v>49.763394</v>
      </c>
      <c r="Y40" t="n">
        <v>0.362123</v>
      </c>
      <c r="Z40" t="inlineStr"/>
      <c r="AA40" t="inlineStr"/>
      <c r="AB40" t="inlineStr"/>
      <c r="AC40" t="inlineStr"/>
      <c r="AD40" t="inlineStr"/>
      <c r="AE40" t="inlineStr"/>
      <c r="AF40" t="inlineStr">
        <is>
          <t>a62eba12ef11edb82381d19ebb328b93</t>
        </is>
      </c>
      <c r="AG40" t="inlineStr"/>
    </row>
    <row r="41">
      <c r="A41" t="inlineStr">
        <is>
          <t>AS</t>
        </is>
      </c>
      <c r="B41" t="inlineStr">
        <is>
          <t>aom</t>
        </is>
      </c>
      <c r="C41" t="inlineStr">
        <is>
          <t>av2</t>
        </is>
      </c>
      <c r="D41" t="inlineStr">
        <is>
          <t>0</t>
        </is>
      </c>
      <c r="E41" t="inlineStr">
        <is>
          <t>A1</t>
        </is>
      </c>
      <c r="F41" t="inlineStr">
        <is>
          <t>Crosswalk</t>
        </is>
      </c>
      <c r="G41" t="inlineStr">
        <is>
          <t>3840x2160</t>
        </is>
      </c>
      <c r="H41" t="inlineStr">
        <is>
          <t>60.0000</t>
        </is>
      </c>
      <c r="I41" t="inlineStr">
        <is>
          <t>10</t>
        </is>
      </c>
      <c r="J41" t="inlineStr">
        <is>
          <t>3840x2160</t>
        </is>
      </c>
      <c r="K41" t="inlineStr">
        <is>
          <t>185</t>
        </is>
      </c>
      <c r="L41" t="n">
        <v>1143.342811</v>
      </c>
      <c r="M41" t="n">
        <v>39.422393</v>
      </c>
      <c r="N41" t="n">
        <v>45.564117</v>
      </c>
      <c r="O41" t="n">
        <v>47.734586</v>
      </c>
      <c r="P41" t="n">
        <v>19.11853</v>
      </c>
      <c r="Q41" t="n">
        <v>16.239637</v>
      </c>
      <c r="R41" t="n">
        <v>69.03578</v>
      </c>
      <c r="S41" t="n">
        <v>66.782285</v>
      </c>
      <c r="T41" t="n">
        <v>36.785133</v>
      </c>
      <c r="U41" t="n">
        <v>40.533993</v>
      </c>
      <c r="V41" t="n">
        <v>39.378028</v>
      </c>
      <c r="W41" t="n">
        <v>45.547576</v>
      </c>
      <c r="X41" t="n">
        <v>47.699765</v>
      </c>
      <c r="Y41" t="n">
        <v>0.392475</v>
      </c>
      <c r="Z41" t="inlineStr"/>
      <c r="AA41" t="inlineStr"/>
      <c r="AB41" t="inlineStr"/>
      <c r="AC41" t="inlineStr"/>
      <c r="AD41" t="inlineStr"/>
      <c r="AE41" t="inlineStr"/>
      <c r="AF41" t="inlineStr">
        <is>
          <t>22beb3ea5051860256f38fc8c13a617e</t>
        </is>
      </c>
      <c r="AG41" t="inlineStr"/>
    </row>
    <row r="42">
      <c r="A42" t="inlineStr">
        <is>
          <t>AS</t>
        </is>
      </c>
      <c r="B42" t="inlineStr">
        <is>
          <t>aom</t>
        </is>
      </c>
      <c r="C42" t="inlineStr">
        <is>
          <t>av2</t>
        </is>
      </c>
      <c r="D42" t="inlineStr">
        <is>
          <t>0</t>
        </is>
      </c>
      <c r="E42" t="inlineStr">
        <is>
          <t>A1</t>
        </is>
      </c>
      <c r="F42" t="inlineStr">
        <is>
          <t>Crosswalk</t>
        </is>
      </c>
      <c r="G42" t="inlineStr">
        <is>
          <t>3840x2160</t>
        </is>
      </c>
      <c r="H42" t="inlineStr">
        <is>
          <t>60.0000</t>
        </is>
      </c>
      <c r="I42" t="inlineStr">
        <is>
          <t>10</t>
        </is>
      </c>
      <c r="J42" t="inlineStr">
        <is>
          <t>3840x2160</t>
        </is>
      </c>
      <c r="K42" t="inlineStr">
        <is>
          <t>210</t>
        </is>
      </c>
      <c r="L42" t="n">
        <v>534.960424</v>
      </c>
      <c r="M42" t="n">
        <v>37.12865</v>
      </c>
      <c r="N42" t="n">
        <v>43.451118</v>
      </c>
      <c r="O42" t="n">
        <v>45.217747</v>
      </c>
      <c r="P42" t="n">
        <v>15.5612</v>
      </c>
      <c r="Q42" t="n">
        <v>14.194058</v>
      </c>
      <c r="R42" t="n">
        <v>51.407902</v>
      </c>
      <c r="S42" t="n">
        <v>49.190979</v>
      </c>
      <c r="T42" t="n">
        <v>33.813471</v>
      </c>
      <c r="U42" t="n">
        <v>38.473868</v>
      </c>
      <c r="V42" t="n">
        <v>37.0617</v>
      </c>
      <c r="W42" t="n">
        <v>43.426685</v>
      </c>
      <c r="X42" t="n">
        <v>45.178069</v>
      </c>
      <c r="Y42" t="n">
        <v>0.431804</v>
      </c>
      <c r="Z42" t="inlineStr"/>
      <c r="AA42" t="inlineStr"/>
      <c r="AB42" t="inlineStr"/>
      <c r="AC42" t="inlineStr"/>
      <c r="AD42" t="inlineStr"/>
      <c r="AE42" t="inlineStr"/>
      <c r="AF42" t="inlineStr">
        <is>
          <t>66d91025a2224edd1f6fe7e60d8c31ea</t>
        </is>
      </c>
      <c r="AG42" t="inlineStr"/>
    </row>
    <row r="43">
      <c r="A43" t="inlineStr">
        <is>
          <t>AS</t>
        </is>
      </c>
      <c r="B43" t="inlineStr">
        <is>
          <t>aom</t>
        </is>
      </c>
      <c r="C43" t="inlineStr">
        <is>
          <t>av2</t>
        </is>
      </c>
      <c r="D43" t="inlineStr">
        <is>
          <t>0</t>
        </is>
      </c>
      <c r="E43" t="inlineStr">
        <is>
          <t>A1</t>
        </is>
      </c>
      <c r="F43" t="inlineStr">
        <is>
          <t>Crosswalk</t>
        </is>
      </c>
      <c r="G43" t="inlineStr">
        <is>
          <t>3840x2160</t>
        </is>
      </c>
      <c r="H43" t="inlineStr">
        <is>
          <t>60.0000</t>
        </is>
      </c>
      <c r="I43" t="inlineStr">
        <is>
          <t>10</t>
        </is>
      </c>
      <c r="J43" t="inlineStr">
        <is>
          <t>3840x2160</t>
        </is>
      </c>
      <c r="K43" t="inlineStr">
        <is>
          <t>235</t>
        </is>
      </c>
      <c r="L43" t="n">
        <v>254.879889</v>
      </c>
      <c r="M43" t="n">
        <v>34.254583</v>
      </c>
      <c r="N43" t="n">
        <v>40.67426</v>
      </c>
      <c r="O43" t="n">
        <v>42.009484</v>
      </c>
      <c r="P43" t="n">
        <v>12.131503</v>
      </c>
      <c r="Q43" t="n">
        <v>11.914658</v>
      </c>
      <c r="R43" t="n">
        <v>30.872658</v>
      </c>
      <c r="S43" t="n">
        <v>29.33706</v>
      </c>
      <c r="T43" t="n">
        <v>30.602811</v>
      </c>
      <c r="U43" t="n">
        <v>35.736954</v>
      </c>
      <c r="V43" t="n">
        <v>34.171036</v>
      </c>
      <c r="W43" t="n">
        <v>40.641757</v>
      </c>
      <c r="X43" t="n">
        <v>41.952031</v>
      </c>
      <c r="Y43" t="n">
        <v>0.45383</v>
      </c>
      <c r="Z43" t="inlineStr"/>
      <c r="AA43" t="inlineStr"/>
      <c r="AB43" t="inlineStr"/>
      <c r="AC43" t="inlineStr"/>
      <c r="AD43" t="inlineStr"/>
      <c r="AE43" t="inlineStr"/>
      <c r="AF43" t="inlineStr">
        <is>
          <t>a4a7fea77f9fffc0443bfcd532919b6c</t>
        </is>
      </c>
      <c r="AG43" t="inlineStr"/>
    </row>
    <row r="44">
      <c r="A44" t="inlineStr">
        <is>
          <t>AS</t>
        </is>
      </c>
      <c r="B44" t="inlineStr">
        <is>
          <t>aom</t>
        </is>
      </c>
      <c r="C44" t="inlineStr">
        <is>
          <t>av2</t>
        </is>
      </c>
      <c r="D44" t="inlineStr">
        <is>
          <t>0</t>
        </is>
      </c>
      <c r="E44" t="inlineStr">
        <is>
          <t>A1</t>
        </is>
      </c>
      <c r="F44" t="inlineStr">
        <is>
          <t>Crosswalk</t>
        </is>
      </c>
      <c r="G44" t="inlineStr">
        <is>
          <t>3840x2160</t>
        </is>
      </c>
      <c r="H44" t="inlineStr">
        <is>
          <t>60.0000</t>
        </is>
      </c>
      <c r="I44" t="inlineStr">
        <is>
          <t>10</t>
        </is>
      </c>
      <c r="J44" t="inlineStr">
        <is>
          <t>2560x1440</t>
        </is>
      </c>
      <c r="K44" t="inlineStr">
        <is>
          <t>110</t>
        </is>
      </c>
      <c r="L44" t="n">
        <v>9203.584107999999</v>
      </c>
      <c r="M44" t="n">
        <v>42.393643</v>
      </c>
      <c r="N44" t="n">
        <v>48.432112</v>
      </c>
      <c r="O44" t="n">
        <v>51.772133</v>
      </c>
      <c r="P44" t="n">
        <v>27.011916</v>
      </c>
      <c r="Q44" t="n">
        <v>19.559833</v>
      </c>
      <c r="R44" t="n">
        <v>93.21452600000001</v>
      </c>
      <c r="S44" t="n">
        <v>91.12925199999999</v>
      </c>
      <c r="T44" t="n">
        <v>42.262117</v>
      </c>
      <c r="U44" t="n">
        <v>43.321258</v>
      </c>
      <c r="V44" t="n">
        <v>42.380651</v>
      </c>
      <c r="W44" t="n">
        <v>48.422594</v>
      </c>
      <c r="X44" t="n">
        <v>51.761892</v>
      </c>
      <c r="Y44" t="n">
        <v>0.335684</v>
      </c>
      <c r="Z44" t="inlineStr"/>
      <c r="AA44" t="inlineStr"/>
      <c r="AB44" t="inlineStr"/>
      <c r="AC44" t="inlineStr"/>
      <c r="AD44" t="inlineStr"/>
      <c r="AE44" t="inlineStr"/>
      <c r="AF44" t="inlineStr">
        <is>
          <t>ed8eafb4d50ff50af954e555233ea507</t>
        </is>
      </c>
      <c r="AG44" t="inlineStr"/>
    </row>
    <row r="45">
      <c r="A45" t="inlineStr">
        <is>
          <t>AS</t>
        </is>
      </c>
      <c r="B45" t="inlineStr">
        <is>
          <t>aom</t>
        </is>
      </c>
      <c r="C45" t="inlineStr">
        <is>
          <t>av2</t>
        </is>
      </c>
      <c r="D45" t="inlineStr">
        <is>
          <t>0</t>
        </is>
      </c>
      <c r="E45" t="inlineStr">
        <is>
          <t>A1</t>
        </is>
      </c>
      <c r="F45" t="inlineStr">
        <is>
          <t>Crosswalk</t>
        </is>
      </c>
      <c r="G45" t="inlineStr">
        <is>
          <t>3840x2160</t>
        </is>
      </c>
      <c r="H45" t="inlineStr">
        <is>
          <t>60.0000</t>
        </is>
      </c>
      <c r="I45" t="inlineStr">
        <is>
          <t>10</t>
        </is>
      </c>
      <c r="J45" t="inlineStr">
        <is>
          <t>2560x1440</t>
        </is>
      </c>
      <c r="K45" t="inlineStr">
        <is>
          <t>135</t>
        </is>
      </c>
      <c r="L45" t="n">
        <v>3424.676247</v>
      </c>
      <c r="M45" t="n">
        <v>41.573431</v>
      </c>
      <c r="N45" t="n">
        <v>47.650533</v>
      </c>
      <c r="O45" t="n">
        <v>50.652603</v>
      </c>
      <c r="P45" t="n">
        <v>24.176042</v>
      </c>
      <c r="Q45" t="n">
        <v>18.527486</v>
      </c>
      <c r="R45" t="n">
        <v>87.01649399999999</v>
      </c>
      <c r="S45" t="n">
        <v>84.612082</v>
      </c>
      <c r="T45" t="n">
        <v>40.419982</v>
      </c>
      <c r="U45" t="n">
        <v>42.550901</v>
      </c>
      <c r="V45" t="n">
        <v>41.558315</v>
      </c>
      <c r="W45" t="n">
        <v>47.643129</v>
      </c>
      <c r="X45" t="n">
        <v>50.638771</v>
      </c>
      <c r="Y45" t="n">
        <v>0.337774</v>
      </c>
      <c r="Z45" t="inlineStr"/>
      <c r="AA45" t="inlineStr"/>
      <c r="AB45" t="inlineStr"/>
      <c r="AC45" t="inlineStr"/>
      <c r="AD45" t="inlineStr"/>
      <c r="AE45" t="inlineStr"/>
      <c r="AF45" t="inlineStr">
        <is>
          <t>40a010620a6c9c636481b66a1392a032</t>
        </is>
      </c>
      <c r="AG45" t="inlineStr"/>
    </row>
    <row r="46">
      <c r="A46" t="inlineStr">
        <is>
          <t>AS</t>
        </is>
      </c>
      <c r="B46" t="inlineStr">
        <is>
          <t>aom</t>
        </is>
      </c>
      <c r="C46" t="inlineStr">
        <is>
          <t>av2</t>
        </is>
      </c>
      <c r="D46" t="inlineStr">
        <is>
          <t>0</t>
        </is>
      </c>
      <c r="E46" t="inlineStr">
        <is>
          <t>A1</t>
        </is>
      </c>
      <c r="F46" t="inlineStr">
        <is>
          <t>Crosswalk</t>
        </is>
      </c>
      <c r="G46" t="inlineStr">
        <is>
          <t>3840x2160</t>
        </is>
      </c>
      <c r="H46" t="inlineStr">
        <is>
          <t>60.0000</t>
        </is>
      </c>
      <c r="I46" t="inlineStr">
        <is>
          <t>10</t>
        </is>
      </c>
      <c r="J46" t="inlineStr">
        <is>
          <t>2560x1440</t>
        </is>
      </c>
      <c r="K46" t="inlineStr">
        <is>
          <t>160</t>
        </is>
      </c>
      <c r="L46" t="n">
        <v>1550.204872</v>
      </c>
      <c r="M46" t="n">
        <v>40.24941</v>
      </c>
      <c r="N46" t="n">
        <v>46.438158</v>
      </c>
      <c r="O46" t="n">
        <v>48.945611</v>
      </c>
      <c r="P46" t="n">
        <v>20.793265</v>
      </c>
      <c r="Q46" t="n">
        <v>17.074233</v>
      </c>
      <c r="R46" t="n">
        <v>76.380692</v>
      </c>
      <c r="S46" t="n">
        <v>73.81872</v>
      </c>
      <c r="T46" t="n">
        <v>38.049624</v>
      </c>
      <c r="U46" t="n">
        <v>41.348747</v>
      </c>
      <c r="V46" t="n">
        <v>40.215663</v>
      </c>
      <c r="W46" t="n">
        <v>46.424405</v>
      </c>
      <c r="X46" t="n">
        <v>48.918567</v>
      </c>
      <c r="Y46" t="n">
        <v>0.380034</v>
      </c>
      <c r="Z46" t="inlineStr"/>
      <c r="AA46" t="inlineStr"/>
      <c r="AB46" t="inlineStr"/>
      <c r="AC46" t="inlineStr"/>
      <c r="AD46" t="inlineStr"/>
      <c r="AE46" t="inlineStr"/>
      <c r="AF46" t="inlineStr">
        <is>
          <t>0a7dacae63c2c90915d5b3359a4459f3</t>
        </is>
      </c>
      <c r="AG46" t="inlineStr"/>
    </row>
    <row r="47">
      <c r="A47" t="inlineStr">
        <is>
          <t>AS</t>
        </is>
      </c>
      <c r="B47" t="inlineStr">
        <is>
          <t>aom</t>
        </is>
      </c>
      <c r="C47" t="inlineStr">
        <is>
          <t>av2</t>
        </is>
      </c>
      <c r="D47" t="inlineStr">
        <is>
          <t>0</t>
        </is>
      </c>
      <c r="E47" t="inlineStr">
        <is>
          <t>A1</t>
        </is>
      </c>
      <c r="F47" t="inlineStr">
        <is>
          <t>Crosswalk</t>
        </is>
      </c>
      <c r="G47" t="inlineStr">
        <is>
          <t>3840x2160</t>
        </is>
      </c>
      <c r="H47" t="inlineStr">
        <is>
          <t>60.0000</t>
        </is>
      </c>
      <c r="I47" t="inlineStr">
        <is>
          <t>10</t>
        </is>
      </c>
      <c r="J47" t="inlineStr">
        <is>
          <t>2560x1440</t>
        </is>
      </c>
      <c r="K47" t="inlineStr">
        <is>
          <t>185</t>
        </is>
      </c>
      <c r="L47" t="n">
        <v>725.518174</v>
      </c>
      <c r="M47" t="n">
        <v>38.322751</v>
      </c>
      <c r="N47" t="n">
        <v>44.740917</v>
      </c>
      <c r="O47" t="n">
        <v>46.714212</v>
      </c>
      <c r="P47" t="n">
        <v>17.308861</v>
      </c>
      <c r="Q47" t="n">
        <v>15.240958</v>
      </c>
      <c r="R47" t="n">
        <v>60.60522</v>
      </c>
      <c r="S47" t="n">
        <v>58.261654</v>
      </c>
      <c r="T47" t="n">
        <v>35.305069</v>
      </c>
      <c r="U47" t="n">
        <v>39.639523</v>
      </c>
      <c r="V47" t="n">
        <v>38.266983</v>
      </c>
      <c r="W47" t="n">
        <v>44.720379</v>
      </c>
      <c r="X47" t="n">
        <v>46.673411</v>
      </c>
      <c r="Y47" t="n">
        <v>0.422877</v>
      </c>
      <c r="Z47" t="inlineStr"/>
      <c r="AA47" t="inlineStr"/>
      <c r="AB47" t="inlineStr"/>
      <c r="AC47" t="inlineStr"/>
      <c r="AD47" t="inlineStr"/>
      <c r="AE47" t="inlineStr"/>
      <c r="AF47" t="inlineStr">
        <is>
          <t>eb0d7cacf894beede3e3d3fafd5038d8</t>
        </is>
      </c>
      <c r="AG47" t="inlineStr"/>
    </row>
    <row r="48">
      <c r="A48" t="inlineStr">
        <is>
          <t>AS</t>
        </is>
      </c>
      <c r="B48" t="inlineStr">
        <is>
          <t>aom</t>
        </is>
      </c>
      <c r="C48" t="inlineStr">
        <is>
          <t>av2</t>
        </is>
      </c>
      <c r="D48" t="inlineStr">
        <is>
          <t>0</t>
        </is>
      </c>
      <c r="E48" t="inlineStr">
        <is>
          <t>A1</t>
        </is>
      </c>
      <c r="F48" t="inlineStr">
        <is>
          <t>Crosswalk</t>
        </is>
      </c>
      <c r="G48" t="inlineStr">
        <is>
          <t>3840x2160</t>
        </is>
      </c>
      <c r="H48" t="inlineStr">
        <is>
          <t>60.0000</t>
        </is>
      </c>
      <c r="I48" t="inlineStr">
        <is>
          <t>10</t>
        </is>
      </c>
      <c r="J48" t="inlineStr">
        <is>
          <t>2560x1440</t>
        </is>
      </c>
      <c r="K48" t="inlineStr">
        <is>
          <t>210</t>
        </is>
      </c>
      <c r="L48" t="n">
        <v>338.611542</v>
      </c>
      <c r="M48" t="n">
        <v>35.794398</v>
      </c>
      <c r="N48" t="n">
        <v>42.487266</v>
      </c>
      <c r="O48" t="n">
        <v>44.022419</v>
      </c>
      <c r="P48" t="n">
        <v>13.920246</v>
      </c>
      <c r="Q48" t="n">
        <v>13.138511</v>
      </c>
      <c r="R48" t="n">
        <v>42.342586</v>
      </c>
      <c r="S48" t="n">
        <v>40.094616</v>
      </c>
      <c r="T48" t="n">
        <v>32.296818</v>
      </c>
      <c r="U48" t="n">
        <v>37.381009</v>
      </c>
      <c r="V48" t="n">
        <v>35.71802</v>
      </c>
      <c r="W48" t="n">
        <v>42.464038</v>
      </c>
      <c r="X48" t="n">
        <v>43.981378</v>
      </c>
      <c r="Y48" t="n">
        <v>0.434302</v>
      </c>
      <c r="Z48" t="inlineStr"/>
      <c r="AA48" t="inlineStr"/>
      <c r="AB48" t="inlineStr"/>
      <c r="AC48" t="inlineStr"/>
      <c r="AD48" t="inlineStr"/>
      <c r="AE48" t="inlineStr"/>
      <c r="AF48" t="inlineStr">
        <is>
          <t>ca4444ad0df629d8800a2ac2b947ac2d</t>
        </is>
      </c>
      <c r="AG48" t="inlineStr"/>
    </row>
    <row r="49">
      <c r="A49" t="inlineStr">
        <is>
          <t>AS</t>
        </is>
      </c>
      <c r="B49" t="inlineStr">
        <is>
          <t>aom</t>
        </is>
      </c>
      <c r="C49" t="inlineStr">
        <is>
          <t>av2</t>
        </is>
      </c>
      <c r="D49" t="inlineStr">
        <is>
          <t>0</t>
        </is>
      </c>
      <c r="E49" t="inlineStr">
        <is>
          <t>A1</t>
        </is>
      </c>
      <c r="F49" t="inlineStr">
        <is>
          <t>Crosswalk</t>
        </is>
      </c>
      <c r="G49" t="inlineStr">
        <is>
          <t>3840x2160</t>
        </is>
      </c>
      <c r="H49" t="inlineStr">
        <is>
          <t>60.0000</t>
        </is>
      </c>
      <c r="I49" t="inlineStr">
        <is>
          <t>10</t>
        </is>
      </c>
      <c r="J49" t="inlineStr">
        <is>
          <t>2560x1440</t>
        </is>
      </c>
      <c r="K49" t="inlineStr">
        <is>
          <t>235</t>
        </is>
      </c>
      <c r="L49" t="n">
        <v>156.570814</v>
      </c>
      <c r="M49" t="n">
        <v>32.802864</v>
      </c>
      <c r="N49" t="n">
        <v>39.777989</v>
      </c>
      <c r="O49" t="n">
        <v>41.005984</v>
      </c>
      <c r="P49" t="n">
        <v>10.771589</v>
      </c>
      <c r="Q49" t="n">
        <v>10.931879</v>
      </c>
      <c r="R49" t="n">
        <v>22.475112</v>
      </c>
      <c r="S49" t="n">
        <v>21.026461</v>
      </c>
      <c r="T49" t="n">
        <v>29.122935</v>
      </c>
      <c r="U49" t="n">
        <v>34.593468</v>
      </c>
      <c r="V49" t="n">
        <v>32.716123</v>
      </c>
      <c r="W49" t="n">
        <v>39.751123</v>
      </c>
      <c r="X49" t="n">
        <v>40.95168</v>
      </c>
      <c r="Y49" t="n">
        <v>0.534152</v>
      </c>
      <c r="Z49" t="inlineStr"/>
      <c r="AA49" t="inlineStr"/>
      <c r="AB49" t="inlineStr"/>
      <c r="AC49" t="inlineStr"/>
      <c r="AD49" t="inlineStr"/>
      <c r="AE49" t="inlineStr"/>
      <c r="AF49" t="inlineStr">
        <is>
          <t>d1e3b7192bab3a1cf1b8869384393509</t>
        </is>
      </c>
      <c r="AG49" t="inlineStr"/>
    </row>
    <row r="50">
      <c r="A50" t="inlineStr">
        <is>
          <t>AS</t>
        </is>
      </c>
      <c r="B50" t="inlineStr">
        <is>
          <t>aom</t>
        </is>
      </c>
      <c r="C50" t="inlineStr">
        <is>
          <t>av2</t>
        </is>
      </c>
      <c r="D50" t="inlineStr">
        <is>
          <t>0</t>
        </is>
      </c>
      <c r="E50" t="inlineStr">
        <is>
          <t>A1</t>
        </is>
      </c>
      <c r="F50" t="inlineStr">
        <is>
          <t>Crosswalk</t>
        </is>
      </c>
      <c r="G50" t="inlineStr">
        <is>
          <t>3840x2160</t>
        </is>
      </c>
      <c r="H50" t="inlineStr">
        <is>
          <t>60.0000</t>
        </is>
      </c>
      <c r="I50" t="inlineStr">
        <is>
          <t>10</t>
        </is>
      </c>
      <c r="J50" t="inlineStr">
        <is>
          <t>1920x1080</t>
        </is>
      </c>
      <c r="K50" t="inlineStr">
        <is>
          <t>110</t>
        </is>
      </c>
      <c r="L50" t="n">
        <v>5869.153616</v>
      </c>
      <c r="M50" t="n">
        <v>42.081521</v>
      </c>
      <c r="N50" t="n">
        <v>48.12895</v>
      </c>
      <c r="O50" t="n">
        <v>51.372733</v>
      </c>
      <c r="P50" t="n">
        <v>25.933736</v>
      </c>
      <c r="Q50" t="n">
        <v>19.162523</v>
      </c>
      <c r="R50" t="n">
        <v>90.96522299999999</v>
      </c>
      <c r="S50" t="n">
        <v>88.702395</v>
      </c>
      <c r="T50" t="n">
        <v>41.540268</v>
      </c>
      <c r="U50" t="n">
        <v>43.029392</v>
      </c>
      <c r="V50" t="n">
        <v>42.071128</v>
      </c>
      <c r="W50" t="n">
        <v>48.122242</v>
      </c>
      <c r="X50" t="n">
        <v>51.362072</v>
      </c>
      <c r="Y50" t="n">
        <v>0.363899</v>
      </c>
      <c r="Z50" t="inlineStr"/>
      <c r="AA50" t="inlineStr"/>
      <c r="AB50" t="inlineStr"/>
      <c r="AC50" t="inlineStr"/>
      <c r="AD50" t="inlineStr"/>
      <c r="AE50" t="inlineStr"/>
      <c r="AF50" t="inlineStr">
        <is>
          <t>2ec2754e6711d8f22bb24183e8deb675</t>
        </is>
      </c>
      <c r="AG50" t="inlineStr"/>
    </row>
    <row r="51">
      <c r="A51" t="inlineStr">
        <is>
          <t>AS</t>
        </is>
      </c>
      <c r="B51" t="inlineStr">
        <is>
          <t>aom</t>
        </is>
      </c>
      <c r="C51" t="inlineStr">
        <is>
          <t>av2</t>
        </is>
      </c>
      <c r="D51" t="inlineStr">
        <is>
          <t>0</t>
        </is>
      </c>
      <c r="E51" t="inlineStr">
        <is>
          <t>A1</t>
        </is>
      </c>
      <c r="F51" t="inlineStr">
        <is>
          <t>Crosswalk</t>
        </is>
      </c>
      <c r="G51" t="inlineStr">
        <is>
          <t>3840x2160</t>
        </is>
      </c>
      <c r="H51" t="inlineStr">
        <is>
          <t>60.0000</t>
        </is>
      </c>
      <c r="I51" t="inlineStr">
        <is>
          <t>10</t>
        </is>
      </c>
      <c r="J51" t="inlineStr">
        <is>
          <t>1920x1080</t>
        </is>
      </c>
      <c r="K51" t="inlineStr">
        <is>
          <t>135</t>
        </is>
      </c>
      <c r="L51" t="n">
        <v>2467.9001</v>
      </c>
      <c r="M51" t="n">
        <v>41.113632</v>
      </c>
      <c r="N51" t="n">
        <v>47.25682</v>
      </c>
      <c r="O51" t="n">
        <v>50.118941</v>
      </c>
      <c r="P51" t="n">
        <v>22.9268</v>
      </c>
      <c r="Q51" t="n">
        <v>18.008139</v>
      </c>
      <c r="R51" t="n">
        <v>83.50286699999999</v>
      </c>
      <c r="S51" t="n">
        <v>80.934121</v>
      </c>
      <c r="T51" t="n">
        <v>39.53845</v>
      </c>
      <c r="U51" t="n">
        <v>42.150192</v>
      </c>
      <c r="V51" t="n">
        <v>41.092771</v>
      </c>
      <c r="W51" t="n">
        <v>47.248343</v>
      </c>
      <c r="X51" t="n">
        <v>50.100759</v>
      </c>
      <c r="Y51" t="n">
        <v>0.389141</v>
      </c>
      <c r="Z51" t="inlineStr"/>
      <c r="AA51" t="inlineStr"/>
      <c r="AB51" t="inlineStr"/>
      <c r="AC51" t="inlineStr"/>
      <c r="AD51" t="inlineStr"/>
      <c r="AE51" t="inlineStr"/>
      <c r="AF51" t="inlineStr">
        <is>
          <t>73575917e7c150e3b47b2ce98e9620d7</t>
        </is>
      </c>
      <c r="AG51" t="inlineStr"/>
    </row>
    <row r="52">
      <c r="A52" t="inlineStr">
        <is>
          <t>AS</t>
        </is>
      </c>
      <c r="B52" t="inlineStr">
        <is>
          <t>aom</t>
        </is>
      </c>
      <c r="C52" t="inlineStr">
        <is>
          <t>av2</t>
        </is>
      </c>
      <c r="D52" t="inlineStr">
        <is>
          <t>0</t>
        </is>
      </c>
      <c r="E52" t="inlineStr">
        <is>
          <t>A1</t>
        </is>
      </c>
      <c r="F52" t="inlineStr">
        <is>
          <t>Crosswalk</t>
        </is>
      </c>
      <c r="G52" t="inlineStr">
        <is>
          <t>3840x2160</t>
        </is>
      </c>
      <c r="H52" t="inlineStr">
        <is>
          <t>60.0000</t>
        </is>
      </c>
      <c r="I52" t="inlineStr">
        <is>
          <t>10</t>
        </is>
      </c>
      <c r="J52" t="inlineStr">
        <is>
          <t>1920x1080</t>
        </is>
      </c>
      <c r="K52" t="inlineStr">
        <is>
          <t>160</t>
        </is>
      </c>
      <c r="L52" t="n">
        <v>1128.230539</v>
      </c>
      <c r="M52" t="n">
        <v>39.573783</v>
      </c>
      <c r="N52" t="n">
        <v>45.901416</v>
      </c>
      <c r="O52" t="n">
        <v>48.294836</v>
      </c>
      <c r="P52" t="n">
        <v>19.47614</v>
      </c>
      <c r="Q52" t="n">
        <v>16.410871</v>
      </c>
      <c r="R52" t="n">
        <v>71.188633</v>
      </c>
      <c r="S52" t="n">
        <v>68.53842</v>
      </c>
      <c r="T52" t="n">
        <v>37.026539</v>
      </c>
      <c r="U52" t="n">
        <v>40.784629</v>
      </c>
      <c r="V52" t="n">
        <v>39.53194</v>
      </c>
      <c r="W52" t="n">
        <v>45.8855</v>
      </c>
      <c r="X52" t="n">
        <v>48.264749</v>
      </c>
      <c r="Y52" t="n">
        <v>0.437956</v>
      </c>
      <c r="Z52" t="inlineStr"/>
      <c r="AA52" t="inlineStr"/>
      <c r="AB52" t="inlineStr"/>
      <c r="AC52" t="inlineStr"/>
      <c r="AD52" t="inlineStr"/>
      <c r="AE52" t="inlineStr"/>
      <c r="AF52" t="inlineStr">
        <is>
          <t>90d9fa3b6a5ec300576450abaf91510a</t>
        </is>
      </c>
      <c r="AG52" t="inlineStr"/>
    </row>
    <row r="53">
      <c r="A53" t="inlineStr">
        <is>
          <t>AS</t>
        </is>
      </c>
      <c r="B53" t="inlineStr">
        <is>
          <t>aom</t>
        </is>
      </c>
      <c r="C53" t="inlineStr">
        <is>
          <t>av2</t>
        </is>
      </c>
      <c r="D53" t="inlineStr">
        <is>
          <t>0</t>
        </is>
      </c>
      <c r="E53" t="inlineStr">
        <is>
          <t>A1</t>
        </is>
      </c>
      <c r="F53" t="inlineStr">
        <is>
          <t>Crosswalk</t>
        </is>
      </c>
      <c r="G53" t="inlineStr">
        <is>
          <t>3840x2160</t>
        </is>
      </c>
      <c r="H53" t="inlineStr">
        <is>
          <t>60.0000</t>
        </is>
      </c>
      <c r="I53" t="inlineStr">
        <is>
          <t>10</t>
        </is>
      </c>
      <c r="J53" t="inlineStr">
        <is>
          <t>1920x1080</t>
        </is>
      </c>
      <c r="K53" t="inlineStr">
        <is>
          <t>185</t>
        </is>
      </c>
      <c r="L53" t="n">
        <v>527.78606</v>
      </c>
      <c r="M53" t="n">
        <v>37.426847</v>
      </c>
      <c r="N53" t="n">
        <v>44.159027</v>
      </c>
      <c r="O53" t="n">
        <v>45.954625</v>
      </c>
      <c r="P53" t="n">
        <v>16.022229</v>
      </c>
      <c r="Q53" t="n">
        <v>14.478146</v>
      </c>
      <c r="R53" t="n">
        <v>53.842855</v>
      </c>
      <c r="S53" t="n">
        <v>51.507038</v>
      </c>
      <c r="T53" t="n">
        <v>34.1997</v>
      </c>
      <c r="U53" t="n">
        <v>38.934894</v>
      </c>
      <c r="V53" t="n">
        <v>37.362129</v>
      </c>
      <c r="W53" t="n">
        <v>44.139853</v>
      </c>
      <c r="X53" t="n">
        <v>45.906024</v>
      </c>
      <c r="Y53" t="n">
        <v>0.489071</v>
      </c>
      <c r="Z53" t="inlineStr"/>
      <c r="AA53" t="inlineStr"/>
      <c r="AB53" t="inlineStr"/>
      <c r="AC53" t="inlineStr"/>
      <c r="AD53" t="inlineStr"/>
      <c r="AE53" t="inlineStr"/>
      <c r="AF53" t="inlineStr">
        <is>
          <t>a079434a7b045e86acdd3f808357d7bf</t>
        </is>
      </c>
      <c r="AG53" t="inlineStr"/>
    </row>
    <row r="54">
      <c r="A54" t="inlineStr">
        <is>
          <t>AS</t>
        </is>
      </c>
      <c r="B54" t="inlineStr">
        <is>
          <t>aom</t>
        </is>
      </c>
      <c r="C54" t="inlineStr">
        <is>
          <t>av2</t>
        </is>
      </c>
      <c r="D54" t="inlineStr">
        <is>
          <t>0</t>
        </is>
      </c>
      <c r="E54" t="inlineStr">
        <is>
          <t>A1</t>
        </is>
      </c>
      <c r="F54" t="inlineStr">
        <is>
          <t>Crosswalk</t>
        </is>
      </c>
      <c r="G54" t="inlineStr">
        <is>
          <t>3840x2160</t>
        </is>
      </c>
      <c r="H54" t="inlineStr">
        <is>
          <t>60.0000</t>
        </is>
      </c>
      <c r="I54" t="inlineStr">
        <is>
          <t>10</t>
        </is>
      </c>
      <c r="J54" t="inlineStr">
        <is>
          <t>1920x1080</t>
        </is>
      </c>
      <c r="K54" t="inlineStr">
        <is>
          <t>210</t>
        </is>
      </c>
      <c r="L54" t="n">
        <v>243.673865</v>
      </c>
      <c r="M54" t="n">
        <v>34.73708</v>
      </c>
      <c r="N54" t="n">
        <v>41.750349</v>
      </c>
      <c r="O54" t="n">
        <v>43.260571</v>
      </c>
      <c r="P54" t="n">
        <v>12.756652</v>
      </c>
      <c r="Q54" t="n">
        <v>12.350248</v>
      </c>
      <c r="R54" t="n">
        <v>34.536703</v>
      </c>
      <c r="S54" t="n">
        <v>32.573101</v>
      </c>
      <c r="T54" t="n">
        <v>31.155945</v>
      </c>
      <c r="U54" t="n">
        <v>36.524874</v>
      </c>
      <c r="V54" t="n">
        <v>34.656092</v>
      </c>
      <c r="W54" t="n">
        <v>41.72379</v>
      </c>
      <c r="X54" t="n">
        <v>43.21206</v>
      </c>
      <c r="Y54" t="n">
        <v>0.5291940000000001</v>
      </c>
      <c r="Z54" t="inlineStr"/>
      <c r="AA54" t="inlineStr"/>
      <c r="AB54" t="inlineStr"/>
      <c r="AC54" t="inlineStr"/>
      <c r="AD54" t="inlineStr"/>
      <c r="AE54" t="inlineStr"/>
      <c r="AF54" t="inlineStr">
        <is>
          <t>7f64cb8d2c38f6a76cb6be9f0d38d760</t>
        </is>
      </c>
      <c r="AG54" t="inlineStr"/>
    </row>
    <row r="55">
      <c r="A55" t="inlineStr">
        <is>
          <t>AS</t>
        </is>
      </c>
      <c r="B55" t="inlineStr">
        <is>
          <t>aom</t>
        </is>
      </c>
      <c r="C55" t="inlineStr">
        <is>
          <t>av2</t>
        </is>
      </c>
      <c r="D55" t="inlineStr">
        <is>
          <t>0</t>
        </is>
      </c>
      <c r="E55" t="inlineStr">
        <is>
          <t>A1</t>
        </is>
      </c>
      <c r="F55" t="inlineStr">
        <is>
          <t>Crosswalk</t>
        </is>
      </c>
      <c r="G55" t="inlineStr">
        <is>
          <t>3840x2160</t>
        </is>
      </c>
      <c r="H55" t="inlineStr">
        <is>
          <t>60.0000</t>
        </is>
      </c>
      <c r="I55" t="inlineStr">
        <is>
          <t>10</t>
        </is>
      </c>
      <c r="J55" t="inlineStr">
        <is>
          <t>1920x1080</t>
        </is>
      </c>
      <c r="K55" t="inlineStr">
        <is>
          <t>235</t>
        </is>
      </c>
      <c r="L55" t="n">
        <v>111.127027</v>
      </c>
      <c r="M55" t="n">
        <v>31.689533</v>
      </c>
      <c r="N55" t="n">
        <v>39.145537</v>
      </c>
      <c r="O55" t="n">
        <v>40.344104</v>
      </c>
      <c r="P55" t="n">
        <v>9.801404</v>
      </c>
      <c r="Q55" t="n">
        <v>10.216337</v>
      </c>
      <c r="R55" t="n">
        <v>17.748234</v>
      </c>
      <c r="S55" t="n">
        <v>16.411364</v>
      </c>
      <c r="T55" t="n">
        <v>28.028068</v>
      </c>
      <c r="U55" t="n">
        <v>33.664063</v>
      </c>
      <c r="V55" t="n">
        <v>31.6057</v>
      </c>
      <c r="W55" t="n">
        <v>39.122062</v>
      </c>
      <c r="X55" t="n">
        <v>40.281203</v>
      </c>
      <c r="Y55" t="n">
        <v>0.622715</v>
      </c>
      <c r="Z55" t="inlineStr"/>
      <c r="AA55" t="inlineStr"/>
      <c r="AB55" t="inlineStr"/>
      <c r="AC55" t="inlineStr"/>
      <c r="AD55" t="inlineStr"/>
      <c r="AE55" t="inlineStr"/>
      <c r="AF55" t="inlineStr">
        <is>
          <t>e160927f581f9943055ee242df841887</t>
        </is>
      </c>
      <c r="AG55" t="inlineStr"/>
    </row>
    <row r="56">
      <c r="A56" t="inlineStr">
        <is>
          <t>AS</t>
        </is>
      </c>
      <c r="B56" t="inlineStr">
        <is>
          <t>aom</t>
        </is>
      </c>
      <c r="C56" t="inlineStr">
        <is>
          <t>av2</t>
        </is>
      </c>
      <c r="D56" t="inlineStr">
        <is>
          <t>0</t>
        </is>
      </c>
      <c r="E56" t="inlineStr">
        <is>
          <t>A1</t>
        </is>
      </c>
      <c r="F56" t="inlineStr">
        <is>
          <t>Crosswalk</t>
        </is>
      </c>
      <c r="G56" t="inlineStr">
        <is>
          <t>3840x2160</t>
        </is>
      </c>
      <c r="H56" t="inlineStr">
        <is>
          <t>60.0000</t>
        </is>
      </c>
      <c r="I56" t="inlineStr">
        <is>
          <t>10</t>
        </is>
      </c>
      <c r="J56" t="inlineStr">
        <is>
          <t>1280x720</t>
        </is>
      </c>
      <c r="K56" t="inlineStr">
        <is>
          <t>110</t>
        </is>
      </c>
      <c r="L56" t="n">
        <v>3337.182202</v>
      </c>
      <c r="M56" t="n">
        <v>41.48245</v>
      </c>
      <c r="N56" t="n">
        <v>47.566422</v>
      </c>
      <c r="O56" t="n">
        <v>50.667259</v>
      </c>
      <c r="P56" t="n">
        <v>24.224202</v>
      </c>
      <c r="Q56" t="n">
        <v>18.469147</v>
      </c>
      <c r="R56" t="n">
        <v>85.870896</v>
      </c>
      <c r="S56" t="n">
        <v>83.44071</v>
      </c>
      <c r="T56" t="n">
        <v>40.288009</v>
      </c>
      <c r="U56" t="n">
        <v>42.505136</v>
      </c>
      <c r="V56" t="n">
        <v>41.469092</v>
      </c>
      <c r="W56" t="n">
        <v>47.559064</v>
      </c>
      <c r="X56" t="n">
        <v>50.652984</v>
      </c>
      <c r="Y56" t="n">
        <v>0.391304</v>
      </c>
      <c r="Z56" t="inlineStr"/>
      <c r="AA56" t="inlineStr"/>
      <c r="AB56" t="inlineStr"/>
      <c r="AC56" t="inlineStr"/>
      <c r="AD56" t="inlineStr"/>
      <c r="AE56" t="inlineStr"/>
      <c r="AF56" t="inlineStr">
        <is>
          <t>d8ff15f33cd64ac793f53b3e228e617f</t>
        </is>
      </c>
      <c r="AG56" t="inlineStr"/>
    </row>
    <row r="57">
      <c r="A57" t="inlineStr">
        <is>
          <t>AS</t>
        </is>
      </c>
      <c r="B57" t="inlineStr">
        <is>
          <t>aom</t>
        </is>
      </c>
      <c r="C57" t="inlineStr">
        <is>
          <t>av2</t>
        </is>
      </c>
      <c r="D57" t="inlineStr">
        <is>
          <t>0</t>
        </is>
      </c>
      <c r="E57" t="inlineStr">
        <is>
          <t>A1</t>
        </is>
      </c>
      <c r="F57" t="inlineStr">
        <is>
          <t>Crosswalk</t>
        </is>
      </c>
      <c r="G57" t="inlineStr">
        <is>
          <t>3840x2160</t>
        </is>
      </c>
      <c r="H57" t="inlineStr">
        <is>
          <t>60.0000</t>
        </is>
      </c>
      <c r="I57" t="inlineStr">
        <is>
          <t>10</t>
        </is>
      </c>
      <c r="J57" t="inlineStr">
        <is>
          <t>1280x720</t>
        </is>
      </c>
      <c r="K57" t="inlineStr">
        <is>
          <t>135</t>
        </is>
      </c>
      <c r="L57" t="n">
        <v>1563.096596</v>
      </c>
      <c r="M57" t="n">
        <v>40.286835</v>
      </c>
      <c r="N57" t="n">
        <v>46.53494</v>
      </c>
      <c r="O57" t="n">
        <v>49.214163</v>
      </c>
      <c r="P57" t="n">
        <v>21.055797</v>
      </c>
      <c r="Q57" t="n">
        <v>17.142213</v>
      </c>
      <c r="R57" t="n">
        <v>76.378866</v>
      </c>
      <c r="S57" t="n">
        <v>73.725872</v>
      </c>
      <c r="T57" t="n">
        <v>38.12513</v>
      </c>
      <c r="U57" t="n">
        <v>41.449427</v>
      </c>
      <c r="V57" t="n">
        <v>40.256359</v>
      </c>
      <c r="W57" t="n">
        <v>46.521835</v>
      </c>
      <c r="X57" t="n">
        <v>49.191154</v>
      </c>
      <c r="Y57" t="n">
        <v>0.426134</v>
      </c>
      <c r="Z57" t="inlineStr"/>
      <c r="AA57" t="inlineStr"/>
      <c r="AB57" t="inlineStr"/>
      <c r="AC57" t="inlineStr"/>
      <c r="AD57" t="inlineStr"/>
      <c r="AE57" t="inlineStr"/>
      <c r="AF57" t="inlineStr">
        <is>
          <t>c155542f47f7b119e248346f393456da</t>
        </is>
      </c>
      <c r="AG57" t="inlineStr"/>
    </row>
    <row r="58">
      <c r="A58" t="inlineStr">
        <is>
          <t>AS</t>
        </is>
      </c>
      <c r="B58" t="inlineStr">
        <is>
          <t>aom</t>
        </is>
      </c>
      <c r="C58" t="inlineStr">
        <is>
          <t>av2</t>
        </is>
      </c>
      <c r="D58" t="inlineStr">
        <is>
          <t>0</t>
        </is>
      </c>
      <c r="E58" t="inlineStr">
        <is>
          <t>A1</t>
        </is>
      </c>
      <c r="F58" t="inlineStr">
        <is>
          <t>Crosswalk</t>
        </is>
      </c>
      <c r="G58" t="inlineStr">
        <is>
          <t>3840x2160</t>
        </is>
      </c>
      <c r="H58" t="inlineStr">
        <is>
          <t>60.0000</t>
        </is>
      </c>
      <c r="I58" t="inlineStr">
        <is>
          <t>10</t>
        </is>
      </c>
      <c r="J58" t="inlineStr">
        <is>
          <t>1280x720</t>
        </is>
      </c>
      <c r="K58" t="inlineStr">
        <is>
          <t>160</t>
        </is>
      </c>
      <c r="L58" t="n">
        <v>721.479136</v>
      </c>
      <c r="M58" t="n">
        <v>38.448942</v>
      </c>
      <c r="N58" t="n">
        <v>45.021328</v>
      </c>
      <c r="O58" t="n">
        <v>47.152972</v>
      </c>
      <c r="P58" t="n">
        <v>17.583206</v>
      </c>
      <c r="Q58" t="n">
        <v>15.375556</v>
      </c>
      <c r="R58" t="n">
        <v>61.947911</v>
      </c>
      <c r="S58" t="n">
        <v>59.276224</v>
      </c>
      <c r="T58" t="n">
        <v>35.480111</v>
      </c>
      <c r="U58" t="n">
        <v>39.849521</v>
      </c>
      <c r="V58" t="n">
        <v>38.396012</v>
      </c>
      <c r="W58" t="n">
        <v>45.003958</v>
      </c>
      <c r="X58" t="n">
        <v>47.113187</v>
      </c>
      <c r="Y58" t="n">
        <v>0.496715</v>
      </c>
      <c r="Z58" t="inlineStr"/>
      <c r="AA58" t="inlineStr"/>
      <c r="AB58" t="inlineStr"/>
      <c r="AC58" t="inlineStr"/>
      <c r="AD58" t="inlineStr"/>
      <c r="AE58" t="inlineStr"/>
      <c r="AF58" t="inlineStr">
        <is>
          <t>68e7797f56aca19d88a4dfc76e9193e5</t>
        </is>
      </c>
      <c r="AG58" t="inlineStr"/>
    </row>
    <row r="59">
      <c r="A59" t="inlineStr">
        <is>
          <t>AS</t>
        </is>
      </c>
      <c r="B59" t="inlineStr">
        <is>
          <t>aom</t>
        </is>
      </c>
      <c r="C59" t="inlineStr">
        <is>
          <t>av2</t>
        </is>
      </c>
      <c r="D59" t="inlineStr">
        <is>
          <t>0</t>
        </is>
      </c>
      <c r="E59" t="inlineStr">
        <is>
          <t>A1</t>
        </is>
      </c>
      <c r="F59" t="inlineStr">
        <is>
          <t>Crosswalk</t>
        </is>
      </c>
      <c r="G59" t="inlineStr">
        <is>
          <t>3840x2160</t>
        </is>
      </c>
      <c r="H59" t="inlineStr">
        <is>
          <t>60.0000</t>
        </is>
      </c>
      <c r="I59" t="inlineStr">
        <is>
          <t>10</t>
        </is>
      </c>
      <c r="J59" t="inlineStr">
        <is>
          <t>1280x720</t>
        </is>
      </c>
      <c r="K59" t="inlineStr">
        <is>
          <t>185</t>
        </is>
      </c>
      <c r="L59" t="n">
        <v>336.180742</v>
      </c>
      <c r="M59" t="n">
        <v>36.038333</v>
      </c>
      <c r="N59" t="n">
        <v>43.060508</v>
      </c>
      <c r="O59" t="n">
        <v>44.779324</v>
      </c>
      <c r="P59" t="n">
        <v>14.243046</v>
      </c>
      <c r="Q59" t="n">
        <v>13.350895</v>
      </c>
      <c r="R59" t="n">
        <v>42.653934</v>
      </c>
      <c r="S59" t="n">
        <v>40.581424</v>
      </c>
      <c r="T59" t="n">
        <v>32.591665</v>
      </c>
      <c r="U59" t="n">
        <v>37.748588</v>
      </c>
      <c r="V59" t="n">
        <v>35.965601</v>
      </c>
      <c r="W59" t="n">
        <v>43.033438</v>
      </c>
      <c r="X59" t="n">
        <v>44.729325</v>
      </c>
      <c r="Y59" t="n">
        <v>0.574419</v>
      </c>
      <c r="Z59" t="inlineStr"/>
      <c r="AA59" t="inlineStr"/>
      <c r="AB59" t="inlineStr"/>
      <c r="AC59" t="inlineStr"/>
      <c r="AD59" t="inlineStr"/>
      <c r="AE59" t="inlineStr"/>
      <c r="AF59" t="inlineStr">
        <is>
          <t>a17decb18b81edc7e3970d6b81e7a44b</t>
        </is>
      </c>
      <c r="AG59" t="inlineStr"/>
    </row>
    <row r="60">
      <c r="A60" t="inlineStr">
        <is>
          <t>AS</t>
        </is>
      </c>
      <c r="B60" t="inlineStr">
        <is>
          <t>aom</t>
        </is>
      </c>
      <c r="C60" t="inlineStr">
        <is>
          <t>av2</t>
        </is>
      </c>
      <c r="D60" t="inlineStr">
        <is>
          <t>0</t>
        </is>
      </c>
      <c r="E60" t="inlineStr">
        <is>
          <t>A1</t>
        </is>
      </c>
      <c r="F60" t="inlineStr">
        <is>
          <t>Crosswalk</t>
        </is>
      </c>
      <c r="G60" t="inlineStr">
        <is>
          <t>3840x2160</t>
        </is>
      </c>
      <c r="H60" t="inlineStr">
        <is>
          <t>60.0000</t>
        </is>
      </c>
      <c r="I60" t="inlineStr">
        <is>
          <t>10</t>
        </is>
      </c>
      <c r="J60" t="inlineStr">
        <is>
          <t>1280x720</t>
        </is>
      </c>
      <c r="K60" t="inlineStr">
        <is>
          <t>210</t>
        </is>
      </c>
      <c r="L60" t="n">
        <v>154.246984</v>
      </c>
      <c r="M60" t="n">
        <v>33.196043</v>
      </c>
      <c r="N60" t="n">
        <v>40.760967</v>
      </c>
      <c r="O60" t="n">
        <v>42.076612</v>
      </c>
      <c r="P60" t="n">
        <v>11.194692</v>
      </c>
      <c r="Q60" t="n">
        <v>11.247205</v>
      </c>
      <c r="R60" t="n">
        <v>24.440214</v>
      </c>
      <c r="S60" t="n">
        <v>22.978294</v>
      </c>
      <c r="T60" t="n">
        <v>29.564423</v>
      </c>
      <c r="U60" t="n">
        <v>35.224796</v>
      </c>
      <c r="V60" t="n">
        <v>33.109998</v>
      </c>
      <c r="W60" t="n">
        <v>40.729148</v>
      </c>
      <c r="X60" t="n">
        <v>41.993465</v>
      </c>
      <c r="Y60" t="n">
        <v>0.660929</v>
      </c>
      <c r="Z60" t="inlineStr"/>
      <c r="AA60" t="inlineStr"/>
      <c r="AB60" t="inlineStr"/>
      <c r="AC60" t="inlineStr"/>
      <c r="AD60" t="inlineStr"/>
      <c r="AE60" t="inlineStr"/>
      <c r="AF60" t="inlineStr">
        <is>
          <t>eafdae431075738d688a76bfe3f3e655</t>
        </is>
      </c>
      <c r="AG60" t="inlineStr"/>
    </row>
    <row r="61">
      <c r="A61" t="inlineStr">
        <is>
          <t>AS</t>
        </is>
      </c>
      <c r="B61" t="inlineStr">
        <is>
          <t>aom</t>
        </is>
      </c>
      <c r="C61" t="inlineStr">
        <is>
          <t>av2</t>
        </is>
      </c>
      <c r="D61" t="inlineStr">
        <is>
          <t>0</t>
        </is>
      </c>
      <c r="E61" t="inlineStr">
        <is>
          <t>A1</t>
        </is>
      </c>
      <c r="F61" t="inlineStr">
        <is>
          <t>Crosswalk</t>
        </is>
      </c>
      <c r="G61" t="inlineStr">
        <is>
          <t>3840x2160</t>
        </is>
      </c>
      <c r="H61" t="inlineStr">
        <is>
          <t>60.0000</t>
        </is>
      </c>
      <c r="I61" t="inlineStr">
        <is>
          <t>10</t>
        </is>
      </c>
      <c r="J61" t="inlineStr">
        <is>
          <t>1280x720</t>
        </is>
      </c>
      <c r="K61" t="inlineStr">
        <is>
          <t>235</t>
        </is>
      </c>
      <c r="L61" t="n">
        <v>70.603858</v>
      </c>
      <c r="M61" t="n">
        <v>30.168041</v>
      </c>
      <c r="N61" t="n">
        <v>38.052509</v>
      </c>
      <c r="O61" t="n">
        <v>38.873644</v>
      </c>
      <c r="P61" t="n">
        <v>8.580576000000001</v>
      </c>
      <c r="Q61" t="n">
        <v>9.283975999999999</v>
      </c>
      <c r="R61" t="n">
        <v>9.907904</v>
      </c>
      <c r="S61" t="n">
        <v>8.999708</v>
      </c>
      <c r="T61" t="n">
        <v>26.529529</v>
      </c>
      <c r="U61" t="n">
        <v>32.334221</v>
      </c>
      <c r="V61" t="n">
        <v>30.084909</v>
      </c>
      <c r="W61" t="n">
        <v>38.019578</v>
      </c>
      <c r="X61" t="n">
        <v>38.816968</v>
      </c>
      <c r="Y61" t="n">
        <v>0.808786</v>
      </c>
      <c r="Z61" t="inlineStr"/>
      <c r="AA61" t="inlineStr"/>
      <c r="AB61" t="inlineStr"/>
      <c r="AC61" t="inlineStr"/>
      <c r="AD61" t="inlineStr"/>
      <c r="AE61" t="inlineStr"/>
      <c r="AF61" t="inlineStr">
        <is>
          <t>6d814614efa789a34720dea120ec0238</t>
        </is>
      </c>
      <c r="AG61" t="inlineStr"/>
    </row>
    <row r="62">
      <c r="A62" t="inlineStr">
        <is>
          <t>AS</t>
        </is>
      </c>
      <c r="B62" t="inlineStr">
        <is>
          <t>aom</t>
        </is>
      </c>
      <c r="C62" t="inlineStr">
        <is>
          <t>av2</t>
        </is>
      </c>
      <c r="D62" t="inlineStr">
        <is>
          <t>0</t>
        </is>
      </c>
      <c r="E62" t="inlineStr">
        <is>
          <t>A1</t>
        </is>
      </c>
      <c r="F62" t="inlineStr">
        <is>
          <t>Crosswalk</t>
        </is>
      </c>
      <c r="G62" t="inlineStr">
        <is>
          <t>3840x2160</t>
        </is>
      </c>
      <c r="H62" t="inlineStr">
        <is>
          <t>60.0000</t>
        </is>
      </c>
      <c r="I62" t="inlineStr">
        <is>
          <t>10</t>
        </is>
      </c>
      <c r="J62" t="inlineStr">
        <is>
          <t>960x540</t>
        </is>
      </c>
      <c r="K62" t="inlineStr">
        <is>
          <t>110</t>
        </is>
      </c>
      <c r="L62" t="n">
        <v>2456.697764</v>
      </c>
      <c r="M62" t="n">
        <v>40.882623</v>
      </c>
      <c r="N62" t="n">
        <v>47.094036</v>
      </c>
      <c r="O62" t="n">
        <v>50.075022</v>
      </c>
      <c r="P62" t="n">
        <v>22.962692</v>
      </c>
      <c r="Q62" t="n">
        <v>17.835666</v>
      </c>
      <c r="R62" t="n">
        <v>79.803659</v>
      </c>
      <c r="S62" t="n">
        <v>77.336721</v>
      </c>
      <c r="T62" t="n">
        <v>39.129089</v>
      </c>
      <c r="U62" t="n">
        <v>42.049414</v>
      </c>
      <c r="V62" t="n">
        <v>40.863658</v>
      </c>
      <c r="W62" t="n">
        <v>47.084244</v>
      </c>
      <c r="X62" t="n">
        <v>50.056862</v>
      </c>
      <c r="Y62" t="n">
        <v>0.434748</v>
      </c>
      <c r="Z62" t="inlineStr"/>
      <c r="AA62" t="inlineStr"/>
      <c r="AB62" t="inlineStr"/>
      <c r="AC62" t="inlineStr"/>
      <c r="AD62" t="inlineStr"/>
      <c r="AE62" t="inlineStr"/>
      <c r="AF62" t="inlineStr">
        <is>
          <t>0ff713012b4080c5492488f5f00c801c</t>
        </is>
      </c>
      <c r="AG62" t="inlineStr"/>
    </row>
    <row r="63">
      <c r="A63" t="inlineStr">
        <is>
          <t>AS</t>
        </is>
      </c>
      <c r="B63" t="inlineStr">
        <is>
          <t>aom</t>
        </is>
      </c>
      <c r="C63" t="inlineStr">
        <is>
          <t>av2</t>
        </is>
      </c>
      <c r="D63" t="inlineStr">
        <is>
          <t>0</t>
        </is>
      </c>
      <c r="E63" t="inlineStr">
        <is>
          <t>A1</t>
        </is>
      </c>
      <c r="F63" t="inlineStr">
        <is>
          <t>Crosswalk</t>
        </is>
      </c>
      <c r="G63" t="inlineStr">
        <is>
          <t>3840x2160</t>
        </is>
      </c>
      <c r="H63" t="inlineStr">
        <is>
          <t>60.0000</t>
        </is>
      </c>
      <c r="I63" t="inlineStr">
        <is>
          <t>10</t>
        </is>
      </c>
      <c r="J63" t="inlineStr">
        <is>
          <t>960x540</t>
        </is>
      </c>
      <c r="K63" t="inlineStr">
        <is>
          <t>135</t>
        </is>
      </c>
      <c r="L63" t="n">
        <v>1184.526243</v>
      </c>
      <c r="M63" t="n">
        <v>39.589917</v>
      </c>
      <c r="N63" t="n">
        <v>45.972173</v>
      </c>
      <c r="O63" t="n">
        <v>48.511788</v>
      </c>
      <c r="P63" t="n">
        <v>19.786302</v>
      </c>
      <c r="Q63" t="n">
        <v>16.465318</v>
      </c>
      <c r="R63" t="n">
        <v>69.239035</v>
      </c>
      <c r="S63" t="n">
        <v>66.62875099999999</v>
      </c>
      <c r="T63" t="n">
        <v>37.032178</v>
      </c>
      <c r="U63" t="n">
        <v>40.891509</v>
      </c>
      <c r="V63" t="n">
        <v>39.553111</v>
      </c>
      <c r="W63" t="n">
        <v>45.957633</v>
      </c>
      <c r="X63" t="n">
        <v>48.484316</v>
      </c>
      <c r="Y63" t="n">
        <v>0.481805</v>
      </c>
      <c r="Z63" t="inlineStr"/>
      <c r="AA63" t="inlineStr"/>
      <c r="AB63" t="inlineStr"/>
      <c r="AC63" t="inlineStr"/>
      <c r="AD63" t="inlineStr"/>
      <c r="AE63" t="inlineStr"/>
      <c r="AF63" t="inlineStr">
        <is>
          <t>8c8924c4e7660ab5a2a59698be7dc8c9</t>
        </is>
      </c>
      <c r="AG63" t="inlineStr"/>
    </row>
    <row r="64">
      <c r="A64" t="inlineStr">
        <is>
          <t>AS</t>
        </is>
      </c>
      <c r="B64" t="inlineStr">
        <is>
          <t>aom</t>
        </is>
      </c>
      <c r="C64" t="inlineStr">
        <is>
          <t>av2</t>
        </is>
      </c>
      <c r="D64" t="inlineStr">
        <is>
          <t>0</t>
        </is>
      </c>
      <c r="E64" t="inlineStr">
        <is>
          <t>A1</t>
        </is>
      </c>
      <c r="F64" t="inlineStr">
        <is>
          <t>Crosswalk</t>
        </is>
      </c>
      <c r="G64" t="inlineStr">
        <is>
          <t>3840x2160</t>
        </is>
      </c>
      <c r="H64" t="inlineStr">
        <is>
          <t>60.0000</t>
        </is>
      </c>
      <c r="I64" t="inlineStr">
        <is>
          <t>10</t>
        </is>
      </c>
      <c r="J64" t="inlineStr">
        <is>
          <t>960x540</t>
        </is>
      </c>
      <c r="K64" t="inlineStr">
        <is>
          <t>160</t>
        </is>
      </c>
      <c r="L64" t="n">
        <v>548.405441</v>
      </c>
      <c r="M64" t="n">
        <v>37.586487</v>
      </c>
      <c r="N64" t="n">
        <v>44.348242</v>
      </c>
      <c r="O64" t="n">
        <v>46.414912</v>
      </c>
      <c r="P64" t="n">
        <v>16.329328</v>
      </c>
      <c r="Q64" t="n">
        <v>14.624528</v>
      </c>
      <c r="R64" t="n">
        <v>53.787282</v>
      </c>
      <c r="S64" t="n">
        <v>51.246688</v>
      </c>
      <c r="T64" t="n">
        <v>34.385268</v>
      </c>
      <c r="U64" t="n">
        <v>39.142424</v>
      </c>
      <c r="V64" t="n">
        <v>37.526548</v>
      </c>
      <c r="W64" t="n">
        <v>44.328025</v>
      </c>
      <c r="X64" t="n">
        <v>46.369022</v>
      </c>
      <c r="Y64" t="n">
        <v>0.569397</v>
      </c>
      <c r="Z64" t="inlineStr"/>
      <c r="AA64" t="inlineStr"/>
      <c r="AB64" t="inlineStr"/>
      <c r="AC64" t="inlineStr"/>
      <c r="AD64" t="inlineStr"/>
      <c r="AE64" t="inlineStr"/>
      <c r="AF64" t="inlineStr">
        <is>
          <t>a337640c8b983800f6ea4105a7007432</t>
        </is>
      </c>
      <c r="AG64" t="inlineStr"/>
    </row>
    <row r="65">
      <c r="A65" t="inlineStr">
        <is>
          <t>AS</t>
        </is>
      </c>
      <c r="B65" t="inlineStr">
        <is>
          <t>aom</t>
        </is>
      </c>
      <c r="C65" t="inlineStr">
        <is>
          <t>av2</t>
        </is>
      </c>
      <c r="D65" t="inlineStr">
        <is>
          <t>0</t>
        </is>
      </c>
      <c r="E65" t="inlineStr">
        <is>
          <t>A1</t>
        </is>
      </c>
      <c r="F65" t="inlineStr">
        <is>
          <t>Crosswalk</t>
        </is>
      </c>
      <c r="G65" t="inlineStr">
        <is>
          <t>3840x2160</t>
        </is>
      </c>
      <c r="H65" t="inlineStr">
        <is>
          <t>60.0000</t>
        </is>
      </c>
      <c r="I65" t="inlineStr">
        <is>
          <t>10</t>
        </is>
      </c>
      <c r="J65" t="inlineStr">
        <is>
          <t>960x540</t>
        </is>
      </c>
      <c r="K65" t="inlineStr">
        <is>
          <t>185</t>
        </is>
      </c>
      <c r="L65" t="n">
        <v>257.233228</v>
      </c>
      <c r="M65" t="n">
        <v>35.082482</v>
      </c>
      <c r="N65" t="n">
        <v>42.423192</v>
      </c>
      <c r="O65" t="n">
        <v>44.029558</v>
      </c>
      <c r="P65" t="n">
        <v>13.158159</v>
      </c>
      <c r="Q65" t="n">
        <v>12.616744</v>
      </c>
      <c r="R65" t="n">
        <v>35.360175</v>
      </c>
      <c r="S65" t="n">
        <v>33.43191</v>
      </c>
      <c r="T65" t="n">
        <v>31.540786</v>
      </c>
      <c r="U65" t="n">
        <v>36.994768</v>
      </c>
      <c r="V65" t="n">
        <v>35.003778</v>
      </c>
      <c r="W65" t="n">
        <v>42.399543</v>
      </c>
      <c r="X65" t="n">
        <v>43.97858</v>
      </c>
      <c r="Y65" t="n">
        <v>0.668577</v>
      </c>
      <c r="Z65" t="inlineStr"/>
      <c r="AA65" t="inlineStr"/>
      <c r="AB65" t="inlineStr"/>
      <c r="AC65" t="inlineStr"/>
      <c r="AD65" t="inlineStr"/>
      <c r="AE65" t="inlineStr"/>
      <c r="AF65" t="inlineStr">
        <is>
          <t>89812939a42406a0213e07da3e40612a</t>
        </is>
      </c>
      <c r="AG65" t="inlineStr"/>
    </row>
    <row r="66">
      <c r="A66" t="inlineStr">
        <is>
          <t>AS</t>
        </is>
      </c>
      <c r="B66" t="inlineStr">
        <is>
          <t>aom</t>
        </is>
      </c>
      <c r="C66" t="inlineStr">
        <is>
          <t>av2</t>
        </is>
      </c>
      <c r="D66" t="inlineStr">
        <is>
          <t>0</t>
        </is>
      </c>
      <c r="E66" t="inlineStr">
        <is>
          <t>A1</t>
        </is>
      </c>
      <c r="F66" t="inlineStr">
        <is>
          <t>Crosswalk</t>
        </is>
      </c>
      <c r="G66" t="inlineStr">
        <is>
          <t>3840x2160</t>
        </is>
      </c>
      <c r="H66" t="inlineStr">
        <is>
          <t>60.0000</t>
        </is>
      </c>
      <c r="I66" t="inlineStr">
        <is>
          <t>10</t>
        </is>
      </c>
      <c r="J66" t="inlineStr">
        <is>
          <t>960x540</t>
        </is>
      </c>
      <c r="K66" t="inlineStr">
        <is>
          <t>210</t>
        </is>
      </c>
      <c r="L66" t="n">
        <v>116.578806</v>
      </c>
      <c r="M66" t="n">
        <v>32.179861</v>
      </c>
      <c r="N66" t="n">
        <v>40.024216</v>
      </c>
      <c r="O66" t="n">
        <v>41.240167</v>
      </c>
      <c r="P66" t="n">
        <v>10.243049</v>
      </c>
      <c r="Q66" t="n">
        <v>10.546812</v>
      </c>
      <c r="R66" t="n">
        <v>17.38089</v>
      </c>
      <c r="S66" t="n">
        <v>16.18275</v>
      </c>
      <c r="T66" t="n">
        <v>28.538039</v>
      </c>
      <c r="U66" t="n">
        <v>34.337912</v>
      </c>
      <c r="V66" t="n">
        <v>32.09366</v>
      </c>
      <c r="W66" t="n">
        <v>39.991167</v>
      </c>
      <c r="X66" t="n">
        <v>41.173534</v>
      </c>
      <c r="Y66" t="n">
        <v>0.803829</v>
      </c>
      <c r="Z66" t="inlineStr"/>
      <c r="AA66" t="inlineStr"/>
      <c r="AB66" t="inlineStr"/>
      <c r="AC66" t="inlineStr"/>
      <c r="AD66" t="inlineStr"/>
      <c r="AE66" t="inlineStr"/>
      <c r="AF66" t="inlineStr">
        <is>
          <t>c469ad1a13848baf8f9350a0f4357bf0</t>
        </is>
      </c>
      <c r="AG66" t="inlineStr"/>
    </row>
    <row r="67">
      <c r="A67" t="inlineStr">
        <is>
          <t>AS</t>
        </is>
      </c>
      <c r="B67" t="inlineStr">
        <is>
          <t>aom</t>
        </is>
      </c>
      <c r="C67" t="inlineStr">
        <is>
          <t>av2</t>
        </is>
      </c>
      <c r="D67" t="inlineStr">
        <is>
          <t>0</t>
        </is>
      </c>
      <c r="E67" t="inlineStr">
        <is>
          <t>A1</t>
        </is>
      </c>
      <c r="F67" t="inlineStr">
        <is>
          <t>Crosswalk</t>
        </is>
      </c>
      <c r="G67" t="inlineStr">
        <is>
          <t>3840x2160</t>
        </is>
      </c>
      <c r="H67" t="inlineStr">
        <is>
          <t>60.0000</t>
        </is>
      </c>
      <c r="I67" t="inlineStr">
        <is>
          <t>10</t>
        </is>
      </c>
      <c r="J67" t="inlineStr">
        <is>
          <t>960x540</t>
        </is>
      </c>
      <c r="K67" t="inlineStr">
        <is>
          <t>235</t>
        </is>
      </c>
      <c r="L67" t="n">
        <v>53.197264</v>
      </c>
      <c r="M67" t="n">
        <v>29.185936</v>
      </c>
      <c r="N67" t="n">
        <v>37.560631</v>
      </c>
      <c r="O67" t="n">
        <v>38.349532</v>
      </c>
      <c r="P67" t="n">
        <v>7.886188</v>
      </c>
      <c r="Q67" t="n">
        <v>8.729701</v>
      </c>
      <c r="R67" t="n">
        <v>4.565395</v>
      </c>
      <c r="S67" t="n">
        <v>4.248848</v>
      </c>
      <c r="T67" t="n">
        <v>25.583352</v>
      </c>
      <c r="U67" t="n">
        <v>31.611445</v>
      </c>
      <c r="V67" t="n">
        <v>29.110334</v>
      </c>
      <c r="W67" t="n">
        <v>37.529742</v>
      </c>
      <c r="X67" t="n">
        <v>38.279562</v>
      </c>
      <c r="Y67" t="n">
        <v>0.98604</v>
      </c>
      <c r="Z67" t="inlineStr"/>
      <c r="AA67" t="inlineStr"/>
      <c r="AB67" t="inlineStr"/>
      <c r="AC67" t="inlineStr"/>
      <c r="AD67" t="inlineStr"/>
      <c r="AE67" t="inlineStr"/>
      <c r="AF67" t="inlineStr">
        <is>
          <t>4bd8edcdbce62bd27ae8f05175843544</t>
        </is>
      </c>
      <c r="AG67" t="inlineStr"/>
    </row>
    <row r="68">
      <c r="A68" t="inlineStr">
        <is>
          <t>AS</t>
        </is>
      </c>
      <c r="B68" t="inlineStr">
        <is>
          <t>aom</t>
        </is>
      </c>
      <c r="C68" t="inlineStr">
        <is>
          <t>av2</t>
        </is>
      </c>
      <c r="D68" t="inlineStr">
        <is>
          <t>0</t>
        </is>
      </c>
      <c r="E68" t="inlineStr">
        <is>
          <t>A1</t>
        </is>
      </c>
      <c r="F68" t="inlineStr">
        <is>
          <t>Crosswalk</t>
        </is>
      </c>
      <c r="G68" t="inlineStr">
        <is>
          <t>3840x2160</t>
        </is>
      </c>
      <c r="H68" t="inlineStr">
        <is>
          <t>60.0000</t>
        </is>
      </c>
      <c r="I68" t="inlineStr">
        <is>
          <t>10</t>
        </is>
      </c>
      <c r="J68" t="inlineStr">
        <is>
          <t>640x360</t>
        </is>
      </c>
      <c r="K68" t="inlineStr">
        <is>
          <t>110</t>
        </is>
      </c>
      <c r="L68" t="n">
        <v>1513.945747</v>
      </c>
      <c r="M68" t="n">
        <v>39.598869</v>
      </c>
      <c r="N68" t="n">
        <v>46.229614</v>
      </c>
      <c r="O68" t="n">
        <v>48.972767</v>
      </c>
      <c r="P68" t="n">
        <v>20.787342</v>
      </c>
      <c r="Q68" t="n">
        <v>16.617924</v>
      </c>
      <c r="R68" t="n">
        <v>64.553248</v>
      </c>
      <c r="S68" t="n">
        <v>62.238366</v>
      </c>
      <c r="T68" t="n">
        <v>36.904901</v>
      </c>
      <c r="U68" t="n">
        <v>41.160951</v>
      </c>
      <c r="V68" t="n">
        <v>39.564751</v>
      </c>
      <c r="W68" t="n">
        <v>46.213568</v>
      </c>
      <c r="X68" t="n">
        <v>48.946779</v>
      </c>
      <c r="Y68" t="n">
        <v>0.461908</v>
      </c>
      <c r="Z68" t="inlineStr"/>
      <c r="AA68" t="inlineStr"/>
      <c r="AB68" t="inlineStr"/>
      <c r="AC68" t="inlineStr"/>
      <c r="AD68" t="inlineStr"/>
      <c r="AE68" t="inlineStr"/>
      <c r="AF68" t="inlineStr">
        <is>
          <t>9b0b28cbd3fdf993ce3e763010cb1541</t>
        </is>
      </c>
      <c r="AG68" t="inlineStr"/>
    </row>
    <row r="69">
      <c r="A69" t="inlineStr">
        <is>
          <t>AS</t>
        </is>
      </c>
      <c r="B69" t="inlineStr">
        <is>
          <t>aom</t>
        </is>
      </c>
      <c r="C69" t="inlineStr">
        <is>
          <t>av2</t>
        </is>
      </c>
      <c r="D69" t="inlineStr">
        <is>
          <t>0</t>
        </is>
      </c>
      <c r="E69" t="inlineStr">
        <is>
          <t>A1</t>
        </is>
      </c>
      <c r="F69" t="inlineStr">
        <is>
          <t>Crosswalk</t>
        </is>
      </c>
      <c r="G69" t="inlineStr">
        <is>
          <t>3840x2160</t>
        </is>
      </c>
      <c r="H69" t="inlineStr">
        <is>
          <t>60.0000</t>
        </is>
      </c>
      <c r="I69" t="inlineStr">
        <is>
          <t>10</t>
        </is>
      </c>
      <c r="J69" t="inlineStr">
        <is>
          <t>640x360</t>
        </is>
      </c>
      <c r="K69" t="inlineStr">
        <is>
          <t>135</t>
        </is>
      </c>
      <c r="L69" t="n">
        <v>743.758395</v>
      </c>
      <c r="M69" t="n">
        <v>38.208262</v>
      </c>
      <c r="N69" t="n">
        <v>44.99373</v>
      </c>
      <c r="O69" t="n">
        <v>47.317467</v>
      </c>
      <c r="P69" t="n">
        <v>17.723053</v>
      </c>
      <c r="Q69" t="n">
        <v>15.247406</v>
      </c>
      <c r="R69" t="n">
        <v>52.948454</v>
      </c>
      <c r="S69" t="n">
        <v>50.622669</v>
      </c>
      <c r="T69" t="n">
        <v>35.064288</v>
      </c>
      <c r="U69" t="n">
        <v>39.862019</v>
      </c>
      <c r="V69" t="n">
        <v>38.158502</v>
      </c>
      <c r="W69" t="n">
        <v>44.972191</v>
      </c>
      <c r="X69" t="n">
        <v>47.282894</v>
      </c>
      <c r="Y69" t="n">
        <v>0.5388579999999999</v>
      </c>
      <c r="Z69" t="inlineStr"/>
      <c r="AA69" t="inlineStr"/>
      <c r="AB69" t="inlineStr"/>
      <c r="AC69" t="inlineStr"/>
      <c r="AD69" t="inlineStr"/>
      <c r="AE69" t="inlineStr"/>
      <c r="AF69" t="inlineStr">
        <is>
          <t>6a838815c44f1703b5ab016c0f12c19e</t>
        </is>
      </c>
      <c r="AG69" t="inlineStr"/>
    </row>
    <row r="70">
      <c r="A70" t="inlineStr">
        <is>
          <t>AS</t>
        </is>
      </c>
      <c r="B70" t="inlineStr">
        <is>
          <t>aom</t>
        </is>
      </c>
      <c r="C70" t="inlineStr">
        <is>
          <t>av2</t>
        </is>
      </c>
      <c r="D70" t="inlineStr">
        <is>
          <t>0</t>
        </is>
      </c>
      <c r="E70" t="inlineStr">
        <is>
          <t>A1</t>
        </is>
      </c>
      <c r="F70" t="inlineStr">
        <is>
          <t>Crosswalk</t>
        </is>
      </c>
      <c r="G70" t="inlineStr">
        <is>
          <t>3840x2160</t>
        </is>
      </c>
      <c r="H70" t="inlineStr">
        <is>
          <t>60.0000</t>
        </is>
      </c>
      <c r="I70" t="inlineStr">
        <is>
          <t>10</t>
        </is>
      </c>
      <c r="J70" t="inlineStr">
        <is>
          <t>640x360</t>
        </is>
      </c>
      <c r="K70" t="inlineStr">
        <is>
          <t>160</t>
        </is>
      </c>
      <c r="L70" t="n">
        <v>345.96296</v>
      </c>
      <c r="M70" t="n">
        <v>36.063749</v>
      </c>
      <c r="N70" t="n">
        <v>43.265517</v>
      </c>
      <c r="O70" t="n">
        <v>45.035387</v>
      </c>
      <c r="P70" t="n">
        <v>14.459726</v>
      </c>
      <c r="Q70" t="n">
        <v>13.409071</v>
      </c>
      <c r="R70" t="n">
        <v>37.135805</v>
      </c>
      <c r="S70" t="n">
        <v>35.099377</v>
      </c>
      <c r="T70" t="n">
        <v>32.573808</v>
      </c>
      <c r="U70" t="n">
        <v>37.937178</v>
      </c>
      <c r="V70" t="n">
        <v>35.990948</v>
      </c>
      <c r="W70" t="n">
        <v>43.239637</v>
      </c>
      <c r="X70" t="n">
        <v>44.985415</v>
      </c>
      <c r="Y70" t="n">
        <v>0.644721</v>
      </c>
      <c r="Z70" t="inlineStr"/>
      <c r="AA70" t="inlineStr"/>
      <c r="AB70" t="inlineStr"/>
      <c r="AC70" t="inlineStr"/>
      <c r="AD70" t="inlineStr"/>
      <c r="AE70" t="inlineStr"/>
      <c r="AF70" t="inlineStr">
        <is>
          <t>4a44176ea2acdbca3e1d875780f1e271</t>
        </is>
      </c>
      <c r="AG70" t="inlineStr"/>
    </row>
    <row r="71">
      <c r="A71" t="inlineStr">
        <is>
          <t>AS</t>
        </is>
      </c>
      <c r="B71" t="inlineStr">
        <is>
          <t>aom</t>
        </is>
      </c>
      <c r="C71" t="inlineStr">
        <is>
          <t>av2</t>
        </is>
      </c>
      <c r="D71" t="inlineStr">
        <is>
          <t>0</t>
        </is>
      </c>
      <c r="E71" t="inlineStr">
        <is>
          <t>A1</t>
        </is>
      </c>
      <c r="F71" t="inlineStr">
        <is>
          <t>Crosswalk</t>
        </is>
      </c>
      <c r="G71" t="inlineStr">
        <is>
          <t>3840x2160</t>
        </is>
      </c>
      <c r="H71" t="inlineStr">
        <is>
          <t>60.0000</t>
        </is>
      </c>
      <c r="I71" t="inlineStr">
        <is>
          <t>10</t>
        </is>
      </c>
      <c r="J71" t="inlineStr">
        <is>
          <t>640x360</t>
        </is>
      </c>
      <c r="K71" t="inlineStr">
        <is>
          <t>185</t>
        </is>
      </c>
      <c r="L71" t="n">
        <v>161.768078</v>
      </c>
      <c r="M71" t="n">
        <v>33.464626</v>
      </c>
      <c r="N71" t="n">
        <v>41.298766</v>
      </c>
      <c r="O71" t="n">
        <v>42.61813</v>
      </c>
      <c r="P71" t="n">
        <v>11.510821</v>
      </c>
      <c r="Q71" t="n">
        <v>11.453878</v>
      </c>
      <c r="R71" t="n">
        <v>20.761703</v>
      </c>
      <c r="S71" t="n">
        <v>19.523344</v>
      </c>
      <c r="T71" t="n">
        <v>29.839808</v>
      </c>
      <c r="U71" t="n">
        <v>35.625765</v>
      </c>
      <c r="V71" t="n">
        <v>33.376679</v>
      </c>
      <c r="W71" t="n">
        <v>41.269904</v>
      </c>
      <c r="X71" t="n">
        <v>42.548526</v>
      </c>
      <c r="Y71" t="n">
        <v>0.784381</v>
      </c>
      <c r="Z71" t="inlineStr"/>
      <c r="AA71" t="inlineStr"/>
      <c r="AB71" t="inlineStr"/>
      <c r="AC71" t="inlineStr"/>
      <c r="AD71" t="inlineStr"/>
      <c r="AE71" t="inlineStr"/>
      <c r="AF71" t="inlineStr">
        <is>
          <t>6965b6f8eed09557cfb6b751d881980f</t>
        </is>
      </c>
      <c r="AG71" t="inlineStr"/>
    </row>
    <row r="72">
      <c r="A72" t="inlineStr">
        <is>
          <t>AS</t>
        </is>
      </c>
      <c r="B72" t="inlineStr">
        <is>
          <t>aom</t>
        </is>
      </c>
      <c r="C72" t="inlineStr">
        <is>
          <t>av2</t>
        </is>
      </c>
      <c r="D72" t="inlineStr">
        <is>
          <t>0</t>
        </is>
      </c>
      <c r="E72" t="inlineStr">
        <is>
          <t>A1</t>
        </is>
      </c>
      <c r="F72" t="inlineStr">
        <is>
          <t>Crosswalk</t>
        </is>
      </c>
      <c r="G72" t="inlineStr">
        <is>
          <t>3840x2160</t>
        </is>
      </c>
      <c r="H72" t="inlineStr">
        <is>
          <t>60.0000</t>
        </is>
      </c>
      <c r="I72" t="inlineStr">
        <is>
          <t>10</t>
        </is>
      </c>
      <c r="J72" t="inlineStr">
        <is>
          <t>640x360</t>
        </is>
      </c>
      <c r="K72" t="inlineStr">
        <is>
          <t>210</t>
        </is>
      </c>
      <c r="L72" t="n">
        <v>74.274034</v>
      </c>
      <c r="M72" t="n">
        <v>30.557395</v>
      </c>
      <c r="N72" t="n">
        <v>38.909068</v>
      </c>
      <c r="O72" t="n">
        <v>40.010353</v>
      </c>
      <c r="P72" t="n">
        <v>8.900869</v>
      </c>
      <c r="Q72" t="n">
        <v>9.529189000000001</v>
      </c>
      <c r="R72" t="n">
        <v>6.660399</v>
      </c>
      <c r="S72" t="n">
        <v>6.207819</v>
      </c>
      <c r="T72" t="n">
        <v>26.94113</v>
      </c>
      <c r="U72" t="n">
        <v>32.92138</v>
      </c>
      <c r="V72" t="n">
        <v>30.472547</v>
      </c>
      <c r="W72" t="n">
        <v>38.871455</v>
      </c>
      <c r="X72" t="n">
        <v>39.921664</v>
      </c>
      <c r="Y72" t="n">
        <v>0.978044</v>
      </c>
      <c r="Z72" t="inlineStr"/>
      <c r="AA72" t="inlineStr"/>
      <c r="AB72" t="inlineStr"/>
      <c r="AC72" t="inlineStr"/>
      <c r="AD72" t="inlineStr"/>
      <c r="AE72" t="inlineStr"/>
      <c r="AF72" t="inlineStr">
        <is>
          <t>c9130619c51a883c3f336e07bf430d36</t>
        </is>
      </c>
      <c r="AG72" t="inlineStr"/>
    </row>
    <row r="73">
      <c r="A73" t="inlineStr">
        <is>
          <t>AS</t>
        </is>
      </c>
      <c r="B73" t="inlineStr">
        <is>
          <t>aom</t>
        </is>
      </c>
      <c r="C73" t="inlineStr">
        <is>
          <t>av2</t>
        </is>
      </c>
      <c r="D73" t="inlineStr">
        <is>
          <t>0</t>
        </is>
      </c>
      <c r="E73" t="inlineStr">
        <is>
          <t>A1</t>
        </is>
      </c>
      <c r="F73" t="inlineStr">
        <is>
          <t>Crosswalk</t>
        </is>
      </c>
      <c r="G73" t="inlineStr">
        <is>
          <t>3840x2160</t>
        </is>
      </c>
      <c r="H73" t="inlineStr">
        <is>
          <t>60.0000</t>
        </is>
      </c>
      <c r="I73" t="inlineStr">
        <is>
          <t>10</t>
        </is>
      </c>
      <c r="J73" t="inlineStr">
        <is>
          <t>640x360</t>
        </is>
      </c>
      <c r="K73" t="inlineStr">
        <is>
          <t>235</t>
        </is>
      </c>
      <c r="L73" t="n">
        <v>34.481211</v>
      </c>
      <c r="M73" t="n">
        <v>27.680937</v>
      </c>
      <c r="N73" t="n">
        <v>36.556307</v>
      </c>
      <c r="O73" t="n">
        <v>37.113157</v>
      </c>
      <c r="P73" t="n">
        <v>6.943331</v>
      </c>
      <c r="Q73" t="n">
        <v>7.959722</v>
      </c>
      <c r="R73" t="n">
        <v>0.22054</v>
      </c>
      <c r="S73" t="n">
        <v>0.19928</v>
      </c>
      <c r="T73" t="n">
        <v>24.126915</v>
      </c>
      <c r="U73" t="n">
        <v>30.181794</v>
      </c>
      <c r="V73" t="n">
        <v>27.610525</v>
      </c>
      <c r="W73" t="n">
        <v>36.52783</v>
      </c>
      <c r="X73" t="n">
        <v>37.047372</v>
      </c>
      <c r="Y73" t="n">
        <v>1.157833</v>
      </c>
      <c r="Z73" t="inlineStr"/>
      <c r="AA73" t="inlineStr"/>
      <c r="AB73" t="inlineStr"/>
      <c r="AC73" t="inlineStr"/>
      <c r="AD73" t="inlineStr"/>
      <c r="AE73" t="inlineStr"/>
      <c r="AF73" t="inlineStr">
        <is>
          <t>7a8adc779c6fd5b8dbeb9520ee7e1175</t>
        </is>
      </c>
      <c r="AG73" t="inlineStr"/>
    </row>
    <row r="74">
      <c r="A74" t="inlineStr">
        <is>
          <t>AS</t>
        </is>
      </c>
      <c r="B74" t="inlineStr">
        <is>
          <t>aom</t>
        </is>
      </c>
      <c r="C74" t="inlineStr">
        <is>
          <t>av2</t>
        </is>
      </c>
      <c r="D74" t="inlineStr">
        <is>
          <t>0</t>
        </is>
      </c>
      <c r="E74" t="inlineStr">
        <is>
          <t>A1</t>
        </is>
      </c>
      <c r="F74" t="inlineStr">
        <is>
          <t>FoodMarket2</t>
        </is>
      </c>
      <c r="G74" t="inlineStr">
        <is>
          <t>3840x2160</t>
        </is>
      </c>
      <c r="H74" t="inlineStr">
        <is>
          <t>60.0000</t>
        </is>
      </c>
      <c r="I74" t="inlineStr">
        <is>
          <t>10</t>
        </is>
      </c>
      <c r="J74" t="inlineStr">
        <is>
          <t>3840x2160</t>
        </is>
      </c>
      <c r="K74" t="inlineStr">
        <is>
          <t>110</t>
        </is>
      </c>
      <c r="L74" t="n">
        <v>27113.644509</v>
      </c>
      <c r="M74" t="n">
        <v>43.144243</v>
      </c>
      <c r="N74" t="n">
        <v>49.111869</v>
      </c>
      <c r="O74" t="n">
        <v>49.327634</v>
      </c>
      <c r="P74" t="n">
        <v>32.232008</v>
      </c>
      <c r="Q74" t="n">
        <v>22.84528</v>
      </c>
      <c r="R74" t="n">
        <v>99.971535</v>
      </c>
      <c r="S74" t="n">
        <v>99.96342799999999</v>
      </c>
      <c r="T74" t="n">
        <v>44.66219</v>
      </c>
      <c r="U74" t="n">
        <v>44.176558</v>
      </c>
      <c r="V74" t="n">
        <v>43.043312</v>
      </c>
      <c r="W74" t="n">
        <v>49.021137</v>
      </c>
      <c r="X74" t="n">
        <v>49.23163</v>
      </c>
      <c r="Y74" t="n">
        <v>0.009653</v>
      </c>
      <c r="Z74" t="inlineStr"/>
      <c r="AA74" t="inlineStr"/>
      <c r="AB74" t="inlineStr"/>
      <c r="AC74" t="inlineStr"/>
      <c r="AD74" t="inlineStr"/>
      <c r="AE74" t="inlineStr"/>
      <c r="AF74" t="inlineStr">
        <is>
          <t>33eff4e65b320e053e0a16c0cb6eb31b</t>
        </is>
      </c>
      <c r="AG74" t="inlineStr"/>
    </row>
    <row r="75">
      <c r="A75" t="inlineStr">
        <is>
          <t>AS</t>
        </is>
      </c>
      <c r="B75" t="inlineStr">
        <is>
          <t>aom</t>
        </is>
      </c>
      <c r="C75" t="inlineStr">
        <is>
          <t>av2</t>
        </is>
      </c>
      <c r="D75" t="inlineStr">
        <is>
          <t>0</t>
        </is>
      </c>
      <c r="E75" t="inlineStr">
        <is>
          <t>A1</t>
        </is>
      </c>
      <c r="F75" t="inlineStr">
        <is>
          <t>FoodMarket2</t>
        </is>
      </c>
      <c r="G75" t="inlineStr">
        <is>
          <t>3840x2160</t>
        </is>
      </c>
      <c r="H75" t="inlineStr">
        <is>
          <t>60.0000</t>
        </is>
      </c>
      <c r="I75" t="inlineStr">
        <is>
          <t>10</t>
        </is>
      </c>
      <c r="J75" t="inlineStr">
        <is>
          <t>3840x2160</t>
        </is>
      </c>
      <c r="K75" t="inlineStr">
        <is>
          <t>135</t>
        </is>
      </c>
      <c r="L75" t="n">
        <v>11641.034658</v>
      </c>
      <c r="M75" t="n">
        <v>41.694021</v>
      </c>
      <c r="N75" t="n">
        <v>47.332324</v>
      </c>
      <c r="O75" t="n">
        <v>47.494587</v>
      </c>
      <c r="P75" t="n">
        <v>29.013969</v>
      </c>
      <c r="Q75" t="n">
        <v>21.009449</v>
      </c>
      <c r="R75" t="n">
        <v>99.95934800000001</v>
      </c>
      <c r="S75" t="n">
        <v>99.947534</v>
      </c>
      <c r="T75" t="n">
        <v>41.52718</v>
      </c>
      <c r="U75" t="n">
        <v>42.675902</v>
      </c>
      <c r="V75" t="n">
        <v>41.624746</v>
      </c>
      <c r="W75" t="n">
        <v>47.259774</v>
      </c>
      <c r="X75" t="n">
        <v>47.40536</v>
      </c>
      <c r="Y75" t="n">
        <v>0.010733</v>
      </c>
      <c r="Z75" t="inlineStr"/>
      <c r="AA75" t="inlineStr"/>
      <c r="AB75" t="inlineStr"/>
      <c r="AC75" t="inlineStr"/>
      <c r="AD75" t="inlineStr"/>
      <c r="AE75" t="inlineStr"/>
      <c r="AF75" t="inlineStr">
        <is>
          <t>2a37a9f4761bafd6be6087d2066f89c9</t>
        </is>
      </c>
      <c r="AG75" t="inlineStr"/>
    </row>
    <row r="76">
      <c r="A76" t="inlineStr">
        <is>
          <t>AS</t>
        </is>
      </c>
      <c r="B76" t="inlineStr">
        <is>
          <t>aom</t>
        </is>
      </c>
      <c r="C76" t="inlineStr">
        <is>
          <t>av2</t>
        </is>
      </c>
      <c r="D76" t="inlineStr">
        <is>
          <t>0</t>
        </is>
      </c>
      <c r="E76" t="inlineStr">
        <is>
          <t>A1</t>
        </is>
      </c>
      <c r="F76" t="inlineStr">
        <is>
          <t>FoodMarket2</t>
        </is>
      </c>
      <c r="G76" t="inlineStr">
        <is>
          <t>3840x2160</t>
        </is>
      </c>
      <c r="H76" t="inlineStr">
        <is>
          <t>60.0000</t>
        </is>
      </c>
      <c r="I76" t="inlineStr">
        <is>
          <t>10</t>
        </is>
      </c>
      <c r="J76" t="inlineStr">
        <is>
          <t>3840x2160</t>
        </is>
      </c>
      <c r="K76" t="inlineStr">
        <is>
          <t>160</t>
        </is>
      </c>
      <c r="L76" t="n">
        <v>5262.479059</v>
      </c>
      <c r="M76" t="n">
        <v>39.395795</v>
      </c>
      <c r="N76" t="n">
        <v>45.012401</v>
      </c>
      <c r="O76" t="n">
        <v>45.094992</v>
      </c>
      <c r="P76" t="n">
        <v>24.818257</v>
      </c>
      <c r="Q76" t="n">
        <v>18.357048</v>
      </c>
      <c r="R76" t="n">
        <v>98.695179</v>
      </c>
      <c r="S76" t="n">
        <v>96.45473</v>
      </c>
      <c r="T76" t="n">
        <v>37.494461</v>
      </c>
      <c r="U76" t="n">
        <v>40.495101</v>
      </c>
      <c r="V76" t="n">
        <v>39.319058</v>
      </c>
      <c r="W76" t="n">
        <v>44.936474</v>
      </c>
      <c r="X76" t="n">
        <v>44.993775</v>
      </c>
      <c r="Y76" t="n">
        <v>0.012851</v>
      </c>
      <c r="Z76" t="inlineStr"/>
      <c r="AA76" t="inlineStr"/>
      <c r="AB76" t="inlineStr"/>
      <c r="AC76" t="inlineStr"/>
      <c r="AD76" t="inlineStr"/>
      <c r="AE76" t="inlineStr"/>
      <c r="AF76" t="inlineStr">
        <is>
          <t>55cad9d47f97c42422af377b6f95e6bd</t>
        </is>
      </c>
      <c r="AG76" t="inlineStr"/>
    </row>
    <row r="77">
      <c r="A77" t="inlineStr">
        <is>
          <t>AS</t>
        </is>
      </c>
      <c r="B77" t="inlineStr">
        <is>
          <t>aom</t>
        </is>
      </c>
      <c r="C77" t="inlineStr">
        <is>
          <t>av2</t>
        </is>
      </c>
      <c r="D77" t="inlineStr">
        <is>
          <t>0</t>
        </is>
      </c>
      <c r="E77" t="inlineStr">
        <is>
          <t>A1</t>
        </is>
      </c>
      <c r="F77" t="inlineStr">
        <is>
          <t>FoodMarket2</t>
        </is>
      </c>
      <c r="G77" t="inlineStr">
        <is>
          <t>3840x2160</t>
        </is>
      </c>
      <c r="H77" t="inlineStr">
        <is>
          <t>60.0000</t>
        </is>
      </c>
      <c r="I77" t="inlineStr">
        <is>
          <t>10</t>
        </is>
      </c>
      <c r="J77" t="inlineStr">
        <is>
          <t>3840x2160</t>
        </is>
      </c>
      <c r="K77" t="inlineStr">
        <is>
          <t>185</t>
        </is>
      </c>
      <c r="L77" t="n">
        <v>2434.503343</v>
      </c>
      <c r="M77" t="n">
        <v>36.483273</v>
      </c>
      <c r="N77" t="n">
        <v>42.464811</v>
      </c>
      <c r="O77" t="n">
        <v>42.451809</v>
      </c>
      <c r="P77" t="n">
        <v>20.295724</v>
      </c>
      <c r="Q77" t="n">
        <v>15.273115</v>
      </c>
      <c r="R77" t="n">
        <v>84.71569100000001</v>
      </c>
      <c r="S77" t="n">
        <v>82.215425</v>
      </c>
      <c r="T77" t="n">
        <v>33.335512</v>
      </c>
      <c r="U77" t="n">
        <v>37.848282</v>
      </c>
      <c r="V77" t="n">
        <v>36.396366</v>
      </c>
      <c r="W77" t="n">
        <v>42.384885</v>
      </c>
      <c r="X77" t="n">
        <v>42.339125</v>
      </c>
      <c r="Y77" t="n">
        <v>0.014925</v>
      </c>
      <c r="Z77" t="inlineStr"/>
      <c r="AA77" t="inlineStr"/>
      <c r="AB77" t="inlineStr"/>
      <c r="AC77" t="inlineStr"/>
      <c r="AD77" t="inlineStr"/>
      <c r="AE77" t="inlineStr"/>
      <c r="AF77" t="inlineStr">
        <is>
          <t>09bf25174c3d77720aaf5580662a029c</t>
        </is>
      </c>
      <c r="AG77" t="inlineStr"/>
    </row>
    <row r="78">
      <c r="A78" t="inlineStr">
        <is>
          <t>AS</t>
        </is>
      </c>
      <c r="B78" t="inlineStr">
        <is>
          <t>aom</t>
        </is>
      </c>
      <c r="C78" t="inlineStr">
        <is>
          <t>av2</t>
        </is>
      </c>
      <c r="D78" t="inlineStr">
        <is>
          <t>0</t>
        </is>
      </c>
      <c r="E78" t="inlineStr">
        <is>
          <t>A1</t>
        </is>
      </c>
      <c r="F78" t="inlineStr">
        <is>
          <t>FoodMarket2</t>
        </is>
      </c>
      <c r="G78" t="inlineStr">
        <is>
          <t>3840x2160</t>
        </is>
      </c>
      <c r="H78" t="inlineStr">
        <is>
          <t>60.0000</t>
        </is>
      </c>
      <c r="I78" t="inlineStr">
        <is>
          <t>10</t>
        </is>
      </c>
      <c r="J78" t="inlineStr">
        <is>
          <t>3840x2160</t>
        </is>
      </c>
      <c r="K78" t="inlineStr">
        <is>
          <t>210</t>
        </is>
      </c>
      <c r="L78" t="n">
        <v>1092.993161</v>
      </c>
      <c r="M78" t="n">
        <v>33.263261</v>
      </c>
      <c r="N78" t="n">
        <v>39.829123</v>
      </c>
      <c r="O78" t="n">
        <v>39.703347</v>
      </c>
      <c r="P78" t="n">
        <v>15.848696</v>
      </c>
      <c r="Q78" t="n">
        <v>12.118986</v>
      </c>
      <c r="R78" t="n">
        <v>63.409191</v>
      </c>
      <c r="S78" t="n">
        <v>61.390307</v>
      </c>
      <c r="T78" t="n">
        <v>29.372682</v>
      </c>
      <c r="U78" t="n">
        <v>34.951777</v>
      </c>
      <c r="V78" t="n">
        <v>33.169688</v>
      </c>
      <c r="W78" t="n">
        <v>39.742629</v>
      </c>
      <c r="X78" t="n">
        <v>39.590747</v>
      </c>
      <c r="Y78" t="n">
        <v>0.027734</v>
      </c>
      <c r="Z78" t="inlineStr"/>
      <c r="AA78" t="inlineStr"/>
      <c r="AB78" t="inlineStr"/>
      <c r="AC78" t="inlineStr"/>
      <c r="AD78" t="inlineStr"/>
      <c r="AE78" t="inlineStr"/>
      <c r="AF78" t="inlineStr">
        <is>
          <t>9a062e04e553a1548eaf34454ccc7fec</t>
        </is>
      </c>
      <c r="AG78" t="inlineStr"/>
    </row>
    <row r="79">
      <c r="A79" t="inlineStr">
        <is>
          <t>AS</t>
        </is>
      </c>
      <c r="B79" t="inlineStr">
        <is>
          <t>aom</t>
        </is>
      </c>
      <c r="C79" t="inlineStr">
        <is>
          <t>av2</t>
        </is>
      </c>
      <c r="D79" t="inlineStr">
        <is>
          <t>0</t>
        </is>
      </c>
      <c r="E79" t="inlineStr">
        <is>
          <t>A1</t>
        </is>
      </c>
      <c r="F79" t="inlineStr">
        <is>
          <t>FoodMarket2</t>
        </is>
      </c>
      <c r="G79" t="inlineStr">
        <is>
          <t>3840x2160</t>
        </is>
      </c>
      <c r="H79" t="inlineStr">
        <is>
          <t>60.0000</t>
        </is>
      </c>
      <c r="I79" t="inlineStr">
        <is>
          <t>10</t>
        </is>
      </c>
      <c r="J79" t="inlineStr">
        <is>
          <t>3840x2160</t>
        </is>
      </c>
      <c r="K79" t="inlineStr">
        <is>
          <t>235</t>
        </is>
      </c>
      <c r="L79" t="n">
        <v>461.671252</v>
      </c>
      <c r="M79" t="n">
        <v>29.985913</v>
      </c>
      <c r="N79" t="n">
        <v>37.170046</v>
      </c>
      <c r="O79" t="n">
        <v>36.879309</v>
      </c>
      <c r="P79" t="n">
        <v>11.706346</v>
      </c>
      <c r="Q79" t="n">
        <v>9.164930999999999</v>
      </c>
      <c r="R79" t="n">
        <v>40.749771</v>
      </c>
      <c r="S79" t="n">
        <v>39.485823</v>
      </c>
      <c r="T79" t="n">
        <v>25.742429</v>
      </c>
      <c r="U79" t="n">
        <v>31.928954</v>
      </c>
      <c r="V79" t="n">
        <v>29.893895</v>
      </c>
      <c r="W79" t="n">
        <v>37.084602</v>
      </c>
      <c r="X79" t="n">
        <v>36.768183</v>
      </c>
      <c r="Y79" t="n">
        <v>0.071697</v>
      </c>
      <c r="Z79" t="inlineStr"/>
      <c r="AA79" t="inlineStr"/>
      <c r="AB79" t="inlineStr"/>
      <c r="AC79" t="inlineStr"/>
      <c r="AD79" t="inlineStr"/>
      <c r="AE79" t="inlineStr"/>
      <c r="AF79" t="inlineStr">
        <is>
          <t>5648877088f4c5685b601dc74162f843</t>
        </is>
      </c>
      <c r="AG79" t="inlineStr"/>
    </row>
    <row r="80">
      <c r="A80" t="inlineStr">
        <is>
          <t>AS</t>
        </is>
      </c>
      <c r="B80" t="inlineStr">
        <is>
          <t>aom</t>
        </is>
      </c>
      <c r="C80" t="inlineStr">
        <is>
          <t>av2</t>
        </is>
      </c>
      <c r="D80" t="inlineStr">
        <is>
          <t>0</t>
        </is>
      </c>
      <c r="E80" t="inlineStr">
        <is>
          <t>A1</t>
        </is>
      </c>
      <c r="F80" t="inlineStr">
        <is>
          <t>FoodMarket2</t>
        </is>
      </c>
      <c r="G80" t="inlineStr">
        <is>
          <t>3840x2160</t>
        </is>
      </c>
      <c r="H80" t="inlineStr">
        <is>
          <t>60.0000</t>
        </is>
      </c>
      <c r="I80" t="inlineStr">
        <is>
          <t>10</t>
        </is>
      </c>
      <c r="J80" t="inlineStr">
        <is>
          <t>2560x1440</t>
        </is>
      </c>
      <c r="K80" t="inlineStr">
        <is>
          <t>110</t>
        </is>
      </c>
      <c r="L80" t="n">
        <v>15871.010221</v>
      </c>
      <c r="M80" t="n">
        <v>42.259878</v>
      </c>
      <c r="N80" t="n">
        <v>47.834499</v>
      </c>
      <c r="O80" t="n">
        <v>47.893291</v>
      </c>
      <c r="P80" t="n">
        <v>30.500461</v>
      </c>
      <c r="Q80" t="n">
        <v>21.840409</v>
      </c>
      <c r="R80" t="n">
        <v>99.963303</v>
      </c>
      <c r="S80" t="n">
        <v>99.952792</v>
      </c>
      <c r="T80" t="n">
        <v>42.89467</v>
      </c>
      <c r="U80" t="n">
        <v>43.222668</v>
      </c>
      <c r="V80" t="n">
        <v>42.186575</v>
      </c>
      <c r="W80" t="n">
        <v>47.742527</v>
      </c>
      <c r="X80" t="n">
        <v>47.779439</v>
      </c>
      <c r="Y80" t="n">
        <v>0.01019</v>
      </c>
      <c r="Z80" t="inlineStr"/>
      <c r="AA80" t="inlineStr"/>
      <c r="AB80" t="inlineStr"/>
      <c r="AC80" t="inlineStr"/>
      <c r="AD80" t="inlineStr"/>
      <c r="AE80" t="inlineStr"/>
      <c r="AF80" t="inlineStr">
        <is>
          <t>c20a68d63ce7d63a242229e8f1d09058</t>
        </is>
      </c>
      <c r="AG80" t="inlineStr"/>
    </row>
    <row r="81">
      <c r="A81" t="inlineStr">
        <is>
          <t>AS</t>
        </is>
      </c>
      <c r="B81" t="inlineStr">
        <is>
          <t>aom</t>
        </is>
      </c>
      <c r="C81" t="inlineStr">
        <is>
          <t>av2</t>
        </is>
      </c>
      <c r="D81" t="inlineStr">
        <is>
          <t>0</t>
        </is>
      </c>
      <c r="E81" t="inlineStr">
        <is>
          <t>A1</t>
        </is>
      </c>
      <c r="F81" t="inlineStr">
        <is>
          <t>FoodMarket2</t>
        </is>
      </c>
      <c r="G81" t="inlineStr">
        <is>
          <t>3840x2160</t>
        </is>
      </c>
      <c r="H81" t="inlineStr">
        <is>
          <t>60.0000</t>
        </is>
      </c>
      <c r="I81" t="inlineStr">
        <is>
          <t>10</t>
        </is>
      </c>
      <c r="J81" t="inlineStr">
        <is>
          <t>2560x1440</t>
        </is>
      </c>
      <c r="K81" t="inlineStr">
        <is>
          <t>135</t>
        </is>
      </c>
      <c r="L81" t="n">
        <v>7387.88719</v>
      </c>
      <c r="M81" t="n">
        <v>40.482372</v>
      </c>
      <c r="N81" t="n">
        <v>45.969028</v>
      </c>
      <c r="O81" t="n">
        <v>46.011535</v>
      </c>
      <c r="P81" t="n">
        <v>26.819249</v>
      </c>
      <c r="Q81" t="n">
        <v>19.641437</v>
      </c>
      <c r="R81" t="n">
        <v>99.945099</v>
      </c>
      <c r="S81" t="n">
        <v>99.67664600000001</v>
      </c>
      <c r="T81" t="n">
        <v>39.35904</v>
      </c>
      <c r="U81" t="n">
        <v>41.500032</v>
      </c>
      <c r="V81" t="n">
        <v>40.410851</v>
      </c>
      <c r="W81" t="n">
        <v>45.885043</v>
      </c>
      <c r="X81" t="n">
        <v>45.899329</v>
      </c>
      <c r="Y81" t="n">
        <v>0.01243</v>
      </c>
      <c r="Z81" t="inlineStr"/>
      <c r="AA81" t="inlineStr"/>
      <c r="AB81" t="inlineStr"/>
      <c r="AC81" t="inlineStr"/>
      <c r="AD81" t="inlineStr"/>
      <c r="AE81" t="inlineStr"/>
      <c r="AF81" t="inlineStr">
        <is>
          <t>735a9960fd0e332012ed70738c6aba0f</t>
        </is>
      </c>
      <c r="AG81" t="inlineStr"/>
    </row>
    <row r="82">
      <c r="A82" t="inlineStr">
        <is>
          <t>AS</t>
        </is>
      </c>
      <c r="B82" t="inlineStr">
        <is>
          <t>aom</t>
        </is>
      </c>
      <c r="C82" t="inlineStr">
        <is>
          <t>av2</t>
        </is>
      </c>
      <c r="D82" t="inlineStr">
        <is>
          <t>0</t>
        </is>
      </c>
      <c r="E82" t="inlineStr">
        <is>
          <t>A1</t>
        </is>
      </c>
      <c r="F82" t="inlineStr">
        <is>
          <t>FoodMarket2</t>
        </is>
      </c>
      <c r="G82" t="inlineStr">
        <is>
          <t>3840x2160</t>
        </is>
      </c>
      <c r="H82" t="inlineStr">
        <is>
          <t>60.0000</t>
        </is>
      </c>
      <c r="I82" t="inlineStr">
        <is>
          <t>10</t>
        </is>
      </c>
      <c r="J82" t="inlineStr">
        <is>
          <t>2560x1440</t>
        </is>
      </c>
      <c r="K82" t="inlineStr">
        <is>
          <t>160</t>
        </is>
      </c>
      <c r="L82" t="n">
        <v>3377.568893</v>
      </c>
      <c r="M82" t="n">
        <v>37.835397</v>
      </c>
      <c r="N82" t="n">
        <v>43.567116</v>
      </c>
      <c r="O82" t="n">
        <v>43.570864</v>
      </c>
      <c r="P82" t="n">
        <v>22.399536</v>
      </c>
      <c r="Q82" t="n">
        <v>16.699502</v>
      </c>
      <c r="R82" t="n">
        <v>92.566236</v>
      </c>
      <c r="S82" t="n">
        <v>89.820275</v>
      </c>
      <c r="T82" t="n">
        <v>35.192481</v>
      </c>
      <c r="U82" t="n">
        <v>39.078212</v>
      </c>
      <c r="V82" t="n">
        <v>37.751095</v>
      </c>
      <c r="W82" t="n">
        <v>43.48826</v>
      </c>
      <c r="X82" t="n">
        <v>43.458146</v>
      </c>
      <c r="Y82" t="n">
        <v>0.012995</v>
      </c>
      <c r="Z82" t="inlineStr"/>
      <c r="AA82" t="inlineStr"/>
      <c r="AB82" t="inlineStr"/>
      <c r="AC82" t="inlineStr"/>
      <c r="AD82" t="inlineStr"/>
      <c r="AE82" t="inlineStr"/>
      <c r="AF82" t="inlineStr">
        <is>
          <t>2367e25dc42905372898bf8c9372228a</t>
        </is>
      </c>
      <c r="AG82" t="inlineStr"/>
    </row>
    <row r="83">
      <c r="A83" t="inlineStr">
        <is>
          <t>AS</t>
        </is>
      </c>
      <c r="B83" t="inlineStr">
        <is>
          <t>aom</t>
        </is>
      </c>
      <c r="C83" t="inlineStr">
        <is>
          <t>av2</t>
        </is>
      </c>
      <c r="D83" t="inlineStr">
        <is>
          <t>0</t>
        </is>
      </c>
      <c r="E83" t="inlineStr">
        <is>
          <t>A1</t>
        </is>
      </c>
      <c r="F83" t="inlineStr">
        <is>
          <t>FoodMarket2</t>
        </is>
      </c>
      <c r="G83" t="inlineStr">
        <is>
          <t>3840x2160</t>
        </is>
      </c>
      <c r="H83" t="inlineStr">
        <is>
          <t>60.0000</t>
        </is>
      </c>
      <c r="I83" t="inlineStr">
        <is>
          <t>10</t>
        </is>
      </c>
      <c r="J83" t="inlineStr">
        <is>
          <t>2560x1440</t>
        </is>
      </c>
      <c r="K83" t="inlineStr">
        <is>
          <t>185</t>
        </is>
      </c>
      <c r="L83" t="n">
        <v>1536.42788</v>
      </c>
      <c r="M83" t="n">
        <v>34.767992</v>
      </c>
      <c r="N83" t="n">
        <v>41.067937</v>
      </c>
      <c r="O83" t="n">
        <v>41.041688</v>
      </c>
      <c r="P83" t="n">
        <v>17.890644</v>
      </c>
      <c r="Q83" t="n">
        <v>13.56967</v>
      </c>
      <c r="R83" t="n">
        <v>74.33517000000001</v>
      </c>
      <c r="S83" t="n">
        <v>71.866343</v>
      </c>
      <c r="T83" t="n">
        <v>31.170597</v>
      </c>
      <c r="U83" t="n">
        <v>36.351196</v>
      </c>
      <c r="V83" t="n">
        <v>34.673752</v>
      </c>
      <c r="W83" t="n">
        <v>40.977935</v>
      </c>
      <c r="X83" t="n">
        <v>40.913242</v>
      </c>
      <c r="Y83" t="n">
        <v>0.020945</v>
      </c>
      <c r="Z83" t="inlineStr"/>
      <c r="AA83" t="inlineStr"/>
      <c r="AB83" t="inlineStr"/>
      <c r="AC83" t="inlineStr"/>
      <c r="AD83" t="inlineStr"/>
      <c r="AE83" t="inlineStr"/>
      <c r="AF83" t="inlineStr">
        <is>
          <t>5c6ded19e5400cc6c18995c78ed14d11</t>
        </is>
      </c>
      <c r="AG83" t="inlineStr"/>
    </row>
    <row r="84">
      <c r="A84" t="inlineStr">
        <is>
          <t>AS</t>
        </is>
      </c>
      <c r="B84" t="inlineStr">
        <is>
          <t>aom</t>
        </is>
      </c>
      <c r="C84" t="inlineStr">
        <is>
          <t>av2</t>
        </is>
      </c>
      <c r="D84" t="inlineStr">
        <is>
          <t>0</t>
        </is>
      </c>
      <c r="E84" t="inlineStr">
        <is>
          <t>A1</t>
        </is>
      </c>
      <c r="F84" t="inlineStr">
        <is>
          <t>FoodMarket2</t>
        </is>
      </c>
      <c r="G84" t="inlineStr">
        <is>
          <t>3840x2160</t>
        </is>
      </c>
      <c r="H84" t="inlineStr">
        <is>
          <t>60.0000</t>
        </is>
      </c>
      <c r="I84" t="inlineStr">
        <is>
          <t>10</t>
        </is>
      </c>
      <c r="J84" t="inlineStr">
        <is>
          <t>2560x1440</t>
        </is>
      </c>
      <c r="K84" t="inlineStr">
        <is>
          <t>210</t>
        </is>
      </c>
      <c r="L84" t="n">
        <v>666.500269</v>
      </c>
      <c r="M84" t="n">
        <v>31.537045</v>
      </c>
      <c r="N84" t="n">
        <v>38.541911</v>
      </c>
      <c r="O84" t="n">
        <v>38.403477</v>
      </c>
      <c r="P84" t="n">
        <v>13.63238</v>
      </c>
      <c r="Q84" t="n">
        <v>10.539158</v>
      </c>
      <c r="R84" t="n">
        <v>51.553877</v>
      </c>
      <c r="S84" t="n">
        <v>49.806024</v>
      </c>
      <c r="T84" t="n">
        <v>27.426811</v>
      </c>
      <c r="U84" t="n">
        <v>33.445952</v>
      </c>
      <c r="V84" t="n">
        <v>31.436376</v>
      </c>
      <c r="W84" t="n">
        <v>38.453649</v>
      </c>
      <c r="X84" t="n">
        <v>38.281841</v>
      </c>
      <c r="Y84" t="n">
        <v>0.048812</v>
      </c>
      <c r="Z84" t="inlineStr"/>
      <c r="AA84" t="inlineStr"/>
      <c r="AB84" t="inlineStr"/>
      <c r="AC84" t="inlineStr"/>
      <c r="AD84" t="inlineStr"/>
      <c r="AE84" t="inlineStr"/>
      <c r="AF84" t="inlineStr">
        <is>
          <t>0549ca64f07cb9777e385fc25f521a5f</t>
        </is>
      </c>
      <c r="AG84" t="inlineStr"/>
    </row>
    <row r="85">
      <c r="A85" t="inlineStr">
        <is>
          <t>AS</t>
        </is>
      </c>
      <c r="B85" t="inlineStr">
        <is>
          <t>aom</t>
        </is>
      </c>
      <c r="C85" t="inlineStr">
        <is>
          <t>av2</t>
        </is>
      </c>
      <c r="D85" t="inlineStr">
        <is>
          <t>0</t>
        </is>
      </c>
      <c r="E85" t="inlineStr">
        <is>
          <t>A1</t>
        </is>
      </c>
      <c r="F85" t="inlineStr">
        <is>
          <t>FoodMarket2</t>
        </is>
      </c>
      <c r="G85" t="inlineStr">
        <is>
          <t>3840x2160</t>
        </is>
      </c>
      <c r="H85" t="inlineStr">
        <is>
          <t>60.0000</t>
        </is>
      </c>
      <c r="I85" t="inlineStr">
        <is>
          <t>10</t>
        </is>
      </c>
      <c r="J85" t="inlineStr">
        <is>
          <t>2560x1440</t>
        </is>
      </c>
      <c r="K85" t="inlineStr">
        <is>
          <t>235</t>
        </is>
      </c>
      <c r="L85" t="n">
        <v>271.113502</v>
      </c>
      <c r="M85" t="n">
        <v>28.373537</v>
      </c>
      <c r="N85" t="n">
        <v>36.102561</v>
      </c>
      <c r="O85" t="n">
        <v>35.772544</v>
      </c>
      <c r="P85" t="n">
        <v>9.74995</v>
      </c>
      <c r="Q85" t="n">
        <v>7.811879</v>
      </c>
      <c r="R85" t="n">
        <v>31.378007</v>
      </c>
      <c r="S85" t="n">
        <v>30.454932</v>
      </c>
      <c r="T85" t="n">
        <v>24.086695</v>
      </c>
      <c r="U85" t="n">
        <v>30.564846</v>
      </c>
      <c r="V85" t="n">
        <v>28.277731</v>
      </c>
      <c r="W85" t="n">
        <v>36.003941</v>
      </c>
      <c r="X85" t="n">
        <v>35.657901</v>
      </c>
      <c r="Y85" t="n">
        <v>0.118895</v>
      </c>
      <c r="Z85" t="inlineStr"/>
      <c r="AA85" t="inlineStr"/>
      <c r="AB85" t="inlineStr"/>
      <c r="AC85" t="inlineStr"/>
      <c r="AD85" t="inlineStr"/>
      <c r="AE85" t="inlineStr"/>
      <c r="AF85" t="inlineStr">
        <is>
          <t>09fa86225970c9e1568801f51f00b3e7</t>
        </is>
      </c>
      <c r="AG85" t="inlineStr"/>
    </row>
    <row r="86">
      <c r="A86" t="inlineStr">
        <is>
          <t>AS</t>
        </is>
      </c>
      <c r="B86" t="inlineStr">
        <is>
          <t>aom</t>
        </is>
      </c>
      <c r="C86" t="inlineStr">
        <is>
          <t>av2</t>
        </is>
      </c>
      <c r="D86" t="inlineStr">
        <is>
          <t>0</t>
        </is>
      </c>
      <c r="E86" t="inlineStr">
        <is>
          <t>A1</t>
        </is>
      </c>
      <c r="F86" t="inlineStr">
        <is>
          <t>FoodMarket2</t>
        </is>
      </c>
      <c r="G86" t="inlineStr">
        <is>
          <t>3840x2160</t>
        </is>
      </c>
      <c r="H86" t="inlineStr">
        <is>
          <t>60.0000</t>
        </is>
      </c>
      <c r="I86" t="inlineStr">
        <is>
          <t>10</t>
        </is>
      </c>
      <c r="J86" t="inlineStr">
        <is>
          <t>1920x1080</t>
        </is>
      </c>
      <c r="K86" t="inlineStr">
        <is>
          <t>110</t>
        </is>
      </c>
      <c r="L86" t="n">
        <v>11435.047414</v>
      </c>
      <c r="M86" t="n">
        <v>41.191686</v>
      </c>
      <c r="N86" t="n">
        <v>46.511405</v>
      </c>
      <c r="O86" t="n">
        <v>46.527271</v>
      </c>
      <c r="P86" t="n">
        <v>28.955545</v>
      </c>
      <c r="Q86" t="n">
        <v>20.778592</v>
      </c>
      <c r="R86" t="n">
        <v>99.952348</v>
      </c>
      <c r="S86" t="n">
        <v>99.939404</v>
      </c>
      <c r="T86" t="n">
        <v>41.194263</v>
      </c>
      <c r="U86" t="n">
        <v>42.20405</v>
      </c>
      <c r="V86" t="n">
        <v>41.110148</v>
      </c>
      <c r="W86" t="n">
        <v>46.403924</v>
      </c>
      <c r="X86" t="n">
        <v>46.381583</v>
      </c>
      <c r="Y86" t="n">
        <v>0.011741</v>
      </c>
      <c r="Z86" t="inlineStr"/>
      <c r="AA86" t="inlineStr"/>
      <c r="AB86" t="inlineStr"/>
      <c r="AC86" t="inlineStr"/>
      <c r="AD86" t="inlineStr"/>
      <c r="AE86" t="inlineStr"/>
      <c r="AF86" t="inlineStr">
        <is>
          <t>250dfae39ab2a271132d81b386bbfb24</t>
        </is>
      </c>
      <c r="AG86" t="inlineStr"/>
    </row>
    <row r="87">
      <c r="A87" t="inlineStr">
        <is>
          <t>AS</t>
        </is>
      </c>
      <c r="B87" t="inlineStr">
        <is>
          <t>aom</t>
        </is>
      </c>
      <c r="C87" t="inlineStr">
        <is>
          <t>av2</t>
        </is>
      </c>
      <c r="D87" t="inlineStr">
        <is>
          <t>0</t>
        </is>
      </c>
      <c r="E87" t="inlineStr">
        <is>
          <t>A1</t>
        </is>
      </c>
      <c r="F87" t="inlineStr">
        <is>
          <t>FoodMarket2</t>
        </is>
      </c>
      <c r="G87" t="inlineStr">
        <is>
          <t>3840x2160</t>
        </is>
      </c>
      <c r="H87" t="inlineStr">
        <is>
          <t>60.0000</t>
        </is>
      </c>
      <c r="I87" t="inlineStr">
        <is>
          <t>10</t>
        </is>
      </c>
      <c r="J87" t="inlineStr">
        <is>
          <t>1920x1080</t>
        </is>
      </c>
      <c r="K87" t="inlineStr">
        <is>
          <t>135</t>
        </is>
      </c>
      <c r="L87" t="n">
        <v>5424.538538</v>
      </c>
      <c r="M87" t="n">
        <v>39.297102</v>
      </c>
      <c r="N87" t="n">
        <v>44.68483</v>
      </c>
      <c r="O87" t="n">
        <v>44.7</v>
      </c>
      <c r="P87" t="n">
        <v>25.100977</v>
      </c>
      <c r="Q87" t="n">
        <v>18.430805</v>
      </c>
      <c r="R87" t="n">
        <v>99.05237200000001</v>
      </c>
      <c r="S87" t="n">
        <v>96.536806</v>
      </c>
      <c r="T87" t="n">
        <v>37.594864</v>
      </c>
      <c r="U87" t="n">
        <v>40.397176</v>
      </c>
      <c r="V87" t="n">
        <v>39.217296</v>
      </c>
      <c r="W87" t="n">
        <v>44.59222</v>
      </c>
      <c r="X87" t="n">
        <v>44.568695</v>
      </c>
      <c r="Y87" t="n">
        <v>0.01746</v>
      </c>
      <c r="Z87" t="inlineStr"/>
      <c r="AA87" t="inlineStr"/>
      <c r="AB87" t="inlineStr"/>
      <c r="AC87" t="inlineStr"/>
      <c r="AD87" t="inlineStr"/>
      <c r="AE87" t="inlineStr"/>
      <c r="AF87" t="inlineStr">
        <is>
          <t>ea5708d61761533521fc986e19c7bc6c</t>
        </is>
      </c>
      <c r="AG87" t="inlineStr"/>
    </row>
    <row r="88">
      <c r="A88" t="inlineStr">
        <is>
          <t>AS</t>
        </is>
      </c>
      <c r="B88" t="inlineStr">
        <is>
          <t>aom</t>
        </is>
      </c>
      <c r="C88" t="inlineStr">
        <is>
          <t>av2</t>
        </is>
      </c>
      <c r="D88" t="inlineStr">
        <is>
          <t>0</t>
        </is>
      </c>
      <c r="E88" t="inlineStr">
        <is>
          <t>A1</t>
        </is>
      </c>
      <c r="F88" t="inlineStr">
        <is>
          <t>FoodMarket2</t>
        </is>
      </c>
      <c r="G88" t="inlineStr">
        <is>
          <t>3840x2160</t>
        </is>
      </c>
      <c r="H88" t="inlineStr">
        <is>
          <t>60.0000</t>
        </is>
      </c>
      <c r="I88" t="inlineStr">
        <is>
          <t>10</t>
        </is>
      </c>
      <c r="J88" t="inlineStr">
        <is>
          <t>1920x1080</t>
        </is>
      </c>
      <c r="K88" t="inlineStr">
        <is>
          <t>160</t>
        </is>
      </c>
      <c r="L88" t="n">
        <v>2462.020441</v>
      </c>
      <c r="M88" t="n">
        <v>36.566479</v>
      </c>
      <c r="N88" t="n">
        <v>42.423324</v>
      </c>
      <c r="O88" t="n">
        <v>42.381567</v>
      </c>
      <c r="P88" t="n">
        <v>20.620919</v>
      </c>
      <c r="Q88" t="n">
        <v>15.428396</v>
      </c>
      <c r="R88" t="n">
        <v>85.98717600000001</v>
      </c>
      <c r="S88" t="n">
        <v>83.157957</v>
      </c>
      <c r="T88" t="n">
        <v>33.514283</v>
      </c>
      <c r="U88" t="n">
        <v>37.941663</v>
      </c>
      <c r="V88" t="n">
        <v>36.478331</v>
      </c>
      <c r="W88" t="n">
        <v>42.335776</v>
      </c>
      <c r="X88" t="n">
        <v>42.252081</v>
      </c>
      <c r="Y88" t="n">
        <v>0.019763</v>
      </c>
      <c r="Z88" t="inlineStr"/>
      <c r="AA88" t="inlineStr"/>
      <c r="AB88" t="inlineStr"/>
      <c r="AC88" t="inlineStr"/>
      <c r="AD88" t="inlineStr"/>
      <c r="AE88" t="inlineStr"/>
      <c r="AF88" t="inlineStr">
        <is>
          <t>4ad2260aa396561de655deb28e7cf2d7</t>
        </is>
      </c>
      <c r="AG88" t="inlineStr"/>
    </row>
    <row r="89">
      <c r="A89" t="inlineStr">
        <is>
          <t>AS</t>
        </is>
      </c>
      <c r="B89" t="inlineStr">
        <is>
          <t>aom</t>
        </is>
      </c>
      <c r="C89" t="inlineStr">
        <is>
          <t>av2</t>
        </is>
      </c>
      <c r="D89" t="inlineStr">
        <is>
          <t>0</t>
        </is>
      </c>
      <c r="E89" t="inlineStr">
        <is>
          <t>A1</t>
        </is>
      </c>
      <c r="F89" t="inlineStr">
        <is>
          <t>FoodMarket2</t>
        </is>
      </c>
      <c r="G89" t="inlineStr">
        <is>
          <t>3840x2160</t>
        </is>
      </c>
      <c r="H89" t="inlineStr">
        <is>
          <t>60.0000</t>
        </is>
      </c>
      <c r="I89" t="inlineStr">
        <is>
          <t>10</t>
        </is>
      </c>
      <c r="J89" t="inlineStr">
        <is>
          <t>1920x1080</t>
        </is>
      </c>
      <c r="K89" t="inlineStr">
        <is>
          <t>185</t>
        </is>
      </c>
      <c r="L89" t="n">
        <v>1099.536771</v>
      </c>
      <c r="M89" t="n">
        <v>33.502605</v>
      </c>
      <c r="N89" t="n">
        <v>40.035534</v>
      </c>
      <c r="O89" t="n">
        <v>39.960808</v>
      </c>
      <c r="P89" t="n">
        <v>16.241596</v>
      </c>
      <c r="Q89" t="n">
        <v>12.374027</v>
      </c>
      <c r="R89" t="n">
        <v>65.626676</v>
      </c>
      <c r="S89" t="n">
        <v>63.304433</v>
      </c>
      <c r="T89" t="n">
        <v>29.665752</v>
      </c>
      <c r="U89" t="n">
        <v>35.226698</v>
      </c>
      <c r="V89" t="n">
        <v>33.403605</v>
      </c>
      <c r="W89" t="n">
        <v>39.947044</v>
      </c>
      <c r="X89" t="n">
        <v>39.833332</v>
      </c>
      <c r="Y89" t="n">
        <v>0.036096</v>
      </c>
      <c r="Z89" t="inlineStr"/>
      <c r="AA89" t="inlineStr"/>
      <c r="AB89" t="inlineStr"/>
      <c r="AC89" t="inlineStr"/>
      <c r="AD89" t="inlineStr"/>
      <c r="AE89" t="inlineStr"/>
      <c r="AF89" t="inlineStr">
        <is>
          <t>ce6e6f160ac2138c598a34ba076bd3b1</t>
        </is>
      </c>
      <c r="AG89" t="inlineStr"/>
    </row>
    <row r="90">
      <c r="A90" t="inlineStr">
        <is>
          <t>AS</t>
        </is>
      </c>
      <c r="B90" t="inlineStr">
        <is>
          <t>aom</t>
        </is>
      </c>
      <c r="C90" t="inlineStr">
        <is>
          <t>av2</t>
        </is>
      </c>
      <c r="D90" t="inlineStr">
        <is>
          <t>0</t>
        </is>
      </c>
      <c r="E90" t="inlineStr">
        <is>
          <t>A1</t>
        </is>
      </c>
      <c r="F90" t="inlineStr">
        <is>
          <t>FoodMarket2</t>
        </is>
      </c>
      <c r="G90" t="inlineStr">
        <is>
          <t>3840x2160</t>
        </is>
      </c>
      <c r="H90" t="inlineStr">
        <is>
          <t>60.0000</t>
        </is>
      </c>
      <c r="I90" t="inlineStr">
        <is>
          <t>10</t>
        </is>
      </c>
      <c r="J90" t="inlineStr">
        <is>
          <t>1920x1080</t>
        </is>
      </c>
      <c r="K90" t="inlineStr">
        <is>
          <t>210</t>
        </is>
      </c>
      <c r="L90" t="n">
        <v>466.123415</v>
      </c>
      <c r="M90" t="n">
        <v>30.313737</v>
      </c>
      <c r="N90" t="n">
        <v>37.690167</v>
      </c>
      <c r="O90" t="n">
        <v>37.513572</v>
      </c>
      <c r="P90" t="n">
        <v>12.124581</v>
      </c>
      <c r="Q90" t="n">
        <v>9.455439999999999</v>
      </c>
      <c r="R90" t="n">
        <v>43.111355</v>
      </c>
      <c r="S90" t="n">
        <v>41.664568</v>
      </c>
      <c r="T90" t="n">
        <v>26.105202</v>
      </c>
      <c r="U90" t="n">
        <v>32.411197</v>
      </c>
      <c r="V90" t="n">
        <v>30.209456</v>
      </c>
      <c r="W90" t="n">
        <v>37.599197</v>
      </c>
      <c r="X90" t="n">
        <v>37.3811</v>
      </c>
      <c r="Y90" t="n">
        <v>0.100176</v>
      </c>
      <c r="Z90" t="inlineStr"/>
      <c r="AA90" t="inlineStr"/>
      <c r="AB90" t="inlineStr"/>
      <c r="AC90" t="inlineStr"/>
      <c r="AD90" t="inlineStr"/>
      <c r="AE90" t="inlineStr"/>
      <c r="AF90" t="inlineStr">
        <is>
          <t>e4f1a3884b9831db50978d71f17e5a7c</t>
        </is>
      </c>
      <c r="AG90" t="inlineStr"/>
    </row>
    <row r="91">
      <c r="A91" t="inlineStr">
        <is>
          <t>AS</t>
        </is>
      </c>
      <c r="B91" t="inlineStr">
        <is>
          <t>aom</t>
        </is>
      </c>
      <c r="C91" t="inlineStr">
        <is>
          <t>av2</t>
        </is>
      </c>
      <c r="D91" t="inlineStr">
        <is>
          <t>0</t>
        </is>
      </c>
      <c r="E91" t="inlineStr">
        <is>
          <t>A1</t>
        </is>
      </c>
      <c r="F91" t="inlineStr">
        <is>
          <t>FoodMarket2</t>
        </is>
      </c>
      <c r="G91" t="inlineStr">
        <is>
          <t>3840x2160</t>
        </is>
      </c>
      <c r="H91" t="inlineStr">
        <is>
          <t>60.0000</t>
        </is>
      </c>
      <c r="I91" t="inlineStr">
        <is>
          <t>10</t>
        </is>
      </c>
      <c r="J91" t="inlineStr">
        <is>
          <t>1920x1080</t>
        </is>
      </c>
      <c r="K91" t="inlineStr">
        <is>
          <t>235</t>
        </is>
      </c>
      <c r="L91" t="n">
        <v>182.726812</v>
      </c>
      <c r="M91" t="n">
        <v>27.28051</v>
      </c>
      <c r="N91" t="n">
        <v>35.347205</v>
      </c>
      <c r="O91" t="n">
        <v>35.010187</v>
      </c>
      <c r="P91" t="n">
        <v>8.498256</v>
      </c>
      <c r="Q91" t="n">
        <v>6.962412</v>
      </c>
      <c r="R91" t="n">
        <v>25.039246</v>
      </c>
      <c r="S91" t="n">
        <v>24.389987</v>
      </c>
      <c r="T91" t="n">
        <v>23.001932</v>
      </c>
      <c r="U91" t="n">
        <v>29.605648</v>
      </c>
      <c r="V91" t="n">
        <v>27.183582</v>
      </c>
      <c r="W91" t="n">
        <v>35.251917</v>
      </c>
      <c r="X91" t="n">
        <v>34.878275</v>
      </c>
      <c r="Y91" t="n">
        <v>0.183226</v>
      </c>
      <c r="Z91" t="inlineStr"/>
      <c r="AA91" t="inlineStr"/>
      <c r="AB91" t="inlineStr"/>
      <c r="AC91" t="inlineStr"/>
      <c r="AD91" t="inlineStr"/>
      <c r="AE91" t="inlineStr"/>
      <c r="AF91" t="inlineStr">
        <is>
          <t>0318df6dc4935ebe8859a73e65e8ea20</t>
        </is>
      </c>
      <c r="AG91" t="inlineStr"/>
    </row>
    <row r="92">
      <c r="A92" t="inlineStr">
        <is>
          <t>AS</t>
        </is>
      </c>
      <c r="B92" t="inlineStr">
        <is>
          <t>aom</t>
        </is>
      </c>
      <c r="C92" t="inlineStr">
        <is>
          <t>av2</t>
        </is>
      </c>
      <c r="D92" t="inlineStr">
        <is>
          <t>0</t>
        </is>
      </c>
      <c r="E92" t="inlineStr">
        <is>
          <t>A1</t>
        </is>
      </c>
      <c r="F92" t="inlineStr">
        <is>
          <t>FoodMarket2</t>
        </is>
      </c>
      <c r="G92" t="inlineStr">
        <is>
          <t>3840x2160</t>
        </is>
      </c>
      <c r="H92" t="inlineStr">
        <is>
          <t>60.0000</t>
        </is>
      </c>
      <c r="I92" t="inlineStr">
        <is>
          <t>10</t>
        </is>
      </c>
      <c r="J92" t="inlineStr">
        <is>
          <t>1280x720</t>
        </is>
      </c>
      <c r="K92" t="inlineStr">
        <is>
          <t>110</t>
        </is>
      </c>
      <c r="L92" t="n">
        <v>7119.016368</v>
      </c>
      <c r="M92" t="n">
        <v>38.590914</v>
      </c>
      <c r="N92" t="n">
        <v>44.18328</v>
      </c>
      <c r="O92" t="n">
        <v>44.380007</v>
      </c>
      <c r="P92" t="n">
        <v>26.365339</v>
      </c>
      <c r="Q92" t="n">
        <v>18.45321</v>
      </c>
      <c r="R92" t="n">
        <v>98.081413</v>
      </c>
      <c r="S92" t="n">
        <v>95.57884799999999</v>
      </c>
      <c r="T92" t="n">
        <v>37.168585</v>
      </c>
      <c r="U92" t="n">
        <v>40.111094</v>
      </c>
      <c r="V92" t="n">
        <v>38.42427</v>
      </c>
      <c r="W92" t="n">
        <v>44.048422</v>
      </c>
      <c r="X92" t="n">
        <v>44.18407</v>
      </c>
      <c r="Y92" t="n">
        <v>0.011386</v>
      </c>
      <c r="Z92" t="inlineStr"/>
      <c r="AA92" t="inlineStr"/>
      <c r="AB92" t="inlineStr"/>
      <c r="AC92" t="inlineStr"/>
      <c r="AD92" t="inlineStr"/>
      <c r="AE92" t="inlineStr"/>
      <c r="AF92" t="inlineStr">
        <is>
          <t>a7850f9759a9606182f3517392065416</t>
        </is>
      </c>
      <c r="AG92" t="inlineStr"/>
    </row>
    <row r="93">
      <c r="A93" t="inlineStr">
        <is>
          <t>AS</t>
        </is>
      </c>
      <c r="B93" t="inlineStr">
        <is>
          <t>aom</t>
        </is>
      </c>
      <c r="C93" t="inlineStr">
        <is>
          <t>av2</t>
        </is>
      </c>
      <c r="D93" t="inlineStr">
        <is>
          <t>0</t>
        </is>
      </c>
      <c r="E93" t="inlineStr">
        <is>
          <t>A1</t>
        </is>
      </c>
      <c r="F93" t="inlineStr">
        <is>
          <t>FoodMarket2</t>
        </is>
      </c>
      <c r="G93" t="inlineStr">
        <is>
          <t>3840x2160</t>
        </is>
      </c>
      <c r="H93" t="inlineStr">
        <is>
          <t>60.0000</t>
        </is>
      </c>
      <c r="I93" t="inlineStr">
        <is>
          <t>10</t>
        </is>
      </c>
      <c r="J93" t="inlineStr">
        <is>
          <t>1280x720</t>
        </is>
      </c>
      <c r="K93" t="inlineStr">
        <is>
          <t>135</t>
        </is>
      </c>
      <c r="L93" t="n">
        <v>3423.831553</v>
      </c>
      <c r="M93" t="n">
        <v>36.945219</v>
      </c>
      <c r="N93" t="n">
        <v>42.626738</v>
      </c>
      <c r="O93" t="n">
        <v>42.751936</v>
      </c>
      <c r="P93" t="n">
        <v>22.489528</v>
      </c>
      <c r="Q93" t="n">
        <v>16.285201</v>
      </c>
      <c r="R93" t="n">
        <v>88.947587</v>
      </c>
      <c r="S93" t="n">
        <v>86.212621</v>
      </c>
      <c r="T93" t="n">
        <v>34.359411</v>
      </c>
      <c r="U93" t="n">
        <v>38.425188</v>
      </c>
      <c r="V93" t="n">
        <v>36.818475</v>
      </c>
      <c r="W93" t="n">
        <v>42.51863</v>
      </c>
      <c r="X93" t="n">
        <v>42.591499</v>
      </c>
      <c r="Y93" t="n">
        <v>0.016403</v>
      </c>
      <c r="Z93" t="inlineStr"/>
      <c r="AA93" t="inlineStr"/>
      <c r="AB93" t="inlineStr"/>
      <c r="AC93" t="inlineStr"/>
      <c r="AD93" t="inlineStr"/>
      <c r="AE93" t="inlineStr"/>
      <c r="AF93" t="inlineStr">
        <is>
          <t>a0c9abc1dba56ab33713b55b26a79c9b</t>
        </is>
      </c>
      <c r="AG93" t="inlineStr"/>
    </row>
    <row r="94">
      <c r="A94" t="inlineStr">
        <is>
          <t>AS</t>
        </is>
      </c>
      <c r="B94" t="inlineStr">
        <is>
          <t>aom</t>
        </is>
      </c>
      <c r="C94" t="inlineStr">
        <is>
          <t>av2</t>
        </is>
      </c>
      <c r="D94" t="inlineStr">
        <is>
          <t>0</t>
        </is>
      </c>
      <c r="E94" t="inlineStr">
        <is>
          <t>A1</t>
        </is>
      </c>
      <c r="F94" t="inlineStr">
        <is>
          <t>FoodMarket2</t>
        </is>
      </c>
      <c r="G94" t="inlineStr">
        <is>
          <t>3840x2160</t>
        </is>
      </c>
      <c r="H94" t="inlineStr">
        <is>
          <t>60.0000</t>
        </is>
      </c>
      <c r="I94" t="inlineStr">
        <is>
          <t>10</t>
        </is>
      </c>
      <c r="J94" t="inlineStr">
        <is>
          <t>1280x720</t>
        </is>
      </c>
      <c r="K94" t="inlineStr">
        <is>
          <t>160</t>
        </is>
      </c>
      <c r="L94" t="n">
        <v>1548.094982</v>
      </c>
      <c r="M94" t="n">
        <v>34.501625</v>
      </c>
      <c r="N94" t="n">
        <v>40.650303</v>
      </c>
      <c r="O94" t="n">
        <v>40.696929</v>
      </c>
      <c r="P94" t="n">
        <v>18.097589</v>
      </c>
      <c r="Q94" t="n">
        <v>13.495145</v>
      </c>
      <c r="R94" t="n">
        <v>72.49824700000001</v>
      </c>
      <c r="S94" t="n">
        <v>69.988038</v>
      </c>
      <c r="T94" t="n">
        <v>30.953889</v>
      </c>
      <c r="U94" t="n">
        <v>36.149681</v>
      </c>
      <c r="V94" t="n">
        <v>34.396473</v>
      </c>
      <c r="W94" t="n">
        <v>40.554955</v>
      </c>
      <c r="X94" t="n">
        <v>40.558759</v>
      </c>
      <c r="Y94" t="n">
        <v>0.026118</v>
      </c>
      <c r="Z94" t="inlineStr"/>
      <c r="AA94" t="inlineStr"/>
      <c r="AB94" t="inlineStr"/>
      <c r="AC94" t="inlineStr"/>
      <c r="AD94" t="inlineStr"/>
      <c r="AE94" t="inlineStr"/>
      <c r="AF94" t="inlineStr">
        <is>
          <t>60793c7346a3ff5079ba8586f3ce1785</t>
        </is>
      </c>
      <c r="AG94" t="inlineStr"/>
    </row>
    <row r="95">
      <c r="A95" t="inlineStr">
        <is>
          <t>AS</t>
        </is>
      </c>
      <c r="B95" t="inlineStr">
        <is>
          <t>aom</t>
        </is>
      </c>
      <c r="C95" t="inlineStr">
        <is>
          <t>av2</t>
        </is>
      </c>
      <c r="D95" t="inlineStr">
        <is>
          <t>0</t>
        </is>
      </c>
      <c r="E95" t="inlineStr">
        <is>
          <t>A1</t>
        </is>
      </c>
      <c r="F95" t="inlineStr">
        <is>
          <t>FoodMarket2</t>
        </is>
      </c>
      <c r="G95" t="inlineStr">
        <is>
          <t>3840x2160</t>
        </is>
      </c>
      <c r="H95" t="inlineStr">
        <is>
          <t>60.0000</t>
        </is>
      </c>
      <c r="I95" t="inlineStr">
        <is>
          <t>10</t>
        </is>
      </c>
      <c r="J95" t="inlineStr">
        <is>
          <t>1280x720</t>
        </is>
      </c>
      <c r="K95" t="inlineStr">
        <is>
          <t>185</t>
        </is>
      </c>
      <c r="L95" t="n">
        <v>673.519711</v>
      </c>
      <c r="M95" t="n">
        <v>31.617773</v>
      </c>
      <c r="N95" t="n">
        <v>38.520622</v>
      </c>
      <c r="O95" t="n">
        <v>38.47116</v>
      </c>
      <c r="P95" t="n">
        <v>13.925474</v>
      </c>
      <c r="Q95" t="n">
        <v>10.659778</v>
      </c>
      <c r="R95" t="n">
        <v>51.103416</v>
      </c>
      <c r="S95" t="n">
        <v>49.307301</v>
      </c>
      <c r="T95" t="n">
        <v>27.526795</v>
      </c>
      <c r="U95" t="n">
        <v>33.572124</v>
      </c>
      <c r="V95" t="n">
        <v>31.511753</v>
      </c>
      <c r="W95" t="n">
        <v>38.432124</v>
      </c>
      <c r="X95" t="n">
        <v>38.334303</v>
      </c>
      <c r="Y95" t="n">
        <v>0.069254</v>
      </c>
      <c r="Z95" t="inlineStr"/>
      <c r="AA95" t="inlineStr"/>
      <c r="AB95" t="inlineStr"/>
      <c r="AC95" t="inlineStr"/>
      <c r="AD95" t="inlineStr"/>
      <c r="AE95" t="inlineStr"/>
      <c r="AF95" t="inlineStr">
        <is>
          <t>5aa0396b6d8f6a028dfe20383a71ccce</t>
        </is>
      </c>
      <c r="AG95" t="inlineStr"/>
    </row>
    <row r="96">
      <c r="A96" t="inlineStr">
        <is>
          <t>AS</t>
        </is>
      </c>
      <c r="B96" t="inlineStr">
        <is>
          <t>aom</t>
        </is>
      </c>
      <c r="C96" t="inlineStr">
        <is>
          <t>av2</t>
        </is>
      </c>
      <c r="D96" t="inlineStr">
        <is>
          <t>0</t>
        </is>
      </c>
      <c r="E96" t="inlineStr">
        <is>
          <t>A1</t>
        </is>
      </c>
      <c r="F96" t="inlineStr">
        <is>
          <t>FoodMarket2</t>
        </is>
      </c>
      <c r="G96" t="inlineStr">
        <is>
          <t>3840x2160</t>
        </is>
      </c>
      <c r="H96" t="inlineStr">
        <is>
          <t>60.0000</t>
        </is>
      </c>
      <c r="I96" t="inlineStr">
        <is>
          <t>10</t>
        </is>
      </c>
      <c r="J96" t="inlineStr">
        <is>
          <t>1280x720</t>
        </is>
      </c>
      <c r="K96" t="inlineStr">
        <is>
          <t>210</t>
        </is>
      </c>
      <c r="L96" t="n">
        <v>275.325905</v>
      </c>
      <c r="M96" t="n">
        <v>28.619656</v>
      </c>
      <c r="N96" t="n">
        <v>36.482015</v>
      </c>
      <c r="O96" t="n">
        <v>36.168459</v>
      </c>
      <c r="P96" t="n">
        <v>10.103582</v>
      </c>
      <c r="Q96" t="n">
        <v>8.029107</v>
      </c>
      <c r="R96" t="n">
        <v>31.145767</v>
      </c>
      <c r="S96" t="n">
        <v>30.256747</v>
      </c>
      <c r="T96" t="n">
        <v>24.341006</v>
      </c>
      <c r="U96" t="n">
        <v>30.915773</v>
      </c>
      <c r="V96" t="n">
        <v>28.513963</v>
      </c>
      <c r="W96" t="n">
        <v>36.394012</v>
      </c>
      <c r="X96" t="n">
        <v>36.029411</v>
      </c>
      <c r="Y96" t="n">
        <v>0.150551</v>
      </c>
      <c r="Z96" t="inlineStr"/>
      <c r="AA96" t="inlineStr"/>
      <c r="AB96" t="inlineStr"/>
      <c r="AC96" t="inlineStr"/>
      <c r="AD96" t="inlineStr"/>
      <c r="AE96" t="inlineStr"/>
      <c r="AF96" t="inlineStr">
        <is>
          <t>a57ba78ccb9ae4fe50b1b70380385102</t>
        </is>
      </c>
      <c r="AG96" t="inlineStr"/>
    </row>
    <row r="97">
      <c r="A97" t="inlineStr">
        <is>
          <t>AS</t>
        </is>
      </c>
      <c r="B97" t="inlineStr">
        <is>
          <t>aom</t>
        </is>
      </c>
      <c r="C97" t="inlineStr">
        <is>
          <t>av2</t>
        </is>
      </c>
      <c r="D97" t="inlineStr">
        <is>
          <t>0</t>
        </is>
      </c>
      <c r="E97" t="inlineStr">
        <is>
          <t>A1</t>
        </is>
      </c>
      <c r="F97" t="inlineStr">
        <is>
          <t>FoodMarket2</t>
        </is>
      </c>
      <c r="G97" t="inlineStr">
        <is>
          <t>3840x2160</t>
        </is>
      </c>
      <c r="H97" t="inlineStr">
        <is>
          <t>60.0000</t>
        </is>
      </c>
      <c r="I97" t="inlineStr">
        <is>
          <t>10</t>
        </is>
      </c>
      <c r="J97" t="inlineStr">
        <is>
          <t>1280x720</t>
        </is>
      </c>
      <c r="K97" t="inlineStr">
        <is>
          <t>235</t>
        </is>
      </c>
      <c r="L97" t="n">
        <v>104.06701</v>
      </c>
      <c r="M97" t="n">
        <v>25.743017</v>
      </c>
      <c r="N97" t="n">
        <v>34.256435</v>
      </c>
      <c r="O97" t="n">
        <v>33.851481</v>
      </c>
      <c r="P97" t="n">
        <v>6.757035</v>
      </c>
      <c r="Q97" t="n">
        <v>5.811696</v>
      </c>
      <c r="R97" t="n">
        <v>16.932696</v>
      </c>
      <c r="S97" t="n">
        <v>16.669182</v>
      </c>
      <c r="T97" t="n">
        <v>21.517706</v>
      </c>
      <c r="U97" t="n">
        <v>28.220674</v>
      </c>
      <c r="V97" t="n">
        <v>25.649771</v>
      </c>
      <c r="W97" t="n">
        <v>34.156758</v>
      </c>
      <c r="X97" t="n">
        <v>33.73312</v>
      </c>
      <c r="Y97" t="n">
        <v>0.264974</v>
      </c>
      <c r="Z97" t="inlineStr"/>
      <c r="AA97" t="inlineStr"/>
      <c r="AB97" t="inlineStr"/>
      <c r="AC97" t="inlineStr"/>
      <c r="AD97" t="inlineStr"/>
      <c r="AE97" t="inlineStr"/>
      <c r="AF97" t="inlineStr">
        <is>
          <t>3a333dd5391661644bfc34986612924a</t>
        </is>
      </c>
      <c r="AG97" t="inlineStr"/>
    </row>
    <row r="98">
      <c r="A98" t="inlineStr">
        <is>
          <t>AS</t>
        </is>
      </c>
      <c r="B98" t="inlineStr">
        <is>
          <t>aom</t>
        </is>
      </c>
      <c r="C98" t="inlineStr">
        <is>
          <t>av2</t>
        </is>
      </c>
      <c r="D98" t="inlineStr">
        <is>
          <t>0</t>
        </is>
      </c>
      <c r="E98" t="inlineStr">
        <is>
          <t>A1</t>
        </is>
      </c>
      <c r="F98" t="inlineStr">
        <is>
          <t>FoodMarket2</t>
        </is>
      </c>
      <c r="G98" t="inlineStr">
        <is>
          <t>3840x2160</t>
        </is>
      </c>
      <c r="H98" t="inlineStr">
        <is>
          <t>60.0000</t>
        </is>
      </c>
      <c r="I98" t="inlineStr">
        <is>
          <t>10</t>
        </is>
      </c>
      <c r="J98" t="inlineStr">
        <is>
          <t>960x540</t>
        </is>
      </c>
      <c r="K98" t="inlineStr">
        <is>
          <t>110</t>
        </is>
      </c>
      <c r="L98" t="n">
        <v>5211.937601</v>
      </c>
      <c r="M98" t="n">
        <v>36.11398</v>
      </c>
      <c r="N98" t="n">
        <v>42.52537</v>
      </c>
      <c r="O98" t="n">
        <v>42.851831</v>
      </c>
      <c r="P98" t="n">
        <v>24.612114</v>
      </c>
      <c r="Q98" t="n">
        <v>16.003018</v>
      </c>
      <c r="R98" t="n">
        <v>86.926772</v>
      </c>
      <c r="S98" t="n">
        <v>84.476376</v>
      </c>
      <c r="T98" t="n">
        <v>33.217654</v>
      </c>
      <c r="U98" t="n">
        <v>38.234651</v>
      </c>
      <c r="V98" t="n">
        <v>35.870954</v>
      </c>
      <c r="W98" t="n">
        <v>42.37476</v>
      </c>
      <c r="X98" t="n">
        <v>42.6374</v>
      </c>
      <c r="Y98" t="n">
        <v>0.012786</v>
      </c>
      <c r="Z98" t="inlineStr"/>
      <c r="AA98" t="inlineStr"/>
      <c r="AB98" t="inlineStr"/>
      <c r="AC98" t="inlineStr"/>
      <c r="AD98" t="inlineStr"/>
      <c r="AE98" t="inlineStr"/>
      <c r="AF98" t="inlineStr">
        <is>
          <t>900910be5bbc8b39aaf3717680947c05</t>
        </is>
      </c>
      <c r="AG98" t="inlineStr"/>
    </row>
    <row r="99">
      <c r="A99" t="inlineStr">
        <is>
          <t>AS</t>
        </is>
      </c>
      <c r="B99" t="inlineStr">
        <is>
          <t>aom</t>
        </is>
      </c>
      <c r="C99" t="inlineStr">
        <is>
          <t>av2</t>
        </is>
      </c>
      <c r="D99" t="inlineStr">
        <is>
          <t>0</t>
        </is>
      </c>
      <c r="E99" t="inlineStr">
        <is>
          <t>A1</t>
        </is>
      </c>
      <c r="F99" t="inlineStr">
        <is>
          <t>FoodMarket2</t>
        </is>
      </c>
      <c r="G99" t="inlineStr">
        <is>
          <t>3840x2160</t>
        </is>
      </c>
      <c r="H99" t="inlineStr">
        <is>
          <t>60.0000</t>
        </is>
      </c>
      <c r="I99" t="inlineStr">
        <is>
          <t>10</t>
        </is>
      </c>
      <c r="J99" t="inlineStr">
        <is>
          <t>960x540</t>
        </is>
      </c>
      <c r="K99" t="inlineStr">
        <is>
          <t>135</t>
        </is>
      </c>
      <c r="L99" t="n">
        <v>2518.212864</v>
      </c>
      <c r="M99" t="n">
        <v>34.872525</v>
      </c>
      <c r="N99" t="n">
        <v>41.220336</v>
      </c>
      <c r="O99" t="n">
        <v>41.446452</v>
      </c>
      <c r="P99" t="n">
        <v>20.7389</v>
      </c>
      <c r="Q99" t="n">
        <v>14.346926</v>
      </c>
      <c r="R99" t="n">
        <v>76.503733</v>
      </c>
      <c r="S99" t="n">
        <v>74.072525</v>
      </c>
      <c r="T99" t="n">
        <v>31.445361</v>
      </c>
      <c r="U99" t="n">
        <v>36.808291</v>
      </c>
      <c r="V99" t="n">
        <v>34.69221</v>
      </c>
      <c r="W99" t="n">
        <v>41.098827</v>
      </c>
      <c r="X99" t="n">
        <v>41.273378</v>
      </c>
      <c r="Y99" t="n">
        <v>0.01871</v>
      </c>
      <c r="Z99" t="inlineStr"/>
      <c r="AA99" t="inlineStr"/>
      <c r="AB99" t="inlineStr"/>
      <c r="AC99" t="inlineStr"/>
      <c r="AD99" t="inlineStr"/>
      <c r="AE99" t="inlineStr"/>
      <c r="AF99" t="inlineStr">
        <is>
          <t>98e85d08b0b8a6207ac70bbfcc16ac2a</t>
        </is>
      </c>
      <c r="AG99" t="inlineStr"/>
    </row>
    <row r="100">
      <c r="A100" t="inlineStr">
        <is>
          <t>AS</t>
        </is>
      </c>
      <c r="B100" t="inlineStr">
        <is>
          <t>aom</t>
        </is>
      </c>
      <c r="C100" t="inlineStr">
        <is>
          <t>av2</t>
        </is>
      </c>
      <c r="D100" t="inlineStr">
        <is>
          <t>0</t>
        </is>
      </c>
      <c r="E100" t="inlineStr">
        <is>
          <t>A1</t>
        </is>
      </c>
      <c r="F100" t="inlineStr">
        <is>
          <t>FoodMarket2</t>
        </is>
      </c>
      <c r="G100" t="inlineStr">
        <is>
          <t>3840x2160</t>
        </is>
      </c>
      <c r="H100" t="inlineStr">
        <is>
          <t>60.0000</t>
        </is>
      </c>
      <c r="I100" t="inlineStr">
        <is>
          <t>10</t>
        </is>
      </c>
      <c r="J100" t="inlineStr">
        <is>
          <t>960x540</t>
        </is>
      </c>
      <c r="K100" t="inlineStr">
        <is>
          <t>160</t>
        </is>
      </c>
      <c r="L100" t="n">
        <v>1130.639207</v>
      </c>
      <c r="M100" t="n">
        <v>32.866521</v>
      </c>
      <c r="N100" t="n">
        <v>39.475289</v>
      </c>
      <c r="O100" t="n">
        <v>39.567209</v>
      </c>
      <c r="P100" t="n">
        <v>16.436251</v>
      </c>
      <c r="Q100" t="n">
        <v>12.034473</v>
      </c>
      <c r="R100" t="n">
        <v>59.403198</v>
      </c>
      <c r="S100" t="n">
        <v>57.314868</v>
      </c>
      <c r="T100" t="n">
        <v>28.930152</v>
      </c>
      <c r="U100" t="n">
        <v>34.808604</v>
      </c>
      <c r="V100" t="n">
        <v>32.737773</v>
      </c>
      <c r="W100" t="n">
        <v>39.369751</v>
      </c>
      <c r="X100" t="n">
        <v>39.414692</v>
      </c>
      <c r="Y100" t="n">
        <v>0.040534</v>
      </c>
      <c r="Z100" t="inlineStr"/>
      <c r="AA100" t="inlineStr"/>
      <c r="AB100" t="inlineStr"/>
      <c r="AC100" t="inlineStr"/>
      <c r="AD100" t="inlineStr"/>
      <c r="AE100" t="inlineStr"/>
      <c r="AF100" t="inlineStr">
        <is>
          <t>0866449264b1336d636202f0429a16d7</t>
        </is>
      </c>
      <c r="AG100" t="inlineStr"/>
    </row>
    <row r="101">
      <c r="A101" t="inlineStr">
        <is>
          <t>AS</t>
        </is>
      </c>
      <c r="B101" t="inlineStr">
        <is>
          <t>aom</t>
        </is>
      </c>
      <c r="C101" t="inlineStr">
        <is>
          <t>av2</t>
        </is>
      </c>
      <c r="D101" t="inlineStr">
        <is>
          <t>0</t>
        </is>
      </c>
      <c r="E101" t="inlineStr">
        <is>
          <t>A1</t>
        </is>
      </c>
      <c r="F101" t="inlineStr">
        <is>
          <t>FoodMarket2</t>
        </is>
      </c>
      <c r="G101" t="inlineStr">
        <is>
          <t>3840x2160</t>
        </is>
      </c>
      <c r="H101" t="inlineStr">
        <is>
          <t>60.0000</t>
        </is>
      </c>
      <c r="I101" t="inlineStr">
        <is>
          <t>10</t>
        </is>
      </c>
      <c r="J101" t="inlineStr">
        <is>
          <t>960x540</t>
        </is>
      </c>
      <c r="K101" t="inlineStr">
        <is>
          <t>185</t>
        </is>
      </c>
      <c r="L101" t="n">
        <v>492.415892</v>
      </c>
      <c r="M101" t="n">
        <v>30.339255</v>
      </c>
      <c r="N101" t="n">
        <v>37.689355</v>
      </c>
      <c r="O101" t="n">
        <v>37.560981</v>
      </c>
      <c r="P101" t="n">
        <v>12.500955</v>
      </c>
      <c r="Q101" t="n">
        <v>9.556766</v>
      </c>
      <c r="R101" t="n">
        <v>40.114177</v>
      </c>
      <c r="S101" t="n">
        <v>38.749254</v>
      </c>
      <c r="T101" t="n">
        <v>26.106684</v>
      </c>
      <c r="U101" t="n">
        <v>32.491579</v>
      </c>
      <c r="V101" t="n">
        <v>30.226122</v>
      </c>
      <c r="W101" t="n">
        <v>37.587095</v>
      </c>
      <c r="X101" t="n">
        <v>37.413028</v>
      </c>
      <c r="Y101" t="n">
        <v>0.116876</v>
      </c>
      <c r="Z101" t="inlineStr"/>
      <c r="AA101" t="inlineStr"/>
      <c r="AB101" t="inlineStr"/>
      <c r="AC101" t="inlineStr"/>
      <c r="AD101" t="inlineStr"/>
      <c r="AE101" t="inlineStr"/>
      <c r="AF101" t="inlineStr">
        <is>
          <t>0ee2041ee52c1f8385922c6e0a1924a9</t>
        </is>
      </c>
      <c r="AG101" t="inlineStr"/>
    </row>
    <row r="102">
      <c r="A102" t="inlineStr">
        <is>
          <t>AS</t>
        </is>
      </c>
      <c r="B102" t="inlineStr">
        <is>
          <t>aom</t>
        </is>
      </c>
      <c r="C102" t="inlineStr">
        <is>
          <t>av2</t>
        </is>
      </c>
      <c r="D102" t="inlineStr">
        <is>
          <t>0</t>
        </is>
      </c>
      <c r="E102" t="inlineStr">
        <is>
          <t>A1</t>
        </is>
      </c>
      <c r="F102" t="inlineStr">
        <is>
          <t>FoodMarket2</t>
        </is>
      </c>
      <c r="G102" t="inlineStr">
        <is>
          <t>3840x2160</t>
        </is>
      </c>
      <c r="H102" t="inlineStr">
        <is>
          <t>60.0000</t>
        </is>
      </c>
      <c r="I102" t="inlineStr">
        <is>
          <t>10</t>
        </is>
      </c>
      <c r="J102" t="inlineStr">
        <is>
          <t>960x540</t>
        </is>
      </c>
      <c r="K102" t="inlineStr">
        <is>
          <t>210</t>
        </is>
      </c>
      <c r="L102" t="n">
        <v>197.009145</v>
      </c>
      <c r="M102" t="n">
        <v>27.532054</v>
      </c>
      <c r="N102" t="n">
        <v>35.713161</v>
      </c>
      <c r="O102" t="n">
        <v>35.436551</v>
      </c>
      <c r="P102" t="n">
        <v>8.827093</v>
      </c>
      <c r="Q102" t="n">
        <v>7.158801</v>
      </c>
      <c r="R102" t="n">
        <v>23.421145</v>
      </c>
      <c r="S102" t="n">
        <v>22.889247</v>
      </c>
      <c r="T102" t="n">
        <v>23.243483</v>
      </c>
      <c r="U102" t="n">
        <v>29.945426</v>
      </c>
      <c r="V102" t="n">
        <v>27.425812</v>
      </c>
      <c r="W102" t="n">
        <v>35.616283</v>
      </c>
      <c r="X102" t="n">
        <v>35.29841</v>
      </c>
      <c r="Y102" t="n">
        <v>0.224162</v>
      </c>
      <c r="Z102" t="inlineStr"/>
      <c r="AA102" t="inlineStr"/>
      <c r="AB102" t="inlineStr"/>
      <c r="AC102" t="inlineStr"/>
      <c r="AD102" t="inlineStr"/>
      <c r="AE102" t="inlineStr"/>
      <c r="AF102" t="inlineStr">
        <is>
          <t>2e9736b857a94db3e15846648b2ffe37</t>
        </is>
      </c>
      <c r="AG102" t="inlineStr"/>
    </row>
    <row r="103">
      <c r="A103" t="inlineStr">
        <is>
          <t>AS</t>
        </is>
      </c>
      <c r="B103" t="inlineStr">
        <is>
          <t>aom</t>
        </is>
      </c>
      <c r="C103" t="inlineStr">
        <is>
          <t>av2</t>
        </is>
      </c>
      <c r="D103" t="inlineStr">
        <is>
          <t>0</t>
        </is>
      </c>
      <c r="E103" t="inlineStr">
        <is>
          <t>A1</t>
        </is>
      </c>
      <c r="F103" t="inlineStr">
        <is>
          <t>FoodMarket2</t>
        </is>
      </c>
      <c r="G103" t="inlineStr">
        <is>
          <t>3840x2160</t>
        </is>
      </c>
      <c r="H103" t="inlineStr">
        <is>
          <t>60.0000</t>
        </is>
      </c>
      <c r="I103" t="inlineStr">
        <is>
          <t>10</t>
        </is>
      </c>
      <c r="J103" t="inlineStr">
        <is>
          <t>960x540</t>
        </is>
      </c>
      <c r="K103" t="inlineStr">
        <is>
          <t>235</t>
        </is>
      </c>
      <c r="L103" t="n">
        <v>73.99369900000001</v>
      </c>
      <c r="M103" t="n">
        <v>24.827356</v>
      </c>
      <c r="N103" t="n">
        <v>33.72102</v>
      </c>
      <c r="O103" t="n">
        <v>33.153267</v>
      </c>
      <c r="P103" t="n">
        <v>5.774399</v>
      </c>
      <c r="Q103" t="n">
        <v>5.173783</v>
      </c>
      <c r="R103" t="n">
        <v>12.223466</v>
      </c>
      <c r="S103" t="n">
        <v>12.19509</v>
      </c>
      <c r="T103" t="n">
        <v>20.657913</v>
      </c>
      <c r="U103" t="n">
        <v>27.357955</v>
      </c>
      <c r="V103" t="n">
        <v>24.734536</v>
      </c>
      <c r="W103" t="n">
        <v>33.628868</v>
      </c>
      <c r="X103" t="n">
        <v>33.034867</v>
      </c>
      <c r="Y103" t="n">
        <v>0.344526</v>
      </c>
      <c r="Z103" t="inlineStr"/>
      <c r="AA103" t="inlineStr"/>
      <c r="AB103" t="inlineStr"/>
      <c r="AC103" t="inlineStr"/>
      <c r="AD103" t="inlineStr"/>
      <c r="AE103" t="inlineStr"/>
      <c r="AF103" t="inlineStr">
        <is>
          <t>869ebead07db2d74f73fcc08e5dcafb6</t>
        </is>
      </c>
      <c r="AG103" t="inlineStr"/>
    </row>
    <row r="104">
      <c r="A104" t="inlineStr">
        <is>
          <t>AS</t>
        </is>
      </c>
      <c r="B104" t="inlineStr">
        <is>
          <t>aom</t>
        </is>
      </c>
      <c r="C104" t="inlineStr">
        <is>
          <t>av2</t>
        </is>
      </c>
      <c r="D104" t="inlineStr">
        <is>
          <t>0</t>
        </is>
      </c>
      <c r="E104" t="inlineStr">
        <is>
          <t>A1</t>
        </is>
      </c>
      <c r="F104" t="inlineStr">
        <is>
          <t>FoodMarket2</t>
        </is>
      </c>
      <c r="G104" t="inlineStr">
        <is>
          <t>3840x2160</t>
        </is>
      </c>
      <c r="H104" t="inlineStr">
        <is>
          <t>60.0000</t>
        </is>
      </c>
      <c r="I104" t="inlineStr">
        <is>
          <t>10</t>
        </is>
      </c>
      <c r="J104" t="inlineStr">
        <is>
          <t>640x360</t>
        </is>
      </c>
      <c r="K104" t="inlineStr">
        <is>
          <t>110</t>
        </is>
      </c>
      <c r="L104" t="n">
        <v>2990.492584</v>
      </c>
      <c r="M104" t="n">
        <v>32.713863</v>
      </c>
      <c r="N104" t="n">
        <v>40.422966</v>
      </c>
      <c r="O104" t="n">
        <v>40.765171</v>
      </c>
      <c r="P104" t="n">
        <v>20.289535</v>
      </c>
      <c r="Q104" t="n">
        <v>12.585125</v>
      </c>
      <c r="R104" t="n">
        <v>60.494813</v>
      </c>
      <c r="S104" t="n">
        <v>58.60631</v>
      </c>
      <c r="T104" t="n">
        <v>28.51201</v>
      </c>
      <c r="U104" t="n">
        <v>35.500541</v>
      </c>
      <c r="V104" t="n">
        <v>32.409113</v>
      </c>
      <c r="W104" t="n">
        <v>40.276659</v>
      </c>
      <c r="X104" t="n">
        <v>40.554309</v>
      </c>
      <c r="Y104" t="n">
        <v>0.011726</v>
      </c>
      <c r="Z104" t="inlineStr"/>
      <c r="AA104" t="inlineStr"/>
      <c r="AB104" t="inlineStr"/>
      <c r="AC104" t="inlineStr"/>
      <c r="AD104" t="inlineStr"/>
      <c r="AE104" t="inlineStr"/>
      <c r="AF104" t="inlineStr">
        <is>
          <t>4d507804c2bd892347694a5d7905e566</t>
        </is>
      </c>
      <c r="AG104" t="inlineStr"/>
    </row>
    <row r="105">
      <c r="A105" t="inlineStr">
        <is>
          <t>AS</t>
        </is>
      </c>
      <c r="B105" t="inlineStr">
        <is>
          <t>aom</t>
        </is>
      </c>
      <c r="C105" t="inlineStr">
        <is>
          <t>av2</t>
        </is>
      </c>
      <c r="D105" t="inlineStr">
        <is>
          <t>0</t>
        </is>
      </c>
      <c r="E105" t="inlineStr">
        <is>
          <t>A1</t>
        </is>
      </c>
      <c r="F105" t="inlineStr">
        <is>
          <t>FoodMarket2</t>
        </is>
      </c>
      <c r="G105" t="inlineStr">
        <is>
          <t>3840x2160</t>
        </is>
      </c>
      <c r="H105" t="inlineStr">
        <is>
          <t>60.0000</t>
        </is>
      </c>
      <c r="I105" t="inlineStr">
        <is>
          <t>10</t>
        </is>
      </c>
      <c r="J105" t="inlineStr">
        <is>
          <t>640x360</t>
        </is>
      </c>
      <c r="K105" t="inlineStr">
        <is>
          <t>135</t>
        </is>
      </c>
      <c r="L105" t="n">
        <v>1438.373319</v>
      </c>
      <c r="M105" t="n">
        <v>31.897486</v>
      </c>
      <c r="N105" t="n">
        <v>39.400872</v>
      </c>
      <c r="O105" t="n">
        <v>39.62478</v>
      </c>
      <c r="P105" t="n">
        <v>17.314066</v>
      </c>
      <c r="Q105" t="n">
        <v>11.526643</v>
      </c>
      <c r="R105" t="n">
        <v>50.497212</v>
      </c>
      <c r="S105" t="n">
        <v>48.797661</v>
      </c>
      <c r="T105" t="n">
        <v>27.596274</v>
      </c>
      <c r="U105" t="n">
        <v>34.431918</v>
      </c>
      <c r="V105" t="n">
        <v>31.659872</v>
      </c>
      <c r="W105" t="n">
        <v>39.278354</v>
      </c>
      <c r="X105" t="n">
        <v>39.44863</v>
      </c>
      <c r="Y105" t="n">
        <v>0.027059</v>
      </c>
      <c r="Z105" t="inlineStr"/>
      <c r="AA105" t="inlineStr"/>
      <c r="AB105" t="inlineStr"/>
      <c r="AC105" t="inlineStr"/>
      <c r="AD105" t="inlineStr"/>
      <c r="AE105" t="inlineStr"/>
      <c r="AF105" t="inlineStr">
        <is>
          <t>abd181b7742380a89d2c5e51e655e967</t>
        </is>
      </c>
      <c r="AG105" t="inlineStr"/>
    </row>
    <row r="106">
      <c r="A106" t="inlineStr">
        <is>
          <t>AS</t>
        </is>
      </c>
      <c r="B106" t="inlineStr">
        <is>
          <t>aom</t>
        </is>
      </c>
      <c r="C106" t="inlineStr">
        <is>
          <t>av2</t>
        </is>
      </c>
      <c r="D106" t="inlineStr">
        <is>
          <t>0</t>
        </is>
      </c>
      <c r="E106" t="inlineStr">
        <is>
          <t>A1</t>
        </is>
      </c>
      <c r="F106" t="inlineStr">
        <is>
          <t>FoodMarket2</t>
        </is>
      </c>
      <c r="G106" t="inlineStr">
        <is>
          <t>3840x2160</t>
        </is>
      </c>
      <c r="H106" t="inlineStr">
        <is>
          <t>60.0000</t>
        </is>
      </c>
      <c r="I106" t="inlineStr">
        <is>
          <t>10</t>
        </is>
      </c>
      <c r="J106" t="inlineStr">
        <is>
          <t>640x360</t>
        </is>
      </c>
      <c r="K106" t="inlineStr">
        <is>
          <t>160</t>
        </is>
      </c>
      <c r="L106" t="n">
        <v>650.181818</v>
      </c>
      <c r="M106" t="n">
        <v>30.449287</v>
      </c>
      <c r="N106" t="n">
        <v>37.919542</v>
      </c>
      <c r="O106" t="n">
        <v>37.992914</v>
      </c>
      <c r="P106" t="n">
        <v>13.734613</v>
      </c>
      <c r="Q106" t="n">
        <v>9.894011000000001</v>
      </c>
      <c r="R106" t="n">
        <v>36.525897</v>
      </c>
      <c r="S106" t="n">
        <v>35.284318</v>
      </c>
      <c r="T106" t="n">
        <v>26.06984</v>
      </c>
      <c r="U106" t="n">
        <v>32.810649</v>
      </c>
      <c r="V106" t="n">
        <v>30.28456</v>
      </c>
      <c r="W106" t="n">
        <v>37.815915</v>
      </c>
      <c r="X106" t="n">
        <v>37.843336</v>
      </c>
      <c r="Y106" t="n">
        <v>0.08513900000000001</v>
      </c>
      <c r="Z106" t="inlineStr"/>
      <c r="AA106" t="inlineStr"/>
      <c r="AB106" t="inlineStr"/>
      <c r="AC106" t="inlineStr"/>
      <c r="AD106" t="inlineStr"/>
      <c r="AE106" t="inlineStr"/>
      <c r="AF106" t="inlineStr">
        <is>
          <t>98358226c0829fb53bd88501d627804b</t>
        </is>
      </c>
      <c r="AG106" t="inlineStr"/>
    </row>
    <row r="107">
      <c r="A107" t="inlineStr">
        <is>
          <t>AS</t>
        </is>
      </c>
      <c r="B107" t="inlineStr">
        <is>
          <t>aom</t>
        </is>
      </c>
      <c r="C107" t="inlineStr">
        <is>
          <t>av2</t>
        </is>
      </c>
      <c r="D107" t="inlineStr">
        <is>
          <t>0</t>
        </is>
      </c>
      <c r="E107" t="inlineStr">
        <is>
          <t>A1</t>
        </is>
      </c>
      <c r="F107" t="inlineStr">
        <is>
          <t>FoodMarket2</t>
        </is>
      </c>
      <c r="G107" t="inlineStr">
        <is>
          <t>3840x2160</t>
        </is>
      </c>
      <c r="H107" t="inlineStr">
        <is>
          <t>60.0000</t>
        </is>
      </c>
      <c r="I107" t="inlineStr">
        <is>
          <t>10</t>
        </is>
      </c>
      <c r="J107" t="inlineStr">
        <is>
          <t>640x360</t>
        </is>
      </c>
      <c r="K107" t="inlineStr">
        <is>
          <t>185</t>
        </is>
      </c>
      <c r="L107" t="n">
        <v>281.611312</v>
      </c>
      <c r="M107" t="n">
        <v>28.392546</v>
      </c>
      <c r="N107" t="n">
        <v>36.357562</v>
      </c>
      <c r="O107" t="n">
        <v>36.227096</v>
      </c>
      <c r="P107" t="n">
        <v>10.25393</v>
      </c>
      <c r="Q107" t="n">
        <v>7.931339</v>
      </c>
      <c r="R107" t="n">
        <v>23.238963</v>
      </c>
      <c r="S107" t="n">
        <v>22.62997</v>
      </c>
      <c r="T107" t="n">
        <v>24.021419</v>
      </c>
      <c r="U107" t="n">
        <v>30.814671</v>
      </c>
      <c r="V107" t="n">
        <v>28.268561</v>
      </c>
      <c r="W107" t="n">
        <v>36.257954</v>
      </c>
      <c r="X107" t="n">
        <v>36.088017</v>
      </c>
      <c r="Y107" t="n">
        <v>0.17743</v>
      </c>
      <c r="Z107" t="inlineStr"/>
      <c r="AA107" t="inlineStr"/>
      <c r="AB107" t="inlineStr"/>
      <c r="AC107" t="inlineStr"/>
      <c r="AD107" t="inlineStr"/>
      <c r="AE107" t="inlineStr"/>
      <c r="AF107" t="inlineStr">
        <is>
          <t>b5b4adde48dc5b0faa0ac4e59370f11c</t>
        </is>
      </c>
      <c r="AG107" t="inlineStr"/>
    </row>
    <row r="108">
      <c r="A108" t="inlineStr">
        <is>
          <t>AS</t>
        </is>
      </c>
      <c r="B108" t="inlineStr">
        <is>
          <t>aom</t>
        </is>
      </c>
      <c r="C108" t="inlineStr">
        <is>
          <t>av2</t>
        </is>
      </c>
      <c r="D108" t="inlineStr">
        <is>
          <t>0</t>
        </is>
      </c>
      <c r="E108" t="inlineStr">
        <is>
          <t>A1</t>
        </is>
      </c>
      <c r="F108" t="inlineStr">
        <is>
          <t>FoodMarket2</t>
        </is>
      </c>
      <c r="G108" t="inlineStr">
        <is>
          <t>3840x2160</t>
        </is>
      </c>
      <c r="H108" t="inlineStr">
        <is>
          <t>60.0000</t>
        </is>
      </c>
      <c r="I108" t="inlineStr">
        <is>
          <t>10</t>
        </is>
      </c>
      <c r="J108" t="inlineStr">
        <is>
          <t>640x360</t>
        </is>
      </c>
      <c r="K108" t="inlineStr">
        <is>
          <t>210</t>
        </is>
      </c>
      <c r="L108" t="n">
        <v>111.104895</v>
      </c>
      <c r="M108" t="n">
        <v>25.936425</v>
      </c>
      <c r="N108" t="n">
        <v>34.638682</v>
      </c>
      <c r="O108" t="n">
        <v>34.190744</v>
      </c>
      <c r="P108" t="n">
        <v>7.019013</v>
      </c>
      <c r="Q108" t="n">
        <v>5.953493</v>
      </c>
      <c r="R108" t="n">
        <v>13.599232</v>
      </c>
      <c r="S108" t="n">
        <v>13.521313</v>
      </c>
      <c r="T108" t="n">
        <v>21.68606</v>
      </c>
      <c r="U108" t="n">
        <v>28.497376</v>
      </c>
      <c r="V108" t="n">
        <v>25.829947</v>
      </c>
      <c r="W108" t="n">
        <v>34.529323</v>
      </c>
      <c r="X108" t="n">
        <v>34.051783</v>
      </c>
      <c r="Y108" t="n">
        <v>0.310436</v>
      </c>
      <c r="Z108" t="inlineStr"/>
      <c r="AA108" t="inlineStr"/>
      <c r="AB108" t="inlineStr"/>
      <c r="AC108" t="inlineStr"/>
      <c r="AD108" t="inlineStr"/>
      <c r="AE108" t="inlineStr"/>
      <c r="AF108" t="inlineStr">
        <is>
          <t>945183560d613c9432c12568b5c81968</t>
        </is>
      </c>
      <c r="AG108" t="inlineStr"/>
    </row>
    <row r="109">
      <c r="A109" t="inlineStr">
        <is>
          <t>AS</t>
        </is>
      </c>
      <c r="B109" t="inlineStr">
        <is>
          <t>aom</t>
        </is>
      </c>
      <c r="C109" t="inlineStr">
        <is>
          <t>av2</t>
        </is>
      </c>
      <c r="D109" t="inlineStr">
        <is>
          <t>0</t>
        </is>
      </c>
      <c r="E109" t="inlineStr">
        <is>
          <t>A1</t>
        </is>
      </c>
      <c r="F109" t="inlineStr">
        <is>
          <t>FoodMarket2</t>
        </is>
      </c>
      <c r="G109" t="inlineStr">
        <is>
          <t>3840x2160</t>
        </is>
      </c>
      <c r="H109" t="inlineStr">
        <is>
          <t>60.0000</t>
        </is>
      </c>
      <c r="I109" t="inlineStr">
        <is>
          <t>10</t>
        </is>
      </c>
      <c r="J109" t="inlineStr">
        <is>
          <t>640x360</t>
        </is>
      </c>
      <c r="K109" t="inlineStr">
        <is>
          <t>235</t>
        </is>
      </c>
      <c r="L109" t="n">
        <v>42.120341</v>
      </c>
      <c r="M109" t="n">
        <v>23.492504</v>
      </c>
      <c r="N109" t="n">
        <v>32.771058</v>
      </c>
      <c r="O109" t="n">
        <v>32.198061</v>
      </c>
      <c r="P109" t="n">
        <v>4.517271</v>
      </c>
      <c r="Q109" t="n">
        <v>4.351279</v>
      </c>
      <c r="R109" t="n">
        <v>7.440629</v>
      </c>
      <c r="S109" t="n">
        <v>7.545664</v>
      </c>
      <c r="T109" t="n">
        <v>19.431703</v>
      </c>
      <c r="U109" t="n">
        <v>26.133978</v>
      </c>
      <c r="V109" t="n">
        <v>23.406016</v>
      </c>
      <c r="W109" t="n">
        <v>32.660285</v>
      </c>
      <c r="X109" t="n">
        <v>32.109188</v>
      </c>
      <c r="Y109" t="n">
        <v>0.412795</v>
      </c>
      <c r="Z109" t="inlineStr"/>
      <c r="AA109" t="inlineStr"/>
      <c r="AB109" t="inlineStr"/>
      <c r="AC109" t="inlineStr"/>
      <c r="AD109" t="inlineStr"/>
      <c r="AE109" t="inlineStr"/>
      <c r="AF109" t="inlineStr">
        <is>
          <t>08580c4457acdc1b92d2fa2f76dfb31e</t>
        </is>
      </c>
      <c r="AG109" t="inlineStr"/>
    </row>
    <row r="110">
      <c r="A110" t="inlineStr">
        <is>
          <t>AS</t>
        </is>
      </c>
      <c r="B110" t="inlineStr">
        <is>
          <t>aom</t>
        </is>
      </c>
      <c r="C110" t="inlineStr">
        <is>
          <t>av2</t>
        </is>
      </c>
      <c r="D110" t="inlineStr">
        <is>
          <t>0</t>
        </is>
      </c>
      <c r="E110" t="inlineStr">
        <is>
          <t>A1</t>
        </is>
      </c>
      <c r="F110" t="inlineStr">
        <is>
          <t>Neon1224</t>
        </is>
      </c>
      <c r="G110" t="inlineStr">
        <is>
          <t>3840x2160</t>
        </is>
      </c>
      <c r="H110" t="inlineStr">
        <is>
          <t>30.0000</t>
        </is>
      </c>
      <c r="I110" t="inlineStr">
        <is>
          <t>10</t>
        </is>
      </c>
      <c r="J110" t="inlineStr">
        <is>
          <t>3840x2160</t>
        </is>
      </c>
      <c r="K110" t="inlineStr">
        <is>
          <t>110</t>
        </is>
      </c>
      <c r="L110" t="n">
        <v>40050.249443</v>
      </c>
      <c r="M110" t="n">
        <v>44.847912</v>
      </c>
      <c r="N110" t="n">
        <v>48.724818</v>
      </c>
      <c r="O110" t="n">
        <v>48.0667</v>
      </c>
      <c r="P110" t="n">
        <v>28.394818</v>
      </c>
      <c r="Q110" t="n">
        <v>22.538448</v>
      </c>
      <c r="R110" t="n">
        <v>99.97688599999999</v>
      </c>
      <c r="S110" t="n">
        <v>99.972357</v>
      </c>
      <c r="T110" t="n">
        <v>43.807314</v>
      </c>
      <c r="U110" t="n">
        <v>46.740074</v>
      </c>
      <c r="V110" t="n">
        <v>44.757046</v>
      </c>
      <c r="W110" t="n">
        <v>48.572795</v>
      </c>
      <c r="X110" t="n">
        <v>47.915226</v>
      </c>
      <c r="Y110" t="n">
        <v>0.962988</v>
      </c>
      <c r="Z110" t="inlineStr"/>
      <c r="AA110" t="inlineStr"/>
      <c r="AB110" t="inlineStr"/>
      <c r="AC110" t="inlineStr"/>
      <c r="AD110" t="inlineStr"/>
      <c r="AE110" t="inlineStr"/>
      <c r="AF110" t="inlineStr">
        <is>
          <t>aa270b761f64cf4ca460dae5584f5e13</t>
        </is>
      </c>
      <c r="AG110" t="inlineStr"/>
    </row>
    <row r="111">
      <c r="A111" t="inlineStr">
        <is>
          <t>AS</t>
        </is>
      </c>
      <c r="B111" t="inlineStr">
        <is>
          <t>aom</t>
        </is>
      </c>
      <c r="C111" t="inlineStr">
        <is>
          <t>av2</t>
        </is>
      </c>
      <c r="D111" t="inlineStr">
        <is>
          <t>0</t>
        </is>
      </c>
      <c r="E111" t="inlineStr">
        <is>
          <t>A1</t>
        </is>
      </c>
      <c r="F111" t="inlineStr">
        <is>
          <t>Neon1224</t>
        </is>
      </c>
      <c r="G111" t="inlineStr">
        <is>
          <t>3840x2160</t>
        </is>
      </c>
      <c r="H111" t="inlineStr">
        <is>
          <t>30.0000</t>
        </is>
      </c>
      <c r="I111" t="inlineStr">
        <is>
          <t>10</t>
        </is>
      </c>
      <c r="J111" t="inlineStr">
        <is>
          <t>3840x2160</t>
        </is>
      </c>
      <c r="K111" t="inlineStr">
        <is>
          <t>135</t>
        </is>
      </c>
      <c r="L111" t="n">
        <v>17578.108661</v>
      </c>
      <c r="M111" t="n">
        <v>41.552085</v>
      </c>
      <c r="N111" t="n">
        <v>45.858474</v>
      </c>
      <c r="O111" t="n">
        <v>45.012665</v>
      </c>
      <c r="P111" t="n">
        <v>24.022216</v>
      </c>
      <c r="Q111" t="n">
        <v>19.696327</v>
      </c>
      <c r="R111" t="n">
        <v>99.381614</v>
      </c>
      <c r="S111" t="n">
        <v>98.60358100000001</v>
      </c>
      <c r="T111" t="n">
        <v>39.851309</v>
      </c>
      <c r="U111" t="n">
        <v>44.060493</v>
      </c>
      <c r="V111" t="n">
        <v>41.424881</v>
      </c>
      <c r="W111" t="n">
        <v>45.766364</v>
      </c>
      <c r="X111" t="n">
        <v>44.891535</v>
      </c>
      <c r="Y111" t="n">
        <v>1.210339</v>
      </c>
      <c r="Z111" t="inlineStr"/>
      <c r="AA111" t="inlineStr"/>
      <c r="AB111" t="inlineStr"/>
      <c r="AC111" t="inlineStr"/>
      <c r="AD111" t="inlineStr"/>
      <c r="AE111" t="inlineStr"/>
      <c r="AF111" t="inlineStr">
        <is>
          <t>2b0fdb757aab026b7ba5bae27da9a8ce</t>
        </is>
      </c>
      <c r="AG111" t="inlineStr"/>
    </row>
    <row r="112">
      <c r="A112" t="inlineStr">
        <is>
          <t>AS</t>
        </is>
      </c>
      <c r="B112" t="inlineStr">
        <is>
          <t>aom</t>
        </is>
      </c>
      <c r="C112" t="inlineStr">
        <is>
          <t>av2</t>
        </is>
      </c>
      <c r="D112" t="inlineStr">
        <is>
          <t>0</t>
        </is>
      </c>
      <c r="E112" t="inlineStr">
        <is>
          <t>A1</t>
        </is>
      </c>
      <c r="F112" t="inlineStr">
        <is>
          <t>Neon1224</t>
        </is>
      </c>
      <c r="G112" t="inlineStr">
        <is>
          <t>3840x2160</t>
        </is>
      </c>
      <c r="H112" t="inlineStr">
        <is>
          <t>30.0000</t>
        </is>
      </c>
      <c r="I112" t="inlineStr">
        <is>
          <t>10</t>
        </is>
      </c>
      <c r="J112" t="inlineStr">
        <is>
          <t>3840x2160</t>
        </is>
      </c>
      <c r="K112" t="inlineStr">
        <is>
          <t>160</t>
        </is>
      </c>
      <c r="L112" t="n">
        <v>7849.551064</v>
      </c>
      <c r="M112" t="n">
        <v>38.659155</v>
      </c>
      <c r="N112" t="n">
        <v>42.83626</v>
      </c>
      <c r="O112" t="n">
        <v>41.790204</v>
      </c>
      <c r="P112" t="n">
        <v>20.514378</v>
      </c>
      <c r="Q112" t="n">
        <v>17.296189</v>
      </c>
      <c r="R112" t="n">
        <v>91.48004899999999</v>
      </c>
      <c r="S112" t="n">
        <v>89.156614</v>
      </c>
      <c r="T112" t="n">
        <v>36.013269</v>
      </c>
      <c r="U112" t="n">
        <v>41.473286</v>
      </c>
      <c r="V112" t="n">
        <v>38.536827</v>
      </c>
      <c r="W112" t="n">
        <v>42.733544</v>
      </c>
      <c r="X112" t="n">
        <v>41.642367</v>
      </c>
      <c r="Y112" t="n">
        <v>1.394965</v>
      </c>
      <c r="Z112" t="inlineStr"/>
      <c r="AA112" t="inlineStr"/>
      <c r="AB112" t="inlineStr"/>
      <c r="AC112" t="inlineStr"/>
      <c r="AD112" t="inlineStr"/>
      <c r="AE112" t="inlineStr"/>
      <c r="AF112" t="inlineStr">
        <is>
          <t>a657aec70b566f9c16d1096fcdf02677</t>
        </is>
      </c>
      <c r="AG112" t="inlineStr"/>
    </row>
    <row r="113">
      <c r="A113" t="inlineStr">
        <is>
          <t>AS</t>
        </is>
      </c>
      <c r="B113" t="inlineStr">
        <is>
          <t>aom</t>
        </is>
      </c>
      <c r="C113" t="inlineStr">
        <is>
          <t>av2</t>
        </is>
      </c>
      <c r="D113" t="inlineStr">
        <is>
          <t>0</t>
        </is>
      </c>
      <c r="E113" t="inlineStr">
        <is>
          <t>A1</t>
        </is>
      </c>
      <c r="F113" t="inlineStr">
        <is>
          <t>Neon1224</t>
        </is>
      </c>
      <c r="G113" t="inlineStr">
        <is>
          <t>3840x2160</t>
        </is>
      </c>
      <c r="H113" t="inlineStr">
        <is>
          <t>30.0000</t>
        </is>
      </c>
      <c r="I113" t="inlineStr">
        <is>
          <t>10</t>
        </is>
      </c>
      <c r="J113" t="inlineStr">
        <is>
          <t>3840x2160</t>
        </is>
      </c>
      <c r="K113" t="inlineStr">
        <is>
          <t>185</t>
        </is>
      </c>
      <c r="L113" t="n">
        <v>3603.751326</v>
      </c>
      <c r="M113" t="n">
        <v>35.692687</v>
      </c>
      <c r="N113" t="n">
        <v>39.585614</v>
      </c>
      <c r="O113" t="n">
        <v>38.31858</v>
      </c>
      <c r="P113" t="n">
        <v>17.071333</v>
      </c>
      <c r="Q113" t="n">
        <v>14.841435</v>
      </c>
      <c r="R113" t="n">
        <v>75.155098</v>
      </c>
      <c r="S113" t="n">
        <v>72.633391</v>
      </c>
      <c r="T113" t="n">
        <v>32.125437</v>
      </c>
      <c r="U113" t="n">
        <v>38.667721</v>
      </c>
      <c r="V113" t="n">
        <v>35.563517</v>
      </c>
      <c r="W113" t="n">
        <v>39.447036</v>
      </c>
      <c r="X113" t="n">
        <v>38.120394</v>
      </c>
      <c r="Y113" t="n">
        <v>1.590009</v>
      </c>
      <c r="Z113" t="inlineStr"/>
      <c r="AA113" t="inlineStr"/>
      <c r="AB113" t="inlineStr"/>
      <c r="AC113" t="inlineStr"/>
      <c r="AD113" t="inlineStr"/>
      <c r="AE113" t="inlineStr"/>
      <c r="AF113" t="inlineStr">
        <is>
          <t>00327880409a5659c466425230f64d3c</t>
        </is>
      </c>
      <c r="AG113" t="inlineStr"/>
    </row>
    <row r="114">
      <c r="A114" t="inlineStr">
        <is>
          <t>AS</t>
        </is>
      </c>
      <c r="B114" t="inlineStr">
        <is>
          <t>aom</t>
        </is>
      </c>
      <c r="C114" t="inlineStr">
        <is>
          <t>av2</t>
        </is>
      </c>
      <c r="D114" t="inlineStr">
        <is>
          <t>0</t>
        </is>
      </c>
      <c r="E114" t="inlineStr">
        <is>
          <t>A1</t>
        </is>
      </c>
      <c r="F114" t="inlineStr">
        <is>
          <t>Neon1224</t>
        </is>
      </c>
      <c r="G114" t="inlineStr">
        <is>
          <t>3840x2160</t>
        </is>
      </c>
      <c r="H114" t="inlineStr">
        <is>
          <t>30.0000</t>
        </is>
      </c>
      <c r="I114" t="inlineStr">
        <is>
          <t>10</t>
        </is>
      </c>
      <c r="J114" t="inlineStr">
        <is>
          <t>3840x2160</t>
        </is>
      </c>
      <c r="K114" t="inlineStr">
        <is>
          <t>210</t>
        </is>
      </c>
      <c r="L114" t="n">
        <v>1590.412664</v>
      </c>
      <c r="M114" t="n">
        <v>32.467542</v>
      </c>
      <c r="N114" t="n">
        <v>36.137608</v>
      </c>
      <c r="O114" t="n">
        <v>34.555059</v>
      </c>
      <c r="P114" t="n">
        <v>13.476026</v>
      </c>
      <c r="Q114" t="n">
        <v>12.23914</v>
      </c>
      <c r="R114" t="n">
        <v>53.998632</v>
      </c>
      <c r="S114" t="n">
        <v>51.804778</v>
      </c>
      <c r="T114" t="n">
        <v>28.234317</v>
      </c>
      <c r="U114" t="n">
        <v>35.483516</v>
      </c>
      <c r="V114" t="n">
        <v>32.328584</v>
      </c>
      <c r="W114" t="n">
        <v>35.966193</v>
      </c>
      <c r="X114" t="n">
        <v>34.305235</v>
      </c>
      <c r="Y114" t="n">
        <v>1.857745</v>
      </c>
      <c r="Z114" t="inlineStr"/>
      <c r="AA114" t="inlineStr"/>
      <c r="AB114" t="inlineStr"/>
      <c r="AC114" t="inlineStr"/>
      <c r="AD114" t="inlineStr"/>
      <c r="AE114" t="inlineStr"/>
      <c r="AF114" t="inlineStr">
        <is>
          <t>b07f377de3a4832b3a595eb27523f00c</t>
        </is>
      </c>
      <c r="AG114" t="inlineStr"/>
    </row>
    <row r="115">
      <c r="A115" t="inlineStr">
        <is>
          <t>AS</t>
        </is>
      </c>
      <c r="B115" t="inlineStr">
        <is>
          <t>aom</t>
        </is>
      </c>
      <c r="C115" t="inlineStr">
        <is>
          <t>av2</t>
        </is>
      </c>
      <c r="D115" t="inlineStr">
        <is>
          <t>0</t>
        </is>
      </c>
      <c r="E115" t="inlineStr">
        <is>
          <t>A1</t>
        </is>
      </c>
      <c r="F115" t="inlineStr">
        <is>
          <t>Neon1224</t>
        </is>
      </c>
      <c r="G115" t="inlineStr">
        <is>
          <t>3840x2160</t>
        </is>
      </c>
      <c r="H115" t="inlineStr">
        <is>
          <t>30.0000</t>
        </is>
      </c>
      <c r="I115" t="inlineStr">
        <is>
          <t>10</t>
        </is>
      </c>
      <c r="J115" t="inlineStr">
        <is>
          <t>3840x2160</t>
        </is>
      </c>
      <c r="K115" t="inlineStr">
        <is>
          <t>235</t>
        </is>
      </c>
      <c r="L115" t="n">
        <v>678.0991320000001</v>
      </c>
      <c r="M115" t="n">
        <v>29.317452</v>
      </c>
      <c r="N115" t="n">
        <v>32.734578</v>
      </c>
      <c r="O115" t="n">
        <v>30.875174</v>
      </c>
      <c r="P115" t="n">
        <v>10.2505</v>
      </c>
      <c r="Q115" t="n">
        <v>9.840952</v>
      </c>
      <c r="R115" t="n">
        <v>31.192196</v>
      </c>
      <c r="S115" t="n">
        <v>29.787789</v>
      </c>
      <c r="T115" t="n">
        <v>24.717535</v>
      </c>
      <c r="U115" t="n">
        <v>32.209589</v>
      </c>
      <c r="V115" t="n">
        <v>29.189381</v>
      </c>
      <c r="W115" t="n">
        <v>32.549971</v>
      </c>
      <c r="X115" t="n">
        <v>30.60258</v>
      </c>
      <c r="Y115" t="n">
        <v>2.03067</v>
      </c>
      <c r="Z115" t="inlineStr"/>
      <c r="AA115" t="inlineStr"/>
      <c r="AB115" t="inlineStr"/>
      <c r="AC115" t="inlineStr"/>
      <c r="AD115" t="inlineStr"/>
      <c r="AE115" t="inlineStr"/>
      <c r="AF115" t="inlineStr">
        <is>
          <t>09fc16be7bbcb139936d4b591bc70396</t>
        </is>
      </c>
      <c r="AG115" t="inlineStr"/>
    </row>
    <row r="116">
      <c r="A116" t="inlineStr">
        <is>
          <t>AS</t>
        </is>
      </c>
      <c r="B116" t="inlineStr">
        <is>
          <t>aom</t>
        </is>
      </c>
      <c r="C116" t="inlineStr">
        <is>
          <t>av2</t>
        </is>
      </c>
      <c r="D116" t="inlineStr">
        <is>
          <t>0</t>
        </is>
      </c>
      <c r="E116" t="inlineStr">
        <is>
          <t>A1</t>
        </is>
      </c>
      <c r="F116" t="inlineStr">
        <is>
          <t>Neon1224</t>
        </is>
      </c>
      <c r="G116" t="inlineStr">
        <is>
          <t>3840x2160</t>
        </is>
      </c>
      <c r="H116" t="inlineStr">
        <is>
          <t>30.0000</t>
        </is>
      </c>
      <c r="I116" t="inlineStr">
        <is>
          <t>10</t>
        </is>
      </c>
      <c r="J116" t="inlineStr">
        <is>
          <t>2560x1440</t>
        </is>
      </c>
      <c r="K116" t="inlineStr">
        <is>
          <t>110</t>
        </is>
      </c>
      <c r="L116" t="n">
        <v>23474.063782</v>
      </c>
      <c r="M116" t="n">
        <v>42.229992</v>
      </c>
      <c r="N116" t="n">
        <v>47.120384</v>
      </c>
      <c r="O116" t="n">
        <v>46.299387</v>
      </c>
      <c r="P116" t="n">
        <v>25.741401</v>
      </c>
      <c r="Q116" t="n">
        <v>20.747316</v>
      </c>
      <c r="R116" t="n">
        <v>99.898985</v>
      </c>
      <c r="S116" t="n">
        <v>99.625297</v>
      </c>
      <c r="T116" t="n">
        <v>41.432573</v>
      </c>
      <c r="U116" t="n">
        <v>45.005265</v>
      </c>
      <c r="V116" t="n">
        <v>42.17898</v>
      </c>
      <c r="W116" t="n">
        <v>47.023363</v>
      </c>
      <c r="X116" t="n">
        <v>46.182668</v>
      </c>
      <c r="Y116" t="n">
        <v>1.117554</v>
      </c>
      <c r="Z116" t="inlineStr"/>
      <c r="AA116" t="inlineStr"/>
      <c r="AB116" t="inlineStr"/>
      <c r="AC116" t="inlineStr"/>
      <c r="AD116" t="inlineStr"/>
      <c r="AE116" t="inlineStr"/>
      <c r="AF116" t="inlineStr">
        <is>
          <t>d8d4b7607a6d922ebd80c07d605674b4</t>
        </is>
      </c>
      <c r="AG116" t="inlineStr"/>
    </row>
    <row r="117">
      <c r="A117" t="inlineStr">
        <is>
          <t>AS</t>
        </is>
      </c>
      <c r="B117" t="inlineStr">
        <is>
          <t>aom</t>
        </is>
      </c>
      <c r="C117" t="inlineStr">
        <is>
          <t>av2</t>
        </is>
      </c>
      <c r="D117" t="inlineStr">
        <is>
          <t>0</t>
        </is>
      </c>
      <c r="E117" t="inlineStr">
        <is>
          <t>A1</t>
        </is>
      </c>
      <c r="F117" t="inlineStr">
        <is>
          <t>Neon1224</t>
        </is>
      </c>
      <c r="G117" t="inlineStr">
        <is>
          <t>3840x2160</t>
        </is>
      </c>
      <c r="H117" t="inlineStr">
        <is>
          <t>30.0000</t>
        </is>
      </c>
      <c r="I117" t="inlineStr">
        <is>
          <t>10</t>
        </is>
      </c>
      <c r="J117" t="inlineStr">
        <is>
          <t>2560x1440</t>
        </is>
      </c>
      <c r="K117" t="inlineStr">
        <is>
          <t>135</t>
        </is>
      </c>
      <c r="L117" t="n">
        <v>10782.86452</v>
      </c>
      <c r="M117" t="n">
        <v>39.725682</v>
      </c>
      <c r="N117" t="n">
        <v>44.314527</v>
      </c>
      <c r="O117" t="n">
        <v>43.300997</v>
      </c>
      <c r="P117" t="n">
        <v>22.022466</v>
      </c>
      <c r="Q117" t="n">
        <v>18.339615</v>
      </c>
      <c r="R117" t="n">
        <v>96.01114</v>
      </c>
      <c r="S117" t="n">
        <v>94.21541000000001</v>
      </c>
      <c r="T117" t="n">
        <v>37.709515</v>
      </c>
      <c r="U117" t="n">
        <v>42.658369</v>
      </c>
      <c r="V117" t="n">
        <v>39.637936</v>
      </c>
      <c r="W117" t="n">
        <v>44.223097</v>
      </c>
      <c r="X117" t="n">
        <v>43.171388</v>
      </c>
      <c r="Y117" t="n">
        <v>1.3634</v>
      </c>
      <c r="Z117" t="inlineStr"/>
      <c r="AA117" t="inlineStr"/>
      <c r="AB117" t="inlineStr"/>
      <c r="AC117" t="inlineStr"/>
      <c r="AD117" t="inlineStr"/>
      <c r="AE117" t="inlineStr"/>
      <c r="AF117" t="inlineStr">
        <is>
          <t>64f34a92c410cfc5b5ebedb69944b2d6</t>
        </is>
      </c>
      <c r="AG117" t="inlineStr"/>
    </row>
    <row r="118">
      <c r="A118" t="inlineStr">
        <is>
          <t>AS</t>
        </is>
      </c>
      <c r="B118" t="inlineStr">
        <is>
          <t>aom</t>
        </is>
      </c>
      <c r="C118" t="inlineStr">
        <is>
          <t>av2</t>
        </is>
      </c>
      <c r="D118" t="inlineStr">
        <is>
          <t>0</t>
        </is>
      </c>
      <c r="E118" t="inlineStr">
        <is>
          <t>A1</t>
        </is>
      </c>
      <c r="F118" t="inlineStr">
        <is>
          <t>Neon1224</t>
        </is>
      </c>
      <c r="G118" t="inlineStr">
        <is>
          <t>3840x2160</t>
        </is>
      </c>
      <c r="H118" t="inlineStr">
        <is>
          <t>30.0000</t>
        </is>
      </c>
      <c r="I118" t="inlineStr">
        <is>
          <t>10</t>
        </is>
      </c>
      <c r="J118" t="inlineStr">
        <is>
          <t>2560x1440</t>
        </is>
      </c>
      <c r="K118" t="inlineStr">
        <is>
          <t>160</t>
        </is>
      </c>
      <c r="L118" t="n">
        <v>4985.196342</v>
      </c>
      <c r="M118" t="n">
        <v>36.98035</v>
      </c>
      <c r="N118" t="n">
        <v>41.265733</v>
      </c>
      <c r="O118" t="n">
        <v>40.050726</v>
      </c>
      <c r="P118" t="n">
        <v>18.649712</v>
      </c>
      <c r="Q118" t="n">
        <v>15.97307</v>
      </c>
      <c r="R118" t="n">
        <v>83.01452</v>
      </c>
      <c r="S118" t="n">
        <v>80.484447</v>
      </c>
      <c r="T118" t="n">
        <v>33.874961</v>
      </c>
      <c r="U118" t="n">
        <v>40.106925</v>
      </c>
      <c r="V118" t="n">
        <v>36.868868</v>
      </c>
      <c r="W118" t="n">
        <v>41.146987</v>
      </c>
      <c r="X118" t="n">
        <v>39.883292</v>
      </c>
      <c r="Y118" t="n">
        <v>1.517265</v>
      </c>
      <c r="Z118" t="inlineStr"/>
      <c r="AA118" t="inlineStr"/>
      <c r="AB118" t="inlineStr"/>
      <c r="AC118" t="inlineStr"/>
      <c r="AD118" t="inlineStr"/>
      <c r="AE118" t="inlineStr"/>
      <c r="AF118" t="inlineStr">
        <is>
          <t>5bf830b8d4547b7d3e5969bb1aa632fe</t>
        </is>
      </c>
      <c r="AG118" t="inlineStr"/>
    </row>
    <row r="119">
      <c r="A119" t="inlineStr">
        <is>
          <t>AS</t>
        </is>
      </c>
      <c r="B119" t="inlineStr">
        <is>
          <t>aom</t>
        </is>
      </c>
      <c r="C119" t="inlineStr">
        <is>
          <t>av2</t>
        </is>
      </c>
      <c r="D119" t="inlineStr">
        <is>
          <t>0</t>
        </is>
      </c>
      <c r="E119" t="inlineStr">
        <is>
          <t>A1</t>
        </is>
      </c>
      <c r="F119" t="inlineStr">
        <is>
          <t>Neon1224</t>
        </is>
      </c>
      <c r="G119" t="inlineStr">
        <is>
          <t>3840x2160</t>
        </is>
      </c>
      <c r="H119" t="inlineStr">
        <is>
          <t>30.0000</t>
        </is>
      </c>
      <c r="I119" t="inlineStr">
        <is>
          <t>10</t>
        </is>
      </c>
      <c r="J119" t="inlineStr">
        <is>
          <t>2560x1440</t>
        </is>
      </c>
      <c r="K119" t="inlineStr">
        <is>
          <t>185</t>
        </is>
      </c>
      <c r="L119" t="n">
        <v>2264.965189</v>
      </c>
      <c r="M119" t="n">
        <v>33.950528</v>
      </c>
      <c r="N119" t="n">
        <v>38.014568</v>
      </c>
      <c r="O119" t="n">
        <v>36.567455</v>
      </c>
      <c r="P119" t="n">
        <v>15.192713</v>
      </c>
      <c r="Q119" t="n">
        <v>13.467739</v>
      </c>
      <c r="R119" t="n">
        <v>64.093678</v>
      </c>
      <c r="S119" t="n">
        <v>61.695771</v>
      </c>
      <c r="T119" t="n">
        <v>30.037864</v>
      </c>
      <c r="U119" t="n">
        <v>37.224714</v>
      </c>
      <c r="V119" t="n">
        <v>33.820082</v>
      </c>
      <c r="W119" t="n">
        <v>37.862488</v>
      </c>
      <c r="X119" t="n">
        <v>36.347675</v>
      </c>
      <c r="Y119" t="n">
        <v>1.716524</v>
      </c>
      <c r="Z119" t="inlineStr"/>
      <c r="AA119" t="inlineStr"/>
      <c r="AB119" t="inlineStr"/>
      <c r="AC119" t="inlineStr"/>
      <c r="AD119" t="inlineStr"/>
      <c r="AE119" t="inlineStr"/>
      <c r="AF119" t="inlineStr">
        <is>
          <t>b210c17864504140c480f4b93a34d12e</t>
        </is>
      </c>
      <c r="AG119" t="inlineStr"/>
    </row>
    <row r="120">
      <c r="A120" t="inlineStr">
        <is>
          <t>AS</t>
        </is>
      </c>
      <c r="B120" t="inlineStr">
        <is>
          <t>aom</t>
        </is>
      </c>
      <c r="C120" t="inlineStr">
        <is>
          <t>av2</t>
        </is>
      </c>
      <c r="D120" t="inlineStr">
        <is>
          <t>0</t>
        </is>
      </c>
      <c r="E120" t="inlineStr">
        <is>
          <t>A1</t>
        </is>
      </c>
      <c r="F120" t="inlineStr">
        <is>
          <t>Neon1224</t>
        </is>
      </c>
      <c r="G120" t="inlineStr">
        <is>
          <t>3840x2160</t>
        </is>
      </c>
      <c r="H120" t="inlineStr">
        <is>
          <t>30.0000</t>
        </is>
      </c>
      <c r="I120" t="inlineStr">
        <is>
          <t>10</t>
        </is>
      </c>
      <c r="J120" t="inlineStr">
        <is>
          <t>2560x1440</t>
        </is>
      </c>
      <c r="K120" t="inlineStr">
        <is>
          <t>210</t>
        </is>
      </c>
      <c r="L120" t="n">
        <v>966.6321369999999</v>
      </c>
      <c r="M120" t="n">
        <v>30.800015</v>
      </c>
      <c r="N120" t="n">
        <v>34.677378</v>
      </c>
      <c r="O120" t="n">
        <v>32.898463</v>
      </c>
      <c r="P120" t="n">
        <v>11.803835</v>
      </c>
      <c r="Q120" t="n">
        <v>10.992414</v>
      </c>
      <c r="R120" t="n">
        <v>41.969999</v>
      </c>
      <c r="S120" t="n">
        <v>40.112039</v>
      </c>
      <c r="T120" t="n">
        <v>26.386305</v>
      </c>
      <c r="U120" t="n">
        <v>34.078287</v>
      </c>
      <c r="V120" t="n">
        <v>30.669514</v>
      </c>
      <c r="W120" t="n">
        <v>34.504193</v>
      </c>
      <c r="X120" t="n">
        <v>32.633414</v>
      </c>
      <c r="Y120" t="n">
        <v>1.857185</v>
      </c>
      <c r="Z120" t="inlineStr"/>
      <c r="AA120" t="inlineStr"/>
      <c r="AB120" t="inlineStr"/>
      <c r="AC120" t="inlineStr"/>
      <c r="AD120" t="inlineStr"/>
      <c r="AE120" t="inlineStr"/>
      <c r="AF120" t="inlineStr">
        <is>
          <t>3f1e2b1a3e1613d4e6657df93d103b75</t>
        </is>
      </c>
      <c r="AG120" t="inlineStr"/>
    </row>
    <row r="121">
      <c r="A121" t="inlineStr">
        <is>
          <t>AS</t>
        </is>
      </c>
      <c r="B121" t="inlineStr">
        <is>
          <t>aom</t>
        </is>
      </c>
      <c r="C121" t="inlineStr">
        <is>
          <t>av2</t>
        </is>
      </c>
      <c r="D121" t="inlineStr">
        <is>
          <t>0</t>
        </is>
      </c>
      <c r="E121" t="inlineStr">
        <is>
          <t>A1</t>
        </is>
      </c>
      <c r="F121" t="inlineStr">
        <is>
          <t>Neon1224</t>
        </is>
      </c>
      <c r="G121" t="inlineStr">
        <is>
          <t>3840x2160</t>
        </is>
      </c>
      <c r="H121" t="inlineStr">
        <is>
          <t>30.0000</t>
        </is>
      </c>
      <c r="I121" t="inlineStr">
        <is>
          <t>10</t>
        </is>
      </c>
      <c r="J121" t="inlineStr">
        <is>
          <t>2560x1440</t>
        </is>
      </c>
      <c r="K121" t="inlineStr">
        <is>
          <t>235</t>
        </is>
      </c>
      <c r="L121" t="n">
        <v>394.999462</v>
      </c>
      <c r="M121" t="n">
        <v>27.781165</v>
      </c>
      <c r="N121" t="n">
        <v>31.539451</v>
      </c>
      <c r="O121" t="n">
        <v>29.465458</v>
      </c>
      <c r="P121" t="n">
        <v>8.919406</v>
      </c>
      <c r="Q121" t="n">
        <v>8.811852</v>
      </c>
      <c r="R121" t="n">
        <v>20.544809</v>
      </c>
      <c r="S121" t="n">
        <v>19.480967</v>
      </c>
      <c r="T121" t="n">
        <v>23.154818</v>
      </c>
      <c r="U121" t="n">
        <v>30.971165</v>
      </c>
      <c r="V121" t="n">
        <v>27.667637</v>
      </c>
      <c r="W121" t="n">
        <v>31.364529</v>
      </c>
      <c r="X121" t="n">
        <v>29.199352</v>
      </c>
      <c r="Y121" t="n">
        <v>2.002633</v>
      </c>
      <c r="Z121" t="inlineStr"/>
      <c r="AA121" t="inlineStr"/>
      <c r="AB121" t="inlineStr"/>
      <c r="AC121" t="inlineStr"/>
      <c r="AD121" t="inlineStr"/>
      <c r="AE121" t="inlineStr"/>
      <c r="AF121" t="inlineStr">
        <is>
          <t>439c68257c8bbe0e39e8ef4983050622</t>
        </is>
      </c>
      <c r="AG121" t="inlineStr"/>
    </row>
    <row r="122">
      <c r="A122" t="inlineStr">
        <is>
          <t>AS</t>
        </is>
      </c>
      <c r="B122" t="inlineStr">
        <is>
          <t>aom</t>
        </is>
      </c>
      <c r="C122" t="inlineStr">
        <is>
          <t>av2</t>
        </is>
      </c>
      <c r="D122" t="inlineStr">
        <is>
          <t>0</t>
        </is>
      </c>
      <c r="E122" t="inlineStr">
        <is>
          <t>A1</t>
        </is>
      </c>
      <c r="F122" t="inlineStr">
        <is>
          <t>Neon1224</t>
        </is>
      </c>
      <c r="G122" t="inlineStr">
        <is>
          <t>3840x2160</t>
        </is>
      </c>
      <c r="H122" t="inlineStr">
        <is>
          <t>30.0000</t>
        </is>
      </c>
      <c r="I122" t="inlineStr">
        <is>
          <t>10</t>
        </is>
      </c>
      <c r="J122" t="inlineStr">
        <is>
          <t>1920x1080</t>
        </is>
      </c>
      <c r="K122" t="inlineStr">
        <is>
          <t>110</t>
        </is>
      </c>
      <c r="L122" t="n">
        <v>16408.023361</v>
      </c>
      <c r="M122" t="n">
        <v>40.625586</v>
      </c>
      <c r="N122" t="n">
        <v>45.992838</v>
      </c>
      <c r="O122" t="n">
        <v>45.021621</v>
      </c>
      <c r="P122" t="n">
        <v>24.109319</v>
      </c>
      <c r="Q122" t="n">
        <v>19.656869</v>
      </c>
      <c r="R122" t="n">
        <v>98.837705</v>
      </c>
      <c r="S122" t="n">
        <v>97.730959</v>
      </c>
      <c r="T122" t="n">
        <v>39.799773</v>
      </c>
      <c r="U122" t="n">
        <v>43.91765</v>
      </c>
      <c r="V122" t="n">
        <v>40.587157</v>
      </c>
      <c r="W122" t="n">
        <v>45.90845</v>
      </c>
      <c r="X122" t="n">
        <v>44.911382</v>
      </c>
      <c r="Y122" t="n">
        <v>1.274628</v>
      </c>
      <c r="Z122" t="inlineStr"/>
      <c r="AA122" t="inlineStr"/>
      <c r="AB122" t="inlineStr"/>
      <c r="AC122" t="inlineStr"/>
      <c r="AD122" t="inlineStr"/>
      <c r="AE122" t="inlineStr"/>
      <c r="AF122" t="inlineStr">
        <is>
          <t>245d404130111699ab205cf8fc2af7fb</t>
        </is>
      </c>
      <c r="AG122" t="inlineStr"/>
    </row>
    <row r="123">
      <c r="A123" t="inlineStr">
        <is>
          <t>AS</t>
        </is>
      </c>
      <c r="B123" t="inlineStr">
        <is>
          <t>aom</t>
        </is>
      </c>
      <c r="C123" t="inlineStr">
        <is>
          <t>av2</t>
        </is>
      </c>
      <c r="D123" t="inlineStr">
        <is>
          <t>0</t>
        </is>
      </c>
      <c r="E123" t="inlineStr">
        <is>
          <t>A1</t>
        </is>
      </c>
      <c r="F123" t="inlineStr">
        <is>
          <t>Neon1224</t>
        </is>
      </c>
      <c r="G123" t="inlineStr">
        <is>
          <t>3840x2160</t>
        </is>
      </c>
      <c r="H123" t="inlineStr">
        <is>
          <t>30.0000</t>
        </is>
      </c>
      <c r="I123" t="inlineStr">
        <is>
          <t>10</t>
        </is>
      </c>
      <c r="J123" t="inlineStr">
        <is>
          <t>1920x1080</t>
        </is>
      </c>
      <c r="K123" t="inlineStr">
        <is>
          <t>135</t>
        </is>
      </c>
      <c r="L123" t="n">
        <v>7797.792361</v>
      </c>
      <c r="M123" t="n">
        <v>38.4192</v>
      </c>
      <c r="N123" t="n">
        <v>43.148821</v>
      </c>
      <c r="O123" t="n">
        <v>42.000075</v>
      </c>
      <c r="P123" t="n">
        <v>20.699041</v>
      </c>
      <c r="Q123" t="n">
        <v>17.410084</v>
      </c>
      <c r="R123" t="n">
        <v>90.958938</v>
      </c>
      <c r="S123" t="n">
        <v>88.598697</v>
      </c>
      <c r="T123" t="n">
        <v>36.157446</v>
      </c>
      <c r="U123" t="n">
        <v>41.647148</v>
      </c>
      <c r="V123" t="n">
        <v>38.3466</v>
      </c>
      <c r="W123" t="n">
        <v>43.049892</v>
      </c>
      <c r="X123" t="n">
        <v>41.85888</v>
      </c>
      <c r="Y123" t="n">
        <v>1.47736</v>
      </c>
      <c r="Z123" t="inlineStr"/>
      <c r="AA123" t="inlineStr"/>
      <c r="AB123" t="inlineStr"/>
      <c r="AC123" t="inlineStr"/>
      <c r="AD123" t="inlineStr"/>
      <c r="AE123" t="inlineStr"/>
      <c r="AF123" t="inlineStr">
        <is>
          <t>c94342e919ba5d96b9897bb95c5f425e</t>
        </is>
      </c>
      <c r="AG123" t="inlineStr"/>
    </row>
    <row r="124">
      <c r="A124" t="inlineStr">
        <is>
          <t>AS</t>
        </is>
      </c>
      <c r="B124" t="inlineStr">
        <is>
          <t>aom</t>
        </is>
      </c>
      <c r="C124" t="inlineStr">
        <is>
          <t>av2</t>
        </is>
      </c>
      <c r="D124" t="inlineStr">
        <is>
          <t>0</t>
        </is>
      </c>
      <c r="E124" t="inlineStr">
        <is>
          <t>A1</t>
        </is>
      </c>
      <c r="F124" t="inlineStr">
        <is>
          <t>Neon1224</t>
        </is>
      </c>
      <c r="G124" t="inlineStr">
        <is>
          <t>3840x2160</t>
        </is>
      </c>
      <c r="H124" t="inlineStr">
        <is>
          <t>30.0000</t>
        </is>
      </c>
      <c r="I124" t="inlineStr">
        <is>
          <t>10</t>
        </is>
      </c>
      <c r="J124" t="inlineStr">
        <is>
          <t>1920x1080</t>
        </is>
      </c>
      <c r="K124" t="inlineStr">
        <is>
          <t>160</t>
        </is>
      </c>
      <c r="L124" t="n">
        <v>3621.063859</v>
      </c>
      <c r="M124" t="n">
        <v>35.72009</v>
      </c>
      <c r="N124" t="n">
        <v>40.04702</v>
      </c>
      <c r="O124" t="n">
        <v>38.706109</v>
      </c>
      <c r="P124" t="n">
        <v>17.32859</v>
      </c>
      <c r="Q124" t="n">
        <v>15.021511</v>
      </c>
      <c r="R124" t="n">
        <v>75.370251</v>
      </c>
      <c r="S124" t="n">
        <v>72.843406</v>
      </c>
      <c r="T124" t="n">
        <v>32.33973</v>
      </c>
      <c r="U124" t="n">
        <v>39.04958</v>
      </c>
      <c r="V124" t="n">
        <v>35.613822</v>
      </c>
      <c r="W124" t="n">
        <v>39.918335</v>
      </c>
      <c r="X124" t="n">
        <v>38.523656</v>
      </c>
      <c r="Y124" t="n">
        <v>1.66234</v>
      </c>
      <c r="Z124" t="inlineStr"/>
      <c r="AA124" t="inlineStr"/>
      <c r="AB124" t="inlineStr"/>
      <c r="AC124" t="inlineStr"/>
      <c r="AD124" t="inlineStr"/>
      <c r="AE124" t="inlineStr"/>
      <c r="AF124" t="inlineStr">
        <is>
          <t>e544d2e7cbbe0dc663c94a0f0905d6a0</t>
        </is>
      </c>
      <c r="AG124" t="inlineStr"/>
    </row>
    <row r="125">
      <c r="A125" t="inlineStr">
        <is>
          <t>AS</t>
        </is>
      </c>
      <c r="B125" t="inlineStr">
        <is>
          <t>aom</t>
        </is>
      </c>
      <c r="C125" t="inlineStr">
        <is>
          <t>av2</t>
        </is>
      </c>
      <c r="D125" t="inlineStr">
        <is>
          <t>0</t>
        </is>
      </c>
      <c r="E125" t="inlineStr">
        <is>
          <t>A1</t>
        </is>
      </c>
      <c r="F125" t="inlineStr">
        <is>
          <t>Neon1224</t>
        </is>
      </c>
      <c r="G125" t="inlineStr">
        <is>
          <t>3840x2160</t>
        </is>
      </c>
      <c r="H125" t="inlineStr">
        <is>
          <t>30.0000</t>
        </is>
      </c>
      <c r="I125" t="inlineStr">
        <is>
          <t>10</t>
        </is>
      </c>
      <c r="J125" t="inlineStr">
        <is>
          <t>1920x1080</t>
        </is>
      </c>
      <c r="K125" t="inlineStr">
        <is>
          <t>185</t>
        </is>
      </c>
      <c r="L125" t="n">
        <v>1610.932452</v>
      </c>
      <c r="M125" t="n">
        <v>32.697015</v>
      </c>
      <c r="N125" t="n">
        <v>36.861506</v>
      </c>
      <c r="O125" t="n">
        <v>35.251189</v>
      </c>
      <c r="P125" t="n">
        <v>13.876053</v>
      </c>
      <c r="Q125" t="n">
        <v>12.507233</v>
      </c>
      <c r="R125" t="n">
        <v>55.336695</v>
      </c>
      <c r="S125" t="n">
        <v>53.114264</v>
      </c>
      <c r="T125" t="n">
        <v>28.591825</v>
      </c>
      <c r="U125" t="n">
        <v>36.158098</v>
      </c>
      <c r="V125" t="n">
        <v>32.569832</v>
      </c>
      <c r="W125" t="n">
        <v>36.704519</v>
      </c>
      <c r="X125" t="n">
        <v>35.023546</v>
      </c>
      <c r="Y125" t="n">
        <v>1.824845</v>
      </c>
      <c r="Z125" t="inlineStr"/>
      <c r="AA125" t="inlineStr"/>
      <c r="AB125" t="inlineStr"/>
      <c r="AC125" t="inlineStr"/>
      <c r="AD125" t="inlineStr"/>
      <c r="AE125" t="inlineStr"/>
      <c r="AF125" t="inlineStr">
        <is>
          <t>0633cad6ce8ca7485bf91bc87fde96e1</t>
        </is>
      </c>
      <c r="AG125" t="inlineStr"/>
    </row>
    <row r="126">
      <c r="A126" t="inlineStr">
        <is>
          <t>AS</t>
        </is>
      </c>
      <c r="B126" t="inlineStr">
        <is>
          <t>aom</t>
        </is>
      </c>
      <c r="C126" t="inlineStr">
        <is>
          <t>av2</t>
        </is>
      </c>
      <c r="D126" t="inlineStr">
        <is>
          <t>0</t>
        </is>
      </c>
      <c r="E126" t="inlineStr">
        <is>
          <t>A1</t>
        </is>
      </c>
      <c r="F126" t="inlineStr">
        <is>
          <t>Neon1224</t>
        </is>
      </c>
      <c r="G126" t="inlineStr">
        <is>
          <t>3840x2160</t>
        </is>
      </c>
      <c r="H126" t="inlineStr">
        <is>
          <t>30.0000</t>
        </is>
      </c>
      <c r="I126" t="inlineStr">
        <is>
          <t>10</t>
        </is>
      </c>
      <c r="J126" t="inlineStr">
        <is>
          <t>1920x1080</t>
        </is>
      </c>
      <c r="K126" t="inlineStr">
        <is>
          <t>210</t>
        </is>
      </c>
      <c r="L126" t="n">
        <v>674.690848</v>
      </c>
      <c r="M126" t="n">
        <v>29.642474</v>
      </c>
      <c r="N126" t="n">
        <v>33.636807</v>
      </c>
      <c r="O126" t="n">
        <v>31.720732</v>
      </c>
      <c r="P126" t="n">
        <v>10.702057</v>
      </c>
      <c r="Q126" t="n">
        <v>10.155998</v>
      </c>
      <c r="R126" t="n">
        <v>32.916495</v>
      </c>
      <c r="S126" t="n">
        <v>31.394452</v>
      </c>
      <c r="T126" t="n">
        <v>25.143167</v>
      </c>
      <c r="U126" t="n">
        <v>33.053925</v>
      </c>
      <c r="V126" t="n">
        <v>29.519886</v>
      </c>
      <c r="W126" t="n">
        <v>33.465215</v>
      </c>
      <c r="X126" t="n">
        <v>31.453731</v>
      </c>
      <c r="Y126" t="n">
        <v>1.934304</v>
      </c>
      <c r="Z126" t="inlineStr"/>
      <c r="AA126" t="inlineStr"/>
      <c r="AB126" t="inlineStr"/>
      <c r="AC126" t="inlineStr"/>
      <c r="AD126" t="inlineStr"/>
      <c r="AE126" t="inlineStr"/>
      <c r="AF126" t="inlineStr">
        <is>
          <t>8c722ca8dd61c7f590d8253aa095814d</t>
        </is>
      </c>
      <c r="AG126" t="inlineStr"/>
    </row>
    <row r="127">
      <c r="A127" t="inlineStr">
        <is>
          <t>AS</t>
        </is>
      </c>
      <c r="B127" t="inlineStr">
        <is>
          <t>aom</t>
        </is>
      </c>
      <c r="C127" t="inlineStr">
        <is>
          <t>av2</t>
        </is>
      </c>
      <c r="D127" t="inlineStr">
        <is>
          <t>0</t>
        </is>
      </c>
      <c r="E127" t="inlineStr">
        <is>
          <t>A1</t>
        </is>
      </c>
      <c r="F127" t="inlineStr">
        <is>
          <t>Neon1224</t>
        </is>
      </c>
      <c r="G127" t="inlineStr">
        <is>
          <t>3840x2160</t>
        </is>
      </c>
      <c r="H127" t="inlineStr">
        <is>
          <t>30.0000</t>
        </is>
      </c>
      <c r="I127" t="inlineStr">
        <is>
          <t>10</t>
        </is>
      </c>
      <c r="J127" t="inlineStr">
        <is>
          <t>1920x1080</t>
        </is>
      </c>
      <c r="K127" t="inlineStr">
        <is>
          <t>235</t>
        </is>
      </c>
      <c r="L127" t="n">
        <v>264.68055</v>
      </c>
      <c r="M127" t="n">
        <v>26.712091</v>
      </c>
      <c r="N127" t="n">
        <v>30.71864</v>
      </c>
      <c r="O127" t="n">
        <v>28.483372</v>
      </c>
      <c r="P127" t="n">
        <v>8.034397999999999</v>
      </c>
      <c r="Q127" t="n">
        <v>8.116497000000001</v>
      </c>
      <c r="R127" t="n">
        <v>13.269707</v>
      </c>
      <c r="S127" t="n">
        <v>12.470362</v>
      </c>
      <c r="T127" t="n">
        <v>22.102255</v>
      </c>
      <c r="U127" t="n">
        <v>30.055241</v>
      </c>
      <c r="V127" t="n">
        <v>26.605954</v>
      </c>
      <c r="W127" t="n">
        <v>30.551895</v>
      </c>
      <c r="X127" t="n">
        <v>28.212876</v>
      </c>
      <c r="Y127" t="n">
        <v>2.106455</v>
      </c>
      <c r="Z127" t="inlineStr"/>
      <c r="AA127" t="inlineStr"/>
      <c r="AB127" t="inlineStr"/>
      <c r="AC127" t="inlineStr"/>
      <c r="AD127" t="inlineStr"/>
      <c r="AE127" t="inlineStr"/>
      <c r="AF127" t="inlineStr">
        <is>
          <t>10d684cb30c1fc4b81e37b0e1ef479f8</t>
        </is>
      </c>
      <c r="AG127" t="inlineStr"/>
    </row>
    <row r="128">
      <c r="A128" t="inlineStr">
        <is>
          <t>AS</t>
        </is>
      </c>
      <c r="B128" t="inlineStr">
        <is>
          <t>aom</t>
        </is>
      </c>
      <c r="C128" t="inlineStr">
        <is>
          <t>av2</t>
        </is>
      </c>
      <c r="D128" t="inlineStr">
        <is>
          <t>0</t>
        </is>
      </c>
      <c r="E128" t="inlineStr">
        <is>
          <t>A1</t>
        </is>
      </c>
      <c r="F128" t="inlineStr">
        <is>
          <t>Neon1224</t>
        </is>
      </c>
      <c r="G128" t="inlineStr">
        <is>
          <t>3840x2160</t>
        </is>
      </c>
      <c r="H128" t="inlineStr">
        <is>
          <t>30.0000</t>
        </is>
      </c>
      <c r="I128" t="inlineStr">
        <is>
          <t>10</t>
        </is>
      </c>
      <c r="J128" t="inlineStr">
        <is>
          <t>1280x720</t>
        </is>
      </c>
      <c r="K128" t="inlineStr">
        <is>
          <t>110</t>
        </is>
      </c>
      <c r="L128" t="n">
        <v>9936.400215</v>
      </c>
      <c r="M128" t="n">
        <v>37.78423</v>
      </c>
      <c r="N128" t="n">
        <v>43.848254</v>
      </c>
      <c r="O128" t="n">
        <v>42.488333</v>
      </c>
      <c r="P128" t="n">
        <v>22.087924</v>
      </c>
      <c r="Q128" t="n">
        <v>18.000085</v>
      </c>
      <c r="R128" t="n">
        <v>91.136415</v>
      </c>
      <c r="S128" t="n">
        <v>88.85987900000001</v>
      </c>
      <c r="T128" t="n">
        <v>36.205266</v>
      </c>
      <c r="U128" t="n">
        <v>42.055656</v>
      </c>
      <c r="V128" t="n">
        <v>37.755873</v>
      </c>
      <c r="W128" t="n">
        <v>43.786607</v>
      </c>
      <c r="X128" t="n">
        <v>42.402246</v>
      </c>
      <c r="Y128" t="n">
        <v>1.439104</v>
      </c>
      <c r="Z128" t="inlineStr"/>
      <c r="AA128" t="inlineStr"/>
      <c r="AB128" t="inlineStr"/>
      <c r="AC128" t="inlineStr"/>
      <c r="AD128" t="inlineStr"/>
      <c r="AE128" t="inlineStr"/>
      <c r="AF128" t="inlineStr">
        <is>
          <t>1c3c0824e2e83027eb79f82bcc6684f7</t>
        </is>
      </c>
      <c r="AG128" t="inlineStr"/>
    </row>
    <row r="129">
      <c r="A129" t="inlineStr">
        <is>
          <t>AS</t>
        </is>
      </c>
      <c r="B129" t="inlineStr">
        <is>
          <t>aom</t>
        </is>
      </c>
      <c r="C129" t="inlineStr">
        <is>
          <t>av2</t>
        </is>
      </c>
      <c r="D129" t="inlineStr">
        <is>
          <t>0</t>
        </is>
      </c>
      <c r="E129" t="inlineStr">
        <is>
          <t>A1</t>
        </is>
      </c>
      <c r="F129" t="inlineStr">
        <is>
          <t>Neon1224</t>
        </is>
      </c>
      <c r="G129" t="inlineStr">
        <is>
          <t>3840x2160</t>
        </is>
      </c>
      <c r="H129" t="inlineStr">
        <is>
          <t>30.0000</t>
        </is>
      </c>
      <c r="I129" t="inlineStr">
        <is>
          <t>10</t>
        </is>
      </c>
      <c r="J129" t="inlineStr">
        <is>
          <t>1280x720</t>
        </is>
      </c>
      <c r="K129" t="inlineStr">
        <is>
          <t>135</t>
        </is>
      </c>
      <c r="L129" t="n">
        <v>4887.763314</v>
      </c>
      <c r="M129" t="n">
        <v>36.086024</v>
      </c>
      <c r="N129" t="n">
        <v>41.131907</v>
      </c>
      <c r="O129" t="n">
        <v>39.693017</v>
      </c>
      <c r="P129" t="n">
        <v>18.843406</v>
      </c>
      <c r="Q129" t="n">
        <v>15.927532</v>
      </c>
      <c r="R129" t="n">
        <v>78.573881</v>
      </c>
      <c r="S129" t="n">
        <v>76.11445000000001</v>
      </c>
      <c r="T129" t="n">
        <v>33.275142</v>
      </c>
      <c r="U129" t="n">
        <v>39.937372</v>
      </c>
      <c r="V129" t="n">
        <v>36.03697</v>
      </c>
      <c r="W129" t="n">
        <v>41.03125</v>
      </c>
      <c r="X129" t="n">
        <v>39.555671</v>
      </c>
      <c r="Y129" t="n">
        <v>1.606258</v>
      </c>
      <c r="Z129" t="inlineStr"/>
      <c r="AA129" t="inlineStr"/>
      <c r="AB129" t="inlineStr"/>
      <c r="AC129" t="inlineStr"/>
      <c r="AD129" t="inlineStr"/>
      <c r="AE129" t="inlineStr"/>
      <c r="AF129" t="inlineStr">
        <is>
          <t>ab73ac4e70f8461236616ba781cabf94</t>
        </is>
      </c>
      <c r="AG129" t="inlineStr"/>
    </row>
    <row r="130">
      <c r="A130" t="inlineStr">
        <is>
          <t>AS</t>
        </is>
      </c>
      <c r="B130" t="inlineStr">
        <is>
          <t>aom</t>
        </is>
      </c>
      <c r="C130" t="inlineStr">
        <is>
          <t>av2</t>
        </is>
      </c>
      <c r="D130" t="inlineStr">
        <is>
          <t>0</t>
        </is>
      </c>
      <c r="E130" t="inlineStr">
        <is>
          <t>A1</t>
        </is>
      </c>
      <c r="F130" t="inlineStr">
        <is>
          <t>Neon1224</t>
        </is>
      </c>
      <c r="G130" t="inlineStr">
        <is>
          <t>3840x2160</t>
        </is>
      </c>
      <c r="H130" t="inlineStr">
        <is>
          <t>30.0000</t>
        </is>
      </c>
      <c r="I130" t="inlineStr">
        <is>
          <t>10</t>
        </is>
      </c>
      <c r="J130" t="inlineStr">
        <is>
          <t>1280x720</t>
        </is>
      </c>
      <c r="K130" t="inlineStr">
        <is>
          <t>160</t>
        </is>
      </c>
      <c r="L130" t="n">
        <v>2255.74733</v>
      </c>
      <c r="M130" t="n">
        <v>33.684235</v>
      </c>
      <c r="N130" t="n">
        <v>38.138219</v>
      </c>
      <c r="O130" t="n">
        <v>36.564674</v>
      </c>
      <c r="P130" t="n">
        <v>15.430841</v>
      </c>
      <c r="Q130" t="n">
        <v>13.576399</v>
      </c>
      <c r="R130" t="n">
        <v>61.142356</v>
      </c>
      <c r="S130" t="n">
        <v>58.877092</v>
      </c>
      <c r="T130" t="n">
        <v>29.907258</v>
      </c>
      <c r="U130" t="n">
        <v>37.374939</v>
      </c>
      <c r="V130" t="n">
        <v>33.599667</v>
      </c>
      <c r="W130" t="n">
        <v>38.003629</v>
      </c>
      <c r="X130" t="n">
        <v>36.377776</v>
      </c>
      <c r="Y130" t="n">
        <v>1.847252</v>
      </c>
      <c r="Z130" t="inlineStr"/>
      <c r="AA130" t="inlineStr"/>
      <c r="AB130" t="inlineStr"/>
      <c r="AC130" t="inlineStr"/>
      <c r="AD130" t="inlineStr"/>
      <c r="AE130" t="inlineStr"/>
      <c r="AF130" t="inlineStr">
        <is>
          <t>c279769fcd78d6d6f4c5b14651dc79ea</t>
        </is>
      </c>
      <c r="AG130" t="inlineStr"/>
    </row>
    <row r="131">
      <c r="A131" t="inlineStr">
        <is>
          <t>AS</t>
        </is>
      </c>
      <c r="B131" t="inlineStr">
        <is>
          <t>aom</t>
        </is>
      </c>
      <c r="C131" t="inlineStr">
        <is>
          <t>av2</t>
        </is>
      </c>
      <c r="D131" t="inlineStr">
        <is>
          <t>0</t>
        </is>
      </c>
      <c r="E131" t="inlineStr">
        <is>
          <t>A1</t>
        </is>
      </c>
      <c r="F131" t="inlineStr">
        <is>
          <t>Neon1224</t>
        </is>
      </c>
      <c r="G131" t="inlineStr">
        <is>
          <t>3840x2160</t>
        </is>
      </c>
      <c r="H131" t="inlineStr">
        <is>
          <t>30.0000</t>
        </is>
      </c>
      <c r="I131" t="inlineStr">
        <is>
          <t>10</t>
        </is>
      </c>
      <c r="J131" t="inlineStr">
        <is>
          <t>1280x720</t>
        </is>
      </c>
      <c r="K131" t="inlineStr">
        <is>
          <t>185</t>
        </is>
      </c>
      <c r="L131" t="n">
        <v>980.958734</v>
      </c>
      <c r="M131" t="n">
        <v>30.89342</v>
      </c>
      <c r="N131" t="n">
        <v>35.121904</v>
      </c>
      <c r="O131" t="n">
        <v>33.321261</v>
      </c>
      <c r="P131" t="n">
        <v>12.112869</v>
      </c>
      <c r="Q131" t="n">
        <v>11.188989</v>
      </c>
      <c r="R131" t="n">
        <v>41.112709</v>
      </c>
      <c r="S131" t="n">
        <v>39.325053</v>
      </c>
      <c r="T131" t="n">
        <v>26.555123</v>
      </c>
      <c r="U131" t="n">
        <v>34.547486</v>
      </c>
      <c r="V131" t="n">
        <v>30.785168</v>
      </c>
      <c r="W131" t="n">
        <v>34.963102</v>
      </c>
      <c r="X131" t="n">
        <v>33.092242</v>
      </c>
      <c r="Y131" t="n">
        <v>1.99963</v>
      </c>
      <c r="Z131" t="inlineStr"/>
      <c r="AA131" t="inlineStr"/>
      <c r="AB131" t="inlineStr"/>
      <c r="AC131" t="inlineStr"/>
      <c r="AD131" t="inlineStr"/>
      <c r="AE131" t="inlineStr"/>
      <c r="AF131" t="inlineStr">
        <is>
          <t>602bce682c9765d735ca0fe92f992a38</t>
        </is>
      </c>
      <c r="AG131" t="inlineStr"/>
    </row>
    <row r="132">
      <c r="A132" t="inlineStr">
        <is>
          <t>AS</t>
        </is>
      </c>
      <c r="B132" t="inlineStr">
        <is>
          <t>aom</t>
        </is>
      </c>
      <c r="C132" t="inlineStr">
        <is>
          <t>av2</t>
        </is>
      </c>
      <c r="D132" t="inlineStr">
        <is>
          <t>0</t>
        </is>
      </c>
      <c r="E132" t="inlineStr">
        <is>
          <t>A1</t>
        </is>
      </c>
      <c r="F132" t="inlineStr">
        <is>
          <t>Neon1224</t>
        </is>
      </c>
      <c r="G132" t="inlineStr">
        <is>
          <t>3840x2160</t>
        </is>
      </c>
      <c r="H132" t="inlineStr">
        <is>
          <t>30.0000</t>
        </is>
      </c>
      <c r="I132" t="inlineStr">
        <is>
          <t>10</t>
        </is>
      </c>
      <c r="J132" t="inlineStr">
        <is>
          <t>1280x720</t>
        </is>
      </c>
      <c r="K132" t="inlineStr">
        <is>
          <t>210</t>
        </is>
      </c>
      <c r="L132" t="n">
        <v>394.999462</v>
      </c>
      <c r="M132" t="n">
        <v>28.004992</v>
      </c>
      <c r="N132" t="n">
        <v>32.197626</v>
      </c>
      <c r="O132" t="n">
        <v>30.060607</v>
      </c>
      <c r="P132" t="n">
        <v>9.209718000000001</v>
      </c>
      <c r="Q132" t="n">
        <v>9.009971</v>
      </c>
      <c r="R132" t="n">
        <v>19.940356</v>
      </c>
      <c r="S132" t="n">
        <v>18.951379</v>
      </c>
      <c r="T132" t="n">
        <v>23.437748</v>
      </c>
      <c r="U132" t="n">
        <v>31.580667</v>
      </c>
      <c r="V132" t="n">
        <v>27.897443</v>
      </c>
      <c r="W132" t="n">
        <v>32.036073</v>
      </c>
      <c r="X132" t="n">
        <v>29.793081</v>
      </c>
      <c r="Y132" t="n">
        <v>2.13249</v>
      </c>
      <c r="Z132" t="inlineStr"/>
      <c r="AA132" t="inlineStr"/>
      <c r="AB132" t="inlineStr"/>
      <c r="AC132" t="inlineStr"/>
      <c r="AD132" t="inlineStr"/>
      <c r="AE132" t="inlineStr"/>
      <c r="AF132" t="inlineStr">
        <is>
          <t>d507f78e90dc6f6094db08fbca7f6436</t>
        </is>
      </c>
      <c r="AG132" t="inlineStr"/>
    </row>
    <row r="133">
      <c r="A133" t="inlineStr">
        <is>
          <t>AS</t>
        </is>
      </c>
      <c r="B133" t="inlineStr">
        <is>
          <t>aom</t>
        </is>
      </c>
      <c r="C133" t="inlineStr">
        <is>
          <t>av2</t>
        </is>
      </c>
      <c r="D133" t="inlineStr">
        <is>
          <t>0</t>
        </is>
      </c>
      <c r="E133" t="inlineStr">
        <is>
          <t>A1</t>
        </is>
      </c>
      <c r="F133" t="inlineStr">
        <is>
          <t>Neon1224</t>
        </is>
      </c>
      <c r="G133" t="inlineStr">
        <is>
          <t>3840x2160</t>
        </is>
      </c>
      <c r="H133" t="inlineStr">
        <is>
          <t>30.0000</t>
        </is>
      </c>
      <c r="I133" t="inlineStr">
        <is>
          <t>10</t>
        </is>
      </c>
      <c r="J133" t="inlineStr">
        <is>
          <t>1280x720</t>
        </is>
      </c>
      <c r="K133" t="inlineStr">
        <is>
          <t>235</t>
        </is>
      </c>
      <c r="L133" t="n">
        <v>147.467302</v>
      </c>
      <c r="M133" t="n">
        <v>25.215038</v>
      </c>
      <c r="N133" t="n">
        <v>29.555567</v>
      </c>
      <c r="O133" t="n">
        <v>27.176787</v>
      </c>
      <c r="P133" t="n">
        <v>6.875191</v>
      </c>
      <c r="Q133" t="n">
        <v>7.190151</v>
      </c>
      <c r="R133" t="n">
        <v>4.532722</v>
      </c>
      <c r="S133" t="n">
        <v>4.242324</v>
      </c>
      <c r="T133" t="n">
        <v>20.66622</v>
      </c>
      <c r="U133" t="n">
        <v>28.72608</v>
      </c>
      <c r="V133" t="n">
        <v>25.116595</v>
      </c>
      <c r="W133" t="n">
        <v>29.40299</v>
      </c>
      <c r="X133" t="n">
        <v>26.912621</v>
      </c>
      <c r="Y133" t="n">
        <v>2.200112</v>
      </c>
      <c r="Z133" t="inlineStr"/>
      <c r="AA133" t="inlineStr"/>
      <c r="AB133" t="inlineStr"/>
      <c r="AC133" t="inlineStr"/>
      <c r="AD133" t="inlineStr"/>
      <c r="AE133" t="inlineStr"/>
      <c r="AF133" t="inlineStr">
        <is>
          <t>aec3fcd41139ee55754aa839265a340c</t>
        </is>
      </c>
      <c r="AG133" t="inlineStr"/>
    </row>
    <row r="134">
      <c r="A134" t="inlineStr">
        <is>
          <t>AS</t>
        </is>
      </c>
      <c r="B134" t="inlineStr">
        <is>
          <t>aom</t>
        </is>
      </c>
      <c r="C134" t="inlineStr">
        <is>
          <t>av2</t>
        </is>
      </c>
      <c r="D134" t="inlineStr">
        <is>
          <t>0</t>
        </is>
      </c>
      <c r="E134" t="inlineStr">
        <is>
          <t>A1</t>
        </is>
      </c>
      <c r="F134" t="inlineStr">
        <is>
          <t>Neon1224</t>
        </is>
      </c>
      <c r="G134" t="inlineStr">
        <is>
          <t>3840x2160</t>
        </is>
      </c>
      <c r="H134" t="inlineStr">
        <is>
          <t>30.0000</t>
        </is>
      </c>
      <c r="I134" t="inlineStr">
        <is>
          <t>10</t>
        </is>
      </c>
      <c r="J134" t="inlineStr">
        <is>
          <t>960x540</t>
        </is>
      </c>
      <c r="K134" t="inlineStr">
        <is>
          <t>110</t>
        </is>
      </c>
      <c r="L134" t="n">
        <v>7048.810881</v>
      </c>
      <c r="M134" t="n">
        <v>35.626781</v>
      </c>
      <c r="N134" t="n">
        <v>42.057109</v>
      </c>
      <c r="O134" t="n">
        <v>40.328518</v>
      </c>
      <c r="P134" t="n">
        <v>20.826851</v>
      </c>
      <c r="Q134" t="n">
        <v>16.500239</v>
      </c>
      <c r="R134" t="n">
        <v>78.949606</v>
      </c>
      <c r="S134" t="n">
        <v>76.539277</v>
      </c>
      <c r="T134" t="n">
        <v>32.879169</v>
      </c>
      <c r="U134" t="n">
        <v>40.569289</v>
      </c>
      <c r="V134" t="n">
        <v>35.598225</v>
      </c>
      <c r="W134" t="n">
        <v>42.008023</v>
      </c>
      <c r="X134" t="n">
        <v>40.25591</v>
      </c>
      <c r="Y134" t="n">
        <v>1.552388</v>
      </c>
      <c r="Z134" t="inlineStr"/>
      <c r="AA134" t="inlineStr"/>
      <c r="AB134" t="inlineStr"/>
      <c r="AC134" t="inlineStr"/>
      <c r="AD134" t="inlineStr"/>
      <c r="AE134" t="inlineStr"/>
      <c r="AF134" t="inlineStr">
        <is>
          <t>5d03746a13444479d72d9ea3b2b96237</t>
        </is>
      </c>
      <c r="AG134" t="inlineStr"/>
    </row>
    <row r="135">
      <c r="A135" t="inlineStr">
        <is>
          <t>AS</t>
        </is>
      </c>
      <c r="B135" t="inlineStr">
        <is>
          <t>aom</t>
        </is>
      </c>
      <c r="C135" t="inlineStr">
        <is>
          <t>av2</t>
        </is>
      </c>
      <c r="D135" t="inlineStr">
        <is>
          <t>0</t>
        </is>
      </c>
      <c r="E135" t="inlineStr">
        <is>
          <t>A1</t>
        </is>
      </c>
      <c r="F135" t="inlineStr">
        <is>
          <t>Neon1224</t>
        </is>
      </c>
      <c r="G135" t="inlineStr">
        <is>
          <t>3840x2160</t>
        </is>
      </c>
      <c r="H135" t="inlineStr">
        <is>
          <t>30.0000</t>
        </is>
      </c>
      <c r="I135" t="inlineStr">
        <is>
          <t>10</t>
        </is>
      </c>
      <c r="J135" t="inlineStr">
        <is>
          <t>960x540</t>
        </is>
      </c>
      <c r="K135" t="inlineStr">
        <is>
          <t>135</t>
        </is>
      </c>
      <c r="L135" t="n">
        <v>3545.734881</v>
      </c>
      <c r="M135" t="n">
        <v>34.335546</v>
      </c>
      <c r="N135" t="n">
        <v>39.624918</v>
      </c>
      <c r="O135" t="n">
        <v>37.951377</v>
      </c>
      <c r="P135" t="n">
        <v>17.625233</v>
      </c>
      <c r="Q135" t="n">
        <v>14.712869</v>
      </c>
      <c r="R135" t="n">
        <v>66.172483</v>
      </c>
      <c r="S135" t="n">
        <v>63.836384</v>
      </c>
      <c r="T135" t="n">
        <v>30.875829</v>
      </c>
      <c r="U135" t="n">
        <v>38.649968</v>
      </c>
      <c r="V135" t="n">
        <v>34.298799</v>
      </c>
      <c r="W135" t="n">
        <v>39.535657</v>
      </c>
      <c r="X135" t="n">
        <v>37.828314</v>
      </c>
      <c r="Y135" t="n">
        <v>1.723495</v>
      </c>
      <c r="Z135" t="inlineStr"/>
      <c r="AA135" t="inlineStr"/>
      <c r="AB135" t="inlineStr"/>
      <c r="AC135" t="inlineStr"/>
      <c r="AD135" t="inlineStr"/>
      <c r="AE135" t="inlineStr"/>
      <c r="AF135" t="inlineStr">
        <is>
          <t>002cfd3ea580f5fefb3f79efed2296e4</t>
        </is>
      </c>
      <c r="AG135" t="inlineStr"/>
    </row>
    <row r="136">
      <c r="A136" t="inlineStr">
        <is>
          <t>AS</t>
        </is>
      </c>
      <c r="B136" t="inlineStr">
        <is>
          <t>aom</t>
        </is>
      </c>
      <c r="C136" t="inlineStr">
        <is>
          <t>av2</t>
        </is>
      </c>
      <c r="D136" t="inlineStr">
        <is>
          <t>0</t>
        </is>
      </c>
      <c r="E136" t="inlineStr">
        <is>
          <t>A1</t>
        </is>
      </c>
      <c r="F136" t="inlineStr">
        <is>
          <t>Neon1224</t>
        </is>
      </c>
      <c r="G136" t="inlineStr">
        <is>
          <t>3840x2160</t>
        </is>
      </c>
      <c r="H136" t="inlineStr">
        <is>
          <t>30.0000</t>
        </is>
      </c>
      <c r="I136" t="inlineStr">
        <is>
          <t>10</t>
        </is>
      </c>
      <c r="J136" t="inlineStr">
        <is>
          <t>960x540</t>
        </is>
      </c>
      <c r="K136" t="inlineStr">
        <is>
          <t>160</t>
        </is>
      </c>
      <c r="L136" t="n">
        <v>1610.445554</v>
      </c>
      <c r="M136" t="n">
        <v>32.240751</v>
      </c>
      <c r="N136" t="n">
        <v>36.787842</v>
      </c>
      <c r="O136" t="n">
        <v>35.040517</v>
      </c>
      <c r="P136" t="n">
        <v>14.17517</v>
      </c>
      <c r="Q136" t="n">
        <v>12.519666</v>
      </c>
      <c r="R136" t="n">
        <v>49.150872</v>
      </c>
      <c r="S136" t="n">
        <v>47.170796</v>
      </c>
      <c r="T136" t="n">
        <v>28.127993</v>
      </c>
      <c r="U136" t="n">
        <v>36.171385</v>
      </c>
      <c r="V136" t="n">
        <v>32.174045</v>
      </c>
      <c r="W136" t="n">
        <v>36.659825</v>
      </c>
      <c r="X136" t="n">
        <v>34.860724</v>
      </c>
      <c r="Y136" t="n">
        <v>1.9772</v>
      </c>
      <c r="Z136" t="inlineStr"/>
      <c r="AA136" t="inlineStr"/>
      <c r="AB136" t="inlineStr"/>
      <c r="AC136" t="inlineStr"/>
      <c r="AD136" t="inlineStr"/>
      <c r="AE136" t="inlineStr"/>
      <c r="AF136" t="inlineStr">
        <is>
          <t>ebfd2a723a27fd592b85f84b4dff61d1</t>
        </is>
      </c>
      <c r="AG136" t="inlineStr"/>
    </row>
    <row r="137">
      <c r="A137" t="inlineStr">
        <is>
          <t>AS</t>
        </is>
      </c>
      <c r="B137" t="inlineStr">
        <is>
          <t>aom</t>
        </is>
      </c>
      <c r="C137" t="inlineStr">
        <is>
          <t>av2</t>
        </is>
      </c>
      <c r="D137" t="inlineStr">
        <is>
          <t>0</t>
        </is>
      </c>
      <c r="E137" t="inlineStr">
        <is>
          <t>A1</t>
        </is>
      </c>
      <c r="F137" t="inlineStr">
        <is>
          <t>Neon1224</t>
        </is>
      </c>
      <c r="G137" t="inlineStr">
        <is>
          <t>3840x2160</t>
        </is>
      </c>
      <c r="H137" t="inlineStr">
        <is>
          <t>30.0000</t>
        </is>
      </c>
      <c r="I137" t="inlineStr">
        <is>
          <t>10</t>
        </is>
      </c>
      <c r="J137" t="inlineStr">
        <is>
          <t>960x540</t>
        </is>
      </c>
      <c r="K137" t="inlineStr">
        <is>
          <t>185</t>
        </is>
      </c>
      <c r="L137" t="n">
        <v>699.443326</v>
      </c>
      <c r="M137" t="n">
        <v>29.725269</v>
      </c>
      <c r="N137" t="n">
        <v>33.990953</v>
      </c>
      <c r="O137" t="n">
        <v>32.025446</v>
      </c>
      <c r="P137" t="n">
        <v>11.038663</v>
      </c>
      <c r="Q137" t="n">
        <v>10.341779</v>
      </c>
      <c r="R137" t="n">
        <v>30.899931</v>
      </c>
      <c r="S137" t="n">
        <v>29.497189</v>
      </c>
      <c r="T137" t="n">
        <v>25.244978</v>
      </c>
      <c r="U137" t="n">
        <v>33.477859</v>
      </c>
      <c r="V137" t="n">
        <v>29.633575</v>
      </c>
      <c r="W137" t="n">
        <v>33.843564</v>
      </c>
      <c r="X137" t="n">
        <v>31.803645</v>
      </c>
      <c r="Y137" t="n">
        <v>2.122963</v>
      </c>
      <c r="Z137" t="inlineStr"/>
      <c r="AA137" t="inlineStr"/>
      <c r="AB137" t="inlineStr"/>
      <c r="AC137" t="inlineStr"/>
      <c r="AD137" t="inlineStr"/>
      <c r="AE137" t="inlineStr"/>
      <c r="AF137" t="inlineStr">
        <is>
          <t>69521b09e203a8f4afdbfafae252bd0f</t>
        </is>
      </c>
      <c r="AG137" t="inlineStr"/>
    </row>
    <row r="138">
      <c r="A138" t="inlineStr">
        <is>
          <t>AS</t>
        </is>
      </c>
      <c r="B138" t="inlineStr">
        <is>
          <t>aom</t>
        </is>
      </c>
      <c r="C138" t="inlineStr">
        <is>
          <t>av2</t>
        </is>
      </c>
      <c r="D138" t="inlineStr">
        <is>
          <t>0</t>
        </is>
      </c>
      <c r="E138" t="inlineStr">
        <is>
          <t>A1</t>
        </is>
      </c>
      <c r="F138" t="inlineStr">
        <is>
          <t>Neon1224</t>
        </is>
      </c>
      <c r="G138" t="inlineStr">
        <is>
          <t>3840x2160</t>
        </is>
      </c>
      <c r="H138" t="inlineStr">
        <is>
          <t>30.0000</t>
        </is>
      </c>
      <c r="I138" t="inlineStr">
        <is>
          <t>10</t>
        </is>
      </c>
      <c r="J138" t="inlineStr">
        <is>
          <t>960x540</t>
        </is>
      </c>
      <c r="K138" t="inlineStr">
        <is>
          <t>210</t>
        </is>
      </c>
      <c r="L138" t="n">
        <v>275.668946</v>
      </c>
      <c r="M138" t="n">
        <v>26.978551</v>
      </c>
      <c r="N138" t="n">
        <v>31.318195</v>
      </c>
      <c r="O138" t="n">
        <v>29.073106</v>
      </c>
      <c r="P138" t="n">
        <v>8.353475</v>
      </c>
      <c r="Q138" t="n">
        <v>8.327871999999999</v>
      </c>
      <c r="R138" t="n">
        <v>11.646019</v>
      </c>
      <c r="S138" t="n">
        <v>11.017335</v>
      </c>
      <c r="T138" t="n">
        <v>22.400092</v>
      </c>
      <c r="U138" t="n">
        <v>30.686674</v>
      </c>
      <c r="V138" t="n">
        <v>26.881063</v>
      </c>
      <c r="W138" t="n">
        <v>31.169491</v>
      </c>
      <c r="X138" t="n">
        <v>28.820173</v>
      </c>
      <c r="Y138" t="n">
        <v>2.286694</v>
      </c>
      <c r="Z138" t="inlineStr"/>
      <c r="AA138" t="inlineStr"/>
      <c r="AB138" t="inlineStr"/>
      <c r="AC138" t="inlineStr"/>
      <c r="AD138" t="inlineStr"/>
      <c r="AE138" t="inlineStr"/>
      <c r="AF138" t="inlineStr">
        <is>
          <t>a512da124425688826408865800030ac</t>
        </is>
      </c>
      <c r="AG138" t="inlineStr"/>
    </row>
    <row r="139">
      <c r="A139" t="inlineStr">
        <is>
          <t>AS</t>
        </is>
      </c>
      <c r="B139" t="inlineStr">
        <is>
          <t>aom</t>
        </is>
      </c>
      <c r="C139" t="inlineStr">
        <is>
          <t>av2</t>
        </is>
      </c>
      <c r="D139" t="inlineStr">
        <is>
          <t>0</t>
        </is>
      </c>
      <c r="E139" t="inlineStr">
        <is>
          <t>A1</t>
        </is>
      </c>
      <c r="F139" t="inlineStr">
        <is>
          <t>Neon1224</t>
        </is>
      </c>
      <c r="G139" t="inlineStr">
        <is>
          <t>3840x2160</t>
        </is>
      </c>
      <c r="H139" t="inlineStr">
        <is>
          <t>30.0000</t>
        </is>
      </c>
      <c r="I139" t="inlineStr">
        <is>
          <t>10</t>
        </is>
      </c>
      <c r="J139" t="inlineStr">
        <is>
          <t>960x540</t>
        </is>
      </c>
      <c r="K139" t="inlineStr">
        <is>
          <t>235</t>
        </is>
      </c>
      <c r="L139" t="n">
        <v>98.727734</v>
      </c>
      <c r="M139" t="n">
        <v>24.295345</v>
      </c>
      <c r="N139" t="n">
        <v>28.94012</v>
      </c>
      <c r="O139" t="n">
        <v>26.432974</v>
      </c>
      <c r="P139" t="n">
        <v>6.240321</v>
      </c>
      <c r="Q139" t="n">
        <v>6.656595</v>
      </c>
      <c r="R139" t="n">
        <v>1.725918</v>
      </c>
      <c r="S139" t="n">
        <v>1.651186</v>
      </c>
      <c r="T139" t="n">
        <v>19.808343</v>
      </c>
      <c r="U139" t="n">
        <v>27.910008</v>
      </c>
      <c r="V139" t="n">
        <v>24.204466</v>
      </c>
      <c r="W139" t="n">
        <v>28.786567</v>
      </c>
      <c r="X139" t="n">
        <v>26.173993</v>
      </c>
      <c r="Y139" t="n">
        <v>2.38463</v>
      </c>
      <c r="Z139" t="inlineStr"/>
      <c r="AA139" t="inlineStr"/>
      <c r="AB139" t="inlineStr"/>
      <c r="AC139" t="inlineStr"/>
      <c r="AD139" t="inlineStr"/>
      <c r="AE139" t="inlineStr"/>
      <c r="AF139" t="inlineStr">
        <is>
          <t>2b1df4ea8dd5983523f16cc57a5e3639</t>
        </is>
      </c>
      <c r="AG139" t="inlineStr"/>
    </row>
    <row r="140">
      <c r="A140" t="inlineStr">
        <is>
          <t>AS</t>
        </is>
      </c>
      <c r="B140" t="inlineStr">
        <is>
          <t>aom</t>
        </is>
      </c>
      <c r="C140" t="inlineStr">
        <is>
          <t>av2</t>
        </is>
      </c>
      <c r="D140" t="inlineStr">
        <is>
          <t>0</t>
        </is>
      </c>
      <c r="E140" t="inlineStr">
        <is>
          <t>A1</t>
        </is>
      </c>
      <c r="F140" t="inlineStr">
        <is>
          <t>Neon1224</t>
        </is>
      </c>
      <c r="G140" t="inlineStr">
        <is>
          <t>3840x2160</t>
        </is>
      </c>
      <c r="H140" t="inlineStr">
        <is>
          <t>30.0000</t>
        </is>
      </c>
      <c r="I140" t="inlineStr">
        <is>
          <t>10</t>
        </is>
      </c>
      <c r="J140" t="inlineStr">
        <is>
          <t>640x360</t>
        </is>
      </c>
      <c r="K140" t="inlineStr">
        <is>
          <t>110</t>
        </is>
      </c>
      <c r="L140" t="n">
        <v>4180.924306</v>
      </c>
      <c r="M140" t="n">
        <v>32.807201</v>
      </c>
      <c r="N140" t="n">
        <v>39.255913</v>
      </c>
      <c r="O140" t="n">
        <v>37.134726</v>
      </c>
      <c r="P140" t="n">
        <v>18.427267</v>
      </c>
      <c r="Q140" t="n">
        <v>14.222835</v>
      </c>
      <c r="R140" t="n">
        <v>53.25326</v>
      </c>
      <c r="S140" t="n">
        <v>51.378488</v>
      </c>
      <c r="T140" t="n">
        <v>28.743497</v>
      </c>
      <c r="U140" t="n">
        <v>38.268925</v>
      </c>
      <c r="V140" t="n">
        <v>32.777946</v>
      </c>
      <c r="W140" t="n">
        <v>39.211567</v>
      </c>
      <c r="X140" t="n">
        <v>37.063093</v>
      </c>
      <c r="Y140" t="n">
        <v>1.686049</v>
      </c>
      <c r="Z140" t="inlineStr"/>
      <c r="AA140" t="inlineStr"/>
      <c r="AB140" t="inlineStr"/>
      <c r="AC140" t="inlineStr"/>
      <c r="AD140" t="inlineStr"/>
      <c r="AE140" t="inlineStr"/>
      <c r="AF140" t="inlineStr">
        <is>
          <t>50c066632a99213b5636ab5bdee9bc3b</t>
        </is>
      </c>
      <c r="AG140" t="inlineStr"/>
    </row>
    <row r="141">
      <c r="A141" t="inlineStr">
        <is>
          <t>AS</t>
        </is>
      </c>
      <c r="B141" t="inlineStr">
        <is>
          <t>aom</t>
        </is>
      </c>
      <c r="C141" t="inlineStr">
        <is>
          <t>av2</t>
        </is>
      </c>
      <c r="D141" t="inlineStr">
        <is>
          <t>0</t>
        </is>
      </c>
      <c r="E141" t="inlineStr">
        <is>
          <t>A1</t>
        </is>
      </c>
      <c r="F141" t="inlineStr">
        <is>
          <t>Neon1224</t>
        </is>
      </c>
      <c r="G141" t="inlineStr">
        <is>
          <t>3840x2160</t>
        </is>
      </c>
      <c r="H141" t="inlineStr">
        <is>
          <t>30.0000</t>
        </is>
      </c>
      <c r="I141" t="inlineStr">
        <is>
          <t>10</t>
        </is>
      </c>
      <c r="J141" t="inlineStr">
        <is>
          <t>640x360</t>
        </is>
      </c>
      <c r="K141" t="inlineStr">
        <is>
          <t>135</t>
        </is>
      </c>
      <c r="L141" t="n">
        <v>2116.773073</v>
      </c>
      <c r="M141" t="n">
        <v>31.862196</v>
      </c>
      <c r="N141" t="n">
        <v>37.246213</v>
      </c>
      <c r="O141" t="n">
        <v>35.293938</v>
      </c>
      <c r="P141" t="n">
        <v>15.413909</v>
      </c>
      <c r="Q141" t="n">
        <v>12.793184</v>
      </c>
      <c r="R141" t="n">
        <v>42.110358</v>
      </c>
      <c r="S141" t="n">
        <v>40.435326</v>
      </c>
      <c r="T141" t="n">
        <v>27.560927</v>
      </c>
      <c r="U141" t="n">
        <v>36.572938</v>
      </c>
      <c r="V141" t="n">
        <v>31.831881</v>
      </c>
      <c r="W141" t="n">
        <v>37.16502</v>
      </c>
      <c r="X141" t="n">
        <v>35.181211</v>
      </c>
      <c r="Y141" t="n">
        <v>1.86893</v>
      </c>
      <c r="Z141" t="inlineStr"/>
      <c r="AA141" t="inlineStr"/>
      <c r="AB141" t="inlineStr"/>
      <c r="AC141" t="inlineStr"/>
      <c r="AD141" t="inlineStr"/>
      <c r="AE141" t="inlineStr"/>
      <c r="AF141" t="inlineStr">
        <is>
          <t>b847551f220fff58431f61d3231c3c98</t>
        </is>
      </c>
      <c r="AG141" t="inlineStr"/>
    </row>
    <row r="142">
      <c r="A142" t="inlineStr">
        <is>
          <t>AS</t>
        </is>
      </c>
      <c r="B142" t="inlineStr">
        <is>
          <t>aom</t>
        </is>
      </c>
      <c r="C142" t="inlineStr">
        <is>
          <t>av2</t>
        </is>
      </c>
      <c r="D142" t="inlineStr">
        <is>
          <t>0</t>
        </is>
      </c>
      <c r="E142" t="inlineStr">
        <is>
          <t>A1</t>
        </is>
      </c>
      <c r="F142" t="inlineStr">
        <is>
          <t>Neon1224</t>
        </is>
      </c>
      <c r="G142" t="inlineStr">
        <is>
          <t>3840x2160</t>
        </is>
      </c>
      <c r="H142" t="inlineStr">
        <is>
          <t>30.0000</t>
        </is>
      </c>
      <c r="I142" t="inlineStr">
        <is>
          <t>10</t>
        </is>
      </c>
      <c r="J142" t="inlineStr">
        <is>
          <t>640x360</t>
        </is>
      </c>
      <c r="K142" t="inlineStr">
        <is>
          <t>160</t>
        </is>
      </c>
      <c r="L142" t="n">
        <v>953.2369169999999</v>
      </c>
      <c r="M142" t="n">
        <v>30.172587</v>
      </c>
      <c r="N142" t="n">
        <v>34.788775</v>
      </c>
      <c r="O142" t="n">
        <v>32.809455</v>
      </c>
      <c r="P142" t="n">
        <v>12.210689</v>
      </c>
      <c r="Q142" t="n">
        <v>10.946588</v>
      </c>
      <c r="R142" t="n">
        <v>28.275967</v>
      </c>
      <c r="S142" t="n">
        <v>27.033038</v>
      </c>
      <c r="T142" t="n">
        <v>25.643777</v>
      </c>
      <c r="U142" t="n">
        <v>34.328997</v>
      </c>
      <c r="V142" t="n">
        <v>30.123114</v>
      </c>
      <c r="W142" t="n">
        <v>34.670471</v>
      </c>
      <c r="X142" t="n">
        <v>32.63808</v>
      </c>
      <c r="Y142" t="n">
        <v>2.063341</v>
      </c>
      <c r="Z142" t="inlineStr"/>
      <c r="AA142" t="inlineStr"/>
      <c r="AB142" t="inlineStr"/>
      <c r="AC142" t="inlineStr"/>
      <c r="AD142" t="inlineStr"/>
      <c r="AE142" t="inlineStr"/>
      <c r="AF142" t="inlineStr">
        <is>
          <t>b4b8836158d89e5772e87103dbac18ec</t>
        </is>
      </c>
      <c r="AG142" t="inlineStr"/>
    </row>
    <row r="143">
      <c r="A143" t="inlineStr">
        <is>
          <t>AS</t>
        </is>
      </c>
      <c r="B143" t="inlineStr">
        <is>
          <t>aom</t>
        </is>
      </c>
      <c r="C143" t="inlineStr">
        <is>
          <t>av2</t>
        </is>
      </c>
      <c r="D143" t="inlineStr">
        <is>
          <t>0</t>
        </is>
      </c>
      <c r="E143" t="inlineStr">
        <is>
          <t>A1</t>
        </is>
      </c>
      <c r="F143" t="inlineStr">
        <is>
          <t>Neon1224</t>
        </is>
      </c>
      <c r="G143" t="inlineStr">
        <is>
          <t>3840x2160</t>
        </is>
      </c>
      <c r="H143" t="inlineStr">
        <is>
          <t>30.0000</t>
        </is>
      </c>
      <c r="I143" t="inlineStr">
        <is>
          <t>10</t>
        </is>
      </c>
      <c r="J143" t="inlineStr">
        <is>
          <t>640x360</t>
        </is>
      </c>
      <c r="K143" t="inlineStr">
        <is>
          <t>185</t>
        </is>
      </c>
      <c r="L143" t="n">
        <v>406.77169</v>
      </c>
      <c r="M143" t="n">
        <v>27.974805</v>
      </c>
      <c r="N143" t="n">
        <v>32.328773</v>
      </c>
      <c r="O143" t="n">
        <v>30.153986</v>
      </c>
      <c r="P143" t="n">
        <v>9.453633</v>
      </c>
      <c r="Q143" t="n">
        <v>9.099132000000001</v>
      </c>
      <c r="R143" t="n">
        <v>14.057394</v>
      </c>
      <c r="S143" t="n">
        <v>13.390806</v>
      </c>
      <c r="T143" t="n">
        <v>23.354093</v>
      </c>
      <c r="U143" t="n">
        <v>31.823665</v>
      </c>
      <c r="V143" t="n">
        <v>27.90068</v>
      </c>
      <c r="W143" t="n">
        <v>32.190385</v>
      </c>
      <c r="X143" t="n">
        <v>29.940253</v>
      </c>
      <c r="Y143" t="n">
        <v>2.224965</v>
      </c>
      <c r="Z143" t="inlineStr"/>
      <c r="AA143" t="inlineStr"/>
      <c r="AB143" t="inlineStr"/>
      <c r="AC143" t="inlineStr"/>
      <c r="AD143" t="inlineStr"/>
      <c r="AE143" t="inlineStr"/>
      <c r="AF143" t="inlineStr">
        <is>
          <t>547e35ade6ca7160831fe5d2265ed0db</t>
        </is>
      </c>
      <c r="AG143" t="inlineStr"/>
    </row>
    <row r="144">
      <c r="A144" t="inlineStr">
        <is>
          <t>AS</t>
        </is>
      </c>
      <c r="B144" t="inlineStr">
        <is>
          <t>aom</t>
        </is>
      </c>
      <c r="C144" t="inlineStr">
        <is>
          <t>av2</t>
        </is>
      </c>
      <c r="D144" t="inlineStr">
        <is>
          <t>0</t>
        </is>
      </c>
      <c r="E144" t="inlineStr">
        <is>
          <t>A1</t>
        </is>
      </c>
      <c r="F144" t="inlineStr">
        <is>
          <t>Neon1224</t>
        </is>
      </c>
      <c r="G144" t="inlineStr">
        <is>
          <t>3840x2160</t>
        </is>
      </c>
      <c r="H144" t="inlineStr">
        <is>
          <t>30.0000</t>
        </is>
      </c>
      <c r="I144" t="inlineStr">
        <is>
          <t>10</t>
        </is>
      </c>
      <c r="J144" t="inlineStr">
        <is>
          <t>640x360</t>
        </is>
      </c>
      <c r="K144" t="inlineStr">
        <is>
          <t>210</t>
        </is>
      </c>
      <c r="L144" t="n">
        <v>152.679321</v>
      </c>
      <c r="M144" t="n">
        <v>25.391913</v>
      </c>
      <c r="N144" t="n">
        <v>30.080194</v>
      </c>
      <c r="O144" t="n">
        <v>27.608477</v>
      </c>
      <c r="P144" t="n">
        <v>7.07555</v>
      </c>
      <c r="Q144" t="n">
        <v>7.311125</v>
      </c>
      <c r="R144" t="n">
        <v>2.465751</v>
      </c>
      <c r="S144" t="n">
        <v>2.38548</v>
      </c>
      <c r="T144" t="n">
        <v>20.853547</v>
      </c>
      <c r="U144" t="n">
        <v>29.158402</v>
      </c>
      <c r="V144" t="n">
        <v>25.303101</v>
      </c>
      <c r="W144" t="n">
        <v>29.942417</v>
      </c>
      <c r="X144" t="n">
        <v>27.353894</v>
      </c>
      <c r="Y144" t="n">
        <v>2.405834</v>
      </c>
      <c r="Z144" t="inlineStr"/>
      <c r="AA144" t="inlineStr"/>
      <c r="AB144" t="inlineStr"/>
      <c r="AC144" t="inlineStr"/>
      <c r="AD144" t="inlineStr"/>
      <c r="AE144" t="inlineStr"/>
      <c r="AF144" t="inlineStr">
        <is>
          <t>5dbab1a0ad65bea8c24b6a462d0a6672</t>
        </is>
      </c>
      <c r="AG144" t="inlineStr"/>
    </row>
    <row r="145">
      <c r="A145" t="inlineStr">
        <is>
          <t>AS</t>
        </is>
      </c>
      <c r="B145" t="inlineStr">
        <is>
          <t>aom</t>
        </is>
      </c>
      <c r="C145" t="inlineStr">
        <is>
          <t>av2</t>
        </is>
      </c>
      <c r="D145" t="inlineStr">
        <is>
          <t>0</t>
        </is>
      </c>
      <c r="E145" t="inlineStr">
        <is>
          <t>A1</t>
        </is>
      </c>
      <c r="F145" t="inlineStr">
        <is>
          <t>Neon1224</t>
        </is>
      </c>
      <c r="G145" t="inlineStr">
        <is>
          <t>3840x2160</t>
        </is>
      </c>
      <c r="H145" t="inlineStr">
        <is>
          <t>30.0000</t>
        </is>
      </c>
      <c r="I145" t="inlineStr">
        <is>
          <t>10</t>
        </is>
      </c>
      <c r="J145" t="inlineStr">
        <is>
          <t>640x360</t>
        </is>
      </c>
      <c r="K145" t="inlineStr">
        <is>
          <t>235</t>
        </is>
      </c>
      <c r="L145" t="n">
        <v>51.614847</v>
      </c>
      <c r="M145" t="n">
        <v>22.959072</v>
      </c>
      <c r="N145" t="n">
        <v>27.930785</v>
      </c>
      <c r="O145" t="n">
        <v>25.350959</v>
      </c>
      <c r="P145" t="n">
        <v>5.373403</v>
      </c>
      <c r="Q145" t="n">
        <v>5.910571</v>
      </c>
      <c r="R145" t="n">
        <v>0.187592</v>
      </c>
      <c r="S145" t="n">
        <v>0.186727</v>
      </c>
      <c r="T145" t="n">
        <v>18.577585</v>
      </c>
      <c r="U145" t="n">
        <v>26.653694</v>
      </c>
      <c r="V145" t="n">
        <v>22.884133</v>
      </c>
      <c r="W145" t="n">
        <v>27.787305</v>
      </c>
      <c r="X145" t="n">
        <v>25.097914</v>
      </c>
      <c r="Y145" t="n">
        <v>2.455337</v>
      </c>
      <c r="Z145" t="inlineStr"/>
      <c r="AA145" t="inlineStr"/>
      <c r="AB145" t="inlineStr"/>
      <c r="AC145" t="inlineStr"/>
      <c r="AD145" t="inlineStr"/>
      <c r="AE145" t="inlineStr"/>
      <c r="AF145" t="inlineStr">
        <is>
          <t>ac0f74c2cee5319066f779a237e0d75b</t>
        </is>
      </c>
      <c r="AG145" t="inlineStr"/>
    </row>
    <row r="146">
      <c r="A146" t="inlineStr">
        <is>
          <t>AS</t>
        </is>
      </c>
      <c r="B146" t="inlineStr">
        <is>
          <t>aom</t>
        </is>
      </c>
      <c r="C146" t="inlineStr">
        <is>
          <t>av2</t>
        </is>
      </c>
      <c r="D146" t="inlineStr">
        <is>
          <t>0</t>
        </is>
      </c>
      <c r="E146" t="inlineStr">
        <is>
          <t>A1</t>
        </is>
      </c>
      <c r="F146" t="inlineStr">
        <is>
          <t>NocturneDance</t>
        </is>
      </c>
      <c r="G146" t="inlineStr">
        <is>
          <t>3840x2160</t>
        </is>
      </c>
      <c r="H146" t="inlineStr">
        <is>
          <t>60.0000</t>
        </is>
      </c>
      <c r="I146" t="inlineStr">
        <is>
          <t>10</t>
        </is>
      </c>
      <c r="J146" t="inlineStr">
        <is>
          <t>3840x2160</t>
        </is>
      </c>
      <c r="K146" t="inlineStr">
        <is>
          <t>110</t>
        </is>
      </c>
      <c r="L146" t="n">
        <v>48466.401231</v>
      </c>
      <c r="M146" t="n">
        <v>46.355033</v>
      </c>
      <c r="N146" t="n">
        <v>43.874457</v>
      </c>
      <c r="O146" t="n">
        <v>48.90742</v>
      </c>
      <c r="P146" t="n">
        <v>27.026837</v>
      </c>
      <c r="Q146" t="n">
        <v>21.8838</v>
      </c>
      <c r="R146" t="n">
        <v>94.070252</v>
      </c>
      <c r="S146" t="n">
        <v>91.78818</v>
      </c>
      <c r="T146" t="n">
        <v>43.418661</v>
      </c>
      <c r="U146" t="n">
        <v>45.019177</v>
      </c>
      <c r="V146" t="n">
        <v>46.275144</v>
      </c>
      <c r="W146" t="n">
        <v>43.805355</v>
      </c>
      <c r="X146" t="n">
        <v>48.850975</v>
      </c>
      <c r="Y146" t="n">
        <v>0.468558</v>
      </c>
      <c r="Z146" t="inlineStr"/>
      <c r="AA146" t="inlineStr"/>
      <c r="AB146" t="inlineStr"/>
      <c r="AC146" t="inlineStr"/>
      <c r="AD146" t="inlineStr"/>
      <c r="AE146" t="inlineStr"/>
      <c r="AF146" t="inlineStr">
        <is>
          <t>1e3e8093882944d8f5716b21d273265a</t>
        </is>
      </c>
      <c r="AG146" t="inlineStr"/>
    </row>
    <row r="147">
      <c r="A147" t="inlineStr">
        <is>
          <t>AS</t>
        </is>
      </c>
      <c r="B147" t="inlineStr">
        <is>
          <t>aom</t>
        </is>
      </c>
      <c r="C147" t="inlineStr">
        <is>
          <t>av2</t>
        </is>
      </c>
      <c r="D147" t="inlineStr">
        <is>
          <t>0</t>
        </is>
      </c>
      <c r="E147" t="inlineStr">
        <is>
          <t>A1</t>
        </is>
      </c>
      <c r="F147" t="inlineStr">
        <is>
          <t>NocturneDance</t>
        </is>
      </c>
      <c r="G147" t="inlineStr">
        <is>
          <t>3840x2160</t>
        </is>
      </c>
      <c r="H147" t="inlineStr">
        <is>
          <t>60.0000</t>
        </is>
      </c>
      <c r="I147" t="inlineStr">
        <is>
          <t>10</t>
        </is>
      </c>
      <c r="J147" t="inlineStr">
        <is>
          <t>3840x2160</t>
        </is>
      </c>
      <c r="K147" t="inlineStr">
        <is>
          <t>135</t>
        </is>
      </c>
      <c r="L147" t="n">
        <v>20458.467692</v>
      </c>
      <c r="M147" t="n">
        <v>43.194035</v>
      </c>
      <c r="N147" t="n">
        <v>42.005826</v>
      </c>
      <c r="O147" t="n">
        <v>47.436416</v>
      </c>
      <c r="P147" t="n">
        <v>22.919833</v>
      </c>
      <c r="Q147" t="n">
        <v>18.748396</v>
      </c>
      <c r="R147" t="n">
        <v>84.804987</v>
      </c>
      <c r="S147" t="n">
        <v>82.38348499999999</v>
      </c>
      <c r="T147" t="n">
        <v>39.537275</v>
      </c>
      <c r="U147" t="n">
        <v>42.917981</v>
      </c>
      <c r="V147" t="n">
        <v>43.114907</v>
      </c>
      <c r="W147" t="n">
        <v>41.965101</v>
      </c>
      <c r="X147" t="n">
        <v>47.401165</v>
      </c>
      <c r="Y147" t="n">
        <v>0.619262</v>
      </c>
      <c r="Z147" t="inlineStr"/>
      <c r="AA147" t="inlineStr"/>
      <c r="AB147" t="inlineStr"/>
      <c r="AC147" t="inlineStr"/>
      <c r="AD147" t="inlineStr"/>
      <c r="AE147" t="inlineStr"/>
      <c r="AF147" t="inlineStr">
        <is>
          <t>6366979d302ada014ec34bdd74af485b</t>
        </is>
      </c>
      <c r="AG147" t="inlineStr"/>
    </row>
    <row r="148">
      <c r="A148" t="inlineStr">
        <is>
          <t>AS</t>
        </is>
      </c>
      <c r="B148" t="inlineStr">
        <is>
          <t>aom</t>
        </is>
      </c>
      <c r="C148" t="inlineStr">
        <is>
          <t>av2</t>
        </is>
      </c>
      <c r="D148" t="inlineStr">
        <is>
          <t>0</t>
        </is>
      </c>
      <c r="E148" t="inlineStr">
        <is>
          <t>A1</t>
        </is>
      </c>
      <c r="F148" t="inlineStr">
        <is>
          <t>NocturneDance</t>
        </is>
      </c>
      <c r="G148" t="inlineStr">
        <is>
          <t>3840x2160</t>
        </is>
      </c>
      <c r="H148" t="inlineStr">
        <is>
          <t>60.0000</t>
        </is>
      </c>
      <c r="I148" t="inlineStr">
        <is>
          <t>10</t>
        </is>
      </c>
      <c r="J148" t="inlineStr">
        <is>
          <t>3840x2160</t>
        </is>
      </c>
      <c r="K148" t="inlineStr">
        <is>
          <t>160</t>
        </is>
      </c>
      <c r="L148" t="n">
        <v>8565.936</v>
      </c>
      <c r="M148" t="n">
        <v>40.021239</v>
      </c>
      <c r="N148" t="n">
        <v>40.294759</v>
      </c>
      <c r="O148" t="n">
        <v>45.893394</v>
      </c>
      <c r="P148" t="n">
        <v>18.893553</v>
      </c>
      <c r="Q148" t="n">
        <v>15.675573</v>
      </c>
      <c r="R148" t="n">
        <v>68.816862</v>
      </c>
      <c r="S148" t="n">
        <v>66.512524</v>
      </c>
      <c r="T148" t="n">
        <v>35.876219</v>
      </c>
      <c r="U148" t="n">
        <v>40.902589</v>
      </c>
      <c r="V148" t="n">
        <v>39.928214</v>
      </c>
      <c r="W148" t="n">
        <v>40.266291</v>
      </c>
      <c r="X148" t="n">
        <v>45.86798</v>
      </c>
      <c r="Y148" t="n">
        <v>0.646532</v>
      </c>
      <c r="Z148" t="inlineStr"/>
      <c r="AA148" t="inlineStr"/>
      <c r="AB148" t="inlineStr"/>
      <c r="AC148" t="inlineStr"/>
      <c r="AD148" t="inlineStr"/>
      <c r="AE148" t="inlineStr"/>
      <c r="AF148" t="inlineStr">
        <is>
          <t>0fab7d715fd9c7600699c3b2c72b8b2b</t>
        </is>
      </c>
      <c r="AG148" t="inlineStr"/>
    </row>
    <row r="149">
      <c r="A149" t="inlineStr">
        <is>
          <t>AS</t>
        </is>
      </c>
      <c r="B149" t="inlineStr">
        <is>
          <t>aom</t>
        </is>
      </c>
      <c r="C149" t="inlineStr">
        <is>
          <t>av2</t>
        </is>
      </c>
      <c r="D149" t="inlineStr">
        <is>
          <t>0</t>
        </is>
      </c>
      <c r="E149" t="inlineStr">
        <is>
          <t>A1</t>
        </is>
      </c>
      <c r="F149" t="inlineStr">
        <is>
          <t>NocturneDance</t>
        </is>
      </c>
      <c r="G149" t="inlineStr">
        <is>
          <t>3840x2160</t>
        </is>
      </c>
      <c r="H149" t="inlineStr">
        <is>
          <t>60.0000</t>
        </is>
      </c>
      <c r="I149" t="inlineStr">
        <is>
          <t>10</t>
        </is>
      </c>
      <c r="J149" t="inlineStr">
        <is>
          <t>3840x2160</t>
        </is>
      </c>
      <c r="K149" t="inlineStr">
        <is>
          <t>185</t>
        </is>
      </c>
      <c r="L149" t="n">
        <v>3357.312</v>
      </c>
      <c r="M149" t="n">
        <v>36.762258</v>
      </c>
      <c r="N149" t="n">
        <v>38.605383</v>
      </c>
      <c r="O149" t="n">
        <v>44.205995</v>
      </c>
      <c r="P149" t="n">
        <v>14.708963</v>
      </c>
      <c r="Q149" t="n">
        <v>12.486818</v>
      </c>
      <c r="R149" t="n">
        <v>45.729612</v>
      </c>
      <c r="S149" t="n">
        <v>44.278931</v>
      </c>
      <c r="T149" t="n">
        <v>32.319179</v>
      </c>
      <c r="U149" t="n">
        <v>38.818487</v>
      </c>
      <c r="V149" t="n">
        <v>36.65384</v>
      </c>
      <c r="W149" t="n">
        <v>38.579471</v>
      </c>
      <c r="X149" t="n">
        <v>44.185725</v>
      </c>
      <c r="Y149" t="n">
        <v>0.766465</v>
      </c>
      <c r="Z149" t="inlineStr"/>
      <c r="AA149" t="inlineStr"/>
      <c r="AB149" t="inlineStr"/>
      <c r="AC149" t="inlineStr"/>
      <c r="AD149" t="inlineStr"/>
      <c r="AE149" t="inlineStr"/>
      <c r="AF149" t="inlineStr">
        <is>
          <t>04e090d27eea9e7f10959e7501555e57</t>
        </is>
      </c>
      <c r="AG149" t="inlineStr"/>
    </row>
    <row r="150">
      <c r="A150" t="inlineStr">
        <is>
          <t>AS</t>
        </is>
      </c>
      <c r="B150" t="inlineStr">
        <is>
          <t>aom</t>
        </is>
      </c>
      <c r="C150" t="inlineStr">
        <is>
          <t>av2</t>
        </is>
      </c>
      <c r="D150" t="inlineStr">
        <is>
          <t>0</t>
        </is>
      </c>
      <c r="E150" t="inlineStr">
        <is>
          <t>A1</t>
        </is>
      </c>
      <c r="F150" t="inlineStr">
        <is>
          <t>NocturneDance</t>
        </is>
      </c>
      <c r="G150" t="inlineStr">
        <is>
          <t>3840x2160</t>
        </is>
      </c>
      <c r="H150" t="inlineStr">
        <is>
          <t>60.0000</t>
        </is>
      </c>
      <c r="I150" t="inlineStr">
        <is>
          <t>10</t>
        </is>
      </c>
      <c r="J150" t="inlineStr">
        <is>
          <t>3840x2160</t>
        </is>
      </c>
      <c r="K150" t="inlineStr">
        <is>
          <t>210</t>
        </is>
      </c>
      <c r="L150" t="n">
        <v>992.846769</v>
      </c>
      <c r="M150" t="n">
        <v>33.576838</v>
      </c>
      <c r="N150" t="n">
        <v>36.938129</v>
      </c>
      <c r="O150" t="n">
        <v>42.592355</v>
      </c>
      <c r="P150" t="n">
        <v>10.463399</v>
      </c>
      <c r="Q150" t="n">
        <v>9.387128000000001</v>
      </c>
      <c r="R150" t="n">
        <v>21.535654</v>
      </c>
      <c r="S150" t="n">
        <v>21.009036</v>
      </c>
      <c r="T150" t="n">
        <v>29.035845</v>
      </c>
      <c r="U150" t="n">
        <v>36.673688</v>
      </c>
      <c r="V150" t="n">
        <v>33.470943</v>
      </c>
      <c r="W150" t="n">
        <v>36.913862</v>
      </c>
      <c r="X150" t="n">
        <v>42.578526</v>
      </c>
      <c r="Y150" t="n">
        <v>1.170828</v>
      </c>
      <c r="Z150" t="inlineStr"/>
      <c r="AA150" t="inlineStr"/>
      <c r="AB150" t="inlineStr"/>
      <c r="AC150" t="inlineStr"/>
      <c r="AD150" t="inlineStr"/>
      <c r="AE150" t="inlineStr"/>
      <c r="AF150" t="inlineStr">
        <is>
          <t>9d54ceacb45388372ac5a5f5782e085e</t>
        </is>
      </c>
      <c r="AG150" t="inlineStr"/>
    </row>
    <row r="151">
      <c r="A151" t="inlineStr">
        <is>
          <t>AS</t>
        </is>
      </c>
      <c r="B151" t="inlineStr">
        <is>
          <t>aom</t>
        </is>
      </c>
      <c r="C151" t="inlineStr">
        <is>
          <t>av2</t>
        </is>
      </c>
      <c r="D151" t="inlineStr">
        <is>
          <t>0</t>
        </is>
      </c>
      <c r="E151" t="inlineStr">
        <is>
          <t>A1</t>
        </is>
      </c>
      <c r="F151" t="inlineStr">
        <is>
          <t>NocturneDance</t>
        </is>
      </c>
      <c r="G151" t="inlineStr">
        <is>
          <t>3840x2160</t>
        </is>
      </c>
      <c r="H151" t="inlineStr">
        <is>
          <t>60.0000</t>
        </is>
      </c>
      <c r="I151" t="inlineStr">
        <is>
          <t>10</t>
        </is>
      </c>
      <c r="J151" t="inlineStr">
        <is>
          <t>3840x2160</t>
        </is>
      </c>
      <c r="K151" t="inlineStr">
        <is>
          <t>235</t>
        </is>
      </c>
      <c r="L151" t="n">
        <v>229.152</v>
      </c>
      <c r="M151" t="n">
        <v>31.514188</v>
      </c>
      <c r="N151" t="n">
        <v>35.647648</v>
      </c>
      <c r="O151" t="n">
        <v>40.883501</v>
      </c>
      <c r="P151" t="n">
        <v>7.825651</v>
      </c>
      <c r="Q151" t="n">
        <v>7.555979</v>
      </c>
      <c r="R151" t="n">
        <v>7.531686</v>
      </c>
      <c r="S151" t="n">
        <v>7.376752</v>
      </c>
      <c r="T151" t="n">
        <v>27.034232</v>
      </c>
      <c r="U151" t="n">
        <v>34.90271</v>
      </c>
      <c r="V151" t="n">
        <v>31.464408</v>
      </c>
      <c r="W151" t="n">
        <v>35.634692</v>
      </c>
      <c r="X151" t="n">
        <v>40.867887</v>
      </c>
      <c r="Y151" t="n">
        <v>1.446614</v>
      </c>
      <c r="Z151" t="inlineStr"/>
      <c r="AA151" t="inlineStr"/>
      <c r="AB151" t="inlineStr"/>
      <c r="AC151" t="inlineStr"/>
      <c r="AD151" t="inlineStr"/>
      <c r="AE151" t="inlineStr"/>
      <c r="AF151" t="inlineStr">
        <is>
          <t>206e202a06911701c2f597aeafaa7e06</t>
        </is>
      </c>
      <c r="AG151" t="inlineStr"/>
    </row>
    <row r="152">
      <c r="A152" t="inlineStr">
        <is>
          <t>AS</t>
        </is>
      </c>
      <c r="B152" t="inlineStr">
        <is>
          <t>aom</t>
        </is>
      </c>
      <c r="C152" t="inlineStr">
        <is>
          <t>av2</t>
        </is>
      </c>
      <c r="D152" t="inlineStr">
        <is>
          <t>0</t>
        </is>
      </c>
      <c r="E152" t="inlineStr">
        <is>
          <t>A1</t>
        </is>
      </c>
      <c r="F152" t="inlineStr">
        <is>
          <t>NocturneDance</t>
        </is>
      </c>
      <c r="G152" t="inlineStr">
        <is>
          <t>3840x2160</t>
        </is>
      </c>
      <c r="H152" t="inlineStr">
        <is>
          <t>60.0000</t>
        </is>
      </c>
      <c r="I152" t="inlineStr">
        <is>
          <t>10</t>
        </is>
      </c>
      <c r="J152" t="inlineStr">
        <is>
          <t>2560x1440</t>
        </is>
      </c>
      <c r="K152" t="inlineStr">
        <is>
          <t>110</t>
        </is>
      </c>
      <c r="L152" t="n">
        <v>29589.367385</v>
      </c>
      <c r="M152" t="n">
        <v>44.511516</v>
      </c>
      <c r="N152" t="n">
        <v>42.462948</v>
      </c>
      <c r="O152" t="n">
        <v>47.858796</v>
      </c>
      <c r="P152" t="n">
        <v>24.663491</v>
      </c>
      <c r="Q152" t="n">
        <v>20.040189</v>
      </c>
      <c r="R152" t="n">
        <v>89.593311</v>
      </c>
      <c r="S152" t="n">
        <v>87.226793</v>
      </c>
      <c r="T152" t="n">
        <v>41.124757</v>
      </c>
      <c r="U152" t="n">
        <v>43.610205</v>
      </c>
      <c r="V152" t="n">
        <v>44.439166</v>
      </c>
      <c r="W152" t="n">
        <v>42.425748</v>
      </c>
      <c r="X152" t="n">
        <v>47.819365</v>
      </c>
      <c r="Y152" t="n">
        <v>0.571573</v>
      </c>
      <c r="Z152" t="inlineStr"/>
      <c r="AA152" t="inlineStr"/>
      <c r="AB152" t="inlineStr"/>
      <c r="AC152" t="inlineStr"/>
      <c r="AD152" t="inlineStr"/>
      <c r="AE152" t="inlineStr"/>
      <c r="AF152" t="inlineStr">
        <is>
          <t>c23e3bc440137d92bc923a41c9a5189b</t>
        </is>
      </c>
      <c r="AG152" t="inlineStr"/>
    </row>
    <row r="153">
      <c r="A153" t="inlineStr">
        <is>
          <t>AS</t>
        </is>
      </c>
      <c r="B153" t="inlineStr">
        <is>
          <t>aom</t>
        </is>
      </c>
      <c r="C153" t="inlineStr">
        <is>
          <t>av2</t>
        </is>
      </c>
      <c r="D153" t="inlineStr">
        <is>
          <t>0</t>
        </is>
      </c>
      <c r="E153" t="inlineStr">
        <is>
          <t>A1</t>
        </is>
      </c>
      <c r="F153" t="inlineStr">
        <is>
          <t>NocturneDance</t>
        </is>
      </c>
      <c r="G153" t="inlineStr">
        <is>
          <t>3840x2160</t>
        </is>
      </c>
      <c r="H153" t="inlineStr">
        <is>
          <t>60.0000</t>
        </is>
      </c>
      <c r="I153" t="inlineStr">
        <is>
          <t>10</t>
        </is>
      </c>
      <c r="J153" t="inlineStr">
        <is>
          <t>2560x1440</t>
        </is>
      </c>
      <c r="K153" t="inlineStr">
        <is>
          <t>135</t>
        </is>
      </c>
      <c r="L153" t="n">
        <v>12458.304</v>
      </c>
      <c r="M153" t="n">
        <v>41.367813</v>
      </c>
      <c r="N153" t="n">
        <v>40.930836</v>
      </c>
      <c r="O153" t="n">
        <v>46.549739</v>
      </c>
      <c r="P153" t="n">
        <v>20.65388</v>
      </c>
      <c r="Q153" t="n">
        <v>16.978585</v>
      </c>
      <c r="R153" t="n">
        <v>76.981893</v>
      </c>
      <c r="S153" t="n">
        <v>74.46931600000001</v>
      </c>
      <c r="T153" t="n">
        <v>37.404999</v>
      </c>
      <c r="U153" t="n">
        <v>41.704084</v>
      </c>
      <c r="V153" t="n">
        <v>41.285043</v>
      </c>
      <c r="W153" t="n">
        <v>40.903106</v>
      </c>
      <c r="X153" t="n">
        <v>46.52156</v>
      </c>
      <c r="Y153" t="n">
        <v>0.618565</v>
      </c>
      <c r="Z153" t="inlineStr"/>
      <c r="AA153" t="inlineStr"/>
      <c r="AB153" t="inlineStr"/>
      <c r="AC153" t="inlineStr"/>
      <c r="AD153" t="inlineStr"/>
      <c r="AE153" t="inlineStr"/>
      <c r="AF153" t="inlineStr">
        <is>
          <t>cf48296e6bacc1c0e3b4cf8482f2f248</t>
        </is>
      </c>
      <c r="AG153" t="inlineStr"/>
    </row>
    <row r="154">
      <c r="A154" t="inlineStr">
        <is>
          <t>AS</t>
        </is>
      </c>
      <c r="B154" t="inlineStr">
        <is>
          <t>aom</t>
        </is>
      </c>
      <c r="C154" t="inlineStr">
        <is>
          <t>av2</t>
        </is>
      </c>
      <c r="D154" t="inlineStr">
        <is>
          <t>0</t>
        </is>
      </c>
      <c r="E154" t="inlineStr">
        <is>
          <t>A1</t>
        </is>
      </c>
      <c r="F154" t="inlineStr">
        <is>
          <t>NocturneDance</t>
        </is>
      </c>
      <c r="G154" t="inlineStr">
        <is>
          <t>3840x2160</t>
        </is>
      </c>
      <c r="H154" t="inlineStr">
        <is>
          <t>60.0000</t>
        </is>
      </c>
      <c r="I154" t="inlineStr">
        <is>
          <t>10</t>
        </is>
      </c>
      <c r="J154" t="inlineStr">
        <is>
          <t>2560x1440</t>
        </is>
      </c>
      <c r="K154" t="inlineStr">
        <is>
          <t>160</t>
        </is>
      </c>
      <c r="L154" t="n">
        <v>5078.189538</v>
      </c>
      <c r="M154" t="n">
        <v>38.201489</v>
      </c>
      <c r="N154" t="n">
        <v>39.375346</v>
      </c>
      <c r="O154" t="n">
        <v>45.027651</v>
      </c>
      <c r="P154" t="n">
        <v>16.648814</v>
      </c>
      <c r="Q154" t="n">
        <v>13.921145</v>
      </c>
      <c r="R154" t="n">
        <v>57.373688</v>
      </c>
      <c r="S154" t="n">
        <v>55.239882</v>
      </c>
      <c r="T154" t="n">
        <v>33.873137</v>
      </c>
      <c r="U154" t="n">
        <v>39.755866</v>
      </c>
      <c r="V154" t="n">
        <v>38.104481</v>
      </c>
      <c r="W154" t="n">
        <v>39.350969</v>
      </c>
      <c r="X154" t="n">
        <v>45.005415</v>
      </c>
      <c r="Y154" t="n">
        <v>0.7143929999999999</v>
      </c>
      <c r="Z154" t="inlineStr"/>
      <c r="AA154" t="inlineStr"/>
      <c r="AB154" t="inlineStr"/>
      <c r="AC154" t="inlineStr"/>
      <c r="AD154" t="inlineStr"/>
      <c r="AE154" t="inlineStr"/>
      <c r="AF154" t="inlineStr">
        <is>
          <t>8a46549bb9f476596634f6486d1254de</t>
        </is>
      </c>
      <c r="AG154" t="inlineStr"/>
    </row>
    <row r="155">
      <c r="A155" t="inlineStr">
        <is>
          <t>AS</t>
        </is>
      </c>
      <c r="B155" t="inlineStr">
        <is>
          <t>aom</t>
        </is>
      </c>
      <c r="C155" t="inlineStr">
        <is>
          <t>av2</t>
        </is>
      </c>
      <c r="D155" t="inlineStr">
        <is>
          <t>0</t>
        </is>
      </c>
      <c r="E155" t="inlineStr">
        <is>
          <t>A1</t>
        </is>
      </c>
      <c r="F155" t="inlineStr">
        <is>
          <t>NocturneDance</t>
        </is>
      </c>
      <c r="G155" t="inlineStr">
        <is>
          <t>3840x2160</t>
        </is>
      </c>
      <c r="H155" t="inlineStr">
        <is>
          <t>60.0000</t>
        </is>
      </c>
      <c r="I155" t="inlineStr">
        <is>
          <t>10</t>
        </is>
      </c>
      <c r="J155" t="inlineStr">
        <is>
          <t>2560x1440</t>
        </is>
      </c>
      <c r="K155" t="inlineStr">
        <is>
          <t>185</t>
        </is>
      </c>
      <c r="L155" t="n">
        <v>1756.161231</v>
      </c>
      <c r="M155" t="n">
        <v>35.002223</v>
      </c>
      <c r="N155" t="n">
        <v>37.738988</v>
      </c>
      <c r="O155" t="n">
        <v>43.439127</v>
      </c>
      <c r="P155" t="n">
        <v>12.413854</v>
      </c>
      <c r="Q155" t="n">
        <v>10.781943</v>
      </c>
      <c r="R155" t="n">
        <v>32.793558</v>
      </c>
      <c r="S155" t="n">
        <v>31.727417</v>
      </c>
      <c r="T155" t="n">
        <v>30.485647</v>
      </c>
      <c r="U155" t="n">
        <v>37.687594</v>
      </c>
      <c r="V155" t="n">
        <v>34.894731</v>
      </c>
      <c r="W155" t="n">
        <v>37.713125</v>
      </c>
      <c r="X155" t="n">
        <v>43.41878</v>
      </c>
      <c r="Y155" t="n">
        <v>1.031955</v>
      </c>
      <c r="Z155" t="inlineStr"/>
      <c r="AA155" t="inlineStr"/>
      <c r="AB155" t="inlineStr"/>
      <c r="AC155" t="inlineStr"/>
      <c r="AD155" t="inlineStr"/>
      <c r="AE155" t="inlineStr"/>
      <c r="AF155" t="inlineStr">
        <is>
          <t>59781c2a52d903b4421080ff013ff813</t>
        </is>
      </c>
      <c r="AG155" t="inlineStr"/>
    </row>
    <row r="156">
      <c r="A156" t="inlineStr">
        <is>
          <t>AS</t>
        </is>
      </c>
      <c r="B156" t="inlineStr">
        <is>
          <t>aom</t>
        </is>
      </c>
      <c r="C156" t="inlineStr">
        <is>
          <t>av2</t>
        </is>
      </c>
      <c r="D156" t="inlineStr">
        <is>
          <t>0</t>
        </is>
      </c>
      <c r="E156" t="inlineStr">
        <is>
          <t>A1</t>
        </is>
      </c>
      <c r="F156" t="inlineStr">
        <is>
          <t>NocturneDance</t>
        </is>
      </c>
      <c r="G156" t="inlineStr">
        <is>
          <t>3840x2160</t>
        </is>
      </c>
      <c r="H156" t="inlineStr">
        <is>
          <t>60.0000</t>
        </is>
      </c>
      <c r="I156" t="inlineStr">
        <is>
          <t>10</t>
        </is>
      </c>
      <c r="J156" t="inlineStr">
        <is>
          <t>2560x1440</t>
        </is>
      </c>
      <c r="K156" t="inlineStr">
        <is>
          <t>210</t>
        </is>
      </c>
      <c r="L156" t="n">
        <v>431.235692</v>
      </c>
      <c r="M156" t="n">
        <v>32.296422</v>
      </c>
      <c r="N156" t="n">
        <v>36.235528</v>
      </c>
      <c r="O156" t="n">
        <v>41.823427</v>
      </c>
      <c r="P156" t="n">
        <v>8.778041999999999</v>
      </c>
      <c r="Q156" t="n">
        <v>8.223901</v>
      </c>
      <c r="R156" t="n">
        <v>13.488997</v>
      </c>
      <c r="S156" t="n">
        <v>13.123503</v>
      </c>
      <c r="T156" t="n">
        <v>27.784932</v>
      </c>
      <c r="U156" t="n">
        <v>35.698078</v>
      </c>
      <c r="V156" t="n">
        <v>32.217733</v>
      </c>
      <c r="W156" t="n">
        <v>36.21495</v>
      </c>
      <c r="X156" t="n">
        <v>41.808601</v>
      </c>
      <c r="Y156" t="n">
        <v>1.699111</v>
      </c>
      <c r="Z156" t="inlineStr"/>
      <c r="AA156" t="inlineStr"/>
      <c r="AB156" t="inlineStr"/>
      <c r="AC156" t="inlineStr"/>
      <c r="AD156" t="inlineStr"/>
      <c r="AE156" t="inlineStr"/>
      <c r="AF156" t="inlineStr">
        <is>
          <t>d77bf4b245f96bfc201bf52348e8eeed</t>
        </is>
      </c>
      <c r="AG156" t="inlineStr"/>
    </row>
    <row r="157">
      <c r="A157" t="inlineStr">
        <is>
          <t>AS</t>
        </is>
      </c>
      <c r="B157" t="inlineStr">
        <is>
          <t>aom</t>
        </is>
      </c>
      <c r="C157" t="inlineStr">
        <is>
          <t>av2</t>
        </is>
      </c>
      <c r="D157" t="inlineStr">
        <is>
          <t>0</t>
        </is>
      </c>
      <c r="E157" t="inlineStr">
        <is>
          <t>A1</t>
        </is>
      </c>
      <c r="F157" t="inlineStr">
        <is>
          <t>NocturneDance</t>
        </is>
      </c>
      <c r="G157" t="inlineStr">
        <is>
          <t>3840x2160</t>
        </is>
      </c>
      <c r="H157" t="inlineStr">
        <is>
          <t>60.0000</t>
        </is>
      </c>
      <c r="I157" t="inlineStr">
        <is>
          <t>10</t>
        </is>
      </c>
      <c r="J157" t="inlineStr">
        <is>
          <t>2560x1440</t>
        </is>
      </c>
      <c r="K157" t="inlineStr">
        <is>
          <t>235</t>
        </is>
      </c>
      <c r="L157" t="n">
        <v>96.040615</v>
      </c>
      <c r="M157" t="n">
        <v>30.957289</v>
      </c>
      <c r="N157" t="n">
        <v>35.240258</v>
      </c>
      <c r="O157" t="n">
        <v>40.140737</v>
      </c>
      <c r="P157" t="n">
        <v>7.256896</v>
      </c>
      <c r="Q157" t="n">
        <v>7.197703</v>
      </c>
      <c r="R157" t="n">
        <v>5.975068</v>
      </c>
      <c r="S157" t="n">
        <v>5.784749</v>
      </c>
      <c r="T157" t="n">
        <v>26.524936</v>
      </c>
      <c r="U157" t="n">
        <v>34.310444</v>
      </c>
      <c r="V157" t="n">
        <v>30.93241</v>
      </c>
      <c r="W157" t="n">
        <v>35.229878</v>
      </c>
      <c r="X157" t="n">
        <v>40.128167</v>
      </c>
      <c r="Y157" t="n">
        <v>2.00624</v>
      </c>
      <c r="Z157" t="inlineStr"/>
      <c r="AA157" t="inlineStr"/>
      <c r="AB157" t="inlineStr"/>
      <c r="AC157" t="inlineStr"/>
      <c r="AD157" t="inlineStr"/>
      <c r="AE157" t="inlineStr"/>
      <c r="AF157" t="inlineStr">
        <is>
          <t>17b94e6f5fa86dc0f711469831510794</t>
        </is>
      </c>
      <c r="AG157" t="inlineStr"/>
    </row>
    <row r="158">
      <c r="A158" t="inlineStr">
        <is>
          <t>AS</t>
        </is>
      </c>
      <c r="B158" t="inlineStr">
        <is>
          <t>aom</t>
        </is>
      </c>
      <c r="C158" t="inlineStr">
        <is>
          <t>av2</t>
        </is>
      </c>
      <c r="D158" t="inlineStr">
        <is>
          <t>0</t>
        </is>
      </c>
      <c r="E158" t="inlineStr">
        <is>
          <t>A1</t>
        </is>
      </c>
      <c r="F158" t="inlineStr">
        <is>
          <t>NocturneDance</t>
        </is>
      </c>
      <c r="G158" t="inlineStr">
        <is>
          <t>3840x2160</t>
        </is>
      </c>
      <c r="H158" t="inlineStr">
        <is>
          <t>60.0000</t>
        </is>
      </c>
      <c r="I158" t="inlineStr">
        <is>
          <t>10</t>
        </is>
      </c>
      <c r="J158" t="inlineStr">
        <is>
          <t>1920x1080</t>
        </is>
      </c>
      <c r="K158" t="inlineStr">
        <is>
          <t>110</t>
        </is>
      </c>
      <c r="L158" t="n">
        <v>20914.807385</v>
      </c>
      <c r="M158" t="n">
        <v>43.167793</v>
      </c>
      <c r="N158" t="n">
        <v>41.184935</v>
      </c>
      <c r="O158" t="n">
        <v>46.880098</v>
      </c>
      <c r="P158" t="n">
        <v>22.929996</v>
      </c>
      <c r="Q158" t="n">
        <v>18.716064</v>
      </c>
      <c r="R158" t="n">
        <v>84.99630399999999</v>
      </c>
      <c r="S158" t="n">
        <v>82.61787</v>
      </c>
      <c r="T158" t="n">
        <v>39.483575</v>
      </c>
      <c r="U158" t="n">
        <v>42.482785</v>
      </c>
      <c r="V158" t="n">
        <v>43.097639</v>
      </c>
      <c r="W158" t="n">
        <v>41.162839</v>
      </c>
      <c r="X158" t="n">
        <v>46.84944</v>
      </c>
      <c r="Y158" t="n">
        <v>0.6481130000000001</v>
      </c>
      <c r="Z158" t="inlineStr"/>
      <c r="AA158" t="inlineStr"/>
      <c r="AB158" t="inlineStr"/>
      <c r="AC158" t="inlineStr"/>
      <c r="AD158" t="inlineStr"/>
      <c r="AE158" t="inlineStr"/>
      <c r="AF158" t="inlineStr">
        <is>
          <t>01956934918c80784ef14f556c6e79bb</t>
        </is>
      </c>
      <c r="AG158" t="inlineStr"/>
    </row>
    <row r="159">
      <c r="A159" t="inlineStr">
        <is>
          <t>AS</t>
        </is>
      </c>
      <c r="B159" t="inlineStr">
        <is>
          <t>aom</t>
        </is>
      </c>
      <c r="C159" t="inlineStr">
        <is>
          <t>av2</t>
        </is>
      </c>
      <c r="D159" t="inlineStr">
        <is>
          <t>0</t>
        </is>
      </c>
      <c r="E159" t="inlineStr">
        <is>
          <t>A1</t>
        </is>
      </c>
      <c r="F159" t="inlineStr">
        <is>
          <t>NocturneDance</t>
        </is>
      </c>
      <c r="G159" t="inlineStr">
        <is>
          <t>3840x2160</t>
        </is>
      </c>
      <c r="H159" t="inlineStr">
        <is>
          <t>60.0000</t>
        </is>
      </c>
      <c r="I159" t="inlineStr">
        <is>
          <t>10</t>
        </is>
      </c>
      <c r="J159" t="inlineStr">
        <is>
          <t>1920x1080</t>
        </is>
      </c>
      <c r="K159" t="inlineStr">
        <is>
          <t>135</t>
        </is>
      </c>
      <c r="L159" t="n">
        <v>8726.507077</v>
      </c>
      <c r="M159" t="n">
        <v>40.055227</v>
      </c>
      <c r="N159" t="n">
        <v>39.984958</v>
      </c>
      <c r="O159" t="n">
        <v>45.695727</v>
      </c>
      <c r="P159" t="n">
        <v>18.978511</v>
      </c>
      <c r="Q159" t="n">
        <v>15.710533</v>
      </c>
      <c r="R159" t="n">
        <v>69.54690100000001</v>
      </c>
      <c r="S159" t="n">
        <v>67.189088</v>
      </c>
      <c r="T159" t="n">
        <v>35.909678</v>
      </c>
      <c r="U159" t="n">
        <v>40.760908</v>
      </c>
      <c r="V159" t="n">
        <v>39.968812</v>
      </c>
      <c r="W159" t="n">
        <v>39.964022</v>
      </c>
      <c r="X159" t="n">
        <v>45.670657</v>
      </c>
      <c r="Y159" t="n">
        <v>0.669309</v>
      </c>
      <c r="Z159" t="inlineStr"/>
      <c r="AA159" t="inlineStr"/>
      <c r="AB159" t="inlineStr"/>
      <c r="AC159" t="inlineStr"/>
      <c r="AD159" t="inlineStr"/>
      <c r="AE159" t="inlineStr"/>
      <c r="AF159" t="inlineStr">
        <is>
          <t>0be52d017d81dd52a4034385d06872a9</t>
        </is>
      </c>
      <c r="AG159" t="inlineStr"/>
    </row>
    <row r="160">
      <c r="A160" t="inlineStr">
        <is>
          <t>AS</t>
        </is>
      </c>
      <c r="B160" t="inlineStr">
        <is>
          <t>aom</t>
        </is>
      </c>
      <c r="C160" t="inlineStr">
        <is>
          <t>av2</t>
        </is>
      </c>
      <c r="D160" t="inlineStr">
        <is>
          <t>0</t>
        </is>
      </c>
      <c r="E160" t="inlineStr">
        <is>
          <t>A1</t>
        </is>
      </c>
      <c r="F160" t="inlineStr">
        <is>
          <t>NocturneDance</t>
        </is>
      </c>
      <c r="G160" t="inlineStr">
        <is>
          <t>3840x2160</t>
        </is>
      </c>
      <c r="H160" t="inlineStr">
        <is>
          <t>60.0000</t>
        </is>
      </c>
      <c r="I160" t="inlineStr">
        <is>
          <t>10</t>
        </is>
      </c>
      <c r="J160" t="inlineStr">
        <is>
          <t>1920x1080</t>
        </is>
      </c>
      <c r="K160" t="inlineStr">
        <is>
          <t>160</t>
        </is>
      </c>
      <c r="L160" t="n">
        <v>3380.614154</v>
      </c>
      <c r="M160" t="n">
        <v>36.879328</v>
      </c>
      <c r="N160" t="n">
        <v>38.622046</v>
      </c>
      <c r="O160" t="n">
        <v>44.316415</v>
      </c>
      <c r="P160" t="n">
        <v>14.927063</v>
      </c>
      <c r="Q160" t="n">
        <v>12.62787</v>
      </c>
      <c r="R160" t="n">
        <v>47.754019</v>
      </c>
      <c r="S160" t="n">
        <v>45.987318</v>
      </c>
      <c r="T160" t="n">
        <v>32.447604</v>
      </c>
      <c r="U160" t="n">
        <v>38.878407</v>
      </c>
      <c r="V160" t="n">
        <v>36.778701</v>
      </c>
      <c r="W160" t="n">
        <v>38.600022</v>
      </c>
      <c r="X160" t="n">
        <v>44.296611</v>
      </c>
      <c r="Y160" t="n">
        <v>0.81832</v>
      </c>
      <c r="Z160" t="inlineStr"/>
      <c r="AA160" t="inlineStr"/>
      <c r="AB160" t="inlineStr"/>
      <c r="AC160" t="inlineStr"/>
      <c r="AD160" t="inlineStr"/>
      <c r="AE160" t="inlineStr"/>
      <c r="AF160" t="inlineStr">
        <is>
          <t>ede0b2224046ad9b1b09ae939f2e90ec</t>
        </is>
      </c>
      <c r="AG160" t="inlineStr"/>
    </row>
    <row r="161">
      <c r="A161" t="inlineStr">
        <is>
          <t>AS</t>
        </is>
      </c>
      <c r="B161" t="inlineStr">
        <is>
          <t>aom</t>
        </is>
      </c>
      <c r="C161" t="inlineStr">
        <is>
          <t>av2</t>
        </is>
      </c>
      <c r="D161" t="inlineStr">
        <is>
          <t>0</t>
        </is>
      </c>
      <c r="E161" t="inlineStr">
        <is>
          <t>A1</t>
        </is>
      </c>
      <c r="F161" t="inlineStr">
        <is>
          <t>NocturneDance</t>
        </is>
      </c>
      <c r="G161" t="inlineStr">
        <is>
          <t>3840x2160</t>
        </is>
      </c>
      <c r="H161" t="inlineStr">
        <is>
          <t>60.0000</t>
        </is>
      </c>
      <c r="I161" t="inlineStr">
        <is>
          <t>10</t>
        </is>
      </c>
      <c r="J161" t="inlineStr">
        <is>
          <t>1920x1080</t>
        </is>
      </c>
      <c r="K161" t="inlineStr">
        <is>
          <t>185</t>
        </is>
      </c>
      <c r="L161" t="n">
        <v>1045.262769</v>
      </c>
      <c r="M161" t="n">
        <v>33.840448</v>
      </c>
      <c r="N161" t="n">
        <v>37.124057</v>
      </c>
      <c r="O161" t="n">
        <v>42.909309</v>
      </c>
      <c r="P161" t="n">
        <v>10.838565</v>
      </c>
      <c r="Q161" t="n">
        <v>9.659189</v>
      </c>
      <c r="R161" t="n">
        <v>24.065165</v>
      </c>
      <c r="S161" t="n">
        <v>23.328372</v>
      </c>
      <c r="T161" t="n">
        <v>29.304667</v>
      </c>
      <c r="U161" t="n">
        <v>36.899192</v>
      </c>
      <c r="V161" t="n">
        <v>33.741026</v>
      </c>
      <c r="W161" t="n">
        <v>37.099943</v>
      </c>
      <c r="X161" t="n">
        <v>42.894313</v>
      </c>
      <c r="Y161" t="n">
        <v>1.396374</v>
      </c>
      <c r="Z161" t="inlineStr"/>
      <c r="AA161" t="inlineStr"/>
      <c r="AB161" t="inlineStr"/>
      <c r="AC161" t="inlineStr"/>
      <c r="AD161" t="inlineStr"/>
      <c r="AE161" t="inlineStr"/>
      <c r="AF161" t="inlineStr">
        <is>
          <t>ce353f3c8a58b5a2e29eb459fbec958d</t>
        </is>
      </c>
      <c r="AG161" t="inlineStr"/>
    </row>
    <row r="162">
      <c r="A162" t="inlineStr">
        <is>
          <t>AS</t>
        </is>
      </c>
      <c r="B162" t="inlineStr">
        <is>
          <t>aom</t>
        </is>
      </c>
      <c r="C162" t="inlineStr">
        <is>
          <t>av2</t>
        </is>
      </c>
      <c r="D162" t="inlineStr">
        <is>
          <t>0</t>
        </is>
      </c>
      <c r="E162" t="inlineStr">
        <is>
          <t>A1</t>
        </is>
      </c>
      <c r="F162" t="inlineStr">
        <is>
          <t>NocturneDance</t>
        </is>
      </c>
      <c r="G162" t="inlineStr">
        <is>
          <t>3840x2160</t>
        </is>
      </c>
      <c r="H162" t="inlineStr">
        <is>
          <t>60.0000</t>
        </is>
      </c>
      <c r="I162" t="inlineStr">
        <is>
          <t>10</t>
        </is>
      </c>
      <c r="J162" t="inlineStr">
        <is>
          <t>1920x1080</t>
        </is>
      </c>
      <c r="K162" t="inlineStr">
        <is>
          <t>210</t>
        </is>
      </c>
      <c r="L162" t="n">
        <v>237.127385</v>
      </c>
      <c r="M162" t="n">
        <v>31.706796</v>
      </c>
      <c r="N162" t="n">
        <v>35.874388</v>
      </c>
      <c r="O162" t="n">
        <v>41.38239</v>
      </c>
      <c r="P162" t="n">
        <v>8.048454</v>
      </c>
      <c r="Q162" t="n">
        <v>7.724302</v>
      </c>
      <c r="R162" t="n">
        <v>10.202178</v>
      </c>
      <c r="S162" t="n">
        <v>9.897933999999999</v>
      </c>
      <c r="T162" t="n">
        <v>27.224396</v>
      </c>
      <c r="U162" t="n">
        <v>35.211731</v>
      </c>
      <c r="V162" t="n">
        <v>31.653452</v>
      </c>
      <c r="W162" t="n">
        <v>35.859652</v>
      </c>
      <c r="X162" t="n">
        <v>41.365659</v>
      </c>
      <c r="Y162" t="n">
        <v>2.209014</v>
      </c>
      <c r="Z162" t="inlineStr"/>
      <c r="AA162" t="inlineStr"/>
      <c r="AB162" t="inlineStr"/>
      <c r="AC162" t="inlineStr"/>
      <c r="AD162" t="inlineStr"/>
      <c r="AE162" t="inlineStr"/>
      <c r="AF162" t="inlineStr">
        <is>
          <t>68b4dad2f93d7387f457ca6924e5a496</t>
        </is>
      </c>
      <c r="AG162" t="inlineStr"/>
    </row>
    <row r="163">
      <c r="A163" t="inlineStr">
        <is>
          <t>AS</t>
        </is>
      </c>
      <c r="B163" t="inlineStr">
        <is>
          <t>aom</t>
        </is>
      </c>
      <c r="C163" t="inlineStr">
        <is>
          <t>av2</t>
        </is>
      </c>
      <c r="D163" t="inlineStr">
        <is>
          <t>0</t>
        </is>
      </c>
      <c r="E163" t="inlineStr">
        <is>
          <t>A1</t>
        </is>
      </c>
      <c r="F163" t="inlineStr">
        <is>
          <t>NocturneDance</t>
        </is>
      </c>
      <c r="G163" t="inlineStr">
        <is>
          <t>3840x2160</t>
        </is>
      </c>
      <c r="H163" t="inlineStr">
        <is>
          <t>60.0000</t>
        </is>
      </c>
      <c r="I163" t="inlineStr">
        <is>
          <t>10</t>
        </is>
      </c>
      <c r="J163" t="inlineStr">
        <is>
          <t>1920x1080</t>
        </is>
      </c>
      <c r="K163" t="inlineStr">
        <is>
          <t>235</t>
        </is>
      </c>
      <c r="L163" t="n">
        <v>52.083692</v>
      </c>
      <c r="M163" t="n">
        <v>30.606898</v>
      </c>
      <c r="N163" t="n">
        <v>34.994729</v>
      </c>
      <c r="O163" t="n">
        <v>39.702952</v>
      </c>
      <c r="P163" t="n">
        <v>6.946028</v>
      </c>
      <c r="Q163" t="n">
        <v>7.015051</v>
      </c>
      <c r="R163" t="n">
        <v>4.300067</v>
      </c>
      <c r="S163" t="n">
        <v>4.141264</v>
      </c>
      <c r="T163" t="n">
        <v>26.215728</v>
      </c>
      <c r="U163" t="n">
        <v>33.873766</v>
      </c>
      <c r="V163" t="n">
        <v>30.588042</v>
      </c>
      <c r="W163" t="n">
        <v>34.983485</v>
      </c>
      <c r="X163" t="n">
        <v>39.694067</v>
      </c>
      <c r="Y163" t="n">
        <v>2.68216</v>
      </c>
      <c r="Z163" t="inlineStr"/>
      <c r="AA163" t="inlineStr"/>
      <c r="AB163" t="inlineStr"/>
      <c r="AC163" t="inlineStr"/>
      <c r="AD163" t="inlineStr"/>
      <c r="AE163" t="inlineStr"/>
      <c r="AF163" t="inlineStr">
        <is>
          <t>ebffe8e9084498c698ee596a3f9d948c</t>
        </is>
      </c>
      <c r="AG163" t="inlineStr"/>
    </row>
    <row r="164">
      <c r="A164" t="inlineStr">
        <is>
          <t>AS</t>
        </is>
      </c>
      <c r="B164" t="inlineStr">
        <is>
          <t>aom</t>
        </is>
      </c>
      <c r="C164" t="inlineStr">
        <is>
          <t>av2</t>
        </is>
      </c>
      <c r="D164" t="inlineStr">
        <is>
          <t>0</t>
        </is>
      </c>
      <c r="E164" t="inlineStr">
        <is>
          <t>A1</t>
        </is>
      </c>
      <c r="F164" t="inlineStr">
        <is>
          <t>NocturneDance</t>
        </is>
      </c>
      <c r="G164" t="inlineStr">
        <is>
          <t>3840x2160</t>
        </is>
      </c>
      <c r="H164" t="inlineStr">
        <is>
          <t>60.0000</t>
        </is>
      </c>
      <c r="I164" t="inlineStr">
        <is>
          <t>10</t>
        </is>
      </c>
      <c r="J164" t="inlineStr">
        <is>
          <t>1280x720</t>
        </is>
      </c>
      <c r="K164" t="inlineStr">
        <is>
          <t>110</t>
        </is>
      </c>
      <c r="L164" t="n">
        <v>12478.759385</v>
      </c>
      <c r="M164" t="n">
        <v>41.114392</v>
      </c>
      <c r="N164" t="n">
        <v>39.266588</v>
      </c>
      <c r="O164" t="n">
        <v>45.394243</v>
      </c>
      <c r="P164" t="n">
        <v>20.598386</v>
      </c>
      <c r="Q164" t="n">
        <v>16.792629</v>
      </c>
      <c r="R164" t="n">
        <v>75.594109</v>
      </c>
      <c r="S164" t="n">
        <v>73.264912</v>
      </c>
      <c r="T164" t="n">
        <v>37.086282</v>
      </c>
      <c r="U164" t="n">
        <v>40.844528</v>
      </c>
      <c r="V164" t="n">
        <v>41.059468</v>
      </c>
      <c r="W164" t="n">
        <v>39.249174</v>
      </c>
      <c r="X164" t="n">
        <v>45.369079</v>
      </c>
      <c r="Y164" t="n">
        <v>0.702695</v>
      </c>
      <c r="Z164" t="inlineStr"/>
      <c r="AA164" t="inlineStr"/>
      <c r="AB164" t="inlineStr"/>
      <c r="AC164" t="inlineStr"/>
      <c r="AD164" t="inlineStr"/>
      <c r="AE164" t="inlineStr"/>
      <c r="AF164" t="inlineStr">
        <is>
          <t>ef363190f835acf854b29bd9bcc1c997</t>
        </is>
      </c>
      <c r="AG164" t="inlineStr"/>
    </row>
    <row r="165">
      <c r="A165" t="inlineStr">
        <is>
          <t>AS</t>
        </is>
      </c>
      <c r="B165" t="inlineStr">
        <is>
          <t>aom</t>
        </is>
      </c>
      <c r="C165" t="inlineStr">
        <is>
          <t>av2</t>
        </is>
      </c>
      <c r="D165" t="inlineStr">
        <is>
          <t>0</t>
        </is>
      </c>
      <c r="E165" t="inlineStr">
        <is>
          <t>A1</t>
        </is>
      </c>
      <c r="F165" t="inlineStr">
        <is>
          <t>NocturneDance</t>
        </is>
      </c>
      <c r="G165" t="inlineStr">
        <is>
          <t>3840x2160</t>
        </is>
      </c>
      <c r="H165" t="inlineStr">
        <is>
          <t>60.0000</t>
        </is>
      </c>
      <c r="I165" t="inlineStr">
        <is>
          <t>10</t>
        </is>
      </c>
      <c r="J165" t="inlineStr">
        <is>
          <t>1280x720</t>
        </is>
      </c>
      <c r="K165" t="inlineStr">
        <is>
          <t>135</t>
        </is>
      </c>
      <c r="L165" t="n">
        <v>5088.096</v>
      </c>
      <c r="M165" t="n">
        <v>38.134146</v>
      </c>
      <c r="N165" t="n">
        <v>38.497263</v>
      </c>
      <c r="O165" t="n">
        <v>44.481988</v>
      </c>
      <c r="P165" t="n">
        <v>16.639866</v>
      </c>
      <c r="Q165" t="n">
        <v>13.872382</v>
      </c>
      <c r="R165" t="n">
        <v>56.517745</v>
      </c>
      <c r="S165" t="n">
        <v>54.539277</v>
      </c>
      <c r="T165" t="n">
        <v>33.771498</v>
      </c>
      <c r="U165" t="n">
        <v>39.369936</v>
      </c>
      <c r="V165" t="n">
        <v>38.046465</v>
      </c>
      <c r="W165" t="n">
        <v>38.480523</v>
      </c>
      <c r="X165" t="n">
        <v>44.460572</v>
      </c>
      <c r="Y165" t="n">
        <v>0.832419</v>
      </c>
      <c r="Z165" t="inlineStr"/>
      <c r="AA165" t="inlineStr"/>
      <c r="AB165" t="inlineStr"/>
      <c r="AC165" t="inlineStr"/>
      <c r="AD165" t="inlineStr"/>
      <c r="AE165" t="inlineStr"/>
      <c r="AF165" t="inlineStr">
        <is>
          <t>e5a86571190c01912245e867c7b24bdf</t>
        </is>
      </c>
      <c r="AG165" t="inlineStr"/>
    </row>
    <row r="166">
      <c r="A166" t="inlineStr">
        <is>
          <t>AS</t>
        </is>
      </c>
      <c r="B166" t="inlineStr">
        <is>
          <t>aom</t>
        </is>
      </c>
      <c r="C166" t="inlineStr">
        <is>
          <t>av2</t>
        </is>
      </c>
      <c r="D166" t="inlineStr">
        <is>
          <t>0</t>
        </is>
      </c>
      <c r="E166" t="inlineStr">
        <is>
          <t>A1</t>
        </is>
      </c>
      <c r="F166" t="inlineStr">
        <is>
          <t>NocturneDance</t>
        </is>
      </c>
      <c r="G166" t="inlineStr">
        <is>
          <t>3840x2160</t>
        </is>
      </c>
      <c r="H166" t="inlineStr">
        <is>
          <t>60.0000</t>
        </is>
      </c>
      <c r="I166" t="inlineStr">
        <is>
          <t>10</t>
        </is>
      </c>
      <c r="J166" t="inlineStr">
        <is>
          <t>1280x720</t>
        </is>
      </c>
      <c r="K166" t="inlineStr">
        <is>
          <t>160</t>
        </is>
      </c>
      <c r="L166" t="n">
        <v>1743.297231</v>
      </c>
      <c r="M166" t="n">
        <v>35.040765</v>
      </c>
      <c r="N166" t="n">
        <v>37.485267</v>
      </c>
      <c r="O166" t="n">
        <v>43.411941</v>
      </c>
      <c r="P166" t="n">
        <v>12.492008</v>
      </c>
      <c r="Q166" t="n">
        <v>10.83823</v>
      </c>
      <c r="R166" t="n">
        <v>33.25788</v>
      </c>
      <c r="S166" t="n">
        <v>32.151322</v>
      </c>
      <c r="T166" t="n">
        <v>30.514291</v>
      </c>
      <c r="U166" t="n">
        <v>37.634586</v>
      </c>
      <c r="V166" t="n">
        <v>34.938353</v>
      </c>
      <c r="W166" t="n">
        <v>37.466038</v>
      </c>
      <c r="X166" t="n">
        <v>43.398718</v>
      </c>
      <c r="Y166" t="n">
        <v>1.186321</v>
      </c>
      <c r="Z166" t="inlineStr"/>
      <c r="AA166" t="inlineStr"/>
      <c r="AB166" t="inlineStr"/>
      <c r="AC166" t="inlineStr"/>
      <c r="AD166" t="inlineStr"/>
      <c r="AE166" t="inlineStr"/>
      <c r="AF166" t="inlineStr">
        <is>
          <t>ded4a9572b760f6257bbc7f5920d2ef5</t>
        </is>
      </c>
      <c r="AG166" t="inlineStr"/>
    </row>
    <row r="167">
      <c r="A167" t="inlineStr">
        <is>
          <t>AS</t>
        </is>
      </c>
      <c r="B167" t="inlineStr">
        <is>
          <t>aom</t>
        </is>
      </c>
      <c r="C167" t="inlineStr">
        <is>
          <t>av2</t>
        </is>
      </c>
      <c r="D167" t="inlineStr">
        <is>
          <t>0</t>
        </is>
      </c>
      <c r="E167" t="inlineStr">
        <is>
          <t>A1</t>
        </is>
      </c>
      <c r="F167" t="inlineStr">
        <is>
          <t>NocturneDance</t>
        </is>
      </c>
      <c r="G167" t="inlineStr">
        <is>
          <t>3840x2160</t>
        </is>
      </c>
      <c r="H167" t="inlineStr">
        <is>
          <t>60.0000</t>
        </is>
      </c>
      <c r="I167" t="inlineStr">
        <is>
          <t>10</t>
        </is>
      </c>
      <c r="J167" t="inlineStr">
        <is>
          <t>1280x720</t>
        </is>
      </c>
      <c r="K167" t="inlineStr">
        <is>
          <t>185</t>
        </is>
      </c>
      <c r="L167" t="n">
        <v>450.302769</v>
      </c>
      <c r="M167" t="n">
        <v>32.453942</v>
      </c>
      <c r="N167" t="n">
        <v>36.379852</v>
      </c>
      <c r="O167" t="n">
        <v>42.182503</v>
      </c>
      <c r="P167" t="n">
        <v>8.992754</v>
      </c>
      <c r="Q167" t="n">
        <v>8.370150000000001</v>
      </c>
      <c r="R167" t="n">
        <v>13.464484</v>
      </c>
      <c r="S167" t="n">
        <v>13.080093</v>
      </c>
      <c r="T167" t="n">
        <v>27.9396</v>
      </c>
      <c r="U167" t="n">
        <v>35.890797</v>
      </c>
      <c r="V167" t="n">
        <v>32.376152</v>
      </c>
      <c r="W167" t="n">
        <v>36.360594</v>
      </c>
      <c r="X167" t="n">
        <v>42.167784</v>
      </c>
      <c r="Y167" t="n">
        <v>1.989112</v>
      </c>
      <c r="Z167" t="inlineStr"/>
      <c r="AA167" t="inlineStr"/>
      <c r="AB167" t="inlineStr"/>
      <c r="AC167" t="inlineStr"/>
      <c r="AD167" t="inlineStr"/>
      <c r="AE167" t="inlineStr"/>
      <c r="AF167" t="inlineStr">
        <is>
          <t>fa4ca28af442c805bd1adbfc635a5410</t>
        </is>
      </c>
      <c r="AG167" t="inlineStr"/>
    </row>
    <row r="168">
      <c r="A168" t="inlineStr">
        <is>
          <t>AS</t>
        </is>
      </c>
      <c r="B168" t="inlineStr">
        <is>
          <t>aom</t>
        </is>
      </c>
      <c r="C168" t="inlineStr">
        <is>
          <t>av2</t>
        </is>
      </c>
      <c r="D168" t="inlineStr">
        <is>
          <t>0</t>
        </is>
      </c>
      <c r="E168" t="inlineStr">
        <is>
          <t>A1</t>
        </is>
      </c>
      <c r="F168" t="inlineStr">
        <is>
          <t>NocturneDance</t>
        </is>
      </c>
      <c r="G168" t="inlineStr">
        <is>
          <t>3840x2160</t>
        </is>
      </c>
      <c r="H168" t="inlineStr">
        <is>
          <t>60.0000</t>
        </is>
      </c>
      <c r="I168" t="inlineStr">
        <is>
          <t>10</t>
        </is>
      </c>
      <c r="J168" t="inlineStr">
        <is>
          <t>1280x720</t>
        </is>
      </c>
      <c r="K168" t="inlineStr">
        <is>
          <t>210</t>
        </is>
      </c>
      <c r="L168" t="n">
        <v>98.883692</v>
      </c>
      <c r="M168" t="n">
        <v>31.14146</v>
      </c>
      <c r="N168" t="n">
        <v>35.513008</v>
      </c>
      <c r="O168" t="n">
        <v>40.641133</v>
      </c>
      <c r="P168" t="n">
        <v>7.410269</v>
      </c>
      <c r="Q168" t="n">
        <v>7.30774</v>
      </c>
      <c r="R168" t="n">
        <v>6.537492</v>
      </c>
      <c r="S168" t="n">
        <v>6.317198</v>
      </c>
      <c r="T168" t="n">
        <v>26.701569</v>
      </c>
      <c r="U168" t="n">
        <v>34.63493</v>
      </c>
      <c r="V168" t="n">
        <v>31.114643</v>
      </c>
      <c r="W168" t="n">
        <v>35.501363</v>
      </c>
      <c r="X168" t="n">
        <v>40.625256</v>
      </c>
      <c r="Y168" t="n">
        <v>2.828216</v>
      </c>
      <c r="Z168" t="inlineStr"/>
      <c r="AA168" t="inlineStr"/>
      <c r="AB168" t="inlineStr"/>
      <c r="AC168" t="inlineStr"/>
      <c r="AD168" t="inlineStr"/>
      <c r="AE168" t="inlineStr"/>
      <c r="AF168" t="inlineStr">
        <is>
          <t>a43bb277eb5a0b62215c0ac1fcb7b164</t>
        </is>
      </c>
      <c r="AG168" t="inlineStr"/>
    </row>
    <row r="169">
      <c r="A169" t="inlineStr">
        <is>
          <t>AS</t>
        </is>
      </c>
      <c r="B169" t="inlineStr">
        <is>
          <t>aom</t>
        </is>
      </c>
      <c r="C169" t="inlineStr">
        <is>
          <t>av2</t>
        </is>
      </c>
      <c r="D169" t="inlineStr">
        <is>
          <t>0</t>
        </is>
      </c>
      <c r="E169" t="inlineStr">
        <is>
          <t>A1</t>
        </is>
      </c>
      <c r="F169" t="inlineStr">
        <is>
          <t>NocturneDance</t>
        </is>
      </c>
      <c r="G169" t="inlineStr">
        <is>
          <t>3840x2160</t>
        </is>
      </c>
      <c r="H169" t="inlineStr">
        <is>
          <t>60.0000</t>
        </is>
      </c>
      <c r="I169" t="inlineStr">
        <is>
          <t>10</t>
        </is>
      </c>
      <c r="J169" t="inlineStr">
        <is>
          <t>1280x720</t>
        </is>
      </c>
      <c r="K169" t="inlineStr">
        <is>
          <t>235</t>
        </is>
      </c>
      <c r="L169" t="n">
        <v>28.109538</v>
      </c>
      <c r="M169" t="n">
        <v>30.033071</v>
      </c>
      <c r="N169" t="n">
        <v>34.584647</v>
      </c>
      <c r="O169" t="n">
        <v>39.110455</v>
      </c>
      <c r="P169" t="n">
        <v>6.596511</v>
      </c>
      <c r="Q169" t="n">
        <v>6.793841</v>
      </c>
      <c r="R169" t="n">
        <v>0.42766</v>
      </c>
      <c r="S169" t="n">
        <v>0.395897</v>
      </c>
      <c r="T169" t="n">
        <v>25.716323</v>
      </c>
      <c r="U169" t="n">
        <v>33.232808</v>
      </c>
      <c r="V169" t="n">
        <v>30.014239</v>
      </c>
      <c r="W169" t="n">
        <v>34.578721</v>
      </c>
      <c r="X169" t="n">
        <v>39.096659</v>
      </c>
      <c r="Y169" t="n">
        <v>3.451394</v>
      </c>
      <c r="Z169" t="inlineStr"/>
      <c r="AA169" t="inlineStr"/>
      <c r="AB169" t="inlineStr"/>
      <c r="AC169" t="inlineStr"/>
      <c r="AD169" t="inlineStr"/>
      <c r="AE169" t="inlineStr"/>
      <c r="AF169" t="inlineStr">
        <is>
          <t>b6e4d7f67bbd1355d28526865a863efd</t>
        </is>
      </c>
      <c r="AG169" t="inlineStr"/>
    </row>
    <row r="170">
      <c r="A170" t="inlineStr">
        <is>
          <t>AS</t>
        </is>
      </c>
      <c r="B170" t="inlineStr">
        <is>
          <t>aom</t>
        </is>
      </c>
      <c r="C170" t="inlineStr">
        <is>
          <t>av2</t>
        </is>
      </c>
      <c r="D170" t="inlineStr">
        <is>
          <t>0</t>
        </is>
      </c>
      <c r="E170" t="inlineStr">
        <is>
          <t>A1</t>
        </is>
      </c>
      <c r="F170" t="inlineStr">
        <is>
          <t>NocturneDance</t>
        </is>
      </c>
      <c r="G170" t="inlineStr">
        <is>
          <t>3840x2160</t>
        </is>
      </c>
      <c r="H170" t="inlineStr">
        <is>
          <t>60.0000</t>
        </is>
      </c>
      <c r="I170" t="inlineStr">
        <is>
          <t>10</t>
        </is>
      </c>
      <c r="J170" t="inlineStr">
        <is>
          <t>960x540</t>
        </is>
      </c>
      <c r="K170" t="inlineStr">
        <is>
          <t>110</t>
        </is>
      </c>
      <c r="L170" t="n">
        <v>8524.932923</v>
      </c>
      <c r="M170" t="n">
        <v>39.285207</v>
      </c>
      <c r="N170" t="n">
        <v>38.152508</v>
      </c>
      <c r="O170" t="n">
        <v>44.538785</v>
      </c>
      <c r="P170" t="n">
        <v>19.052352</v>
      </c>
      <c r="Q170" t="n">
        <v>15.102263</v>
      </c>
      <c r="R170" t="n">
        <v>64.75010399999999</v>
      </c>
      <c r="S170" t="n">
        <v>62.629016</v>
      </c>
      <c r="T170" t="n">
        <v>34.966171</v>
      </c>
      <c r="U170" t="n">
        <v>39.690093</v>
      </c>
      <c r="V170" t="n">
        <v>39.247422</v>
      </c>
      <c r="W170" t="n">
        <v>38.135055</v>
      </c>
      <c r="X170" t="n">
        <v>44.515286</v>
      </c>
      <c r="Y170" t="n">
        <v>0.709543</v>
      </c>
      <c r="Z170" t="inlineStr"/>
      <c r="AA170" t="inlineStr"/>
      <c r="AB170" t="inlineStr"/>
      <c r="AC170" t="inlineStr"/>
      <c r="AD170" t="inlineStr"/>
      <c r="AE170" t="inlineStr"/>
      <c r="AF170" t="inlineStr">
        <is>
          <t>3677fba780cb60b713305b6e0246b5cd</t>
        </is>
      </c>
      <c r="AG170" t="inlineStr"/>
    </row>
    <row r="171">
      <c r="A171" t="inlineStr">
        <is>
          <t>AS</t>
        </is>
      </c>
      <c r="B171" t="inlineStr">
        <is>
          <t>aom</t>
        </is>
      </c>
      <c r="C171" t="inlineStr">
        <is>
          <t>av2</t>
        </is>
      </c>
      <c r="D171" t="inlineStr">
        <is>
          <t>0</t>
        </is>
      </c>
      <c r="E171" t="inlineStr">
        <is>
          <t>A1</t>
        </is>
      </c>
      <c r="F171" t="inlineStr">
        <is>
          <t>NocturneDance</t>
        </is>
      </c>
      <c r="G171" t="inlineStr">
        <is>
          <t>3840x2160</t>
        </is>
      </c>
      <c r="H171" t="inlineStr">
        <is>
          <t>60.0000</t>
        </is>
      </c>
      <c r="I171" t="inlineStr">
        <is>
          <t>10</t>
        </is>
      </c>
      <c r="J171" t="inlineStr">
        <is>
          <t>960x540</t>
        </is>
      </c>
      <c r="K171" t="inlineStr">
        <is>
          <t>135</t>
        </is>
      </c>
      <c r="L171" t="n">
        <v>3399.540923</v>
      </c>
      <c r="M171" t="n">
        <v>36.737957</v>
      </c>
      <c r="N171" t="n">
        <v>37.597161</v>
      </c>
      <c r="O171" t="n">
        <v>43.822362</v>
      </c>
      <c r="P171" t="n">
        <v>15.05608</v>
      </c>
      <c r="Q171" t="n">
        <v>12.52455</v>
      </c>
      <c r="R171" t="n">
        <v>45.42918</v>
      </c>
      <c r="S171" t="n">
        <v>43.853303</v>
      </c>
      <c r="T171" t="n">
        <v>32.230532</v>
      </c>
      <c r="U171" t="n">
        <v>38.450936</v>
      </c>
      <c r="V171" t="n">
        <v>36.666532</v>
      </c>
      <c r="W171" t="n">
        <v>37.58033</v>
      </c>
      <c r="X171" t="n">
        <v>43.804964</v>
      </c>
      <c r="Y171" t="n">
        <v>0.987222</v>
      </c>
      <c r="Z171" t="inlineStr"/>
      <c r="AA171" t="inlineStr"/>
      <c r="AB171" t="inlineStr"/>
      <c r="AC171" t="inlineStr"/>
      <c r="AD171" t="inlineStr"/>
      <c r="AE171" t="inlineStr"/>
      <c r="AF171" t="inlineStr">
        <is>
          <t>6f3e4e3817f46606d929341bf22078ac</t>
        </is>
      </c>
      <c r="AG171" t="inlineStr"/>
    </row>
    <row r="172">
      <c r="A172" t="inlineStr">
        <is>
          <t>AS</t>
        </is>
      </c>
      <c r="B172" t="inlineStr">
        <is>
          <t>aom</t>
        </is>
      </c>
      <c r="C172" t="inlineStr">
        <is>
          <t>av2</t>
        </is>
      </c>
      <c r="D172" t="inlineStr">
        <is>
          <t>0</t>
        </is>
      </c>
      <c r="E172" t="inlineStr">
        <is>
          <t>A1</t>
        </is>
      </c>
      <c r="F172" t="inlineStr">
        <is>
          <t>NocturneDance</t>
        </is>
      </c>
      <c r="G172" t="inlineStr">
        <is>
          <t>3840x2160</t>
        </is>
      </c>
      <c r="H172" t="inlineStr">
        <is>
          <t>60.0000</t>
        </is>
      </c>
      <c r="I172" t="inlineStr">
        <is>
          <t>10</t>
        </is>
      </c>
      <c r="J172" t="inlineStr">
        <is>
          <t>960x540</t>
        </is>
      </c>
      <c r="K172" t="inlineStr">
        <is>
          <t>160</t>
        </is>
      </c>
      <c r="L172" t="n">
        <v>1031.283692</v>
      </c>
      <c r="M172" t="n">
        <v>33.891084</v>
      </c>
      <c r="N172" t="n">
        <v>36.857078</v>
      </c>
      <c r="O172" t="n">
        <v>42.902973</v>
      </c>
      <c r="P172" t="n">
        <v>10.977697</v>
      </c>
      <c r="Q172" t="n">
        <v>9.733496000000001</v>
      </c>
      <c r="R172" t="n">
        <v>23.218662</v>
      </c>
      <c r="S172" t="n">
        <v>22.502237</v>
      </c>
      <c r="T172" t="n">
        <v>29.332919</v>
      </c>
      <c r="U172" t="n">
        <v>36.873191</v>
      </c>
      <c r="V172" t="n">
        <v>33.798798</v>
      </c>
      <c r="W172" t="n">
        <v>36.840451</v>
      </c>
      <c r="X172" t="n">
        <v>42.890376</v>
      </c>
      <c r="Y172" t="n">
        <v>1.485376</v>
      </c>
      <c r="Z172" t="inlineStr"/>
      <c r="AA172" t="inlineStr"/>
      <c r="AB172" t="inlineStr"/>
      <c r="AC172" t="inlineStr"/>
      <c r="AD172" t="inlineStr"/>
      <c r="AE172" t="inlineStr"/>
      <c r="AF172" t="inlineStr">
        <is>
          <t>6fdc7bbe530867ff66ed8f5a96dac639</t>
        </is>
      </c>
      <c r="AG172" t="inlineStr"/>
    </row>
    <row r="173">
      <c r="A173" t="inlineStr">
        <is>
          <t>AS</t>
        </is>
      </c>
      <c r="B173" t="inlineStr">
        <is>
          <t>aom</t>
        </is>
      </c>
      <c r="C173" t="inlineStr">
        <is>
          <t>av2</t>
        </is>
      </c>
      <c r="D173" t="inlineStr">
        <is>
          <t>0</t>
        </is>
      </c>
      <c r="E173" t="inlineStr">
        <is>
          <t>A1</t>
        </is>
      </c>
      <c r="F173" t="inlineStr">
        <is>
          <t>NocturneDance</t>
        </is>
      </c>
      <c r="G173" t="inlineStr">
        <is>
          <t>3840x2160</t>
        </is>
      </c>
      <c r="H173" t="inlineStr">
        <is>
          <t>60.0000</t>
        </is>
      </c>
      <c r="I173" t="inlineStr">
        <is>
          <t>10</t>
        </is>
      </c>
      <c r="J173" t="inlineStr">
        <is>
          <t>960x540</t>
        </is>
      </c>
      <c r="K173" t="inlineStr">
        <is>
          <t>185</t>
        </is>
      </c>
      <c r="L173" t="n">
        <v>254.145231</v>
      </c>
      <c r="M173" t="n">
        <v>31.838324</v>
      </c>
      <c r="N173" t="n">
        <v>36.004672</v>
      </c>
      <c r="O173" t="n">
        <v>41.798317</v>
      </c>
      <c r="P173" t="n">
        <v>8.228154</v>
      </c>
      <c r="Q173" t="n">
        <v>7.832959</v>
      </c>
      <c r="R173" t="n">
        <v>8.736764000000001</v>
      </c>
      <c r="S173" t="n">
        <v>8.473742</v>
      </c>
      <c r="T173" t="n">
        <v>27.350548</v>
      </c>
      <c r="U173" t="n">
        <v>35.37957</v>
      </c>
      <c r="V173" t="n">
        <v>31.780313</v>
      </c>
      <c r="W173" t="n">
        <v>35.99009</v>
      </c>
      <c r="X173" t="n">
        <v>41.78288</v>
      </c>
      <c r="Y173" t="n">
        <v>2.317619</v>
      </c>
      <c r="Z173" t="inlineStr"/>
      <c r="AA173" t="inlineStr"/>
      <c r="AB173" t="inlineStr"/>
      <c r="AC173" t="inlineStr"/>
      <c r="AD173" t="inlineStr"/>
      <c r="AE173" t="inlineStr"/>
      <c r="AF173" t="inlineStr">
        <is>
          <t>2c7b3a13ee797595dfacb8112ab1610a</t>
        </is>
      </c>
      <c r="AG173" t="inlineStr"/>
    </row>
    <row r="174">
      <c r="A174" t="inlineStr">
        <is>
          <t>AS</t>
        </is>
      </c>
      <c r="B174" t="inlineStr">
        <is>
          <t>aom</t>
        </is>
      </c>
      <c r="C174" t="inlineStr">
        <is>
          <t>av2</t>
        </is>
      </c>
      <c r="D174" t="inlineStr">
        <is>
          <t>0</t>
        </is>
      </c>
      <c r="E174" t="inlineStr">
        <is>
          <t>A1</t>
        </is>
      </c>
      <c r="F174" t="inlineStr">
        <is>
          <t>NocturneDance</t>
        </is>
      </c>
      <c r="G174" t="inlineStr">
        <is>
          <t>3840x2160</t>
        </is>
      </c>
      <c r="H174" t="inlineStr">
        <is>
          <t>60.0000</t>
        </is>
      </c>
      <c r="I174" t="inlineStr">
        <is>
          <t>10</t>
        </is>
      </c>
      <c r="J174" t="inlineStr">
        <is>
          <t>960x540</t>
        </is>
      </c>
      <c r="K174" t="inlineStr">
        <is>
          <t>210</t>
        </is>
      </c>
      <c r="L174" t="n">
        <v>56.049231</v>
      </c>
      <c r="M174" t="n">
        <v>30.767098</v>
      </c>
      <c r="N174" t="n">
        <v>35.257558</v>
      </c>
      <c r="O174" t="n">
        <v>40.413431</v>
      </c>
      <c r="P174" t="n">
        <v>7.082604</v>
      </c>
      <c r="Q174" t="n">
        <v>7.101152</v>
      </c>
      <c r="R174" t="n">
        <v>3.670651</v>
      </c>
      <c r="S174" t="n">
        <v>3.528922</v>
      </c>
      <c r="T174" t="n">
        <v>26.371027</v>
      </c>
      <c r="U174" t="n">
        <v>34.178934</v>
      </c>
      <c r="V174" t="n">
        <v>30.748179</v>
      </c>
      <c r="W174" t="n">
        <v>35.248621</v>
      </c>
      <c r="X174" t="n">
        <v>40.398363</v>
      </c>
      <c r="Y174" t="n">
        <v>3.22134</v>
      </c>
      <c r="Z174" t="inlineStr"/>
      <c r="AA174" t="inlineStr"/>
      <c r="AB174" t="inlineStr"/>
      <c r="AC174" t="inlineStr"/>
      <c r="AD174" t="inlineStr"/>
      <c r="AE174" t="inlineStr"/>
      <c r="AF174" t="inlineStr">
        <is>
          <t>21274ee6411d2a2f210d074d28a8ed51</t>
        </is>
      </c>
      <c r="AG174" t="inlineStr"/>
    </row>
    <row r="175">
      <c r="A175" t="inlineStr">
        <is>
          <t>AS</t>
        </is>
      </c>
      <c r="B175" t="inlineStr">
        <is>
          <t>aom</t>
        </is>
      </c>
      <c r="C175" t="inlineStr">
        <is>
          <t>av2</t>
        </is>
      </c>
      <c r="D175" t="inlineStr">
        <is>
          <t>0</t>
        </is>
      </c>
      <c r="E175" t="inlineStr">
        <is>
          <t>A1</t>
        </is>
      </c>
      <c r="F175" t="inlineStr">
        <is>
          <t>NocturneDance</t>
        </is>
      </c>
      <c r="G175" t="inlineStr">
        <is>
          <t>3840x2160</t>
        </is>
      </c>
      <c r="H175" t="inlineStr">
        <is>
          <t>60.0000</t>
        </is>
      </c>
      <c r="I175" t="inlineStr">
        <is>
          <t>10</t>
        </is>
      </c>
      <c r="J175" t="inlineStr">
        <is>
          <t>960x540</t>
        </is>
      </c>
      <c r="K175" t="inlineStr">
        <is>
          <t>235</t>
        </is>
      </c>
      <c r="L175" t="n">
        <v>21.086769</v>
      </c>
      <c r="M175" t="n">
        <v>29.642326</v>
      </c>
      <c r="N175" t="n">
        <v>34.382405</v>
      </c>
      <c r="O175" t="n">
        <v>38.64728</v>
      </c>
      <c r="P175" t="n">
        <v>6.40579</v>
      </c>
      <c r="Q175" t="n">
        <v>6.667978</v>
      </c>
      <c r="R175" t="n">
        <v>0.06870800000000001</v>
      </c>
      <c r="S175" t="n">
        <v>0.054631</v>
      </c>
      <c r="T175" t="n">
        <v>25.38053</v>
      </c>
      <c r="U175" t="n">
        <v>32.89761</v>
      </c>
      <c r="V175" t="n">
        <v>29.627841</v>
      </c>
      <c r="W175" t="n">
        <v>34.379004</v>
      </c>
      <c r="X175" t="n">
        <v>38.63976</v>
      </c>
      <c r="Y175" t="n">
        <v>3.700396</v>
      </c>
      <c r="Z175" t="inlineStr"/>
      <c r="AA175" t="inlineStr"/>
      <c r="AB175" t="inlineStr"/>
      <c r="AC175" t="inlineStr"/>
      <c r="AD175" t="inlineStr"/>
      <c r="AE175" t="inlineStr"/>
      <c r="AF175" t="inlineStr">
        <is>
          <t>5ffd300b63cc5dbac5fcd44957f7ea64</t>
        </is>
      </c>
      <c r="AG175" t="inlineStr"/>
    </row>
    <row r="176">
      <c r="A176" t="inlineStr">
        <is>
          <t>AS</t>
        </is>
      </c>
      <c r="B176" t="inlineStr">
        <is>
          <t>aom</t>
        </is>
      </c>
      <c r="C176" t="inlineStr">
        <is>
          <t>av2</t>
        </is>
      </c>
      <c r="D176" t="inlineStr">
        <is>
          <t>0</t>
        </is>
      </c>
      <c r="E176" t="inlineStr">
        <is>
          <t>A1</t>
        </is>
      </c>
      <c r="F176" t="inlineStr">
        <is>
          <t>NocturneDance</t>
        </is>
      </c>
      <c r="G176" t="inlineStr">
        <is>
          <t>3840x2160</t>
        </is>
      </c>
      <c r="H176" t="inlineStr">
        <is>
          <t>60.0000</t>
        </is>
      </c>
      <c r="I176" t="inlineStr">
        <is>
          <t>10</t>
        </is>
      </c>
      <c r="J176" t="inlineStr">
        <is>
          <t>640x360</t>
        </is>
      </c>
      <c r="K176" t="inlineStr">
        <is>
          <t>110</t>
        </is>
      </c>
      <c r="L176" t="n">
        <v>4258.061538</v>
      </c>
      <c r="M176" t="n">
        <v>36.283264</v>
      </c>
      <c r="N176" t="n">
        <v>37.089225</v>
      </c>
      <c r="O176" t="n">
        <v>43.705035</v>
      </c>
      <c r="P176" t="n">
        <v>15.807858</v>
      </c>
      <c r="Q176" t="n">
        <v>12.283353</v>
      </c>
      <c r="R176" t="n">
        <v>39.871051</v>
      </c>
      <c r="S176" t="n">
        <v>38.465296</v>
      </c>
      <c r="T176" t="n">
        <v>31.567399</v>
      </c>
      <c r="U176" t="n">
        <v>38.065519</v>
      </c>
      <c r="V176" t="n">
        <v>36.251836</v>
      </c>
      <c r="W176" t="n">
        <v>37.072359</v>
      </c>
      <c r="X176" t="n">
        <v>43.684804</v>
      </c>
      <c r="Y176" t="n">
        <v>0.681101</v>
      </c>
      <c r="Z176" t="inlineStr"/>
      <c r="AA176" t="inlineStr"/>
      <c r="AB176" t="inlineStr"/>
      <c r="AC176" t="inlineStr"/>
      <c r="AD176" t="inlineStr"/>
      <c r="AE176" t="inlineStr"/>
      <c r="AF176" t="inlineStr">
        <is>
          <t>18e2ab49633fa6b3571f1d2c9ce2eedb</t>
        </is>
      </c>
      <c r="AG176" t="inlineStr"/>
    </row>
    <row r="177">
      <c r="A177" t="inlineStr">
        <is>
          <t>AS</t>
        </is>
      </c>
      <c r="B177" t="inlineStr">
        <is>
          <t>aom</t>
        </is>
      </c>
      <c r="C177" t="inlineStr">
        <is>
          <t>av2</t>
        </is>
      </c>
      <c r="D177" t="inlineStr">
        <is>
          <t>0</t>
        </is>
      </c>
      <c r="E177" t="inlineStr">
        <is>
          <t>A1</t>
        </is>
      </c>
      <c r="F177" t="inlineStr">
        <is>
          <t>NocturneDance</t>
        </is>
      </c>
      <c r="G177" t="inlineStr">
        <is>
          <t>3840x2160</t>
        </is>
      </c>
      <c r="H177" t="inlineStr">
        <is>
          <t>60.0000</t>
        </is>
      </c>
      <c r="I177" t="inlineStr">
        <is>
          <t>10</t>
        </is>
      </c>
      <c r="J177" t="inlineStr">
        <is>
          <t>640x360</t>
        </is>
      </c>
      <c r="K177" t="inlineStr">
        <is>
          <t>135</t>
        </is>
      </c>
      <c r="L177" t="n">
        <v>1520.163692</v>
      </c>
      <c r="M177" t="n">
        <v>34.479744</v>
      </c>
      <c r="N177" t="n">
        <v>36.720948</v>
      </c>
      <c r="O177" t="n">
        <v>43.098202</v>
      </c>
      <c r="P177" t="n">
        <v>12.273524</v>
      </c>
      <c r="Q177" t="n">
        <v>10.365122</v>
      </c>
      <c r="R177" t="n">
        <v>23.639415</v>
      </c>
      <c r="S177" t="n">
        <v>22.860831</v>
      </c>
      <c r="T177" t="n">
        <v>29.816452</v>
      </c>
      <c r="U177" t="n">
        <v>37.11025</v>
      </c>
      <c r="V177" t="n">
        <v>34.428661</v>
      </c>
      <c r="W177" t="n">
        <v>36.705168</v>
      </c>
      <c r="X177" t="n">
        <v>43.084011</v>
      </c>
      <c r="Y177" t="n">
        <v>1.216296</v>
      </c>
      <c r="Z177" t="inlineStr"/>
      <c r="AA177" t="inlineStr"/>
      <c r="AB177" t="inlineStr"/>
      <c r="AC177" t="inlineStr"/>
      <c r="AD177" t="inlineStr"/>
      <c r="AE177" t="inlineStr"/>
      <c r="AF177" t="inlineStr">
        <is>
          <t>7ffe046ef98a1130ea5be60c1fcad525</t>
        </is>
      </c>
      <c r="AG177" t="inlineStr"/>
    </row>
    <row r="178">
      <c r="A178" t="inlineStr">
        <is>
          <t>AS</t>
        </is>
      </c>
      <c r="B178" t="inlineStr">
        <is>
          <t>aom</t>
        </is>
      </c>
      <c r="C178" t="inlineStr">
        <is>
          <t>av2</t>
        </is>
      </c>
      <c r="D178" t="inlineStr">
        <is>
          <t>0</t>
        </is>
      </c>
      <c r="E178" t="inlineStr">
        <is>
          <t>A1</t>
        </is>
      </c>
      <c r="F178" t="inlineStr">
        <is>
          <t>NocturneDance</t>
        </is>
      </c>
      <c r="G178" t="inlineStr">
        <is>
          <t>3840x2160</t>
        </is>
      </c>
      <c r="H178" t="inlineStr">
        <is>
          <t>60.0000</t>
        </is>
      </c>
      <c r="I178" t="inlineStr">
        <is>
          <t>10</t>
        </is>
      </c>
      <c r="J178" t="inlineStr">
        <is>
          <t>640x360</t>
        </is>
      </c>
      <c r="K178" t="inlineStr">
        <is>
          <t>160</t>
        </is>
      </c>
      <c r="L178" t="n">
        <v>389.438769</v>
      </c>
      <c r="M178" t="n">
        <v>32.42969</v>
      </c>
      <c r="N178" t="n">
        <v>36.185997</v>
      </c>
      <c r="O178" t="n">
        <v>42.22362</v>
      </c>
      <c r="P178" t="n">
        <v>9.077248000000001</v>
      </c>
      <c r="Q178" t="n">
        <v>8.379282999999999</v>
      </c>
      <c r="R178" t="n">
        <v>9.080591999999999</v>
      </c>
      <c r="S178" t="n">
        <v>8.782787000000001</v>
      </c>
      <c r="T178" t="n">
        <v>27.879571</v>
      </c>
      <c r="U178" t="n">
        <v>35.847732</v>
      </c>
      <c r="V178" t="n">
        <v>32.371868</v>
      </c>
      <c r="W178" t="n">
        <v>36.171872</v>
      </c>
      <c r="X178" t="n">
        <v>42.213336</v>
      </c>
      <c r="Y178" t="n">
        <v>2.082733</v>
      </c>
      <c r="Z178" t="inlineStr"/>
      <c r="AA178" t="inlineStr"/>
      <c r="AB178" t="inlineStr"/>
      <c r="AC178" t="inlineStr"/>
      <c r="AD178" t="inlineStr"/>
      <c r="AE178" t="inlineStr"/>
      <c r="AF178" t="inlineStr">
        <is>
          <t>174b8b8411cf10df485fc7c67635a21d</t>
        </is>
      </c>
      <c r="AG178" t="inlineStr"/>
    </row>
    <row r="179">
      <c r="A179" t="inlineStr">
        <is>
          <t>AS</t>
        </is>
      </c>
      <c r="B179" t="inlineStr">
        <is>
          <t>aom</t>
        </is>
      </c>
      <c r="C179" t="inlineStr">
        <is>
          <t>av2</t>
        </is>
      </c>
      <c r="D179" t="inlineStr">
        <is>
          <t>0</t>
        </is>
      </c>
      <c r="E179" t="inlineStr">
        <is>
          <t>A1</t>
        </is>
      </c>
      <c r="F179" t="inlineStr">
        <is>
          <t>NocturneDance</t>
        </is>
      </c>
      <c r="G179" t="inlineStr">
        <is>
          <t>3840x2160</t>
        </is>
      </c>
      <c r="H179" t="inlineStr">
        <is>
          <t>60.0000</t>
        </is>
      </c>
      <c r="I179" t="inlineStr">
        <is>
          <t>10</t>
        </is>
      </c>
      <c r="J179" t="inlineStr">
        <is>
          <t>640x360</t>
        </is>
      </c>
      <c r="K179" t="inlineStr">
        <is>
          <t>185</t>
        </is>
      </c>
      <c r="L179" t="n">
        <v>104.193231</v>
      </c>
      <c r="M179" t="n">
        <v>31.218319</v>
      </c>
      <c r="N179" t="n">
        <v>35.600409</v>
      </c>
      <c r="O179" t="n">
        <v>41.014679</v>
      </c>
      <c r="P179" t="n">
        <v>7.523748</v>
      </c>
      <c r="Q179" t="n">
        <v>7.366192</v>
      </c>
      <c r="R179" t="n">
        <v>3.08847</v>
      </c>
      <c r="S179" t="n">
        <v>2.98973</v>
      </c>
      <c r="T179" t="n">
        <v>26.770911</v>
      </c>
      <c r="U179" t="n">
        <v>34.729936</v>
      </c>
      <c r="V179" t="n">
        <v>31.19003</v>
      </c>
      <c r="W179" t="n">
        <v>35.590349</v>
      </c>
      <c r="X179" t="n">
        <v>41.001796</v>
      </c>
      <c r="Y179" t="n">
        <v>2.901234</v>
      </c>
      <c r="Z179" t="inlineStr"/>
      <c r="AA179" t="inlineStr"/>
      <c r="AB179" t="inlineStr"/>
      <c r="AC179" t="inlineStr"/>
      <c r="AD179" t="inlineStr"/>
      <c r="AE179" t="inlineStr"/>
      <c r="AF179" t="inlineStr">
        <is>
          <t>4a76bf3f8a6834f53e8cdc33ae099880</t>
        </is>
      </c>
      <c r="AG179" t="inlineStr"/>
    </row>
    <row r="180">
      <c r="A180" t="inlineStr">
        <is>
          <t>AS</t>
        </is>
      </c>
      <c r="B180" t="inlineStr">
        <is>
          <t>aom</t>
        </is>
      </c>
      <c r="C180" t="inlineStr">
        <is>
          <t>av2</t>
        </is>
      </c>
      <c r="D180" t="inlineStr">
        <is>
          <t>0</t>
        </is>
      </c>
      <c r="E180" t="inlineStr">
        <is>
          <t>A1</t>
        </is>
      </c>
      <c r="F180" t="inlineStr">
        <is>
          <t>NocturneDance</t>
        </is>
      </c>
      <c r="G180" t="inlineStr">
        <is>
          <t>3840x2160</t>
        </is>
      </c>
      <c r="H180" t="inlineStr">
        <is>
          <t>60.0000</t>
        </is>
      </c>
      <c r="I180" t="inlineStr">
        <is>
          <t>10</t>
        </is>
      </c>
      <c r="J180" t="inlineStr">
        <is>
          <t>640x360</t>
        </is>
      </c>
      <c r="K180" t="inlineStr">
        <is>
          <t>210</t>
        </is>
      </c>
      <c r="L180" t="n">
        <v>30.236308</v>
      </c>
      <c r="M180" t="n">
        <v>30.259028</v>
      </c>
      <c r="N180" t="n">
        <v>34.90161</v>
      </c>
      <c r="O180" t="n">
        <v>39.840049</v>
      </c>
      <c r="P180" t="n">
        <v>6.70319</v>
      </c>
      <c r="Q180" t="n">
        <v>6.857265</v>
      </c>
      <c r="R180" t="n">
        <v>0.188044</v>
      </c>
      <c r="S180" t="n">
        <v>0.174292</v>
      </c>
      <c r="T180" t="n">
        <v>25.925817</v>
      </c>
      <c r="U180" t="n">
        <v>33.63118</v>
      </c>
      <c r="V180" t="n">
        <v>30.246118</v>
      </c>
      <c r="W180" t="n">
        <v>34.893292</v>
      </c>
      <c r="X180" t="n">
        <v>39.828149</v>
      </c>
      <c r="Y180" t="n">
        <v>3.702767</v>
      </c>
      <c r="Z180" t="inlineStr"/>
      <c r="AA180" t="inlineStr"/>
      <c r="AB180" t="inlineStr"/>
      <c r="AC180" t="inlineStr"/>
      <c r="AD180" t="inlineStr"/>
      <c r="AE180" t="inlineStr"/>
      <c r="AF180" t="inlineStr">
        <is>
          <t>1f67421705f8bcfce37458f129d5a472</t>
        </is>
      </c>
      <c r="AG180" t="inlineStr"/>
    </row>
    <row r="181">
      <c r="A181" t="inlineStr">
        <is>
          <t>AS</t>
        </is>
      </c>
      <c r="B181" t="inlineStr">
        <is>
          <t>aom</t>
        </is>
      </c>
      <c r="C181" t="inlineStr">
        <is>
          <t>av2</t>
        </is>
      </c>
      <c r="D181" t="inlineStr">
        <is>
          <t>0</t>
        </is>
      </c>
      <c r="E181" t="inlineStr">
        <is>
          <t>A1</t>
        </is>
      </c>
      <c r="F181" t="inlineStr">
        <is>
          <t>NocturneDance</t>
        </is>
      </c>
      <c r="G181" t="inlineStr">
        <is>
          <t>3840x2160</t>
        </is>
      </c>
      <c r="H181" t="inlineStr">
        <is>
          <t>60.0000</t>
        </is>
      </c>
      <c r="I181" t="inlineStr">
        <is>
          <t>10</t>
        </is>
      </c>
      <c r="J181" t="inlineStr">
        <is>
          <t>640x360</t>
        </is>
      </c>
      <c r="K181" t="inlineStr">
        <is>
          <t>235</t>
        </is>
      </c>
      <c r="L181" t="n">
        <v>14.304</v>
      </c>
      <c r="M181" t="n">
        <v>29.045413</v>
      </c>
      <c r="N181" t="n">
        <v>33.868428</v>
      </c>
      <c r="O181" t="n">
        <v>37.850279</v>
      </c>
      <c r="P181" t="n">
        <v>6.14678</v>
      </c>
      <c r="Q181" t="n">
        <v>6.491127</v>
      </c>
      <c r="R181" t="n">
        <v>0</v>
      </c>
      <c r="S181" t="n">
        <v>0</v>
      </c>
      <c r="T181" t="n">
        <v>24.85531</v>
      </c>
      <c r="U181" t="n">
        <v>32.201682</v>
      </c>
      <c r="V181" t="n">
        <v>29.025228</v>
      </c>
      <c r="W181" t="n">
        <v>33.86507</v>
      </c>
      <c r="X181" t="n">
        <v>37.822264</v>
      </c>
      <c r="Y181" t="n">
        <v>3.946677</v>
      </c>
      <c r="Z181" t="inlineStr"/>
      <c r="AA181" t="inlineStr"/>
      <c r="AB181" t="inlineStr"/>
      <c r="AC181" t="inlineStr"/>
      <c r="AD181" t="inlineStr"/>
      <c r="AE181" t="inlineStr"/>
      <c r="AF181" t="inlineStr">
        <is>
          <t>13a7a6f59c9254071abd49d3eec57a35</t>
        </is>
      </c>
      <c r="AG181" t="inlineStr"/>
    </row>
    <row r="182">
      <c r="A182" t="inlineStr">
        <is>
          <t>AS</t>
        </is>
      </c>
      <c r="B182" t="inlineStr">
        <is>
          <t>aom</t>
        </is>
      </c>
      <c r="C182" t="inlineStr">
        <is>
          <t>av2</t>
        </is>
      </c>
      <c r="D182" t="inlineStr">
        <is>
          <t>0</t>
        </is>
      </c>
      <c r="E182" t="inlineStr">
        <is>
          <t>A1</t>
        </is>
      </c>
      <c r="F182" t="inlineStr">
        <is>
          <t>PierSeaSide</t>
        </is>
      </c>
      <c r="G182" t="inlineStr">
        <is>
          <t>3840x2160</t>
        </is>
      </c>
      <c r="H182" t="inlineStr">
        <is>
          <t>30.0000</t>
        </is>
      </c>
      <c r="I182" t="inlineStr">
        <is>
          <t>10</t>
        </is>
      </c>
      <c r="J182" t="inlineStr">
        <is>
          <t>3840x2160</t>
        </is>
      </c>
      <c r="K182" t="inlineStr">
        <is>
          <t>110</t>
        </is>
      </c>
      <c r="L182" t="n">
        <v>11501.864468</v>
      </c>
      <c r="M182" t="n">
        <v>44.544575</v>
      </c>
      <c r="N182" t="n">
        <v>47.219436</v>
      </c>
      <c r="O182" t="n">
        <v>44.625476</v>
      </c>
      <c r="P182" t="n">
        <v>31.435872</v>
      </c>
      <c r="Q182" t="n">
        <v>23.288952</v>
      </c>
      <c r="R182" t="n">
        <v>99.652216</v>
      </c>
      <c r="S182" t="n">
        <v>98.78386999999999</v>
      </c>
      <c r="T182" t="n">
        <v>44.870981</v>
      </c>
      <c r="U182" t="n">
        <v>44.146866</v>
      </c>
      <c r="V182" t="n">
        <v>44.39755</v>
      </c>
      <c r="W182" t="n">
        <v>47.127016</v>
      </c>
      <c r="X182" t="n">
        <v>44.523219</v>
      </c>
      <c r="Y182" t="n">
        <v>0.00035</v>
      </c>
      <c r="Z182" t="inlineStr"/>
      <c r="AA182" t="inlineStr"/>
      <c r="AB182" t="inlineStr"/>
      <c r="AC182" t="inlineStr"/>
      <c r="AD182" t="inlineStr"/>
      <c r="AE182" t="inlineStr"/>
      <c r="AF182" t="inlineStr">
        <is>
          <t>1e61671879653d05f0c7c71777c1ab08</t>
        </is>
      </c>
      <c r="AG182" t="inlineStr"/>
    </row>
    <row r="183">
      <c r="A183" t="inlineStr">
        <is>
          <t>AS</t>
        </is>
      </c>
      <c r="B183" t="inlineStr">
        <is>
          <t>aom</t>
        </is>
      </c>
      <c r="C183" t="inlineStr">
        <is>
          <t>av2</t>
        </is>
      </c>
      <c r="D183" t="inlineStr">
        <is>
          <t>0</t>
        </is>
      </c>
      <c r="E183" t="inlineStr">
        <is>
          <t>A1</t>
        </is>
      </c>
      <c r="F183" t="inlineStr">
        <is>
          <t>PierSeaSide</t>
        </is>
      </c>
      <c r="G183" t="inlineStr">
        <is>
          <t>3840x2160</t>
        </is>
      </c>
      <c r="H183" t="inlineStr">
        <is>
          <t>30.0000</t>
        </is>
      </c>
      <c r="I183" t="inlineStr">
        <is>
          <t>10</t>
        </is>
      </c>
      <c r="J183" t="inlineStr">
        <is>
          <t>3840x2160</t>
        </is>
      </c>
      <c r="K183" t="inlineStr">
        <is>
          <t>135</t>
        </is>
      </c>
      <c r="L183" t="n">
        <v>3710.448299</v>
      </c>
      <c r="M183" t="n">
        <v>42.810493</v>
      </c>
      <c r="N183" t="n">
        <v>46.192774</v>
      </c>
      <c r="O183" t="n">
        <v>43.841538</v>
      </c>
      <c r="P183" t="n">
        <v>27.857397</v>
      </c>
      <c r="Q183" t="n">
        <v>21.056013</v>
      </c>
      <c r="R183" t="n">
        <v>97.95056200000001</v>
      </c>
      <c r="S183" t="n">
        <v>96.21955199999999</v>
      </c>
      <c r="T183" t="n">
        <v>41.947977</v>
      </c>
      <c r="U183" t="n">
        <v>43.073557</v>
      </c>
      <c r="V183" t="n">
        <v>42.561546</v>
      </c>
      <c r="W183" t="n">
        <v>46.099546</v>
      </c>
      <c r="X183" t="n">
        <v>43.746186</v>
      </c>
      <c r="Y183" t="n">
        <v>0.000727</v>
      </c>
      <c r="Z183" t="inlineStr"/>
      <c r="AA183" t="inlineStr"/>
      <c r="AB183" t="inlineStr"/>
      <c r="AC183" t="inlineStr"/>
      <c r="AD183" t="inlineStr"/>
      <c r="AE183" t="inlineStr"/>
      <c r="AF183" t="inlineStr">
        <is>
          <t>d46c54c05085ad5ed5e92bea21b7360c</t>
        </is>
      </c>
      <c r="AG183" t="inlineStr"/>
    </row>
    <row r="184">
      <c r="A184" t="inlineStr">
        <is>
          <t>AS</t>
        </is>
      </c>
      <c r="B184" t="inlineStr">
        <is>
          <t>aom</t>
        </is>
      </c>
      <c r="C184" t="inlineStr">
        <is>
          <t>av2</t>
        </is>
      </c>
      <c r="D184" t="inlineStr">
        <is>
          <t>0</t>
        </is>
      </c>
      <c r="E184" t="inlineStr">
        <is>
          <t>A1</t>
        </is>
      </c>
      <c r="F184" t="inlineStr">
        <is>
          <t>PierSeaSide</t>
        </is>
      </c>
      <c r="G184" t="inlineStr">
        <is>
          <t>3840x2160</t>
        </is>
      </c>
      <c r="H184" t="inlineStr">
        <is>
          <t>30.0000</t>
        </is>
      </c>
      <c r="I184" t="inlineStr">
        <is>
          <t>10</t>
        </is>
      </c>
      <c r="J184" t="inlineStr">
        <is>
          <t>3840x2160</t>
        </is>
      </c>
      <c r="K184" t="inlineStr">
        <is>
          <t>160</t>
        </is>
      </c>
      <c r="L184" t="n">
        <v>1231.176822</v>
      </c>
      <c r="M184" t="n">
        <v>40.697871</v>
      </c>
      <c r="N184" t="n">
        <v>44.906362</v>
      </c>
      <c r="O184" t="n">
        <v>43.031715</v>
      </c>
      <c r="P184" t="n">
        <v>23.98397</v>
      </c>
      <c r="Q184" t="n">
        <v>18.638059</v>
      </c>
      <c r="R184" t="n">
        <v>92.66312000000001</v>
      </c>
      <c r="S184" t="n">
        <v>90.378823</v>
      </c>
      <c r="T184" t="n">
        <v>38.816525</v>
      </c>
      <c r="U184" t="n">
        <v>41.755714</v>
      </c>
      <c r="V184" t="n">
        <v>40.380013</v>
      </c>
      <c r="W184" t="n">
        <v>44.816376</v>
      </c>
      <c r="X184" t="n">
        <v>42.939037</v>
      </c>
      <c r="Y184" t="n">
        <v>0.002202</v>
      </c>
      <c r="Z184" t="inlineStr"/>
      <c r="AA184" t="inlineStr"/>
      <c r="AB184" t="inlineStr"/>
      <c r="AC184" t="inlineStr"/>
      <c r="AD184" t="inlineStr"/>
      <c r="AE184" t="inlineStr"/>
      <c r="AF184" t="inlineStr">
        <is>
          <t>40991c42f71c8bf559af35596264cddd</t>
        </is>
      </c>
      <c r="AG184" t="inlineStr"/>
    </row>
    <row r="185">
      <c r="A185" t="inlineStr">
        <is>
          <t>AS</t>
        </is>
      </c>
      <c r="B185" t="inlineStr">
        <is>
          <t>aom</t>
        </is>
      </c>
      <c r="C185" t="inlineStr">
        <is>
          <t>av2</t>
        </is>
      </c>
      <c r="D185" t="inlineStr">
        <is>
          <t>0</t>
        </is>
      </c>
      <c r="E185" t="inlineStr">
        <is>
          <t>A1</t>
        </is>
      </c>
      <c r="F185" t="inlineStr">
        <is>
          <t>PierSeaSide</t>
        </is>
      </c>
      <c r="G185" t="inlineStr">
        <is>
          <t>3840x2160</t>
        </is>
      </c>
      <c r="H185" t="inlineStr">
        <is>
          <t>30.0000</t>
        </is>
      </c>
      <c r="I185" t="inlineStr">
        <is>
          <t>10</t>
        </is>
      </c>
      <c r="J185" t="inlineStr">
        <is>
          <t>3840x2160</t>
        </is>
      </c>
      <c r="K185" t="inlineStr">
        <is>
          <t>185</t>
        </is>
      </c>
      <c r="L185" t="n">
        <v>443.703545</v>
      </c>
      <c r="M185" t="n">
        <v>38.394752</v>
      </c>
      <c r="N185" t="n">
        <v>43.161597</v>
      </c>
      <c r="O185" t="n">
        <v>41.913869</v>
      </c>
      <c r="P185" t="n">
        <v>20.700945</v>
      </c>
      <c r="Q185" t="n">
        <v>16.42923</v>
      </c>
      <c r="R185" t="n">
        <v>83.793723</v>
      </c>
      <c r="S185" t="n">
        <v>81.331416</v>
      </c>
      <c r="T185" t="n">
        <v>35.737289</v>
      </c>
      <c r="U185" t="n">
        <v>40.155503</v>
      </c>
      <c r="V185" t="n">
        <v>38.095138</v>
      </c>
      <c r="W185" t="n">
        <v>43.082439</v>
      </c>
      <c r="X185" t="n">
        <v>41.837312</v>
      </c>
      <c r="Y185" t="n">
        <v>0.007494</v>
      </c>
      <c r="Z185" t="inlineStr"/>
      <c r="AA185" t="inlineStr"/>
      <c r="AB185" t="inlineStr"/>
      <c r="AC185" t="inlineStr"/>
      <c r="AD185" t="inlineStr"/>
      <c r="AE185" t="inlineStr"/>
      <c r="AF185" t="inlineStr">
        <is>
          <t>0b08c77e78b58124393c10a18355f2bf</t>
        </is>
      </c>
      <c r="AG185" t="inlineStr"/>
    </row>
    <row r="186">
      <c r="A186" t="inlineStr">
        <is>
          <t>AS</t>
        </is>
      </c>
      <c r="B186" t="inlineStr">
        <is>
          <t>aom</t>
        </is>
      </c>
      <c r="C186" t="inlineStr">
        <is>
          <t>av2</t>
        </is>
      </c>
      <c r="D186" t="inlineStr">
        <is>
          <t>0</t>
        </is>
      </c>
      <c r="E186" t="inlineStr">
        <is>
          <t>A1</t>
        </is>
      </c>
      <c r="F186" t="inlineStr">
        <is>
          <t>PierSeaSide</t>
        </is>
      </c>
      <c r="G186" t="inlineStr">
        <is>
          <t>3840x2160</t>
        </is>
      </c>
      <c r="H186" t="inlineStr">
        <is>
          <t>30.0000</t>
        </is>
      </c>
      <c r="I186" t="inlineStr">
        <is>
          <t>10</t>
        </is>
      </c>
      <c r="J186" t="inlineStr">
        <is>
          <t>3840x2160</t>
        </is>
      </c>
      <c r="K186" t="inlineStr">
        <is>
          <t>210</t>
        </is>
      </c>
      <c r="L186" t="n">
        <v>169.597002</v>
      </c>
      <c r="M186" t="n">
        <v>35.893972</v>
      </c>
      <c r="N186" t="n">
        <v>40.981333</v>
      </c>
      <c r="O186" t="n">
        <v>40.311614</v>
      </c>
      <c r="P186" t="n">
        <v>17.71653</v>
      </c>
      <c r="Q186" t="n">
        <v>14.317246</v>
      </c>
      <c r="R186" t="n">
        <v>70.219516</v>
      </c>
      <c r="S186" t="n">
        <v>67.57014599999999</v>
      </c>
      <c r="T186" t="n">
        <v>32.554558</v>
      </c>
      <c r="U186" t="n">
        <v>38.186978</v>
      </c>
      <c r="V186" t="n">
        <v>35.671384</v>
      </c>
      <c r="W186" t="n">
        <v>40.936926</v>
      </c>
      <c r="X186" t="n">
        <v>40.253337</v>
      </c>
      <c r="Y186" t="n">
        <v>0.023748</v>
      </c>
      <c r="Z186" t="inlineStr"/>
      <c r="AA186" t="inlineStr"/>
      <c r="AB186" t="inlineStr"/>
      <c r="AC186" t="inlineStr"/>
      <c r="AD186" t="inlineStr"/>
      <c r="AE186" t="inlineStr"/>
      <c r="AF186" t="inlineStr">
        <is>
          <t>3ef5efcb4c0ae9e800937580f6e75918</t>
        </is>
      </c>
      <c r="AG186" t="inlineStr"/>
    </row>
    <row r="187">
      <c r="A187" t="inlineStr">
        <is>
          <t>AS</t>
        </is>
      </c>
      <c r="B187" t="inlineStr">
        <is>
          <t>aom</t>
        </is>
      </c>
      <c r="C187" t="inlineStr">
        <is>
          <t>av2</t>
        </is>
      </c>
      <c r="D187" t="inlineStr">
        <is>
          <t>0</t>
        </is>
      </c>
      <c r="E187" t="inlineStr">
        <is>
          <t>A1</t>
        </is>
      </c>
      <c r="F187" t="inlineStr">
        <is>
          <t>PierSeaSide</t>
        </is>
      </c>
      <c r="G187" t="inlineStr">
        <is>
          <t>3840x2160</t>
        </is>
      </c>
      <c r="H187" t="inlineStr">
        <is>
          <t>30.0000</t>
        </is>
      </c>
      <c r="I187" t="inlineStr">
        <is>
          <t>10</t>
        </is>
      </c>
      <c r="J187" t="inlineStr">
        <is>
          <t>3840x2160</t>
        </is>
      </c>
      <c r="K187" t="inlineStr">
        <is>
          <t>235</t>
        </is>
      </c>
      <c r="L187" t="n">
        <v>68.578737</v>
      </c>
      <c r="M187" t="n">
        <v>33.188722</v>
      </c>
      <c r="N187" t="n">
        <v>38.31111</v>
      </c>
      <c r="O187" t="n">
        <v>38.347578</v>
      </c>
      <c r="P187" t="n">
        <v>14.84542</v>
      </c>
      <c r="Q187" t="n">
        <v>12.187932</v>
      </c>
      <c r="R187" t="n">
        <v>50.093532</v>
      </c>
      <c r="S187" t="n">
        <v>47.891224</v>
      </c>
      <c r="T187" t="n">
        <v>29.252325</v>
      </c>
      <c r="U187" t="n">
        <v>35.885017</v>
      </c>
      <c r="V187" t="n">
        <v>33.048328</v>
      </c>
      <c r="W187" t="n">
        <v>38.287302</v>
      </c>
      <c r="X187" t="n">
        <v>38.311647</v>
      </c>
      <c r="Y187" t="n">
        <v>0.061678</v>
      </c>
      <c r="Z187" t="inlineStr"/>
      <c r="AA187" t="inlineStr"/>
      <c r="AB187" t="inlineStr"/>
      <c r="AC187" t="inlineStr"/>
      <c r="AD187" t="inlineStr"/>
      <c r="AE187" t="inlineStr"/>
      <c r="AF187" t="inlineStr">
        <is>
          <t>afa4166f6cba027f3e25e1d17b8f2e1d</t>
        </is>
      </c>
      <c r="AG187" t="inlineStr"/>
    </row>
    <row r="188">
      <c r="A188" t="inlineStr">
        <is>
          <t>AS</t>
        </is>
      </c>
      <c r="B188" t="inlineStr">
        <is>
          <t>aom</t>
        </is>
      </c>
      <c r="C188" t="inlineStr">
        <is>
          <t>av2</t>
        </is>
      </c>
      <c r="D188" t="inlineStr">
        <is>
          <t>0</t>
        </is>
      </c>
      <c r="E188" t="inlineStr">
        <is>
          <t>A1</t>
        </is>
      </c>
      <c r="F188" t="inlineStr">
        <is>
          <t>PierSeaSide</t>
        </is>
      </c>
      <c r="G188" t="inlineStr">
        <is>
          <t>3840x2160</t>
        </is>
      </c>
      <c r="H188" t="inlineStr">
        <is>
          <t>30.0000</t>
        </is>
      </c>
      <c r="I188" t="inlineStr">
        <is>
          <t>10</t>
        </is>
      </c>
      <c r="J188" t="inlineStr">
        <is>
          <t>2560x1440</t>
        </is>
      </c>
      <c r="K188" t="inlineStr">
        <is>
          <t>110</t>
        </is>
      </c>
      <c r="L188" t="n">
        <v>5724.498694</v>
      </c>
      <c r="M188" t="n">
        <v>43.190741</v>
      </c>
      <c r="N188" t="n">
        <v>46.218032</v>
      </c>
      <c r="O188" t="n">
        <v>43.439427</v>
      </c>
      <c r="P188" t="n">
        <v>29.461766</v>
      </c>
      <c r="Q188" t="n">
        <v>21.977615</v>
      </c>
      <c r="R188" t="n">
        <v>98.843266</v>
      </c>
      <c r="S188" t="n">
        <v>97.227103</v>
      </c>
      <c r="T188" t="n">
        <v>43.140337</v>
      </c>
      <c r="U188" t="n">
        <v>43.1192</v>
      </c>
      <c r="V188" t="n">
        <v>42.933289</v>
      </c>
      <c r="W188" t="n">
        <v>46.101438</v>
      </c>
      <c r="X188" t="n">
        <v>43.301521</v>
      </c>
      <c r="Y188" t="n">
        <v>0.000561</v>
      </c>
      <c r="Z188" t="inlineStr"/>
      <c r="AA188" t="inlineStr"/>
      <c r="AB188" t="inlineStr"/>
      <c r="AC188" t="inlineStr"/>
      <c r="AD188" t="inlineStr"/>
      <c r="AE188" t="inlineStr"/>
      <c r="AF188" t="inlineStr">
        <is>
          <t>38f3cdd9e38cb5fdc99ebbed49ea656e</t>
        </is>
      </c>
      <c r="AG188" t="inlineStr"/>
    </row>
    <row r="189">
      <c r="A189" t="inlineStr">
        <is>
          <t>AS</t>
        </is>
      </c>
      <c r="B189" t="inlineStr">
        <is>
          <t>aom</t>
        </is>
      </c>
      <c r="C189" t="inlineStr">
        <is>
          <t>av2</t>
        </is>
      </c>
      <c r="D189" t="inlineStr">
        <is>
          <t>0</t>
        </is>
      </c>
      <c r="E189" t="inlineStr">
        <is>
          <t>A1</t>
        </is>
      </c>
      <c r="F189" t="inlineStr">
        <is>
          <t>PierSeaSide</t>
        </is>
      </c>
      <c r="G189" t="inlineStr">
        <is>
          <t>3840x2160</t>
        </is>
      </c>
      <c r="H189" t="inlineStr">
        <is>
          <t>30.0000</t>
        </is>
      </c>
      <c r="I189" t="inlineStr">
        <is>
          <t>10</t>
        </is>
      </c>
      <c r="J189" t="inlineStr">
        <is>
          <t>2560x1440</t>
        </is>
      </c>
      <c r="K189" t="inlineStr">
        <is>
          <t>135</t>
        </is>
      </c>
      <c r="L189" t="n">
        <v>1942.998441</v>
      </c>
      <c r="M189" t="n">
        <v>41.468759</v>
      </c>
      <c r="N189" t="n">
        <v>45.282726</v>
      </c>
      <c r="O189" t="n">
        <v>42.876857</v>
      </c>
      <c r="P189" t="n">
        <v>25.760503</v>
      </c>
      <c r="Q189" t="n">
        <v>19.715454</v>
      </c>
      <c r="R189" t="n">
        <v>95.65019599999999</v>
      </c>
      <c r="S189" t="n">
        <v>93.06698</v>
      </c>
      <c r="T189" t="n">
        <v>40.183414</v>
      </c>
      <c r="U189" t="n">
        <v>42.138474</v>
      </c>
      <c r="V189" t="n">
        <v>41.133227</v>
      </c>
      <c r="W189" t="n">
        <v>45.168132</v>
      </c>
      <c r="X189" t="n">
        <v>42.745323</v>
      </c>
      <c r="Y189" t="n">
        <v>0.001323</v>
      </c>
      <c r="Z189" t="inlineStr"/>
      <c r="AA189" t="inlineStr"/>
      <c r="AB189" t="inlineStr"/>
      <c r="AC189" t="inlineStr"/>
      <c r="AD189" t="inlineStr"/>
      <c r="AE189" t="inlineStr"/>
      <c r="AF189" t="inlineStr">
        <is>
          <t>b784d1ea814ae1ce382f2b46e88e090b</t>
        </is>
      </c>
      <c r="AG189" t="inlineStr"/>
    </row>
    <row r="190">
      <c r="A190" t="inlineStr">
        <is>
          <t>AS</t>
        </is>
      </c>
      <c r="B190" t="inlineStr">
        <is>
          <t>aom</t>
        </is>
      </c>
      <c r="C190" t="inlineStr">
        <is>
          <t>av2</t>
        </is>
      </c>
      <c r="D190" t="inlineStr">
        <is>
          <t>0</t>
        </is>
      </c>
      <c r="E190" t="inlineStr">
        <is>
          <t>A1</t>
        </is>
      </c>
      <c r="F190" t="inlineStr">
        <is>
          <t>PierSeaSide</t>
        </is>
      </c>
      <c r="G190" t="inlineStr">
        <is>
          <t>3840x2160</t>
        </is>
      </c>
      <c r="H190" t="inlineStr">
        <is>
          <t>30.0000</t>
        </is>
      </c>
      <c r="I190" t="inlineStr">
        <is>
          <t>10</t>
        </is>
      </c>
      <c r="J190" t="inlineStr">
        <is>
          <t>2560x1440</t>
        </is>
      </c>
      <c r="K190" t="inlineStr">
        <is>
          <t>160</t>
        </is>
      </c>
      <c r="L190" t="n">
        <v>666.684033</v>
      </c>
      <c r="M190" t="n">
        <v>39.393613</v>
      </c>
      <c r="N190" t="n">
        <v>43.933734</v>
      </c>
      <c r="O190" t="n">
        <v>42.132348</v>
      </c>
      <c r="P190" t="n">
        <v>22.185093</v>
      </c>
      <c r="Q190" t="n">
        <v>17.414594</v>
      </c>
      <c r="R190" t="n">
        <v>88.538211</v>
      </c>
      <c r="S190" t="n">
        <v>85.78810199999999</v>
      </c>
      <c r="T190" t="n">
        <v>37.140178</v>
      </c>
      <c r="U190" t="n">
        <v>40.835897</v>
      </c>
      <c r="V190" t="n">
        <v>39.04682</v>
      </c>
      <c r="W190" t="n">
        <v>43.839791</v>
      </c>
      <c r="X190" t="n">
        <v>42.022485</v>
      </c>
      <c r="Y190" t="n">
        <v>0.003947</v>
      </c>
      <c r="Z190" t="inlineStr"/>
      <c r="AA190" t="inlineStr"/>
      <c r="AB190" t="inlineStr"/>
      <c r="AC190" t="inlineStr"/>
      <c r="AD190" t="inlineStr"/>
      <c r="AE190" t="inlineStr"/>
      <c r="AF190" t="inlineStr">
        <is>
          <t>a0ecc8bb5e75676308dfa00754ad0ca1</t>
        </is>
      </c>
      <c r="AG190" t="inlineStr"/>
    </row>
    <row r="191">
      <c r="A191" t="inlineStr">
        <is>
          <t>AS</t>
        </is>
      </c>
      <c r="B191" t="inlineStr">
        <is>
          <t>aom</t>
        </is>
      </c>
      <c r="C191" t="inlineStr">
        <is>
          <t>av2</t>
        </is>
      </c>
      <c r="D191" t="inlineStr">
        <is>
          <t>0</t>
        </is>
      </c>
      <c r="E191" t="inlineStr">
        <is>
          <t>A1</t>
        </is>
      </c>
      <c r="F191" t="inlineStr">
        <is>
          <t>PierSeaSide</t>
        </is>
      </c>
      <c r="G191" t="inlineStr">
        <is>
          <t>3840x2160</t>
        </is>
      </c>
      <c r="H191" t="inlineStr">
        <is>
          <t>30.0000</t>
        </is>
      </c>
      <c r="I191" t="inlineStr">
        <is>
          <t>10</t>
        </is>
      </c>
      <c r="J191" t="inlineStr">
        <is>
          <t>2560x1440</t>
        </is>
      </c>
      <c r="K191" t="inlineStr">
        <is>
          <t>185</t>
        </is>
      </c>
      <c r="L191" t="n">
        <v>252.673842</v>
      </c>
      <c r="M191" t="n">
        <v>37.106124</v>
      </c>
      <c r="N191" t="n">
        <v>42.053715</v>
      </c>
      <c r="O191" t="n">
        <v>40.978032</v>
      </c>
      <c r="P191" t="n">
        <v>19.20976</v>
      </c>
      <c r="Q191" t="n">
        <v>15.342455</v>
      </c>
      <c r="R191" t="n">
        <v>77.448044</v>
      </c>
      <c r="S191" t="n">
        <v>74.69868700000001</v>
      </c>
      <c r="T191" t="n">
        <v>34.104474</v>
      </c>
      <c r="U191" t="n">
        <v>39.193833</v>
      </c>
      <c r="V191" t="n">
        <v>36.832823</v>
      </c>
      <c r="W191" t="n">
        <v>41.985668</v>
      </c>
      <c r="X191" t="n">
        <v>40.90294</v>
      </c>
      <c r="Y191" t="n">
        <v>0.01487</v>
      </c>
      <c r="Z191" t="inlineStr"/>
      <c r="AA191" t="inlineStr"/>
      <c r="AB191" t="inlineStr"/>
      <c r="AC191" t="inlineStr"/>
      <c r="AD191" t="inlineStr"/>
      <c r="AE191" t="inlineStr"/>
      <c r="AF191" t="inlineStr">
        <is>
          <t>e458fac925f869fe80736d3231c2412d</t>
        </is>
      </c>
      <c r="AG191" t="inlineStr"/>
    </row>
    <row r="192">
      <c r="A192" t="inlineStr">
        <is>
          <t>AS</t>
        </is>
      </c>
      <c r="B192" t="inlineStr">
        <is>
          <t>aom</t>
        </is>
      </c>
      <c r="C192" t="inlineStr">
        <is>
          <t>av2</t>
        </is>
      </c>
      <c r="D192" t="inlineStr">
        <is>
          <t>0</t>
        </is>
      </c>
      <c r="E192" t="inlineStr">
        <is>
          <t>A1</t>
        </is>
      </c>
      <c r="F192" t="inlineStr">
        <is>
          <t>PierSeaSide</t>
        </is>
      </c>
      <c r="G192" t="inlineStr">
        <is>
          <t>3840x2160</t>
        </is>
      </c>
      <c r="H192" t="inlineStr">
        <is>
          <t>30.0000</t>
        </is>
      </c>
      <c r="I192" t="inlineStr">
        <is>
          <t>10</t>
        </is>
      </c>
      <c r="J192" t="inlineStr">
        <is>
          <t>2560x1440</t>
        </is>
      </c>
      <c r="K192" t="inlineStr">
        <is>
          <t>210</t>
        </is>
      </c>
      <c r="L192" t="n">
        <v>99.970698</v>
      </c>
      <c r="M192" t="n">
        <v>34.531284</v>
      </c>
      <c r="N192" t="n">
        <v>39.789737</v>
      </c>
      <c r="O192" t="n">
        <v>39.390105</v>
      </c>
      <c r="P192" t="n">
        <v>16.332954</v>
      </c>
      <c r="Q192" t="n">
        <v>13.249214</v>
      </c>
      <c r="R192" t="n">
        <v>60.53627</v>
      </c>
      <c r="S192" t="n">
        <v>57.993113</v>
      </c>
      <c r="T192" t="n">
        <v>30.875776</v>
      </c>
      <c r="U192" t="n">
        <v>37.187008</v>
      </c>
      <c r="V192" t="n">
        <v>34.343229</v>
      </c>
      <c r="W192" t="n">
        <v>39.755007</v>
      </c>
      <c r="X192" t="n">
        <v>39.340049</v>
      </c>
      <c r="Y192" t="n">
        <v>0.052437</v>
      </c>
      <c r="Z192" t="inlineStr"/>
      <c r="AA192" t="inlineStr"/>
      <c r="AB192" t="inlineStr"/>
      <c r="AC192" t="inlineStr"/>
      <c r="AD192" t="inlineStr"/>
      <c r="AE192" t="inlineStr"/>
      <c r="AF192" t="inlineStr">
        <is>
          <t>2cfefbe40377fc97691ba6d5698a9c7e</t>
        </is>
      </c>
      <c r="AG192" t="inlineStr"/>
    </row>
    <row r="193">
      <c r="A193" t="inlineStr">
        <is>
          <t>AS</t>
        </is>
      </c>
      <c r="B193" t="inlineStr">
        <is>
          <t>aom</t>
        </is>
      </c>
      <c r="C193" t="inlineStr">
        <is>
          <t>av2</t>
        </is>
      </c>
      <c r="D193" t="inlineStr">
        <is>
          <t>0</t>
        </is>
      </c>
      <c r="E193" t="inlineStr">
        <is>
          <t>A1</t>
        </is>
      </c>
      <c r="F193" t="inlineStr">
        <is>
          <t>PierSeaSide</t>
        </is>
      </c>
      <c r="G193" t="inlineStr">
        <is>
          <t>3840x2160</t>
        </is>
      </c>
      <c r="H193" t="inlineStr">
        <is>
          <t>30.0000</t>
        </is>
      </c>
      <c r="I193" t="inlineStr">
        <is>
          <t>10</t>
        </is>
      </c>
      <c r="J193" t="inlineStr">
        <is>
          <t>2560x1440</t>
        </is>
      </c>
      <c r="K193" t="inlineStr">
        <is>
          <t>235</t>
        </is>
      </c>
      <c r="L193" t="n">
        <v>40.731535</v>
      </c>
      <c r="M193" t="n">
        <v>31.755653</v>
      </c>
      <c r="N193" t="n">
        <v>37.255724</v>
      </c>
      <c r="O193" t="n">
        <v>37.550658</v>
      </c>
      <c r="P193" t="n">
        <v>13.356575</v>
      </c>
      <c r="Q193" t="n">
        <v>11.073822</v>
      </c>
      <c r="R193" t="n">
        <v>38.666214</v>
      </c>
      <c r="S193" t="n">
        <v>36.592525</v>
      </c>
      <c r="T193" t="n">
        <v>27.612641</v>
      </c>
      <c r="U193" t="n">
        <v>34.751058</v>
      </c>
      <c r="V193" t="n">
        <v>31.645402</v>
      </c>
      <c r="W193" t="n">
        <v>37.235202</v>
      </c>
      <c r="X193" t="n">
        <v>37.521402</v>
      </c>
      <c r="Y193" t="n">
        <v>0.133984</v>
      </c>
      <c r="Z193" t="inlineStr"/>
      <c r="AA193" t="inlineStr"/>
      <c r="AB193" t="inlineStr"/>
      <c r="AC193" t="inlineStr"/>
      <c r="AD193" t="inlineStr"/>
      <c r="AE193" t="inlineStr"/>
      <c r="AF193" t="inlineStr">
        <is>
          <t>0668c2f39c32bd608c54f47a4a45b016</t>
        </is>
      </c>
      <c r="AG193" t="inlineStr"/>
    </row>
    <row r="194">
      <c r="A194" t="inlineStr">
        <is>
          <t>AS</t>
        </is>
      </c>
      <c r="B194" t="inlineStr">
        <is>
          <t>aom</t>
        </is>
      </c>
      <c r="C194" t="inlineStr">
        <is>
          <t>av2</t>
        </is>
      </c>
      <c r="D194" t="inlineStr">
        <is>
          <t>0</t>
        </is>
      </c>
      <c r="E194" t="inlineStr">
        <is>
          <t>A1</t>
        </is>
      </c>
      <c r="F194" t="inlineStr">
        <is>
          <t>PierSeaSide</t>
        </is>
      </c>
      <c r="G194" t="inlineStr">
        <is>
          <t>3840x2160</t>
        </is>
      </c>
      <c r="H194" t="inlineStr">
        <is>
          <t>30.0000</t>
        </is>
      </c>
      <c r="I194" t="inlineStr">
        <is>
          <t>10</t>
        </is>
      </c>
      <c r="J194" t="inlineStr">
        <is>
          <t>1920x1080</t>
        </is>
      </c>
      <c r="K194" t="inlineStr">
        <is>
          <t>110</t>
        </is>
      </c>
      <c r="L194" t="n">
        <v>3487.22805</v>
      </c>
      <c r="M194" t="n">
        <v>41.470043</v>
      </c>
      <c r="N194" t="n">
        <v>45.049578</v>
      </c>
      <c r="O194" t="n">
        <v>42.611752</v>
      </c>
      <c r="P194" t="n">
        <v>27.890992</v>
      </c>
      <c r="Q194" t="n">
        <v>20.705639</v>
      </c>
      <c r="R194" t="n">
        <v>96.41183100000001</v>
      </c>
      <c r="S194" t="n">
        <v>93.904324</v>
      </c>
      <c r="T194" t="n">
        <v>41.412041</v>
      </c>
      <c r="U194" t="n">
        <v>42.094955</v>
      </c>
      <c r="V194" t="n">
        <v>41.043244</v>
      </c>
      <c r="W194" t="n">
        <v>44.918119</v>
      </c>
      <c r="X194" t="n">
        <v>42.460756</v>
      </c>
      <c r="Y194" t="n">
        <v>0.00101</v>
      </c>
      <c r="Z194" t="inlineStr"/>
      <c r="AA194" t="inlineStr"/>
      <c r="AB194" t="inlineStr"/>
      <c r="AC194" t="inlineStr"/>
      <c r="AD194" t="inlineStr"/>
      <c r="AE194" t="inlineStr"/>
      <c r="AF194" t="inlineStr">
        <is>
          <t>f2996143817ec15ddba80afae764ffa7</t>
        </is>
      </c>
      <c r="AG194" t="inlineStr"/>
    </row>
    <row r="195">
      <c r="A195" t="inlineStr">
        <is>
          <t>AS</t>
        </is>
      </c>
      <c r="B195" t="inlineStr">
        <is>
          <t>aom</t>
        </is>
      </c>
      <c r="C195" t="inlineStr">
        <is>
          <t>av2</t>
        </is>
      </c>
      <c r="D195" t="inlineStr">
        <is>
          <t>0</t>
        </is>
      </c>
      <c r="E195" t="inlineStr">
        <is>
          <t>A1</t>
        </is>
      </c>
      <c r="F195" t="inlineStr">
        <is>
          <t>PierSeaSide</t>
        </is>
      </c>
      <c r="G195" t="inlineStr">
        <is>
          <t>3840x2160</t>
        </is>
      </c>
      <c r="H195" t="inlineStr">
        <is>
          <t>30.0000</t>
        </is>
      </c>
      <c r="I195" t="inlineStr">
        <is>
          <t>10</t>
        </is>
      </c>
      <c r="J195" t="inlineStr">
        <is>
          <t>1920x1080</t>
        </is>
      </c>
      <c r="K195" t="inlineStr">
        <is>
          <t>135</t>
        </is>
      </c>
      <c r="L195" t="n">
        <v>1220.000317</v>
      </c>
      <c r="M195" t="n">
        <v>40.044263</v>
      </c>
      <c r="N195" t="n">
        <v>44.217263</v>
      </c>
      <c r="O195" t="n">
        <v>42.165888</v>
      </c>
      <c r="P195" t="n">
        <v>24.297805</v>
      </c>
      <c r="Q195" t="n">
        <v>18.620051</v>
      </c>
      <c r="R195" t="n">
        <v>91.729406</v>
      </c>
      <c r="S195" t="n">
        <v>88.91812899999999</v>
      </c>
      <c r="T195" t="n">
        <v>38.700415</v>
      </c>
      <c r="U195" t="n">
        <v>41.220925</v>
      </c>
      <c r="V195" t="n">
        <v>39.608779</v>
      </c>
      <c r="W195" t="n">
        <v>44.098119</v>
      </c>
      <c r="X195" t="n">
        <v>42.02754</v>
      </c>
      <c r="Y195" t="n">
        <v>0.002901</v>
      </c>
      <c r="Z195" t="inlineStr"/>
      <c r="AA195" t="inlineStr"/>
      <c r="AB195" t="inlineStr"/>
      <c r="AC195" t="inlineStr"/>
      <c r="AD195" t="inlineStr"/>
      <c r="AE195" t="inlineStr"/>
      <c r="AF195" t="inlineStr">
        <is>
          <t>072d3b49074f52776b9b87ed367251c3</t>
        </is>
      </c>
      <c r="AG195" t="inlineStr"/>
    </row>
    <row r="196">
      <c r="A196" t="inlineStr">
        <is>
          <t>AS</t>
        </is>
      </c>
      <c r="B196" t="inlineStr">
        <is>
          <t>aom</t>
        </is>
      </c>
      <c r="C196" t="inlineStr">
        <is>
          <t>av2</t>
        </is>
      </c>
      <c r="D196" t="inlineStr">
        <is>
          <t>0</t>
        </is>
      </c>
      <c r="E196" t="inlineStr">
        <is>
          <t>A1</t>
        </is>
      </c>
      <c r="F196" t="inlineStr">
        <is>
          <t>PierSeaSide</t>
        </is>
      </c>
      <c r="G196" t="inlineStr">
        <is>
          <t>3840x2160</t>
        </is>
      </c>
      <c r="H196" t="inlineStr">
        <is>
          <t>30.0000</t>
        </is>
      </c>
      <c r="I196" t="inlineStr">
        <is>
          <t>10</t>
        </is>
      </c>
      <c r="J196" t="inlineStr">
        <is>
          <t>1920x1080</t>
        </is>
      </c>
      <c r="K196" t="inlineStr">
        <is>
          <t>160</t>
        </is>
      </c>
      <c r="L196" t="n">
        <v>437.912418</v>
      </c>
      <c r="M196" t="n">
        <v>38.20381</v>
      </c>
      <c r="N196" t="n">
        <v>42.891972</v>
      </c>
      <c r="O196" t="n">
        <v>41.429191</v>
      </c>
      <c r="P196" t="n">
        <v>20.996015</v>
      </c>
      <c r="Q196" t="n">
        <v>16.51203</v>
      </c>
      <c r="R196" t="n">
        <v>83.378334</v>
      </c>
      <c r="S196" t="n">
        <v>80.627932</v>
      </c>
      <c r="T196" t="n">
        <v>35.823395</v>
      </c>
      <c r="U196" t="n">
        <v>39.979269</v>
      </c>
      <c r="V196" t="n">
        <v>37.825367</v>
      </c>
      <c r="W196" t="n">
        <v>42.803086</v>
      </c>
      <c r="X196" t="n">
        <v>41.320517</v>
      </c>
      <c r="Y196" t="n">
        <v>0.009584000000000001</v>
      </c>
      <c r="Z196" t="inlineStr"/>
      <c r="AA196" t="inlineStr"/>
      <c r="AB196" t="inlineStr"/>
      <c r="AC196" t="inlineStr"/>
      <c r="AD196" t="inlineStr"/>
      <c r="AE196" t="inlineStr"/>
      <c r="AF196" t="inlineStr">
        <is>
          <t>1d5e07dddc38e438be34555a65688995</t>
        </is>
      </c>
      <c r="AG196" t="inlineStr"/>
    </row>
    <row r="197">
      <c r="A197" t="inlineStr">
        <is>
          <t>AS</t>
        </is>
      </c>
      <c r="B197" t="inlineStr">
        <is>
          <t>aom</t>
        </is>
      </c>
      <c r="C197" t="inlineStr">
        <is>
          <t>av2</t>
        </is>
      </c>
      <c r="D197" t="inlineStr">
        <is>
          <t>0</t>
        </is>
      </c>
      <c r="E197" t="inlineStr">
        <is>
          <t>A1</t>
        </is>
      </c>
      <c r="F197" t="inlineStr">
        <is>
          <t>PierSeaSide</t>
        </is>
      </c>
      <c r="G197" t="inlineStr">
        <is>
          <t>3840x2160</t>
        </is>
      </c>
      <c r="H197" t="inlineStr">
        <is>
          <t>30.0000</t>
        </is>
      </c>
      <c r="I197" t="inlineStr">
        <is>
          <t>10</t>
        </is>
      </c>
      <c r="J197" t="inlineStr">
        <is>
          <t>1920x1080</t>
        </is>
      </c>
      <c r="K197" t="inlineStr">
        <is>
          <t>185</t>
        </is>
      </c>
      <c r="L197" t="n">
        <v>171.598076</v>
      </c>
      <c r="M197" t="n">
        <v>36.029656</v>
      </c>
      <c r="N197" t="n">
        <v>41.056513</v>
      </c>
      <c r="O197" t="n">
        <v>40.260644</v>
      </c>
      <c r="P197" t="n">
        <v>18.126647</v>
      </c>
      <c r="Q197" t="n">
        <v>14.524116</v>
      </c>
      <c r="R197" t="n">
        <v>70.75652599999999</v>
      </c>
      <c r="S197" t="n">
        <v>68.077789</v>
      </c>
      <c r="T197" t="n">
        <v>32.839426</v>
      </c>
      <c r="U197" t="n">
        <v>38.360724</v>
      </c>
      <c r="V197" t="n">
        <v>35.761435</v>
      </c>
      <c r="W197" t="n">
        <v>41.000646</v>
      </c>
      <c r="X197" t="n">
        <v>40.189602</v>
      </c>
      <c r="Y197" t="n">
        <v>0.033364</v>
      </c>
      <c r="Z197" t="inlineStr"/>
      <c r="AA197" t="inlineStr"/>
      <c r="AB197" t="inlineStr"/>
      <c r="AC197" t="inlineStr"/>
      <c r="AD197" t="inlineStr"/>
      <c r="AE197" t="inlineStr"/>
      <c r="AF197" t="inlineStr">
        <is>
          <t>5b2ec6b2b9dd49ea6224eb839c29e84c</t>
        </is>
      </c>
      <c r="AG197" t="inlineStr"/>
    </row>
    <row r="198">
      <c r="A198" t="inlineStr">
        <is>
          <t>AS</t>
        </is>
      </c>
      <c r="B198" t="inlineStr">
        <is>
          <t>aom</t>
        </is>
      </c>
      <c r="C198" t="inlineStr">
        <is>
          <t>av2</t>
        </is>
      </c>
      <c r="D198" t="inlineStr">
        <is>
          <t>0</t>
        </is>
      </c>
      <c r="E198" t="inlineStr">
        <is>
          <t>A1</t>
        </is>
      </c>
      <c r="F198" t="inlineStr">
        <is>
          <t>PierSeaSide</t>
        </is>
      </c>
      <c r="G198" t="inlineStr">
        <is>
          <t>3840x2160</t>
        </is>
      </c>
      <c r="H198" t="inlineStr">
        <is>
          <t>30.0000</t>
        </is>
      </c>
      <c r="I198" t="inlineStr">
        <is>
          <t>10</t>
        </is>
      </c>
      <c r="J198" t="inlineStr">
        <is>
          <t>1920x1080</t>
        </is>
      </c>
      <c r="K198" t="inlineStr">
        <is>
          <t>210</t>
        </is>
      </c>
      <c r="L198" t="n">
        <v>68.510498</v>
      </c>
      <c r="M198" t="n">
        <v>33.462377</v>
      </c>
      <c r="N198" t="n">
        <v>38.906409</v>
      </c>
      <c r="O198" t="n">
        <v>38.692904</v>
      </c>
      <c r="P198" t="n">
        <v>15.298631</v>
      </c>
      <c r="Q198" t="n">
        <v>12.450533</v>
      </c>
      <c r="R198" t="n">
        <v>51.947625</v>
      </c>
      <c r="S198" t="n">
        <v>49.569655</v>
      </c>
      <c r="T198" t="n">
        <v>29.621341</v>
      </c>
      <c r="U198" t="n">
        <v>36.358916</v>
      </c>
      <c r="V198" t="n">
        <v>33.298395</v>
      </c>
      <c r="W198" t="n">
        <v>38.870532</v>
      </c>
      <c r="X198" t="n">
        <v>38.643382</v>
      </c>
      <c r="Y198" t="n">
        <v>0.088454</v>
      </c>
      <c r="Z198" t="inlineStr"/>
      <c r="AA198" t="inlineStr"/>
      <c r="AB198" t="inlineStr"/>
      <c r="AC198" t="inlineStr"/>
      <c r="AD198" t="inlineStr"/>
      <c r="AE198" t="inlineStr"/>
      <c r="AF198" t="inlineStr">
        <is>
          <t>aeb70b5c9529c034c6eed2ca42281b42</t>
        </is>
      </c>
      <c r="AG198" t="inlineStr"/>
    </row>
    <row r="199">
      <c r="A199" t="inlineStr">
        <is>
          <t>AS</t>
        </is>
      </c>
      <c r="B199" t="inlineStr">
        <is>
          <t>aom</t>
        </is>
      </c>
      <c r="C199" t="inlineStr">
        <is>
          <t>av2</t>
        </is>
      </c>
      <c r="D199" t="inlineStr">
        <is>
          <t>0</t>
        </is>
      </c>
      <c r="E199" t="inlineStr">
        <is>
          <t>A1</t>
        </is>
      </c>
      <c r="F199" t="inlineStr">
        <is>
          <t>PierSeaSide</t>
        </is>
      </c>
      <c r="G199" t="inlineStr">
        <is>
          <t>3840x2160</t>
        </is>
      </c>
      <c r="H199" t="inlineStr">
        <is>
          <t>30.0000</t>
        </is>
      </c>
      <c r="I199" t="inlineStr">
        <is>
          <t>10</t>
        </is>
      </c>
      <c r="J199" t="inlineStr">
        <is>
          <t>1920x1080</t>
        </is>
      </c>
      <c r="K199" t="inlineStr">
        <is>
          <t>235</t>
        </is>
      </c>
      <c r="L199" t="n">
        <v>27.624041</v>
      </c>
      <c r="M199" t="n">
        <v>30.696495</v>
      </c>
      <c r="N199" t="n">
        <v>36.422705</v>
      </c>
      <c r="O199" t="n">
        <v>36.925447</v>
      </c>
      <c r="P199" t="n">
        <v>12.242759</v>
      </c>
      <c r="Q199" t="n">
        <v>10.249967</v>
      </c>
      <c r="R199" t="n">
        <v>29.643994</v>
      </c>
      <c r="S199" t="n">
        <v>27.780962</v>
      </c>
      <c r="T199" t="n">
        <v>26.447233</v>
      </c>
      <c r="U199" t="n">
        <v>33.963309</v>
      </c>
      <c r="V199" t="n">
        <v>30.601843</v>
      </c>
      <c r="W199" t="n">
        <v>36.406723</v>
      </c>
      <c r="X199" t="n">
        <v>36.90143</v>
      </c>
      <c r="Y199" t="n">
        <v>0.187703</v>
      </c>
      <c r="Z199" t="inlineStr"/>
      <c r="AA199" t="inlineStr"/>
      <c r="AB199" t="inlineStr"/>
      <c r="AC199" t="inlineStr"/>
      <c r="AD199" t="inlineStr"/>
      <c r="AE199" t="inlineStr"/>
      <c r="AF199" t="inlineStr">
        <is>
          <t>ceec632257a079497aceefe3b8f2599d</t>
        </is>
      </c>
      <c r="AG199" t="inlineStr"/>
    </row>
    <row r="200">
      <c r="A200" t="inlineStr">
        <is>
          <t>AS</t>
        </is>
      </c>
      <c r="B200" t="inlineStr">
        <is>
          <t>aom</t>
        </is>
      </c>
      <c r="C200" t="inlineStr">
        <is>
          <t>av2</t>
        </is>
      </c>
      <c r="D200" t="inlineStr">
        <is>
          <t>0</t>
        </is>
      </c>
      <c r="E200" t="inlineStr">
        <is>
          <t>A1</t>
        </is>
      </c>
      <c r="F200" t="inlineStr">
        <is>
          <t>PierSeaSide</t>
        </is>
      </c>
      <c r="G200" t="inlineStr">
        <is>
          <t>3840x2160</t>
        </is>
      </c>
      <c r="H200" t="inlineStr">
        <is>
          <t>30.0000</t>
        </is>
      </c>
      <c r="I200" t="inlineStr">
        <is>
          <t>10</t>
        </is>
      </c>
      <c r="J200" t="inlineStr">
        <is>
          <t>1280x720</t>
        </is>
      </c>
      <c r="K200" t="inlineStr">
        <is>
          <t>110</t>
        </is>
      </c>
      <c r="L200" t="n">
        <v>1654.598514</v>
      </c>
      <c r="M200" t="n">
        <v>38.204991</v>
      </c>
      <c r="N200" t="n">
        <v>42.997778</v>
      </c>
      <c r="O200" t="n">
        <v>41.5529</v>
      </c>
      <c r="P200" t="n">
        <v>25.322344</v>
      </c>
      <c r="Q200" t="n">
        <v>18.252324</v>
      </c>
      <c r="R200" t="n">
        <v>87.12654499999999</v>
      </c>
      <c r="S200" t="n">
        <v>84.577701</v>
      </c>
      <c r="T200" t="n">
        <v>36.855655</v>
      </c>
      <c r="U200" t="n">
        <v>40.293931</v>
      </c>
      <c r="V200" t="n">
        <v>37.690396</v>
      </c>
      <c r="W200" t="n">
        <v>42.88856</v>
      </c>
      <c r="X200" t="n">
        <v>41.418206</v>
      </c>
      <c r="Y200" t="n">
        <v>0.001386</v>
      </c>
      <c r="Z200" t="inlineStr"/>
      <c r="AA200" t="inlineStr"/>
      <c r="AB200" t="inlineStr"/>
      <c r="AC200" t="inlineStr"/>
      <c r="AD200" t="inlineStr"/>
      <c r="AE200" t="inlineStr"/>
      <c r="AF200" t="inlineStr">
        <is>
          <t>e6f93e196de38218481aad4d53385d9d</t>
        </is>
      </c>
      <c r="AG200" t="inlineStr"/>
    </row>
    <row r="201">
      <c r="A201" t="inlineStr">
        <is>
          <t>AS</t>
        </is>
      </c>
      <c r="B201" t="inlineStr">
        <is>
          <t>aom</t>
        </is>
      </c>
      <c r="C201" t="inlineStr">
        <is>
          <t>av2</t>
        </is>
      </c>
      <c r="D201" t="inlineStr">
        <is>
          <t>0</t>
        </is>
      </c>
      <c r="E201" t="inlineStr">
        <is>
          <t>A1</t>
        </is>
      </c>
      <c r="F201" t="inlineStr">
        <is>
          <t>PierSeaSide</t>
        </is>
      </c>
      <c r="G201" t="inlineStr">
        <is>
          <t>3840x2160</t>
        </is>
      </c>
      <c r="H201" t="inlineStr">
        <is>
          <t>30.0000</t>
        </is>
      </c>
      <c r="I201" t="inlineStr">
        <is>
          <t>10</t>
        </is>
      </c>
      <c r="J201" t="inlineStr">
        <is>
          <t>1280x720</t>
        </is>
      </c>
      <c r="K201" t="inlineStr">
        <is>
          <t>135</t>
        </is>
      </c>
      <c r="L201" t="n">
        <v>611.917316</v>
      </c>
      <c r="M201" t="n">
        <v>37.307937</v>
      </c>
      <c r="N201" t="n">
        <v>42.344331</v>
      </c>
      <c r="O201" t="n">
        <v>41.179448</v>
      </c>
      <c r="P201" t="n">
        <v>22.187216</v>
      </c>
      <c r="Q201" t="n">
        <v>16.683041</v>
      </c>
      <c r="R201" t="n">
        <v>81.213662</v>
      </c>
      <c r="S201" t="n">
        <v>78.64135400000001</v>
      </c>
      <c r="T201" t="n">
        <v>35.218979</v>
      </c>
      <c r="U201" t="n">
        <v>39.59557</v>
      </c>
      <c r="V201" t="n">
        <v>36.83133</v>
      </c>
      <c r="W201" t="n">
        <v>42.249219</v>
      </c>
      <c r="X201" t="n">
        <v>41.061109</v>
      </c>
      <c r="Y201" t="n">
        <v>0.004347</v>
      </c>
      <c r="Z201" t="inlineStr"/>
      <c r="AA201" t="inlineStr"/>
      <c r="AB201" t="inlineStr"/>
      <c r="AC201" t="inlineStr"/>
      <c r="AD201" t="inlineStr"/>
      <c r="AE201" t="inlineStr"/>
      <c r="AF201" t="inlineStr">
        <is>
          <t>dca19f23892d3e9ecded220cd5ee5d48</t>
        </is>
      </c>
      <c r="AG201" t="inlineStr"/>
    </row>
    <row r="202">
      <c r="A202" t="inlineStr">
        <is>
          <t>AS</t>
        </is>
      </c>
      <c r="B202" t="inlineStr">
        <is>
          <t>aom</t>
        </is>
      </c>
      <c r="C202" t="inlineStr">
        <is>
          <t>av2</t>
        </is>
      </c>
      <c r="D202" t="inlineStr">
        <is>
          <t>0</t>
        </is>
      </c>
      <c r="E202" t="inlineStr">
        <is>
          <t>A1</t>
        </is>
      </c>
      <c r="F202" t="inlineStr">
        <is>
          <t>PierSeaSide</t>
        </is>
      </c>
      <c r="G202" t="inlineStr">
        <is>
          <t>3840x2160</t>
        </is>
      </c>
      <c r="H202" t="inlineStr">
        <is>
          <t>30.0000</t>
        </is>
      </c>
      <c r="I202" t="inlineStr">
        <is>
          <t>10</t>
        </is>
      </c>
      <c r="J202" t="inlineStr">
        <is>
          <t>1280x720</t>
        </is>
      </c>
      <c r="K202" t="inlineStr">
        <is>
          <t>160</t>
        </is>
      </c>
      <c r="L202" t="n">
        <v>238.400745</v>
      </c>
      <c r="M202" t="n">
        <v>36.022953</v>
      </c>
      <c r="N202" t="n">
        <v>41.201054</v>
      </c>
      <c r="O202" t="n">
        <v>40.420085</v>
      </c>
      <c r="P202" t="n">
        <v>19.323876</v>
      </c>
      <c r="Q202" t="n">
        <v>15.024502</v>
      </c>
      <c r="R202" t="n">
        <v>71.80441500000001</v>
      </c>
      <c r="S202" t="n">
        <v>69.292627</v>
      </c>
      <c r="T202" t="n">
        <v>33.166538</v>
      </c>
      <c r="U202" t="n">
        <v>38.546035</v>
      </c>
      <c r="V202" t="n">
        <v>35.640365</v>
      </c>
      <c r="W202" t="n">
        <v>41.130657</v>
      </c>
      <c r="X202" t="n">
        <v>40.329938</v>
      </c>
      <c r="Y202" t="n">
        <v>0.018216</v>
      </c>
      <c r="Z202" t="inlineStr"/>
      <c r="AA202" t="inlineStr"/>
      <c r="AB202" t="inlineStr"/>
      <c r="AC202" t="inlineStr"/>
      <c r="AD202" t="inlineStr"/>
      <c r="AE202" t="inlineStr"/>
      <c r="AF202" t="inlineStr">
        <is>
          <t>92dc842c21941e050a92f743f4ea59b4</t>
        </is>
      </c>
      <c r="AG202" t="inlineStr"/>
    </row>
    <row r="203">
      <c r="A203" t="inlineStr">
        <is>
          <t>AS</t>
        </is>
      </c>
      <c r="B203" t="inlineStr">
        <is>
          <t>aom</t>
        </is>
      </c>
      <c r="C203" t="inlineStr">
        <is>
          <t>av2</t>
        </is>
      </c>
      <c r="D203" t="inlineStr">
        <is>
          <t>0</t>
        </is>
      </c>
      <c r="E203" t="inlineStr">
        <is>
          <t>A1</t>
        </is>
      </c>
      <c r="F203" t="inlineStr">
        <is>
          <t>PierSeaSide</t>
        </is>
      </c>
      <c r="G203" t="inlineStr">
        <is>
          <t>3840x2160</t>
        </is>
      </c>
      <c r="H203" t="inlineStr">
        <is>
          <t>30.0000</t>
        </is>
      </c>
      <c r="I203" t="inlineStr">
        <is>
          <t>10</t>
        </is>
      </c>
      <c r="J203" t="inlineStr">
        <is>
          <t>1280x720</t>
        </is>
      </c>
      <c r="K203" t="inlineStr">
        <is>
          <t>185</t>
        </is>
      </c>
      <c r="L203" t="n">
        <v>97.46981700000001</v>
      </c>
      <c r="M203" t="n">
        <v>34.226462</v>
      </c>
      <c r="N203" t="n">
        <v>39.569974</v>
      </c>
      <c r="O203" t="n">
        <v>39.235022</v>
      </c>
      <c r="P203" t="n">
        <v>16.600255</v>
      </c>
      <c r="Q203" t="n">
        <v>13.251328</v>
      </c>
      <c r="R203" t="n">
        <v>57.53188</v>
      </c>
      <c r="S203" t="n">
        <v>55.157813</v>
      </c>
      <c r="T203" t="n">
        <v>30.666167</v>
      </c>
      <c r="U203" t="n">
        <v>37.086873</v>
      </c>
      <c r="V203" t="n">
        <v>33.972824</v>
      </c>
      <c r="W203" t="n">
        <v>39.524673</v>
      </c>
      <c r="X203" t="n">
        <v>39.176688</v>
      </c>
      <c r="Y203" t="n">
        <v>0.06705999999999999</v>
      </c>
      <c r="Z203" t="inlineStr"/>
      <c r="AA203" t="inlineStr"/>
      <c r="AB203" t="inlineStr"/>
      <c r="AC203" t="inlineStr"/>
      <c r="AD203" t="inlineStr"/>
      <c r="AE203" t="inlineStr"/>
      <c r="AF203" t="inlineStr">
        <is>
          <t>c7b3cfc31d3969a7e55ca937babe47bd</t>
        </is>
      </c>
      <c r="AG203" t="inlineStr"/>
    </row>
    <row r="204">
      <c r="A204" t="inlineStr">
        <is>
          <t>AS</t>
        </is>
      </c>
      <c r="B204" t="inlineStr">
        <is>
          <t>aom</t>
        </is>
      </c>
      <c r="C204" t="inlineStr">
        <is>
          <t>av2</t>
        </is>
      </c>
      <c r="D204" t="inlineStr">
        <is>
          <t>0</t>
        </is>
      </c>
      <c r="E204" t="inlineStr">
        <is>
          <t>A1</t>
        </is>
      </c>
      <c r="F204" t="inlineStr">
        <is>
          <t>PierSeaSide</t>
        </is>
      </c>
      <c r="G204" t="inlineStr">
        <is>
          <t>3840x2160</t>
        </is>
      </c>
      <c r="H204" t="inlineStr">
        <is>
          <t>30.0000</t>
        </is>
      </c>
      <c r="I204" t="inlineStr">
        <is>
          <t>10</t>
        </is>
      </c>
      <c r="J204" t="inlineStr">
        <is>
          <t>1280x720</t>
        </is>
      </c>
      <c r="K204" t="inlineStr">
        <is>
          <t>210</t>
        </is>
      </c>
      <c r="L204" t="n">
        <v>40.246482</v>
      </c>
      <c r="M204" t="n">
        <v>31.873094</v>
      </c>
      <c r="N204" t="n">
        <v>37.609539</v>
      </c>
      <c r="O204" t="n">
        <v>37.755136</v>
      </c>
      <c r="P204" t="n">
        <v>13.727006</v>
      </c>
      <c r="Q204" t="n">
        <v>11.250723</v>
      </c>
      <c r="R204" t="n">
        <v>37.866379</v>
      </c>
      <c r="S204" t="n">
        <v>35.916826</v>
      </c>
      <c r="T204" t="n">
        <v>27.786475</v>
      </c>
      <c r="U204" t="n">
        <v>35.123895</v>
      </c>
      <c r="V204" t="n">
        <v>31.741855</v>
      </c>
      <c r="W204" t="n">
        <v>37.584913</v>
      </c>
      <c r="X204" t="n">
        <v>37.720502</v>
      </c>
      <c r="Y204" t="n">
        <v>0.147237</v>
      </c>
      <c r="Z204" t="inlineStr"/>
      <c r="AA204" t="inlineStr"/>
      <c r="AB204" t="inlineStr"/>
      <c r="AC204" t="inlineStr"/>
      <c r="AD204" t="inlineStr"/>
      <c r="AE204" t="inlineStr"/>
      <c r="AF204" t="inlineStr">
        <is>
          <t>24015b484e6d235f8330695d1c600299</t>
        </is>
      </c>
      <c r="AG204" t="inlineStr"/>
    </row>
    <row r="205">
      <c r="A205" t="inlineStr">
        <is>
          <t>AS</t>
        </is>
      </c>
      <c r="B205" t="inlineStr">
        <is>
          <t>aom</t>
        </is>
      </c>
      <c r="C205" t="inlineStr">
        <is>
          <t>av2</t>
        </is>
      </c>
      <c r="D205" t="inlineStr">
        <is>
          <t>0</t>
        </is>
      </c>
      <c r="E205" t="inlineStr">
        <is>
          <t>A1</t>
        </is>
      </c>
      <c r="F205" t="inlineStr">
        <is>
          <t>PierSeaSide</t>
        </is>
      </c>
      <c r="G205" t="inlineStr">
        <is>
          <t>3840x2160</t>
        </is>
      </c>
      <c r="H205" t="inlineStr">
        <is>
          <t>30.0000</t>
        </is>
      </c>
      <c r="I205" t="inlineStr">
        <is>
          <t>10</t>
        </is>
      </c>
      <c r="J205" t="inlineStr">
        <is>
          <t>1280x720</t>
        </is>
      </c>
      <c r="K205" t="inlineStr">
        <is>
          <t>235</t>
        </is>
      </c>
      <c r="L205" t="n">
        <v>16.875415</v>
      </c>
      <c r="M205" t="n">
        <v>29.245896</v>
      </c>
      <c r="N205" t="n">
        <v>35.341539</v>
      </c>
      <c r="O205" t="n">
        <v>36.228488</v>
      </c>
      <c r="P205" t="n">
        <v>10.675582</v>
      </c>
      <c r="Q205" t="n">
        <v>9.084951</v>
      </c>
      <c r="R205" t="n">
        <v>16.154568</v>
      </c>
      <c r="S205" t="n">
        <v>14.701742</v>
      </c>
      <c r="T205" t="n">
        <v>24.913176</v>
      </c>
      <c r="U205" t="n">
        <v>32.813998</v>
      </c>
      <c r="V205" t="n">
        <v>29.175093</v>
      </c>
      <c r="W205" t="n">
        <v>35.326468</v>
      </c>
      <c r="X205" t="n">
        <v>36.207628</v>
      </c>
      <c r="Y205" t="n">
        <v>0.257887</v>
      </c>
      <c r="Z205" t="inlineStr"/>
      <c r="AA205" t="inlineStr"/>
      <c r="AB205" t="inlineStr"/>
      <c r="AC205" t="inlineStr"/>
      <c r="AD205" t="inlineStr"/>
      <c r="AE205" t="inlineStr"/>
      <c r="AF205" t="inlineStr">
        <is>
          <t>000deccac80c192fc6932377736a654e</t>
        </is>
      </c>
      <c r="AG205" t="inlineStr"/>
    </row>
    <row r="206">
      <c r="A206" t="inlineStr">
        <is>
          <t>AS</t>
        </is>
      </c>
      <c r="B206" t="inlineStr">
        <is>
          <t>aom</t>
        </is>
      </c>
      <c r="C206" t="inlineStr">
        <is>
          <t>av2</t>
        </is>
      </c>
      <c r="D206" t="inlineStr">
        <is>
          <t>0</t>
        </is>
      </c>
      <c r="E206" t="inlineStr">
        <is>
          <t>A1</t>
        </is>
      </c>
      <c r="F206" t="inlineStr">
        <is>
          <t>PierSeaSide</t>
        </is>
      </c>
      <c r="G206" t="inlineStr">
        <is>
          <t>3840x2160</t>
        </is>
      </c>
      <c r="H206" t="inlineStr">
        <is>
          <t>30.0000</t>
        </is>
      </c>
      <c r="I206" t="inlineStr">
        <is>
          <t>10</t>
        </is>
      </c>
      <c r="J206" t="inlineStr">
        <is>
          <t>960x540</t>
        </is>
      </c>
      <c r="K206" t="inlineStr">
        <is>
          <t>110</t>
        </is>
      </c>
      <c r="L206" t="n">
        <v>1027.203768</v>
      </c>
      <c r="M206" t="n">
        <v>35.673936</v>
      </c>
      <c r="N206" t="n">
        <v>41.397517</v>
      </c>
      <c r="O206" t="n">
        <v>40.781121</v>
      </c>
      <c r="P206" t="n">
        <v>23.888767</v>
      </c>
      <c r="Q206" t="n">
        <v>15.969029</v>
      </c>
      <c r="R206" t="n">
        <v>73.4881</v>
      </c>
      <c r="S206" t="n">
        <v>71.23486200000001</v>
      </c>
      <c r="T206" t="n">
        <v>32.721519</v>
      </c>
      <c r="U206" t="n">
        <v>38.824705</v>
      </c>
      <c r="V206" t="n">
        <v>35.262954</v>
      </c>
      <c r="W206" t="n">
        <v>41.319286</v>
      </c>
      <c r="X206" t="n">
        <v>40.670821</v>
      </c>
      <c r="Y206" t="n">
        <v>0.002683</v>
      </c>
      <c r="Z206" t="inlineStr"/>
      <c r="AA206" t="inlineStr"/>
      <c r="AB206" t="inlineStr"/>
      <c r="AC206" t="inlineStr"/>
      <c r="AD206" t="inlineStr"/>
      <c r="AE206" t="inlineStr"/>
      <c r="AF206" t="inlineStr">
        <is>
          <t>81005ebc717b8a0351df41cb3cfe835b</t>
        </is>
      </c>
      <c r="AG206" t="inlineStr"/>
    </row>
    <row r="207">
      <c r="A207" t="inlineStr">
        <is>
          <t>AS</t>
        </is>
      </c>
      <c r="B207" t="inlineStr">
        <is>
          <t>aom</t>
        </is>
      </c>
      <c r="C207" t="inlineStr">
        <is>
          <t>av2</t>
        </is>
      </c>
      <c r="D207" t="inlineStr">
        <is>
          <t>0</t>
        </is>
      </c>
      <c r="E207" t="inlineStr">
        <is>
          <t>A1</t>
        </is>
      </c>
      <c r="F207" t="inlineStr">
        <is>
          <t>PierSeaSide</t>
        </is>
      </c>
      <c r="G207" t="inlineStr">
        <is>
          <t>3840x2160</t>
        </is>
      </c>
      <c r="H207" t="inlineStr">
        <is>
          <t>30.0000</t>
        </is>
      </c>
      <c r="I207" t="inlineStr">
        <is>
          <t>10</t>
        </is>
      </c>
      <c r="J207" t="inlineStr">
        <is>
          <t>960x540</t>
        </is>
      </c>
      <c r="K207" t="inlineStr">
        <is>
          <t>135</t>
        </is>
      </c>
      <c r="L207" t="n">
        <v>397.806103</v>
      </c>
      <c r="M207" t="n">
        <v>35.109642</v>
      </c>
      <c r="N207" t="n">
        <v>40.885991</v>
      </c>
      <c r="O207" t="n">
        <v>40.430439</v>
      </c>
      <c r="P207" t="n">
        <v>20.973884</v>
      </c>
      <c r="Q207" t="n">
        <v>14.938495</v>
      </c>
      <c r="R207" t="n">
        <v>67.45871099999999</v>
      </c>
      <c r="S207" t="n">
        <v>65.24487999999999</v>
      </c>
      <c r="T207" t="n">
        <v>31.881236</v>
      </c>
      <c r="U207" t="n">
        <v>38.263171</v>
      </c>
      <c r="V207" t="n">
        <v>34.720927</v>
      </c>
      <c r="W207" t="n">
        <v>40.815728</v>
      </c>
      <c r="X207" t="n">
        <v>40.333152</v>
      </c>
      <c r="Y207" t="n">
        <v>0.009467</v>
      </c>
      <c r="Z207" t="inlineStr"/>
      <c r="AA207" t="inlineStr"/>
      <c r="AB207" t="inlineStr"/>
      <c r="AC207" t="inlineStr"/>
      <c r="AD207" t="inlineStr"/>
      <c r="AE207" t="inlineStr"/>
      <c r="AF207" t="inlineStr">
        <is>
          <t>777dd61244b2c9f6e75414232196d056</t>
        </is>
      </c>
      <c r="AG207" t="inlineStr"/>
    </row>
    <row r="208">
      <c r="A208" t="inlineStr">
        <is>
          <t>AS</t>
        </is>
      </c>
      <c r="B208" t="inlineStr">
        <is>
          <t>aom</t>
        </is>
      </c>
      <c r="C208" t="inlineStr">
        <is>
          <t>av2</t>
        </is>
      </c>
      <c r="D208" t="inlineStr">
        <is>
          <t>0</t>
        </is>
      </c>
      <c r="E208" t="inlineStr">
        <is>
          <t>A1</t>
        </is>
      </c>
      <c r="F208" t="inlineStr">
        <is>
          <t>PierSeaSide</t>
        </is>
      </c>
      <c r="G208" t="inlineStr">
        <is>
          <t>3840x2160</t>
        </is>
      </c>
      <c r="H208" t="inlineStr">
        <is>
          <t>30.0000</t>
        </is>
      </c>
      <c r="I208" t="inlineStr">
        <is>
          <t>10</t>
        </is>
      </c>
      <c r="J208" t="inlineStr">
        <is>
          <t>960x540</t>
        </is>
      </c>
      <c r="K208" t="inlineStr">
        <is>
          <t>160</t>
        </is>
      </c>
      <c r="L208" t="n">
        <v>162.199484</v>
      </c>
      <c r="M208" t="n">
        <v>34.23136</v>
      </c>
      <c r="N208" t="n">
        <v>39.979038</v>
      </c>
      <c r="O208" t="n">
        <v>39.725528</v>
      </c>
      <c r="P208" t="n">
        <v>18.284541</v>
      </c>
      <c r="Q208" t="n">
        <v>13.724881</v>
      </c>
      <c r="R208" t="n">
        <v>58.1041</v>
      </c>
      <c r="S208" t="n">
        <v>55.984116</v>
      </c>
      <c r="T208" t="n">
        <v>30.658018</v>
      </c>
      <c r="U208" t="n">
        <v>37.405737</v>
      </c>
      <c r="V208" t="n">
        <v>33.906338</v>
      </c>
      <c r="W208" t="n">
        <v>39.922963</v>
      </c>
      <c r="X208" t="n">
        <v>39.650405</v>
      </c>
      <c r="Y208" t="n">
        <v>0.040996</v>
      </c>
      <c r="Z208" t="inlineStr"/>
      <c r="AA208" t="inlineStr"/>
      <c r="AB208" t="inlineStr"/>
      <c r="AC208" t="inlineStr"/>
      <c r="AD208" t="inlineStr"/>
      <c r="AE208" t="inlineStr"/>
      <c r="AF208" t="inlineStr">
        <is>
          <t>ddf31840c2eb2c67af22c397a27b5247</t>
        </is>
      </c>
      <c r="AG208" t="inlineStr"/>
    </row>
    <row r="209">
      <c r="A209" t="inlineStr">
        <is>
          <t>AS</t>
        </is>
      </c>
      <c r="B209" t="inlineStr">
        <is>
          <t>aom</t>
        </is>
      </c>
      <c r="C209" t="inlineStr">
        <is>
          <t>av2</t>
        </is>
      </c>
      <c r="D209" t="inlineStr">
        <is>
          <t>0</t>
        </is>
      </c>
      <c r="E209" t="inlineStr">
        <is>
          <t>A1</t>
        </is>
      </c>
      <c r="F209" t="inlineStr">
        <is>
          <t>PierSeaSide</t>
        </is>
      </c>
      <c r="G209" t="inlineStr">
        <is>
          <t>3840x2160</t>
        </is>
      </c>
      <c r="H209" t="inlineStr">
        <is>
          <t>30.0000</t>
        </is>
      </c>
      <c r="I209" t="inlineStr">
        <is>
          <t>10</t>
        </is>
      </c>
      <c r="J209" t="inlineStr">
        <is>
          <t>960x540</t>
        </is>
      </c>
      <c r="K209" t="inlineStr">
        <is>
          <t>185</t>
        </is>
      </c>
      <c r="L209" t="n">
        <v>68.58427</v>
      </c>
      <c r="M209" t="n">
        <v>32.797026</v>
      </c>
      <c r="N209" t="n">
        <v>38.586975</v>
      </c>
      <c r="O209" t="n">
        <v>38.639417</v>
      </c>
      <c r="P209" t="n">
        <v>15.588009</v>
      </c>
      <c r="Q209" t="n">
        <v>12.223791</v>
      </c>
      <c r="R209" t="n">
        <v>43.822271</v>
      </c>
      <c r="S209" t="n">
        <v>41.894643</v>
      </c>
      <c r="T209" t="n">
        <v>28.833172</v>
      </c>
      <c r="U209" t="n">
        <v>36.106059</v>
      </c>
      <c r="V209" t="n">
        <v>32.574482</v>
      </c>
      <c r="W209" t="n">
        <v>38.547624</v>
      </c>
      <c r="X209" t="n">
        <v>38.584689</v>
      </c>
      <c r="Y209" t="n">
        <v>0.113452</v>
      </c>
      <c r="Z209" t="inlineStr"/>
      <c r="AA209" t="inlineStr"/>
      <c r="AB209" t="inlineStr"/>
      <c r="AC209" t="inlineStr"/>
      <c r="AD209" t="inlineStr"/>
      <c r="AE209" t="inlineStr"/>
      <c r="AF209" t="inlineStr">
        <is>
          <t>9ee5f29d7e17f61e8674f2de311ce651</t>
        </is>
      </c>
      <c r="AG209" t="inlineStr"/>
    </row>
    <row r="210">
      <c r="A210" t="inlineStr">
        <is>
          <t>AS</t>
        </is>
      </c>
      <c r="B210" t="inlineStr">
        <is>
          <t>aom</t>
        </is>
      </c>
      <c r="C210" t="inlineStr">
        <is>
          <t>av2</t>
        </is>
      </c>
      <c r="D210" t="inlineStr">
        <is>
          <t>0</t>
        </is>
      </c>
      <c r="E210" t="inlineStr">
        <is>
          <t>A1</t>
        </is>
      </c>
      <c r="F210" t="inlineStr">
        <is>
          <t>PierSeaSide</t>
        </is>
      </c>
      <c r="G210" t="inlineStr">
        <is>
          <t>3840x2160</t>
        </is>
      </c>
      <c r="H210" t="inlineStr">
        <is>
          <t>30.0000</t>
        </is>
      </c>
      <c r="I210" t="inlineStr">
        <is>
          <t>10</t>
        </is>
      </c>
      <c r="J210" t="inlineStr">
        <is>
          <t>960x540</t>
        </is>
      </c>
      <c r="K210" t="inlineStr">
        <is>
          <t>210</t>
        </is>
      </c>
      <c r="L210" t="n">
        <v>28.937188</v>
      </c>
      <c r="M210" t="n">
        <v>30.763708</v>
      </c>
      <c r="N210" t="n">
        <v>36.802813</v>
      </c>
      <c r="O210" t="n">
        <v>37.346874</v>
      </c>
      <c r="P210" t="n">
        <v>12.677137</v>
      </c>
      <c r="Q210" t="n">
        <v>10.412166</v>
      </c>
      <c r="R210" t="n">
        <v>25.874008</v>
      </c>
      <c r="S210" t="n">
        <v>24.335571</v>
      </c>
      <c r="T210" t="n">
        <v>26.513315</v>
      </c>
      <c r="U210" t="n">
        <v>34.280313</v>
      </c>
      <c r="V210" t="n">
        <v>30.641796</v>
      </c>
      <c r="W210" t="n">
        <v>36.78129</v>
      </c>
      <c r="X210" t="n">
        <v>37.312582</v>
      </c>
      <c r="Y210" t="n">
        <v>0.209633</v>
      </c>
      <c r="Z210" t="inlineStr"/>
      <c r="AA210" t="inlineStr"/>
      <c r="AB210" t="inlineStr"/>
      <c r="AC210" t="inlineStr"/>
      <c r="AD210" t="inlineStr"/>
      <c r="AE210" t="inlineStr"/>
      <c r="AF210" t="inlineStr">
        <is>
          <t>36581b46200665fb5f41419b5e348481</t>
        </is>
      </c>
      <c r="AG210" t="inlineStr"/>
    </row>
    <row r="211">
      <c r="A211" t="inlineStr">
        <is>
          <t>AS</t>
        </is>
      </c>
      <c r="B211" t="inlineStr">
        <is>
          <t>aom</t>
        </is>
      </c>
      <c r="C211" t="inlineStr">
        <is>
          <t>av2</t>
        </is>
      </c>
      <c r="D211" t="inlineStr">
        <is>
          <t>0</t>
        </is>
      </c>
      <c r="E211" t="inlineStr">
        <is>
          <t>A1</t>
        </is>
      </c>
      <c r="F211" t="inlineStr">
        <is>
          <t>PierSeaSide</t>
        </is>
      </c>
      <c r="G211" t="inlineStr">
        <is>
          <t>3840x2160</t>
        </is>
      </c>
      <c r="H211" t="inlineStr">
        <is>
          <t>30.0000</t>
        </is>
      </c>
      <c r="I211" t="inlineStr">
        <is>
          <t>10</t>
        </is>
      </c>
      <c r="J211" t="inlineStr">
        <is>
          <t>960x540</t>
        </is>
      </c>
      <c r="K211" t="inlineStr">
        <is>
          <t>235</t>
        </is>
      </c>
      <c r="L211" t="n">
        <v>12.224071</v>
      </c>
      <c r="M211" t="n">
        <v>28.281233</v>
      </c>
      <c r="N211" t="n">
        <v>34.616412</v>
      </c>
      <c r="O211" t="n">
        <v>35.693651</v>
      </c>
      <c r="P211" t="n">
        <v>9.645643</v>
      </c>
      <c r="Q211" t="n">
        <v>8.327408</v>
      </c>
      <c r="R211" t="n">
        <v>6.372275</v>
      </c>
      <c r="S211" t="n">
        <v>5.418458</v>
      </c>
      <c r="T211" t="n">
        <v>23.928883</v>
      </c>
      <c r="U211" t="n">
        <v>31.978808</v>
      </c>
      <c r="V211" t="n">
        <v>28.221454</v>
      </c>
      <c r="W211" t="n">
        <v>34.606503</v>
      </c>
      <c r="X211" t="n">
        <v>35.67159</v>
      </c>
      <c r="Y211" t="n">
        <v>0.285452</v>
      </c>
      <c r="Z211" t="inlineStr"/>
      <c r="AA211" t="inlineStr"/>
      <c r="AB211" t="inlineStr"/>
      <c r="AC211" t="inlineStr"/>
      <c r="AD211" t="inlineStr"/>
      <c r="AE211" t="inlineStr"/>
      <c r="AF211" t="inlineStr">
        <is>
          <t>260000b033af235ac2958d9008b3bf57</t>
        </is>
      </c>
      <c r="AG211" t="inlineStr"/>
    </row>
    <row r="212">
      <c r="A212" t="inlineStr">
        <is>
          <t>AS</t>
        </is>
      </c>
      <c r="B212" t="inlineStr">
        <is>
          <t>aom</t>
        </is>
      </c>
      <c r="C212" t="inlineStr">
        <is>
          <t>av2</t>
        </is>
      </c>
      <c r="D212" t="inlineStr">
        <is>
          <t>0</t>
        </is>
      </c>
      <c r="E212" t="inlineStr">
        <is>
          <t>A1</t>
        </is>
      </c>
      <c r="F212" t="inlineStr">
        <is>
          <t>PierSeaSide</t>
        </is>
      </c>
      <c r="G212" t="inlineStr">
        <is>
          <t>3840x2160</t>
        </is>
      </c>
      <c r="H212" t="inlineStr">
        <is>
          <t>30.0000</t>
        </is>
      </c>
      <c r="I212" t="inlineStr">
        <is>
          <t>10</t>
        </is>
      </c>
      <c r="J212" t="inlineStr">
        <is>
          <t>640x360</t>
        </is>
      </c>
      <c r="K212" t="inlineStr">
        <is>
          <t>110</t>
        </is>
      </c>
      <c r="L212" t="n">
        <v>459.112735</v>
      </c>
      <c r="M212" t="n">
        <v>32.445842</v>
      </c>
      <c r="N212" t="n">
        <v>39.54835</v>
      </c>
      <c r="O212" t="n">
        <v>39.710872</v>
      </c>
      <c r="P212" t="n">
        <v>20.166773</v>
      </c>
      <c r="Q212" t="n">
        <v>12.902518</v>
      </c>
      <c r="R212" t="n">
        <v>42.608312</v>
      </c>
      <c r="S212" t="n">
        <v>40.887475</v>
      </c>
      <c r="T212" t="n">
        <v>28.148777</v>
      </c>
      <c r="U212" t="n">
        <v>36.769841</v>
      </c>
      <c r="V212" t="n">
        <v>32.217179</v>
      </c>
      <c r="W212" t="n">
        <v>39.498001</v>
      </c>
      <c r="X212" t="n">
        <v>39.628008</v>
      </c>
      <c r="Y212" t="n">
        <v>0.007106</v>
      </c>
      <c r="Z212" t="inlineStr"/>
      <c r="AA212" t="inlineStr"/>
      <c r="AB212" t="inlineStr"/>
      <c r="AC212" t="inlineStr"/>
      <c r="AD212" t="inlineStr"/>
      <c r="AE212" t="inlineStr"/>
      <c r="AF212" t="inlineStr">
        <is>
          <t>4d8d9c5b4e413cafbb1da5e0317a9c69</t>
        </is>
      </c>
      <c r="AG212" t="inlineStr"/>
    </row>
    <row r="213">
      <c r="A213" t="inlineStr">
        <is>
          <t>AS</t>
        </is>
      </c>
      <c r="B213" t="inlineStr">
        <is>
          <t>aom</t>
        </is>
      </c>
      <c r="C213" t="inlineStr">
        <is>
          <t>av2</t>
        </is>
      </c>
      <c r="D213" t="inlineStr">
        <is>
          <t>0</t>
        </is>
      </c>
      <c r="E213" t="inlineStr">
        <is>
          <t>A1</t>
        </is>
      </c>
      <c r="F213" t="inlineStr">
        <is>
          <t>PierSeaSide</t>
        </is>
      </c>
      <c r="G213" t="inlineStr">
        <is>
          <t>3840x2160</t>
        </is>
      </c>
      <c r="H213" t="inlineStr">
        <is>
          <t>30.0000</t>
        </is>
      </c>
      <c r="I213" t="inlineStr">
        <is>
          <t>10</t>
        </is>
      </c>
      <c r="J213" t="inlineStr">
        <is>
          <t>640x360</t>
        </is>
      </c>
      <c r="K213" t="inlineStr">
        <is>
          <t>135</t>
        </is>
      </c>
      <c r="L213" t="n">
        <v>189.821681</v>
      </c>
      <c r="M213" t="n">
        <v>32.147035</v>
      </c>
      <c r="N213" t="n">
        <v>39.14517</v>
      </c>
      <c r="O213" t="n">
        <v>39.377028</v>
      </c>
      <c r="P213" t="n">
        <v>18.267549</v>
      </c>
      <c r="Q213" t="n">
        <v>12.367059</v>
      </c>
      <c r="R213" t="n">
        <v>37.683795</v>
      </c>
      <c r="S213" t="n">
        <v>36.05033</v>
      </c>
      <c r="T213" t="n">
        <v>27.806416</v>
      </c>
      <c r="U213" t="n">
        <v>36.358707</v>
      </c>
      <c r="V213" t="n">
        <v>31.925795</v>
      </c>
      <c r="W213" t="n">
        <v>39.099375</v>
      </c>
      <c r="X213" t="n">
        <v>39.304403</v>
      </c>
      <c r="Y213" t="n">
        <v>0.02186</v>
      </c>
      <c r="Z213" t="inlineStr"/>
      <c r="AA213" t="inlineStr"/>
      <c r="AB213" t="inlineStr"/>
      <c r="AC213" t="inlineStr"/>
      <c r="AD213" t="inlineStr"/>
      <c r="AE213" t="inlineStr"/>
      <c r="AF213" t="inlineStr">
        <is>
          <t>debdfa1d6b21032511341eecbe0255b7</t>
        </is>
      </c>
      <c r="AG213" t="inlineStr"/>
    </row>
    <row r="214">
      <c r="A214" t="inlineStr">
        <is>
          <t>AS</t>
        </is>
      </c>
      <c r="B214" t="inlineStr">
        <is>
          <t>aom</t>
        </is>
      </c>
      <c r="C214" t="inlineStr">
        <is>
          <t>av2</t>
        </is>
      </c>
      <c r="D214" t="inlineStr">
        <is>
          <t>0</t>
        </is>
      </c>
      <c r="E214" t="inlineStr">
        <is>
          <t>A1</t>
        </is>
      </c>
      <c r="F214" t="inlineStr">
        <is>
          <t>PierSeaSide</t>
        </is>
      </c>
      <c r="G214" t="inlineStr">
        <is>
          <t>3840x2160</t>
        </is>
      </c>
      <c r="H214" t="inlineStr">
        <is>
          <t>30.0000</t>
        </is>
      </c>
      <c r="I214" t="inlineStr">
        <is>
          <t>10</t>
        </is>
      </c>
      <c r="J214" t="inlineStr">
        <is>
          <t>640x360</t>
        </is>
      </c>
      <c r="K214" t="inlineStr">
        <is>
          <t>160</t>
        </is>
      </c>
      <c r="L214" t="n">
        <v>83.33319899999999</v>
      </c>
      <c r="M214" t="n">
        <v>31.620219</v>
      </c>
      <c r="N214" t="n">
        <v>38.39088</v>
      </c>
      <c r="O214" t="n">
        <v>38.737332</v>
      </c>
      <c r="P214" t="n">
        <v>16.116925</v>
      </c>
      <c r="Q214" t="n">
        <v>11.620541</v>
      </c>
      <c r="R214" t="n">
        <v>29.949373</v>
      </c>
      <c r="S214" t="n">
        <v>28.476526</v>
      </c>
      <c r="T214" t="n">
        <v>27.221163</v>
      </c>
      <c r="U214" t="n">
        <v>35.671923</v>
      </c>
      <c r="V214" t="n">
        <v>31.4246</v>
      </c>
      <c r="W214" t="n">
        <v>38.351849</v>
      </c>
      <c r="X214" t="n">
        <v>38.681477</v>
      </c>
      <c r="Y214" t="n">
        <v>0.082396</v>
      </c>
      <c r="Z214" t="inlineStr"/>
      <c r="AA214" t="inlineStr"/>
      <c r="AB214" t="inlineStr"/>
      <c r="AC214" t="inlineStr"/>
      <c r="AD214" t="inlineStr"/>
      <c r="AE214" t="inlineStr"/>
      <c r="AF214" t="inlineStr">
        <is>
          <t>d4ca4776a23b0ade8ad92f7c2f26b465</t>
        </is>
      </c>
      <c r="AG214" t="inlineStr"/>
    </row>
    <row r="215">
      <c r="A215" t="inlineStr">
        <is>
          <t>AS</t>
        </is>
      </c>
      <c r="B215" t="inlineStr">
        <is>
          <t>aom</t>
        </is>
      </c>
      <c r="C215" t="inlineStr">
        <is>
          <t>av2</t>
        </is>
      </c>
      <c r="D215" t="inlineStr">
        <is>
          <t>0</t>
        </is>
      </c>
      <c r="E215" t="inlineStr">
        <is>
          <t>A1</t>
        </is>
      </c>
      <c r="F215" t="inlineStr">
        <is>
          <t>PierSeaSide</t>
        </is>
      </c>
      <c r="G215" t="inlineStr">
        <is>
          <t>3840x2160</t>
        </is>
      </c>
      <c r="H215" t="inlineStr">
        <is>
          <t>30.0000</t>
        </is>
      </c>
      <c r="I215" t="inlineStr">
        <is>
          <t>10</t>
        </is>
      </c>
      <c r="J215" t="inlineStr">
        <is>
          <t>640x360</t>
        </is>
      </c>
      <c r="K215" t="inlineStr">
        <is>
          <t>185</t>
        </is>
      </c>
      <c r="L215" t="n">
        <v>36.947016</v>
      </c>
      <c r="M215" t="n">
        <v>30.638626</v>
      </c>
      <c r="N215" t="n">
        <v>37.248402</v>
      </c>
      <c r="O215" t="n">
        <v>37.786141</v>
      </c>
      <c r="P215" t="n">
        <v>13.695968</v>
      </c>
      <c r="Q215" t="n">
        <v>10.528522</v>
      </c>
      <c r="R215" t="n">
        <v>18.905202</v>
      </c>
      <c r="S215" t="n">
        <v>17.666665</v>
      </c>
      <c r="T215" t="n">
        <v>26.18822</v>
      </c>
      <c r="U215" t="n">
        <v>34.584341</v>
      </c>
      <c r="V215" t="n">
        <v>30.490487</v>
      </c>
      <c r="W215" t="n">
        <v>37.223301</v>
      </c>
      <c r="X215" t="n">
        <v>37.745507</v>
      </c>
      <c r="Y215" t="n">
        <v>0.166077</v>
      </c>
      <c r="Z215" t="inlineStr"/>
      <c r="AA215" t="inlineStr"/>
      <c r="AB215" t="inlineStr"/>
      <c r="AC215" t="inlineStr"/>
      <c r="AD215" t="inlineStr"/>
      <c r="AE215" t="inlineStr"/>
      <c r="AF215" t="inlineStr">
        <is>
          <t>96b91af7c9e2b1a8c4866096b07da1b9</t>
        </is>
      </c>
      <c r="AG215" t="inlineStr"/>
    </row>
    <row r="216">
      <c r="A216" t="inlineStr">
        <is>
          <t>AS</t>
        </is>
      </c>
      <c r="B216" t="inlineStr">
        <is>
          <t>aom</t>
        </is>
      </c>
      <c r="C216" t="inlineStr">
        <is>
          <t>av2</t>
        </is>
      </c>
      <c r="D216" t="inlineStr">
        <is>
          <t>0</t>
        </is>
      </c>
      <c r="E216" t="inlineStr">
        <is>
          <t>A1</t>
        </is>
      </c>
      <c r="F216" t="inlineStr">
        <is>
          <t>PierSeaSide</t>
        </is>
      </c>
      <c r="G216" t="inlineStr">
        <is>
          <t>3840x2160</t>
        </is>
      </c>
      <c r="H216" t="inlineStr">
        <is>
          <t>30.0000</t>
        </is>
      </c>
      <c r="I216" t="inlineStr">
        <is>
          <t>10</t>
        </is>
      </c>
      <c r="J216" t="inlineStr">
        <is>
          <t>640x360</t>
        </is>
      </c>
      <c r="K216" t="inlineStr">
        <is>
          <t>210</t>
        </is>
      </c>
      <c r="L216" t="n">
        <v>16.486266</v>
      </c>
      <c r="M216" t="n">
        <v>29.048843</v>
      </c>
      <c r="N216" t="n">
        <v>35.591074</v>
      </c>
      <c r="O216" t="n">
        <v>36.482096</v>
      </c>
      <c r="P216" t="n">
        <v>10.928843</v>
      </c>
      <c r="Q216" t="n">
        <v>9.022686</v>
      </c>
      <c r="R216" t="n">
        <v>6.086154</v>
      </c>
      <c r="S216" t="n">
        <v>5.254555</v>
      </c>
      <c r="T216" t="n">
        <v>24.609812</v>
      </c>
      <c r="U216" t="n">
        <v>32.949283</v>
      </c>
      <c r="V216" t="n">
        <v>28.957476</v>
      </c>
      <c r="W216" t="n">
        <v>35.572044</v>
      </c>
      <c r="X216" t="n">
        <v>36.454675</v>
      </c>
      <c r="Y216" t="n">
        <v>0.271271</v>
      </c>
      <c r="Z216" t="inlineStr"/>
      <c r="AA216" t="inlineStr"/>
      <c r="AB216" t="inlineStr"/>
      <c r="AC216" t="inlineStr"/>
      <c r="AD216" t="inlineStr"/>
      <c r="AE216" t="inlineStr"/>
      <c r="AF216" t="inlineStr">
        <is>
          <t>6b8ace141b967345048e6c907c5e54e2</t>
        </is>
      </c>
      <c r="AG216" t="inlineStr"/>
    </row>
    <row r="217">
      <c r="A217" t="inlineStr">
        <is>
          <t>AS</t>
        </is>
      </c>
      <c r="B217" t="inlineStr">
        <is>
          <t>aom</t>
        </is>
      </c>
      <c r="C217" t="inlineStr">
        <is>
          <t>av2</t>
        </is>
      </c>
      <c r="D217" t="inlineStr">
        <is>
          <t>0</t>
        </is>
      </c>
      <c r="E217" t="inlineStr">
        <is>
          <t>A1</t>
        </is>
      </c>
      <c r="F217" t="inlineStr">
        <is>
          <t>PierSeaSide</t>
        </is>
      </c>
      <c r="G217" t="inlineStr">
        <is>
          <t>3840x2160</t>
        </is>
      </c>
      <c r="H217" t="inlineStr">
        <is>
          <t>30.0000</t>
        </is>
      </c>
      <c r="I217" t="inlineStr">
        <is>
          <t>10</t>
        </is>
      </c>
      <c r="J217" t="inlineStr">
        <is>
          <t>640x360</t>
        </is>
      </c>
      <c r="K217" t="inlineStr">
        <is>
          <t>235</t>
        </is>
      </c>
      <c r="L217" t="n">
        <v>7.69814</v>
      </c>
      <c r="M217" t="n">
        <v>26.989037</v>
      </c>
      <c r="N217" t="n">
        <v>33.602331</v>
      </c>
      <c r="O217" t="n">
        <v>35.211695</v>
      </c>
      <c r="P217" t="n">
        <v>8.238163999999999</v>
      </c>
      <c r="Q217" t="n">
        <v>7.313054</v>
      </c>
      <c r="R217" t="n">
        <v>0</v>
      </c>
      <c r="S217" t="n">
        <v>0</v>
      </c>
      <c r="T217" t="n">
        <v>22.660329</v>
      </c>
      <c r="U217" t="n">
        <v>30.900115</v>
      </c>
      <c r="V217" t="n">
        <v>26.938396</v>
      </c>
      <c r="W217" t="n">
        <v>33.588495</v>
      </c>
      <c r="X217" t="n">
        <v>35.187948</v>
      </c>
      <c r="Y217" t="n">
        <v>0.30095</v>
      </c>
      <c r="Z217" t="inlineStr"/>
      <c r="AA217" t="inlineStr"/>
      <c r="AB217" t="inlineStr"/>
      <c r="AC217" t="inlineStr"/>
      <c r="AD217" t="inlineStr"/>
      <c r="AE217" t="inlineStr"/>
      <c r="AF217" t="inlineStr">
        <is>
          <t>a79f7e7ea2e734be74b430149362fdbd</t>
        </is>
      </c>
      <c r="AG217" t="inlineStr"/>
    </row>
    <row r="218">
      <c r="A218" t="inlineStr">
        <is>
          <t>AS</t>
        </is>
      </c>
      <c r="B218" t="inlineStr">
        <is>
          <t>aom</t>
        </is>
      </c>
      <c r="C218" t="inlineStr">
        <is>
          <t>av2</t>
        </is>
      </c>
      <c r="D218" t="inlineStr">
        <is>
          <t>0</t>
        </is>
      </c>
      <c r="E218" t="inlineStr">
        <is>
          <t>A1</t>
        </is>
      </c>
      <c r="F218" t="inlineStr">
        <is>
          <t>Tango</t>
        </is>
      </c>
      <c r="G218" t="inlineStr">
        <is>
          <t>3840x2160</t>
        </is>
      </c>
      <c r="H218" t="inlineStr">
        <is>
          <t>60.0000</t>
        </is>
      </c>
      <c r="I218" t="inlineStr">
        <is>
          <t>10</t>
        </is>
      </c>
      <c r="J218" t="inlineStr">
        <is>
          <t>3840x2160</t>
        </is>
      </c>
      <c r="K218" t="inlineStr">
        <is>
          <t>110</t>
        </is>
      </c>
      <c r="L218" t="n">
        <v>29991.977254</v>
      </c>
      <c r="M218" t="n">
        <v>40.43845</v>
      </c>
      <c r="N218" t="n">
        <v>49.723642</v>
      </c>
      <c r="O218" t="n">
        <v>47.979882</v>
      </c>
      <c r="P218" t="n">
        <v>27.364417</v>
      </c>
      <c r="Q218" t="n">
        <v>18.264399</v>
      </c>
      <c r="R218" t="n">
        <v>97.530905</v>
      </c>
      <c r="S218" t="n">
        <v>95.728032</v>
      </c>
      <c r="T218" t="n">
        <v>41.369517</v>
      </c>
      <c r="U218" t="n">
        <v>42.573104</v>
      </c>
      <c r="V218" t="n">
        <v>40.365148</v>
      </c>
      <c r="W218" t="n">
        <v>49.7103</v>
      </c>
      <c r="X218" t="n">
        <v>47.951473</v>
      </c>
      <c r="Y218" t="n">
        <v>0.29511</v>
      </c>
      <c r="Z218" t="inlineStr"/>
      <c r="AA218" t="inlineStr"/>
      <c r="AB218" t="inlineStr"/>
      <c r="AC218" t="inlineStr"/>
      <c r="AD218" t="inlineStr"/>
      <c r="AE218" t="inlineStr"/>
      <c r="AF218" t="inlineStr">
        <is>
          <t>efa42995d97fd8bd35bc0e341ced39f7</t>
        </is>
      </c>
      <c r="AG218" t="inlineStr"/>
    </row>
    <row r="219">
      <c r="A219" t="inlineStr">
        <is>
          <t>AS</t>
        </is>
      </c>
      <c r="B219" t="inlineStr">
        <is>
          <t>aom</t>
        </is>
      </c>
      <c r="C219" t="inlineStr">
        <is>
          <t>av2</t>
        </is>
      </c>
      <c r="D219" t="inlineStr">
        <is>
          <t>0</t>
        </is>
      </c>
      <c r="E219" t="inlineStr">
        <is>
          <t>A1</t>
        </is>
      </c>
      <c r="F219" t="inlineStr">
        <is>
          <t>Tango</t>
        </is>
      </c>
      <c r="G219" t="inlineStr">
        <is>
          <t>3840x2160</t>
        </is>
      </c>
      <c r="H219" t="inlineStr">
        <is>
          <t>60.0000</t>
        </is>
      </c>
      <c r="I219" t="inlineStr">
        <is>
          <t>10</t>
        </is>
      </c>
      <c r="J219" t="inlineStr">
        <is>
          <t>3840x2160</t>
        </is>
      </c>
      <c r="K219" t="inlineStr">
        <is>
          <t>135</t>
        </is>
      </c>
      <c r="L219" t="n">
        <v>10348.841313</v>
      </c>
      <c r="M219" t="n">
        <v>39.800585</v>
      </c>
      <c r="N219" t="n">
        <v>49.034357</v>
      </c>
      <c r="O219" t="n">
        <v>46.87714</v>
      </c>
      <c r="P219" t="n">
        <v>24.867795</v>
      </c>
      <c r="Q219" t="n">
        <v>17.382752</v>
      </c>
      <c r="R219" t="n">
        <v>93.308376</v>
      </c>
      <c r="S219" t="n">
        <v>91.150293</v>
      </c>
      <c r="T219" t="n">
        <v>39.732739</v>
      </c>
      <c r="U219" t="n">
        <v>41.881784</v>
      </c>
      <c r="V219" t="n">
        <v>39.786441</v>
      </c>
      <c r="W219" t="n">
        <v>49.029241</v>
      </c>
      <c r="X219" t="n">
        <v>46.85975</v>
      </c>
      <c r="Y219" t="n">
        <v>0.458994</v>
      </c>
      <c r="Z219" t="inlineStr"/>
      <c r="AA219" t="inlineStr"/>
      <c r="AB219" t="inlineStr"/>
      <c r="AC219" t="inlineStr"/>
      <c r="AD219" t="inlineStr"/>
      <c r="AE219" t="inlineStr"/>
      <c r="AF219" t="inlineStr">
        <is>
          <t>d4abf67d3f91f415f8371dad0914b51f</t>
        </is>
      </c>
      <c r="AG219" t="inlineStr"/>
    </row>
    <row r="220">
      <c r="A220" t="inlineStr">
        <is>
          <t>AS</t>
        </is>
      </c>
      <c r="B220" t="inlineStr">
        <is>
          <t>aom</t>
        </is>
      </c>
      <c r="C220" t="inlineStr">
        <is>
          <t>av2</t>
        </is>
      </c>
      <c r="D220" t="inlineStr">
        <is>
          <t>0</t>
        </is>
      </c>
      <c r="E220" t="inlineStr">
        <is>
          <t>A1</t>
        </is>
      </c>
      <c r="F220" t="inlineStr">
        <is>
          <t>Tango</t>
        </is>
      </c>
      <c r="G220" t="inlineStr">
        <is>
          <t>3840x2160</t>
        </is>
      </c>
      <c r="H220" t="inlineStr">
        <is>
          <t>60.0000</t>
        </is>
      </c>
      <c r="I220" t="inlineStr">
        <is>
          <t>10</t>
        </is>
      </c>
      <c r="J220" t="inlineStr">
        <is>
          <t>3840x2160</t>
        </is>
      </c>
      <c r="K220" t="inlineStr">
        <is>
          <t>160</t>
        </is>
      </c>
      <c r="L220" t="n">
        <v>3828.930454</v>
      </c>
      <c r="M220" t="n">
        <v>38.863354</v>
      </c>
      <c r="N220" t="n">
        <v>47.906224</v>
      </c>
      <c r="O220" t="n">
        <v>45.203193</v>
      </c>
      <c r="P220" t="n">
        <v>21.954305</v>
      </c>
      <c r="Q220" t="n">
        <v>16.248892</v>
      </c>
      <c r="R220" t="n">
        <v>85.341392</v>
      </c>
      <c r="S220" t="n">
        <v>82.953253</v>
      </c>
      <c r="T220" t="n">
        <v>37.582846</v>
      </c>
      <c r="U220" t="n">
        <v>40.876309</v>
      </c>
      <c r="V220" t="n">
        <v>38.855285</v>
      </c>
      <c r="W220" t="n">
        <v>47.897769</v>
      </c>
      <c r="X220" t="n">
        <v>45.179872</v>
      </c>
      <c r="Y220" t="n">
        <v>0.531444</v>
      </c>
      <c r="Z220" t="inlineStr"/>
      <c r="AA220" t="inlineStr"/>
      <c r="AB220" t="inlineStr"/>
      <c r="AC220" t="inlineStr"/>
      <c r="AD220" t="inlineStr"/>
      <c r="AE220" t="inlineStr"/>
      <c r="AF220" t="inlineStr">
        <is>
          <t>2af4d1993e4e43ea5de3b4d2e551768c</t>
        </is>
      </c>
      <c r="AG220" t="inlineStr"/>
    </row>
    <row r="221">
      <c r="A221" t="inlineStr">
        <is>
          <t>AS</t>
        </is>
      </c>
      <c r="B221" t="inlineStr">
        <is>
          <t>aom</t>
        </is>
      </c>
      <c r="C221" t="inlineStr">
        <is>
          <t>av2</t>
        </is>
      </c>
      <c r="D221" t="inlineStr">
        <is>
          <t>0</t>
        </is>
      </c>
      <c r="E221" t="inlineStr">
        <is>
          <t>A1</t>
        </is>
      </c>
      <c r="F221" t="inlineStr">
        <is>
          <t>Tango</t>
        </is>
      </c>
      <c r="G221" t="inlineStr">
        <is>
          <t>3840x2160</t>
        </is>
      </c>
      <c r="H221" t="inlineStr">
        <is>
          <t>60.0000</t>
        </is>
      </c>
      <c r="I221" t="inlineStr">
        <is>
          <t>10</t>
        </is>
      </c>
      <c r="J221" t="inlineStr">
        <is>
          <t>3840x2160</t>
        </is>
      </c>
      <c r="K221" t="inlineStr">
        <is>
          <t>185</t>
        </is>
      </c>
      <c r="L221" t="n">
        <v>1841.465611</v>
      </c>
      <c r="M221" t="n">
        <v>37.334297</v>
      </c>
      <c r="N221" t="n">
        <v>46.201092</v>
      </c>
      <c r="O221" t="n">
        <v>42.946382</v>
      </c>
      <c r="P221" t="n">
        <v>18.556478</v>
      </c>
      <c r="Q221" t="n">
        <v>14.669681</v>
      </c>
      <c r="R221" t="n">
        <v>71.979285</v>
      </c>
      <c r="S221" t="n">
        <v>69.60590500000001</v>
      </c>
      <c r="T221" t="n">
        <v>34.861432</v>
      </c>
      <c r="U221" t="n">
        <v>39.374296</v>
      </c>
      <c r="V221" t="n">
        <v>37.315394</v>
      </c>
      <c r="W221" t="n">
        <v>46.182721</v>
      </c>
      <c r="X221" t="n">
        <v>42.912913</v>
      </c>
      <c r="Y221" t="n">
        <v>0.634987</v>
      </c>
      <c r="Z221" t="inlineStr"/>
      <c r="AA221" t="inlineStr"/>
      <c r="AB221" t="inlineStr"/>
      <c r="AC221" t="inlineStr"/>
      <c r="AD221" t="inlineStr"/>
      <c r="AE221" t="inlineStr"/>
      <c r="AF221" t="inlineStr">
        <is>
          <t>8d00d76c12ffb006f4ec0da12a3c4b75</t>
        </is>
      </c>
      <c r="AG221" t="inlineStr"/>
    </row>
    <row r="222">
      <c r="A222" t="inlineStr">
        <is>
          <t>AS</t>
        </is>
      </c>
      <c r="B222" t="inlineStr">
        <is>
          <t>aom</t>
        </is>
      </c>
      <c r="C222" t="inlineStr">
        <is>
          <t>av2</t>
        </is>
      </c>
      <c r="D222" t="inlineStr">
        <is>
          <t>0</t>
        </is>
      </c>
      <c r="E222" t="inlineStr">
        <is>
          <t>A1</t>
        </is>
      </c>
      <c r="F222" t="inlineStr">
        <is>
          <t>Tango</t>
        </is>
      </c>
      <c r="G222" t="inlineStr">
        <is>
          <t>3840x2160</t>
        </is>
      </c>
      <c r="H222" t="inlineStr">
        <is>
          <t>60.0000</t>
        </is>
      </c>
      <c r="I222" t="inlineStr">
        <is>
          <t>10</t>
        </is>
      </c>
      <c r="J222" t="inlineStr">
        <is>
          <t>3840x2160</t>
        </is>
      </c>
      <c r="K222" t="inlineStr">
        <is>
          <t>210</t>
        </is>
      </c>
      <c r="L222" t="n">
        <v>879.4626909999999</v>
      </c>
      <c r="M222" t="n">
        <v>35.109408</v>
      </c>
      <c r="N222" t="n">
        <v>43.850563</v>
      </c>
      <c r="O222" t="n">
        <v>40.299371</v>
      </c>
      <c r="P222" t="n">
        <v>15.031677</v>
      </c>
      <c r="Q222" t="n">
        <v>12.721891</v>
      </c>
      <c r="R222" t="n">
        <v>54.853184</v>
      </c>
      <c r="S222" t="n">
        <v>52.680018</v>
      </c>
      <c r="T222" t="n">
        <v>31.778016</v>
      </c>
      <c r="U222" t="n">
        <v>37.310508</v>
      </c>
      <c r="V222" t="n">
        <v>35.074636</v>
      </c>
      <c r="W222" t="n">
        <v>43.821935</v>
      </c>
      <c r="X222" t="n">
        <v>40.262004</v>
      </c>
      <c r="Y222" t="n">
        <v>0.671241</v>
      </c>
      <c r="Z222" t="inlineStr"/>
      <c r="AA222" t="inlineStr"/>
      <c r="AB222" t="inlineStr"/>
      <c r="AC222" t="inlineStr"/>
      <c r="AD222" t="inlineStr"/>
      <c r="AE222" t="inlineStr"/>
      <c r="AF222" t="inlineStr">
        <is>
          <t>3fc4ae5c58f7cde05cc1aa4ec1067ff2</t>
        </is>
      </c>
      <c r="AG222" t="inlineStr"/>
    </row>
    <row r="223">
      <c r="A223" t="inlineStr">
        <is>
          <t>AS</t>
        </is>
      </c>
      <c r="B223" t="inlineStr">
        <is>
          <t>aom</t>
        </is>
      </c>
      <c r="C223" t="inlineStr">
        <is>
          <t>av2</t>
        </is>
      </c>
      <c r="D223" t="inlineStr">
        <is>
          <t>0</t>
        </is>
      </c>
      <c r="E223" t="inlineStr">
        <is>
          <t>A1</t>
        </is>
      </c>
      <c r="F223" t="inlineStr">
        <is>
          <t>Tango</t>
        </is>
      </c>
      <c r="G223" t="inlineStr">
        <is>
          <t>3840x2160</t>
        </is>
      </c>
      <c r="H223" t="inlineStr">
        <is>
          <t>60.0000</t>
        </is>
      </c>
      <c r="I223" t="inlineStr">
        <is>
          <t>10</t>
        </is>
      </c>
      <c r="J223" t="inlineStr">
        <is>
          <t>3840x2160</t>
        </is>
      </c>
      <c r="K223" t="inlineStr">
        <is>
          <t>235</t>
        </is>
      </c>
      <c r="L223" t="n">
        <v>407.205103</v>
      </c>
      <c r="M223" t="n">
        <v>32.322571</v>
      </c>
      <c r="N223" t="n">
        <v>40.962348</v>
      </c>
      <c r="O223" t="n">
        <v>37.260131</v>
      </c>
      <c r="P223" t="n">
        <v>11.635183</v>
      </c>
      <c r="Q223" t="n">
        <v>10.58796</v>
      </c>
      <c r="R223" t="n">
        <v>34.597689</v>
      </c>
      <c r="S223" t="n">
        <v>33.04718</v>
      </c>
      <c r="T223" t="n">
        <v>28.541505</v>
      </c>
      <c r="U223" t="n">
        <v>34.699926</v>
      </c>
      <c r="V223" t="n">
        <v>32.273771</v>
      </c>
      <c r="W223" t="n">
        <v>40.928325</v>
      </c>
      <c r="X223" t="n">
        <v>37.217252</v>
      </c>
      <c r="Y223" t="n">
        <v>0.73532</v>
      </c>
      <c r="Z223" t="inlineStr"/>
      <c r="AA223" t="inlineStr"/>
      <c r="AB223" t="inlineStr"/>
      <c r="AC223" t="inlineStr"/>
      <c r="AD223" t="inlineStr"/>
      <c r="AE223" t="inlineStr"/>
      <c r="AF223" t="inlineStr">
        <is>
          <t>3e6818042d2353b5a8f4e75928110176</t>
        </is>
      </c>
      <c r="AG223" t="inlineStr"/>
    </row>
    <row r="224">
      <c r="A224" t="inlineStr">
        <is>
          <t>AS</t>
        </is>
      </c>
      <c r="B224" t="inlineStr">
        <is>
          <t>aom</t>
        </is>
      </c>
      <c r="C224" t="inlineStr">
        <is>
          <t>av2</t>
        </is>
      </c>
      <c r="D224" t="inlineStr">
        <is>
          <t>0</t>
        </is>
      </c>
      <c r="E224" t="inlineStr">
        <is>
          <t>A1</t>
        </is>
      </c>
      <c r="F224" t="inlineStr">
        <is>
          <t>Tango</t>
        </is>
      </c>
      <c r="G224" t="inlineStr">
        <is>
          <t>3840x2160</t>
        </is>
      </c>
      <c r="H224" t="inlineStr">
        <is>
          <t>60.0000</t>
        </is>
      </c>
      <c r="I224" t="inlineStr">
        <is>
          <t>10</t>
        </is>
      </c>
      <c r="J224" t="inlineStr">
        <is>
          <t>2560x1440</t>
        </is>
      </c>
      <c r="K224" t="inlineStr">
        <is>
          <t>110</t>
        </is>
      </c>
      <c r="L224" t="n">
        <v>13910.269423</v>
      </c>
      <c r="M224" t="n">
        <v>40.043098</v>
      </c>
      <c r="N224" t="n">
        <v>49.364864</v>
      </c>
      <c r="O224" t="n">
        <v>47.328313</v>
      </c>
      <c r="P224" t="n">
        <v>25.961179</v>
      </c>
      <c r="Q224" t="n">
        <v>17.740451</v>
      </c>
      <c r="R224" t="n">
        <v>95.51635</v>
      </c>
      <c r="S224" t="n">
        <v>93.403807</v>
      </c>
      <c r="T224" t="n">
        <v>40.429793</v>
      </c>
      <c r="U224" t="n">
        <v>42.163251</v>
      </c>
      <c r="V224" t="n">
        <v>40.03012</v>
      </c>
      <c r="W224" t="n">
        <v>49.358571</v>
      </c>
      <c r="X224" t="n">
        <v>47.310473</v>
      </c>
      <c r="Y224" t="n">
        <v>0.416014</v>
      </c>
      <c r="Z224" t="inlineStr"/>
      <c r="AA224" t="inlineStr"/>
      <c r="AB224" t="inlineStr"/>
      <c r="AC224" t="inlineStr"/>
      <c r="AD224" t="inlineStr"/>
      <c r="AE224" t="inlineStr"/>
      <c r="AF224" t="inlineStr">
        <is>
          <t>c2e58f28e9c5a9a51f7883f5040de4ce</t>
        </is>
      </c>
      <c r="AG224" t="inlineStr"/>
    </row>
    <row r="225">
      <c r="A225" t="inlineStr">
        <is>
          <t>AS</t>
        </is>
      </c>
      <c r="B225" t="inlineStr">
        <is>
          <t>aom</t>
        </is>
      </c>
      <c r="C225" t="inlineStr">
        <is>
          <t>av2</t>
        </is>
      </c>
      <c r="D225" t="inlineStr">
        <is>
          <t>0</t>
        </is>
      </c>
      <c r="E225" t="inlineStr">
        <is>
          <t>A1</t>
        </is>
      </c>
      <c r="F225" t="inlineStr">
        <is>
          <t>Tango</t>
        </is>
      </c>
      <c r="G225" t="inlineStr">
        <is>
          <t>3840x2160</t>
        </is>
      </c>
      <c r="H225" t="inlineStr">
        <is>
          <t>60.0000</t>
        </is>
      </c>
      <c r="I225" t="inlineStr">
        <is>
          <t>10</t>
        </is>
      </c>
      <c r="J225" t="inlineStr">
        <is>
          <t>2560x1440</t>
        </is>
      </c>
      <c r="K225" t="inlineStr">
        <is>
          <t>135</t>
        </is>
      </c>
      <c r="L225" t="n">
        <v>5525.3153</v>
      </c>
      <c r="M225" t="n">
        <v>39.340645</v>
      </c>
      <c r="N225" t="n">
        <v>48.535899</v>
      </c>
      <c r="O225" t="n">
        <v>46.051947</v>
      </c>
      <c r="P225" t="n">
        <v>23.447186</v>
      </c>
      <c r="Q225" t="n">
        <v>16.820397</v>
      </c>
      <c r="R225" t="n">
        <v>90.00231599999999</v>
      </c>
      <c r="S225" t="n">
        <v>87.51192899999999</v>
      </c>
      <c r="T225" t="n">
        <v>38.635243</v>
      </c>
      <c r="U225" t="n">
        <v>41.396618</v>
      </c>
      <c r="V225" t="n">
        <v>39.334569</v>
      </c>
      <c r="W225" t="n">
        <v>48.530025</v>
      </c>
      <c r="X225" t="n">
        <v>46.033669</v>
      </c>
      <c r="Y225" t="n">
        <v>0.468582</v>
      </c>
      <c r="Z225" t="inlineStr"/>
      <c r="AA225" t="inlineStr"/>
      <c r="AB225" t="inlineStr"/>
      <c r="AC225" t="inlineStr"/>
      <c r="AD225" t="inlineStr"/>
      <c r="AE225" t="inlineStr"/>
      <c r="AF225" t="inlineStr">
        <is>
          <t>4c8fefb21f47d26b016294155f40725c</t>
        </is>
      </c>
      <c r="AG225" t="inlineStr"/>
    </row>
    <row r="226">
      <c r="A226" t="inlineStr">
        <is>
          <t>AS</t>
        </is>
      </c>
      <c r="B226" t="inlineStr">
        <is>
          <t>aom</t>
        </is>
      </c>
      <c r="C226" t="inlineStr">
        <is>
          <t>av2</t>
        </is>
      </c>
      <c r="D226" t="inlineStr">
        <is>
          <t>0</t>
        </is>
      </c>
      <c r="E226" t="inlineStr">
        <is>
          <t>A1</t>
        </is>
      </c>
      <c r="F226" t="inlineStr">
        <is>
          <t>Tango</t>
        </is>
      </c>
      <c r="G226" t="inlineStr">
        <is>
          <t>3840x2160</t>
        </is>
      </c>
      <c r="H226" t="inlineStr">
        <is>
          <t>60.0000</t>
        </is>
      </c>
      <c r="I226" t="inlineStr">
        <is>
          <t>10</t>
        </is>
      </c>
      <c r="J226" t="inlineStr">
        <is>
          <t>2560x1440</t>
        </is>
      </c>
      <c r="K226" t="inlineStr">
        <is>
          <t>160</t>
        </is>
      </c>
      <c r="L226" t="n">
        <v>2481.075847</v>
      </c>
      <c r="M226" t="n">
        <v>38.113428</v>
      </c>
      <c r="N226" t="n">
        <v>47.179261</v>
      </c>
      <c r="O226" t="n">
        <v>44.121094</v>
      </c>
      <c r="P226" t="n">
        <v>20.179898</v>
      </c>
      <c r="Q226" t="n">
        <v>15.453182</v>
      </c>
      <c r="R226" t="n">
        <v>79.426627</v>
      </c>
      <c r="S226" t="n">
        <v>76.742935</v>
      </c>
      <c r="T226" t="n">
        <v>36.165808</v>
      </c>
      <c r="U226" t="n">
        <v>40.163969</v>
      </c>
      <c r="V226" t="n">
        <v>38.100807</v>
      </c>
      <c r="W226" t="n">
        <v>47.16748</v>
      </c>
      <c r="X226" t="n">
        <v>44.093048</v>
      </c>
      <c r="Y226" t="n">
        <v>0.60015</v>
      </c>
      <c r="Z226" t="inlineStr"/>
      <c r="AA226" t="inlineStr"/>
      <c r="AB226" t="inlineStr"/>
      <c r="AC226" t="inlineStr"/>
      <c r="AD226" t="inlineStr"/>
      <c r="AE226" t="inlineStr"/>
      <c r="AF226" t="inlineStr">
        <is>
          <t>baea4a6855985414afcc994e54bbe8d5</t>
        </is>
      </c>
      <c r="AG226" t="inlineStr"/>
    </row>
    <row r="227">
      <c r="A227" t="inlineStr">
        <is>
          <t>AS</t>
        </is>
      </c>
      <c r="B227" t="inlineStr">
        <is>
          <t>aom</t>
        </is>
      </c>
      <c r="C227" t="inlineStr">
        <is>
          <t>av2</t>
        </is>
      </c>
      <c r="D227" t="inlineStr">
        <is>
          <t>0</t>
        </is>
      </c>
      <c r="E227" t="inlineStr">
        <is>
          <t>A1</t>
        </is>
      </c>
      <c r="F227" t="inlineStr">
        <is>
          <t>Tango</t>
        </is>
      </c>
      <c r="G227" t="inlineStr">
        <is>
          <t>3840x2160</t>
        </is>
      </c>
      <c r="H227" t="inlineStr">
        <is>
          <t>60.0000</t>
        </is>
      </c>
      <c r="I227" t="inlineStr">
        <is>
          <t>10</t>
        </is>
      </c>
      <c r="J227" t="inlineStr">
        <is>
          <t>2560x1440</t>
        </is>
      </c>
      <c r="K227" t="inlineStr">
        <is>
          <t>185</t>
        </is>
      </c>
      <c r="L227" t="n">
        <v>1190.531315</v>
      </c>
      <c r="M227" t="n">
        <v>36.234836</v>
      </c>
      <c r="N227" t="n">
        <v>45.288016</v>
      </c>
      <c r="O227" t="n">
        <v>41.734048</v>
      </c>
      <c r="P227" t="n">
        <v>16.712677</v>
      </c>
      <c r="Q227" t="n">
        <v>13.681312</v>
      </c>
      <c r="R227" t="n">
        <v>63.286827</v>
      </c>
      <c r="S227" t="n">
        <v>60.872927</v>
      </c>
      <c r="T227" t="n">
        <v>33.268119</v>
      </c>
      <c r="U227" t="n">
        <v>38.431753</v>
      </c>
      <c r="V227" t="n">
        <v>36.208505</v>
      </c>
      <c r="W227" t="n">
        <v>45.265007</v>
      </c>
      <c r="X227" t="n">
        <v>41.698289</v>
      </c>
      <c r="Y227" t="n">
        <v>0.66982</v>
      </c>
      <c r="Z227" t="inlineStr"/>
      <c r="AA227" t="inlineStr"/>
      <c r="AB227" t="inlineStr"/>
      <c r="AC227" t="inlineStr"/>
      <c r="AD227" t="inlineStr"/>
      <c r="AE227" t="inlineStr"/>
      <c r="AF227" t="inlineStr">
        <is>
          <t>b0f66391011c657a1a797cf66c501025</t>
        </is>
      </c>
      <c r="AG227" t="inlineStr"/>
    </row>
    <row r="228">
      <c r="A228" t="inlineStr">
        <is>
          <t>AS</t>
        </is>
      </c>
      <c r="B228" t="inlineStr">
        <is>
          <t>aom</t>
        </is>
      </c>
      <c r="C228" t="inlineStr">
        <is>
          <t>av2</t>
        </is>
      </c>
      <c r="D228" t="inlineStr">
        <is>
          <t>0</t>
        </is>
      </c>
      <c r="E228" t="inlineStr">
        <is>
          <t>A1</t>
        </is>
      </c>
      <c r="F228" t="inlineStr">
        <is>
          <t>Tango</t>
        </is>
      </c>
      <c r="G228" t="inlineStr">
        <is>
          <t>3840x2160</t>
        </is>
      </c>
      <c r="H228" t="inlineStr">
        <is>
          <t>60.0000</t>
        </is>
      </c>
      <c r="I228" t="inlineStr">
        <is>
          <t>10</t>
        </is>
      </c>
      <c r="J228" t="inlineStr">
        <is>
          <t>2560x1440</t>
        </is>
      </c>
      <c r="K228" t="inlineStr">
        <is>
          <t>210</t>
        </is>
      </c>
      <c r="L228" t="n">
        <v>557.446246</v>
      </c>
      <c r="M228" t="n">
        <v>33.730914</v>
      </c>
      <c r="N228" t="n">
        <v>42.89326</v>
      </c>
      <c r="O228" t="n">
        <v>39.061277</v>
      </c>
      <c r="P228" t="n">
        <v>13.279922</v>
      </c>
      <c r="Q228" t="n">
        <v>11.646663</v>
      </c>
      <c r="R228" t="n">
        <v>45.238737</v>
      </c>
      <c r="S228" t="n">
        <v>43.090867</v>
      </c>
      <c r="T228" t="n">
        <v>30.146886</v>
      </c>
      <c r="U228" t="n">
        <v>36.195413</v>
      </c>
      <c r="V228" t="n">
        <v>33.689624</v>
      </c>
      <c r="W228" t="n">
        <v>42.864316</v>
      </c>
      <c r="X228" t="n">
        <v>39.023803</v>
      </c>
      <c r="Y228" t="n">
        <v>0.795735</v>
      </c>
      <c r="Z228" t="inlineStr"/>
      <c r="AA228" t="inlineStr"/>
      <c r="AB228" t="inlineStr"/>
      <c r="AC228" t="inlineStr"/>
      <c r="AD228" t="inlineStr"/>
      <c r="AE228" t="inlineStr"/>
      <c r="AF228" t="inlineStr">
        <is>
          <t>ae419b19af5cb484cfde68a83d29f98a</t>
        </is>
      </c>
      <c r="AG228" t="inlineStr"/>
    </row>
    <row r="229">
      <c r="A229" t="inlineStr">
        <is>
          <t>AS</t>
        </is>
      </c>
      <c r="B229" t="inlineStr">
        <is>
          <t>aom</t>
        </is>
      </c>
      <c r="C229" t="inlineStr">
        <is>
          <t>av2</t>
        </is>
      </c>
      <c r="D229" t="inlineStr">
        <is>
          <t>0</t>
        </is>
      </c>
      <c r="E229" t="inlineStr">
        <is>
          <t>A1</t>
        </is>
      </c>
      <c r="F229" t="inlineStr">
        <is>
          <t>Tango</t>
        </is>
      </c>
      <c r="G229" t="inlineStr">
        <is>
          <t>3840x2160</t>
        </is>
      </c>
      <c r="H229" t="inlineStr">
        <is>
          <t>60.0000</t>
        </is>
      </c>
      <c r="I229" t="inlineStr">
        <is>
          <t>10</t>
        </is>
      </c>
      <c r="J229" t="inlineStr">
        <is>
          <t>2560x1440</t>
        </is>
      </c>
      <c r="K229" t="inlineStr">
        <is>
          <t>235</t>
        </is>
      </c>
      <c r="L229" t="n">
        <v>252.615077</v>
      </c>
      <c r="M229" t="n">
        <v>30.850468</v>
      </c>
      <c r="N229" t="n">
        <v>39.863344</v>
      </c>
      <c r="O229" t="n">
        <v>36.01728</v>
      </c>
      <c r="P229" t="n">
        <v>10.180685</v>
      </c>
      <c r="Q229" t="n">
        <v>9.614034999999999</v>
      </c>
      <c r="R229" t="n">
        <v>26.796951</v>
      </c>
      <c r="S229" t="n">
        <v>25.375737</v>
      </c>
      <c r="T229" t="n">
        <v>27.004639</v>
      </c>
      <c r="U229" t="n">
        <v>33.433647</v>
      </c>
      <c r="V229" t="n">
        <v>30.798391</v>
      </c>
      <c r="W229" t="n">
        <v>39.819686</v>
      </c>
      <c r="X229" t="n">
        <v>35.976385</v>
      </c>
      <c r="Y229" t="n">
        <v>0.8679829999999999</v>
      </c>
      <c r="Z229" t="inlineStr"/>
      <c r="AA229" t="inlineStr"/>
      <c r="AB229" t="inlineStr"/>
      <c r="AC229" t="inlineStr"/>
      <c r="AD229" t="inlineStr"/>
      <c r="AE229" t="inlineStr"/>
      <c r="AF229" t="inlineStr">
        <is>
          <t>ff231233d7d9d5d5a3c66ba696599277</t>
        </is>
      </c>
      <c r="AG229" t="inlineStr"/>
    </row>
    <row r="230">
      <c r="A230" t="inlineStr">
        <is>
          <t>AS</t>
        </is>
      </c>
      <c r="B230" t="inlineStr">
        <is>
          <t>aom</t>
        </is>
      </c>
      <c r="C230" t="inlineStr">
        <is>
          <t>av2</t>
        </is>
      </c>
      <c r="D230" t="inlineStr">
        <is>
          <t>0</t>
        </is>
      </c>
      <c r="E230" t="inlineStr">
        <is>
          <t>A1</t>
        </is>
      </c>
      <c r="F230" t="inlineStr">
        <is>
          <t>Tango</t>
        </is>
      </c>
      <c r="G230" t="inlineStr">
        <is>
          <t>3840x2160</t>
        </is>
      </c>
      <c r="H230" t="inlineStr">
        <is>
          <t>60.0000</t>
        </is>
      </c>
      <c r="I230" t="inlineStr">
        <is>
          <t>10</t>
        </is>
      </c>
      <c r="J230" t="inlineStr">
        <is>
          <t>1920x1080</t>
        </is>
      </c>
      <c r="K230" t="inlineStr">
        <is>
          <t>110</t>
        </is>
      </c>
      <c r="L230" t="n">
        <v>9129.844924000001</v>
      </c>
      <c r="M230" t="n">
        <v>39.759059</v>
      </c>
      <c r="N230" t="n">
        <v>49.029445</v>
      </c>
      <c r="O230" t="n">
        <v>46.703406</v>
      </c>
      <c r="P230" t="n">
        <v>24.995121</v>
      </c>
      <c r="Q230" t="n">
        <v>17.365907</v>
      </c>
      <c r="R230" t="n">
        <v>93.322181</v>
      </c>
      <c r="S230" t="n">
        <v>91.04582600000001</v>
      </c>
      <c r="T230" t="n">
        <v>39.698806</v>
      </c>
      <c r="U230" t="n">
        <v>41.836029</v>
      </c>
      <c r="V230" t="n">
        <v>39.752583</v>
      </c>
      <c r="W230" t="n">
        <v>49.024314</v>
      </c>
      <c r="X230" t="n">
        <v>46.687189</v>
      </c>
      <c r="Y230" t="n">
        <v>0.494493</v>
      </c>
      <c r="Z230" t="inlineStr"/>
      <c r="AA230" t="inlineStr"/>
      <c r="AB230" t="inlineStr"/>
      <c r="AC230" t="inlineStr"/>
      <c r="AD230" t="inlineStr"/>
      <c r="AE230" t="inlineStr"/>
      <c r="AF230" t="inlineStr">
        <is>
          <t>9a4175935b61249b0a75e463680c5c9d</t>
        </is>
      </c>
      <c r="AG230" t="inlineStr"/>
    </row>
    <row r="231">
      <c r="A231" t="inlineStr">
        <is>
          <t>AS</t>
        </is>
      </c>
      <c r="B231" t="inlineStr">
        <is>
          <t>aom</t>
        </is>
      </c>
      <c r="C231" t="inlineStr">
        <is>
          <t>av2</t>
        </is>
      </c>
      <c r="D231" t="inlineStr">
        <is>
          <t>0</t>
        </is>
      </c>
      <c r="E231" t="inlineStr">
        <is>
          <t>A1</t>
        </is>
      </c>
      <c r="F231" t="inlineStr">
        <is>
          <t>Tango</t>
        </is>
      </c>
      <c r="G231" t="inlineStr">
        <is>
          <t>3840x2160</t>
        </is>
      </c>
      <c r="H231" t="inlineStr">
        <is>
          <t>60.0000</t>
        </is>
      </c>
      <c r="I231" t="inlineStr">
        <is>
          <t>10</t>
        </is>
      </c>
      <c r="J231" t="inlineStr">
        <is>
          <t>1920x1080</t>
        </is>
      </c>
      <c r="K231" t="inlineStr">
        <is>
          <t>135</t>
        </is>
      </c>
      <c r="L231" t="n">
        <v>3935.026205</v>
      </c>
      <c r="M231" t="n">
        <v>38.909579</v>
      </c>
      <c r="N231" t="n">
        <v>48.072202</v>
      </c>
      <c r="O231" t="n">
        <v>45.280357</v>
      </c>
      <c r="P231" t="n">
        <v>22.240563</v>
      </c>
      <c r="Q231" t="n">
        <v>16.325144</v>
      </c>
      <c r="R231" t="n">
        <v>86.26669200000001</v>
      </c>
      <c r="S231" t="n">
        <v>83.663946</v>
      </c>
      <c r="T231" t="n">
        <v>37.701682</v>
      </c>
      <c r="U231" t="n">
        <v>40.950867</v>
      </c>
      <c r="V231" t="n">
        <v>38.902548</v>
      </c>
      <c r="W231" t="n">
        <v>48.064246</v>
      </c>
      <c r="X231" t="n">
        <v>45.259489</v>
      </c>
      <c r="Y231" t="n">
        <v>0.572397</v>
      </c>
      <c r="Z231" t="inlineStr"/>
      <c r="AA231" t="inlineStr"/>
      <c r="AB231" t="inlineStr"/>
      <c r="AC231" t="inlineStr"/>
      <c r="AD231" t="inlineStr"/>
      <c r="AE231" t="inlineStr"/>
      <c r="AF231" t="inlineStr">
        <is>
          <t>d5bc779dbf56fcb2279d6fed1229d4cd</t>
        </is>
      </c>
      <c r="AG231" t="inlineStr"/>
    </row>
    <row r="232">
      <c r="A232" t="inlineStr">
        <is>
          <t>AS</t>
        </is>
      </c>
      <c r="B232" t="inlineStr">
        <is>
          <t>aom</t>
        </is>
      </c>
      <c r="C232" t="inlineStr">
        <is>
          <t>av2</t>
        </is>
      </c>
      <c r="D232" t="inlineStr">
        <is>
          <t>0</t>
        </is>
      </c>
      <c r="E232" t="inlineStr">
        <is>
          <t>A1</t>
        </is>
      </c>
      <c r="F232" t="inlineStr">
        <is>
          <t>Tango</t>
        </is>
      </c>
      <c r="G232" t="inlineStr">
        <is>
          <t>3840x2160</t>
        </is>
      </c>
      <c r="H232" t="inlineStr">
        <is>
          <t>60.0000</t>
        </is>
      </c>
      <c r="I232" t="inlineStr">
        <is>
          <t>10</t>
        </is>
      </c>
      <c r="J232" t="inlineStr">
        <is>
          <t>1920x1080</t>
        </is>
      </c>
      <c r="K232" t="inlineStr">
        <is>
          <t>160</t>
        </is>
      </c>
      <c r="L232" t="n">
        <v>1836.124491</v>
      </c>
      <c r="M232" t="n">
        <v>37.439484</v>
      </c>
      <c r="N232" t="n">
        <v>46.559055</v>
      </c>
      <c r="O232" t="n">
        <v>43.223606</v>
      </c>
      <c r="P232" t="n">
        <v>18.843542</v>
      </c>
      <c r="Q232" t="n">
        <v>14.791022</v>
      </c>
      <c r="R232" t="n">
        <v>73.80455499999999</v>
      </c>
      <c r="S232" t="n">
        <v>71.08136399999999</v>
      </c>
      <c r="T232" t="n">
        <v>35.044205</v>
      </c>
      <c r="U232" t="n">
        <v>39.552341</v>
      </c>
      <c r="V232" t="n">
        <v>37.422044</v>
      </c>
      <c r="W232" t="n">
        <v>46.543173</v>
      </c>
      <c r="X232" t="n">
        <v>43.193445</v>
      </c>
      <c r="Y232" t="n">
        <v>0.69675</v>
      </c>
      <c r="Z232" t="inlineStr"/>
      <c r="AA232" t="inlineStr"/>
      <c r="AB232" t="inlineStr"/>
      <c r="AC232" t="inlineStr"/>
      <c r="AD232" t="inlineStr"/>
      <c r="AE232" t="inlineStr"/>
      <c r="AF232" t="inlineStr">
        <is>
          <t>0127649d49d361e147df52f469e6ef8a</t>
        </is>
      </c>
      <c r="AG232" t="inlineStr"/>
    </row>
    <row r="233">
      <c r="A233" t="inlineStr">
        <is>
          <t>AS</t>
        </is>
      </c>
      <c r="B233" t="inlineStr">
        <is>
          <t>aom</t>
        </is>
      </c>
      <c r="C233" t="inlineStr">
        <is>
          <t>av2</t>
        </is>
      </c>
      <c r="D233" t="inlineStr">
        <is>
          <t>0</t>
        </is>
      </c>
      <c r="E233" t="inlineStr">
        <is>
          <t>A1</t>
        </is>
      </c>
      <c r="F233" t="inlineStr">
        <is>
          <t>Tango</t>
        </is>
      </c>
      <c r="G233" t="inlineStr">
        <is>
          <t>3840x2160</t>
        </is>
      </c>
      <c r="H233" t="inlineStr">
        <is>
          <t>60.0000</t>
        </is>
      </c>
      <c r="I233" t="inlineStr">
        <is>
          <t>10</t>
        </is>
      </c>
      <c r="J233" t="inlineStr">
        <is>
          <t>1920x1080</t>
        </is>
      </c>
      <c r="K233" t="inlineStr">
        <is>
          <t>185</t>
        </is>
      </c>
      <c r="L233" t="n">
        <v>873.704757</v>
      </c>
      <c r="M233" t="n">
        <v>35.34679</v>
      </c>
      <c r="N233" t="n">
        <v>44.542876</v>
      </c>
      <c r="O233" t="n">
        <v>40.795809</v>
      </c>
      <c r="P233" t="n">
        <v>15.421125</v>
      </c>
      <c r="Q233" t="n">
        <v>12.938343</v>
      </c>
      <c r="R233" t="n">
        <v>56.408773</v>
      </c>
      <c r="S233" t="n">
        <v>54.004802</v>
      </c>
      <c r="T233" t="n">
        <v>32.097191</v>
      </c>
      <c r="U233" t="n">
        <v>37.66447</v>
      </c>
      <c r="V233" t="n">
        <v>35.315278</v>
      </c>
      <c r="W233" t="n">
        <v>44.516561</v>
      </c>
      <c r="X233" t="n">
        <v>40.758219</v>
      </c>
      <c r="Y233" t="n">
        <v>0.806438</v>
      </c>
      <c r="Z233" t="inlineStr"/>
      <c r="AA233" t="inlineStr"/>
      <c r="AB233" t="inlineStr"/>
      <c r="AC233" t="inlineStr"/>
      <c r="AD233" t="inlineStr"/>
      <c r="AE233" t="inlineStr"/>
      <c r="AF233" t="inlineStr">
        <is>
          <t>7f985c8e0ffefb25725377efc29efe05</t>
        </is>
      </c>
      <c r="AG233" t="inlineStr"/>
    </row>
    <row r="234">
      <c r="A234" t="inlineStr">
        <is>
          <t>AS</t>
        </is>
      </c>
      <c r="B234" t="inlineStr">
        <is>
          <t>aom</t>
        </is>
      </c>
      <c r="C234" t="inlineStr">
        <is>
          <t>av2</t>
        </is>
      </c>
      <c r="D234" t="inlineStr">
        <is>
          <t>0</t>
        </is>
      </c>
      <c r="E234" t="inlineStr">
        <is>
          <t>A1</t>
        </is>
      </c>
      <c r="F234" t="inlineStr">
        <is>
          <t>Tango</t>
        </is>
      </c>
      <c r="G234" t="inlineStr">
        <is>
          <t>3840x2160</t>
        </is>
      </c>
      <c r="H234" t="inlineStr">
        <is>
          <t>60.0000</t>
        </is>
      </c>
      <c r="I234" t="inlineStr">
        <is>
          <t>10</t>
        </is>
      </c>
      <c r="J234" t="inlineStr">
        <is>
          <t>1920x1080</t>
        </is>
      </c>
      <c r="K234" t="inlineStr">
        <is>
          <t>210</t>
        </is>
      </c>
      <c r="L234" t="n">
        <v>400.145086</v>
      </c>
      <c r="M234" t="n">
        <v>32.676706</v>
      </c>
      <c r="N234" t="n">
        <v>42.176189</v>
      </c>
      <c r="O234" t="n">
        <v>38.105415</v>
      </c>
      <c r="P234" t="n">
        <v>12.054016</v>
      </c>
      <c r="Q234" t="n">
        <v>10.865307</v>
      </c>
      <c r="R234" t="n">
        <v>38.511805</v>
      </c>
      <c r="S234" t="n">
        <v>36.571757</v>
      </c>
      <c r="T234" t="n">
        <v>28.975525</v>
      </c>
      <c r="U234" t="n">
        <v>35.314124</v>
      </c>
      <c r="V234" t="n">
        <v>32.631129</v>
      </c>
      <c r="W234" t="n">
        <v>42.1438</v>
      </c>
      <c r="X234" t="n">
        <v>38.066871</v>
      </c>
      <c r="Y234" t="n">
        <v>0.943787</v>
      </c>
      <c r="Z234" t="inlineStr"/>
      <c r="AA234" t="inlineStr"/>
      <c r="AB234" t="inlineStr"/>
      <c r="AC234" t="inlineStr"/>
      <c r="AD234" t="inlineStr"/>
      <c r="AE234" t="inlineStr"/>
      <c r="AF234" t="inlineStr">
        <is>
          <t>9ba2aa0a8c416ba5dc246436bd1672cc</t>
        </is>
      </c>
      <c r="AG234" t="inlineStr"/>
    </row>
    <row r="235">
      <c r="A235" t="inlineStr">
        <is>
          <t>AS</t>
        </is>
      </c>
      <c r="B235" t="inlineStr">
        <is>
          <t>aom</t>
        </is>
      </c>
      <c r="C235" t="inlineStr">
        <is>
          <t>av2</t>
        </is>
      </c>
      <c r="D235" t="inlineStr">
        <is>
          <t>0</t>
        </is>
      </c>
      <c r="E235" t="inlineStr">
        <is>
          <t>A1</t>
        </is>
      </c>
      <c r="F235" t="inlineStr">
        <is>
          <t>Tango</t>
        </is>
      </c>
      <c r="G235" t="inlineStr">
        <is>
          <t>3840x2160</t>
        </is>
      </c>
      <c r="H235" t="inlineStr">
        <is>
          <t>60.0000</t>
        </is>
      </c>
      <c r="I235" t="inlineStr">
        <is>
          <t>10</t>
        </is>
      </c>
      <c r="J235" t="inlineStr">
        <is>
          <t>1920x1080</t>
        </is>
      </c>
      <c r="K235" t="inlineStr">
        <is>
          <t>235</t>
        </is>
      </c>
      <c r="L235" t="n">
        <v>177.850457</v>
      </c>
      <c r="M235" t="n">
        <v>29.785949</v>
      </c>
      <c r="N235" t="n">
        <v>39.195835</v>
      </c>
      <c r="O235" t="n">
        <v>35.122075</v>
      </c>
      <c r="P235" t="n">
        <v>9.204833000000001</v>
      </c>
      <c r="Q235" t="n">
        <v>8.954466</v>
      </c>
      <c r="R235" t="n">
        <v>21.65473</v>
      </c>
      <c r="S235" t="n">
        <v>20.372764</v>
      </c>
      <c r="T235" t="n">
        <v>25.935197</v>
      </c>
      <c r="U235" t="n">
        <v>32.52441</v>
      </c>
      <c r="V235" t="n">
        <v>29.73265</v>
      </c>
      <c r="W235" t="n">
        <v>39.157488</v>
      </c>
      <c r="X235" t="n">
        <v>35.07505</v>
      </c>
      <c r="Y235" t="n">
        <v>1.041998</v>
      </c>
      <c r="Z235" t="inlineStr"/>
      <c r="AA235" t="inlineStr"/>
      <c r="AB235" t="inlineStr"/>
      <c r="AC235" t="inlineStr"/>
      <c r="AD235" t="inlineStr"/>
      <c r="AE235" t="inlineStr"/>
      <c r="AF235" t="inlineStr">
        <is>
          <t>577a25bd0f8fc26bb7c517a8a58749f3</t>
        </is>
      </c>
      <c r="AG235" t="inlineStr"/>
    </row>
    <row r="236">
      <c r="A236" t="inlineStr">
        <is>
          <t>AS</t>
        </is>
      </c>
      <c r="B236" t="inlineStr">
        <is>
          <t>aom</t>
        </is>
      </c>
      <c r="C236" t="inlineStr">
        <is>
          <t>av2</t>
        </is>
      </c>
      <c r="D236" t="inlineStr">
        <is>
          <t>0</t>
        </is>
      </c>
      <c r="E236" t="inlineStr">
        <is>
          <t>A1</t>
        </is>
      </c>
      <c r="F236" t="inlineStr">
        <is>
          <t>Tango</t>
        </is>
      </c>
      <c r="G236" t="inlineStr">
        <is>
          <t>3840x2160</t>
        </is>
      </c>
      <c r="H236" t="inlineStr">
        <is>
          <t>60.0000</t>
        </is>
      </c>
      <c r="I236" t="inlineStr">
        <is>
          <t>10</t>
        </is>
      </c>
      <c r="J236" t="inlineStr">
        <is>
          <t>1280x720</t>
        </is>
      </c>
      <c r="K236" t="inlineStr">
        <is>
          <t>110</t>
        </is>
      </c>
      <c r="L236" t="n">
        <v>5415.412895</v>
      </c>
      <c r="M236" t="n">
        <v>39.151413</v>
      </c>
      <c r="N236" t="n">
        <v>48.361862</v>
      </c>
      <c r="O236" t="n">
        <v>45.455986</v>
      </c>
      <c r="P236" t="n">
        <v>23.36446</v>
      </c>
      <c r="Q236" t="n">
        <v>16.686025</v>
      </c>
      <c r="R236" t="n">
        <v>87.776363</v>
      </c>
      <c r="S236" t="n">
        <v>85.38391900000001</v>
      </c>
      <c r="T236" t="n">
        <v>38.314557</v>
      </c>
      <c r="U236" t="n">
        <v>41.196539</v>
      </c>
      <c r="V236" t="n">
        <v>39.146419</v>
      </c>
      <c r="W236" t="n">
        <v>48.35585</v>
      </c>
      <c r="X236" t="n">
        <v>45.438504</v>
      </c>
      <c r="Y236" t="n">
        <v>0.5580889999999999</v>
      </c>
      <c r="Z236" t="inlineStr"/>
      <c r="AA236" t="inlineStr"/>
      <c r="AB236" t="inlineStr"/>
      <c r="AC236" t="inlineStr"/>
      <c r="AD236" t="inlineStr"/>
      <c r="AE236" t="inlineStr"/>
      <c r="AF236" t="inlineStr">
        <is>
          <t>fae5ad1792dd38b6191cd07bc71a9a75</t>
        </is>
      </c>
      <c r="AG236" t="inlineStr"/>
    </row>
    <row r="237">
      <c r="A237" t="inlineStr">
        <is>
          <t>AS</t>
        </is>
      </c>
      <c r="B237" t="inlineStr">
        <is>
          <t>aom</t>
        </is>
      </c>
      <c r="C237" t="inlineStr">
        <is>
          <t>av2</t>
        </is>
      </c>
      <c r="D237" t="inlineStr">
        <is>
          <t>0</t>
        </is>
      </c>
      <c r="E237" t="inlineStr">
        <is>
          <t>A1</t>
        </is>
      </c>
      <c r="F237" t="inlineStr">
        <is>
          <t>Tango</t>
        </is>
      </c>
      <c r="G237" t="inlineStr">
        <is>
          <t>3840x2160</t>
        </is>
      </c>
      <c r="H237" t="inlineStr">
        <is>
          <t>60.0000</t>
        </is>
      </c>
      <c r="I237" t="inlineStr">
        <is>
          <t>10</t>
        </is>
      </c>
      <c r="J237" t="inlineStr">
        <is>
          <t>1280x720</t>
        </is>
      </c>
      <c r="K237" t="inlineStr">
        <is>
          <t>135</t>
        </is>
      </c>
      <c r="L237" t="n">
        <v>2565.198494</v>
      </c>
      <c r="M237" t="n">
        <v>38.047061</v>
      </c>
      <c r="N237" t="n">
        <v>47.244602</v>
      </c>
      <c r="O237" t="n">
        <v>43.923551</v>
      </c>
      <c r="P237" t="n">
        <v>20.337609</v>
      </c>
      <c r="Q237" t="n">
        <v>15.444336</v>
      </c>
      <c r="R237" t="n">
        <v>78.17644799999999</v>
      </c>
      <c r="S237" t="n">
        <v>75.548429</v>
      </c>
      <c r="T237" t="n">
        <v>36.091911</v>
      </c>
      <c r="U237" t="n">
        <v>40.136706</v>
      </c>
      <c r="V237" t="n">
        <v>38.035189</v>
      </c>
      <c r="W237" t="n">
        <v>47.234046</v>
      </c>
      <c r="X237" t="n">
        <v>43.898896</v>
      </c>
      <c r="Y237" t="n">
        <v>0.664504</v>
      </c>
      <c r="Z237" t="inlineStr"/>
      <c r="AA237" t="inlineStr"/>
      <c r="AB237" t="inlineStr"/>
      <c r="AC237" t="inlineStr"/>
      <c r="AD237" t="inlineStr"/>
      <c r="AE237" t="inlineStr"/>
      <c r="AF237" t="inlineStr">
        <is>
          <t>3c6a3f88de72fa7ce84161565eb38eee</t>
        </is>
      </c>
      <c r="AG237" t="inlineStr"/>
    </row>
    <row r="238">
      <c r="A238" t="inlineStr">
        <is>
          <t>AS</t>
        </is>
      </c>
      <c r="B238" t="inlineStr">
        <is>
          <t>aom</t>
        </is>
      </c>
      <c r="C238" t="inlineStr">
        <is>
          <t>av2</t>
        </is>
      </c>
      <c r="D238" t="inlineStr">
        <is>
          <t>0</t>
        </is>
      </c>
      <c r="E238" t="inlineStr">
        <is>
          <t>A1</t>
        </is>
      </c>
      <c r="F238" t="inlineStr">
        <is>
          <t>Tango</t>
        </is>
      </c>
      <c r="G238" t="inlineStr">
        <is>
          <t>3840x2160</t>
        </is>
      </c>
      <c r="H238" t="inlineStr">
        <is>
          <t>60.0000</t>
        </is>
      </c>
      <c r="I238" t="inlineStr">
        <is>
          <t>10</t>
        </is>
      </c>
      <c r="J238" t="inlineStr">
        <is>
          <t>1280x720</t>
        </is>
      </c>
      <c r="K238" t="inlineStr">
        <is>
          <t>160</t>
        </is>
      </c>
      <c r="L238" t="n">
        <v>1198.764313</v>
      </c>
      <c r="M238" t="n">
        <v>36.27159</v>
      </c>
      <c r="N238" t="n">
        <v>45.542347</v>
      </c>
      <c r="O238" t="n">
        <v>41.779737</v>
      </c>
      <c r="P238" t="n">
        <v>16.904143</v>
      </c>
      <c r="Q238" t="n">
        <v>13.745139</v>
      </c>
      <c r="R238" t="n">
        <v>63.536347</v>
      </c>
      <c r="S238" t="n">
        <v>60.873675</v>
      </c>
      <c r="T238" t="n">
        <v>33.327566</v>
      </c>
      <c r="U238" t="n">
        <v>38.526251</v>
      </c>
      <c r="V238" t="n">
        <v>36.246836</v>
      </c>
      <c r="W238" t="n">
        <v>45.523255</v>
      </c>
      <c r="X238" t="n">
        <v>41.748038</v>
      </c>
      <c r="Y238" t="n">
        <v>0.837995</v>
      </c>
      <c r="Z238" t="inlineStr"/>
      <c r="AA238" t="inlineStr"/>
      <c r="AB238" t="inlineStr"/>
      <c r="AC238" t="inlineStr"/>
      <c r="AD238" t="inlineStr"/>
      <c r="AE238" t="inlineStr"/>
      <c r="AF238" t="inlineStr">
        <is>
          <t>6c1d72f41270a57564159c64bef840f7</t>
        </is>
      </c>
      <c r="AG238" t="inlineStr"/>
    </row>
    <row r="239">
      <c r="A239" t="inlineStr">
        <is>
          <t>AS</t>
        </is>
      </c>
      <c r="B239" t="inlineStr">
        <is>
          <t>aom</t>
        </is>
      </c>
      <c r="C239" t="inlineStr">
        <is>
          <t>av2</t>
        </is>
      </c>
      <c r="D239" t="inlineStr">
        <is>
          <t>0</t>
        </is>
      </c>
      <c r="E239" t="inlineStr">
        <is>
          <t>A1</t>
        </is>
      </c>
      <c r="F239" t="inlineStr">
        <is>
          <t>Tango</t>
        </is>
      </c>
      <c r="G239" t="inlineStr">
        <is>
          <t>3840x2160</t>
        </is>
      </c>
      <c r="H239" t="inlineStr">
        <is>
          <t>60.0000</t>
        </is>
      </c>
      <c r="I239" t="inlineStr">
        <is>
          <t>10</t>
        </is>
      </c>
      <c r="J239" t="inlineStr">
        <is>
          <t>1280x720</t>
        </is>
      </c>
      <c r="K239" t="inlineStr">
        <is>
          <t>185</t>
        </is>
      </c>
      <c r="L239" t="n">
        <v>558.206102</v>
      </c>
      <c r="M239" t="n">
        <v>33.923917</v>
      </c>
      <c r="N239" t="n">
        <v>43.44166</v>
      </c>
      <c r="O239" t="n">
        <v>39.36452</v>
      </c>
      <c r="P239" t="n">
        <v>13.561995</v>
      </c>
      <c r="Q239" t="n">
        <v>11.808069</v>
      </c>
      <c r="R239" t="n">
        <v>45.781993</v>
      </c>
      <c r="S239" t="n">
        <v>43.675848</v>
      </c>
      <c r="T239" t="n">
        <v>30.377846</v>
      </c>
      <c r="U239" t="n">
        <v>36.488186</v>
      </c>
      <c r="V239" t="n">
        <v>33.885548</v>
      </c>
      <c r="W239" t="n">
        <v>43.407695</v>
      </c>
      <c r="X239" t="n">
        <v>39.326069</v>
      </c>
      <c r="Y239" t="n">
        <v>1.00283</v>
      </c>
      <c r="Z239" t="inlineStr"/>
      <c r="AA239" t="inlineStr"/>
      <c r="AB239" t="inlineStr"/>
      <c r="AC239" t="inlineStr"/>
      <c r="AD239" t="inlineStr"/>
      <c r="AE239" t="inlineStr"/>
      <c r="AF239" t="inlineStr">
        <is>
          <t>0ecbe49b596e4a49124b4993c2c43147</t>
        </is>
      </c>
      <c r="AG239" t="inlineStr"/>
    </row>
    <row r="240">
      <c r="A240" t="inlineStr">
        <is>
          <t>AS</t>
        </is>
      </c>
      <c r="B240" t="inlineStr">
        <is>
          <t>aom</t>
        </is>
      </c>
      <c r="C240" t="inlineStr">
        <is>
          <t>av2</t>
        </is>
      </c>
      <c r="D240" t="inlineStr">
        <is>
          <t>0</t>
        </is>
      </c>
      <c r="E240" t="inlineStr">
        <is>
          <t>A1</t>
        </is>
      </c>
      <c r="F240" t="inlineStr">
        <is>
          <t>Tango</t>
        </is>
      </c>
      <c r="G240" t="inlineStr">
        <is>
          <t>3840x2160</t>
        </is>
      </c>
      <c r="H240" t="inlineStr">
        <is>
          <t>60.0000</t>
        </is>
      </c>
      <c r="I240" t="inlineStr">
        <is>
          <t>10</t>
        </is>
      </c>
      <c r="J240" t="inlineStr">
        <is>
          <t>1280x720</t>
        </is>
      </c>
      <c r="K240" t="inlineStr">
        <is>
          <t>210</t>
        </is>
      </c>
      <c r="L240" t="n">
        <v>250.361331</v>
      </c>
      <c r="M240" t="n">
        <v>31.148509</v>
      </c>
      <c r="N240" t="n">
        <v>40.948779</v>
      </c>
      <c r="O240" t="n">
        <v>36.804519</v>
      </c>
      <c r="P240" t="n">
        <v>10.492962</v>
      </c>
      <c r="Q240" t="n">
        <v>9.827366</v>
      </c>
      <c r="R240" t="n">
        <v>29.00446</v>
      </c>
      <c r="S240" t="n">
        <v>27.405312</v>
      </c>
      <c r="T240" t="n">
        <v>27.356788</v>
      </c>
      <c r="U240" t="n">
        <v>33.995522</v>
      </c>
      <c r="V240" t="n">
        <v>31.099968</v>
      </c>
      <c r="W240" t="n">
        <v>40.919664</v>
      </c>
      <c r="X240" t="n">
        <v>36.762716</v>
      </c>
      <c r="Y240" t="n">
        <v>1.136228</v>
      </c>
      <c r="Z240" t="inlineStr"/>
      <c r="AA240" t="inlineStr"/>
      <c r="AB240" t="inlineStr"/>
      <c r="AC240" t="inlineStr"/>
      <c r="AD240" t="inlineStr"/>
      <c r="AE240" t="inlineStr"/>
      <c r="AF240" t="inlineStr">
        <is>
          <t>87408a8ca75f6b564d474718be6d2100</t>
        </is>
      </c>
      <c r="AG240" t="inlineStr"/>
    </row>
    <row r="241">
      <c r="A241" t="inlineStr">
        <is>
          <t>AS</t>
        </is>
      </c>
      <c r="B241" t="inlineStr">
        <is>
          <t>aom</t>
        </is>
      </c>
      <c r="C241" t="inlineStr">
        <is>
          <t>av2</t>
        </is>
      </c>
      <c r="D241" t="inlineStr">
        <is>
          <t>0</t>
        </is>
      </c>
      <c r="E241" t="inlineStr">
        <is>
          <t>A1</t>
        </is>
      </c>
      <c r="F241" t="inlineStr">
        <is>
          <t>Tango</t>
        </is>
      </c>
      <c r="G241" t="inlineStr">
        <is>
          <t>3840x2160</t>
        </is>
      </c>
      <c r="H241" t="inlineStr">
        <is>
          <t>60.0000</t>
        </is>
      </c>
      <c r="I241" t="inlineStr">
        <is>
          <t>10</t>
        </is>
      </c>
      <c r="J241" t="inlineStr">
        <is>
          <t>1280x720</t>
        </is>
      </c>
      <c r="K241" t="inlineStr">
        <is>
          <t>235</t>
        </is>
      </c>
      <c r="L241" t="n">
        <v>109.079843</v>
      </c>
      <c r="M241" t="n">
        <v>28.253253</v>
      </c>
      <c r="N241" t="n">
        <v>37.886928</v>
      </c>
      <c r="O241" t="n">
        <v>33.80707</v>
      </c>
      <c r="P241" t="n">
        <v>7.989568</v>
      </c>
      <c r="Q241" t="n">
        <v>8.094723999999999</v>
      </c>
      <c r="R241" t="n">
        <v>12.308749</v>
      </c>
      <c r="S241" t="n">
        <v>11.485428</v>
      </c>
      <c r="T241" t="n">
        <v>24.418236</v>
      </c>
      <c r="U241" t="n">
        <v>31.118533</v>
      </c>
      <c r="V241" t="n">
        <v>28.196134</v>
      </c>
      <c r="W241" t="n">
        <v>37.845997</v>
      </c>
      <c r="X241" t="n">
        <v>33.758871</v>
      </c>
      <c r="Y241" t="n">
        <v>1.181229</v>
      </c>
      <c r="Z241" t="inlineStr"/>
      <c r="AA241" t="inlineStr"/>
      <c r="AB241" t="inlineStr"/>
      <c r="AC241" t="inlineStr"/>
      <c r="AD241" t="inlineStr"/>
      <c r="AE241" t="inlineStr"/>
      <c r="AF241" t="inlineStr">
        <is>
          <t>9c7e0fb3d76643ddaadc2d41faff7b6e</t>
        </is>
      </c>
      <c r="AG241" t="inlineStr"/>
    </row>
    <row r="242">
      <c r="A242" t="inlineStr">
        <is>
          <t>AS</t>
        </is>
      </c>
      <c r="B242" t="inlineStr">
        <is>
          <t>aom</t>
        </is>
      </c>
      <c r="C242" t="inlineStr">
        <is>
          <t>av2</t>
        </is>
      </c>
      <c r="D242" t="inlineStr">
        <is>
          <t>0</t>
        </is>
      </c>
      <c r="E242" t="inlineStr">
        <is>
          <t>A1</t>
        </is>
      </c>
      <c r="F242" t="inlineStr">
        <is>
          <t>Tango</t>
        </is>
      </c>
      <c r="G242" t="inlineStr">
        <is>
          <t>3840x2160</t>
        </is>
      </c>
      <c r="H242" t="inlineStr">
        <is>
          <t>60.0000</t>
        </is>
      </c>
      <c r="I242" t="inlineStr">
        <is>
          <t>10</t>
        </is>
      </c>
      <c r="J242" t="inlineStr">
        <is>
          <t>960x540</t>
        </is>
      </c>
      <c r="K242" t="inlineStr">
        <is>
          <t>110</t>
        </is>
      </c>
      <c r="L242" t="n">
        <v>4013.08845</v>
      </c>
      <c r="M242" t="n">
        <v>38.466246</v>
      </c>
      <c r="N242" t="n">
        <v>47.745822</v>
      </c>
      <c r="O242" t="n">
        <v>44.345766</v>
      </c>
      <c r="P242" t="n">
        <v>22.112136</v>
      </c>
      <c r="Q242" t="n">
        <v>16.034425</v>
      </c>
      <c r="R242" t="n">
        <v>80.578992</v>
      </c>
      <c r="S242" t="n">
        <v>78.23208700000001</v>
      </c>
      <c r="T242" t="n">
        <v>36.888233</v>
      </c>
      <c r="U242" t="n">
        <v>40.574352</v>
      </c>
      <c r="V242" t="n">
        <v>38.459476</v>
      </c>
      <c r="W242" t="n">
        <v>47.738548</v>
      </c>
      <c r="X242" t="n">
        <v>44.32733</v>
      </c>
      <c r="Y242" t="n">
        <v>0.632265</v>
      </c>
      <c r="Z242" t="inlineStr"/>
      <c r="AA242" t="inlineStr"/>
      <c r="AB242" t="inlineStr"/>
      <c r="AC242" t="inlineStr"/>
      <c r="AD242" t="inlineStr"/>
      <c r="AE242" t="inlineStr"/>
      <c r="AF242" t="inlineStr">
        <is>
          <t>a0c0fd9a83d45ab5c7efe2f38744eb68</t>
        </is>
      </c>
      <c r="AG242" t="inlineStr"/>
    </row>
    <row r="243">
      <c r="A243" t="inlineStr">
        <is>
          <t>AS</t>
        </is>
      </c>
      <c r="B243" t="inlineStr">
        <is>
          <t>aom</t>
        </is>
      </c>
      <c r="C243" t="inlineStr">
        <is>
          <t>av2</t>
        </is>
      </c>
      <c r="D243" t="inlineStr">
        <is>
          <t>0</t>
        </is>
      </c>
      <c r="E243" t="inlineStr">
        <is>
          <t>A1</t>
        </is>
      </c>
      <c r="F243" t="inlineStr">
        <is>
          <t>Tango</t>
        </is>
      </c>
      <c r="G243" t="inlineStr">
        <is>
          <t>3840x2160</t>
        </is>
      </c>
      <c r="H243" t="inlineStr">
        <is>
          <t>60.0000</t>
        </is>
      </c>
      <c r="I243" t="inlineStr">
        <is>
          <t>10</t>
        </is>
      </c>
      <c r="J243" t="inlineStr">
        <is>
          <t>960x540</t>
        </is>
      </c>
      <c r="K243" t="inlineStr">
        <is>
          <t>135</t>
        </is>
      </c>
      <c r="L243" t="n">
        <v>1965.879044</v>
      </c>
      <c r="M243" t="n">
        <v>37.259869</v>
      </c>
      <c r="N243" t="n">
        <v>46.559242</v>
      </c>
      <c r="O243" t="n">
        <v>42.866728</v>
      </c>
      <c r="P243" t="n">
        <v>19.037794</v>
      </c>
      <c r="Q243" t="n">
        <v>14.727027</v>
      </c>
      <c r="R243" t="n">
        <v>69.77400900000001</v>
      </c>
      <c r="S243" t="n">
        <v>67.261944</v>
      </c>
      <c r="T243" t="n">
        <v>34.765001</v>
      </c>
      <c r="U243" t="n">
        <v>39.45716</v>
      </c>
      <c r="V243" t="n">
        <v>37.244189</v>
      </c>
      <c r="W243" t="n">
        <v>46.546584</v>
      </c>
      <c r="X243" t="n">
        <v>42.84201</v>
      </c>
      <c r="Y243" t="n">
        <v>0.758445</v>
      </c>
      <c r="Z243" t="inlineStr"/>
      <c r="AA243" t="inlineStr"/>
      <c r="AB243" t="inlineStr"/>
      <c r="AC243" t="inlineStr"/>
      <c r="AD243" t="inlineStr"/>
      <c r="AE243" t="inlineStr"/>
      <c r="AF243" t="inlineStr">
        <is>
          <t>08cef5c0d5836db8862dc66c713bba72</t>
        </is>
      </c>
      <c r="AG243" t="inlineStr"/>
    </row>
    <row r="244">
      <c r="A244" t="inlineStr">
        <is>
          <t>AS</t>
        </is>
      </c>
      <c r="B244" t="inlineStr">
        <is>
          <t>aom</t>
        </is>
      </c>
      <c r="C244" t="inlineStr">
        <is>
          <t>av2</t>
        </is>
      </c>
      <c r="D244" t="inlineStr">
        <is>
          <t>0</t>
        </is>
      </c>
      <c r="E244" t="inlineStr">
        <is>
          <t>A1</t>
        </is>
      </c>
      <c r="F244" t="inlineStr">
        <is>
          <t>Tango</t>
        </is>
      </c>
      <c r="G244" t="inlineStr">
        <is>
          <t>3840x2160</t>
        </is>
      </c>
      <c r="H244" t="inlineStr">
        <is>
          <t>60.0000</t>
        </is>
      </c>
      <c r="I244" t="inlineStr">
        <is>
          <t>10</t>
        </is>
      </c>
      <c r="J244" t="inlineStr">
        <is>
          <t>960x540</t>
        </is>
      </c>
      <c r="K244" t="inlineStr">
        <is>
          <t>160</t>
        </is>
      </c>
      <c r="L244" t="n">
        <v>910.270038</v>
      </c>
      <c r="M244" t="n">
        <v>35.348662</v>
      </c>
      <c r="N244" t="n">
        <v>44.712085</v>
      </c>
      <c r="O244" t="n">
        <v>40.770093</v>
      </c>
      <c r="P244" t="n">
        <v>15.63954</v>
      </c>
      <c r="Q244" t="n">
        <v>12.990213</v>
      </c>
      <c r="R244" t="n">
        <v>54.413045</v>
      </c>
      <c r="S244" t="n">
        <v>52.065794</v>
      </c>
      <c r="T244" t="n">
        <v>32.08115</v>
      </c>
      <c r="U244" t="n">
        <v>37.737977</v>
      </c>
      <c r="V244" t="n">
        <v>35.319408</v>
      </c>
      <c r="W244" t="n">
        <v>44.684885</v>
      </c>
      <c r="X244" t="n">
        <v>40.737753</v>
      </c>
      <c r="Y244" t="n">
        <v>0.942705</v>
      </c>
      <c r="Z244" t="inlineStr"/>
      <c r="AA244" t="inlineStr"/>
      <c r="AB244" t="inlineStr"/>
      <c r="AC244" t="inlineStr"/>
      <c r="AD244" t="inlineStr"/>
      <c r="AE244" t="inlineStr"/>
      <c r="AF244" t="inlineStr">
        <is>
          <t>e4e99928abbf8e8b9fe248cf8f73780f</t>
        </is>
      </c>
      <c r="AG244" t="inlineStr"/>
    </row>
    <row r="245">
      <c r="A245" t="inlineStr">
        <is>
          <t>AS</t>
        </is>
      </c>
      <c r="B245" t="inlineStr">
        <is>
          <t>aom</t>
        </is>
      </c>
      <c r="C245" t="inlineStr">
        <is>
          <t>av2</t>
        </is>
      </c>
      <c r="D245" t="inlineStr">
        <is>
          <t>0</t>
        </is>
      </c>
      <c r="E245" t="inlineStr">
        <is>
          <t>A1</t>
        </is>
      </c>
      <c r="F245" t="inlineStr">
        <is>
          <t>Tango</t>
        </is>
      </c>
      <c r="G245" t="inlineStr">
        <is>
          <t>3840x2160</t>
        </is>
      </c>
      <c r="H245" t="inlineStr">
        <is>
          <t>60.0000</t>
        </is>
      </c>
      <c r="I245" t="inlineStr">
        <is>
          <t>10</t>
        </is>
      </c>
      <c r="J245" t="inlineStr">
        <is>
          <t>960x540</t>
        </is>
      </c>
      <c r="K245" t="inlineStr">
        <is>
          <t>185</t>
        </is>
      </c>
      <c r="L245" t="n">
        <v>422.645662</v>
      </c>
      <c r="M245" t="n">
        <v>32.934787</v>
      </c>
      <c r="N245" t="n">
        <v>42.755344</v>
      </c>
      <c r="O245" t="n">
        <v>38.456238</v>
      </c>
      <c r="P245" t="n">
        <v>12.427683</v>
      </c>
      <c r="Q245" t="n">
        <v>11.0732</v>
      </c>
      <c r="R245" t="n">
        <v>37.353402</v>
      </c>
      <c r="S245" t="n">
        <v>35.624781</v>
      </c>
      <c r="T245" t="n">
        <v>29.249042</v>
      </c>
      <c r="U245" t="n">
        <v>35.648047</v>
      </c>
      <c r="V245" t="n">
        <v>32.893213</v>
      </c>
      <c r="W245" t="n">
        <v>42.716453</v>
      </c>
      <c r="X245" t="n">
        <v>38.418171</v>
      </c>
      <c r="Y245" t="n">
        <v>1.157733</v>
      </c>
      <c r="Z245" t="inlineStr"/>
      <c r="AA245" t="inlineStr"/>
      <c r="AB245" t="inlineStr"/>
      <c r="AC245" t="inlineStr"/>
      <c r="AD245" t="inlineStr"/>
      <c r="AE245" t="inlineStr"/>
      <c r="AF245" t="inlineStr">
        <is>
          <t>a70c749aaa9e0d75a920161f6c76b57d</t>
        </is>
      </c>
      <c r="AG245" t="inlineStr"/>
    </row>
    <row r="246">
      <c r="A246" t="inlineStr">
        <is>
          <t>AS</t>
        </is>
      </c>
      <c r="B246" t="inlineStr">
        <is>
          <t>aom</t>
        </is>
      </c>
      <c r="C246" t="inlineStr">
        <is>
          <t>av2</t>
        </is>
      </c>
      <c r="D246" t="inlineStr">
        <is>
          <t>0</t>
        </is>
      </c>
      <c r="E246" t="inlineStr">
        <is>
          <t>A1</t>
        </is>
      </c>
      <c r="F246" t="inlineStr">
        <is>
          <t>Tango</t>
        </is>
      </c>
      <c r="G246" t="inlineStr">
        <is>
          <t>3840x2160</t>
        </is>
      </c>
      <c r="H246" t="inlineStr">
        <is>
          <t>60.0000</t>
        </is>
      </c>
      <c r="I246" t="inlineStr">
        <is>
          <t>10</t>
        </is>
      </c>
      <c r="J246" t="inlineStr">
        <is>
          <t>960x540</t>
        </is>
      </c>
      <c r="K246" t="inlineStr">
        <is>
          <t>210</t>
        </is>
      </c>
      <c r="L246" t="n">
        <v>188.023669</v>
      </c>
      <c r="M246" t="n">
        <v>30.171512</v>
      </c>
      <c r="N246" t="n">
        <v>40.368467</v>
      </c>
      <c r="O246" t="n">
        <v>35.888465</v>
      </c>
      <c r="P246" t="n">
        <v>9.568448999999999</v>
      </c>
      <c r="Q246" t="n">
        <v>9.199512</v>
      </c>
      <c r="R246" t="n">
        <v>21.836301</v>
      </c>
      <c r="S246" t="n">
        <v>20.72284</v>
      </c>
      <c r="T246" t="n">
        <v>26.353458</v>
      </c>
      <c r="U246" t="n">
        <v>33.136371</v>
      </c>
      <c r="V246" t="n">
        <v>30.123113</v>
      </c>
      <c r="W246" t="n">
        <v>40.334265</v>
      </c>
      <c r="X246" t="n">
        <v>35.849659</v>
      </c>
      <c r="Y246" t="n">
        <v>1.300478</v>
      </c>
      <c r="Z246" t="inlineStr"/>
      <c r="AA246" t="inlineStr"/>
      <c r="AB246" t="inlineStr"/>
      <c r="AC246" t="inlineStr"/>
      <c r="AD246" t="inlineStr"/>
      <c r="AE246" t="inlineStr"/>
      <c r="AF246" t="inlineStr">
        <is>
          <t>c1b1aa68134db819f9bc88747fe8955f</t>
        </is>
      </c>
      <c r="AG246" t="inlineStr"/>
    </row>
    <row r="247">
      <c r="A247" t="inlineStr">
        <is>
          <t>AS</t>
        </is>
      </c>
      <c r="B247" t="inlineStr">
        <is>
          <t>aom</t>
        </is>
      </c>
      <c r="C247" t="inlineStr">
        <is>
          <t>av2</t>
        </is>
      </c>
      <c r="D247" t="inlineStr">
        <is>
          <t>0</t>
        </is>
      </c>
      <c r="E247" t="inlineStr">
        <is>
          <t>A1</t>
        </is>
      </c>
      <c r="F247" t="inlineStr">
        <is>
          <t>Tango</t>
        </is>
      </c>
      <c r="G247" t="inlineStr">
        <is>
          <t>3840x2160</t>
        </is>
      </c>
      <c r="H247" t="inlineStr">
        <is>
          <t>60.0000</t>
        </is>
      </c>
      <c r="I247" t="inlineStr">
        <is>
          <t>10</t>
        </is>
      </c>
      <c r="J247" t="inlineStr">
        <is>
          <t>960x540</t>
        </is>
      </c>
      <c r="K247" t="inlineStr">
        <is>
          <t>235</t>
        </is>
      </c>
      <c r="L247" t="n">
        <v>80.77338</v>
      </c>
      <c r="M247" t="n">
        <v>27.273282</v>
      </c>
      <c r="N247" t="n">
        <v>37.322187</v>
      </c>
      <c r="O247" t="n">
        <v>32.93709</v>
      </c>
      <c r="P247" t="n">
        <v>7.281107</v>
      </c>
      <c r="Q247" t="n">
        <v>7.578057</v>
      </c>
      <c r="R247" t="n">
        <v>5.301084</v>
      </c>
      <c r="S247" t="n">
        <v>4.899086</v>
      </c>
      <c r="T247" t="n">
        <v>23.461011</v>
      </c>
      <c r="U247" t="n">
        <v>30.21752</v>
      </c>
      <c r="V247" t="n">
        <v>27.219219</v>
      </c>
      <c r="W247" t="n">
        <v>37.274392</v>
      </c>
      <c r="X247" t="n">
        <v>32.889226</v>
      </c>
      <c r="Y247" t="n">
        <v>1.274119</v>
      </c>
      <c r="Z247" t="inlineStr"/>
      <c r="AA247" t="inlineStr"/>
      <c r="AB247" t="inlineStr"/>
      <c r="AC247" t="inlineStr"/>
      <c r="AD247" t="inlineStr"/>
      <c r="AE247" t="inlineStr"/>
      <c r="AF247" t="inlineStr">
        <is>
          <t>6ca637042688223361c055b93516bd6f</t>
        </is>
      </c>
      <c r="AG247" t="inlineStr"/>
    </row>
    <row r="248">
      <c r="A248" t="inlineStr">
        <is>
          <t>AS</t>
        </is>
      </c>
      <c r="B248" t="inlineStr">
        <is>
          <t>aom</t>
        </is>
      </c>
      <c r="C248" t="inlineStr">
        <is>
          <t>av2</t>
        </is>
      </c>
      <c r="D248" t="inlineStr">
        <is>
          <t>0</t>
        </is>
      </c>
      <c r="E248" t="inlineStr">
        <is>
          <t>A1</t>
        </is>
      </c>
      <c r="F248" t="inlineStr">
        <is>
          <t>Tango</t>
        </is>
      </c>
      <c r="G248" t="inlineStr">
        <is>
          <t>3840x2160</t>
        </is>
      </c>
      <c r="H248" t="inlineStr">
        <is>
          <t>60.0000</t>
        </is>
      </c>
      <c r="I248" t="inlineStr">
        <is>
          <t>10</t>
        </is>
      </c>
      <c r="J248" t="inlineStr">
        <is>
          <t>640x360</t>
        </is>
      </c>
      <c r="K248" t="inlineStr">
        <is>
          <t>110</t>
        </is>
      </c>
      <c r="L248" t="n">
        <v>2553.660493</v>
      </c>
      <c r="M248" t="n">
        <v>36.830935</v>
      </c>
      <c r="N248" t="n">
        <v>46.540799</v>
      </c>
      <c r="O248" t="n">
        <v>42.422669</v>
      </c>
      <c r="P248" t="n">
        <v>19.744762</v>
      </c>
      <c r="Q248" t="n">
        <v>14.61895</v>
      </c>
      <c r="R248" t="n">
        <v>60.987882</v>
      </c>
      <c r="S248" t="n">
        <v>58.953906</v>
      </c>
      <c r="T248" t="n">
        <v>33.915927</v>
      </c>
      <c r="U248" t="n">
        <v>39.302961</v>
      </c>
      <c r="V248" t="n">
        <v>36.822128</v>
      </c>
      <c r="W248" t="n">
        <v>46.532314</v>
      </c>
      <c r="X248" t="n">
        <v>42.401399</v>
      </c>
      <c r="Y248" t="n">
        <v>0.695303</v>
      </c>
      <c r="Z248" t="inlineStr"/>
      <c r="AA248" t="inlineStr"/>
      <c r="AB248" t="inlineStr"/>
      <c r="AC248" t="inlineStr"/>
      <c r="AD248" t="inlineStr"/>
      <c r="AE248" t="inlineStr"/>
      <c r="AF248" t="inlineStr">
        <is>
          <t>b1a586e598f6705604525311795b8afa</t>
        </is>
      </c>
      <c r="AG248" t="inlineStr"/>
    </row>
    <row r="249">
      <c r="A249" t="inlineStr">
        <is>
          <t>AS</t>
        </is>
      </c>
      <c r="B249" t="inlineStr">
        <is>
          <t>aom</t>
        </is>
      </c>
      <c r="C249" t="inlineStr">
        <is>
          <t>av2</t>
        </is>
      </c>
      <c r="D249" t="inlineStr">
        <is>
          <t>0</t>
        </is>
      </c>
      <c r="E249" t="inlineStr">
        <is>
          <t>A1</t>
        </is>
      </c>
      <c r="F249" t="inlineStr">
        <is>
          <t>Tango</t>
        </is>
      </c>
      <c r="G249" t="inlineStr">
        <is>
          <t>3840x2160</t>
        </is>
      </c>
      <c r="H249" t="inlineStr">
        <is>
          <t>60.0000</t>
        </is>
      </c>
      <c r="I249" t="inlineStr">
        <is>
          <t>10</t>
        </is>
      </c>
      <c r="J249" t="inlineStr">
        <is>
          <t>640x360</t>
        </is>
      </c>
      <c r="K249" t="inlineStr">
        <is>
          <t>135</t>
        </is>
      </c>
      <c r="L249" t="n">
        <v>1263.750403</v>
      </c>
      <c r="M249" t="n">
        <v>35.590872</v>
      </c>
      <c r="N249" t="n">
        <v>45.332175</v>
      </c>
      <c r="O249" t="n">
        <v>41.02341</v>
      </c>
      <c r="P249" t="n">
        <v>16.817696</v>
      </c>
      <c r="Q249" t="n">
        <v>13.36316</v>
      </c>
      <c r="R249" t="n">
        <v>49.377125</v>
      </c>
      <c r="S249" t="n">
        <v>47.393116</v>
      </c>
      <c r="T249" t="n">
        <v>32.244901</v>
      </c>
      <c r="U249" t="n">
        <v>38.133789</v>
      </c>
      <c r="V249" t="n">
        <v>35.571658</v>
      </c>
      <c r="W249" t="n">
        <v>45.318893</v>
      </c>
      <c r="X249" t="n">
        <v>40.994841</v>
      </c>
      <c r="Y249" t="n">
        <v>0.8657550000000001</v>
      </c>
      <c r="Z249" t="inlineStr"/>
      <c r="AA249" t="inlineStr"/>
      <c r="AB249" t="inlineStr"/>
      <c r="AC249" t="inlineStr"/>
      <c r="AD249" t="inlineStr"/>
      <c r="AE249" t="inlineStr"/>
      <c r="AF249" t="inlineStr">
        <is>
          <t>ea02be4a9ad47169dbcbb36f0edf468a</t>
        </is>
      </c>
      <c r="AG249" t="inlineStr"/>
    </row>
    <row r="250">
      <c r="A250" t="inlineStr">
        <is>
          <t>AS</t>
        </is>
      </c>
      <c r="B250" t="inlineStr">
        <is>
          <t>aom</t>
        </is>
      </c>
      <c r="C250" t="inlineStr">
        <is>
          <t>av2</t>
        </is>
      </c>
      <c r="D250" t="inlineStr">
        <is>
          <t>0</t>
        </is>
      </c>
      <c r="E250" t="inlineStr">
        <is>
          <t>A1</t>
        </is>
      </c>
      <c r="F250" t="inlineStr">
        <is>
          <t>Tango</t>
        </is>
      </c>
      <c r="G250" t="inlineStr">
        <is>
          <t>3840x2160</t>
        </is>
      </c>
      <c r="H250" t="inlineStr">
        <is>
          <t>60.0000</t>
        </is>
      </c>
      <c r="I250" t="inlineStr">
        <is>
          <t>10</t>
        </is>
      </c>
      <c r="J250" t="inlineStr">
        <is>
          <t>640x360</t>
        </is>
      </c>
      <c r="K250" t="inlineStr">
        <is>
          <t>160</t>
        </is>
      </c>
      <c r="L250" t="n">
        <v>580.311996</v>
      </c>
      <c r="M250" t="n">
        <v>33.660827</v>
      </c>
      <c r="N250" t="n">
        <v>43.545178</v>
      </c>
      <c r="O250" t="n">
        <v>39.069855</v>
      </c>
      <c r="P250" t="n">
        <v>13.642732</v>
      </c>
      <c r="Q250" t="n">
        <v>11.703167</v>
      </c>
      <c r="R250" t="n">
        <v>34.848156</v>
      </c>
      <c r="S250" t="n">
        <v>33.221365</v>
      </c>
      <c r="T250" t="n">
        <v>29.973423</v>
      </c>
      <c r="U250" t="n">
        <v>36.380168</v>
      </c>
      <c r="V250" t="n">
        <v>33.628063</v>
      </c>
      <c r="W250" t="n">
        <v>43.521949</v>
      </c>
      <c r="X250" t="n">
        <v>39.032397</v>
      </c>
      <c r="Y250" t="n">
        <v>1.070843</v>
      </c>
      <c r="Z250" t="inlineStr"/>
      <c r="AA250" t="inlineStr"/>
      <c r="AB250" t="inlineStr"/>
      <c r="AC250" t="inlineStr"/>
      <c r="AD250" t="inlineStr"/>
      <c r="AE250" t="inlineStr"/>
      <c r="AF250" t="inlineStr">
        <is>
          <t>312ea09d7ad67677ec3bcd96e1e6bd07</t>
        </is>
      </c>
      <c r="AG250" t="inlineStr"/>
    </row>
    <row r="251">
      <c r="A251" t="inlineStr">
        <is>
          <t>AS</t>
        </is>
      </c>
      <c r="B251" t="inlineStr">
        <is>
          <t>aom</t>
        </is>
      </c>
      <c r="C251" t="inlineStr">
        <is>
          <t>av2</t>
        </is>
      </c>
      <c r="D251" t="inlineStr">
        <is>
          <t>0</t>
        </is>
      </c>
      <c r="E251" t="inlineStr">
        <is>
          <t>A1</t>
        </is>
      </c>
      <c r="F251" t="inlineStr">
        <is>
          <t>Tango</t>
        </is>
      </c>
      <c r="G251" t="inlineStr">
        <is>
          <t>3840x2160</t>
        </is>
      </c>
      <c r="H251" t="inlineStr">
        <is>
          <t>60.0000</t>
        </is>
      </c>
      <c r="I251" t="inlineStr">
        <is>
          <t>10</t>
        </is>
      </c>
      <c r="J251" t="inlineStr">
        <is>
          <t>640x360</t>
        </is>
      </c>
      <c r="K251" t="inlineStr">
        <is>
          <t>185</t>
        </is>
      </c>
      <c r="L251" t="n">
        <v>264.994083</v>
      </c>
      <c r="M251" t="n">
        <v>31.28209</v>
      </c>
      <c r="N251" t="n">
        <v>41.517115</v>
      </c>
      <c r="O251" t="n">
        <v>36.951715</v>
      </c>
      <c r="P251" t="n">
        <v>10.755987</v>
      </c>
      <c r="Q251" t="n">
        <v>9.951781</v>
      </c>
      <c r="R251" t="n">
        <v>20.543953</v>
      </c>
      <c r="S251" t="n">
        <v>19.615652</v>
      </c>
      <c r="T251" t="n">
        <v>27.456768</v>
      </c>
      <c r="U251" t="n">
        <v>34.238179</v>
      </c>
      <c r="V251" t="n">
        <v>31.238578</v>
      </c>
      <c r="W251" t="n">
        <v>41.490731</v>
      </c>
      <c r="X251" t="n">
        <v>36.914673</v>
      </c>
      <c r="Y251" t="n">
        <v>1.350716</v>
      </c>
      <c r="Z251" t="inlineStr"/>
      <c r="AA251" t="inlineStr"/>
      <c r="AB251" t="inlineStr"/>
      <c r="AC251" t="inlineStr"/>
      <c r="AD251" t="inlineStr"/>
      <c r="AE251" t="inlineStr"/>
      <c r="AF251" t="inlineStr">
        <is>
          <t>3e97988272ac1bd73eac6d61993d46b3</t>
        </is>
      </c>
      <c r="AG251" t="inlineStr"/>
    </row>
    <row r="252">
      <c r="A252" t="inlineStr">
        <is>
          <t>AS</t>
        </is>
      </c>
      <c r="B252" t="inlineStr">
        <is>
          <t>aom</t>
        </is>
      </c>
      <c r="C252" t="inlineStr">
        <is>
          <t>av2</t>
        </is>
      </c>
      <c r="D252" t="inlineStr">
        <is>
          <t>0</t>
        </is>
      </c>
      <c r="E252" t="inlineStr">
        <is>
          <t>A1</t>
        </is>
      </c>
      <c r="F252" t="inlineStr">
        <is>
          <t>Tango</t>
        </is>
      </c>
      <c r="G252" t="inlineStr">
        <is>
          <t>3840x2160</t>
        </is>
      </c>
      <c r="H252" t="inlineStr">
        <is>
          <t>60.0000</t>
        </is>
      </c>
      <c r="I252" t="inlineStr">
        <is>
          <t>10</t>
        </is>
      </c>
      <c r="J252" t="inlineStr">
        <is>
          <t>640x360</t>
        </is>
      </c>
      <c r="K252" t="inlineStr">
        <is>
          <t>210</t>
        </is>
      </c>
      <c r="L252" t="n">
        <v>115.973872</v>
      </c>
      <c r="M252" t="n">
        <v>28.586362</v>
      </c>
      <c r="N252" t="n">
        <v>39.031715</v>
      </c>
      <c r="O252" t="n">
        <v>34.432222</v>
      </c>
      <c r="P252" t="n">
        <v>8.283811999999999</v>
      </c>
      <c r="Q252" t="n">
        <v>8.292742000000001</v>
      </c>
      <c r="R252" t="n">
        <v>8.332556</v>
      </c>
      <c r="S252" t="n">
        <v>7.92172</v>
      </c>
      <c r="T252" t="n">
        <v>24.764254</v>
      </c>
      <c r="U252" t="n">
        <v>31.707084</v>
      </c>
      <c r="V252" t="n">
        <v>28.537875</v>
      </c>
      <c r="W252" t="n">
        <v>38.99916</v>
      </c>
      <c r="X252" t="n">
        <v>34.39488</v>
      </c>
      <c r="Y252" t="n">
        <v>1.428097</v>
      </c>
      <c r="Z252" t="inlineStr"/>
      <c r="AA252" t="inlineStr"/>
      <c r="AB252" t="inlineStr"/>
      <c r="AC252" t="inlineStr"/>
      <c r="AD252" t="inlineStr"/>
      <c r="AE252" t="inlineStr"/>
      <c r="AF252" t="inlineStr">
        <is>
          <t>ad13ae1d6527521c946bc53b1517a341</t>
        </is>
      </c>
      <c r="AG252" t="inlineStr"/>
    </row>
    <row r="253">
      <c r="A253" t="inlineStr">
        <is>
          <t>AS</t>
        </is>
      </c>
      <c r="B253" t="inlineStr">
        <is>
          <t>aom</t>
        </is>
      </c>
      <c r="C253" t="inlineStr">
        <is>
          <t>av2</t>
        </is>
      </c>
      <c r="D253" t="inlineStr">
        <is>
          <t>0</t>
        </is>
      </c>
      <c r="E253" t="inlineStr">
        <is>
          <t>A1</t>
        </is>
      </c>
      <c r="F253" t="inlineStr">
        <is>
          <t>Tango</t>
        </is>
      </c>
      <c r="G253" t="inlineStr">
        <is>
          <t>3840x2160</t>
        </is>
      </c>
      <c r="H253" t="inlineStr">
        <is>
          <t>60.0000</t>
        </is>
      </c>
      <c r="I253" t="inlineStr">
        <is>
          <t>10</t>
        </is>
      </c>
      <c r="J253" t="inlineStr">
        <is>
          <t>640x360</t>
        </is>
      </c>
      <c r="K253" t="inlineStr">
        <is>
          <t>235</t>
        </is>
      </c>
      <c r="L253" t="n">
        <v>50.220549</v>
      </c>
      <c r="M253" t="n">
        <v>25.773668</v>
      </c>
      <c r="N253" t="n">
        <v>35.911553</v>
      </c>
      <c r="O253" t="n">
        <v>31.691528</v>
      </c>
      <c r="P253" t="n">
        <v>6.332429</v>
      </c>
      <c r="Q253" t="n">
        <v>6.858107</v>
      </c>
      <c r="R253" t="n">
        <v>0.229102</v>
      </c>
      <c r="S253" t="n">
        <v>0.207411</v>
      </c>
      <c r="T253" t="n">
        <v>22.014808</v>
      </c>
      <c r="U253" t="n">
        <v>28.813499</v>
      </c>
      <c r="V253" t="n">
        <v>25.71942</v>
      </c>
      <c r="W253" t="n">
        <v>35.860589</v>
      </c>
      <c r="X253" t="n">
        <v>31.638361</v>
      </c>
      <c r="Y253" t="n">
        <v>1.31601</v>
      </c>
      <c r="Z253" t="inlineStr"/>
      <c r="AA253" t="inlineStr"/>
      <c r="AB253" t="inlineStr"/>
      <c r="AC253" t="inlineStr"/>
      <c r="AD253" t="inlineStr"/>
      <c r="AE253" t="inlineStr"/>
      <c r="AF253" t="inlineStr">
        <is>
          <t>52ae9f58616f1a1ca1937db94dd25d98</t>
        </is>
      </c>
      <c r="AG253" t="inlineStr"/>
    </row>
    <row r="254">
      <c r="A254" t="inlineStr">
        <is>
          <t>AS</t>
        </is>
      </c>
      <c r="B254" t="inlineStr">
        <is>
          <t>aom</t>
        </is>
      </c>
      <c r="C254" t="inlineStr">
        <is>
          <t>av2</t>
        </is>
      </c>
      <c r="D254" t="inlineStr">
        <is>
          <t>0</t>
        </is>
      </c>
      <c r="E254" t="inlineStr">
        <is>
          <t>A1</t>
        </is>
      </c>
      <c r="F254" t="inlineStr">
        <is>
          <t>TimeLapse</t>
        </is>
      </c>
      <c r="G254" t="inlineStr">
        <is>
          <t>3840x2160</t>
        </is>
      </c>
      <c r="H254" t="inlineStr">
        <is>
          <t>60.0000</t>
        </is>
      </c>
      <c r="I254" t="inlineStr">
        <is>
          <t>10</t>
        </is>
      </c>
      <c r="J254" t="inlineStr">
        <is>
          <t>3840x2160</t>
        </is>
      </c>
      <c r="K254" t="inlineStr">
        <is>
          <t>110</t>
        </is>
      </c>
      <c r="L254" t="n">
        <v>29347.273035</v>
      </c>
      <c r="M254" t="n">
        <v>43.601511</v>
      </c>
      <c r="N254" t="n">
        <v>49.708058</v>
      </c>
      <c r="O254" t="n">
        <v>51.495957</v>
      </c>
      <c r="P254" t="n">
        <v>31.636622</v>
      </c>
      <c r="Q254" t="n">
        <v>23.301999</v>
      </c>
      <c r="R254" t="n">
        <v>95.16010900000001</v>
      </c>
      <c r="S254" t="n">
        <v>93.39100000000001</v>
      </c>
      <c r="T254" t="n">
        <v>45.229061</v>
      </c>
      <c r="U254" t="n">
        <v>44.764695</v>
      </c>
      <c r="V254" t="n">
        <v>43.503565</v>
      </c>
      <c r="W254" t="n">
        <v>49.681495</v>
      </c>
      <c r="X254" t="n">
        <v>51.413747</v>
      </c>
      <c r="Y254" t="n">
        <v>0.00826</v>
      </c>
      <c r="Z254" t="inlineStr"/>
      <c r="AA254" t="inlineStr"/>
      <c r="AB254" t="inlineStr"/>
      <c r="AC254" t="inlineStr"/>
      <c r="AD254" t="inlineStr"/>
      <c r="AE254" t="inlineStr"/>
      <c r="AF254" t="inlineStr">
        <is>
          <t>8e65c3f53bb731ff7e010a5bc56cff46</t>
        </is>
      </c>
      <c r="AG254" t="inlineStr"/>
    </row>
    <row r="255">
      <c r="A255" t="inlineStr">
        <is>
          <t>AS</t>
        </is>
      </c>
      <c r="B255" t="inlineStr">
        <is>
          <t>aom</t>
        </is>
      </c>
      <c r="C255" t="inlineStr">
        <is>
          <t>av2</t>
        </is>
      </c>
      <c r="D255" t="inlineStr">
        <is>
          <t>0</t>
        </is>
      </c>
      <c r="E255" t="inlineStr">
        <is>
          <t>A1</t>
        </is>
      </c>
      <c r="F255" t="inlineStr">
        <is>
          <t>TimeLapse</t>
        </is>
      </c>
      <c r="G255" t="inlineStr">
        <is>
          <t>3840x2160</t>
        </is>
      </c>
      <c r="H255" t="inlineStr">
        <is>
          <t>60.0000</t>
        </is>
      </c>
      <c r="I255" t="inlineStr">
        <is>
          <t>10</t>
        </is>
      </c>
      <c r="J255" t="inlineStr">
        <is>
          <t>3840x2160</t>
        </is>
      </c>
      <c r="K255" t="inlineStr">
        <is>
          <t>135</t>
        </is>
      </c>
      <c r="L255" t="n">
        <v>10712.594482</v>
      </c>
      <c r="M255" t="n">
        <v>41.663515</v>
      </c>
      <c r="N255" t="n">
        <v>48.082988</v>
      </c>
      <c r="O255" t="n">
        <v>49.788641</v>
      </c>
      <c r="P255" t="n">
        <v>27.919045</v>
      </c>
      <c r="Q255" t="n">
        <v>20.828406</v>
      </c>
      <c r="R255" t="n">
        <v>92.130169</v>
      </c>
      <c r="S255" t="n">
        <v>90.096328</v>
      </c>
      <c r="T255" t="n">
        <v>41.542252</v>
      </c>
      <c r="U255" t="n">
        <v>43.159999</v>
      </c>
      <c r="V255" t="n">
        <v>41.597061</v>
      </c>
      <c r="W255" t="n">
        <v>48.071255</v>
      </c>
      <c r="X255" t="n">
        <v>49.740075</v>
      </c>
      <c r="Y255" t="n">
        <v>0.007819</v>
      </c>
      <c r="Z255" t="inlineStr"/>
      <c r="AA255" t="inlineStr"/>
      <c r="AB255" t="inlineStr"/>
      <c r="AC255" t="inlineStr"/>
      <c r="AD255" t="inlineStr"/>
      <c r="AE255" t="inlineStr"/>
      <c r="AF255" t="inlineStr">
        <is>
          <t>232cb59367b1edb29ce08e69742c6757</t>
        </is>
      </c>
      <c r="AG255" t="inlineStr"/>
    </row>
    <row r="256">
      <c r="A256" t="inlineStr">
        <is>
          <t>AS</t>
        </is>
      </c>
      <c r="B256" t="inlineStr">
        <is>
          <t>aom</t>
        </is>
      </c>
      <c r="C256" t="inlineStr">
        <is>
          <t>av2</t>
        </is>
      </c>
      <c r="D256" t="inlineStr">
        <is>
          <t>0</t>
        </is>
      </c>
      <c r="E256" t="inlineStr">
        <is>
          <t>A1</t>
        </is>
      </c>
      <c r="F256" t="inlineStr">
        <is>
          <t>TimeLapse</t>
        </is>
      </c>
      <c r="G256" t="inlineStr">
        <is>
          <t>3840x2160</t>
        </is>
      </c>
      <c r="H256" t="inlineStr">
        <is>
          <t>60.0000</t>
        </is>
      </c>
      <c r="I256" t="inlineStr">
        <is>
          <t>10</t>
        </is>
      </c>
      <c r="J256" t="inlineStr">
        <is>
          <t>3840x2160</t>
        </is>
      </c>
      <c r="K256" t="inlineStr">
        <is>
          <t>160</t>
        </is>
      </c>
      <c r="L256" t="n">
        <v>3947.608084</v>
      </c>
      <c r="M256" t="n">
        <v>39.482917</v>
      </c>
      <c r="N256" t="n">
        <v>46.087119</v>
      </c>
      <c r="O256" t="n">
        <v>47.65393</v>
      </c>
      <c r="P256" t="n">
        <v>24.014308</v>
      </c>
      <c r="Q256" t="n">
        <v>18.173102</v>
      </c>
      <c r="R256" t="n">
        <v>86.442099</v>
      </c>
      <c r="S256" t="n">
        <v>84.084636</v>
      </c>
      <c r="T256" t="n">
        <v>37.879995</v>
      </c>
      <c r="U256" t="n">
        <v>41.213099</v>
      </c>
      <c r="V256" t="n">
        <v>39.422763</v>
      </c>
      <c r="W256" t="n">
        <v>46.08081</v>
      </c>
      <c r="X256" t="n">
        <v>47.62893</v>
      </c>
      <c r="Y256" t="n">
        <v>0.007481</v>
      </c>
      <c r="Z256" t="inlineStr"/>
      <c r="AA256" t="inlineStr"/>
      <c r="AB256" t="inlineStr"/>
      <c r="AC256" t="inlineStr"/>
      <c r="AD256" t="inlineStr"/>
      <c r="AE256" t="inlineStr"/>
      <c r="AF256" t="inlineStr">
        <is>
          <t>203fc4d8a8b6b346dcbfe21748e4d339</t>
        </is>
      </c>
      <c r="AG256" t="inlineStr"/>
    </row>
    <row r="257">
      <c r="A257" t="inlineStr">
        <is>
          <t>AS</t>
        </is>
      </c>
      <c r="B257" t="inlineStr">
        <is>
          <t>aom</t>
        </is>
      </c>
      <c r="C257" t="inlineStr">
        <is>
          <t>av2</t>
        </is>
      </c>
      <c r="D257" t="inlineStr">
        <is>
          <t>0</t>
        </is>
      </c>
      <c r="E257" t="inlineStr">
        <is>
          <t>A1</t>
        </is>
      </c>
      <c r="F257" t="inlineStr">
        <is>
          <t>TimeLapse</t>
        </is>
      </c>
      <c r="G257" t="inlineStr">
        <is>
          <t>3840x2160</t>
        </is>
      </c>
      <c r="H257" t="inlineStr">
        <is>
          <t>60.0000</t>
        </is>
      </c>
      <c r="I257" t="inlineStr">
        <is>
          <t>10</t>
        </is>
      </c>
      <c r="J257" t="inlineStr">
        <is>
          <t>3840x2160</t>
        </is>
      </c>
      <c r="K257" t="inlineStr">
        <is>
          <t>185</t>
        </is>
      </c>
      <c r="L257" t="n">
        <v>1526.686237</v>
      </c>
      <c r="M257" t="n">
        <v>37.099007</v>
      </c>
      <c r="N257" t="n">
        <v>43.935619</v>
      </c>
      <c r="O257" t="n">
        <v>45.380792</v>
      </c>
      <c r="P257" t="n">
        <v>20.27544</v>
      </c>
      <c r="Q257" t="n">
        <v>15.466781</v>
      </c>
      <c r="R257" t="n">
        <v>77.12023499999999</v>
      </c>
      <c r="S257" t="n">
        <v>74.518046</v>
      </c>
      <c r="T257" t="n">
        <v>34.444727</v>
      </c>
      <c r="U257" t="n">
        <v>38.982068</v>
      </c>
      <c r="V257" t="n">
        <v>37.036536</v>
      </c>
      <c r="W257" t="n">
        <v>43.929207</v>
      </c>
      <c r="X257" t="n">
        <v>45.365973</v>
      </c>
      <c r="Y257" t="n">
        <v>0.009965999999999999</v>
      </c>
      <c r="Z257" t="inlineStr"/>
      <c r="AA257" t="inlineStr"/>
      <c r="AB257" t="inlineStr"/>
      <c r="AC257" t="inlineStr"/>
      <c r="AD257" t="inlineStr"/>
      <c r="AE257" t="inlineStr"/>
      <c r="AF257" t="inlineStr">
        <is>
          <t>22092ca3ebd5f1121802a9709d36c3f0</t>
        </is>
      </c>
      <c r="AG257" t="inlineStr"/>
    </row>
    <row r="258">
      <c r="A258" t="inlineStr">
        <is>
          <t>AS</t>
        </is>
      </c>
      <c r="B258" t="inlineStr">
        <is>
          <t>aom</t>
        </is>
      </c>
      <c r="C258" t="inlineStr">
        <is>
          <t>av2</t>
        </is>
      </c>
      <c r="D258" t="inlineStr">
        <is>
          <t>0</t>
        </is>
      </c>
      <c r="E258" t="inlineStr">
        <is>
          <t>A1</t>
        </is>
      </c>
      <c r="F258" t="inlineStr">
        <is>
          <t>TimeLapse</t>
        </is>
      </c>
      <c r="G258" t="inlineStr">
        <is>
          <t>3840x2160</t>
        </is>
      </c>
      <c r="H258" t="inlineStr">
        <is>
          <t>60.0000</t>
        </is>
      </c>
      <c r="I258" t="inlineStr">
        <is>
          <t>10</t>
        </is>
      </c>
      <c r="J258" t="inlineStr">
        <is>
          <t>3840x2160</t>
        </is>
      </c>
      <c r="K258" t="inlineStr">
        <is>
          <t>210</t>
        </is>
      </c>
      <c r="L258" t="n">
        <v>574.841774</v>
      </c>
      <c r="M258" t="n">
        <v>34.504041</v>
      </c>
      <c r="N258" t="n">
        <v>41.649675</v>
      </c>
      <c r="O258" t="n">
        <v>43.007317</v>
      </c>
      <c r="P258" t="n">
        <v>16.528937</v>
      </c>
      <c r="Q258" t="n">
        <v>12.712654</v>
      </c>
      <c r="R258" t="n">
        <v>62.776187</v>
      </c>
      <c r="S258" t="n">
        <v>60.171441</v>
      </c>
      <c r="T258" t="n">
        <v>31.106015</v>
      </c>
      <c r="U258" t="n">
        <v>36.495019</v>
      </c>
      <c r="V258" t="n">
        <v>34.434335</v>
      </c>
      <c r="W258" t="n">
        <v>41.642296</v>
      </c>
      <c r="X258" t="n">
        <v>42.987267</v>
      </c>
      <c r="Y258" t="n">
        <v>0.013588</v>
      </c>
      <c r="Z258" t="inlineStr"/>
      <c r="AA258" t="inlineStr"/>
      <c r="AB258" t="inlineStr"/>
      <c r="AC258" t="inlineStr"/>
      <c r="AD258" t="inlineStr"/>
      <c r="AE258" t="inlineStr"/>
      <c r="AF258" t="inlineStr">
        <is>
          <t>3f3371da266084785419a3cad181c643</t>
        </is>
      </c>
      <c r="AG258" t="inlineStr"/>
    </row>
    <row r="259">
      <c r="A259" t="inlineStr">
        <is>
          <t>AS</t>
        </is>
      </c>
      <c r="B259" t="inlineStr">
        <is>
          <t>aom</t>
        </is>
      </c>
      <c r="C259" t="inlineStr">
        <is>
          <t>av2</t>
        </is>
      </c>
      <c r="D259" t="inlineStr">
        <is>
          <t>0</t>
        </is>
      </c>
      <c r="E259" t="inlineStr">
        <is>
          <t>A1</t>
        </is>
      </c>
      <c r="F259" t="inlineStr">
        <is>
          <t>TimeLapse</t>
        </is>
      </c>
      <c r="G259" t="inlineStr">
        <is>
          <t>3840x2160</t>
        </is>
      </c>
      <c r="H259" t="inlineStr">
        <is>
          <t>60.0000</t>
        </is>
      </c>
      <c r="I259" t="inlineStr">
        <is>
          <t>10</t>
        </is>
      </c>
      <c r="J259" t="inlineStr">
        <is>
          <t>3840x2160</t>
        </is>
      </c>
      <c r="K259" t="inlineStr">
        <is>
          <t>235</t>
        </is>
      </c>
      <c r="L259" t="n">
        <v>208.761085</v>
      </c>
      <c r="M259" t="n">
        <v>31.848161</v>
      </c>
      <c r="N259" t="n">
        <v>39.080727</v>
      </c>
      <c r="O259" t="n">
        <v>39.998684</v>
      </c>
      <c r="P259" t="n">
        <v>12.891067</v>
      </c>
      <c r="Q259" t="n">
        <v>10.189603</v>
      </c>
      <c r="R259" t="n">
        <v>45.081115</v>
      </c>
      <c r="S259" t="n">
        <v>42.807664</v>
      </c>
      <c r="T259" t="n">
        <v>27.972952</v>
      </c>
      <c r="U259" t="n">
        <v>33.791883</v>
      </c>
      <c r="V259" t="n">
        <v>31.77098</v>
      </c>
      <c r="W259" t="n">
        <v>39.060898</v>
      </c>
      <c r="X259" t="n">
        <v>39.915077</v>
      </c>
      <c r="Y259" t="n">
        <v>0.016894</v>
      </c>
      <c r="Z259" t="inlineStr"/>
      <c r="AA259" t="inlineStr"/>
      <c r="AB259" t="inlineStr"/>
      <c r="AC259" t="inlineStr"/>
      <c r="AD259" t="inlineStr"/>
      <c r="AE259" t="inlineStr"/>
      <c r="AF259" t="inlineStr">
        <is>
          <t>0fd6f1beb83ea71bc8d5baebb057dbe6</t>
        </is>
      </c>
      <c r="AG259" t="inlineStr"/>
    </row>
    <row r="260">
      <c r="A260" t="inlineStr">
        <is>
          <t>AS</t>
        </is>
      </c>
      <c r="B260" t="inlineStr">
        <is>
          <t>aom</t>
        </is>
      </c>
      <c r="C260" t="inlineStr">
        <is>
          <t>av2</t>
        </is>
      </c>
      <c r="D260" t="inlineStr">
        <is>
          <t>0</t>
        </is>
      </c>
      <c r="E260" t="inlineStr">
        <is>
          <t>A1</t>
        </is>
      </c>
      <c r="F260" t="inlineStr">
        <is>
          <t>TimeLapse</t>
        </is>
      </c>
      <c r="G260" t="inlineStr">
        <is>
          <t>3840x2160</t>
        </is>
      </c>
      <c r="H260" t="inlineStr">
        <is>
          <t>60.0000</t>
        </is>
      </c>
      <c r="I260" t="inlineStr">
        <is>
          <t>10</t>
        </is>
      </c>
      <c r="J260" t="inlineStr">
        <is>
          <t>2560x1440</t>
        </is>
      </c>
      <c r="K260" t="inlineStr">
        <is>
          <t>110</t>
        </is>
      </c>
      <c r="L260" t="n">
        <v>15243.631445</v>
      </c>
      <c r="M260" t="n">
        <v>42.00266</v>
      </c>
      <c r="N260" t="n">
        <v>48.3878</v>
      </c>
      <c r="O260" t="n">
        <v>50.192487</v>
      </c>
      <c r="P260" t="n">
        <v>29.524553</v>
      </c>
      <c r="Q260" t="n">
        <v>21.800678</v>
      </c>
      <c r="R260" t="n">
        <v>93.017841</v>
      </c>
      <c r="S260" t="n">
        <v>90.936201</v>
      </c>
      <c r="T260" t="n">
        <v>43.023186</v>
      </c>
      <c r="U260" t="n">
        <v>43.460124</v>
      </c>
      <c r="V260" t="n">
        <v>41.937347</v>
      </c>
      <c r="W260" t="n">
        <v>48.374269</v>
      </c>
      <c r="X260" t="n">
        <v>50.127228</v>
      </c>
      <c r="Y260" t="n">
        <v>0.010486</v>
      </c>
      <c r="Z260" t="inlineStr"/>
      <c r="AA260" t="inlineStr"/>
      <c r="AB260" t="inlineStr"/>
      <c r="AC260" t="inlineStr"/>
      <c r="AD260" t="inlineStr"/>
      <c r="AE260" t="inlineStr"/>
      <c r="AF260" t="inlineStr">
        <is>
          <t>9de56c436347df827165498d419e4679</t>
        </is>
      </c>
      <c r="AG260" t="inlineStr"/>
    </row>
    <row r="261">
      <c r="A261" t="inlineStr">
        <is>
          <t>AS</t>
        </is>
      </c>
      <c r="B261" t="inlineStr">
        <is>
          <t>aom</t>
        </is>
      </c>
      <c r="C261" t="inlineStr">
        <is>
          <t>av2</t>
        </is>
      </c>
      <c r="D261" t="inlineStr">
        <is>
          <t>0</t>
        </is>
      </c>
      <c r="E261" t="inlineStr">
        <is>
          <t>A1</t>
        </is>
      </c>
      <c r="F261" t="inlineStr">
        <is>
          <t>TimeLapse</t>
        </is>
      </c>
      <c r="G261" t="inlineStr">
        <is>
          <t>3840x2160</t>
        </is>
      </c>
      <c r="H261" t="inlineStr">
        <is>
          <t>60.0000</t>
        </is>
      </c>
      <c r="I261" t="inlineStr">
        <is>
          <t>10</t>
        </is>
      </c>
      <c r="J261" t="inlineStr">
        <is>
          <t>2560x1440</t>
        </is>
      </c>
      <c r="K261" t="inlineStr">
        <is>
          <t>135</t>
        </is>
      </c>
      <c r="L261" t="n">
        <v>5911.119035</v>
      </c>
      <c r="M261" t="n">
        <v>40.230316</v>
      </c>
      <c r="N261" t="n">
        <v>46.817766</v>
      </c>
      <c r="O261" t="n">
        <v>48.528027</v>
      </c>
      <c r="P261" t="n">
        <v>25.795211</v>
      </c>
      <c r="Q261" t="n">
        <v>19.335108</v>
      </c>
      <c r="R261" t="n">
        <v>88.813821</v>
      </c>
      <c r="S261" t="n">
        <v>86.52167</v>
      </c>
      <c r="T261" t="n">
        <v>39.44915</v>
      </c>
      <c r="U261" t="n">
        <v>41.930667</v>
      </c>
      <c r="V261" t="n">
        <v>40.17063</v>
      </c>
      <c r="W261" t="n">
        <v>46.810406</v>
      </c>
      <c r="X261" t="n">
        <v>48.487992</v>
      </c>
      <c r="Y261" t="n">
        <v>0.008977000000000001</v>
      </c>
      <c r="Z261" t="inlineStr"/>
      <c r="AA261" t="inlineStr"/>
      <c r="AB261" t="inlineStr"/>
      <c r="AC261" t="inlineStr"/>
      <c r="AD261" t="inlineStr"/>
      <c r="AE261" t="inlineStr"/>
      <c r="AF261" t="inlineStr">
        <is>
          <t>4f76cc9972570e29127950bdd5bb2b6c</t>
        </is>
      </c>
      <c r="AG261" t="inlineStr"/>
    </row>
    <row r="262">
      <c r="A262" t="inlineStr">
        <is>
          <t>AS</t>
        </is>
      </c>
      <c r="B262" t="inlineStr">
        <is>
          <t>aom</t>
        </is>
      </c>
      <c r="C262" t="inlineStr">
        <is>
          <t>av2</t>
        </is>
      </c>
      <c r="D262" t="inlineStr">
        <is>
          <t>0</t>
        </is>
      </c>
      <c r="E262" t="inlineStr">
        <is>
          <t>A1</t>
        </is>
      </c>
      <c r="F262" t="inlineStr">
        <is>
          <t>TimeLapse</t>
        </is>
      </c>
      <c r="G262" t="inlineStr">
        <is>
          <t>3840x2160</t>
        </is>
      </c>
      <c r="H262" t="inlineStr">
        <is>
          <t>60.0000</t>
        </is>
      </c>
      <c r="I262" t="inlineStr">
        <is>
          <t>10</t>
        </is>
      </c>
      <c r="J262" t="inlineStr">
        <is>
          <t>2560x1440</t>
        </is>
      </c>
      <c r="K262" t="inlineStr">
        <is>
          <t>160</t>
        </is>
      </c>
      <c r="L262" t="n">
        <v>2272.285253</v>
      </c>
      <c r="M262" t="n">
        <v>38.074441</v>
      </c>
      <c r="N262" t="n">
        <v>44.877375</v>
      </c>
      <c r="O262" t="n">
        <v>46.489284</v>
      </c>
      <c r="P262" t="n">
        <v>21.963189</v>
      </c>
      <c r="Q262" t="n">
        <v>16.672153</v>
      </c>
      <c r="R262" t="n">
        <v>81.333547</v>
      </c>
      <c r="S262" t="n">
        <v>78.795181</v>
      </c>
      <c r="T262" t="n">
        <v>35.951372</v>
      </c>
      <c r="U262" t="n">
        <v>39.969806</v>
      </c>
      <c r="V262" t="n">
        <v>38.013986</v>
      </c>
      <c r="W262" t="n">
        <v>44.87182</v>
      </c>
      <c r="X262" t="n">
        <v>46.466149</v>
      </c>
      <c r="Y262" t="n">
        <v>0.009485</v>
      </c>
      <c r="Z262" t="inlineStr"/>
      <c r="AA262" t="inlineStr"/>
      <c r="AB262" t="inlineStr"/>
      <c r="AC262" t="inlineStr"/>
      <c r="AD262" t="inlineStr"/>
      <c r="AE262" t="inlineStr"/>
      <c r="AF262" t="inlineStr">
        <is>
          <t>caff794c8c6e27b261a777608725b80b</t>
        </is>
      </c>
      <c r="AG262" t="inlineStr"/>
    </row>
    <row r="263">
      <c r="A263" t="inlineStr">
        <is>
          <t>AS</t>
        </is>
      </c>
      <c r="B263" t="inlineStr">
        <is>
          <t>aom</t>
        </is>
      </c>
      <c r="C263" t="inlineStr">
        <is>
          <t>av2</t>
        </is>
      </c>
      <c r="D263" t="inlineStr">
        <is>
          <t>0</t>
        </is>
      </c>
      <c r="E263" t="inlineStr">
        <is>
          <t>A1</t>
        </is>
      </c>
      <c r="F263" t="inlineStr">
        <is>
          <t>TimeLapse</t>
        </is>
      </c>
      <c r="G263" t="inlineStr">
        <is>
          <t>3840x2160</t>
        </is>
      </c>
      <c r="H263" t="inlineStr">
        <is>
          <t>60.0000</t>
        </is>
      </c>
      <c r="I263" t="inlineStr">
        <is>
          <t>10</t>
        </is>
      </c>
      <c r="J263" t="inlineStr">
        <is>
          <t>2560x1440</t>
        </is>
      </c>
      <c r="K263" t="inlineStr">
        <is>
          <t>185</t>
        </is>
      </c>
      <c r="L263" t="n">
        <v>879.256128</v>
      </c>
      <c r="M263" t="n">
        <v>35.672724</v>
      </c>
      <c r="N263" t="n">
        <v>42.822302</v>
      </c>
      <c r="O263" t="n">
        <v>44.349947</v>
      </c>
      <c r="P263" t="n">
        <v>18.262034</v>
      </c>
      <c r="Q263" t="n">
        <v>13.969274</v>
      </c>
      <c r="R263" t="n">
        <v>69.83129</v>
      </c>
      <c r="S263" t="n">
        <v>67.105716</v>
      </c>
      <c r="T263" t="n">
        <v>32.629322</v>
      </c>
      <c r="U263" t="n">
        <v>37.737123</v>
      </c>
      <c r="V263" t="n">
        <v>35.605827</v>
      </c>
      <c r="W263" t="n">
        <v>42.815642</v>
      </c>
      <c r="X263" t="n">
        <v>44.333695</v>
      </c>
      <c r="Y263" t="n">
        <v>0.013258</v>
      </c>
      <c r="Z263" t="inlineStr"/>
      <c r="AA263" t="inlineStr"/>
      <c r="AB263" t="inlineStr"/>
      <c r="AC263" t="inlineStr"/>
      <c r="AD263" t="inlineStr"/>
      <c r="AE263" t="inlineStr"/>
      <c r="AF263" t="inlineStr">
        <is>
          <t>8380033339f181a39b2e2864bd924dc3</t>
        </is>
      </c>
      <c r="AG263" t="inlineStr"/>
    </row>
    <row r="264">
      <c r="A264" t="inlineStr">
        <is>
          <t>AS</t>
        </is>
      </c>
      <c r="B264" t="inlineStr">
        <is>
          <t>aom</t>
        </is>
      </c>
      <c r="C264" t="inlineStr">
        <is>
          <t>av2</t>
        </is>
      </c>
      <c r="D264" t="inlineStr">
        <is>
          <t>0</t>
        </is>
      </c>
      <c r="E264" t="inlineStr">
        <is>
          <t>A1</t>
        </is>
      </c>
      <c r="F264" t="inlineStr">
        <is>
          <t>TimeLapse</t>
        </is>
      </c>
      <c r="G264" t="inlineStr">
        <is>
          <t>3840x2160</t>
        </is>
      </c>
      <c r="H264" t="inlineStr">
        <is>
          <t>60.0000</t>
        </is>
      </c>
      <c r="I264" t="inlineStr">
        <is>
          <t>10</t>
        </is>
      </c>
      <c r="J264" t="inlineStr">
        <is>
          <t>2560x1440</t>
        </is>
      </c>
      <c r="K264" t="inlineStr">
        <is>
          <t>210</t>
        </is>
      </c>
      <c r="L264" t="n">
        <v>322.942288</v>
      </c>
      <c r="M264" t="n">
        <v>33.079678</v>
      </c>
      <c r="N264" t="n">
        <v>40.609338</v>
      </c>
      <c r="O264" t="n">
        <v>41.956837</v>
      </c>
      <c r="P264" t="n">
        <v>14.579917</v>
      </c>
      <c r="Q264" t="n">
        <v>11.333697</v>
      </c>
      <c r="R264" t="n">
        <v>53.423448</v>
      </c>
      <c r="S264" t="n">
        <v>50.961329</v>
      </c>
      <c r="T264" t="n">
        <v>29.422003</v>
      </c>
      <c r="U264" t="n">
        <v>35.256474</v>
      </c>
      <c r="V264" t="n">
        <v>33.001345</v>
      </c>
      <c r="W264" t="n">
        <v>40.601901</v>
      </c>
      <c r="X264" t="n">
        <v>41.932821</v>
      </c>
      <c r="Y264" t="n">
        <v>0.01502</v>
      </c>
      <c r="Z264" t="inlineStr"/>
      <c r="AA264" t="inlineStr"/>
      <c r="AB264" t="inlineStr"/>
      <c r="AC264" t="inlineStr"/>
      <c r="AD264" t="inlineStr"/>
      <c r="AE264" t="inlineStr"/>
      <c r="AF264" t="inlineStr">
        <is>
          <t>a4aa07153a84c12b5b21ebd011c7cf60</t>
        </is>
      </c>
      <c r="AG264" t="inlineStr"/>
    </row>
    <row r="265">
      <c r="A265" t="inlineStr">
        <is>
          <t>AS</t>
        </is>
      </c>
      <c r="B265" t="inlineStr">
        <is>
          <t>aom</t>
        </is>
      </c>
      <c r="C265" t="inlineStr">
        <is>
          <t>av2</t>
        </is>
      </c>
      <c r="D265" t="inlineStr">
        <is>
          <t>0</t>
        </is>
      </c>
      <c r="E265" t="inlineStr">
        <is>
          <t>A1</t>
        </is>
      </c>
      <c r="F265" t="inlineStr">
        <is>
          <t>TimeLapse</t>
        </is>
      </c>
      <c r="G265" t="inlineStr">
        <is>
          <t>3840x2160</t>
        </is>
      </c>
      <c r="H265" t="inlineStr">
        <is>
          <t>60.0000</t>
        </is>
      </c>
      <c r="I265" t="inlineStr">
        <is>
          <t>10</t>
        </is>
      </c>
      <c r="J265" t="inlineStr">
        <is>
          <t>2560x1440</t>
        </is>
      </c>
      <c r="K265" t="inlineStr">
        <is>
          <t>235</t>
        </is>
      </c>
      <c r="L265" t="n">
        <v>117.250134</v>
      </c>
      <c r="M265" t="n">
        <v>30.449817</v>
      </c>
      <c r="N265" t="n">
        <v>38.143675</v>
      </c>
      <c r="O265" t="n">
        <v>39.23701</v>
      </c>
      <c r="P265" t="n">
        <v>11.130418</v>
      </c>
      <c r="Q265" t="n">
        <v>9.010457000000001</v>
      </c>
      <c r="R265" t="n">
        <v>35.191836</v>
      </c>
      <c r="S265" t="n">
        <v>33.220495</v>
      </c>
      <c r="T265" t="n">
        <v>26.455632</v>
      </c>
      <c r="U265" t="n">
        <v>32.623087</v>
      </c>
      <c r="V265" t="n">
        <v>30.363564</v>
      </c>
      <c r="W265" t="n">
        <v>38.128774</v>
      </c>
      <c r="X265" t="n">
        <v>39.166431</v>
      </c>
      <c r="Y265" t="n">
        <v>0.021812</v>
      </c>
      <c r="Z265" t="inlineStr"/>
      <c r="AA265" t="inlineStr"/>
      <c r="AB265" t="inlineStr"/>
      <c r="AC265" t="inlineStr"/>
      <c r="AD265" t="inlineStr"/>
      <c r="AE265" t="inlineStr"/>
      <c r="AF265" t="inlineStr">
        <is>
          <t>c4793ad4cfb93c98d5aac1d9276b6c27</t>
        </is>
      </c>
      <c r="AG265" t="inlineStr"/>
    </row>
    <row r="266">
      <c r="A266" t="inlineStr">
        <is>
          <t>AS</t>
        </is>
      </c>
      <c r="B266" t="inlineStr">
        <is>
          <t>aom</t>
        </is>
      </c>
      <c r="C266" t="inlineStr">
        <is>
          <t>av2</t>
        </is>
      </c>
      <c r="D266" t="inlineStr">
        <is>
          <t>0</t>
        </is>
      </c>
      <c r="E266" t="inlineStr">
        <is>
          <t>A1</t>
        </is>
      </c>
      <c r="F266" t="inlineStr">
        <is>
          <t>TimeLapse</t>
        </is>
      </c>
      <c r="G266" t="inlineStr">
        <is>
          <t>3840x2160</t>
        </is>
      </c>
      <c r="H266" t="inlineStr">
        <is>
          <t>60.0000</t>
        </is>
      </c>
      <c r="I266" t="inlineStr">
        <is>
          <t>10</t>
        </is>
      </c>
      <c r="J266" t="inlineStr">
        <is>
          <t>1920x1080</t>
        </is>
      </c>
      <c r="K266" t="inlineStr">
        <is>
          <t>110</t>
        </is>
      </c>
      <c r="L266" t="n">
        <v>9764.169368999999</v>
      </c>
      <c r="M266" t="n">
        <v>40.39768</v>
      </c>
      <c r="N266" t="n">
        <v>47.204982</v>
      </c>
      <c r="O266" t="n">
        <v>49.143721</v>
      </c>
      <c r="P266" t="n">
        <v>27.951882</v>
      </c>
      <c r="Q266" t="n">
        <v>20.416162</v>
      </c>
      <c r="R266" t="n">
        <v>90.024939</v>
      </c>
      <c r="S266" t="n">
        <v>87.666245</v>
      </c>
      <c r="T266" t="n">
        <v>41.123459</v>
      </c>
      <c r="U266" t="n">
        <v>42.222643</v>
      </c>
      <c r="V266" t="n">
        <v>40.328781</v>
      </c>
      <c r="W266" t="n">
        <v>47.196551</v>
      </c>
      <c r="X266" t="n">
        <v>49.100435</v>
      </c>
      <c r="Y266" t="n">
        <v>0.013653</v>
      </c>
      <c r="Z266" t="inlineStr"/>
      <c r="AA266" t="inlineStr"/>
      <c r="AB266" t="inlineStr"/>
      <c r="AC266" t="inlineStr"/>
      <c r="AD266" t="inlineStr"/>
      <c r="AE266" t="inlineStr"/>
      <c r="AF266" t="inlineStr">
        <is>
          <t>b198a7c3e4fb2d0af3147ad959628132</t>
        </is>
      </c>
      <c r="AG266" t="inlineStr"/>
    </row>
    <row r="267">
      <c r="A267" t="inlineStr">
        <is>
          <t>AS</t>
        </is>
      </c>
      <c r="B267" t="inlineStr">
        <is>
          <t>aom</t>
        </is>
      </c>
      <c r="C267" t="inlineStr">
        <is>
          <t>av2</t>
        </is>
      </c>
      <c r="D267" t="inlineStr">
        <is>
          <t>0</t>
        </is>
      </c>
      <c r="E267" t="inlineStr">
        <is>
          <t>A1</t>
        </is>
      </c>
      <c r="F267" t="inlineStr">
        <is>
          <t>TimeLapse</t>
        </is>
      </c>
      <c r="G267" t="inlineStr">
        <is>
          <t>3840x2160</t>
        </is>
      </c>
      <c r="H267" t="inlineStr">
        <is>
          <t>60.0000</t>
        </is>
      </c>
      <c r="I267" t="inlineStr">
        <is>
          <t>10</t>
        </is>
      </c>
      <c r="J267" t="inlineStr">
        <is>
          <t>1920x1080</t>
        </is>
      </c>
      <c r="K267" t="inlineStr">
        <is>
          <t>135</t>
        </is>
      </c>
      <c r="L267" t="n">
        <v>3891.555829</v>
      </c>
      <c r="M267" t="n">
        <v>38.876323</v>
      </c>
      <c r="N267" t="n">
        <v>45.724935</v>
      </c>
      <c r="O267" t="n">
        <v>47.589289</v>
      </c>
      <c r="P267" t="n">
        <v>24.273204</v>
      </c>
      <c r="Q267" t="n">
        <v>18.12321</v>
      </c>
      <c r="R267" t="n">
        <v>84.899124</v>
      </c>
      <c r="S267" t="n">
        <v>82.382513</v>
      </c>
      <c r="T267" t="n">
        <v>37.856027</v>
      </c>
      <c r="U267" t="n">
        <v>40.79961</v>
      </c>
      <c r="V267" t="n">
        <v>38.814165</v>
      </c>
      <c r="W267" t="n">
        <v>45.719964</v>
      </c>
      <c r="X267" t="n">
        <v>47.557813</v>
      </c>
      <c r="Y267" t="n">
        <v>0.013688</v>
      </c>
      <c r="Z267" t="inlineStr"/>
      <c r="AA267" t="inlineStr"/>
      <c r="AB267" t="inlineStr"/>
      <c r="AC267" t="inlineStr"/>
      <c r="AD267" t="inlineStr"/>
      <c r="AE267" t="inlineStr"/>
      <c r="AF267" t="inlineStr">
        <is>
          <t>1d15ef197d85890189aba9044b70379b</t>
        </is>
      </c>
      <c r="AG267" t="inlineStr"/>
    </row>
    <row r="268">
      <c r="A268" t="inlineStr">
        <is>
          <t>AS</t>
        </is>
      </c>
      <c r="B268" t="inlineStr">
        <is>
          <t>aom</t>
        </is>
      </c>
      <c r="C268" t="inlineStr">
        <is>
          <t>av2</t>
        </is>
      </c>
      <c r="D268" t="inlineStr">
        <is>
          <t>0</t>
        </is>
      </c>
      <c r="E268" t="inlineStr">
        <is>
          <t>A1</t>
        </is>
      </c>
      <c r="F268" t="inlineStr">
        <is>
          <t>TimeLapse</t>
        </is>
      </c>
      <c r="G268" t="inlineStr">
        <is>
          <t>3840x2160</t>
        </is>
      </c>
      <c r="H268" t="inlineStr">
        <is>
          <t>60.0000</t>
        </is>
      </c>
      <c r="I268" t="inlineStr">
        <is>
          <t>10</t>
        </is>
      </c>
      <c r="J268" t="inlineStr">
        <is>
          <t>1920x1080</t>
        </is>
      </c>
      <c r="K268" t="inlineStr">
        <is>
          <t>160</t>
        </is>
      </c>
      <c r="L268" t="n">
        <v>1520.341812</v>
      </c>
      <c r="M268" t="n">
        <v>36.891519</v>
      </c>
      <c r="N268" t="n">
        <v>43.923164</v>
      </c>
      <c r="O268" t="n">
        <v>45.652333</v>
      </c>
      <c r="P268" t="n">
        <v>20.512971</v>
      </c>
      <c r="Q268" t="n">
        <v>15.549193</v>
      </c>
      <c r="R268" t="n">
        <v>76.09023500000001</v>
      </c>
      <c r="S268" t="n">
        <v>73.443066</v>
      </c>
      <c r="T268" t="n">
        <v>34.548199</v>
      </c>
      <c r="U268" t="n">
        <v>38.9381</v>
      </c>
      <c r="V268" t="n">
        <v>36.826588</v>
      </c>
      <c r="W268" t="n">
        <v>43.919058</v>
      </c>
      <c r="X268" t="n">
        <v>45.632124</v>
      </c>
      <c r="Y268" t="n">
        <v>0.015672</v>
      </c>
      <c r="Z268" t="inlineStr"/>
      <c r="AA268" t="inlineStr"/>
      <c r="AB268" t="inlineStr"/>
      <c r="AC268" t="inlineStr"/>
      <c r="AD268" t="inlineStr"/>
      <c r="AE268" t="inlineStr"/>
      <c r="AF268" t="inlineStr">
        <is>
          <t>70cf63163fff1d527dda3a3c74527472</t>
        </is>
      </c>
      <c r="AG268" t="inlineStr"/>
    </row>
    <row r="269">
      <c r="A269" t="inlineStr">
        <is>
          <t>AS</t>
        </is>
      </c>
      <c r="B269" t="inlineStr">
        <is>
          <t>aom</t>
        </is>
      </c>
      <c r="C269" t="inlineStr">
        <is>
          <t>av2</t>
        </is>
      </c>
      <c r="D269" t="inlineStr">
        <is>
          <t>0</t>
        </is>
      </c>
      <c r="E269" t="inlineStr">
        <is>
          <t>A1</t>
        </is>
      </c>
      <c r="F269" t="inlineStr">
        <is>
          <t>TimeLapse</t>
        </is>
      </c>
      <c r="G269" t="inlineStr">
        <is>
          <t>3840x2160</t>
        </is>
      </c>
      <c r="H269" t="inlineStr">
        <is>
          <t>60.0000</t>
        </is>
      </c>
      <c r="I269" t="inlineStr">
        <is>
          <t>10</t>
        </is>
      </c>
      <c r="J269" t="inlineStr">
        <is>
          <t>1920x1080</t>
        </is>
      </c>
      <c r="K269" t="inlineStr">
        <is>
          <t>185</t>
        </is>
      </c>
      <c r="L269" t="n">
        <v>585.3395829999999</v>
      </c>
      <c r="M269" t="n">
        <v>34.602235</v>
      </c>
      <c r="N269" t="n">
        <v>41.976698</v>
      </c>
      <c r="O269" t="n">
        <v>43.64377</v>
      </c>
      <c r="P269" t="n">
        <v>16.85189</v>
      </c>
      <c r="Q269" t="n">
        <v>12.929146</v>
      </c>
      <c r="R269" t="n">
        <v>63.008882</v>
      </c>
      <c r="S269" t="n">
        <v>60.384706</v>
      </c>
      <c r="T269" t="n">
        <v>31.370205</v>
      </c>
      <c r="U269" t="n">
        <v>36.791388</v>
      </c>
      <c r="V269" t="n">
        <v>34.530603</v>
      </c>
      <c r="W269" t="n">
        <v>41.971124</v>
      </c>
      <c r="X269" t="n">
        <v>43.629188</v>
      </c>
      <c r="Y269" t="n">
        <v>0.022073</v>
      </c>
      <c r="Z269" t="inlineStr"/>
      <c r="AA269" t="inlineStr"/>
      <c r="AB269" t="inlineStr"/>
      <c r="AC269" t="inlineStr"/>
      <c r="AD269" t="inlineStr"/>
      <c r="AE269" t="inlineStr"/>
      <c r="AF269" t="inlineStr">
        <is>
          <t>17927661c858f1257c82ece988d63df6</t>
        </is>
      </c>
      <c r="AG269" t="inlineStr"/>
    </row>
    <row r="270">
      <c r="A270" t="inlineStr">
        <is>
          <t>AS</t>
        </is>
      </c>
      <c r="B270" t="inlineStr">
        <is>
          <t>aom</t>
        </is>
      </c>
      <c r="C270" t="inlineStr">
        <is>
          <t>av2</t>
        </is>
      </c>
      <c r="D270" t="inlineStr">
        <is>
          <t>0</t>
        </is>
      </c>
      <c r="E270" t="inlineStr">
        <is>
          <t>A1</t>
        </is>
      </c>
      <c r="F270" t="inlineStr">
        <is>
          <t>TimeLapse</t>
        </is>
      </c>
      <c r="G270" t="inlineStr">
        <is>
          <t>3840x2160</t>
        </is>
      </c>
      <c r="H270" t="inlineStr">
        <is>
          <t>60.0000</t>
        </is>
      </c>
      <c r="I270" t="inlineStr">
        <is>
          <t>10</t>
        </is>
      </c>
      <c r="J270" t="inlineStr">
        <is>
          <t>1920x1080</t>
        </is>
      </c>
      <c r="K270" t="inlineStr">
        <is>
          <t>210</t>
        </is>
      </c>
      <c r="L270" t="n">
        <v>213.615308</v>
      </c>
      <c r="M270" t="n">
        <v>32.061496</v>
      </c>
      <c r="N270" t="n">
        <v>39.847366</v>
      </c>
      <c r="O270" t="n">
        <v>41.318778</v>
      </c>
      <c r="P270" t="n">
        <v>13.214013</v>
      </c>
      <c r="Q270" t="n">
        <v>10.399913</v>
      </c>
      <c r="R270" t="n">
        <v>45.716715</v>
      </c>
      <c r="S270" t="n">
        <v>43.525722</v>
      </c>
      <c r="T270" t="n">
        <v>28.283722</v>
      </c>
      <c r="U270" t="n">
        <v>34.339682</v>
      </c>
      <c r="V270" t="n">
        <v>31.979915</v>
      </c>
      <c r="W270" t="n">
        <v>39.84118</v>
      </c>
      <c r="X270" t="n">
        <v>41.287257</v>
      </c>
      <c r="Y270" t="n">
        <v>0.020509</v>
      </c>
      <c r="Z270" t="inlineStr"/>
      <c r="AA270" t="inlineStr"/>
      <c r="AB270" t="inlineStr"/>
      <c r="AC270" t="inlineStr"/>
      <c r="AD270" t="inlineStr"/>
      <c r="AE270" t="inlineStr"/>
      <c r="AF270" t="inlineStr">
        <is>
          <t>16fb0e1039ea0370d3c70783fb0a9f93</t>
        </is>
      </c>
      <c r="AG270" t="inlineStr"/>
    </row>
    <row r="271">
      <c r="A271" t="inlineStr">
        <is>
          <t>AS</t>
        </is>
      </c>
      <c r="B271" t="inlineStr">
        <is>
          <t>aom</t>
        </is>
      </c>
      <c r="C271" t="inlineStr">
        <is>
          <t>av2</t>
        </is>
      </c>
      <c r="D271" t="inlineStr">
        <is>
          <t>0</t>
        </is>
      </c>
      <c r="E271" t="inlineStr">
        <is>
          <t>A1</t>
        </is>
      </c>
      <c r="F271" t="inlineStr">
        <is>
          <t>TimeLapse</t>
        </is>
      </c>
      <c r="G271" t="inlineStr">
        <is>
          <t>3840x2160</t>
        </is>
      </c>
      <c r="H271" t="inlineStr">
        <is>
          <t>60.0000</t>
        </is>
      </c>
      <c r="I271" t="inlineStr">
        <is>
          <t>10</t>
        </is>
      </c>
      <c r="J271" t="inlineStr">
        <is>
          <t>1920x1080</t>
        </is>
      </c>
      <c r="K271" t="inlineStr">
        <is>
          <t>235</t>
        </is>
      </c>
      <c r="L271" t="n">
        <v>78.977023</v>
      </c>
      <c r="M271" t="n">
        <v>29.509821</v>
      </c>
      <c r="N271" t="n">
        <v>37.515952</v>
      </c>
      <c r="O271" t="n">
        <v>38.56772</v>
      </c>
      <c r="P271" t="n">
        <v>10.018059</v>
      </c>
      <c r="Q271" t="n">
        <v>8.293486</v>
      </c>
      <c r="R271" t="n">
        <v>28.303781</v>
      </c>
      <c r="S271" t="n">
        <v>26.72165</v>
      </c>
      <c r="T271" t="n">
        <v>25.447681</v>
      </c>
      <c r="U271" t="n">
        <v>31.780676</v>
      </c>
      <c r="V271" t="n">
        <v>29.419775</v>
      </c>
      <c r="W271" t="n">
        <v>37.499885</v>
      </c>
      <c r="X271" t="n">
        <v>38.462749</v>
      </c>
      <c r="Y271" t="n">
        <v>0.031509</v>
      </c>
      <c r="Z271" t="inlineStr"/>
      <c r="AA271" t="inlineStr"/>
      <c r="AB271" t="inlineStr"/>
      <c r="AC271" t="inlineStr"/>
      <c r="AD271" t="inlineStr"/>
      <c r="AE271" t="inlineStr"/>
      <c r="AF271" t="inlineStr">
        <is>
          <t>ea2a29adafbac8c742c329284326e20b</t>
        </is>
      </c>
      <c r="AG271" t="inlineStr"/>
    </row>
    <row r="272">
      <c r="A272" t="inlineStr">
        <is>
          <t>AS</t>
        </is>
      </c>
      <c r="B272" t="inlineStr">
        <is>
          <t>aom</t>
        </is>
      </c>
      <c r="C272" t="inlineStr">
        <is>
          <t>av2</t>
        </is>
      </c>
      <c r="D272" t="inlineStr">
        <is>
          <t>0</t>
        </is>
      </c>
      <c r="E272" t="inlineStr">
        <is>
          <t>A1</t>
        </is>
      </c>
      <c r="F272" t="inlineStr">
        <is>
          <t>TimeLapse</t>
        </is>
      </c>
      <c r="G272" t="inlineStr">
        <is>
          <t>3840x2160</t>
        </is>
      </c>
      <c r="H272" t="inlineStr">
        <is>
          <t>60.0000</t>
        </is>
      </c>
      <c r="I272" t="inlineStr">
        <is>
          <t>10</t>
        </is>
      </c>
      <c r="J272" t="inlineStr">
        <is>
          <t>1280x720</t>
        </is>
      </c>
      <c r="K272" t="inlineStr">
        <is>
          <t>110</t>
        </is>
      </c>
      <c r="L272" t="n">
        <v>4887.106739</v>
      </c>
      <c r="M272" t="n">
        <v>37.178731</v>
      </c>
      <c r="N272" t="n">
        <v>45.401196</v>
      </c>
      <c r="O272" t="n">
        <v>47.624887</v>
      </c>
      <c r="P272" t="n">
        <v>25.379127</v>
      </c>
      <c r="Q272" t="n">
        <v>17.522134</v>
      </c>
      <c r="R272" t="n">
        <v>80.382892</v>
      </c>
      <c r="S272" t="n">
        <v>77.97210200000001</v>
      </c>
      <c r="T272" t="n">
        <v>36.112968</v>
      </c>
      <c r="U272" t="n">
        <v>39.916621</v>
      </c>
      <c r="V272" t="n">
        <v>37.094953</v>
      </c>
      <c r="W272" t="n">
        <v>45.393727</v>
      </c>
      <c r="X272" t="n">
        <v>47.609427</v>
      </c>
      <c r="Y272" t="n">
        <v>0.013082</v>
      </c>
      <c r="Z272" t="inlineStr"/>
      <c r="AA272" t="inlineStr"/>
      <c r="AB272" t="inlineStr"/>
      <c r="AC272" t="inlineStr"/>
      <c r="AD272" t="inlineStr"/>
      <c r="AE272" t="inlineStr"/>
      <c r="AF272" t="inlineStr">
        <is>
          <t>f4054590a67ac8e626ff73f430939d02</t>
        </is>
      </c>
      <c r="AG272" t="inlineStr"/>
    </row>
    <row r="273">
      <c r="A273" t="inlineStr">
        <is>
          <t>AS</t>
        </is>
      </c>
      <c r="B273" t="inlineStr">
        <is>
          <t>aom</t>
        </is>
      </c>
      <c r="C273" t="inlineStr">
        <is>
          <t>av2</t>
        </is>
      </c>
      <c r="D273" t="inlineStr">
        <is>
          <t>0</t>
        </is>
      </c>
      <c r="E273" t="inlineStr">
        <is>
          <t>A1</t>
        </is>
      </c>
      <c r="F273" t="inlineStr">
        <is>
          <t>TimeLapse</t>
        </is>
      </c>
      <c r="G273" t="inlineStr">
        <is>
          <t>3840x2160</t>
        </is>
      </c>
      <c r="H273" t="inlineStr">
        <is>
          <t>60.0000</t>
        </is>
      </c>
      <c r="I273" t="inlineStr">
        <is>
          <t>10</t>
        </is>
      </c>
      <c r="J273" t="inlineStr">
        <is>
          <t>1280x720</t>
        </is>
      </c>
      <c r="K273" t="inlineStr">
        <is>
          <t>135</t>
        </is>
      </c>
      <c r="L273" t="n">
        <v>2048.72174</v>
      </c>
      <c r="M273" t="n">
        <v>36.243488</v>
      </c>
      <c r="N273" t="n">
        <v>44.08465</v>
      </c>
      <c r="O273" t="n">
        <v>46.184961</v>
      </c>
      <c r="P273" t="n">
        <v>22.036317</v>
      </c>
      <c r="Q273" t="n">
        <v>15.876425</v>
      </c>
      <c r="R273" t="n">
        <v>74.037454</v>
      </c>
      <c r="S273" t="n">
        <v>71.55543</v>
      </c>
      <c r="T273" t="n">
        <v>34.314354</v>
      </c>
      <c r="U273" t="n">
        <v>38.785846</v>
      </c>
      <c r="V273" t="n">
        <v>36.168641</v>
      </c>
      <c r="W273" t="n">
        <v>44.080153</v>
      </c>
      <c r="X273" t="n">
        <v>46.168527</v>
      </c>
      <c r="Y273" t="n">
        <v>0.015565</v>
      </c>
      <c r="Z273" t="inlineStr"/>
      <c r="AA273" t="inlineStr"/>
      <c r="AB273" t="inlineStr"/>
      <c r="AC273" t="inlineStr"/>
      <c r="AD273" t="inlineStr"/>
      <c r="AE273" t="inlineStr"/>
      <c r="AF273" t="inlineStr">
        <is>
          <t>5209853f79a32f989f114a1671e30ddb</t>
        </is>
      </c>
      <c r="AG273" t="inlineStr"/>
    </row>
    <row r="274">
      <c r="A274" t="inlineStr">
        <is>
          <t>AS</t>
        </is>
      </c>
      <c r="B274" t="inlineStr">
        <is>
          <t>aom</t>
        </is>
      </c>
      <c r="C274" t="inlineStr">
        <is>
          <t>av2</t>
        </is>
      </c>
      <c r="D274" t="inlineStr">
        <is>
          <t>0</t>
        </is>
      </c>
      <c r="E274" t="inlineStr">
        <is>
          <t>A1</t>
        </is>
      </c>
      <c r="F274" t="inlineStr">
        <is>
          <t>TimeLapse</t>
        </is>
      </c>
      <c r="G274" t="inlineStr">
        <is>
          <t>3840x2160</t>
        </is>
      </c>
      <c r="H274" t="inlineStr">
        <is>
          <t>60.0000</t>
        </is>
      </c>
      <c r="I274" t="inlineStr">
        <is>
          <t>10</t>
        </is>
      </c>
      <c r="J274" t="inlineStr">
        <is>
          <t>1280x720</t>
        </is>
      </c>
      <c r="K274" t="inlineStr">
        <is>
          <t>160</t>
        </is>
      </c>
      <c r="L274" t="n">
        <v>840.315377</v>
      </c>
      <c r="M274" t="n">
        <v>34.776271</v>
      </c>
      <c r="N274" t="n">
        <v>42.481589</v>
      </c>
      <c r="O274" t="n">
        <v>44.442656</v>
      </c>
      <c r="P274" t="n">
        <v>18.463808</v>
      </c>
      <c r="Q274" t="n">
        <v>13.734131</v>
      </c>
      <c r="R274" t="n">
        <v>63.737757</v>
      </c>
      <c r="S274" t="n">
        <v>61.299393</v>
      </c>
      <c r="T274" t="n">
        <v>31.953833</v>
      </c>
      <c r="U274" t="n">
        <v>37.210555</v>
      </c>
      <c r="V274" t="n">
        <v>34.703088</v>
      </c>
      <c r="W274" t="n">
        <v>42.478182</v>
      </c>
      <c r="X274" t="n">
        <v>44.429345</v>
      </c>
      <c r="Y274" t="n">
        <v>0.019668</v>
      </c>
      <c r="Z274" t="inlineStr"/>
      <c r="AA274" t="inlineStr"/>
      <c r="AB274" t="inlineStr"/>
      <c r="AC274" t="inlineStr"/>
      <c r="AD274" t="inlineStr"/>
      <c r="AE274" t="inlineStr"/>
      <c r="AF274" t="inlineStr">
        <is>
          <t>b3b5260d858ecef6ff614f4a85355e41</t>
        </is>
      </c>
      <c r="AG274" t="inlineStr"/>
    </row>
    <row r="275">
      <c r="A275" t="inlineStr">
        <is>
          <t>AS</t>
        </is>
      </c>
      <c r="B275" t="inlineStr">
        <is>
          <t>aom</t>
        </is>
      </c>
      <c r="C275" t="inlineStr">
        <is>
          <t>av2</t>
        </is>
      </c>
      <c r="D275" t="inlineStr">
        <is>
          <t>0</t>
        </is>
      </c>
      <c r="E275" t="inlineStr">
        <is>
          <t>A1</t>
        </is>
      </c>
      <c r="F275" t="inlineStr">
        <is>
          <t>TimeLapse</t>
        </is>
      </c>
      <c r="G275" t="inlineStr">
        <is>
          <t>3840x2160</t>
        </is>
      </c>
      <c r="H275" t="inlineStr">
        <is>
          <t>60.0000</t>
        </is>
      </c>
      <c r="I275" t="inlineStr">
        <is>
          <t>10</t>
        </is>
      </c>
      <c r="J275" t="inlineStr">
        <is>
          <t>1280x720</t>
        </is>
      </c>
      <c r="K275" t="inlineStr">
        <is>
          <t>185</t>
        </is>
      </c>
      <c r="L275" t="n">
        <v>322.614001</v>
      </c>
      <c r="M275" t="n">
        <v>32.820866</v>
      </c>
      <c r="N275" t="n">
        <v>40.736438</v>
      </c>
      <c r="O275" t="n">
        <v>42.574504</v>
      </c>
      <c r="P275" t="n">
        <v>14.86773</v>
      </c>
      <c r="Q275" t="n">
        <v>11.378828</v>
      </c>
      <c r="R275" t="n">
        <v>49.171991</v>
      </c>
      <c r="S275" t="n">
        <v>47.008561</v>
      </c>
      <c r="T275" t="n">
        <v>29.302834</v>
      </c>
      <c r="U275" t="n">
        <v>35.27084</v>
      </c>
      <c r="V275" t="n">
        <v>32.739949</v>
      </c>
      <c r="W275" t="n">
        <v>40.732564</v>
      </c>
      <c r="X275" t="n">
        <v>42.558909</v>
      </c>
      <c r="Y275" t="n">
        <v>0.021962</v>
      </c>
      <c r="Z275" t="inlineStr"/>
      <c r="AA275" t="inlineStr"/>
      <c r="AB275" t="inlineStr"/>
      <c r="AC275" t="inlineStr"/>
      <c r="AD275" t="inlineStr"/>
      <c r="AE275" t="inlineStr"/>
      <c r="AF275" t="inlineStr">
        <is>
          <t>0e50bfddd2c51d1d233f0826ca1f3dbf</t>
        </is>
      </c>
      <c r="AG275" t="inlineStr"/>
    </row>
    <row r="276">
      <c r="A276" t="inlineStr">
        <is>
          <t>AS</t>
        </is>
      </c>
      <c r="B276" t="inlineStr">
        <is>
          <t>aom</t>
        </is>
      </c>
      <c r="C276" t="inlineStr">
        <is>
          <t>av2</t>
        </is>
      </c>
      <c r="D276" t="inlineStr">
        <is>
          <t>0</t>
        </is>
      </c>
      <c r="E276" t="inlineStr">
        <is>
          <t>A1</t>
        </is>
      </c>
      <c r="F276" t="inlineStr">
        <is>
          <t>TimeLapse</t>
        </is>
      </c>
      <c r="G276" t="inlineStr">
        <is>
          <t>3840x2160</t>
        </is>
      </c>
      <c r="H276" t="inlineStr">
        <is>
          <t>60.0000</t>
        </is>
      </c>
      <c r="I276" t="inlineStr">
        <is>
          <t>10</t>
        </is>
      </c>
      <c r="J276" t="inlineStr">
        <is>
          <t>1280x720</t>
        </is>
      </c>
      <c r="K276" t="inlineStr">
        <is>
          <t>210</t>
        </is>
      </c>
      <c r="L276" t="n">
        <v>118.766157</v>
      </c>
      <c r="M276" t="n">
        <v>30.541448</v>
      </c>
      <c r="N276" t="n">
        <v>38.832185</v>
      </c>
      <c r="O276" t="n">
        <v>40.218425</v>
      </c>
      <c r="P276" t="n">
        <v>11.424793</v>
      </c>
      <c r="Q276" t="n">
        <v>9.161224000000001</v>
      </c>
      <c r="R276" t="n">
        <v>32.938792</v>
      </c>
      <c r="S276" t="n">
        <v>31.304413</v>
      </c>
      <c r="T276" t="n">
        <v>26.619205</v>
      </c>
      <c r="U276" t="n">
        <v>32.995514</v>
      </c>
      <c r="V276" t="n">
        <v>30.455337</v>
      </c>
      <c r="W276" t="n">
        <v>38.82647</v>
      </c>
      <c r="X276" t="n">
        <v>40.185074</v>
      </c>
      <c r="Y276" t="n">
        <v>0.029955</v>
      </c>
      <c r="Z276" t="inlineStr"/>
      <c r="AA276" t="inlineStr"/>
      <c r="AB276" t="inlineStr"/>
      <c r="AC276" t="inlineStr"/>
      <c r="AD276" t="inlineStr"/>
      <c r="AE276" t="inlineStr"/>
      <c r="AF276" t="inlineStr">
        <is>
          <t>ffee437ce1fb81d06d926ca9df39078b</t>
        </is>
      </c>
      <c r="AG276" t="inlineStr"/>
    </row>
    <row r="277">
      <c r="A277" t="inlineStr">
        <is>
          <t>AS</t>
        </is>
      </c>
      <c r="B277" t="inlineStr">
        <is>
          <t>aom</t>
        </is>
      </c>
      <c r="C277" t="inlineStr">
        <is>
          <t>av2</t>
        </is>
      </c>
      <c r="D277" t="inlineStr">
        <is>
          <t>0</t>
        </is>
      </c>
      <c r="E277" t="inlineStr">
        <is>
          <t>A1</t>
        </is>
      </c>
      <c r="F277" t="inlineStr">
        <is>
          <t>TimeLapse</t>
        </is>
      </c>
      <c r="G277" t="inlineStr">
        <is>
          <t>3840x2160</t>
        </is>
      </c>
      <c r="H277" t="inlineStr">
        <is>
          <t>60.0000</t>
        </is>
      </c>
      <c r="I277" t="inlineStr">
        <is>
          <t>10</t>
        </is>
      </c>
      <c r="J277" t="inlineStr">
        <is>
          <t>1280x720</t>
        </is>
      </c>
      <c r="K277" t="inlineStr">
        <is>
          <t>235</t>
        </is>
      </c>
      <c r="L277" t="n">
        <v>46.347499</v>
      </c>
      <c r="M277" t="n">
        <v>28.209437</v>
      </c>
      <c r="N277" t="n">
        <v>36.587882</v>
      </c>
      <c r="O277" t="n">
        <v>37.698464</v>
      </c>
      <c r="P277" t="n">
        <v>8.565636</v>
      </c>
      <c r="Q277" t="n">
        <v>7.340075</v>
      </c>
      <c r="R277" t="n">
        <v>19.591877</v>
      </c>
      <c r="S277" t="n">
        <v>18.316237</v>
      </c>
      <c r="T277" t="n">
        <v>24.106804</v>
      </c>
      <c r="U277" t="n">
        <v>30.593151</v>
      </c>
      <c r="V277" t="n">
        <v>28.121793</v>
      </c>
      <c r="W277" t="n">
        <v>36.579371</v>
      </c>
      <c r="X277" t="n">
        <v>37.609465</v>
      </c>
      <c r="Y277" t="n">
        <v>0.050571</v>
      </c>
      <c r="Z277" t="inlineStr"/>
      <c r="AA277" t="inlineStr"/>
      <c r="AB277" t="inlineStr"/>
      <c r="AC277" t="inlineStr"/>
      <c r="AD277" t="inlineStr"/>
      <c r="AE277" t="inlineStr"/>
      <c r="AF277" t="inlineStr">
        <is>
          <t>e1b8806876c8ab354a07bd5ecd2e29db</t>
        </is>
      </c>
      <c r="AG277" t="inlineStr"/>
    </row>
    <row r="278">
      <c r="A278" t="inlineStr">
        <is>
          <t>AS</t>
        </is>
      </c>
      <c r="B278" t="inlineStr">
        <is>
          <t>aom</t>
        </is>
      </c>
      <c r="C278" t="inlineStr">
        <is>
          <t>av2</t>
        </is>
      </c>
      <c r="D278" t="inlineStr">
        <is>
          <t>0</t>
        </is>
      </c>
      <c r="E278" t="inlineStr">
        <is>
          <t>A1</t>
        </is>
      </c>
      <c r="F278" t="inlineStr">
        <is>
          <t>TimeLapse</t>
        </is>
      </c>
      <c r="G278" t="inlineStr">
        <is>
          <t>3840x2160</t>
        </is>
      </c>
      <c r="H278" t="inlineStr">
        <is>
          <t>60.0000</t>
        </is>
      </c>
      <c r="I278" t="inlineStr">
        <is>
          <t>10</t>
        </is>
      </c>
      <c r="J278" t="inlineStr">
        <is>
          <t>960x540</t>
        </is>
      </c>
      <c r="K278" t="inlineStr">
        <is>
          <t>110</t>
        </is>
      </c>
      <c r="L278" t="n">
        <v>2985.118266</v>
      </c>
      <c r="M278" t="n">
        <v>34.691395</v>
      </c>
      <c r="N278" t="n">
        <v>43.980709</v>
      </c>
      <c r="O278" t="n">
        <v>46.415748</v>
      </c>
      <c r="P278" t="n">
        <v>23.89053</v>
      </c>
      <c r="Q278" t="n">
        <v>14.928607</v>
      </c>
      <c r="R278" t="n">
        <v>67.767482</v>
      </c>
      <c r="S278" t="n">
        <v>65.22665499999999</v>
      </c>
      <c r="T278" t="n">
        <v>31.985553</v>
      </c>
      <c r="U278" t="n">
        <v>38.055678</v>
      </c>
      <c r="V278" t="n">
        <v>34.59385</v>
      </c>
      <c r="W278" t="n">
        <v>43.972262</v>
      </c>
      <c r="X278" t="n">
        <v>46.408157</v>
      </c>
      <c r="Y278" t="n">
        <v>0.015565</v>
      </c>
      <c r="Z278" t="inlineStr"/>
      <c r="AA278" t="inlineStr"/>
      <c r="AB278" t="inlineStr"/>
      <c r="AC278" t="inlineStr"/>
      <c r="AD278" t="inlineStr"/>
      <c r="AE278" t="inlineStr"/>
      <c r="AF278" t="inlineStr">
        <is>
          <t>486b9b15a70de0df2e255c39dfeb338a</t>
        </is>
      </c>
      <c r="AG278" t="inlineStr"/>
    </row>
    <row r="279">
      <c r="A279" t="inlineStr">
        <is>
          <t>AS</t>
        </is>
      </c>
      <c r="B279" t="inlineStr">
        <is>
          <t>aom</t>
        </is>
      </c>
      <c r="C279" t="inlineStr">
        <is>
          <t>av2</t>
        </is>
      </c>
      <c r="D279" t="inlineStr">
        <is>
          <t>0</t>
        </is>
      </c>
      <c r="E279" t="inlineStr">
        <is>
          <t>A1</t>
        </is>
      </c>
      <c r="F279" t="inlineStr">
        <is>
          <t>TimeLapse</t>
        </is>
      </c>
      <c r="G279" t="inlineStr">
        <is>
          <t>3840x2160</t>
        </is>
      </c>
      <c r="H279" t="inlineStr">
        <is>
          <t>60.0000</t>
        </is>
      </c>
      <c r="I279" t="inlineStr">
        <is>
          <t>10</t>
        </is>
      </c>
      <c r="J279" t="inlineStr">
        <is>
          <t>960x540</t>
        </is>
      </c>
      <c r="K279" t="inlineStr">
        <is>
          <t>135</t>
        </is>
      </c>
      <c r="L279" t="n">
        <v>1308.098671</v>
      </c>
      <c r="M279" t="n">
        <v>34.120519</v>
      </c>
      <c r="N279" t="n">
        <v>42.871841</v>
      </c>
      <c r="O279" t="n">
        <v>45.132223</v>
      </c>
      <c r="P279" t="n">
        <v>20.669067</v>
      </c>
      <c r="Q279" t="n">
        <v>13.882899</v>
      </c>
      <c r="R279" t="n">
        <v>61.228743</v>
      </c>
      <c r="S279" t="n">
        <v>58.708597</v>
      </c>
      <c r="T279" t="n">
        <v>31.111697</v>
      </c>
      <c r="U279" t="n">
        <v>37.164443</v>
      </c>
      <c r="V279" t="n">
        <v>34.031646</v>
      </c>
      <c r="W279" t="n">
        <v>42.86675</v>
      </c>
      <c r="X279" t="n">
        <v>45.124133</v>
      </c>
      <c r="Y279" t="n">
        <v>0.020091</v>
      </c>
      <c r="Z279" t="inlineStr"/>
      <c r="AA279" t="inlineStr"/>
      <c r="AB279" t="inlineStr"/>
      <c r="AC279" t="inlineStr"/>
      <c r="AD279" t="inlineStr"/>
      <c r="AE279" t="inlineStr"/>
      <c r="AF279" t="inlineStr">
        <is>
          <t>414bc8d596597148ebb95623bf3ad964</t>
        </is>
      </c>
      <c r="AG279" t="inlineStr"/>
    </row>
    <row r="280">
      <c r="A280" t="inlineStr">
        <is>
          <t>AS</t>
        </is>
      </c>
      <c r="B280" t="inlineStr">
        <is>
          <t>aom</t>
        </is>
      </c>
      <c r="C280" t="inlineStr">
        <is>
          <t>av2</t>
        </is>
      </c>
      <c r="D280" t="inlineStr">
        <is>
          <t>0</t>
        </is>
      </c>
      <c r="E280" t="inlineStr">
        <is>
          <t>A1</t>
        </is>
      </c>
      <c r="F280" t="inlineStr">
        <is>
          <t>TimeLapse</t>
        </is>
      </c>
      <c r="G280" t="inlineStr">
        <is>
          <t>3840x2160</t>
        </is>
      </c>
      <c r="H280" t="inlineStr">
        <is>
          <t>60.0000</t>
        </is>
      </c>
      <c r="I280" t="inlineStr">
        <is>
          <t>10</t>
        </is>
      </c>
      <c r="J280" t="inlineStr">
        <is>
          <t>960x540</t>
        </is>
      </c>
      <c r="K280" t="inlineStr">
        <is>
          <t>160</t>
        </is>
      </c>
      <c r="L280" t="n">
        <v>552.282179</v>
      </c>
      <c r="M280" t="n">
        <v>33.073315</v>
      </c>
      <c r="N280" t="n">
        <v>41.474382</v>
      </c>
      <c r="O280" t="n">
        <v>43.549736</v>
      </c>
      <c r="P280" t="n">
        <v>17.104485</v>
      </c>
      <c r="Q280" t="n">
        <v>12.270009</v>
      </c>
      <c r="R280" t="n">
        <v>50.681587</v>
      </c>
      <c r="S280" t="n">
        <v>48.334025</v>
      </c>
      <c r="T280" t="n">
        <v>29.651507</v>
      </c>
      <c r="U280" t="n">
        <v>35.868241</v>
      </c>
      <c r="V280" t="n">
        <v>32.988732</v>
      </c>
      <c r="W280" t="n">
        <v>41.471621</v>
      </c>
      <c r="X280" t="n">
        <v>43.539645</v>
      </c>
      <c r="Y280" t="n">
        <v>0.024923</v>
      </c>
      <c r="Z280" t="inlineStr"/>
      <c r="AA280" t="inlineStr"/>
      <c r="AB280" t="inlineStr"/>
      <c r="AC280" t="inlineStr"/>
      <c r="AD280" t="inlineStr"/>
      <c r="AE280" t="inlineStr"/>
      <c r="AF280" t="inlineStr">
        <is>
          <t>b0389c5423a04074916c1444bba9f080</t>
        </is>
      </c>
      <c r="AG280" t="inlineStr"/>
    </row>
    <row r="281">
      <c r="A281" t="inlineStr">
        <is>
          <t>AS</t>
        </is>
      </c>
      <c r="B281" t="inlineStr">
        <is>
          <t>aom</t>
        </is>
      </c>
      <c r="C281" t="inlineStr">
        <is>
          <t>av2</t>
        </is>
      </c>
      <c r="D281" t="inlineStr">
        <is>
          <t>0</t>
        </is>
      </c>
      <c r="E281" t="inlineStr">
        <is>
          <t>A1</t>
        </is>
      </c>
      <c r="F281" t="inlineStr">
        <is>
          <t>TimeLapse</t>
        </is>
      </c>
      <c r="G281" t="inlineStr">
        <is>
          <t>3840x2160</t>
        </is>
      </c>
      <c r="H281" t="inlineStr">
        <is>
          <t>60.0000</t>
        </is>
      </c>
      <c r="I281" t="inlineStr">
        <is>
          <t>10</t>
        </is>
      </c>
      <c r="J281" t="inlineStr">
        <is>
          <t>960x540</t>
        </is>
      </c>
      <c r="K281" t="inlineStr">
        <is>
          <t>185</t>
        </is>
      </c>
      <c r="L281" t="n">
        <v>215.817413</v>
      </c>
      <c r="M281" t="n">
        <v>31.488171</v>
      </c>
      <c r="N281" t="n">
        <v>39.97537</v>
      </c>
      <c r="O281" t="n">
        <v>41.818043</v>
      </c>
      <c r="P281" t="n">
        <v>13.559177</v>
      </c>
      <c r="Q281" t="n">
        <v>10.284489</v>
      </c>
      <c r="R281" t="n">
        <v>36.945002</v>
      </c>
      <c r="S281" t="n">
        <v>34.996673</v>
      </c>
      <c r="T281" t="n">
        <v>27.681714</v>
      </c>
      <c r="U281" t="n">
        <v>34.159672</v>
      </c>
      <c r="V281" t="n">
        <v>31.402201</v>
      </c>
      <c r="W281" t="n">
        <v>39.972349</v>
      </c>
      <c r="X281" t="n">
        <v>41.799379</v>
      </c>
      <c r="Y281" t="n">
        <v>0.030132</v>
      </c>
      <c r="Z281" t="inlineStr"/>
      <c r="AA281" t="inlineStr"/>
      <c r="AB281" t="inlineStr"/>
      <c r="AC281" t="inlineStr"/>
      <c r="AD281" t="inlineStr"/>
      <c r="AE281" t="inlineStr"/>
      <c r="AF281" t="inlineStr">
        <is>
          <t>c96cccbf79b85c5c55657bd49e789395</t>
        </is>
      </c>
      <c r="AG281" t="inlineStr"/>
    </row>
    <row r="282">
      <c r="A282" t="inlineStr">
        <is>
          <t>AS</t>
        </is>
      </c>
      <c r="B282" t="inlineStr">
        <is>
          <t>aom</t>
        </is>
      </c>
      <c r="C282" t="inlineStr">
        <is>
          <t>av2</t>
        </is>
      </c>
      <c r="D282" t="inlineStr">
        <is>
          <t>0</t>
        </is>
      </c>
      <c r="E282" t="inlineStr">
        <is>
          <t>A1</t>
        </is>
      </c>
      <c r="F282" t="inlineStr">
        <is>
          <t>TimeLapse</t>
        </is>
      </c>
      <c r="G282" t="inlineStr">
        <is>
          <t>3840x2160</t>
        </is>
      </c>
      <c r="H282" t="inlineStr">
        <is>
          <t>60.0000</t>
        </is>
      </c>
      <c r="I282" t="inlineStr">
        <is>
          <t>10</t>
        </is>
      </c>
      <c r="J282" t="inlineStr">
        <is>
          <t>960x540</t>
        </is>
      </c>
      <c r="K282" t="inlineStr">
        <is>
          <t>210</t>
        </is>
      </c>
      <c r="L282" t="n">
        <v>82.348421</v>
      </c>
      <c r="M282" t="n">
        <v>29.530166</v>
      </c>
      <c r="N282" t="n">
        <v>37.976415</v>
      </c>
      <c r="O282" t="n">
        <v>39.664193</v>
      </c>
      <c r="P282" t="n">
        <v>10.33885</v>
      </c>
      <c r="Q282" t="n">
        <v>8.398726999999999</v>
      </c>
      <c r="R282" t="n">
        <v>24.014974</v>
      </c>
      <c r="S282" t="n">
        <v>22.572091</v>
      </c>
      <c r="T282" t="n">
        <v>25.488878</v>
      </c>
      <c r="U282" t="n">
        <v>32.045257</v>
      </c>
      <c r="V282" t="n">
        <v>29.440799</v>
      </c>
      <c r="W282" t="n">
        <v>37.969761</v>
      </c>
      <c r="X282" t="n">
        <v>39.634657</v>
      </c>
      <c r="Y282" t="n">
        <v>0.041636</v>
      </c>
      <c r="Z282" t="inlineStr"/>
      <c r="AA282" t="inlineStr"/>
      <c r="AB282" t="inlineStr"/>
      <c r="AC282" t="inlineStr"/>
      <c r="AD282" t="inlineStr"/>
      <c r="AE282" t="inlineStr"/>
      <c r="AF282" t="inlineStr">
        <is>
          <t>873fa4f02c359a9c15c9e2137501f505</t>
        </is>
      </c>
      <c r="AG282" t="inlineStr"/>
    </row>
    <row r="283">
      <c r="A283" t="inlineStr">
        <is>
          <t>AS</t>
        </is>
      </c>
      <c r="B283" t="inlineStr">
        <is>
          <t>aom</t>
        </is>
      </c>
      <c r="C283" t="inlineStr">
        <is>
          <t>av2</t>
        </is>
      </c>
      <c r="D283" t="inlineStr">
        <is>
          <t>0</t>
        </is>
      </c>
      <c r="E283" t="inlineStr">
        <is>
          <t>A1</t>
        </is>
      </c>
      <c r="F283" t="inlineStr">
        <is>
          <t>TimeLapse</t>
        </is>
      </c>
      <c r="G283" t="inlineStr">
        <is>
          <t>3840x2160</t>
        </is>
      </c>
      <c r="H283" t="inlineStr">
        <is>
          <t>60.0000</t>
        </is>
      </c>
      <c r="I283" t="inlineStr">
        <is>
          <t>10</t>
        </is>
      </c>
      <c r="J283" t="inlineStr">
        <is>
          <t>960x540</t>
        </is>
      </c>
      <c r="K283" t="inlineStr">
        <is>
          <t>235</t>
        </is>
      </c>
      <c r="L283" t="n">
        <v>33.25659</v>
      </c>
      <c r="M283" t="n">
        <v>27.340765</v>
      </c>
      <c r="N283" t="n">
        <v>35.959376</v>
      </c>
      <c r="O283" t="n">
        <v>37.109978</v>
      </c>
      <c r="P283" t="n">
        <v>7.717898</v>
      </c>
      <c r="Q283" t="n">
        <v>6.780305</v>
      </c>
      <c r="R283" t="n">
        <v>12.139224</v>
      </c>
      <c r="S283" t="n">
        <v>11.376731</v>
      </c>
      <c r="T283" t="n">
        <v>23.215989</v>
      </c>
      <c r="U283" t="n">
        <v>29.79515</v>
      </c>
      <c r="V283" t="n">
        <v>27.256937</v>
      </c>
      <c r="W283" t="n">
        <v>35.954166</v>
      </c>
      <c r="X283" t="n">
        <v>36.980662</v>
      </c>
      <c r="Y283" t="n">
        <v>0.084922</v>
      </c>
      <c r="Z283" t="inlineStr"/>
      <c r="AA283" t="inlineStr"/>
      <c r="AB283" t="inlineStr"/>
      <c r="AC283" t="inlineStr"/>
      <c r="AD283" t="inlineStr"/>
      <c r="AE283" t="inlineStr"/>
      <c r="AF283" t="inlineStr">
        <is>
          <t>327af7b0bc6ab157a42fd9d6d2235cc2</t>
        </is>
      </c>
      <c r="AG283" t="inlineStr"/>
    </row>
    <row r="284">
      <c r="A284" t="inlineStr">
        <is>
          <t>AS</t>
        </is>
      </c>
      <c r="B284" t="inlineStr">
        <is>
          <t>aom</t>
        </is>
      </c>
      <c r="C284" t="inlineStr">
        <is>
          <t>av2</t>
        </is>
      </c>
      <c r="D284" t="inlineStr">
        <is>
          <t>0</t>
        </is>
      </c>
      <c r="E284" t="inlineStr">
        <is>
          <t>A1</t>
        </is>
      </c>
      <c r="F284" t="inlineStr">
        <is>
          <t>TimeLapse</t>
        </is>
      </c>
      <c r="G284" t="inlineStr">
        <is>
          <t>3840x2160</t>
        </is>
      </c>
      <c r="H284" t="inlineStr">
        <is>
          <t>60.0000</t>
        </is>
      </c>
      <c r="I284" t="inlineStr">
        <is>
          <t>10</t>
        </is>
      </c>
      <c r="J284" t="inlineStr">
        <is>
          <t>640x360</t>
        </is>
      </c>
      <c r="K284" t="inlineStr">
        <is>
          <t>110</t>
        </is>
      </c>
      <c r="L284" t="n">
        <v>1388.200722</v>
      </c>
      <c r="M284" t="n">
        <v>32.071757</v>
      </c>
      <c r="N284" t="n">
        <v>42.551386</v>
      </c>
      <c r="O284" t="n">
        <v>45.013203</v>
      </c>
      <c r="P284" t="n">
        <v>20.366685</v>
      </c>
      <c r="Q284" t="n">
        <v>12.1225</v>
      </c>
      <c r="R284" t="n">
        <v>43.216457</v>
      </c>
      <c r="S284" t="n">
        <v>41.09006</v>
      </c>
      <c r="T284" t="n">
        <v>28.118941</v>
      </c>
      <c r="U284" t="n">
        <v>35.912181</v>
      </c>
      <c r="V284" t="n">
        <v>31.971838</v>
      </c>
      <c r="W284" t="n">
        <v>42.544694</v>
      </c>
      <c r="X284" t="n">
        <v>44.997165</v>
      </c>
      <c r="Y284" t="n">
        <v>0.017155</v>
      </c>
      <c r="Z284" t="inlineStr"/>
      <c r="AA284" t="inlineStr"/>
      <c r="AB284" t="inlineStr"/>
      <c r="AC284" t="inlineStr"/>
      <c r="AD284" t="inlineStr"/>
      <c r="AE284" t="inlineStr"/>
      <c r="AF284" t="inlineStr">
        <is>
          <t>ecd0fa638939aeba312382a0dd47d676</t>
        </is>
      </c>
      <c r="AG284" t="inlineStr"/>
    </row>
    <row r="285">
      <c r="A285" t="inlineStr">
        <is>
          <t>AS</t>
        </is>
      </c>
      <c r="B285" t="inlineStr">
        <is>
          <t>aom</t>
        </is>
      </c>
      <c r="C285" t="inlineStr">
        <is>
          <t>av2</t>
        </is>
      </c>
      <c r="D285" t="inlineStr">
        <is>
          <t>0</t>
        </is>
      </c>
      <c r="E285" t="inlineStr">
        <is>
          <t>A1</t>
        </is>
      </c>
      <c r="F285" t="inlineStr">
        <is>
          <t>TimeLapse</t>
        </is>
      </c>
      <c r="G285" t="inlineStr">
        <is>
          <t>3840x2160</t>
        </is>
      </c>
      <c r="H285" t="inlineStr">
        <is>
          <t>60.0000</t>
        </is>
      </c>
      <c r="I285" t="inlineStr">
        <is>
          <t>10</t>
        </is>
      </c>
      <c r="J285" t="inlineStr">
        <is>
          <t>640x360</t>
        </is>
      </c>
      <c r="K285" t="inlineStr">
        <is>
          <t>135</t>
        </is>
      </c>
      <c r="L285" t="n">
        <v>643.918543</v>
      </c>
      <c r="M285" t="n">
        <v>31.724324</v>
      </c>
      <c r="N285" t="n">
        <v>41.562901</v>
      </c>
      <c r="O285" t="n">
        <v>43.892957</v>
      </c>
      <c r="P285" t="n">
        <v>17.896279</v>
      </c>
      <c r="Q285" t="n">
        <v>11.503571</v>
      </c>
      <c r="R285" t="n">
        <v>37.568664</v>
      </c>
      <c r="S285" t="n">
        <v>35.603762</v>
      </c>
      <c r="T285" t="n">
        <v>27.71217</v>
      </c>
      <c r="U285" t="n">
        <v>35.244814</v>
      </c>
      <c r="V285" t="n">
        <v>31.632049</v>
      </c>
      <c r="W285" t="n">
        <v>41.558964</v>
      </c>
      <c r="X285" t="n">
        <v>43.881657</v>
      </c>
      <c r="Y285" t="n">
        <v>0.02269</v>
      </c>
      <c r="Z285" t="inlineStr"/>
      <c r="AA285" t="inlineStr"/>
      <c r="AB285" t="inlineStr"/>
      <c r="AC285" t="inlineStr"/>
      <c r="AD285" t="inlineStr"/>
      <c r="AE285" t="inlineStr"/>
      <c r="AF285" t="inlineStr">
        <is>
          <t>c03f02adc0f5c1ef3e8ef545b7baec0b</t>
        </is>
      </c>
      <c r="AG285" t="inlineStr"/>
    </row>
    <row r="286">
      <c r="A286" t="inlineStr">
        <is>
          <t>AS</t>
        </is>
      </c>
      <c r="B286" t="inlineStr">
        <is>
          <t>aom</t>
        </is>
      </c>
      <c r="C286" t="inlineStr">
        <is>
          <t>av2</t>
        </is>
      </c>
      <c r="D286" t="inlineStr">
        <is>
          <t>0</t>
        </is>
      </c>
      <c r="E286" t="inlineStr">
        <is>
          <t>A1</t>
        </is>
      </c>
      <c r="F286" t="inlineStr">
        <is>
          <t>TimeLapse</t>
        </is>
      </c>
      <c r="G286" t="inlineStr">
        <is>
          <t>3840x2160</t>
        </is>
      </c>
      <c r="H286" t="inlineStr">
        <is>
          <t>60.0000</t>
        </is>
      </c>
      <c r="I286" t="inlineStr">
        <is>
          <t>10</t>
        </is>
      </c>
      <c r="J286" t="inlineStr">
        <is>
          <t>640x360</t>
        </is>
      </c>
      <c r="K286" t="inlineStr">
        <is>
          <t>160</t>
        </is>
      </c>
      <c r="L286" t="n">
        <v>281.235073</v>
      </c>
      <c r="M286" t="n">
        <v>30.992731</v>
      </c>
      <c r="N286" t="n">
        <v>40.351809</v>
      </c>
      <c r="O286" t="n">
        <v>42.418425</v>
      </c>
      <c r="P286" t="n">
        <v>14.763724</v>
      </c>
      <c r="Q286" t="n">
        <v>10.382674</v>
      </c>
      <c r="R286" t="n">
        <v>28.71497</v>
      </c>
      <c r="S286" t="n">
        <v>27.103574</v>
      </c>
      <c r="T286" t="n">
        <v>26.896019</v>
      </c>
      <c r="U286" t="n">
        <v>34.1858</v>
      </c>
      <c r="V286" t="n">
        <v>30.904641</v>
      </c>
      <c r="W286" t="n">
        <v>40.348781</v>
      </c>
      <c r="X286" t="n">
        <v>42.403901</v>
      </c>
      <c r="Y286" t="n">
        <v>0.026306</v>
      </c>
      <c r="Z286" t="inlineStr"/>
      <c r="AA286" t="inlineStr"/>
      <c r="AB286" t="inlineStr"/>
      <c r="AC286" t="inlineStr"/>
      <c r="AD286" t="inlineStr"/>
      <c r="AE286" t="inlineStr"/>
      <c r="AF286" t="inlineStr">
        <is>
          <t>5d162d096b402817605b5b52d02b3c97</t>
        </is>
      </c>
      <c r="AG286" t="inlineStr"/>
    </row>
    <row r="287">
      <c r="A287" t="inlineStr">
        <is>
          <t>AS</t>
        </is>
      </c>
      <c r="B287" t="inlineStr">
        <is>
          <t>aom</t>
        </is>
      </c>
      <c r="C287" t="inlineStr">
        <is>
          <t>av2</t>
        </is>
      </c>
      <c r="D287" t="inlineStr">
        <is>
          <t>0</t>
        </is>
      </c>
      <c r="E287" t="inlineStr">
        <is>
          <t>A1</t>
        </is>
      </c>
      <c r="F287" t="inlineStr">
        <is>
          <t>TimeLapse</t>
        </is>
      </c>
      <c r="G287" t="inlineStr">
        <is>
          <t>3840x2160</t>
        </is>
      </c>
      <c r="H287" t="inlineStr">
        <is>
          <t>60.0000</t>
        </is>
      </c>
      <c r="I287" t="inlineStr">
        <is>
          <t>10</t>
        </is>
      </c>
      <c r="J287" t="inlineStr">
        <is>
          <t>640x360</t>
        </is>
      </c>
      <c r="K287" t="inlineStr">
        <is>
          <t>185</t>
        </is>
      </c>
      <c r="L287" t="n">
        <v>114.627526</v>
      </c>
      <c r="M287" t="n">
        <v>29.756654</v>
      </c>
      <c r="N287" t="n">
        <v>38.911084</v>
      </c>
      <c r="O287" t="n">
        <v>40.768333</v>
      </c>
      <c r="P287" t="n">
        <v>11.595975</v>
      </c>
      <c r="Q287" t="n">
        <v>8.875488000000001</v>
      </c>
      <c r="R287" t="n">
        <v>18.946586</v>
      </c>
      <c r="S287" t="n">
        <v>17.741302</v>
      </c>
      <c r="T287" t="n">
        <v>25.594878</v>
      </c>
      <c r="U287" t="n">
        <v>32.70837</v>
      </c>
      <c r="V287" t="n">
        <v>29.667188</v>
      </c>
      <c r="W287" t="n">
        <v>38.907722</v>
      </c>
      <c r="X287" t="n">
        <v>40.744546</v>
      </c>
      <c r="Y287" t="n">
        <v>0.034991</v>
      </c>
      <c r="Z287" t="inlineStr"/>
      <c r="AA287" t="inlineStr"/>
      <c r="AB287" t="inlineStr"/>
      <c r="AC287" t="inlineStr"/>
      <c r="AD287" t="inlineStr"/>
      <c r="AE287" t="inlineStr"/>
      <c r="AF287" t="inlineStr">
        <is>
          <t>0fdf3ab449a0586b14ff6244ce7aff96</t>
        </is>
      </c>
      <c r="AG287" t="inlineStr"/>
    </row>
    <row r="288">
      <c r="A288" t="inlineStr">
        <is>
          <t>AS</t>
        </is>
      </c>
      <c r="B288" t="inlineStr">
        <is>
          <t>aom</t>
        </is>
      </c>
      <c r="C288" t="inlineStr">
        <is>
          <t>av2</t>
        </is>
      </c>
      <c r="D288" t="inlineStr">
        <is>
          <t>0</t>
        </is>
      </c>
      <c r="E288" t="inlineStr">
        <is>
          <t>A1</t>
        </is>
      </c>
      <c r="F288" t="inlineStr">
        <is>
          <t>TimeLapse</t>
        </is>
      </c>
      <c r="G288" t="inlineStr">
        <is>
          <t>3840x2160</t>
        </is>
      </c>
      <c r="H288" t="inlineStr">
        <is>
          <t>60.0000</t>
        </is>
      </c>
      <c r="I288" t="inlineStr">
        <is>
          <t>10</t>
        </is>
      </c>
      <c r="J288" t="inlineStr">
        <is>
          <t>640x360</t>
        </is>
      </c>
      <c r="K288" t="inlineStr">
        <is>
          <t>210</t>
        </is>
      </c>
      <c r="L288" t="n">
        <v>46.598325</v>
      </c>
      <c r="M288" t="n">
        <v>28.069074</v>
      </c>
      <c r="N288" t="n">
        <v>37.095923</v>
      </c>
      <c r="O288" t="n">
        <v>38.717582</v>
      </c>
      <c r="P288" t="n">
        <v>8.779064999999999</v>
      </c>
      <c r="Q288" t="n">
        <v>7.346758</v>
      </c>
      <c r="R288" t="n">
        <v>11.174319</v>
      </c>
      <c r="S288" t="n">
        <v>10.362064</v>
      </c>
      <c r="T288" t="n">
        <v>23.903349</v>
      </c>
      <c r="U288" t="n">
        <v>30.774656</v>
      </c>
      <c r="V288" t="n">
        <v>27.984079</v>
      </c>
      <c r="W288" t="n">
        <v>37.090626</v>
      </c>
      <c r="X288" t="n">
        <v>38.664255</v>
      </c>
      <c r="Y288" t="n">
        <v>0.062033</v>
      </c>
      <c r="Z288" t="inlineStr"/>
      <c r="AA288" t="inlineStr"/>
      <c r="AB288" t="inlineStr"/>
      <c r="AC288" t="inlineStr"/>
      <c r="AD288" t="inlineStr"/>
      <c r="AE288" t="inlineStr"/>
      <c r="AF288" t="inlineStr">
        <is>
          <t>296b8db26a7bd9c34b77b1651d52a27b</t>
        </is>
      </c>
      <c r="AG288" t="inlineStr"/>
    </row>
    <row r="289">
      <c r="A289" t="inlineStr">
        <is>
          <t>AS</t>
        </is>
      </c>
      <c r="B289" t="inlineStr">
        <is>
          <t>aom</t>
        </is>
      </c>
      <c r="C289" t="inlineStr">
        <is>
          <t>av2</t>
        </is>
      </c>
      <c r="D289" t="inlineStr">
        <is>
          <t>0</t>
        </is>
      </c>
      <c r="E289" t="inlineStr">
        <is>
          <t>A1</t>
        </is>
      </c>
      <c r="F289" t="inlineStr">
        <is>
          <t>TimeLapse</t>
        </is>
      </c>
      <c r="G289" t="inlineStr">
        <is>
          <t>3840x2160</t>
        </is>
      </c>
      <c r="H289" t="inlineStr">
        <is>
          <t>60.0000</t>
        </is>
      </c>
      <c r="I289" t="inlineStr">
        <is>
          <t>10</t>
        </is>
      </c>
      <c r="J289" t="inlineStr">
        <is>
          <t>640x360</t>
        </is>
      </c>
      <c r="K289" t="inlineStr">
        <is>
          <t>235</t>
        </is>
      </c>
      <c r="L289" t="n">
        <v>21.043572</v>
      </c>
      <c r="M289" t="n">
        <v>26.126066</v>
      </c>
      <c r="N289" t="n">
        <v>35.338252</v>
      </c>
      <c r="O289" t="n">
        <v>36.652473</v>
      </c>
      <c r="P289" t="n">
        <v>6.578172</v>
      </c>
      <c r="Q289" t="n">
        <v>6.022693</v>
      </c>
      <c r="R289" t="n">
        <v>4.342082</v>
      </c>
      <c r="S289" t="n">
        <v>3.850282</v>
      </c>
      <c r="T289" t="n">
        <v>22.042358</v>
      </c>
      <c r="U289" t="n">
        <v>28.695239</v>
      </c>
      <c r="V289" t="n">
        <v>26.046805</v>
      </c>
      <c r="W289" t="n">
        <v>35.333107</v>
      </c>
      <c r="X289" t="n">
        <v>36.532692</v>
      </c>
      <c r="Y289" t="n">
        <v>0.159889</v>
      </c>
      <c r="Z289" t="inlineStr"/>
      <c r="AA289" t="inlineStr"/>
      <c r="AB289" t="inlineStr"/>
      <c r="AC289" t="inlineStr"/>
      <c r="AD289" t="inlineStr"/>
      <c r="AE289" t="inlineStr"/>
      <c r="AF289" t="inlineStr">
        <is>
          <t>14bad0fc8f0ee1abf9abd7c61088f921</t>
        </is>
      </c>
      <c r="AG289" t="inlineStr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Editors VPCC 4/19/2020</dc:creator>
  <dcterms:created xsi:type="dcterms:W3CDTF">2020-05-10T04:20:25Z</dcterms:created>
  <dcterms:modified xsi:type="dcterms:W3CDTF">2025-03-27T00:05:45Z</dcterms:modified>
  <cp:lastModifiedBy>Yeping Su</cp:lastModifiedBy>
</cp:coreProperties>
</file>