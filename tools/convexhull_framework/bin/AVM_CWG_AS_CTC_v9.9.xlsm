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 codeName="{E39A1632-A8E3-4493-0D71-6A188D42057B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yeping/Documents/CTC_v5/spreadsheet/"/>
    </mc:Choice>
  </mc:AlternateContent>
  <xr:revisionPtr revIDLastSave="0" documentId="13_ncr:1_{0944D583-49EA-6541-8427-F27B2DDDCE85}" xr6:coauthVersionLast="47" xr6:coauthVersionMax="47" xr10:uidLastSave="{00000000-0000-0000-0000-000000000000}"/>
  <bookViews>
    <workbookView xWindow="0" yWindow="760" windowWidth="34560" windowHeight="20060" activeTab="12" xr2:uid="{AB7B5760-2D96-AF45-9729-777F41459029}"/>
  </bookViews>
  <sheets>
    <sheet name="Summary" sheetId="105" r:id="rId1"/>
    <sheet name="Summary (Full)" sheetId="97" r:id="rId2"/>
    <sheet name="Plots" sheetId="106" r:id="rId3"/>
    <sheet name="BoxingPractice" sheetId="94" r:id="rId4"/>
    <sheet name="Tango" sheetId="103" r:id="rId5"/>
    <sheet name="CrossWalk" sheetId="98" r:id="rId6"/>
    <sheet name="FoodMarket2" sheetId="99" r:id="rId7"/>
    <sheet name="Neon1224" sheetId="100" r:id="rId8"/>
    <sheet name="NocturneDance" sheetId="101" r:id="rId9"/>
    <sheet name="PierSeaside" sheetId="102" r:id="rId10"/>
    <sheet name="Timelapse" sheetId="104" r:id="rId11"/>
    <sheet name="Anchor" sheetId="108" r:id="rId12"/>
    <sheet name="Test" sheetId="109" r:id="rId13"/>
  </sheets>
  <functionGroups builtInGroupCount="19">
    <functionGroup name="エンジニアリング"/>
    <functionGroup name="WebCab XL"/>
    <functionGroup name="工程"/>
  </functionGroup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5" i="105" l="1"/>
  <c r="C5" i="105"/>
  <c r="AH40" i="104" l="1"/>
  <c r="AH39" i="104"/>
  <c r="AH38" i="104"/>
  <c r="AH37" i="104"/>
  <c r="AH36" i="104"/>
  <c r="AH35" i="104"/>
  <c r="AH34" i="104"/>
  <c r="AH33" i="104"/>
  <c r="AH32" i="104"/>
  <c r="AH31" i="104"/>
  <c r="AH30" i="104"/>
  <c r="AH29" i="104"/>
  <c r="AH28" i="104"/>
  <c r="AH27" i="104"/>
  <c r="AH26" i="104"/>
  <c r="AH25" i="104"/>
  <c r="AH24" i="104"/>
  <c r="AH23" i="104"/>
  <c r="AH22" i="104"/>
  <c r="AH21" i="104"/>
  <c r="AH20" i="104"/>
  <c r="AH19" i="104"/>
  <c r="AH18" i="104"/>
  <c r="AH17" i="104"/>
  <c r="AH16" i="104"/>
  <c r="AH15" i="104"/>
  <c r="AH14" i="104"/>
  <c r="AH13" i="104"/>
  <c r="AH12" i="104"/>
  <c r="AH11" i="104"/>
  <c r="AH10" i="104"/>
  <c r="AH9" i="104"/>
  <c r="AH8" i="104"/>
  <c r="AH7" i="104"/>
  <c r="AH6" i="104"/>
  <c r="AG40" i="104"/>
  <c r="AG39" i="104"/>
  <c r="AG38" i="104"/>
  <c r="AG37" i="104"/>
  <c r="AG36" i="104"/>
  <c r="AG35" i="104"/>
  <c r="AG34" i="104"/>
  <c r="AG33" i="104"/>
  <c r="AG32" i="104"/>
  <c r="AG31" i="104"/>
  <c r="AG30" i="104"/>
  <c r="AG29" i="104"/>
  <c r="AG28" i="104"/>
  <c r="AG27" i="104"/>
  <c r="AG26" i="104"/>
  <c r="AG25" i="104"/>
  <c r="AG24" i="104"/>
  <c r="AG23" i="104"/>
  <c r="AG22" i="104"/>
  <c r="AG21" i="104"/>
  <c r="AG20" i="104"/>
  <c r="AG19" i="104"/>
  <c r="AG18" i="104"/>
  <c r="AG17" i="104"/>
  <c r="AG16" i="104"/>
  <c r="AG15" i="104"/>
  <c r="AG14" i="104"/>
  <c r="AG13" i="104"/>
  <c r="AG12" i="104"/>
  <c r="AG11" i="104"/>
  <c r="AG10" i="104"/>
  <c r="AG9" i="104"/>
  <c r="AG8" i="104"/>
  <c r="AG7" i="104"/>
  <c r="AG6" i="104"/>
  <c r="AF40" i="104"/>
  <c r="AF39" i="104"/>
  <c r="AF38" i="104"/>
  <c r="AF37" i="104"/>
  <c r="AF36" i="104"/>
  <c r="AF35" i="104"/>
  <c r="AF34" i="104"/>
  <c r="AF33" i="104"/>
  <c r="AF32" i="104"/>
  <c r="AF31" i="104"/>
  <c r="AF30" i="104"/>
  <c r="AF29" i="104"/>
  <c r="AF28" i="104"/>
  <c r="AF27" i="104"/>
  <c r="AF26" i="104"/>
  <c r="AF25" i="104"/>
  <c r="AF24" i="104"/>
  <c r="AF23" i="104"/>
  <c r="AF22" i="104"/>
  <c r="AF21" i="104"/>
  <c r="AF20" i="104"/>
  <c r="AF19" i="104"/>
  <c r="AF18" i="104"/>
  <c r="AF17" i="104"/>
  <c r="AF16" i="104"/>
  <c r="AF15" i="104"/>
  <c r="AF14" i="104"/>
  <c r="AF13" i="104"/>
  <c r="AF12" i="104"/>
  <c r="AF11" i="104"/>
  <c r="AF10" i="104"/>
  <c r="AF9" i="104"/>
  <c r="AF8" i="104"/>
  <c r="AF7" i="104"/>
  <c r="AF6" i="104"/>
  <c r="AE40" i="104"/>
  <c r="AE39" i="104"/>
  <c r="AE38" i="104"/>
  <c r="AE37" i="104"/>
  <c r="AE36" i="104"/>
  <c r="AE35" i="104"/>
  <c r="AE34" i="104"/>
  <c r="AE33" i="104"/>
  <c r="AE32" i="104"/>
  <c r="AE31" i="104"/>
  <c r="AE30" i="104"/>
  <c r="AE29" i="104"/>
  <c r="AE28" i="104"/>
  <c r="AE27" i="104"/>
  <c r="AE26" i="104"/>
  <c r="AE25" i="104"/>
  <c r="AE24" i="104"/>
  <c r="AE23" i="104"/>
  <c r="AE22" i="104"/>
  <c r="AE21" i="104"/>
  <c r="AE20" i="104"/>
  <c r="AE19" i="104"/>
  <c r="AE18" i="104"/>
  <c r="AE17" i="104"/>
  <c r="AE16" i="104"/>
  <c r="AE15" i="104"/>
  <c r="AE14" i="104"/>
  <c r="AE13" i="104"/>
  <c r="AE12" i="104"/>
  <c r="AE11" i="104"/>
  <c r="AE10" i="104"/>
  <c r="AE9" i="104"/>
  <c r="AE8" i="104"/>
  <c r="AE7" i="104"/>
  <c r="AE6" i="104"/>
  <c r="AD40" i="104"/>
  <c r="AD39" i="104"/>
  <c r="AD38" i="104"/>
  <c r="AD37" i="104"/>
  <c r="AD36" i="104"/>
  <c r="AD35" i="104"/>
  <c r="AD34" i="104"/>
  <c r="AD33" i="104"/>
  <c r="AD32" i="104"/>
  <c r="AD31" i="104"/>
  <c r="AD30" i="104"/>
  <c r="AD29" i="104"/>
  <c r="AD28" i="104"/>
  <c r="AD27" i="104"/>
  <c r="AD26" i="104"/>
  <c r="AD25" i="104"/>
  <c r="AD24" i="104"/>
  <c r="AD23" i="104"/>
  <c r="AD22" i="104"/>
  <c r="AD21" i="104"/>
  <c r="AD20" i="104"/>
  <c r="AD19" i="104"/>
  <c r="AD18" i="104"/>
  <c r="AD17" i="104"/>
  <c r="AD16" i="104"/>
  <c r="AD15" i="104"/>
  <c r="AD14" i="104"/>
  <c r="AD13" i="104"/>
  <c r="AD12" i="104"/>
  <c r="AD11" i="104"/>
  <c r="AD10" i="104"/>
  <c r="AD9" i="104"/>
  <c r="AD8" i="104"/>
  <c r="AD7" i="104"/>
  <c r="AD6" i="104"/>
  <c r="AC40" i="104"/>
  <c r="AC39" i="104"/>
  <c r="AC38" i="104"/>
  <c r="AC37" i="104"/>
  <c r="AC36" i="104"/>
  <c r="AC35" i="104"/>
  <c r="AC34" i="104"/>
  <c r="AC33" i="104"/>
  <c r="AC32" i="104"/>
  <c r="AC31" i="104"/>
  <c r="AC30" i="104"/>
  <c r="AC29" i="104"/>
  <c r="AC28" i="104"/>
  <c r="AC27" i="104"/>
  <c r="AC26" i="104"/>
  <c r="AC25" i="104"/>
  <c r="AC24" i="104"/>
  <c r="AC23" i="104"/>
  <c r="AC22" i="104"/>
  <c r="AC21" i="104"/>
  <c r="AC20" i="104"/>
  <c r="AC19" i="104"/>
  <c r="AC18" i="104"/>
  <c r="AC17" i="104"/>
  <c r="AC16" i="104"/>
  <c r="AC15" i="104"/>
  <c r="AC14" i="104"/>
  <c r="AC13" i="104"/>
  <c r="AC12" i="104"/>
  <c r="AC11" i="104"/>
  <c r="AC10" i="104"/>
  <c r="AC9" i="104"/>
  <c r="AC8" i="104"/>
  <c r="AC7" i="104"/>
  <c r="AC6" i="104"/>
  <c r="AB40" i="104"/>
  <c r="AB39" i="104"/>
  <c r="AB38" i="104"/>
  <c r="AB37" i="104"/>
  <c r="AB36" i="104"/>
  <c r="AB35" i="104"/>
  <c r="AB34" i="104"/>
  <c r="AB33" i="104"/>
  <c r="AB32" i="104"/>
  <c r="AB31" i="104"/>
  <c r="AB30" i="104"/>
  <c r="AB29" i="104"/>
  <c r="AB28" i="104"/>
  <c r="AB27" i="104"/>
  <c r="AB26" i="104"/>
  <c r="AB25" i="104"/>
  <c r="AB24" i="104"/>
  <c r="AB23" i="104"/>
  <c r="AB22" i="104"/>
  <c r="AB21" i="104"/>
  <c r="AB20" i="104"/>
  <c r="AB19" i="104"/>
  <c r="AB18" i="104"/>
  <c r="AB17" i="104"/>
  <c r="AB16" i="104"/>
  <c r="AB15" i="104"/>
  <c r="AB14" i="104"/>
  <c r="AB13" i="104"/>
  <c r="AB12" i="104"/>
  <c r="AB11" i="104"/>
  <c r="AB10" i="104"/>
  <c r="AB9" i="104"/>
  <c r="AB8" i="104"/>
  <c r="AB7" i="104"/>
  <c r="AB6" i="104"/>
  <c r="AA40" i="104"/>
  <c r="AA39" i="104"/>
  <c r="AA38" i="104"/>
  <c r="AA37" i="104"/>
  <c r="AA36" i="104"/>
  <c r="AA35" i="104"/>
  <c r="AA34" i="104"/>
  <c r="AA33" i="104"/>
  <c r="AA32" i="104"/>
  <c r="AA31" i="104"/>
  <c r="AA30" i="104"/>
  <c r="AA29" i="104"/>
  <c r="AA28" i="104"/>
  <c r="AA27" i="104"/>
  <c r="AA26" i="104"/>
  <c r="AA25" i="104"/>
  <c r="AA24" i="104"/>
  <c r="AA23" i="104"/>
  <c r="AA22" i="104"/>
  <c r="AA21" i="104"/>
  <c r="AA20" i="104"/>
  <c r="AA19" i="104"/>
  <c r="AA18" i="104"/>
  <c r="AA17" i="104"/>
  <c r="AA16" i="104"/>
  <c r="AA15" i="104"/>
  <c r="AA14" i="104"/>
  <c r="AA13" i="104"/>
  <c r="AA12" i="104"/>
  <c r="AA11" i="104"/>
  <c r="AA10" i="104"/>
  <c r="AA9" i="104"/>
  <c r="AA8" i="104"/>
  <c r="AA7" i="104"/>
  <c r="AA6" i="104"/>
  <c r="Z40" i="104"/>
  <c r="Z39" i="104"/>
  <c r="Z38" i="104"/>
  <c r="Z37" i="104"/>
  <c r="Z36" i="104"/>
  <c r="Z35" i="104"/>
  <c r="Z34" i="104"/>
  <c r="Z33" i="104"/>
  <c r="Z32" i="104"/>
  <c r="Z31" i="104"/>
  <c r="Z30" i="104"/>
  <c r="Z29" i="104"/>
  <c r="Z28" i="104"/>
  <c r="Z27" i="104"/>
  <c r="Z26" i="104"/>
  <c r="Z25" i="104"/>
  <c r="Z24" i="104"/>
  <c r="Z23" i="104"/>
  <c r="Z22" i="104"/>
  <c r="Z21" i="104"/>
  <c r="Z20" i="104"/>
  <c r="Z19" i="104"/>
  <c r="Z18" i="104"/>
  <c r="Z17" i="104"/>
  <c r="Z16" i="104"/>
  <c r="Z15" i="104"/>
  <c r="Z14" i="104"/>
  <c r="Z13" i="104"/>
  <c r="Z12" i="104"/>
  <c r="Z11" i="104"/>
  <c r="Z10" i="104"/>
  <c r="Z9" i="104"/>
  <c r="Z8" i="104"/>
  <c r="Z7" i="104"/>
  <c r="Z6" i="104"/>
  <c r="AH5" i="104"/>
  <c r="AG5" i="104"/>
  <c r="AF5" i="104"/>
  <c r="AE5" i="104"/>
  <c r="AD5" i="104"/>
  <c r="AC5" i="104"/>
  <c r="AB5" i="104"/>
  <c r="AA5" i="104"/>
  <c r="Z5" i="104"/>
  <c r="AH40" i="103"/>
  <c r="AH39" i="103"/>
  <c r="AH38" i="103"/>
  <c r="AH37" i="103"/>
  <c r="AH36" i="103"/>
  <c r="AH35" i="103"/>
  <c r="AH34" i="103"/>
  <c r="AH33" i="103"/>
  <c r="AH32" i="103"/>
  <c r="AH31" i="103"/>
  <c r="AH30" i="103"/>
  <c r="AH29" i="103"/>
  <c r="AH28" i="103"/>
  <c r="AH27" i="103"/>
  <c r="AH26" i="103"/>
  <c r="AH25" i="103"/>
  <c r="AH24" i="103"/>
  <c r="AH23" i="103"/>
  <c r="AH22" i="103"/>
  <c r="AH21" i="103"/>
  <c r="AH20" i="103"/>
  <c r="AH19" i="103"/>
  <c r="AH18" i="103"/>
  <c r="AH17" i="103"/>
  <c r="AH16" i="103"/>
  <c r="AH15" i="103"/>
  <c r="AH14" i="103"/>
  <c r="AH13" i="103"/>
  <c r="AH12" i="103"/>
  <c r="AH11" i="103"/>
  <c r="AH10" i="103"/>
  <c r="AH9" i="103"/>
  <c r="AH8" i="103"/>
  <c r="AH7" i="103"/>
  <c r="AH6" i="103"/>
  <c r="AG40" i="103"/>
  <c r="AG39" i="103"/>
  <c r="AG38" i="103"/>
  <c r="AG37" i="103"/>
  <c r="AG36" i="103"/>
  <c r="AG35" i="103"/>
  <c r="AG34" i="103"/>
  <c r="AG33" i="103"/>
  <c r="AG32" i="103"/>
  <c r="AG31" i="103"/>
  <c r="AG30" i="103"/>
  <c r="AG29" i="103"/>
  <c r="AG28" i="103"/>
  <c r="AG27" i="103"/>
  <c r="AG26" i="103"/>
  <c r="AG25" i="103"/>
  <c r="AG24" i="103"/>
  <c r="AG23" i="103"/>
  <c r="AG22" i="103"/>
  <c r="AG21" i="103"/>
  <c r="AG20" i="103"/>
  <c r="AG19" i="103"/>
  <c r="AG18" i="103"/>
  <c r="AG17" i="103"/>
  <c r="AG16" i="103"/>
  <c r="AG15" i="103"/>
  <c r="AG14" i="103"/>
  <c r="AG13" i="103"/>
  <c r="AG12" i="103"/>
  <c r="AG11" i="103"/>
  <c r="AG10" i="103"/>
  <c r="AG9" i="103"/>
  <c r="AG8" i="103"/>
  <c r="AG7" i="103"/>
  <c r="AG6" i="103"/>
  <c r="AF40" i="103"/>
  <c r="AF39" i="103"/>
  <c r="AF38" i="103"/>
  <c r="AF37" i="103"/>
  <c r="AF36" i="103"/>
  <c r="AF35" i="103"/>
  <c r="AF34" i="103"/>
  <c r="AF33" i="103"/>
  <c r="AF32" i="103"/>
  <c r="AF31" i="103"/>
  <c r="AF30" i="103"/>
  <c r="AF29" i="103"/>
  <c r="AF28" i="103"/>
  <c r="AF27" i="103"/>
  <c r="AF26" i="103"/>
  <c r="AF25" i="103"/>
  <c r="AF24" i="103"/>
  <c r="AF23" i="103"/>
  <c r="AF22" i="103"/>
  <c r="AF21" i="103"/>
  <c r="AF20" i="103"/>
  <c r="AF19" i="103"/>
  <c r="AF18" i="103"/>
  <c r="AF17" i="103"/>
  <c r="AF16" i="103"/>
  <c r="AF15" i="103"/>
  <c r="AF14" i="103"/>
  <c r="AF13" i="103"/>
  <c r="AF12" i="103"/>
  <c r="AF11" i="103"/>
  <c r="AF10" i="103"/>
  <c r="AF9" i="103"/>
  <c r="AF8" i="103"/>
  <c r="AF7" i="103"/>
  <c r="AF6" i="103"/>
  <c r="AE40" i="103"/>
  <c r="AE39" i="103"/>
  <c r="AE38" i="103"/>
  <c r="AE37" i="103"/>
  <c r="AE36" i="103"/>
  <c r="AE35" i="103"/>
  <c r="AE34" i="103"/>
  <c r="AE33" i="103"/>
  <c r="AE32" i="103"/>
  <c r="AE31" i="103"/>
  <c r="AE30" i="103"/>
  <c r="AE29" i="103"/>
  <c r="AE28" i="103"/>
  <c r="AE27" i="103"/>
  <c r="AE26" i="103"/>
  <c r="AE25" i="103"/>
  <c r="AE24" i="103"/>
  <c r="AE23" i="103"/>
  <c r="AE22" i="103"/>
  <c r="AE21" i="103"/>
  <c r="AE20" i="103"/>
  <c r="AE19" i="103"/>
  <c r="AE18" i="103"/>
  <c r="AE17" i="103"/>
  <c r="AE16" i="103"/>
  <c r="AE15" i="103"/>
  <c r="AE14" i="103"/>
  <c r="AE13" i="103"/>
  <c r="AE12" i="103"/>
  <c r="AE11" i="103"/>
  <c r="AE10" i="103"/>
  <c r="AE9" i="103"/>
  <c r="AE8" i="103"/>
  <c r="AE7" i="103"/>
  <c r="AE6" i="103"/>
  <c r="AD40" i="103"/>
  <c r="AD39" i="103"/>
  <c r="AD38" i="103"/>
  <c r="AD37" i="103"/>
  <c r="AD36" i="103"/>
  <c r="AD35" i="103"/>
  <c r="AD34" i="103"/>
  <c r="AD33" i="103"/>
  <c r="AD32" i="103"/>
  <c r="AD31" i="103"/>
  <c r="AD30" i="103"/>
  <c r="AD29" i="103"/>
  <c r="AD28" i="103"/>
  <c r="AD27" i="103"/>
  <c r="AD26" i="103"/>
  <c r="AD25" i="103"/>
  <c r="AD24" i="103"/>
  <c r="AD23" i="103"/>
  <c r="AD22" i="103"/>
  <c r="AD21" i="103"/>
  <c r="AD20" i="103"/>
  <c r="AD19" i="103"/>
  <c r="AD18" i="103"/>
  <c r="AD17" i="103"/>
  <c r="AD16" i="103"/>
  <c r="AD15" i="103"/>
  <c r="AD14" i="103"/>
  <c r="AD13" i="103"/>
  <c r="AD12" i="103"/>
  <c r="AD11" i="103"/>
  <c r="AD10" i="103"/>
  <c r="AD9" i="103"/>
  <c r="AD8" i="103"/>
  <c r="AD7" i="103"/>
  <c r="AD6" i="103"/>
  <c r="AC40" i="103"/>
  <c r="AC39" i="103"/>
  <c r="AC38" i="103"/>
  <c r="AC37" i="103"/>
  <c r="AC36" i="103"/>
  <c r="AC35" i="103"/>
  <c r="AC34" i="103"/>
  <c r="AC33" i="103"/>
  <c r="AC32" i="103"/>
  <c r="AC31" i="103"/>
  <c r="AC30" i="103"/>
  <c r="AC29" i="103"/>
  <c r="AC28" i="103"/>
  <c r="AC27" i="103"/>
  <c r="AC26" i="103"/>
  <c r="AC25" i="103"/>
  <c r="AC24" i="103"/>
  <c r="AC23" i="103"/>
  <c r="AC22" i="103"/>
  <c r="AC21" i="103"/>
  <c r="AC20" i="103"/>
  <c r="AC19" i="103"/>
  <c r="AC18" i="103"/>
  <c r="AC17" i="103"/>
  <c r="AC16" i="103"/>
  <c r="AC15" i="103"/>
  <c r="AC14" i="103"/>
  <c r="AC13" i="103"/>
  <c r="AC12" i="103"/>
  <c r="AC11" i="103"/>
  <c r="AC10" i="103"/>
  <c r="AC9" i="103"/>
  <c r="AC8" i="103"/>
  <c r="AC7" i="103"/>
  <c r="AC6" i="103"/>
  <c r="AB40" i="103"/>
  <c r="AB39" i="103"/>
  <c r="AB38" i="103"/>
  <c r="AB37" i="103"/>
  <c r="AB36" i="103"/>
  <c r="AB35" i="103"/>
  <c r="AB34" i="103"/>
  <c r="AB33" i="103"/>
  <c r="AB32" i="103"/>
  <c r="AB31" i="103"/>
  <c r="AB30" i="103"/>
  <c r="AB29" i="103"/>
  <c r="AB28" i="103"/>
  <c r="AB27" i="103"/>
  <c r="AB26" i="103"/>
  <c r="AB25" i="103"/>
  <c r="AB24" i="103"/>
  <c r="AB23" i="103"/>
  <c r="AB22" i="103"/>
  <c r="AB21" i="103"/>
  <c r="AB20" i="103"/>
  <c r="AB19" i="103"/>
  <c r="AB18" i="103"/>
  <c r="AB17" i="103"/>
  <c r="AB16" i="103"/>
  <c r="AB15" i="103"/>
  <c r="AB14" i="103"/>
  <c r="AB13" i="103"/>
  <c r="AB12" i="103"/>
  <c r="AB11" i="103"/>
  <c r="AB10" i="103"/>
  <c r="AB9" i="103"/>
  <c r="AB8" i="103"/>
  <c r="AB7" i="103"/>
  <c r="AB6" i="103"/>
  <c r="AA40" i="103"/>
  <c r="AA39" i="103"/>
  <c r="AA38" i="103"/>
  <c r="AA37" i="103"/>
  <c r="AA36" i="103"/>
  <c r="AA35" i="103"/>
  <c r="AA34" i="103"/>
  <c r="AA33" i="103"/>
  <c r="AA32" i="103"/>
  <c r="AA31" i="103"/>
  <c r="AA30" i="103"/>
  <c r="AA29" i="103"/>
  <c r="AA28" i="103"/>
  <c r="AA27" i="103"/>
  <c r="AA26" i="103"/>
  <c r="AA25" i="103"/>
  <c r="AA24" i="103"/>
  <c r="AA23" i="103"/>
  <c r="AA22" i="103"/>
  <c r="AA21" i="103"/>
  <c r="AA20" i="103"/>
  <c r="AA19" i="103"/>
  <c r="AA18" i="103"/>
  <c r="AA17" i="103"/>
  <c r="AA16" i="103"/>
  <c r="AA15" i="103"/>
  <c r="AA14" i="103"/>
  <c r="AA13" i="103"/>
  <c r="AA12" i="103"/>
  <c r="AA11" i="103"/>
  <c r="AA10" i="103"/>
  <c r="AA9" i="103"/>
  <c r="AA8" i="103"/>
  <c r="AA7" i="103"/>
  <c r="AA6" i="103"/>
  <c r="Z40" i="103"/>
  <c r="Z39" i="103"/>
  <c r="Z38" i="103"/>
  <c r="Z37" i="103"/>
  <c r="Z36" i="103"/>
  <c r="Z35" i="103"/>
  <c r="Z34" i="103"/>
  <c r="Z33" i="103"/>
  <c r="Z32" i="103"/>
  <c r="Z31" i="103"/>
  <c r="Z30" i="103"/>
  <c r="Z29" i="103"/>
  <c r="Z28" i="103"/>
  <c r="Z27" i="103"/>
  <c r="Z26" i="103"/>
  <c r="Z25" i="103"/>
  <c r="Z24" i="103"/>
  <c r="Z23" i="103"/>
  <c r="Z22" i="103"/>
  <c r="Z21" i="103"/>
  <c r="Z20" i="103"/>
  <c r="Z19" i="103"/>
  <c r="Z18" i="103"/>
  <c r="Z17" i="103"/>
  <c r="Z16" i="103"/>
  <c r="Z15" i="103"/>
  <c r="Z14" i="103"/>
  <c r="Z13" i="103"/>
  <c r="Z12" i="103"/>
  <c r="Z11" i="103"/>
  <c r="Z10" i="103"/>
  <c r="Z9" i="103"/>
  <c r="Z8" i="103"/>
  <c r="Z7" i="103"/>
  <c r="Z6" i="103"/>
  <c r="AH5" i="103"/>
  <c r="AG5" i="103"/>
  <c r="AF5" i="103"/>
  <c r="AE5" i="103"/>
  <c r="AD5" i="103"/>
  <c r="AC5" i="103"/>
  <c r="AB5" i="103"/>
  <c r="AA5" i="103"/>
  <c r="Z5" i="103"/>
  <c r="AH40" i="102"/>
  <c r="AH39" i="102"/>
  <c r="AH38" i="102"/>
  <c r="AH37" i="102"/>
  <c r="AH36" i="102"/>
  <c r="AH35" i="102"/>
  <c r="AH34" i="102"/>
  <c r="AH33" i="102"/>
  <c r="AH32" i="102"/>
  <c r="AH31" i="102"/>
  <c r="AH30" i="102"/>
  <c r="AH29" i="102"/>
  <c r="AH28" i="102"/>
  <c r="AH27" i="102"/>
  <c r="AH26" i="102"/>
  <c r="AH25" i="102"/>
  <c r="AH24" i="102"/>
  <c r="AH23" i="102"/>
  <c r="AH22" i="102"/>
  <c r="AH21" i="102"/>
  <c r="AH20" i="102"/>
  <c r="AH19" i="102"/>
  <c r="AH18" i="102"/>
  <c r="AH17" i="102"/>
  <c r="AH16" i="102"/>
  <c r="AH15" i="102"/>
  <c r="AH14" i="102"/>
  <c r="AH13" i="102"/>
  <c r="AH12" i="102"/>
  <c r="AH11" i="102"/>
  <c r="AH10" i="102"/>
  <c r="AH9" i="102"/>
  <c r="AH8" i="102"/>
  <c r="AH7" i="102"/>
  <c r="AH6" i="102"/>
  <c r="AG40" i="102"/>
  <c r="AG39" i="102"/>
  <c r="AG38" i="102"/>
  <c r="AG37" i="102"/>
  <c r="AG36" i="102"/>
  <c r="AG35" i="102"/>
  <c r="AG34" i="102"/>
  <c r="AG33" i="102"/>
  <c r="AG32" i="102"/>
  <c r="AG31" i="102"/>
  <c r="AG30" i="102"/>
  <c r="AG29" i="102"/>
  <c r="AG28" i="102"/>
  <c r="AG27" i="102"/>
  <c r="AG26" i="102"/>
  <c r="AG25" i="102"/>
  <c r="AG24" i="102"/>
  <c r="AG23" i="102"/>
  <c r="AG22" i="102"/>
  <c r="AG21" i="102"/>
  <c r="AG20" i="102"/>
  <c r="AG19" i="102"/>
  <c r="AG18" i="102"/>
  <c r="AG17" i="102"/>
  <c r="AG16" i="102"/>
  <c r="AG15" i="102"/>
  <c r="AG14" i="102"/>
  <c r="AG13" i="102"/>
  <c r="AG12" i="102"/>
  <c r="AG11" i="102"/>
  <c r="AG10" i="102"/>
  <c r="AG9" i="102"/>
  <c r="AG8" i="102"/>
  <c r="AG7" i="102"/>
  <c r="AG6" i="102"/>
  <c r="AF40" i="102"/>
  <c r="AF39" i="102"/>
  <c r="AF38" i="102"/>
  <c r="AF37" i="102"/>
  <c r="AF36" i="102"/>
  <c r="AF35" i="102"/>
  <c r="AF34" i="102"/>
  <c r="AF33" i="102"/>
  <c r="AF32" i="102"/>
  <c r="AF31" i="102"/>
  <c r="AF30" i="102"/>
  <c r="AF29" i="102"/>
  <c r="AF28" i="102"/>
  <c r="AF27" i="102"/>
  <c r="AF26" i="102"/>
  <c r="AF25" i="102"/>
  <c r="AF24" i="102"/>
  <c r="AF23" i="102"/>
  <c r="AF22" i="102"/>
  <c r="AF21" i="102"/>
  <c r="AF20" i="102"/>
  <c r="AF19" i="102"/>
  <c r="AF18" i="102"/>
  <c r="AF17" i="102"/>
  <c r="AF16" i="102"/>
  <c r="AF15" i="102"/>
  <c r="AF14" i="102"/>
  <c r="AF13" i="102"/>
  <c r="AF12" i="102"/>
  <c r="AF11" i="102"/>
  <c r="AF10" i="102"/>
  <c r="AF9" i="102"/>
  <c r="AF8" i="102"/>
  <c r="AF7" i="102"/>
  <c r="AF6" i="102"/>
  <c r="AE40" i="102"/>
  <c r="AE39" i="102"/>
  <c r="AE38" i="102"/>
  <c r="AE37" i="102"/>
  <c r="AE36" i="102"/>
  <c r="AE35" i="102"/>
  <c r="AE34" i="102"/>
  <c r="AE33" i="102"/>
  <c r="AE32" i="102"/>
  <c r="AE31" i="102"/>
  <c r="AE30" i="102"/>
  <c r="AE29" i="102"/>
  <c r="AE28" i="102"/>
  <c r="AE27" i="102"/>
  <c r="AE26" i="102"/>
  <c r="AE25" i="102"/>
  <c r="AE24" i="102"/>
  <c r="AE23" i="102"/>
  <c r="AE22" i="102"/>
  <c r="AE21" i="102"/>
  <c r="AE20" i="102"/>
  <c r="AE19" i="102"/>
  <c r="AE18" i="102"/>
  <c r="AE17" i="102"/>
  <c r="AE16" i="102"/>
  <c r="AE15" i="102"/>
  <c r="AE14" i="102"/>
  <c r="AE13" i="102"/>
  <c r="AE12" i="102"/>
  <c r="AE11" i="102"/>
  <c r="AE10" i="102"/>
  <c r="AE9" i="102"/>
  <c r="AE8" i="102"/>
  <c r="AE7" i="102"/>
  <c r="AE6" i="102"/>
  <c r="AD40" i="102"/>
  <c r="AD39" i="102"/>
  <c r="AD38" i="102"/>
  <c r="AD37" i="102"/>
  <c r="AD36" i="102"/>
  <c r="AD35" i="102"/>
  <c r="AD34" i="102"/>
  <c r="AD33" i="102"/>
  <c r="AD32" i="102"/>
  <c r="AD31" i="102"/>
  <c r="AD30" i="102"/>
  <c r="AD29" i="102"/>
  <c r="AD28" i="102"/>
  <c r="AD27" i="102"/>
  <c r="AD26" i="102"/>
  <c r="AD25" i="102"/>
  <c r="AD24" i="102"/>
  <c r="AD23" i="102"/>
  <c r="AD22" i="102"/>
  <c r="AD21" i="102"/>
  <c r="AD20" i="102"/>
  <c r="AD19" i="102"/>
  <c r="AD18" i="102"/>
  <c r="AD17" i="102"/>
  <c r="AD16" i="102"/>
  <c r="AD15" i="102"/>
  <c r="AD14" i="102"/>
  <c r="AD13" i="102"/>
  <c r="AD12" i="102"/>
  <c r="AD11" i="102"/>
  <c r="AD10" i="102"/>
  <c r="AD9" i="102"/>
  <c r="AD8" i="102"/>
  <c r="AD7" i="102"/>
  <c r="AD6" i="102"/>
  <c r="AC40" i="102"/>
  <c r="AC39" i="102"/>
  <c r="AC38" i="102"/>
  <c r="AC37" i="102"/>
  <c r="AC36" i="102"/>
  <c r="AC35" i="102"/>
  <c r="AC34" i="102"/>
  <c r="AC33" i="102"/>
  <c r="AC32" i="102"/>
  <c r="AC31" i="102"/>
  <c r="AC30" i="102"/>
  <c r="AC29" i="102"/>
  <c r="AC28" i="102"/>
  <c r="AC27" i="102"/>
  <c r="AC26" i="102"/>
  <c r="AC25" i="102"/>
  <c r="AC24" i="102"/>
  <c r="AC23" i="102"/>
  <c r="AC22" i="102"/>
  <c r="AC21" i="102"/>
  <c r="AC20" i="102"/>
  <c r="AC19" i="102"/>
  <c r="AC18" i="102"/>
  <c r="AC17" i="102"/>
  <c r="AC16" i="102"/>
  <c r="AC15" i="102"/>
  <c r="AC14" i="102"/>
  <c r="AC13" i="102"/>
  <c r="AC12" i="102"/>
  <c r="AC11" i="102"/>
  <c r="AC10" i="102"/>
  <c r="AC9" i="102"/>
  <c r="AC8" i="102"/>
  <c r="AC7" i="102"/>
  <c r="AC6" i="102"/>
  <c r="AB40" i="102"/>
  <c r="AB39" i="102"/>
  <c r="AB38" i="102"/>
  <c r="AB37" i="102"/>
  <c r="AB36" i="102"/>
  <c r="AB35" i="102"/>
  <c r="AB34" i="102"/>
  <c r="AB33" i="102"/>
  <c r="AB32" i="102"/>
  <c r="AB31" i="102"/>
  <c r="AB30" i="102"/>
  <c r="AB29" i="102"/>
  <c r="AB28" i="102"/>
  <c r="AB27" i="102"/>
  <c r="AB26" i="102"/>
  <c r="AB25" i="102"/>
  <c r="AB24" i="102"/>
  <c r="AB23" i="102"/>
  <c r="AB22" i="102"/>
  <c r="AB21" i="102"/>
  <c r="AB20" i="102"/>
  <c r="AB19" i="102"/>
  <c r="AB18" i="102"/>
  <c r="AB17" i="102"/>
  <c r="AB16" i="102"/>
  <c r="AB15" i="102"/>
  <c r="AB14" i="102"/>
  <c r="AB13" i="102"/>
  <c r="AB12" i="102"/>
  <c r="AB11" i="102"/>
  <c r="AB10" i="102"/>
  <c r="AB9" i="102"/>
  <c r="AB8" i="102"/>
  <c r="AB7" i="102"/>
  <c r="AB6" i="102"/>
  <c r="AA40" i="102"/>
  <c r="AA39" i="102"/>
  <c r="AA38" i="102"/>
  <c r="AA37" i="102"/>
  <c r="AA36" i="102"/>
  <c r="AA35" i="102"/>
  <c r="AA34" i="102"/>
  <c r="AA33" i="102"/>
  <c r="AA32" i="102"/>
  <c r="AA31" i="102"/>
  <c r="AA30" i="102"/>
  <c r="AA29" i="102"/>
  <c r="AA28" i="102"/>
  <c r="AA27" i="102"/>
  <c r="AA26" i="102"/>
  <c r="AA25" i="102"/>
  <c r="AA24" i="102"/>
  <c r="AA23" i="102"/>
  <c r="AA22" i="102"/>
  <c r="AA21" i="102"/>
  <c r="AA20" i="102"/>
  <c r="AA19" i="102"/>
  <c r="AA18" i="102"/>
  <c r="AA17" i="102"/>
  <c r="AA16" i="102"/>
  <c r="AA15" i="102"/>
  <c r="AA14" i="102"/>
  <c r="AA13" i="102"/>
  <c r="AA12" i="102"/>
  <c r="AA11" i="102"/>
  <c r="AA10" i="102"/>
  <c r="AA9" i="102"/>
  <c r="AA8" i="102"/>
  <c r="AA7" i="102"/>
  <c r="AA6" i="102"/>
  <c r="Z40" i="102"/>
  <c r="Z39" i="102"/>
  <c r="Z38" i="102"/>
  <c r="Z37" i="102"/>
  <c r="Z36" i="102"/>
  <c r="Z35" i="102"/>
  <c r="Z34" i="102"/>
  <c r="Z33" i="102"/>
  <c r="Z32" i="102"/>
  <c r="Z31" i="102"/>
  <c r="Z30" i="102"/>
  <c r="Z29" i="102"/>
  <c r="Z28" i="102"/>
  <c r="Z27" i="102"/>
  <c r="Z26" i="102"/>
  <c r="Z25" i="102"/>
  <c r="Z24" i="102"/>
  <c r="Z23" i="102"/>
  <c r="Z22" i="102"/>
  <c r="Z21" i="102"/>
  <c r="Z20" i="102"/>
  <c r="Z19" i="102"/>
  <c r="Z18" i="102"/>
  <c r="Z17" i="102"/>
  <c r="Z16" i="102"/>
  <c r="Z15" i="102"/>
  <c r="Z14" i="102"/>
  <c r="Z13" i="102"/>
  <c r="Z12" i="102"/>
  <c r="Z11" i="102"/>
  <c r="Z10" i="102"/>
  <c r="Z9" i="102"/>
  <c r="Z8" i="102"/>
  <c r="Z7" i="102"/>
  <c r="Z6" i="102"/>
  <c r="AH5" i="102"/>
  <c r="AG5" i="102"/>
  <c r="AF5" i="102"/>
  <c r="AE5" i="102"/>
  <c r="AD5" i="102"/>
  <c r="AC5" i="102"/>
  <c r="AB5" i="102"/>
  <c r="AA5" i="102"/>
  <c r="Z5" i="102"/>
  <c r="AH40" i="101"/>
  <c r="AH39" i="101"/>
  <c r="AH38" i="101"/>
  <c r="AH37" i="101"/>
  <c r="AH36" i="101"/>
  <c r="AH35" i="101"/>
  <c r="AH34" i="101"/>
  <c r="AH33" i="101"/>
  <c r="AH32" i="101"/>
  <c r="AH31" i="101"/>
  <c r="AH30" i="101"/>
  <c r="AH29" i="101"/>
  <c r="AH28" i="101"/>
  <c r="AH27" i="101"/>
  <c r="AH26" i="101"/>
  <c r="AH25" i="101"/>
  <c r="AH24" i="101"/>
  <c r="AH23" i="101"/>
  <c r="AH22" i="101"/>
  <c r="AH21" i="101"/>
  <c r="AH20" i="101"/>
  <c r="AH19" i="101"/>
  <c r="AH18" i="101"/>
  <c r="AH17" i="101"/>
  <c r="AH16" i="101"/>
  <c r="AH15" i="101"/>
  <c r="AH14" i="101"/>
  <c r="AH13" i="101"/>
  <c r="AH12" i="101"/>
  <c r="AH11" i="101"/>
  <c r="AH10" i="101"/>
  <c r="AH9" i="101"/>
  <c r="AH8" i="101"/>
  <c r="AH7" i="101"/>
  <c r="AH6" i="101"/>
  <c r="AG40" i="101"/>
  <c r="AG39" i="101"/>
  <c r="AG38" i="101"/>
  <c r="AG37" i="101"/>
  <c r="AG36" i="101"/>
  <c r="AG35" i="101"/>
  <c r="AG34" i="101"/>
  <c r="AG33" i="101"/>
  <c r="AG32" i="101"/>
  <c r="AG31" i="101"/>
  <c r="AG30" i="101"/>
  <c r="AG29" i="101"/>
  <c r="AG28" i="101"/>
  <c r="AG27" i="101"/>
  <c r="AG26" i="101"/>
  <c r="AG25" i="101"/>
  <c r="AG24" i="101"/>
  <c r="AG23" i="101"/>
  <c r="AG22" i="101"/>
  <c r="AG21" i="101"/>
  <c r="AG20" i="101"/>
  <c r="AG19" i="101"/>
  <c r="AG18" i="101"/>
  <c r="AG17" i="101"/>
  <c r="AG16" i="101"/>
  <c r="AG15" i="101"/>
  <c r="AG14" i="101"/>
  <c r="AG13" i="101"/>
  <c r="AG12" i="101"/>
  <c r="AG11" i="101"/>
  <c r="AG10" i="101"/>
  <c r="AG9" i="101"/>
  <c r="AG8" i="101"/>
  <c r="AG7" i="101"/>
  <c r="AG6" i="101"/>
  <c r="AF40" i="101"/>
  <c r="AF39" i="101"/>
  <c r="AF38" i="101"/>
  <c r="AF37" i="101"/>
  <c r="AF36" i="101"/>
  <c r="AF35" i="101"/>
  <c r="AF34" i="101"/>
  <c r="AF33" i="101"/>
  <c r="AF32" i="101"/>
  <c r="AF31" i="101"/>
  <c r="AF30" i="101"/>
  <c r="AF29" i="101"/>
  <c r="AF28" i="101"/>
  <c r="AF27" i="101"/>
  <c r="AF26" i="101"/>
  <c r="AF25" i="101"/>
  <c r="AF24" i="101"/>
  <c r="AF23" i="101"/>
  <c r="AF22" i="101"/>
  <c r="AF21" i="101"/>
  <c r="AF20" i="101"/>
  <c r="AF19" i="101"/>
  <c r="AF18" i="101"/>
  <c r="AF17" i="101"/>
  <c r="AF16" i="101"/>
  <c r="AF15" i="101"/>
  <c r="AF14" i="101"/>
  <c r="AF13" i="101"/>
  <c r="AF12" i="101"/>
  <c r="AF11" i="101"/>
  <c r="AF10" i="101"/>
  <c r="AF9" i="101"/>
  <c r="AF8" i="101"/>
  <c r="AF7" i="101"/>
  <c r="AF6" i="101"/>
  <c r="AE40" i="101"/>
  <c r="AE39" i="101"/>
  <c r="AE38" i="101"/>
  <c r="AE37" i="101"/>
  <c r="AE36" i="101"/>
  <c r="AE35" i="101"/>
  <c r="AE34" i="101"/>
  <c r="AE33" i="101"/>
  <c r="AE32" i="101"/>
  <c r="AE31" i="101"/>
  <c r="AE30" i="101"/>
  <c r="AE29" i="101"/>
  <c r="AE28" i="101"/>
  <c r="AE27" i="101"/>
  <c r="AE26" i="101"/>
  <c r="AE25" i="101"/>
  <c r="AE24" i="101"/>
  <c r="AE23" i="101"/>
  <c r="AE22" i="101"/>
  <c r="AE21" i="101"/>
  <c r="AE20" i="101"/>
  <c r="AE19" i="101"/>
  <c r="AE18" i="101"/>
  <c r="AE17" i="101"/>
  <c r="AE16" i="101"/>
  <c r="AE15" i="101"/>
  <c r="AE14" i="101"/>
  <c r="AE13" i="101"/>
  <c r="AE12" i="101"/>
  <c r="AE11" i="101"/>
  <c r="AE10" i="101"/>
  <c r="AE9" i="101"/>
  <c r="AE8" i="101"/>
  <c r="AE7" i="101"/>
  <c r="AE6" i="101"/>
  <c r="AD40" i="101"/>
  <c r="AD39" i="101"/>
  <c r="AD38" i="101"/>
  <c r="AD37" i="101"/>
  <c r="AD36" i="101"/>
  <c r="AD35" i="101"/>
  <c r="AD34" i="101"/>
  <c r="AD33" i="101"/>
  <c r="AD32" i="101"/>
  <c r="AD31" i="101"/>
  <c r="AD30" i="101"/>
  <c r="AD29" i="101"/>
  <c r="AD28" i="101"/>
  <c r="AD27" i="101"/>
  <c r="AD26" i="101"/>
  <c r="AD25" i="101"/>
  <c r="AD24" i="101"/>
  <c r="AD23" i="101"/>
  <c r="AD22" i="101"/>
  <c r="AD21" i="101"/>
  <c r="AD20" i="101"/>
  <c r="AD19" i="101"/>
  <c r="AD18" i="101"/>
  <c r="AD17" i="101"/>
  <c r="AD16" i="101"/>
  <c r="AD15" i="101"/>
  <c r="AD14" i="101"/>
  <c r="AD13" i="101"/>
  <c r="AD12" i="101"/>
  <c r="AD11" i="101"/>
  <c r="AD10" i="101"/>
  <c r="AD9" i="101"/>
  <c r="AD8" i="101"/>
  <c r="AD7" i="101"/>
  <c r="AD6" i="101"/>
  <c r="AC40" i="101"/>
  <c r="AC39" i="101"/>
  <c r="AC38" i="101"/>
  <c r="AC37" i="101"/>
  <c r="AC36" i="101"/>
  <c r="AC35" i="101"/>
  <c r="AC34" i="101"/>
  <c r="AC33" i="101"/>
  <c r="AC32" i="101"/>
  <c r="AC31" i="101"/>
  <c r="AC30" i="101"/>
  <c r="AC29" i="101"/>
  <c r="AC28" i="101"/>
  <c r="AC27" i="101"/>
  <c r="AC26" i="101"/>
  <c r="AC25" i="101"/>
  <c r="AC24" i="101"/>
  <c r="AC23" i="101"/>
  <c r="AC22" i="101"/>
  <c r="AC21" i="101"/>
  <c r="AC20" i="101"/>
  <c r="AC19" i="101"/>
  <c r="AC18" i="101"/>
  <c r="AC17" i="101"/>
  <c r="AC16" i="101"/>
  <c r="AC15" i="101"/>
  <c r="AC14" i="101"/>
  <c r="AC13" i="101"/>
  <c r="AC12" i="101"/>
  <c r="AC11" i="101"/>
  <c r="AC10" i="101"/>
  <c r="AC9" i="101"/>
  <c r="AC8" i="101"/>
  <c r="AC7" i="101"/>
  <c r="AC6" i="101"/>
  <c r="AB40" i="101"/>
  <c r="AB39" i="101"/>
  <c r="AB38" i="101"/>
  <c r="AB37" i="101"/>
  <c r="AB36" i="101"/>
  <c r="AB35" i="101"/>
  <c r="AB34" i="101"/>
  <c r="AB33" i="101"/>
  <c r="AB32" i="101"/>
  <c r="AB31" i="101"/>
  <c r="AB30" i="101"/>
  <c r="AB29" i="101"/>
  <c r="AB28" i="101"/>
  <c r="AB27" i="101"/>
  <c r="AB26" i="101"/>
  <c r="AB25" i="101"/>
  <c r="AB24" i="101"/>
  <c r="AB23" i="101"/>
  <c r="AB22" i="101"/>
  <c r="AB21" i="101"/>
  <c r="AB20" i="101"/>
  <c r="AB19" i="101"/>
  <c r="AB18" i="101"/>
  <c r="AB17" i="101"/>
  <c r="AB16" i="101"/>
  <c r="AB15" i="101"/>
  <c r="AB14" i="101"/>
  <c r="AB13" i="101"/>
  <c r="AB12" i="101"/>
  <c r="AB11" i="101"/>
  <c r="AB10" i="101"/>
  <c r="AB9" i="101"/>
  <c r="AB8" i="101"/>
  <c r="AB7" i="101"/>
  <c r="AB6" i="101"/>
  <c r="AA40" i="101"/>
  <c r="AA39" i="101"/>
  <c r="AA38" i="101"/>
  <c r="AA37" i="101"/>
  <c r="AA36" i="101"/>
  <c r="AA35" i="101"/>
  <c r="AA34" i="101"/>
  <c r="AA33" i="101"/>
  <c r="AA32" i="101"/>
  <c r="AA31" i="101"/>
  <c r="AA30" i="101"/>
  <c r="AA29" i="101"/>
  <c r="AA28" i="101"/>
  <c r="AA27" i="101"/>
  <c r="AA26" i="101"/>
  <c r="AA25" i="101"/>
  <c r="AA24" i="101"/>
  <c r="AA23" i="101"/>
  <c r="AA22" i="101"/>
  <c r="AA21" i="101"/>
  <c r="AA20" i="101"/>
  <c r="AA19" i="101"/>
  <c r="AA18" i="101"/>
  <c r="AA17" i="101"/>
  <c r="AA16" i="101"/>
  <c r="AA15" i="101"/>
  <c r="AA14" i="101"/>
  <c r="AA13" i="101"/>
  <c r="AA12" i="101"/>
  <c r="AA11" i="101"/>
  <c r="AA10" i="101"/>
  <c r="AA9" i="101"/>
  <c r="AA8" i="101"/>
  <c r="AA7" i="101"/>
  <c r="AA6" i="101"/>
  <c r="Z40" i="101"/>
  <c r="Z39" i="101"/>
  <c r="Z38" i="101"/>
  <c r="Z37" i="101"/>
  <c r="Z36" i="101"/>
  <c r="Z35" i="101"/>
  <c r="Z34" i="101"/>
  <c r="Z33" i="101"/>
  <c r="Z32" i="101"/>
  <c r="Z31" i="101"/>
  <c r="Z30" i="101"/>
  <c r="Z29" i="101"/>
  <c r="Z28" i="101"/>
  <c r="Z27" i="101"/>
  <c r="Z26" i="101"/>
  <c r="Z25" i="101"/>
  <c r="Z24" i="101"/>
  <c r="Z23" i="101"/>
  <c r="Z22" i="101"/>
  <c r="Z21" i="101"/>
  <c r="Z20" i="101"/>
  <c r="Z19" i="101"/>
  <c r="Z18" i="101"/>
  <c r="Z17" i="101"/>
  <c r="Z16" i="101"/>
  <c r="Z15" i="101"/>
  <c r="Z14" i="101"/>
  <c r="Z13" i="101"/>
  <c r="Z12" i="101"/>
  <c r="Z11" i="101"/>
  <c r="Z10" i="101"/>
  <c r="Z9" i="101"/>
  <c r="Z8" i="101"/>
  <c r="Z7" i="101"/>
  <c r="Z6" i="101"/>
  <c r="AH5" i="101"/>
  <c r="AG5" i="101"/>
  <c r="AF5" i="101"/>
  <c r="AE5" i="101"/>
  <c r="AD5" i="101"/>
  <c r="AC5" i="101"/>
  <c r="AB5" i="101"/>
  <c r="AA5" i="101"/>
  <c r="Z5" i="101"/>
  <c r="AH40" i="100"/>
  <c r="AH39" i="100"/>
  <c r="AH38" i="100"/>
  <c r="AH37" i="100"/>
  <c r="AH36" i="100"/>
  <c r="AH35" i="100"/>
  <c r="AH34" i="100"/>
  <c r="AH33" i="100"/>
  <c r="AH32" i="100"/>
  <c r="AH31" i="100"/>
  <c r="AH30" i="100"/>
  <c r="AH29" i="100"/>
  <c r="AH28" i="100"/>
  <c r="AH27" i="100"/>
  <c r="AH26" i="100"/>
  <c r="AH25" i="100"/>
  <c r="AH24" i="100"/>
  <c r="AH23" i="100"/>
  <c r="AH22" i="100"/>
  <c r="AH21" i="100"/>
  <c r="AH20" i="100"/>
  <c r="AH19" i="100"/>
  <c r="AH18" i="100"/>
  <c r="AH17" i="100"/>
  <c r="AH16" i="100"/>
  <c r="AH15" i="100"/>
  <c r="AH14" i="100"/>
  <c r="AH13" i="100"/>
  <c r="AH12" i="100"/>
  <c r="AH11" i="100"/>
  <c r="AH10" i="100"/>
  <c r="AH9" i="100"/>
  <c r="AH8" i="100"/>
  <c r="AH7" i="100"/>
  <c r="AH6" i="100"/>
  <c r="AG40" i="100"/>
  <c r="AG39" i="100"/>
  <c r="AG38" i="100"/>
  <c r="AG37" i="100"/>
  <c r="AG36" i="100"/>
  <c r="AG35" i="100"/>
  <c r="AG34" i="100"/>
  <c r="AG33" i="100"/>
  <c r="AG32" i="100"/>
  <c r="AG31" i="100"/>
  <c r="AG30" i="100"/>
  <c r="AG29" i="100"/>
  <c r="AG28" i="100"/>
  <c r="AG27" i="100"/>
  <c r="AG26" i="100"/>
  <c r="AG25" i="100"/>
  <c r="AG24" i="100"/>
  <c r="AG23" i="100"/>
  <c r="AG22" i="100"/>
  <c r="AG21" i="100"/>
  <c r="AG20" i="100"/>
  <c r="AG19" i="100"/>
  <c r="AG18" i="100"/>
  <c r="AG17" i="100"/>
  <c r="AG16" i="100"/>
  <c r="AG15" i="100"/>
  <c r="AG14" i="100"/>
  <c r="AG13" i="100"/>
  <c r="AG12" i="100"/>
  <c r="AG11" i="100"/>
  <c r="AG10" i="100"/>
  <c r="AG9" i="100"/>
  <c r="AG8" i="100"/>
  <c r="AG7" i="100"/>
  <c r="AG6" i="100"/>
  <c r="AF40" i="100"/>
  <c r="AF39" i="100"/>
  <c r="AF38" i="100"/>
  <c r="AF37" i="100"/>
  <c r="AF36" i="100"/>
  <c r="AF35" i="100"/>
  <c r="AF34" i="100"/>
  <c r="AF33" i="100"/>
  <c r="AF32" i="100"/>
  <c r="AF31" i="100"/>
  <c r="AF30" i="100"/>
  <c r="AF29" i="100"/>
  <c r="AF28" i="100"/>
  <c r="AF27" i="100"/>
  <c r="AF26" i="100"/>
  <c r="AF25" i="100"/>
  <c r="AF24" i="100"/>
  <c r="AF23" i="100"/>
  <c r="AF22" i="100"/>
  <c r="AF21" i="100"/>
  <c r="AF20" i="100"/>
  <c r="AF19" i="100"/>
  <c r="AF18" i="100"/>
  <c r="AF17" i="100"/>
  <c r="AF16" i="100"/>
  <c r="AF15" i="100"/>
  <c r="AF14" i="100"/>
  <c r="AF13" i="100"/>
  <c r="AF12" i="100"/>
  <c r="AF11" i="100"/>
  <c r="AF10" i="100"/>
  <c r="AF9" i="100"/>
  <c r="AF8" i="100"/>
  <c r="AF7" i="100"/>
  <c r="AF6" i="100"/>
  <c r="AE40" i="100"/>
  <c r="AE39" i="100"/>
  <c r="AE38" i="100"/>
  <c r="AE37" i="100"/>
  <c r="AE36" i="100"/>
  <c r="AE35" i="100"/>
  <c r="AE34" i="100"/>
  <c r="AE33" i="100"/>
  <c r="AE32" i="100"/>
  <c r="AE31" i="100"/>
  <c r="AE30" i="100"/>
  <c r="AE29" i="100"/>
  <c r="AE28" i="100"/>
  <c r="AE27" i="100"/>
  <c r="AE26" i="100"/>
  <c r="AE25" i="100"/>
  <c r="AE24" i="100"/>
  <c r="AE23" i="100"/>
  <c r="AE22" i="100"/>
  <c r="AE21" i="100"/>
  <c r="AE20" i="100"/>
  <c r="AE19" i="100"/>
  <c r="AE18" i="100"/>
  <c r="AE17" i="100"/>
  <c r="AE16" i="100"/>
  <c r="AE15" i="100"/>
  <c r="AE14" i="100"/>
  <c r="AE13" i="100"/>
  <c r="AE12" i="100"/>
  <c r="AE11" i="100"/>
  <c r="AE10" i="100"/>
  <c r="AE9" i="100"/>
  <c r="AE8" i="100"/>
  <c r="AE7" i="100"/>
  <c r="AE6" i="100"/>
  <c r="AD40" i="100"/>
  <c r="AD39" i="100"/>
  <c r="AD38" i="100"/>
  <c r="AD37" i="100"/>
  <c r="AD36" i="100"/>
  <c r="AD35" i="100"/>
  <c r="AD34" i="100"/>
  <c r="AD33" i="100"/>
  <c r="AD32" i="100"/>
  <c r="AD31" i="100"/>
  <c r="AD30" i="100"/>
  <c r="AD29" i="100"/>
  <c r="AD28" i="100"/>
  <c r="AD27" i="100"/>
  <c r="AD26" i="100"/>
  <c r="AD25" i="100"/>
  <c r="AD24" i="100"/>
  <c r="AD23" i="100"/>
  <c r="AD22" i="100"/>
  <c r="AD21" i="100"/>
  <c r="AD20" i="100"/>
  <c r="AD19" i="100"/>
  <c r="AD18" i="100"/>
  <c r="AD17" i="100"/>
  <c r="AD16" i="100"/>
  <c r="AD15" i="100"/>
  <c r="AD14" i="100"/>
  <c r="AD13" i="100"/>
  <c r="AD12" i="100"/>
  <c r="AD11" i="100"/>
  <c r="AD10" i="100"/>
  <c r="AD9" i="100"/>
  <c r="AD8" i="100"/>
  <c r="AD7" i="100"/>
  <c r="AD6" i="100"/>
  <c r="AC40" i="100"/>
  <c r="AC39" i="100"/>
  <c r="AC38" i="100"/>
  <c r="AC37" i="100"/>
  <c r="AC36" i="100"/>
  <c r="AC35" i="100"/>
  <c r="AC34" i="100"/>
  <c r="AC33" i="100"/>
  <c r="AC32" i="100"/>
  <c r="AC31" i="100"/>
  <c r="AC30" i="100"/>
  <c r="AC29" i="100"/>
  <c r="AC28" i="100"/>
  <c r="AC27" i="100"/>
  <c r="AC26" i="100"/>
  <c r="AC25" i="100"/>
  <c r="AC24" i="100"/>
  <c r="AC23" i="100"/>
  <c r="AC22" i="100"/>
  <c r="AC21" i="100"/>
  <c r="AC20" i="100"/>
  <c r="AC19" i="100"/>
  <c r="AC18" i="100"/>
  <c r="AC17" i="100"/>
  <c r="AC16" i="100"/>
  <c r="AC15" i="100"/>
  <c r="AC14" i="100"/>
  <c r="AC13" i="100"/>
  <c r="AC12" i="100"/>
  <c r="AC11" i="100"/>
  <c r="AC10" i="100"/>
  <c r="AC9" i="100"/>
  <c r="AC8" i="100"/>
  <c r="AC7" i="100"/>
  <c r="AC6" i="100"/>
  <c r="AB40" i="100"/>
  <c r="AB39" i="100"/>
  <c r="AB38" i="100"/>
  <c r="AB37" i="100"/>
  <c r="AB36" i="100"/>
  <c r="AB35" i="100"/>
  <c r="AB34" i="100"/>
  <c r="AB33" i="100"/>
  <c r="AB32" i="100"/>
  <c r="AB31" i="100"/>
  <c r="AB30" i="100"/>
  <c r="AB29" i="100"/>
  <c r="AB28" i="100"/>
  <c r="AB27" i="100"/>
  <c r="AB26" i="100"/>
  <c r="AB25" i="100"/>
  <c r="AB24" i="100"/>
  <c r="AB23" i="100"/>
  <c r="AB22" i="100"/>
  <c r="AB21" i="100"/>
  <c r="AB20" i="100"/>
  <c r="AB19" i="100"/>
  <c r="AB18" i="100"/>
  <c r="AB17" i="100"/>
  <c r="AB16" i="100"/>
  <c r="AB15" i="100"/>
  <c r="AB14" i="100"/>
  <c r="AB13" i="100"/>
  <c r="AB12" i="100"/>
  <c r="AB11" i="100"/>
  <c r="AB10" i="100"/>
  <c r="AB9" i="100"/>
  <c r="AB8" i="100"/>
  <c r="AB7" i="100"/>
  <c r="AB6" i="100"/>
  <c r="AA40" i="100"/>
  <c r="AA39" i="100"/>
  <c r="AA38" i="100"/>
  <c r="AA37" i="100"/>
  <c r="AA36" i="100"/>
  <c r="AA35" i="100"/>
  <c r="AA34" i="100"/>
  <c r="AA33" i="100"/>
  <c r="AA32" i="100"/>
  <c r="AA31" i="100"/>
  <c r="AA30" i="100"/>
  <c r="AA29" i="100"/>
  <c r="AA28" i="100"/>
  <c r="AA27" i="100"/>
  <c r="AA26" i="100"/>
  <c r="AA25" i="100"/>
  <c r="AA24" i="100"/>
  <c r="AA23" i="100"/>
  <c r="AA22" i="100"/>
  <c r="AA21" i="100"/>
  <c r="AA20" i="100"/>
  <c r="AA19" i="100"/>
  <c r="AA18" i="100"/>
  <c r="AA17" i="100"/>
  <c r="AA16" i="100"/>
  <c r="AA15" i="100"/>
  <c r="AA14" i="100"/>
  <c r="AA13" i="100"/>
  <c r="AA12" i="100"/>
  <c r="AA11" i="100"/>
  <c r="AA10" i="100"/>
  <c r="AA9" i="100"/>
  <c r="AA8" i="100"/>
  <c r="AA7" i="100"/>
  <c r="AA6" i="100"/>
  <c r="Z40" i="100"/>
  <c r="Z39" i="100"/>
  <c r="Z38" i="100"/>
  <c r="Z37" i="100"/>
  <c r="Z36" i="100"/>
  <c r="Z35" i="100"/>
  <c r="Z34" i="100"/>
  <c r="Z33" i="100"/>
  <c r="Z32" i="100"/>
  <c r="Z31" i="100"/>
  <c r="Z30" i="100"/>
  <c r="Z29" i="100"/>
  <c r="Z28" i="100"/>
  <c r="Z27" i="100"/>
  <c r="Z26" i="100"/>
  <c r="Z25" i="100"/>
  <c r="Z24" i="100"/>
  <c r="Z23" i="100"/>
  <c r="Z22" i="100"/>
  <c r="Z21" i="100"/>
  <c r="Z20" i="100"/>
  <c r="Z19" i="100"/>
  <c r="Z18" i="100"/>
  <c r="Z17" i="100"/>
  <c r="Z16" i="100"/>
  <c r="Z15" i="100"/>
  <c r="Z14" i="100"/>
  <c r="Z13" i="100"/>
  <c r="Z12" i="100"/>
  <c r="Z11" i="100"/>
  <c r="Z10" i="100"/>
  <c r="Z9" i="100"/>
  <c r="Z8" i="100"/>
  <c r="Z7" i="100"/>
  <c r="Z6" i="100"/>
  <c r="AH5" i="100"/>
  <c r="AG5" i="100"/>
  <c r="AF5" i="100"/>
  <c r="AE5" i="100"/>
  <c r="AD5" i="100"/>
  <c r="AC5" i="100"/>
  <c r="AB5" i="100"/>
  <c r="AA5" i="100"/>
  <c r="Z5" i="100"/>
  <c r="AH40" i="99"/>
  <c r="AH39" i="99"/>
  <c r="AH38" i="99"/>
  <c r="AH37" i="99"/>
  <c r="AH36" i="99"/>
  <c r="AH35" i="99"/>
  <c r="AH34" i="99"/>
  <c r="AH33" i="99"/>
  <c r="AH32" i="99"/>
  <c r="AH31" i="99"/>
  <c r="AH30" i="99"/>
  <c r="AH29" i="99"/>
  <c r="AH28" i="99"/>
  <c r="AH27" i="99"/>
  <c r="AH26" i="99"/>
  <c r="AH25" i="99"/>
  <c r="AH24" i="99"/>
  <c r="AH23" i="99"/>
  <c r="AH22" i="99"/>
  <c r="AH21" i="99"/>
  <c r="AH20" i="99"/>
  <c r="AH19" i="99"/>
  <c r="AH18" i="99"/>
  <c r="AH17" i="99"/>
  <c r="AH16" i="99"/>
  <c r="AH15" i="99"/>
  <c r="AH14" i="99"/>
  <c r="AH13" i="99"/>
  <c r="AH12" i="99"/>
  <c r="AH11" i="99"/>
  <c r="AH10" i="99"/>
  <c r="AH9" i="99"/>
  <c r="AH8" i="99"/>
  <c r="AH7" i="99"/>
  <c r="AH6" i="99"/>
  <c r="AH5" i="99"/>
  <c r="AG40" i="99"/>
  <c r="AG39" i="99"/>
  <c r="AG38" i="99"/>
  <c r="AG37" i="99"/>
  <c r="AG36" i="99"/>
  <c r="AG35" i="99"/>
  <c r="AG34" i="99"/>
  <c r="AG33" i="99"/>
  <c r="AG32" i="99"/>
  <c r="AG31" i="99"/>
  <c r="AG30" i="99"/>
  <c r="AG29" i="99"/>
  <c r="AG28" i="99"/>
  <c r="AG27" i="99"/>
  <c r="AG26" i="99"/>
  <c r="AG25" i="99"/>
  <c r="AG24" i="99"/>
  <c r="AG23" i="99"/>
  <c r="AG22" i="99"/>
  <c r="AG21" i="99"/>
  <c r="AG20" i="99"/>
  <c r="AG19" i="99"/>
  <c r="AG18" i="99"/>
  <c r="AG17" i="99"/>
  <c r="AG16" i="99"/>
  <c r="AG15" i="99"/>
  <c r="AG14" i="99"/>
  <c r="AG13" i="99"/>
  <c r="AG12" i="99"/>
  <c r="AG11" i="99"/>
  <c r="AG10" i="99"/>
  <c r="AG9" i="99"/>
  <c r="AG8" i="99"/>
  <c r="AG7" i="99"/>
  <c r="AG6" i="99"/>
  <c r="AG5" i="99"/>
  <c r="AF40" i="99"/>
  <c r="AF39" i="99"/>
  <c r="AF38" i="99"/>
  <c r="AF37" i="99"/>
  <c r="AF36" i="99"/>
  <c r="AF35" i="99"/>
  <c r="AF34" i="99"/>
  <c r="AF33" i="99"/>
  <c r="AF32" i="99"/>
  <c r="AF31" i="99"/>
  <c r="AF30" i="99"/>
  <c r="AF29" i="99"/>
  <c r="AF28" i="99"/>
  <c r="AF27" i="99"/>
  <c r="AF26" i="99"/>
  <c r="AF25" i="99"/>
  <c r="AF24" i="99"/>
  <c r="AF23" i="99"/>
  <c r="AF22" i="99"/>
  <c r="AF21" i="99"/>
  <c r="AF20" i="99"/>
  <c r="AF19" i="99"/>
  <c r="AF18" i="99"/>
  <c r="AF17" i="99"/>
  <c r="AF16" i="99"/>
  <c r="AF15" i="99"/>
  <c r="AF14" i="99"/>
  <c r="AF13" i="99"/>
  <c r="AF12" i="99"/>
  <c r="AF11" i="99"/>
  <c r="AF10" i="99"/>
  <c r="AF9" i="99"/>
  <c r="AF8" i="99"/>
  <c r="AF7" i="99"/>
  <c r="AF6" i="99"/>
  <c r="AF5" i="99"/>
  <c r="AE40" i="99"/>
  <c r="AE39" i="99"/>
  <c r="AE38" i="99"/>
  <c r="AE37" i="99"/>
  <c r="AE36" i="99"/>
  <c r="AE35" i="99"/>
  <c r="AE34" i="99"/>
  <c r="AE33" i="99"/>
  <c r="AE32" i="99"/>
  <c r="AE31" i="99"/>
  <c r="AE30" i="99"/>
  <c r="AE29" i="99"/>
  <c r="AE28" i="99"/>
  <c r="AE27" i="99"/>
  <c r="AE26" i="99"/>
  <c r="AE25" i="99"/>
  <c r="AE24" i="99"/>
  <c r="AE23" i="99"/>
  <c r="AE22" i="99"/>
  <c r="AE21" i="99"/>
  <c r="AE20" i="99"/>
  <c r="AE19" i="99"/>
  <c r="AE18" i="99"/>
  <c r="AE17" i="99"/>
  <c r="AE16" i="99"/>
  <c r="AE15" i="99"/>
  <c r="AE14" i="99"/>
  <c r="AE13" i="99"/>
  <c r="AE12" i="99"/>
  <c r="AE11" i="99"/>
  <c r="AE10" i="99"/>
  <c r="AE9" i="99"/>
  <c r="AE8" i="99"/>
  <c r="AE7" i="99"/>
  <c r="AE6" i="99"/>
  <c r="AE5" i="99"/>
  <c r="AD40" i="99"/>
  <c r="AD39" i="99"/>
  <c r="AD38" i="99"/>
  <c r="AD37" i="99"/>
  <c r="AD36" i="99"/>
  <c r="AD35" i="99"/>
  <c r="AD34" i="99"/>
  <c r="AD33" i="99"/>
  <c r="AD32" i="99"/>
  <c r="AD31" i="99"/>
  <c r="AD30" i="99"/>
  <c r="AD29" i="99"/>
  <c r="AD28" i="99"/>
  <c r="AD27" i="99"/>
  <c r="AD26" i="99"/>
  <c r="AD25" i="99"/>
  <c r="AD24" i="99"/>
  <c r="AD23" i="99"/>
  <c r="AD22" i="99"/>
  <c r="AD21" i="99"/>
  <c r="AD20" i="99"/>
  <c r="AD19" i="99"/>
  <c r="AD18" i="99"/>
  <c r="AD17" i="99"/>
  <c r="AD16" i="99"/>
  <c r="AD15" i="99"/>
  <c r="AD14" i="99"/>
  <c r="AD13" i="99"/>
  <c r="AD12" i="99"/>
  <c r="AD11" i="99"/>
  <c r="AD10" i="99"/>
  <c r="AD9" i="99"/>
  <c r="AD8" i="99"/>
  <c r="AD7" i="99"/>
  <c r="AD6" i="99"/>
  <c r="AD5" i="99"/>
  <c r="AC40" i="99"/>
  <c r="AC39" i="99"/>
  <c r="AC38" i="99"/>
  <c r="AC37" i="99"/>
  <c r="AC36" i="99"/>
  <c r="AC35" i="99"/>
  <c r="AC34" i="99"/>
  <c r="AC33" i="99"/>
  <c r="AC32" i="99"/>
  <c r="AC31" i="99"/>
  <c r="AC30" i="99"/>
  <c r="AC29" i="99"/>
  <c r="AC28" i="99"/>
  <c r="AC27" i="99"/>
  <c r="AC26" i="99"/>
  <c r="AC25" i="99"/>
  <c r="AC24" i="99"/>
  <c r="AC23" i="99"/>
  <c r="AC22" i="99"/>
  <c r="AC21" i="99"/>
  <c r="AC20" i="99"/>
  <c r="AC19" i="99"/>
  <c r="AC18" i="99"/>
  <c r="AC17" i="99"/>
  <c r="AC16" i="99"/>
  <c r="AC15" i="99"/>
  <c r="AC14" i="99"/>
  <c r="AC13" i="99"/>
  <c r="AC12" i="99"/>
  <c r="AC11" i="99"/>
  <c r="AC10" i="99"/>
  <c r="AC9" i="99"/>
  <c r="AC8" i="99"/>
  <c r="AC7" i="99"/>
  <c r="AC6" i="99"/>
  <c r="AC5" i="99"/>
  <c r="AB40" i="99"/>
  <c r="AB39" i="99"/>
  <c r="AB38" i="99"/>
  <c r="AB37" i="99"/>
  <c r="AB36" i="99"/>
  <c r="AB35" i="99"/>
  <c r="AB34" i="99"/>
  <c r="AB33" i="99"/>
  <c r="AB32" i="99"/>
  <c r="AB31" i="99"/>
  <c r="AB30" i="99"/>
  <c r="AB29" i="99"/>
  <c r="AB28" i="99"/>
  <c r="AB27" i="99"/>
  <c r="AB26" i="99"/>
  <c r="AB25" i="99"/>
  <c r="AB24" i="99"/>
  <c r="AB23" i="99"/>
  <c r="AB22" i="99"/>
  <c r="AB21" i="99"/>
  <c r="AB20" i="99"/>
  <c r="AB19" i="99"/>
  <c r="AB18" i="99"/>
  <c r="AB17" i="99"/>
  <c r="AB16" i="99"/>
  <c r="AB15" i="99"/>
  <c r="AB14" i="99"/>
  <c r="AB13" i="99"/>
  <c r="AB12" i="99"/>
  <c r="AB11" i="99"/>
  <c r="AB10" i="99"/>
  <c r="AB9" i="99"/>
  <c r="AB8" i="99"/>
  <c r="AB7" i="99"/>
  <c r="AB6" i="99"/>
  <c r="AB5" i="99"/>
  <c r="AA40" i="99"/>
  <c r="AA39" i="99"/>
  <c r="AA38" i="99"/>
  <c r="AA37" i="99"/>
  <c r="AA36" i="99"/>
  <c r="AA35" i="99"/>
  <c r="AA34" i="99"/>
  <c r="AA33" i="99"/>
  <c r="AA32" i="99"/>
  <c r="AA31" i="99"/>
  <c r="AA30" i="99"/>
  <c r="AA29" i="99"/>
  <c r="AA28" i="99"/>
  <c r="AA27" i="99"/>
  <c r="AA26" i="99"/>
  <c r="AA25" i="99"/>
  <c r="AA24" i="99"/>
  <c r="AA23" i="99"/>
  <c r="AA22" i="99"/>
  <c r="AA21" i="99"/>
  <c r="AA20" i="99"/>
  <c r="AA19" i="99"/>
  <c r="AA18" i="99"/>
  <c r="AA17" i="99"/>
  <c r="AA16" i="99"/>
  <c r="AA15" i="99"/>
  <c r="AA14" i="99"/>
  <c r="AA13" i="99"/>
  <c r="AA12" i="99"/>
  <c r="AA11" i="99"/>
  <c r="AA10" i="99"/>
  <c r="AA9" i="99"/>
  <c r="AA8" i="99"/>
  <c r="AA7" i="99"/>
  <c r="AA6" i="99"/>
  <c r="AA5" i="99"/>
  <c r="Z40" i="99"/>
  <c r="Z39" i="99"/>
  <c r="Z38" i="99"/>
  <c r="Z37" i="99"/>
  <c r="Z36" i="99"/>
  <c r="Z35" i="99"/>
  <c r="Z34" i="99"/>
  <c r="Z33" i="99"/>
  <c r="Z32" i="99"/>
  <c r="Z31" i="99"/>
  <c r="Z30" i="99"/>
  <c r="Z29" i="99"/>
  <c r="Z28" i="99"/>
  <c r="Z27" i="99"/>
  <c r="Z26" i="99"/>
  <c r="Z25" i="99"/>
  <c r="Z24" i="99"/>
  <c r="Z23" i="99"/>
  <c r="Z22" i="99"/>
  <c r="Z21" i="99"/>
  <c r="Z20" i="99"/>
  <c r="Z19" i="99"/>
  <c r="Z18" i="99"/>
  <c r="Z17" i="99"/>
  <c r="Z16" i="99"/>
  <c r="Z15" i="99"/>
  <c r="Z14" i="99"/>
  <c r="Z13" i="99"/>
  <c r="Z12" i="99"/>
  <c r="Z11" i="99"/>
  <c r="Z10" i="99"/>
  <c r="Z9" i="99"/>
  <c r="Z8" i="99"/>
  <c r="Z7" i="99"/>
  <c r="Z6" i="99"/>
  <c r="Z5" i="99"/>
  <c r="AA40" i="98"/>
  <c r="AA39" i="98"/>
  <c r="AA38" i="98"/>
  <c r="AA37" i="98"/>
  <c r="AA36" i="98"/>
  <c r="AA35" i="98"/>
  <c r="AA34" i="98"/>
  <c r="AA33" i="98"/>
  <c r="AA32" i="98"/>
  <c r="AA31" i="98"/>
  <c r="AA30" i="98"/>
  <c r="AA29" i="98"/>
  <c r="AA28" i="98"/>
  <c r="AA27" i="98"/>
  <c r="AA26" i="98"/>
  <c r="AA25" i="98"/>
  <c r="AA24" i="98"/>
  <c r="AA23" i="98"/>
  <c r="AA22" i="98"/>
  <c r="AA21" i="98"/>
  <c r="AA20" i="98"/>
  <c r="AA19" i="98"/>
  <c r="AA18" i="98"/>
  <c r="AA17" i="98"/>
  <c r="AA16" i="98"/>
  <c r="AA15" i="98"/>
  <c r="AA14" i="98"/>
  <c r="AA13" i="98"/>
  <c r="AA12" i="98"/>
  <c r="AA11" i="98"/>
  <c r="AA10" i="98"/>
  <c r="AA9" i="98"/>
  <c r="AA8" i="98"/>
  <c r="AA7" i="98"/>
  <c r="AA6" i="98"/>
  <c r="AH40" i="98"/>
  <c r="AH39" i="98"/>
  <c r="AH38" i="98"/>
  <c r="AH37" i="98"/>
  <c r="AH36" i="98"/>
  <c r="AH35" i="98"/>
  <c r="AH34" i="98"/>
  <c r="AH33" i="98"/>
  <c r="AH32" i="98"/>
  <c r="AH31" i="98"/>
  <c r="AH30" i="98"/>
  <c r="AH29" i="98"/>
  <c r="AH28" i="98"/>
  <c r="AH27" i="98"/>
  <c r="AH26" i="98"/>
  <c r="AH25" i="98"/>
  <c r="AH24" i="98"/>
  <c r="AH23" i="98"/>
  <c r="AH22" i="98"/>
  <c r="AH21" i="98"/>
  <c r="AH20" i="98"/>
  <c r="AH19" i="98"/>
  <c r="AH18" i="98"/>
  <c r="AH17" i="98"/>
  <c r="AH16" i="98"/>
  <c r="AH15" i="98"/>
  <c r="AH14" i="98"/>
  <c r="AH13" i="98"/>
  <c r="AH12" i="98"/>
  <c r="AH11" i="98"/>
  <c r="AH10" i="98"/>
  <c r="AH9" i="98"/>
  <c r="AH8" i="98"/>
  <c r="AH7" i="98"/>
  <c r="AH6" i="98"/>
  <c r="AH5" i="98"/>
  <c r="AG40" i="98"/>
  <c r="AG39" i="98"/>
  <c r="AG38" i="98"/>
  <c r="AG37" i="98"/>
  <c r="AG36" i="98"/>
  <c r="AG35" i="98"/>
  <c r="AG34" i="98"/>
  <c r="AG33" i="98"/>
  <c r="AG32" i="98"/>
  <c r="AG31" i="98"/>
  <c r="AG30" i="98"/>
  <c r="AG29" i="98"/>
  <c r="AG28" i="98"/>
  <c r="AG27" i="98"/>
  <c r="AG26" i="98"/>
  <c r="AG25" i="98"/>
  <c r="AG24" i="98"/>
  <c r="AG23" i="98"/>
  <c r="AG22" i="98"/>
  <c r="AG21" i="98"/>
  <c r="AG20" i="98"/>
  <c r="AG19" i="98"/>
  <c r="AG18" i="98"/>
  <c r="AG17" i="98"/>
  <c r="AG16" i="98"/>
  <c r="AG15" i="98"/>
  <c r="AG14" i="98"/>
  <c r="AG13" i="98"/>
  <c r="AG12" i="98"/>
  <c r="AG11" i="98"/>
  <c r="AG10" i="98"/>
  <c r="AG9" i="98"/>
  <c r="AG8" i="98"/>
  <c r="AG7" i="98"/>
  <c r="AG6" i="98"/>
  <c r="AG5" i="98"/>
  <c r="AF40" i="98"/>
  <c r="AF39" i="98"/>
  <c r="AF38" i="98"/>
  <c r="AF37" i="98"/>
  <c r="AF36" i="98"/>
  <c r="AF35" i="98"/>
  <c r="AF34" i="98"/>
  <c r="AF33" i="98"/>
  <c r="AF32" i="98"/>
  <c r="AF31" i="98"/>
  <c r="AF30" i="98"/>
  <c r="AF29" i="98"/>
  <c r="AF28" i="98"/>
  <c r="AF27" i="98"/>
  <c r="AF26" i="98"/>
  <c r="AF25" i="98"/>
  <c r="AF24" i="98"/>
  <c r="AF23" i="98"/>
  <c r="AF22" i="98"/>
  <c r="AF21" i="98"/>
  <c r="AF20" i="98"/>
  <c r="AF19" i="98"/>
  <c r="AF18" i="98"/>
  <c r="AF17" i="98"/>
  <c r="AF16" i="98"/>
  <c r="AF15" i="98"/>
  <c r="AF14" i="98"/>
  <c r="AF13" i="98"/>
  <c r="AF12" i="98"/>
  <c r="AF11" i="98"/>
  <c r="AF10" i="98"/>
  <c r="AF9" i="98"/>
  <c r="AF8" i="98"/>
  <c r="AF7" i="98"/>
  <c r="AF6" i="98"/>
  <c r="AF5" i="98"/>
  <c r="AE40" i="98"/>
  <c r="AE39" i="98"/>
  <c r="AE38" i="98"/>
  <c r="AE37" i="98"/>
  <c r="AE36" i="98"/>
  <c r="AE35" i="98"/>
  <c r="AE34" i="98"/>
  <c r="AE33" i="98"/>
  <c r="AE32" i="98"/>
  <c r="AE31" i="98"/>
  <c r="AE30" i="98"/>
  <c r="AE29" i="98"/>
  <c r="AE28" i="98"/>
  <c r="AE27" i="98"/>
  <c r="AE26" i="98"/>
  <c r="AE25" i="98"/>
  <c r="AE24" i="98"/>
  <c r="AE23" i="98"/>
  <c r="AE22" i="98"/>
  <c r="AE21" i="98"/>
  <c r="AE20" i="98"/>
  <c r="AE19" i="98"/>
  <c r="AE18" i="98"/>
  <c r="AE17" i="98"/>
  <c r="AE16" i="98"/>
  <c r="AE15" i="98"/>
  <c r="AE14" i="98"/>
  <c r="AE13" i="98"/>
  <c r="AE12" i="98"/>
  <c r="AE11" i="98"/>
  <c r="AE10" i="98"/>
  <c r="AE9" i="98"/>
  <c r="AE8" i="98"/>
  <c r="AE7" i="98"/>
  <c r="AE6" i="98"/>
  <c r="AE5" i="98"/>
  <c r="AD40" i="98"/>
  <c r="AD39" i="98"/>
  <c r="AD38" i="98"/>
  <c r="AD37" i="98"/>
  <c r="AD36" i="98"/>
  <c r="AD35" i="98"/>
  <c r="AD34" i="98"/>
  <c r="AD33" i="98"/>
  <c r="AD32" i="98"/>
  <c r="AD31" i="98"/>
  <c r="AD30" i="98"/>
  <c r="AD29" i="98"/>
  <c r="AD28" i="98"/>
  <c r="AD27" i="98"/>
  <c r="AD26" i="98"/>
  <c r="AD25" i="98"/>
  <c r="AD24" i="98"/>
  <c r="AD23" i="98"/>
  <c r="AD22" i="98"/>
  <c r="AD21" i="98"/>
  <c r="AD20" i="98"/>
  <c r="AD19" i="98"/>
  <c r="AD18" i="98"/>
  <c r="AD17" i="98"/>
  <c r="AD16" i="98"/>
  <c r="AD15" i="98"/>
  <c r="AD14" i="98"/>
  <c r="AD13" i="98"/>
  <c r="AD12" i="98"/>
  <c r="AD11" i="98"/>
  <c r="AD10" i="98"/>
  <c r="AD9" i="98"/>
  <c r="AD8" i="98"/>
  <c r="AD7" i="98"/>
  <c r="AD6" i="98"/>
  <c r="AD5" i="98"/>
  <c r="AC40" i="98"/>
  <c r="AC39" i="98"/>
  <c r="AC38" i="98"/>
  <c r="AC37" i="98"/>
  <c r="AC36" i="98"/>
  <c r="AC35" i="98"/>
  <c r="AC34" i="98"/>
  <c r="AC33" i="98"/>
  <c r="AC32" i="98"/>
  <c r="AC31" i="98"/>
  <c r="AC30" i="98"/>
  <c r="AC29" i="98"/>
  <c r="AC28" i="98"/>
  <c r="AC27" i="98"/>
  <c r="AC26" i="98"/>
  <c r="AC25" i="98"/>
  <c r="AC24" i="98"/>
  <c r="AC23" i="98"/>
  <c r="AC22" i="98"/>
  <c r="AC21" i="98"/>
  <c r="AC20" i="98"/>
  <c r="AC19" i="98"/>
  <c r="AC18" i="98"/>
  <c r="AC17" i="98"/>
  <c r="AC16" i="98"/>
  <c r="AC15" i="98"/>
  <c r="AC14" i="98"/>
  <c r="AC13" i="98"/>
  <c r="AC12" i="98"/>
  <c r="AC11" i="98"/>
  <c r="AC10" i="98"/>
  <c r="AC9" i="98"/>
  <c r="AC8" i="98"/>
  <c r="AC7" i="98"/>
  <c r="AC6" i="98"/>
  <c r="AC5" i="98"/>
  <c r="AB40" i="98"/>
  <c r="AB39" i="98"/>
  <c r="AB38" i="98"/>
  <c r="AB37" i="98"/>
  <c r="AB36" i="98"/>
  <c r="AB35" i="98"/>
  <c r="AB34" i="98"/>
  <c r="AB33" i="98"/>
  <c r="AB32" i="98"/>
  <c r="AB31" i="98"/>
  <c r="AB30" i="98"/>
  <c r="AB29" i="98"/>
  <c r="AB28" i="98"/>
  <c r="AB27" i="98"/>
  <c r="AB26" i="98"/>
  <c r="AB25" i="98"/>
  <c r="AB24" i="98"/>
  <c r="AB23" i="98"/>
  <c r="AB22" i="98"/>
  <c r="AB21" i="98"/>
  <c r="AB20" i="98"/>
  <c r="AB19" i="98"/>
  <c r="AB18" i="98"/>
  <c r="AB17" i="98"/>
  <c r="AB16" i="98"/>
  <c r="AB15" i="98"/>
  <c r="AB14" i="98"/>
  <c r="AB13" i="98"/>
  <c r="AB12" i="98"/>
  <c r="AB11" i="98"/>
  <c r="AB10" i="98"/>
  <c r="AB9" i="98"/>
  <c r="AB8" i="98"/>
  <c r="AB7" i="98"/>
  <c r="AB6" i="98"/>
  <c r="AB5" i="98"/>
  <c r="AA5" i="98"/>
  <c r="Z40" i="98"/>
  <c r="Z39" i="98"/>
  <c r="Z38" i="98"/>
  <c r="Z37" i="98"/>
  <c r="Z36" i="98"/>
  <c r="Z35" i="98"/>
  <c r="Z34" i="98"/>
  <c r="Z33" i="98"/>
  <c r="Z32" i="98"/>
  <c r="Z31" i="98"/>
  <c r="Z30" i="98"/>
  <c r="Z29" i="98"/>
  <c r="Z28" i="98"/>
  <c r="Z27" i="98"/>
  <c r="Z26" i="98"/>
  <c r="Z25" i="98"/>
  <c r="Z24" i="98"/>
  <c r="Z23" i="98"/>
  <c r="Z22" i="98"/>
  <c r="Z21" i="98"/>
  <c r="Z20" i="98"/>
  <c r="Z19" i="98"/>
  <c r="Z18" i="98"/>
  <c r="Z17" i="98"/>
  <c r="Z16" i="98"/>
  <c r="Z15" i="98"/>
  <c r="Z14" i="98"/>
  <c r="Z13" i="98"/>
  <c r="Z12" i="98"/>
  <c r="Z11" i="98"/>
  <c r="Z10" i="98"/>
  <c r="Z9" i="98"/>
  <c r="Z8" i="98"/>
  <c r="Z7" i="98"/>
  <c r="Z6" i="98"/>
  <c r="Z5" i="98"/>
  <c r="AH40" i="94" l="1"/>
  <c r="AH39" i="94"/>
  <c r="AH38" i="94"/>
  <c r="AH37" i="94"/>
  <c r="AH36" i="94"/>
  <c r="AH35" i="94"/>
  <c r="AH34" i="94"/>
  <c r="AH33" i="94"/>
  <c r="AH32" i="94"/>
  <c r="AH31" i="94"/>
  <c r="AH30" i="94"/>
  <c r="AH29" i="94"/>
  <c r="AH28" i="94"/>
  <c r="AH27" i="94"/>
  <c r="AH26" i="94"/>
  <c r="AH25" i="94"/>
  <c r="AH24" i="94"/>
  <c r="AH23" i="94"/>
  <c r="AH22" i="94"/>
  <c r="AH21" i="94"/>
  <c r="AH20" i="94"/>
  <c r="AH19" i="94"/>
  <c r="AH18" i="94"/>
  <c r="AH17" i="94"/>
  <c r="AH16" i="94"/>
  <c r="AH15" i="94"/>
  <c r="AH14" i="94"/>
  <c r="AH13" i="94"/>
  <c r="AH12" i="94"/>
  <c r="AH11" i="94"/>
  <c r="AH10" i="94"/>
  <c r="AH9" i="94"/>
  <c r="AH8" i="94"/>
  <c r="AH7" i="94"/>
  <c r="AH6" i="94"/>
  <c r="AH5" i="94"/>
  <c r="AG40" i="94"/>
  <c r="AG39" i="94"/>
  <c r="AG38" i="94"/>
  <c r="AG37" i="94"/>
  <c r="AG36" i="94"/>
  <c r="AG35" i="94"/>
  <c r="AG34" i="94"/>
  <c r="AG33" i="94"/>
  <c r="AG32" i="94"/>
  <c r="AG31" i="94"/>
  <c r="AG30" i="94"/>
  <c r="AG29" i="94"/>
  <c r="AG28" i="94"/>
  <c r="AG27" i="94"/>
  <c r="AG26" i="94"/>
  <c r="AG25" i="94"/>
  <c r="AG24" i="94"/>
  <c r="AG23" i="94"/>
  <c r="AG22" i="94"/>
  <c r="AG21" i="94"/>
  <c r="AG20" i="94"/>
  <c r="AG19" i="94"/>
  <c r="AG18" i="94"/>
  <c r="AG17" i="94"/>
  <c r="AG16" i="94"/>
  <c r="AG15" i="94"/>
  <c r="AG14" i="94"/>
  <c r="AG13" i="94"/>
  <c r="AG12" i="94"/>
  <c r="AG11" i="94"/>
  <c r="AG10" i="94"/>
  <c r="AG9" i="94"/>
  <c r="AG8" i="94"/>
  <c r="AG7" i="94"/>
  <c r="AG6" i="94"/>
  <c r="AG5" i="94"/>
  <c r="AF40" i="94"/>
  <c r="AF39" i="94"/>
  <c r="AF38" i="94"/>
  <c r="AF37" i="94"/>
  <c r="AF36" i="94"/>
  <c r="AF35" i="94"/>
  <c r="AF34" i="94"/>
  <c r="AF33" i="94"/>
  <c r="AF32" i="94"/>
  <c r="AF31" i="94"/>
  <c r="AF30" i="94"/>
  <c r="AF29" i="94"/>
  <c r="AF28" i="94"/>
  <c r="AF27" i="94"/>
  <c r="AF26" i="94"/>
  <c r="AF25" i="94"/>
  <c r="AF24" i="94"/>
  <c r="AF23" i="94"/>
  <c r="AF22" i="94"/>
  <c r="AF21" i="94"/>
  <c r="AF20" i="94"/>
  <c r="AF19" i="94"/>
  <c r="AF18" i="94"/>
  <c r="AF17" i="94"/>
  <c r="AF16" i="94"/>
  <c r="AF15" i="94"/>
  <c r="AF14" i="94"/>
  <c r="AF13" i="94"/>
  <c r="AF12" i="94"/>
  <c r="AF11" i="94"/>
  <c r="AF10" i="94"/>
  <c r="AF9" i="94"/>
  <c r="AF8" i="94"/>
  <c r="AF7" i="94"/>
  <c r="AF6" i="94"/>
  <c r="AF5" i="94"/>
  <c r="AE40" i="94"/>
  <c r="AE39" i="94"/>
  <c r="AE38" i="94"/>
  <c r="AE37" i="94"/>
  <c r="AE36" i="94"/>
  <c r="AE35" i="94"/>
  <c r="AE34" i="94"/>
  <c r="AE33" i="94"/>
  <c r="AE32" i="94"/>
  <c r="AE31" i="94"/>
  <c r="AE30" i="94"/>
  <c r="AE29" i="94"/>
  <c r="AE28" i="94"/>
  <c r="AE27" i="94"/>
  <c r="AE26" i="94"/>
  <c r="AE25" i="94"/>
  <c r="AE24" i="94"/>
  <c r="AE23" i="94"/>
  <c r="AE22" i="94"/>
  <c r="AE21" i="94"/>
  <c r="AE20" i="94"/>
  <c r="AE19" i="94"/>
  <c r="AE18" i="94"/>
  <c r="AE17" i="94"/>
  <c r="AE16" i="94"/>
  <c r="AE15" i="94"/>
  <c r="AE14" i="94"/>
  <c r="AE13" i="94"/>
  <c r="AE12" i="94"/>
  <c r="AE11" i="94"/>
  <c r="AE10" i="94"/>
  <c r="AE9" i="94"/>
  <c r="AE8" i="94"/>
  <c r="AE7" i="94"/>
  <c r="AE6" i="94"/>
  <c r="AE5" i="94"/>
  <c r="AD40" i="94"/>
  <c r="AD39" i="94"/>
  <c r="AD38" i="94"/>
  <c r="AD37" i="94"/>
  <c r="AD36" i="94"/>
  <c r="AD35" i="94"/>
  <c r="AD34" i="94"/>
  <c r="AD33" i="94"/>
  <c r="AD32" i="94"/>
  <c r="AD31" i="94"/>
  <c r="AD30" i="94"/>
  <c r="AD29" i="94"/>
  <c r="AD28" i="94"/>
  <c r="AD27" i="94"/>
  <c r="AD26" i="94"/>
  <c r="AD25" i="94"/>
  <c r="AD24" i="94"/>
  <c r="AD23" i="94"/>
  <c r="AD22" i="94"/>
  <c r="AD21" i="94"/>
  <c r="AD20" i="94"/>
  <c r="AD19" i="94"/>
  <c r="AD18" i="94"/>
  <c r="AD17" i="94"/>
  <c r="AD16" i="94"/>
  <c r="AD15" i="94"/>
  <c r="AD14" i="94"/>
  <c r="AD13" i="94"/>
  <c r="AD12" i="94"/>
  <c r="AD11" i="94"/>
  <c r="AD10" i="94"/>
  <c r="AD9" i="94"/>
  <c r="AD8" i="94"/>
  <c r="AD7" i="94"/>
  <c r="AD6" i="94"/>
  <c r="AD5" i="94"/>
  <c r="AC40" i="94"/>
  <c r="AC39" i="94"/>
  <c r="AC38" i="94"/>
  <c r="AC37" i="94"/>
  <c r="AC36" i="94"/>
  <c r="AC35" i="94"/>
  <c r="AC34" i="94"/>
  <c r="AC33" i="94"/>
  <c r="AC32" i="94"/>
  <c r="AC31" i="94"/>
  <c r="AC30" i="94"/>
  <c r="AC29" i="94"/>
  <c r="AC28" i="94"/>
  <c r="AC27" i="94"/>
  <c r="AC26" i="94"/>
  <c r="AC25" i="94"/>
  <c r="AC24" i="94"/>
  <c r="AC23" i="94"/>
  <c r="AC22" i="94"/>
  <c r="AC21" i="94"/>
  <c r="AC20" i="94"/>
  <c r="AC19" i="94"/>
  <c r="AC18" i="94"/>
  <c r="AC17" i="94"/>
  <c r="AC16" i="94"/>
  <c r="AC15" i="94"/>
  <c r="AC14" i="94"/>
  <c r="AC13" i="94"/>
  <c r="AC12" i="94"/>
  <c r="AC11" i="94"/>
  <c r="AC10" i="94"/>
  <c r="AC9" i="94"/>
  <c r="AC8" i="94"/>
  <c r="AC7" i="94"/>
  <c r="AC6" i="94"/>
  <c r="AC5" i="94"/>
  <c r="AB40" i="94"/>
  <c r="AB39" i="94"/>
  <c r="AB38" i="94"/>
  <c r="AB37" i="94"/>
  <c r="AB36" i="94"/>
  <c r="AB35" i="94"/>
  <c r="AB34" i="94"/>
  <c r="AB33" i="94"/>
  <c r="AB32" i="94"/>
  <c r="AB31" i="94"/>
  <c r="AB30" i="94"/>
  <c r="AB29" i="94"/>
  <c r="AB28" i="94"/>
  <c r="AB27" i="94"/>
  <c r="AB26" i="94"/>
  <c r="AB25" i="94"/>
  <c r="AB24" i="94"/>
  <c r="AB23" i="94"/>
  <c r="AB22" i="94"/>
  <c r="AB21" i="94"/>
  <c r="AB20" i="94"/>
  <c r="AB19" i="94"/>
  <c r="AB18" i="94"/>
  <c r="AB17" i="94"/>
  <c r="AB16" i="94"/>
  <c r="AB15" i="94"/>
  <c r="AB14" i="94"/>
  <c r="AB13" i="94"/>
  <c r="AB12" i="94"/>
  <c r="AB11" i="94"/>
  <c r="AB10" i="94"/>
  <c r="AB9" i="94"/>
  <c r="AB8" i="94"/>
  <c r="AB7" i="94"/>
  <c r="AB6" i="94"/>
  <c r="AB5" i="94"/>
  <c r="AA40" i="94"/>
  <c r="AA39" i="94"/>
  <c r="AA38" i="94"/>
  <c r="AA37" i="94"/>
  <c r="AA36" i="94"/>
  <c r="AA35" i="94"/>
  <c r="AA34" i="94"/>
  <c r="AA33" i="94"/>
  <c r="AA32" i="94"/>
  <c r="AA31" i="94"/>
  <c r="AA30" i="94"/>
  <c r="AA29" i="94"/>
  <c r="AA28" i="94"/>
  <c r="AA27" i="94"/>
  <c r="AA26" i="94"/>
  <c r="AA25" i="94"/>
  <c r="AA24" i="94"/>
  <c r="AA23" i="94"/>
  <c r="AA22" i="94"/>
  <c r="AA21" i="94"/>
  <c r="AA20" i="94"/>
  <c r="AA19" i="94"/>
  <c r="AA18" i="94"/>
  <c r="AA17" i="94"/>
  <c r="AA16" i="94"/>
  <c r="AA15" i="94"/>
  <c r="AA14" i="94"/>
  <c r="AA13" i="94"/>
  <c r="AA12" i="94"/>
  <c r="AA11" i="94"/>
  <c r="AA10" i="94"/>
  <c r="AA9" i="94"/>
  <c r="AA8" i="94"/>
  <c r="AA7" i="94"/>
  <c r="AA6" i="94"/>
  <c r="AA5" i="94"/>
  <c r="Z40" i="94"/>
  <c r="Z39" i="94"/>
  <c r="Z38" i="94"/>
  <c r="Z37" i="94"/>
  <c r="Z36" i="94"/>
  <c r="Z35" i="94"/>
  <c r="Z34" i="94"/>
  <c r="Z33" i="94"/>
  <c r="Z32" i="94"/>
  <c r="Z31" i="94"/>
  <c r="Z30" i="94"/>
  <c r="Z29" i="94"/>
  <c r="Z28" i="94"/>
  <c r="Z27" i="94"/>
  <c r="Z26" i="94"/>
  <c r="Z25" i="94"/>
  <c r="Z24" i="94"/>
  <c r="Z23" i="94"/>
  <c r="Z22" i="94"/>
  <c r="Z21" i="94"/>
  <c r="Z20" i="94"/>
  <c r="Z19" i="94"/>
  <c r="Z18" i="94"/>
  <c r="Z17" i="94"/>
  <c r="Z16" i="94"/>
  <c r="Z15" i="94"/>
  <c r="Z14" i="94"/>
  <c r="Z13" i="94"/>
  <c r="Z12" i="94"/>
  <c r="Z11" i="94"/>
  <c r="Z10" i="94"/>
  <c r="Z9" i="94"/>
  <c r="Z8" i="94"/>
  <c r="Z7" i="94"/>
  <c r="Z6" i="94"/>
  <c r="Z5" i="94"/>
  <c r="AK40" i="101"/>
  <c r="AK39" i="101"/>
  <c r="AK38" i="101"/>
  <c r="AK37" i="101"/>
  <c r="AK36" i="101"/>
  <c r="AK35" i="101"/>
  <c r="AK34" i="101"/>
  <c r="AK33" i="101"/>
  <c r="AK32" i="101"/>
  <c r="AK31" i="101"/>
  <c r="AK30" i="101"/>
  <c r="AK29" i="101"/>
  <c r="AK28" i="101"/>
  <c r="AK27" i="101"/>
  <c r="AK26" i="101"/>
  <c r="AK25" i="101"/>
  <c r="AK24" i="101"/>
  <c r="AK23" i="101"/>
  <c r="AK22" i="101"/>
  <c r="AK21" i="101"/>
  <c r="AK20" i="101"/>
  <c r="AK19" i="101"/>
  <c r="AK18" i="101"/>
  <c r="AK17" i="101"/>
  <c r="AK16" i="101"/>
  <c r="AK15" i="101"/>
  <c r="AK14" i="101"/>
  <c r="AK13" i="101"/>
  <c r="AK12" i="101"/>
  <c r="AK11" i="101"/>
  <c r="AK10" i="101"/>
  <c r="AK9" i="101"/>
  <c r="AK8" i="101"/>
  <c r="AK7" i="101"/>
  <c r="AK6" i="101"/>
  <c r="AK5" i="101"/>
  <c r="AK40" i="94"/>
  <c r="AK39" i="94"/>
  <c r="AK38" i="94"/>
  <c r="AK37" i="94"/>
  <c r="AK36" i="94"/>
  <c r="AK35" i="94"/>
  <c r="AK34" i="94"/>
  <c r="AK33" i="94"/>
  <c r="AK32" i="94"/>
  <c r="AK31" i="94"/>
  <c r="AK30" i="94"/>
  <c r="AK29" i="94"/>
  <c r="AK28" i="94"/>
  <c r="AK27" i="94"/>
  <c r="AK26" i="94"/>
  <c r="AK25" i="94"/>
  <c r="AK24" i="94"/>
  <c r="AK23" i="94"/>
  <c r="AK22" i="94"/>
  <c r="AK21" i="94"/>
  <c r="AK20" i="94"/>
  <c r="AK19" i="94"/>
  <c r="AK18" i="94"/>
  <c r="AK17" i="94"/>
  <c r="AK16" i="94"/>
  <c r="AK15" i="94"/>
  <c r="AK14" i="94"/>
  <c r="AK13" i="94"/>
  <c r="AK12" i="94"/>
  <c r="AK11" i="94"/>
  <c r="AK10" i="94"/>
  <c r="AK9" i="94"/>
  <c r="AK8" i="94"/>
  <c r="AK7" i="94"/>
  <c r="AK6" i="94"/>
  <c r="AK5" i="94"/>
  <c r="O35" i="105" l="1"/>
  <c r="N35" i="105"/>
  <c r="O33" i="105"/>
  <c r="N33" i="105"/>
  <c r="U5" i="104"/>
  <c r="C5" i="104"/>
  <c r="U5" i="103"/>
  <c r="C5" i="103"/>
  <c r="C5" i="102"/>
  <c r="U5" i="102"/>
  <c r="AK5" i="102"/>
  <c r="U5" i="101"/>
  <c r="C5" i="101"/>
  <c r="U5" i="99"/>
  <c r="U5" i="100"/>
  <c r="C5" i="100"/>
  <c r="C5" i="99"/>
  <c r="J5" i="94"/>
  <c r="J6" i="94"/>
  <c r="J7" i="94"/>
  <c r="K5" i="94" l="1"/>
  <c r="K6" i="94"/>
  <c r="K7" i="94"/>
  <c r="K8" i="94"/>
  <c r="K9" i="94"/>
  <c r="J9" i="94"/>
  <c r="J8" i="94"/>
  <c r="AK40" i="104" l="1"/>
  <c r="AK39" i="104"/>
  <c r="AK38" i="104"/>
  <c r="AK37" i="104"/>
  <c r="AK36" i="104"/>
  <c r="AK35" i="104"/>
  <c r="AK34" i="104"/>
  <c r="AK33" i="104"/>
  <c r="AK32" i="104"/>
  <c r="AK31" i="104"/>
  <c r="AK30" i="104"/>
  <c r="AK29" i="104"/>
  <c r="AK28" i="104"/>
  <c r="AK27" i="104"/>
  <c r="AK26" i="104"/>
  <c r="AK25" i="104"/>
  <c r="AK24" i="104"/>
  <c r="AK23" i="104"/>
  <c r="AK22" i="104"/>
  <c r="AK21" i="104"/>
  <c r="AK20" i="104"/>
  <c r="AK19" i="104"/>
  <c r="AK18" i="104"/>
  <c r="AK17" i="104"/>
  <c r="AK16" i="104"/>
  <c r="AK15" i="104"/>
  <c r="AK14" i="104"/>
  <c r="AK13" i="104"/>
  <c r="AK12" i="104"/>
  <c r="AK11" i="104"/>
  <c r="AK10" i="104"/>
  <c r="AK9" i="104"/>
  <c r="AK8" i="104"/>
  <c r="AK7" i="104"/>
  <c r="AK6" i="104"/>
  <c r="AK5" i="104"/>
  <c r="AJ6" i="104"/>
  <c r="AJ7" i="104"/>
  <c r="AJ8" i="104"/>
  <c r="AJ9" i="104"/>
  <c r="AJ10" i="104"/>
  <c r="AJ11" i="104"/>
  <c r="AJ12" i="104"/>
  <c r="AJ13" i="104"/>
  <c r="AJ14" i="104"/>
  <c r="AJ15" i="104"/>
  <c r="AJ16" i="104"/>
  <c r="AJ17" i="104"/>
  <c r="AJ18" i="104"/>
  <c r="AJ19" i="104"/>
  <c r="AL19" i="104" s="1"/>
  <c r="AJ20" i="104"/>
  <c r="AJ21" i="104"/>
  <c r="AJ22" i="104"/>
  <c r="AJ23" i="104"/>
  <c r="AJ24" i="104"/>
  <c r="AJ25" i="104"/>
  <c r="AJ26" i="104"/>
  <c r="AJ27" i="104"/>
  <c r="AJ28" i="104"/>
  <c r="AJ29" i="104"/>
  <c r="AJ30" i="104"/>
  <c r="AJ31" i="104"/>
  <c r="AJ32" i="104"/>
  <c r="AJ33" i="104"/>
  <c r="AJ34" i="104"/>
  <c r="AJ35" i="104"/>
  <c r="AJ36" i="104"/>
  <c r="AJ37" i="104"/>
  <c r="AJ38" i="104"/>
  <c r="AJ39" i="104"/>
  <c r="AJ40" i="104"/>
  <c r="AJ5" i="104"/>
  <c r="X40" i="104"/>
  <c r="X39" i="104"/>
  <c r="X38" i="104"/>
  <c r="X37" i="104"/>
  <c r="X36" i="104"/>
  <c r="X35" i="104"/>
  <c r="X34" i="104"/>
  <c r="X33" i="104"/>
  <c r="X32" i="104"/>
  <c r="X31" i="104"/>
  <c r="X30" i="104"/>
  <c r="X29" i="104"/>
  <c r="X28" i="104"/>
  <c r="X27" i="104"/>
  <c r="X26" i="104"/>
  <c r="X25" i="104"/>
  <c r="X24" i="104"/>
  <c r="X23" i="104"/>
  <c r="X22" i="104"/>
  <c r="X21" i="104"/>
  <c r="X20" i="104"/>
  <c r="X19" i="104"/>
  <c r="X18" i="104"/>
  <c r="X17" i="104"/>
  <c r="X16" i="104"/>
  <c r="X15" i="104"/>
  <c r="X14" i="104"/>
  <c r="X13" i="104"/>
  <c r="X12" i="104"/>
  <c r="X11" i="104"/>
  <c r="X10" i="104"/>
  <c r="X9" i="104"/>
  <c r="X8" i="104"/>
  <c r="X7" i="104"/>
  <c r="X6" i="104"/>
  <c r="X5" i="104"/>
  <c r="W40" i="104"/>
  <c r="W39" i="104"/>
  <c r="W38" i="104"/>
  <c r="W37" i="104"/>
  <c r="W36" i="104"/>
  <c r="W35" i="104"/>
  <c r="W34" i="104"/>
  <c r="W33" i="104"/>
  <c r="W32" i="104"/>
  <c r="W31" i="104"/>
  <c r="W30" i="104"/>
  <c r="W29" i="104"/>
  <c r="W28" i="104"/>
  <c r="W27" i="104"/>
  <c r="W26" i="104"/>
  <c r="W25" i="104"/>
  <c r="W24" i="104"/>
  <c r="W23" i="104"/>
  <c r="W22" i="104"/>
  <c r="W21" i="104"/>
  <c r="W20" i="104"/>
  <c r="W19" i="104"/>
  <c r="W18" i="104"/>
  <c r="W17" i="104"/>
  <c r="W16" i="104"/>
  <c r="W15" i="104"/>
  <c r="W14" i="104"/>
  <c r="W13" i="104"/>
  <c r="W12" i="104"/>
  <c r="W11" i="104"/>
  <c r="W10" i="104"/>
  <c r="W9" i="104"/>
  <c r="W8" i="104"/>
  <c r="W7" i="104"/>
  <c r="W6" i="104"/>
  <c r="W5" i="104"/>
  <c r="V40" i="104"/>
  <c r="V39" i="104"/>
  <c r="V38" i="104"/>
  <c r="V37" i="104"/>
  <c r="V36" i="104"/>
  <c r="V35" i="104"/>
  <c r="V34" i="104"/>
  <c r="V33" i="104"/>
  <c r="V32" i="104"/>
  <c r="V31" i="104"/>
  <c r="V30" i="104"/>
  <c r="V29" i="104"/>
  <c r="V28" i="104"/>
  <c r="V27" i="104"/>
  <c r="V26" i="104"/>
  <c r="V25" i="104"/>
  <c r="V24" i="104"/>
  <c r="V23" i="104"/>
  <c r="V22" i="104"/>
  <c r="V21" i="104"/>
  <c r="V20" i="104"/>
  <c r="V19" i="104"/>
  <c r="V18" i="104"/>
  <c r="V17" i="104"/>
  <c r="V16" i="104"/>
  <c r="V15" i="104"/>
  <c r="V14" i="104"/>
  <c r="V13" i="104"/>
  <c r="V12" i="104"/>
  <c r="V11" i="104"/>
  <c r="V10" i="104"/>
  <c r="V9" i="104"/>
  <c r="V8" i="104"/>
  <c r="V7" i="104"/>
  <c r="V6" i="104"/>
  <c r="V5" i="104"/>
  <c r="U6" i="104"/>
  <c r="U7" i="104"/>
  <c r="U8" i="104"/>
  <c r="U9" i="104"/>
  <c r="U10" i="104"/>
  <c r="U11" i="104"/>
  <c r="U12" i="104"/>
  <c r="U13" i="104"/>
  <c r="U14" i="104"/>
  <c r="U15" i="104"/>
  <c r="U16" i="104"/>
  <c r="U17" i="104"/>
  <c r="U18" i="104"/>
  <c r="U19" i="104"/>
  <c r="U20" i="104"/>
  <c r="U21" i="104"/>
  <c r="U22" i="104"/>
  <c r="U23" i="104"/>
  <c r="U24" i="104"/>
  <c r="U25" i="104"/>
  <c r="U26" i="104"/>
  <c r="U27" i="104"/>
  <c r="U28" i="104"/>
  <c r="U29" i="104"/>
  <c r="U30" i="104"/>
  <c r="U31" i="104"/>
  <c r="U32" i="104"/>
  <c r="U33" i="104"/>
  <c r="U34" i="104"/>
  <c r="U35" i="104"/>
  <c r="U36" i="104"/>
  <c r="U37" i="104"/>
  <c r="U38" i="104"/>
  <c r="U39" i="104"/>
  <c r="U40" i="104"/>
  <c r="S40" i="104"/>
  <c r="S39" i="104"/>
  <c r="S38" i="104"/>
  <c r="S37" i="104"/>
  <c r="S36" i="104"/>
  <c r="S35" i="104"/>
  <c r="S34" i="104"/>
  <c r="S33" i="104"/>
  <c r="S32" i="104"/>
  <c r="S31" i="104"/>
  <c r="S30" i="104"/>
  <c r="S29" i="104"/>
  <c r="S28" i="104"/>
  <c r="S27" i="104"/>
  <c r="S26" i="104"/>
  <c r="S25" i="104"/>
  <c r="S24" i="104"/>
  <c r="S23" i="104"/>
  <c r="S22" i="104"/>
  <c r="S21" i="104"/>
  <c r="S20" i="104"/>
  <c r="S19" i="104"/>
  <c r="AM19" i="104" s="1"/>
  <c r="S18" i="104"/>
  <c r="S17" i="104"/>
  <c r="S16" i="104"/>
  <c r="AM16" i="104" s="1"/>
  <c r="S15" i="104"/>
  <c r="S14" i="104"/>
  <c r="S13" i="104"/>
  <c r="S12" i="104"/>
  <c r="S11" i="104"/>
  <c r="S10" i="104"/>
  <c r="S9" i="104"/>
  <c r="S8" i="104"/>
  <c r="S7" i="104"/>
  <c r="AM7" i="104" s="1"/>
  <c r="S6" i="104"/>
  <c r="S5" i="104"/>
  <c r="R6" i="104"/>
  <c r="R7" i="104"/>
  <c r="R8" i="104"/>
  <c r="R9" i="104"/>
  <c r="R10" i="104"/>
  <c r="R11" i="104"/>
  <c r="R12" i="104"/>
  <c r="R13" i="104"/>
  <c r="R14" i="104"/>
  <c r="R15" i="104"/>
  <c r="R16" i="104"/>
  <c r="R17" i="104"/>
  <c r="R18" i="104"/>
  <c r="R19" i="104"/>
  <c r="R20" i="104"/>
  <c r="R21" i="104"/>
  <c r="R22" i="104"/>
  <c r="R23" i="104"/>
  <c r="AL23" i="104" s="1"/>
  <c r="R24" i="104"/>
  <c r="AL24" i="104" s="1"/>
  <c r="R25" i="104"/>
  <c r="R26" i="104"/>
  <c r="R27" i="104"/>
  <c r="R28" i="104"/>
  <c r="R29" i="104"/>
  <c r="R30" i="104"/>
  <c r="R31" i="104"/>
  <c r="R32" i="104"/>
  <c r="R33" i="104"/>
  <c r="R34" i="104"/>
  <c r="R35" i="104"/>
  <c r="R36" i="104"/>
  <c r="R37" i="104"/>
  <c r="R38" i="104"/>
  <c r="R39" i="104"/>
  <c r="R40" i="104"/>
  <c r="R5" i="104"/>
  <c r="P40" i="104"/>
  <c r="P39" i="104"/>
  <c r="P38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P24" i="104"/>
  <c r="P23" i="104"/>
  <c r="P22" i="104"/>
  <c r="P21" i="104"/>
  <c r="P20" i="104"/>
  <c r="P19" i="104"/>
  <c r="P18" i="104"/>
  <c r="P17" i="104"/>
  <c r="P16" i="104"/>
  <c r="P15" i="104"/>
  <c r="P14" i="104"/>
  <c r="P13" i="104"/>
  <c r="P12" i="104"/>
  <c r="P11" i="104"/>
  <c r="P10" i="104"/>
  <c r="P9" i="104"/>
  <c r="P8" i="104"/>
  <c r="P7" i="104"/>
  <c r="P6" i="104"/>
  <c r="P5" i="104"/>
  <c r="O40" i="104"/>
  <c r="O39" i="104"/>
  <c r="O38" i="104"/>
  <c r="O37" i="104"/>
  <c r="O36" i="104"/>
  <c r="O35" i="104"/>
  <c r="O34" i="104"/>
  <c r="O33" i="104"/>
  <c r="O32" i="104"/>
  <c r="O31" i="104"/>
  <c r="O30" i="104"/>
  <c r="O29" i="104"/>
  <c r="O28" i="104"/>
  <c r="O27" i="104"/>
  <c r="O26" i="104"/>
  <c r="O25" i="104"/>
  <c r="O24" i="104"/>
  <c r="O23" i="104"/>
  <c r="O22" i="104"/>
  <c r="O21" i="104"/>
  <c r="O20" i="104"/>
  <c r="O19" i="104"/>
  <c r="O18" i="104"/>
  <c r="O17" i="104"/>
  <c r="O16" i="104"/>
  <c r="O15" i="104"/>
  <c r="O14" i="104"/>
  <c r="O13" i="104"/>
  <c r="O12" i="104"/>
  <c r="O11" i="104"/>
  <c r="O10" i="104"/>
  <c r="O9" i="104"/>
  <c r="O8" i="104"/>
  <c r="O7" i="104"/>
  <c r="O6" i="104"/>
  <c r="O5" i="104"/>
  <c r="N40" i="104"/>
  <c r="N39" i="104"/>
  <c r="N38" i="104"/>
  <c r="N37" i="104"/>
  <c r="N36" i="104"/>
  <c r="N35" i="104"/>
  <c r="N34" i="104"/>
  <c r="N33" i="104"/>
  <c r="N32" i="104"/>
  <c r="N31" i="104"/>
  <c r="N30" i="104"/>
  <c r="N29" i="104"/>
  <c r="N28" i="104"/>
  <c r="N27" i="104"/>
  <c r="N26" i="104"/>
  <c r="N25" i="104"/>
  <c r="N24" i="104"/>
  <c r="N23" i="104"/>
  <c r="N22" i="104"/>
  <c r="N21" i="104"/>
  <c r="N20" i="104"/>
  <c r="N19" i="104"/>
  <c r="N18" i="104"/>
  <c r="N17" i="104"/>
  <c r="N16" i="104"/>
  <c r="N15" i="104"/>
  <c r="N14" i="104"/>
  <c r="N13" i="104"/>
  <c r="N12" i="104"/>
  <c r="N11" i="104"/>
  <c r="N10" i="104"/>
  <c r="N9" i="104"/>
  <c r="N8" i="104"/>
  <c r="N7" i="104"/>
  <c r="N6" i="104"/>
  <c r="N5" i="104"/>
  <c r="M40" i="104"/>
  <c r="M39" i="104"/>
  <c r="M38" i="104"/>
  <c r="M37" i="104"/>
  <c r="M36" i="104"/>
  <c r="M35" i="104"/>
  <c r="M34" i="104"/>
  <c r="M33" i="104"/>
  <c r="M32" i="104"/>
  <c r="M31" i="104"/>
  <c r="M30" i="104"/>
  <c r="M29" i="104"/>
  <c r="M28" i="104"/>
  <c r="M27" i="104"/>
  <c r="M26" i="104"/>
  <c r="M25" i="104"/>
  <c r="M24" i="104"/>
  <c r="M23" i="104"/>
  <c r="M22" i="104"/>
  <c r="M21" i="104"/>
  <c r="M20" i="104"/>
  <c r="M19" i="104"/>
  <c r="M18" i="104"/>
  <c r="M17" i="104"/>
  <c r="M16" i="104"/>
  <c r="M15" i="104"/>
  <c r="M14" i="104"/>
  <c r="M13" i="104"/>
  <c r="M12" i="104"/>
  <c r="M11" i="104"/>
  <c r="M10" i="104"/>
  <c r="M9" i="104"/>
  <c r="M8" i="104"/>
  <c r="M7" i="104"/>
  <c r="M6" i="104"/>
  <c r="M5" i="104"/>
  <c r="L40" i="104"/>
  <c r="L39" i="104"/>
  <c r="L38" i="104"/>
  <c r="L37" i="104"/>
  <c r="L36" i="104"/>
  <c r="L35" i="104"/>
  <c r="L34" i="104"/>
  <c r="L33" i="104"/>
  <c r="L32" i="104"/>
  <c r="L31" i="104"/>
  <c r="L30" i="104"/>
  <c r="L29" i="104"/>
  <c r="L28" i="104"/>
  <c r="L27" i="104"/>
  <c r="L26" i="104"/>
  <c r="L25" i="104"/>
  <c r="L24" i="104"/>
  <c r="L23" i="104"/>
  <c r="L22" i="104"/>
  <c r="L21" i="104"/>
  <c r="L20" i="104"/>
  <c r="L19" i="104"/>
  <c r="L18" i="104"/>
  <c r="L17" i="104"/>
  <c r="L16" i="104"/>
  <c r="L15" i="104"/>
  <c r="L14" i="104"/>
  <c r="L13" i="104"/>
  <c r="L12" i="104"/>
  <c r="L11" i="104"/>
  <c r="L10" i="104"/>
  <c r="L9" i="104"/>
  <c r="L8" i="104"/>
  <c r="L7" i="104"/>
  <c r="L6" i="104"/>
  <c r="L5" i="104"/>
  <c r="K40" i="104"/>
  <c r="K39" i="104"/>
  <c r="K38" i="104"/>
  <c r="K37" i="104"/>
  <c r="K36" i="104"/>
  <c r="K35" i="104"/>
  <c r="K34" i="104"/>
  <c r="K33" i="104"/>
  <c r="K32" i="104"/>
  <c r="K31" i="104"/>
  <c r="K30" i="104"/>
  <c r="K29" i="104"/>
  <c r="K28" i="104"/>
  <c r="K27" i="104"/>
  <c r="K26" i="104"/>
  <c r="K25" i="104"/>
  <c r="K24" i="104"/>
  <c r="K23" i="104"/>
  <c r="K22" i="104"/>
  <c r="K21" i="104"/>
  <c r="K20" i="104"/>
  <c r="K19" i="104"/>
  <c r="K18" i="104"/>
  <c r="K17" i="104"/>
  <c r="K16" i="104"/>
  <c r="K15" i="104"/>
  <c r="K14" i="104"/>
  <c r="K13" i="104"/>
  <c r="K12" i="104"/>
  <c r="K11" i="104"/>
  <c r="K10" i="104"/>
  <c r="K9" i="104"/>
  <c r="K8" i="104"/>
  <c r="K7" i="104"/>
  <c r="K6" i="104"/>
  <c r="K5" i="104"/>
  <c r="J40" i="104"/>
  <c r="J39" i="104"/>
  <c r="J38" i="104"/>
  <c r="J37" i="104"/>
  <c r="J36" i="104"/>
  <c r="J35" i="104"/>
  <c r="J34" i="104"/>
  <c r="J33" i="104"/>
  <c r="J32" i="104"/>
  <c r="J31" i="104"/>
  <c r="J30" i="104"/>
  <c r="J29" i="104"/>
  <c r="J28" i="104"/>
  <c r="J27" i="104"/>
  <c r="J26" i="104"/>
  <c r="J25" i="104"/>
  <c r="J24" i="104"/>
  <c r="J23" i="104"/>
  <c r="J22" i="104"/>
  <c r="J21" i="104"/>
  <c r="J20" i="104"/>
  <c r="J19" i="104"/>
  <c r="J18" i="104"/>
  <c r="J17" i="104"/>
  <c r="J16" i="104"/>
  <c r="J15" i="104"/>
  <c r="J14" i="104"/>
  <c r="J13" i="104"/>
  <c r="J12" i="104"/>
  <c r="J11" i="104"/>
  <c r="J10" i="104"/>
  <c r="J9" i="104"/>
  <c r="J8" i="104"/>
  <c r="J7" i="104"/>
  <c r="J6" i="104"/>
  <c r="J5" i="104"/>
  <c r="I40" i="104"/>
  <c r="I39" i="104"/>
  <c r="I38" i="104"/>
  <c r="I37" i="104"/>
  <c r="I36" i="104"/>
  <c r="I35" i="104"/>
  <c r="I34" i="104"/>
  <c r="I33" i="104"/>
  <c r="I32" i="104"/>
  <c r="I31" i="104"/>
  <c r="I30" i="104"/>
  <c r="I29" i="104"/>
  <c r="I28" i="104"/>
  <c r="I27" i="104"/>
  <c r="I26" i="104"/>
  <c r="I25" i="104"/>
  <c r="I24" i="104"/>
  <c r="I23" i="104"/>
  <c r="I22" i="104"/>
  <c r="I21" i="104"/>
  <c r="I20" i="104"/>
  <c r="I19" i="104"/>
  <c r="I18" i="104"/>
  <c r="I17" i="104"/>
  <c r="I16" i="104"/>
  <c r="I15" i="104"/>
  <c r="I14" i="104"/>
  <c r="I13" i="104"/>
  <c r="I12" i="104"/>
  <c r="I11" i="104"/>
  <c r="I10" i="104"/>
  <c r="I9" i="104"/>
  <c r="I8" i="104"/>
  <c r="I7" i="104"/>
  <c r="I6" i="104"/>
  <c r="I5" i="104"/>
  <c r="H6" i="104"/>
  <c r="H7" i="104"/>
  <c r="H8" i="104"/>
  <c r="H9" i="104"/>
  <c r="H10" i="104"/>
  <c r="H11" i="104"/>
  <c r="H12" i="104"/>
  <c r="H13" i="104"/>
  <c r="H14" i="104"/>
  <c r="H15" i="104"/>
  <c r="H16" i="104"/>
  <c r="H17" i="104"/>
  <c r="H18" i="104"/>
  <c r="H19" i="104"/>
  <c r="H20" i="104"/>
  <c r="H21" i="104"/>
  <c r="H22" i="104"/>
  <c r="H23" i="104"/>
  <c r="H24" i="104"/>
  <c r="H25" i="104"/>
  <c r="H26" i="104"/>
  <c r="H27" i="104"/>
  <c r="H28" i="104"/>
  <c r="H29" i="104"/>
  <c r="H30" i="104"/>
  <c r="H31" i="104"/>
  <c r="H32" i="104"/>
  <c r="H33" i="104"/>
  <c r="H34" i="104"/>
  <c r="H35" i="104"/>
  <c r="H36" i="104"/>
  <c r="H37" i="104"/>
  <c r="H38" i="104"/>
  <c r="H39" i="104"/>
  <c r="H40" i="104"/>
  <c r="H5" i="104"/>
  <c r="F40" i="104"/>
  <c r="F39" i="104"/>
  <c r="F38" i="104"/>
  <c r="F37" i="104"/>
  <c r="F36" i="104"/>
  <c r="F35" i="104"/>
  <c r="F34" i="104"/>
  <c r="F33" i="104"/>
  <c r="F32" i="104"/>
  <c r="F31" i="104"/>
  <c r="F30" i="104"/>
  <c r="F29" i="104"/>
  <c r="F28" i="104"/>
  <c r="F27" i="104"/>
  <c r="F26" i="104"/>
  <c r="F25" i="104"/>
  <c r="F24" i="104"/>
  <c r="F23" i="104"/>
  <c r="F22" i="104"/>
  <c r="F21" i="104"/>
  <c r="F20" i="104"/>
  <c r="F19" i="104"/>
  <c r="F18" i="104"/>
  <c r="F17" i="104"/>
  <c r="F16" i="104"/>
  <c r="F15" i="104"/>
  <c r="F14" i="104"/>
  <c r="F13" i="104"/>
  <c r="F12" i="104"/>
  <c r="F11" i="104"/>
  <c r="F10" i="104"/>
  <c r="F9" i="104"/>
  <c r="F8" i="104"/>
  <c r="F7" i="104"/>
  <c r="F6" i="104"/>
  <c r="F5" i="104"/>
  <c r="E40" i="104"/>
  <c r="E39" i="104"/>
  <c r="E38" i="104"/>
  <c r="E37" i="104"/>
  <c r="E36" i="104"/>
  <c r="E35" i="104"/>
  <c r="E34" i="104"/>
  <c r="E33" i="104"/>
  <c r="E32" i="104"/>
  <c r="E31" i="104"/>
  <c r="E30" i="104"/>
  <c r="E29" i="104"/>
  <c r="E28" i="104"/>
  <c r="E27" i="104"/>
  <c r="E26" i="104"/>
  <c r="E25" i="104"/>
  <c r="E24" i="104"/>
  <c r="E23" i="104"/>
  <c r="E22" i="104"/>
  <c r="E21" i="104"/>
  <c r="E20" i="104"/>
  <c r="E19" i="104"/>
  <c r="E18" i="104"/>
  <c r="E17" i="104"/>
  <c r="E16" i="104"/>
  <c r="E15" i="104"/>
  <c r="E14" i="104"/>
  <c r="E13" i="104"/>
  <c r="E12" i="104"/>
  <c r="E11" i="104"/>
  <c r="E10" i="104"/>
  <c r="E9" i="104"/>
  <c r="E8" i="104"/>
  <c r="E7" i="104"/>
  <c r="E6" i="104"/>
  <c r="E5" i="104"/>
  <c r="D40" i="104"/>
  <c r="D39" i="104"/>
  <c r="D38" i="104"/>
  <c r="D37" i="104"/>
  <c r="D36" i="104"/>
  <c r="D35" i="104"/>
  <c r="D34" i="104"/>
  <c r="D33" i="104"/>
  <c r="D32" i="104"/>
  <c r="D31" i="104"/>
  <c r="D30" i="104"/>
  <c r="D29" i="104"/>
  <c r="D28" i="104"/>
  <c r="D27" i="104"/>
  <c r="D26" i="104"/>
  <c r="D25" i="104"/>
  <c r="D24" i="104"/>
  <c r="D23" i="104"/>
  <c r="D22" i="104"/>
  <c r="D21" i="104"/>
  <c r="D20" i="104"/>
  <c r="D19" i="104"/>
  <c r="D18" i="104"/>
  <c r="D17" i="104"/>
  <c r="D16" i="104"/>
  <c r="D15" i="104"/>
  <c r="D14" i="104"/>
  <c r="D13" i="104"/>
  <c r="D12" i="104"/>
  <c r="D11" i="104"/>
  <c r="D10" i="104"/>
  <c r="D9" i="104"/>
  <c r="D8" i="104"/>
  <c r="D7" i="104"/>
  <c r="D6" i="104"/>
  <c r="D5" i="104"/>
  <c r="C6" i="104"/>
  <c r="C7" i="104"/>
  <c r="C8" i="104"/>
  <c r="C9" i="104"/>
  <c r="C10" i="104"/>
  <c r="C11" i="104"/>
  <c r="C12" i="104"/>
  <c r="C13" i="104"/>
  <c r="C14" i="104"/>
  <c r="C15" i="104"/>
  <c r="C16" i="104"/>
  <c r="C17" i="104"/>
  <c r="C18" i="104"/>
  <c r="C19" i="104"/>
  <c r="C20" i="104"/>
  <c r="C21" i="104"/>
  <c r="C22" i="104"/>
  <c r="C23" i="104"/>
  <c r="C24" i="104"/>
  <c r="C25" i="104"/>
  <c r="C26" i="104"/>
  <c r="C27" i="104"/>
  <c r="C28" i="104"/>
  <c r="C29" i="104"/>
  <c r="C30" i="104"/>
  <c r="C31" i="104"/>
  <c r="C32" i="104"/>
  <c r="C33" i="104"/>
  <c r="C34" i="104"/>
  <c r="C35" i="104"/>
  <c r="C36" i="104"/>
  <c r="C37" i="104"/>
  <c r="C38" i="104"/>
  <c r="C39" i="104"/>
  <c r="C40" i="104"/>
  <c r="AK40" i="103"/>
  <c r="AK39" i="103"/>
  <c r="AK38" i="103"/>
  <c r="AK37" i="103"/>
  <c r="AK36" i="103"/>
  <c r="AK35" i="103"/>
  <c r="AK34" i="103"/>
  <c r="AK33" i="103"/>
  <c r="AK32" i="103"/>
  <c r="AK31" i="103"/>
  <c r="AK30" i="103"/>
  <c r="AK29" i="103"/>
  <c r="AK28" i="103"/>
  <c r="AK27" i="103"/>
  <c r="AK26" i="103"/>
  <c r="AK25" i="103"/>
  <c r="AK24" i="103"/>
  <c r="AK23" i="103"/>
  <c r="AK22" i="103"/>
  <c r="AK21" i="103"/>
  <c r="AK20" i="103"/>
  <c r="AK19" i="103"/>
  <c r="AK18" i="103"/>
  <c r="AK17" i="103"/>
  <c r="AK16" i="103"/>
  <c r="AK15" i="103"/>
  <c r="AK14" i="103"/>
  <c r="AK13" i="103"/>
  <c r="AK12" i="103"/>
  <c r="AK11" i="103"/>
  <c r="AK10" i="103"/>
  <c r="AK9" i="103"/>
  <c r="AK8" i="103"/>
  <c r="AK7" i="103"/>
  <c r="AM7" i="103" s="1"/>
  <c r="AK6" i="103"/>
  <c r="AK5" i="103"/>
  <c r="AJ6" i="103"/>
  <c r="AJ7" i="103"/>
  <c r="AJ8" i="103"/>
  <c r="AJ9" i="103"/>
  <c r="AJ10" i="103"/>
  <c r="AJ11" i="103"/>
  <c r="AJ12" i="103"/>
  <c r="AJ13" i="103"/>
  <c r="AJ14" i="103"/>
  <c r="AJ15" i="103"/>
  <c r="AJ16" i="103"/>
  <c r="AJ17" i="103"/>
  <c r="AJ18" i="103"/>
  <c r="AJ19" i="103"/>
  <c r="AJ20" i="103"/>
  <c r="AJ21" i="103"/>
  <c r="AJ22" i="103"/>
  <c r="AJ23" i="103"/>
  <c r="AJ24" i="103"/>
  <c r="AJ25" i="103"/>
  <c r="AJ26" i="103"/>
  <c r="AJ27" i="103"/>
  <c r="AJ28" i="103"/>
  <c r="AJ29" i="103"/>
  <c r="AJ30" i="103"/>
  <c r="AJ31" i="103"/>
  <c r="AJ32" i="103"/>
  <c r="AJ33" i="103"/>
  <c r="AJ34" i="103"/>
  <c r="AJ35" i="103"/>
  <c r="AJ36" i="103"/>
  <c r="AJ37" i="103"/>
  <c r="AJ38" i="103"/>
  <c r="AJ39" i="103"/>
  <c r="AJ40" i="103"/>
  <c r="AJ5" i="103"/>
  <c r="X40" i="103"/>
  <c r="X39" i="103"/>
  <c r="X38" i="103"/>
  <c r="X37" i="103"/>
  <c r="X36" i="103"/>
  <c r="X35" i="103"/>
  <c r="X34" i="103"/>
  <c r="X33" i="103"/>
  <c r="X32" i="103"/>
  <c r="X31" i="103"/>
  <c r="X30" i="103"/>
  <c r="X29" i="103"/>
  <c r="X28" i="103"/>
  <c r="X27" i="103"/>
  <c r="X26" i="103"/>
  <c r="X25" i="103"/>
  <c r="X24" i="103"/>
  <c r="X23" i="103"/>
  <c r="X22" i="103"/>
  <c r="X21" i="103"/>
  <c r="X20" i="103"/>
  <c r="X19" i="103"/>
  <c r="X18" i="103"/>
  <c r="X17" i="103"/>
  <c r="X16" i="103"/>
  <c r="X15" i="103"/>
  <c r="X14" i="103"/>
  <c r="X13" i="103"/>
  <c r="X12" i="103"/>
  <c r="X11" i="103"/>
  <c r="X10" i="103"/>
  <c r="X9" i="103"/>
  <c r="X8" i="103"/>
  <c r="X7" i="103"/>
  <c r="X6" i="103"/>
  <c r="X5" i="103"/>
  <c r="W40" i="103"/>
  <c r="W39" i="103"/>
  <c r="W38" i="103"/>
  <c r="W37" i="103"/>
  <c r="W36" i="103"/>
  <c r="W35" i="103"/>
  <c r="W34" i="103"/>
  <c r="W33" i="103"/>
  <c r="W32" i="103"/>
  <c r="W31" i="103"/>
  <c r="W30" i="103"/>
  <c r="W29" i="103"/>
  <c r="W28" i="103"/>
  <c r="W27" i="103"/>
  <c r="W26" i="103"/>
  <c r="W25" i="103"/>
  <c r="W24" i="103"/>
  <c r="W23" i="103"/>
  <c r="W22" i="103"/>
  <c r="W21" i="103"/>
  <c r="W20" i="103"/>
  <c r="W19" i="103"/>
  <c r="W18" i="103"/>
  <c r="W17" i="103"/>
  <c r="W16" i="103"/>
  <c r="W15" i="103"/>
  <c r="W14" i="103"/>
  <c r="W13" i="103"/>
  <c r="W12" i="103"/>
  <c r="W11" i="103"/>
  <c r="W10" i="103"/>
  <c r="W9" i="103"/>
  <c r="W8" i="103"/>
  <c r="W7" i="103"/>
  <c r="W6" i="103"/>
  <c r="W5" i="103"/>
  <c r="V40" i="103"/>
  <c r="V39" i="103"/>
  <c r="V38" i="103"/>
  <c r="V37" i="103"/>
  <c r="V36" i="103"/>
  <c r="V35" i="103"/>
  <c r="V34" i="103"/>
  <c r="V33" i="103"/>
  <c r="V32" i="103"/>
  <c r="V31" i="103"/>
  <c r="V30" i="103"/>
  <c r="V29" i="103"/>
  <c r="V28" i="103"/>
  <c r="V27" i="103"/>
  <c r="V26" i="103"/>
  <c r="V25" i="103"/>
  <c r="V24" i="103"/>
  <c r="V23" i="103"/>
  <c r="V22" i="103"/>
  <c r="V21" i="103"/>
  <c r="V20" i="103"/>
  <c r="V19" i="103"/>
  <c r="V18" i="103"/>
  <c r="V17" i="103"/>
  <c r="V16" i="103"/>
  <c r="V15" i="103"/>
  <c r="V14" i="103"/>
  <c r="V13" i="103"/>
  <c r="V12" i="103"/>
  <c r="V11" i="103"/>
  <c r="V10" i="103"/>
  <c r="V9" i="103"/>
  <c r="V8" i="103"/>
  <c r="V7" i="103"/>
  <c r="V6" i="103"/>
  <c r="V5" i="103"/>
  <c r="U6" i="103"/>
  <c r="U7" i="103"/>
  <c r="U8" i="103"/>
  <c r="U9" i="103"/>
  <c r="U10" i="103"/>
  <c r="U11" i="103"/>
  <c r="U12" i="103"/>
  <c r="U13" i="103"/>
  <c r="U14" i="103"/>
  <c r="U15" i="103"/>
  <c r="U16" i="103"/>
  <c r="U17" i="103"/>
  <c r="U18" i="103"/>
  <c r="U19" i="103"/>
  <c r="U20" i="103"/>
  <c r="U21" i="103"/>
  <c r="U22" i="103"/>
  <c r="U23" i="103"/>
  <c r="U24" i="103"/>
  <c r="U25" i="103"/>
  <c r="U26" i="103"/>
  <c r="U27" i="103"/>
  <c r="U28" i="103"/>
  <c r="U29" i="103"/>
  <c r="U30" i="103"/>
  <c r="U31" i="103"/>
  <c r="U32" i="103"/>
  <c r="U33" i="103"/>
  <c r="U34" i="103"/>
  <c r="U35" i="103"/>
  <c r="U36" i="103"/>
  <c r="U37" i="103"/>
  <c r="U38" i="103"/>
  <c r="U39" i="103"/>
  <c r="U40" i="103"/>
  <c r="S40" i="103"/>
  <c r="S39" i="103"/>
  <c r="S38" i="103"/>
  <c r="S37" i="103"/>
  <c r="S36" i="103"/>
  <c r="S35" i="103"/>
  <c r="S34" i="103"/>
  <c r="S33" i="103"/>
  <c r="S32" i="103"/>
  <c r="S31" i="103"/>
  <c r="S30" i="103"/>
  <c r="S29" i="103"/>
  <c r="S28" i="103"/>
  <c r="S27" i="103"/>
  <c r="S26" i="103"/>
  <c r="S25" i="103"/>
  <c r="S24" i="103"/>
  <c r="S23" i="103"/>
  <c r="S22" i="103"/>
  <c r="S21" i="103"/>
  <c r="AM21" i="103" s="1"/>
  <c r="S20" i="103"/>
  <c r="AM20" i="103" s="1"/>
  <c r="S19" i="103"/>
  <c r="S18" i="103"/>
  <c r="S17" i="103"/>
  <c r="S16" i="103"/>
  <c r="S15" i="103"/>
  <c r="S14" i="103"/>
  <c r="S13" i="103"/>
  <c r="S12" i="103"/>
  <c r="S11" i="103"/>
  <c r="S10" i="103"/>
  <c r="S9" i="103"/>
  <c r="S8" i="103"/>
  <c r="S7" i="103"/>
  <c r="S6" i="103"/>
  <c r="S5" i="103"/>
  <c r="R6" i="103"/>
  <c r="R7" i="103"/>
  <c r="R8" i="103"/>
  <c r="R9" i="103"/>
  <c r="R10" i="103"/>
  <c r="R11" i="103"/>
  <c r="R12" i="103"/>
  <c r="R13" i="103"/>
  <c r="R14" i="103"/>
  <c r="R15" i="103"/>
  <c r="R16" i="103"/>
  <c r="R17" i="103"/>
  <c r="AL17" i="103" s="1"/>
  <c r="R18" i="103"/>
  <c r="R19" i="103"/>
  <c r="R20" i="103"/>
  <c r="R21" i="103"/>
  <c r="R22" i="103"/>
  <c r="R23" i="103"/>
  <c r="R24" i="103"/>
  <c r="R25" i="103"/>
  <c r="R26" i="103"/>
  <c r="R27" i="103"/>
  <c r="R28" i="103"/>
  <c r="R29" i="103"/>
  <c r="R30" i="103"/>
  <c r="R31" i="103"/>
  <c r="R32" i="103"/>
  <c r="R33" i="103"/>
  <c r="R34" i="103"/>
  <c r="R35" i="103"/>
  <c r="R36" i="103"/>
  <c r="R37" i="103"/>
  <c r="R38" i="103"/>
  <c r="AL38" i="103" s="1"/>
  <c r="R39" i="103"/>
  <c r="AL39" i="103" s="1"/>
  <c r="R40" i="103"/>
  <c r="R5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P24" i="103"/>
  <c r="P23" i="103"/>
  <c r="P22" i="103"/>
  <c r="P21" i="103"/>
  <c r="P20" i="103"/>
  <c r="P19" i="103"/>
  <c r="P18" i="103"/>
  <c r="P17" i="103"/>
  <c r="P16" i="103"/>
  <c r="P15" i="103"/>
  <c r="P14" i="103"/>
  <c r="P13" i="103"/>
  <c r="P12" i="103"/>
  <c r="P11" i="103"/>
  <c r="P10" i="103"/>
  <c r="P9" i="103"/>
  <c r="P8" i="103"/>
  <c r="P7" i="103"/>
  <c r="P6" i="103"/>
  <c r="P5" i="103"/>
  <c r="O40" i="103"/>
  <c r="O39" i="103"/>
  <c r="O38" i="103"/>
  <c r="O37" i="103"/>
  <c r="O36" i="103"/>
  <c r="O35" i="103"/>
  <c r="O34" i="103"/>
  <c r="O33" i="103"/>
  <c r="O32" i="103"/>
  <c r="O31" i="103"/>
  <c r="O30" i="103"/>
  <c r="O29" i="103"/>
  <c r="O28" i="103"/>
  <c r="O27" i="103"/>
  <c r="O26" i="103"/>
  <c r="O25" i="103"/>
  <c r="O24" i="103"/>
  <c r="O23" i="103"/>
  <c r="O22" i="103"/>
  <c r="O21" i="103"/>
  <c r="O20" i="103"/>
  <c r="O19" i="103"/>
  <c r="O18" i="103"/>
  <c r="O17" i="103"/>
  <c r="O16" i="103"/>
  <c r="O15" i="103"/>
  <c r="O14" i="103"/>
  <c r="O13" i="103"/>
  <c r="O12" i="103"/>
  <c r="O11" i="103"/>
  <c r="O10" i="103"/>
  <c r="O9" i="103"/>
  <c r="O8" i="103"/>
  <c r="O7" i="103"/>
  <c r="O6" i="103"/>
  <c r="O5" i="103"/>
  <c r="N40" i="103"/>
  <c r="N39" i="103"/>
  <c r="N38" i="103"/>
  <c r="N37" i="103"/>
  <c r="N36" i="103"/>
  <c r="N35" i="103"/>
  <c r="N34" i="103"/>
  <c r="N33" i="103"/>
  <c r="N32" i="103"/>
  <c r="N31" i="103"/>
  <c r="N30" i="103"/>
  <c r="N29" i="103"/>
  <c r="N28" i="103"/>
  <c r="N27" i="103"/>
  <c r="N26" i="103"/>
  <c r="N25" i="103"/>
  <c r="N24" i="103"/>
  <c r="N23" i="103"/>
  <c r="N22" i="103"/>
  <c r="N21" i="103"/>
  <c r="N20" i="103"/>
  <c r="N19" i="103"/>
  <c r="N18" i="103"/>
  <c r="N17" i="103"/>
  <c r="N16" i="103"/>
  <c r="N15" i="103"/>
  <c r="N14" i="103"/>
  <c r="N13" i="103"/>
  <c r="N12" i="103"/>
  <c r="N11" i="103"/>
  <c r="N10" i="103"/>
  <c r="N9" i="103"/>
  <c r="N8" i="103"/>
  <c r="N7" i="103"/>
  <c r="N6" i="103"/>
  <c r="N5" i="103"/>
  <c r="M40" i="103"/>
  <c r="M39" i="103"/>
  <c r="M38" i="103"/>
  <c r="M37" i="103"/>
  <c r="M36" i="103"/>
  <c r="M35" i="103"/>
  <c r="M34" i="103"/>
  <c r="M33" i="103"/>
  <c r="M32" i="103"/>
  <c r="M31" i="103"/>
  <c r="M30" i="103"/>
  <c r="M29" i="103"/>
  <c r="M28" i="103"/>
  <c r="M27" i="103"/>
  <c r="M26" i="103"/>
  <c r="M25" i="103"/>
  <c r="M24" i="103"/>
  <c r="M23" i="103"/>
  <c r="M22" i="103"/>
  <c r="M21" i="103"/>
  <c r="M20" i="103"/>
  <c r="M19" i="103"/>
  <c r="M18" i="103"/>
  <c r="M17" i="103"/>
  <c r="M16" i="103"/>
  <c r="M15" i="103"/>
  <c r="M14" i="103"/>
  <c r="M13" i="103"/>
  <c r="M12" i="103"/>
  <c r="M11" i="103"/>
  <c r="M10" i="103"/>
  <c r="M9" i="103"/>
  <c r="M8" i="103"/>
  <c r="M7" i="103"/>
  <c r="M6" i="103"/>
  <c r="M5" i="103"/>
  <c r="L40" i="103"/>
  <c r="L39" i="103"/>
  <c r="L38" i="103"/>
  <c r="L37" i="103"/>
  <c r="L36" i="103"/>
  <c r="L35" i="103"/>
  <c r="L34" i="103"/>
  <c r="L33" i="103"/>
  <c r="L32" i="103"/>
  <c r="L31" i="103"/>
  <c r="L30" i="103"/>
  <c r="L29" i="103"/>
  <c r="L28" i="103"/>
  <c r="L27" i="103"/>
  <c r="L26" i="103"/>
  <c r="L25" i="103"/>
  <c r="L24" i="103"/>
  <c r="L23" i="103"/>
  <c r="L22" i="103"/>
  <c r="L21" i="103"/>
  <c r="L20" i="103"/>
  <c r="L19" i="103"/>
  <c r="L18" i="103"/>
  <c r="L17" i="103"/>
  <c r="L16" i="103"/>
  <c r="L15" i="103"/>
  <c r="L14" i="103"/>
  <c r="L13" i="103"/>
  <c r="L12" i="103"/>
  <c r="L11" i="103"/>
  <c r="L10" i="103"/>
  <c r="L9" i="103"/>
  <c r="L8" i="103"/>
  <c r="L7" i="103"/>
  <c r="L6" i="103"/>
  <c r="L5" i="103"/>
  <c r="K40" i="103"/>
  <c r="K39" i="103"/>
  <c r="K38" i="103"/>
  <c r="K37" i="103"/>
  <c r="K36" i="103"/>
  <c r="K35" i="103"/>
  <c r="K34" i="103"/>
  <c r="K33" i="103"/>
  <c r="K32" i="103"/>
  <c r="K31" i="103"/>
  <c r="K30" i="103"/>
  <c r="K29" i="103"/>
  <c r="K28" i="103"/>
  <c r="K27" i="103"/>
  <c r="K26" i="103"/>
  <c r="K25" i="103"/>
  <c r="K24" i="103"/>
  <c r="K23" i="103"/>
  <c r="K22" i="103"/>
  <c r="K21" i="103"/>
  <c r="K20" i="103"/>
  <c r="K19" i="103"/>
  <c r="K18" i="103"/>
  <c r="K17" i="103"/>
  <c r="K16" i="103"/>
  <c r="K15" i="103"/>
  <c r="K14" i="103"/>
  <c r="K13" i="103"/>
  <c r="K12" i="103"/>
  <c r="K11" i="103"/>
  <c r="K10" i="103"/>
  <c r="K9" i="103"/>
  <c r="K8" i="103"/>
  <c r="K7" i="103"/>
  <c r="K6" i="103"/>
  <c r="K5" i="103"/>
  <c r="J40" i="103"/>
  <c r="J39" i="103"/>
  <c r="J38" i="103"/>
  <c r="J37" i="103"/>
  <c r="J36" i="103"/>
  <c r="J35" i="103"/>
  <c r="J34" i="103"/>
  <c r="J33" i="103"/>
  <c r="J32" i="103"/>
  <c r="J31" i="103"/>
  <c r="J30" i="103"/>
  <c r="J29" i="103"/>
  <c r="J28" i="103"/>
  <c r="J27" i="103"/>
  <c r="J26" i="103"/>
  <c r="J25" i="103"/>
  <c r="J24" i="103"/>
  <c r="J23" i="103"/>
  <c r="J22" i="103"/>
  <c r="J21" i="103"/>
  <c r="J20" i="103"/>
  <c r="J19" i="103"/>
  <c r="J18" i="103"/>
  <c r="J17" i="103"/>
  <c r="J16" i="103"/>
  <c r="J15" i="103"/>
  <c r="J14" i="103"/>
  <c r="J13" i="103"/>
  <c r="J12" i="103"/>
  <c r="J11" i="103"/>
  <c r="J10" i="103"/>
  <c r="J9" i="103"/>
  <c r="J8" i="103"/>
  <c r="J7" i="103"/>
  <c r="J6" i="103"/>
  <c r="J5" i="103"/>
  <c r="I40" i="103"/>
  <c r="I39" i="103"/>
  <c r="I38" i="103"/>
  <c r="I37" i="103"/>
  <c r="I36" i="103"/>
  <c r="I35" i="103"/>
  <c r="I34" i="103"/>
  <c r="I33" i="103"/>
  <c r="I32" i="103"/>
  <c r="I31" i="103"/>
  <c r="I30" i="103"/>
  <c r="I29" i="103"/>
  <c r="I28" i="103"/>
  <c r="I27" i="103"/>
  <c r="I26" i="103"/>
  <c r="I25" i="103"/>
  <c r="I24" i="103"/>
  <c r="I23" i="103"/>
  <c r="I22" i="103"/>
  <c r="I21" i="103"/>
  <c r="I20" i="103"/>
  <c r="I19" i="103"/>
  <c r="I18" i="103"/>
  <c r="I17" i="103"/>
  <c r="I16" i="103"/>
  <c r="I15" i="103"/>
  <c r="I14" i="103"/>
  <c r="I13" i="103"/>
  <c r="I12" i="103"/>
  <c r="I11" i="103"/>
  <c r="I10" i="103"/>
  <c r="I9" i="103"/>
  <c r="I8" i="103"/>
  <c r="I7" i="103"/>
  <c r="I6" i="103"/>
  <c r="I5" i="103"/>
  <c r="H6" i="103"/>
  <c r="H7" i="103"/>
  <c r="H8" i="103"/>
  <c r="H9" i="103"/>
  <c r="H10" i="103"/>
  <c r="H11" i="103"/>
  <c r="H12" i="103"/>
  <c r="H13" i="103"/>
  <c r="H14" i="103"/>
  <c r="H15" i="103"/>
  <c r="H16" i="103"/>
  <c r="H17" i="103"/>
  <c r="H18" i="103"/>
  <c r="H19" i="103"/>
  <c r="H20" i="103"/>
  <c r="H21" i="103"/>
  <c r="H22" i="103"/>
  <c r="H23" i="103"/>
  <c r="H24" i="103"/>
  <c r="H25" i="103"/>
  <c r="H26" i="103"/>
  <c r="H27" i="103"/>
  <c r="H28" i="103"/>
  <c r="H29" i="103"/>
  <c r="H30" i="103"/>
  <c r="H31" i="103"/>
  <c r="H32" i="103"/>
  <c r="H33" i="103"/>
  <c r="H34" i="103"/>
  <c r="H35" i="103"/>
  <c r="H36" i="103"/>
  <c r="H37" i="103"/>
  <c r="H38" i="103"/>
  <c r="H39" i="103"/>
  <c r="H40" i="103"/>
  <c r="H5" i="103"/>
  <c r="F40" i="103"/>
  <c r="F39" i="103"/>
  <c r="F38" i="103"/>
  <c r="F37" i="103"/>
  <c r="F36" i="103"/>
  <c r="F35" i="103"/>
  <c r="F34" i="103"/>
  <c r="F33" i="103"/>
  <c r="F32" i="103"/>
  <c r="F31" i="103"/>
  <c r="F30" i="103"/>
  <c r="F29" i="103"/>
  <c r="F28" i="103"/>
  <c r="F27" i="103"/>
  <c r="F26" i="103"/>
  <c r="F25" i="103"/>
  <c r="F24" i="103"/>
  <c r="F23" i="103"/>
  <c r="F22" i="103"/>
  <c r="F21" i="103"/>
  <c r="F20" i="103"/>
  <c r="F19" i="103"/>
  <c r="F18" i="103"/>
  <c r="F17" i="103"/>
  <c r="F16" i="103"/>
  <c r="F15" i="103"/>
  <c r="F14" i="103"/>
  <c r="F13" i="103"/>
  <c r="F12" i="103"/>
  <c r="F11" i="103"/>
  <c r="F10" i="103"/>
  <c r="F9" i="103"/>
  <c r="F8" i="103"/>
  <c r="F7" i="103"/>
  <c r="F6" i="103"/>
  <c r="F5" i="103"/>
  <c r="E40" i="103"/>
  <c r="E39" i="103"/>
  <c r="E38" i="103"/>
  <c r="E37" i="103"/>
  <c r="E36" i="103"/>
  <c r="E35" i="103"/>
  <c r="E34" i="103"/>
  <c r="E33" i="103"/>
  <c r="E32" i="103"/>
  <c r="E31" i="103"/>
  <c r="E30" i="103"/>
  <c r="E29" i="103"/>
  <c r="E28" i="103"/>
  <c r="E27" i="103"/>
  <c r="E26" i="103"/>
  <c r="E25" i="103"/>
  <c r="E24" i="103"/>
  <c r="E23" i="103"/>
  <c r="E22" i="103"/>
  <c r="E21" i="103"/>
  <c r="E20" i="103"/>
  <c r="E19" i="103"/>
  <c r="E18" i="103"/>
  <c r="E17" i="103"/>
  <c r="E16" i="103"/>
  <c r="E15" i="103"/>
  <c r="E14" i="103"/>
  <c r="E13" i="103"/>
  <c r="E12" i="103"/>
  <c r="E11" i="103"/>
  <c r="E10" i="103"/>
  <c r="E9" i="103"/>
  <c r="E8" i="103"/>
  <c r="E7" i="103"/>
  <c r="E6" i="103"/>
  <c r="E5" i="103"/>
  <c r="D40" i="103"/>
  <c r="D39" i="103"/>
  <c r="D38" i="103"/>
  <c r="D37" i="103"/>
  <c r="D36" i="103"/>
  <c r="D35" i="103"/>
  <c r="D34" i="103"/>
  <c r="D33" i="103"/>
  <c r="D32" i="103"/>
  <c r="D31" i="103"/>
  <c r="D30" i="103"/>
  <c r="D29" i="103"/>
  <c r="D28" i="103"/>
  <c r="D27" i="103"/>
  <c r="D26" i="103"/>
  <c r="D25" i="103"/>
  <c r="D24" i="103"/>
  <c r="D23" i="103"/>
  <c r="D22" i="103"/>
  <c r="D21" i="103"/>
  <c r="D20" i="103"/>
  <c r="D19" i="103"/>
  <c r="D18" i="103"/>
  <c r="D17" i="103"/>
  <c r="D16" i="103"/>
  <c r="D15" i="103"/>
  <c r="D14" i="103"/>
  <c r="D13" i="103"/>
  <c r="D12" i="103"/>
  <c r="D11" i="103"/>
  <c r="D10" i="103"/>
  <c r="D9" i="103"/>
  <c r="D8" i="103"/>
  <c r="D7" i="103"/>
  <c r="D6" i="103"/>
  <c r="D5" i="103"/>
  <c r="C6" i="103"/>
  <c r="C7" i="103"/>
  <c r="C8" i="103"/>
  <c r="C9" i="103"/>
  <c r="C10" i="103"/>
  <c r="C11" i="103"/>
  <c r="C12" i="103"/>
  <c r="C13" i="103"/>
  <c r="C14" i="103"/>
  <c r="C15" i="103"/>
  <c r="C16" i="103"/>
  <c r="C17" i="103"/>
  <c r="C18" i="103"/>
  <c r="C19" i="103"/>
  <c r="C20" i="103"/>
  <c r="C21" i="103"/>
  <c r="C22" i="103"/>
  <c r="C23" i="103"/>
  <c r="C24" i="103"/>
  <c r="C25" i="103"/>
  <c r="C26" i="103"/>
  <c r="C27" i="103"/>
  <c r="C28" i="103"/>
  <c r="C29" i="103"/>
  <c r="C30" i="103"/>
  <c r="C31" i="103"/>
  <c r="C32" i="103"/>
  <c r="C33" i="103"/>
  <c r="C34" i="103"/>
  <c r="C35" i="103"/>
  <c r="C36" i="103"/>
  <c r="C37" i="103"/>
  <c r="C38" i="103"/>
  <c r="C39" i="103"/>
  <c r="C40" i="103"/>
  <c r="AK40" i="102"/>
  <c r="AK39" i="102"/>
  <c r="AK38" i="102"/>
  <c r="AK37" i="102"/>
  <c r="AK36" i="102"/>
  <c r="AK35" i="102"/>
  <c r="AK34" i="102"/>
  <c r="AK33" i="102"/>
  <c r="AK32" i="102"/>
  <c r="AK31" i="102"/>
  <c r="AK30" i="102"/>
  <c r="AK29" i="102"/>
  <c r="AK28" i="102"/>
  <c r="AK27" i="102"/>
  <c r="AK26" i="102"/>
  <c r="AK25" i="102"/>
  <c r="AK24" i="102"/>
  <c r="AK23" i="102"/>
  <c r="AK22" i="102"/>
  <c r="AK21" i="102"/>
  <c r="AK20" i="102"/>
  <c r="AK19" i="102"/>
  <c r="AK18" i="102"/>
  <c r="AK17" i="102"/>
  <c r="AK16" i="102"/>
  <c r="AK15" i="102"/>
  <c r="AK14" i="102"/>
  <c r="AK13" i="102"/>
  <c r="AK12" i="102"/>
  <c r="AK11" i="102"/>
  <c r="AK10" i="102"/>
  <c r="AM10" i="102" s="1"/>
  <c r="AK9" i="102"/>
  <c r="AK8" i="102"/>
  <c r="AK7" i="102"/>
  <c r="AK6" i="102"/>
  <c r="AJ6" i="102"/>
  <c r="AJ7" i="102"/>
  <c r="AJ8" i="102"/>
  <c r="AJ9" i="102"/>
  <c r="AJ10" i="102"/>
  <c r="AJ11" i="102"/>
  <c r="AJ12" i="102"/>
  <c r="AJ13" i="102"/>
  <c r="AJ14" i="102"/>
  <c r="AJ15" i="102"/>
  <c r="AJ16" i="102"/>
  <c r="AJ17" i="102"/>
  <c r="AJ18" i="102"/>
  <c r="AJ19" i="102"/>
  <c r="AJ20" i="102"/>
  <c r="AJ21" i="102"/>
  <c r="AJ22" i="102"/>
  <c r="AJ23" i="102"/>
  <c r="AJ24" i="102"/>
  <c r="AJ25" i="102"/>
  <c r="AJ26" i="102"/>
  <c r="AJ27" i="102"/>
  <c r="AJ28" i="102"/>
  <c r="AJ29" i="102"/>
  <c r="AJ30" i="102"/>
  <c r="AJ31" i="102"/>
  <c r="AJ32" i="102"/>
  <c r="AJ33" i="102"/>
  <c r="AJ34" i="102"/>
  <c r="AJ35" i="102"/>
  <c r="AJ36" i="102"/>
  <c r="AJ37" i="102"/>
  <c r="AJ38" i="102"/>
  <c r="AJ39" i="102"/>
  <c r="AJ40" i="102"/>
  <c r="AJ5" i="102"/>
  <c r="X40" i="102"/>
  <c r="X39" i="102"/>
  <c r="X38" i="102"/>
  <c r="X37" i="102"/>
  <c r="X36" i="102"/>
  <c r="X35" i="102"/>
  <c r="X34" i="102"/>
  <c r="X33" i="102"/>
  <c r="X32" i="102"/>
  <c r="X31" i="102"/>
  <c r="X30" i="102"/>
  <c r="X29" i="102"/>
  <c r="X28" i="102"/>
  <c r="X27" i="102"/>
  <c r="X26" i="102"/>
  <c r="X25" i="102"/>
  <c r="X24" i="102"/>
  <c r="X23" i="102"/>
  <c r="X22" i="102"/>
  <c r="X21" i="102"/>
  <c r="X20" i="102"/>
  <c r="X19" i="102"/>
  <c r="X18" i="102"/>
  <c r="X17" i="102"/>
  <c r="X16" i="102"/>
  <c r="X15" i="102"/>
  <c r="X14" i="102"/>
  <c r="X13" i="102"/>
  <c r="X12" i="102"/>
  <c r="X11" i="102"/>
  <c r="X10" i="102"/>
  <c r="X9" i="102"/>
  <c r="X8" i="102"/>
  <c r="X7" i="102"/>
  <c r="X6" i="102"/>
  <c r="X5" i="102"/>
  <c r="W40" i="102"/>
  <c r="W39" i="102"/>
  <c r="W38" i="102"/>
  <c r="W37" i="102"/>
  <c r="W36" i="102"/>
  <c r="W35" i="102"/>
  <c r="W34" i="102"/>
  <c r="W33" i="102"/>
  <c r="W32" i="102"/>
  <c r="W31" i="102"/>
  <c r="W30" i="102"/>
  <c r="W29" i="102"/>
  <c r="W28" i="102"/>
  <c r="W27" i="102"/>
  <c r="W26" i="102"/>
  <c r="W25" i="102"/>
  <c r="W24" i="102"/>
  <c r="W23" i="102"/>
  <c r="W22" i="102"/>
  <c r="W21" i="102"/>
  <c r="W20" i="102"/>
  <c r="W19" i="102"/>
  <c r="W18" i="102"/>
  <c r="W17" i="102"/>
  <c r="W16" i="102"/>
  <c r="W15" i="102"/>
  <c r="W14" i="102"/>
  <c r="W13" i="102"/>
  <c r="W12" i="102"/>
  <c r="W11" i="102"/>
  <c r="W10" i="102"/>
  <c r="W9" i="102"/>
  <c r="W8" i="102"/>
  <c r="W7" i="102"/>
  <c r="W6" i="102"/>
  <c r="W5" i="102"/>
  <c r="V40" i="102"/>
  <c r="V39" i="102"/>
  <c r="V38" i="102"/>
  <c r="V37" i="102"/>
  <c r="V36" i="102"/>
  <c r="V35" i="102"/>
  <c r="V34" i="102"/>
  <c r="V33" i="102"/>
  <c r="V32" i="102"/>
  <c r="V31" i="102"/>
  <c r="V30" i="102"/>
  <c r="V29" i="102"/>
  <c r="V28" i="102"/>
  <c r="V27" i="102"/>
  <c r="V26" i="102"/>
  <c r="V25" i="102"/>
  <c r="V24" i="102"/>
  <c r="V23" i="102"/>
  <c r="V22" i="102"/>
  <c r="V21" i="102"/>
  <c r="V20" i="102"/>
  <c r="V19" i="102"/>
  <c r="V18" i="102"/>
  <c r="V17" i="102"/>
  <c r="V16" i="102"/>
  <c r="V15" i="102"/>
  <c r="V14" i="102"/>
  <c r="V13" i="102"/>
  <c r="V12" i="102"/>
  <c r="V11" i="102"/>
  <c r="V10" i="102"/>
  <c r="V9" i="102"/>
  <c r="V8" i="102"/>
  <c r="V7" i="102"/>
  <c r="V6" i="102"/>
  <c r="V5" i="102"/>
  <c r="U6" i="102"/>
  <c r="U7" i="102"/>
  <c r="U8" i="102"/>
  <c r="U9" i="102"/>
  <c r="U10" i="102"/>
  <c r="U11" i="102"/>
  <c r="U12" i="102"/>
  <c r="U13" i="102"/>
  <c r="U14" i="102"/>
  <c r="U15" i="102"/>
  <c r="U16" i="102"/>
  <c r="U17" i="102"/>
  <c r="U18" i="102"/>
  <c r="U19" i="102"/>
  <c r="U20" i="102"/>
  <c r="U21" i="102"/>
  <c r="U22" i="102"/>
  <c r="U23" i="102"/>
  <c r="U24" i="102"/>
  <c r="U25" i="102"/>
  <c r="U26" i="102"/>
  <c r="U27" i="102"/>
  <c r="U28" i="102"/>
  <c r="U29" i="102"/>
  <c r="U30" i="102"/>
  <c r="U31" i="102"/>
  <c r="U32" i="102"/>
  <c r="U33" i="102"/>
  <c r="U34" i="102"/>
  <c r="U35" i="102"/>
  <c r="U36" i="102"/>
  <c r="U37" i="102"/>
  <c r="U38" i="102"/>
  <c r="U39" i="102"/>
  <c r="U40" i="102"/>
  <c r="S40" i="102"/>
  <c r="S39" i="102"/>
  <c r="S38" i="102"/>
  <c r="S37" i="102"/>
  <c r="S36" i="102"/>
  <c r="S35" i="102"/>
  <c r="S34" i="102"/>
  <c r="S33" i="102"/>
  <c r="S32" i="102"/>
  <c r="S31" i="102"/>
  <c r="S30" i="102"/>
  <c r="S29" i="102"/>
  <c r="S28" i="102"/>
  <c r="S27" i="102"/>
  <c r="S26" i="102"/>
  <c r="S25" i="102"/>
  <c r="S24" i="102"/>
  <c r="S23" i="102"/>
  <c r="S22" i="102"/>
  <c r="S21" i="102"/>
  <c r="S20" i="102"/>
  <c r="S19" i="102"/>
  <c r="S18" i="102"/>
  <c r="S17" i="102"/>
  <c r="S16" i="102"/>
  <c r="S15" i="102"/>
  <c r="S14" i="102"/>
  <c r="S13" i="102"/>
  <c r="S12" i="102"/>
  <c r="S11" i="102"/>
  <c r="S10" i="102"/>
  <c r="S9" i="102"/>
  <c r="S8" i="102"/>
  <c r="S7" i="102"/>
  <c r="S6" i="102"/>
  <c r="AM6" i="102" s="1"/>
  <c r="S5" i="102"/>
  <c r="AM5" i="102" s="1"/>
  <c r="R6" i="102"/>
  <c r="R7" i="102"/>
  <c r="R8" i="102"/>
  <c r="R9" i="102"/>
  <c r="R10" i="102"/>
  <c r="R11" i="102"/>
  <c r="R12" i="102"/>
  <c r="R13" i="102"/>
  <c r="R14" i="102"/>
  <c r="R15" i="102"/>
  <c r="R16" i="102"/>
  <c r="R17" i="102"/>
  <c r="AL17" i="102" s="1"/>
  <c r="R18" i="102"/>
  <c r="R19" i="102"/>
  <c r="R20" i="102"/>
  <c r="R21" i="102"/>
  <c r="R22" i="102"/>
  <c r="R23" i="102"/>
  <c r="R24" i="102"/>
  <c r="R25" i="102"/>
  <c r="R26" i="102"/>
  <c r="R27" i="102"/>
  <c r="R28" i="102"/>
  <c r="R29" i="102"/>
  <c r="R30" i="102"/>
  <c r="R31" i="102"/>
  <c r="R32" i="102"/>
  <c r="R33" i="102"/>
  <c r="R34" i="102"/>
  <c r="R35" i="102"/>
  <c r="AL35" i="102" s="1"/>
  <c r="R36" i="102"/>
  <c r="R37" i="102"/>
  <c r="R38" i="102"/>
  <c r="R39" i="102"/>
  <c r="R40" i="102"/>
  <c r="R5" i="102"/>
  <c r="P40" i="102"/>
  <c r="P39" i="102"/>
  <c r="P38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P24" i="102"/>
  <c r="P23" i="102"/>
  <c r="P22" i="102"/>
  <c r="P21" i="102"/>
  <c r="P20" i="102"/>
  <c r="P19" i="102"/>
  <c r="P18" i="102"/>
  <c r="P17" i="102"/>
  <c r="P16" i="102"/>
  <c r="P15" i="102"/>
  <c r="P14" i="102"/>
  <c r="P13" i="102"/>
  <c r="P12" i="102"/>
  <c r="P11" i="102"/>
  <c r="P10" i="102"/>
  <c r="P9" i="102"/>
  <c r="P8" i="102"/>
  <c r="P7" i="102"/>
  <c r="P6" i="102"/>
  <c r="P5" i="102"/>
  <c r="O40" i="102"/>
  <c r="O39" i="102"/>
  <c r="O38" i="102"/>
  <c r="O37" i="102"/>
  <c r="O36" i="102"/>
  <c r="O35" i="102"/>
  <c r="O34" i="102"/>
  <c r="O33" i="102"/>
  <c r="O32" i="102"/>
  <c r="O31" i="102"/>
  <c r="O30" i="102"/>
  <c r="O29" i="102"/>
  <c r="O28" i="102"/>
  <c r="O27" i="102"/>
  <c r="O26" i="102"/>
  <c r="O25" i="102"/>
  <c r="O24" i="102"/>
  <c r="O23" i="102"/>
  <c r="O22" i="102"/>
  <c r="O21" i="102"/>
  <c r="O20" i="102"/>
  <c r="O19" i="102"/>
  <c r="O18" i="102"/>
  <c r="O17" i="102"/>
  <c r="O16" i="102"/>
  <c r="O15" i="102"/>
  <c r="O14" i="102"/>
  <c r="O13" i="102"/>
  <c r="O12" i="102"/>
  <c r="O11" i="102"/>
  <c r="O10" i="102"/>
  <c r="O9" i="102"/>
  <c r="O8" i="102"/>
  <c r="O7" i="102"/>
  <c r="O6" i="102"/>
  <c r="O5" i="102"/>
  <c r="N40" i="102"/>
  <c r="N39" i="102"/>
  <c r="N38" i="102"/>
  <c r="N37" i="102"/>
  <c r="N36" i="102"/>
  <c r="N35" i="102"/>
  <c r="N34" i="102"/>
  <c r="N33" i="102"/>
  <c r="N32" i="102"/>
  <c r="N31" i="102"/>
  <c r="N30" i="102"/>
  <c r="N29" i="102"/>
  <c r="N28" i="102"/>
  <c r="N27" i="102"/>
  <c r="N26" i="102"/>
  <c r="N25" i="102"/>
  <c r="N24" i="102"/>
  <c r="N23" i="102"/>
  <c r="N22" i="102"/>
  <c r="N21" i="102"/>
  <c r="N20" i="102"/>
  <c r="N19" i="102"/>
  <c r="N18" i="102"/>
  <c r="N17" i="102"/>
  <c r="N16" i="102"/>
  <c r="N15" i="102"/>
  <c r="N14" i="102"/>
  <c r="N13" i="102"/>
  <c r="N12" i="102"/>
  <c r="N11" i="102"/>
  <c r="N10" i="102"/>
  <c r="N9" i="102"/>
  <c r="N8" i="102"/>
  <c r="N7" i="102"/>
  <c r="N6" i="102"/>
  <c r="N5" i="102"/>
  <c r="M40" i="102"/>
  <c r="M39" i="102"/>
  <c r="M38" i="102"/>
  <c r="M37" i="102"/>
  <c r="M36" i="102"/>
  <c r="M35" i="102"/>
  <c r="M34" i="102"/>
  <c r="M33" i="102"/>
  <c r="M32" i="102"/>
  <c r="M31" i="102"/>
  <c r="M30" i="102"/>
  <c r="M29" i="102"/>
  <c r="M28" i="102"/>
  <c r="M27" i="102"/>
  <c r="M26" i="102"/>
  <c r="M25" i="102"/>
  <c r="M24" i="102"/>
  <c r="M23" i="102"/>
  <c r="M22" i="102"/>
  <c r="M21" i="102"/>
  <c r="M20" i="102"/>
  <c r="M19" i="102"/>
  <c r="M18" i="102"/>
  <c r="M17" i="102"/>
  <c r="M16" i="102"/>
  <c r="M15" i="102"/>
  <c r="M14" i="102"/>
  <c r="M13" i="102"/>
  <c r="M12" i="102"/>
  <c r="M11" i="102"/>
  <c r="M10" i="102"/>
  <c r="M9" i="102"/>
  <c r="M8" i="102"/>
  <c r="M7" i="102"/>
  <c r="M6" i="102"/>
  <c r="M5" i="102"/>
  <c r="L40" i="102"/>
  <c r="L39" i="102"/>
  <c r="L38" i="102"/>
  <c r="L37" i="102"/>
  <c r="L36" i="102"/>
  <c r="L35" i="102"/>
  <c r="L34" i="102"/>
  <c r="L33" i="102"/>
  <c r="L32" i="102"/>
  <c r="L31" i="102"/>
  <c r="L30" i="102"/>
  <c r="L29" i="102"/>
  <c r="L28" i="102"/>
  <c r="L27" i="102"/>
  <c r="L26" i="102"/>
  <c r="L25" i="102"/>
  <c r="L24" i="102"/>
  <c r="L23" i="102"/>
  <c r="L22" i="102"/>
  <c r="L21" i="102"/>
  <c r="L20" i="102"/>
  <c r="L19" i="102"/>
  <c r="L18" i="102"/>
  <c r="L17" i="102"/>
  <c r="L16" i="102"/>
  <c r="L15" i="102"/>
  <c r="L14" i="102"/>
  <c r="L13" i="102"/>
  <c r="L12" i="102"/>
  <c r="L11" i="102"/>
  <c r="L10" i="102"/>
  <c r="L9" i="102"/>
  <c r="L8" i="102"/>
  <c r="L7" i="102"/>
  <c r="L6" i="102"/>
  <c r="L5" i="102"/>
  <c r="K40" i="102"/>
  <c r="K39" i="102"/>
  <c r="K38" i="102"/>
  <c r="K37" i="102"/>
  <c r="K36" i="102"/>
  <c r="K35" i="102"/>
  <c r="K34" i="102"/>
  <c r="K33" i="102"/>
  <c r="K32" i="102"/>
  <c r="K31" i="102"/>
  <c r="K30" i="102"/>
  <c r="K29" i="102"/>
  <c r="K28" i="102"/>
  <c r="K27" i="102"/>
  <c r="K26" i="102"/>
  <c r="K25" i="102"/>
  <c r="K24" i="102"/>
  <c r="K23" i="102"/>
  <c r="K22" i="102"/>
  <c r="K21" i="102"/>
  <c r="K20" i="102"/>
  <c r="K19" i="102"/>
  <c r="K18" i="102"/>
  <c r="K17" i="102"/>
  <c r="K16" i="102"/>
  <c r="K15" i="102"/>
  <c r="K14" i="102"/>
  <c r="K13" i="102"/>
  <c r="K12" i="102"/>
  <c r="K11" i="102"/>
  <c r="K10" i="102"/>
  <c r="K9" i="102"/>
  <c r="K8" i="102"/>
  <c r="K7" i="102"/>
  <c r="K6" i="102"/>
  <c r="K5" i="102"/>
  <c r="J40" i="102"/>
  <c r="J39" i="102"/>
  <c r="J38" i="102"/>
  <c r="J37" i="102"/>
  <c r="J36" i="102"/>
  <c r="J35" i="102"/>
  <c r="J34" i="102"/>
  <c r="J33" i="102"/>
  <c r="J32" i="102"/>
  <c r="J31" i="102"/>
  <c r="J30" i="102"/>
  <c r="J29" i="102"/>
  <c r="J28" i="102"/>
  <c r="J27" i="102"/>
  <c r="J26" i="102"/>
  <c r="J25" i="102"/>
  <c r="J24" i="102"/>
  <c r="J23" i="102"/>
  <c r="J22" i="102"/>
  <c r="J21" i="102"/>
  <c r="J20" i="102"/>
  <c r="J19" i="102"/>
  <c r="J18" i="102"/>
  <c r="J17" i="102"/>
  <c r="J16" i="102"/>
  <c r="J15" i="102"/>
  <c r="J14" i="102"/>
  <c r="J13" i="102"/>
  <c r="J12" i="102"/>
  <c r="J11" i="102"/>
  <c r="J10" i="102"/>
  <c r="J9" i="102"/>
  <c r="J8" i="102"/>
  <c r="J7" i="102"/>
  <c r="J6" i="102"/>
  <c r="J5" i="102"/>
  <c r="I40" i="102"/>
  <c r="I39" i="102"/>
  <c r="I38" i="102"/>
  <c r="I37" i="102"/>
  <c r="I36" i="102"/>
  <c r="I35" i="102"/>
  <c r="I34" i="102"/>
  <c r="I33" i="102"/>
  <c r="I32" i="102"/>
  <c r="I31" i="102"/>
  <c r="I30" i="102"/>
  <c r="I29" i="102"/>
  <c r="I28" i="102"/>
  <c r="I27" i="102"/>
  <c r="I26" i="102"/>
  <c r="I25" i="102"/>
  <c r="I24" i="102"/>
  <c r="I23" i="102"/>
  <c r="I22" i="102"/>
  <c r="I21" i="102"/>
  <c r="I20" i="102"/>
  <c r="I19" i="102"/>
  <c r="I18" i="102"/>
  <c r="I17" i="102"/>
  <c r="I16" i="102"/>
  <c r="I15" i="102"/>
  <c r="I14" i="102"/>
  <c r="I13" i="102"/>
  <c r="I12" i="102"/>
  <c r="I11" i="102"/>
  <c r="I10" i="102"/>
  <c r="I9" i="102"/>
  <c r="I8" i="102"/>
  <c r="I7" i="102"/>
  <c r="I6" i="102"/>
  <c r="I5" i="102"/>
  <c r="H6" i="102"/>
  <c r="H7" i="102"/>
  <c r="H8" i="102"/>
  <c r="H9" i="102"/>
  <c r="H10" i="102"/>
  <c r="H11" i="102"/>
  <c r="H12" i="102"/>
  <c r="H13" i="102"/>
  <c r="H14" i="102"/>
  <c r="H15" i="102"/>
  <c r="H16" i="102"/>
  <c r="H17" i="102"/>
  <c r="H18" i="102"/>
  <c r="H19" i="102"/>
  <c r="H20" i="102"/>
  <c r="H21" i="102"/>
  <c r="H22" i="102"/>
  <c r="H23" i="102"/>
  <c r="H24" i="102"/>
  <c r="H25" i="102"/>
  <c r="H26" i="102"/>
  <c r="H27" i="102"/>
  <c r="H28" i="102"/>
  <c r="H29" i="102"/>
  <c r="H30" i="102"/>
  <c r="H31" i="102"/>
  <c r="H32" i="102"/>
  <c r="H33" i="102"/>
  <c r="H34" i="102"/>
  <c r="H35" i="102"/>
  <c r="H36" i="102"/>
  <c r="H37" i="102"/>
  <c r="H38" i="102"/>
  <c r="H39" i="102"/>
  <c r="H40" i="102"/>
  <c r="H5" i="102"/>
  <c r="F40" i="102"/>
  <c r="F39" i="102"/>
  <c r="F38" i="102"/>
  <c r="F37" i="102"/>
  <c r="F36" i="102"/>
  <c r="F35" i="102"/>
  <c r="F34" i="102"/>
  <c r="F33" i="102"/>
  <c r="F32" i="102"/>
  <c r="F31" i="102"/>
  <c r="F30" i="102"/>
  <c r="F29" i="102"/>
  <c r="F28" i="102"/>
  <c r="F27" i="102"/>
  <c r="F26" i="102"/>
  <c r="F25" i="102"/>
  <c r="F24" i="102"/>
  <c r="F23" i="102"/>
  <c r="F22" i="102"/>
  <c r="F21" i="102"/>
  <c r="F20" i="102"/>
  <c r="F19" i="102"/>
  <c r="F18" i="102"/>
  <c r="F17" i="102"/>
  <c r="F16" i="102"/>
  <c r="F15" i="102"/>
  <c r="F14" i="102"/>
  <c r="F13" i="102"/>
  <c r="F12" i="102"/>
  <c r="F11" i="102"/>
  <c r="F10" i="102"/>
  <c r="F9" i="102"/>
  <c r="F8" i="102"/>
  <c r="F7" i="102"/>
  <c r="F6" i="102"/>
  <c r="F5" i="102"/>
  <c r="E40" i="102"/>
  <c r="E39" i="102"/>
  <c r="E38" i="102"/>
  <c r="E37" i="102"/>
  <c r="E36" i="102"/>
  <c r="E35" i="102"/>
  <c r="E34" i="102"/>
  <c r="E33" i="102"/>
  <c r="E32" i="102"/>
  <c r="E31" i="102"/>
  <c r="E30" i="102"/>
  <c r="E29" i="102"/>
  <c r="E28" i="102"/>
  <c r="E27" i="102"/>
  <c r="E26" i="102"/>
  <c r="E25" i="102"/>
  <c r="E24" i="102"/>
  <c r="E23" i="102"/>
  <c r="E22" i="102"/>
  <c r="E21" i="102"/>
  <c r="E20" i="102"/>
  <c r="E19" i="102"/>
  <c r="E18" i="102"/>
  <c r="E17" i="102"/>
  <c r="E16" i="102"/>
  <c r="E15" i="102"/>
  <c r="E14" i="102"/>
  <c r="E13" i="102"/>
  <c r="E12" i="102"/>
  <c r="E11" i="102"/>
  <c r="E10" i="102"/>
  <c r="E9" i="102"/>
  <c r="E8" i="102"/>
  <c r="E7" i="102"/>
  <c r="E6" i="102"/>
  <c r="E5" i="102"/>
  <c r="D40" i="102"/>
  <c r="D39" i="102"/>
  <c r="D38" i="102"/>
  <c r="D37" i="102"/>
  <c r="D36" i="102"/>
  <c r="D35" i="102"/>
  <c r="D34" i="102"/>
  <c r="D33" i="102"/>
  <c r="D32" i="102"/>
  <c r="D31" i="102"/>
  <c r="D30" i="102"/>
  <c r="D29" i="102"/>
  <c r="D28" i="102"/>
  <c r="D27" i="102"/>
  <c r="D26" i="102"/>
  <c r="D25" i="102"/>
  <c r="D24" i="102"/>
  <c r="D23" i="102"/>
  <c r="D22" i="102"/>
  <c r="D21" i="102"/>
  <c r="D20" i="102"/>
  <c r="D19" i="102"/>
  <c r="D18" i="102"/>
  <c r="D17" i="102"/>
  <c r="D16" i="102"/>
  <c r="D15" i="102"/>
  <c r="D14" i="102"/>
  <c r="D13" i="102"/>
  <c r="D12" i="102"/>
  <c r="D11" i="102"/>
  <c r="D10" i="102"/>
  <c r="D9" i="102"/>
  <c r="D8" i="102"/>
  <c r="D7" i="102"/>
  <c r="D6" i="102"/>
  <c r="D5" i="102"/>
  <c r="C6" i="102"/>
  <c r="C7" i="102"/>
  <c r="C8" i="102"/>
  <c r="C9" i="102"/>
  <c r="C10" i="102"/>
  <c r="C11" i="102"/>
  <c r="C12" i="102"/>
  <c r="C13" i="102"/>
  <c r="C14" i="102"/>
  <c r="C15" i="102"/>
  <c r="C16" i="102"/>
  <c r="C17" i="102"/>
  <c r="C18" i="102"/>
  <c r="C19" i="102"/>
  <c r="C20" i="102"/>
  <c r="C21" i="102"/>
  <c r="C22" i="102"/>
  <c r="C23" i="102"/>
  <c r="C24" i="102"/>
  <c r="C25" i="102"/>
  <c r="C26" i="102"/>
  <c r="C27" i="102"/>
  <c r="C28" i="102"/>
  <c r="C29" i="102"/>
  <c r="C30" i="102"/>
  <c r="C31" i="102"/>
  <c r="C32" i="102"/>
  <c r="C33" i="102"/>
  <c r="C34" i="102"/>
  <c r="C35" i="102"/>
  <c r="C36" i="102"/>
  <c r="C37" i="102"/>
  <c r="C38" i="102"/>
  <c r="C39" i="102"/>
  <c r="C40" i="102"/>
  <c r="AJ6" i="101"/>
  <c r="AJ7" i="101"/>
  <c r="AJ8" i="101"/>
  <c r="AJ9" i="101"/>
  <c r="AJ10" i="101"/>
  <c r="AJ11" i="101"/>
  <c r="AJ12" i="101"/>
  <c r="AJ13" i="101"/>
  <c r="AJ14" i="101"/>
  <c r="AJ15" i="101"/>
  <c r="AJ16" i="101"/>
  <c r="AJ17" i="101"/>
  <c r="AJ18" i="101"/>
  <c r="AJ19" i="101"/>
  <c r="AJ20" i="101"/>
  <c r="AJ21" i="101"/>
  <c r="AJ22" i="101"/>
  <c r="AJ23" i="101"/>
  <c r="AJ24" i="101"/>
  <c r="AJ25" i="101"/>
  <c r="AJ26" i="101"/>
  <c r="AJ27" i="101"/>
  <c r="AJ28" i="101"/>
  <c r="AJ29" i="101"/>
  <c r="AJ30" i="101"/>
  <c r="AJ31" i="101"/>
  <c r="AJ32" i="101"/>
  <c r="AJ33" i="101"/>
  <c r="AJ34" i="101"/>
  <c r="AJ35" i="101"/>
  <c r="AJ36" i="101"/>
  <c r="AJ37" i="101"/>
  <c r="AJ38" i="101"/>
  <c r="AJ39" i="101"/>
  <c r="AJ40" i="101"/>
  <c r="AJ5" i="101"/>
  <c r="X40" i="101"/>
  <c r="X39" i="101"/>
  <c r="X38" i="101"/>
  <c r="X37" i="101"/>
  <c r="X36" i="101"/>
  <c r="X35" i="101"/>
  <c r="X34" i="101"/>
  <c r="X33" i="101"/>
  <c r="X32" i="101"/>
  <c r="X31" i="101"/>
  <c r="X30" i="101"/>
  <c r="X29" i="101"/>
  <c r="X28" i="101"/>
  <c r="X27" i="101"/>
  <c r="X26" i="101"/>
  <c r="X25" i="101"/>
  <c r="X24" i="101"/>
  <c r="X23" i="101"/>
  <c r="X22" i="101"/>
  <c r="X21" i="101"/>
  <c r="X20" i="101"/>
  <c r="X19" i="101"/>
  <c r="X18" i="101"/>
  <c r="X17" i="101"/>
  <c r="X16" i="101"/>
  <c r="X15" i="101"/>
  <c r="X14" i="101"/>
  <c r="X13" i="101"/>
  <c r="X12" i="101"/>
  <c r="X11" i="101"/>
  <c r="X10" i="101"/>
  <c r="X9" i="101"/>
  <c r="X8" i="101"/>
  <c r="X7" i="101"/>
  <c r="X6" i="101"/>
  <c r="X5" i="101"/>
  <c r="W40" i="101"/>
  <c r="W39" i="101"/>
  <c r="W38" i="101"/>
  <c r="W37" i="101"/>
  <c r="W36" i="101"/>
  <c r="W35" i="101"/>
  <c r="W34" i="101"/>
  <c r="W33" i="101"/>
  <c r="W32" i="101"/>
  <c r="W31" i="101"/>
  <c r="W30" i="101"/>
  <c r="W29" i="101"/>
  <c r="W28" i="101"/>
  <c r="W27" i="101"/>
  <c r="W26" i="101"/>
  <c r="W25" i="101"/>
  <c r="W24" i="101"/>
  <c r="W23" i="101"/>
  <c r="W22" i="101"/>
  <c r="W21" i="101"/>
  <c r="W20" i="101"/>
  <c r="W19" i="101"/>
  <c r="W18" i="101"/>
  <c r="W17" i="101"/>
  <c r="W16" i="101"/>
  <c r="W15" i="101"/>
  <c r="W14" i="101"/>
  <c r="W13" i="101"/>
  <c r="W12" i="101"/>
  <c r="W11" i="101"/>
  <c r="W10" i="101"/>
  <c r="W9" i="101"/>
  <c r="W8" i="101"/>
  <c r="W7" i="101"/>
  <c r="W6" i="101"/>
  <c r="W5" i="101"/>
  <c r="V40" i="101"/>
  <c r="V39" i="101"/>
  <c r="V38" i="101"/>
  <c r="V37" i="101"/>
  <c r="V36" i="101"/>
  <c r="V35" i="101"/>
  <c r="V34" i="101"/>
  <c r="V33" i="101"/>
  <c r="V32" i="101"/>
  <c r="V31" i="101"/>
  <c r="V30" i="101"/>
  <c r="V29" i="101"/>
  <c r="V28" i="101"/>
  <c r="V27" i="101"/>
  <c r="V26" i="101"/>
  <c r="V25" i="101"/>
  <c r="V24" i="101"/>
  <c r="V23" i="101"/>
  <c r="V22" i="101"/>
  <c r="V21" i="101"/>
  <c r="V20" i="101"/>
  <c r="V19" i="101"/>
  <c r="V18" i="101"/>
  <c r="V17" i="101"/>
  <c r="V16" i="101"/>
  <c r="V15" i="101"/>
  <c r="V14" i="101"/>
  <c r="V13" i="101"/>
  <c r="V12" i="101"/>
  <c r="V11" i="101"/>
  <c r="V10" i="101"/>
  <c r="V9" i="101"/>
  <c r="V8" i="101"/>
  <c r="V7" i="101"/>
  <c r="V6" i="101"/>
  <c r="V5" i="101"/>
  <c r="U6" i="101"/>
  <c r="U7" i="101"/>
  <c r="U8" i="101"/>
  <c r="U9" i="101"/>
  <c r="U10" i="101"/>
  <c r="U11" i="101"/>
  <c r="U12" i="101"/>
  <c r="U13" i="101"/>
  <c r="U14" i="101"/>
  <c r="U15" i="101"/>
  <c r="U16" i="101"/>
  <c r="U17" i="101"/>
  <c r="U18" i="101"/>
  <c r="U19" i="101"/>
  <c r="U20" i="101"/>
  <c r="U21" i="101"/>
  <c r="U22" i="101"/>
  <c r="U23" i="101"/>
  <c r="U24" i="101"/>
  <c r="U25" i="101"/>
  <c r="U26" i="101"/>
  <c r="U27" i="101"/>
  <c r="U28" i="101"/>
  <c r="U29" i="101"/>
  <c r="U30" i="101"/>
  <c r="U31" i="101"/>
  <c r="U32" i="101"/>
  <c r="U33" i="101"/>
  <c r="U34" i="101"/>
  <c r="U35" i="101"/>
  <c r="U36" i="101"/>
  <c r="U37" i="101"/>
  <c r="U38" i="101"/>
  <c r="U39" i="101"/>
  <c r="U40" i="101"/>
  <c r="S40" i="101"/>
  <c r="S39" i="101"/>
  <c r="AM39" i="101" s="1"/>
  <c r="S38" i="101"/>
  <c r="S37" i="101"/>
  <c r="AM37" i="101" s="1"/>
  <c r="S36" i="101"/>
  <c r="AM36" i="101" s="1"/>
  <c r="S35" i="101"/>
  <c r="AM35" i="101" s="1"/>
  <c r="S34" i="101"/>
  <c r="AM34" i="101" s="1"/>
  <c r="S33" i="101"/>
  <c r="AM33" i="101" s="1"/>
  <c r="S32" i="101"/>
  <c r="AM32" i="101" s="1"/>
  <c r="S31" i="101"/>
  <c r="S30" i="101"/>
  <c r="AM30" i="101" s="1"/>
  <c r="S29" i="101"/>
  <c r="S28" i="101"/>
  <c r="S27" i="101"/>
  <c r="AM27" i="101" s="1"/>
  <c r="S26" i="101"/>
  <c r="S25" i="101"/>
  <c r="AM25" i="101" s="1"/>
  <c r="S24" i="101"/>
  <c r="AM24" i="101" s="1"/>
  <c r="S23" i="101"/>
  <c r="AM23" i="101" s="1"/>
  <c r="S22" i="101"/>
  <c r="AM22" i="101" s="1"/>
  <c r="S21" i="101"/>
  <c r="S20" i="101"/>
  <c r="S19" i="101"/>
  <c r="AM19" i="101" s="1"/>
  <c r="S18" i="101"/>
  <c r="S17" i="101"/>
  <c r="AM17" i="101" s="1"/>
  <c r="S16" i="101"/>
  <c r="S15" i="101"/>
  <c r="S14" i="101"/>
  <c r="AM14" i="101" s="1"/>
  <c r="S13" i="101"/>
  <c r="AM13" i="101" s="1"/>
  <c r="S12" i="101"/>
  <c r="AM12" i="101" s="1"/>
  <c r="S11" i="101"/>
  <c r="S10" i="101"/>
  <c r="AM10" i="101" s="1"/>
  <c r="S9" i="101"/>
  <c r="S8" i="101"/>
  <c r="AM8" i="101" s="1"/>
  <c r="S7" i="101"/>
  <c r="AM7" i="101" s="1"/>
  <c r="S6" i="101"/>
  <c r="S5" i="101"/>
  <c r="R6" i="101"/>
  <c r="R7" i="101"/>
  <c r="AL7" i="101" s="1"/>
  <c r="R8" i="101"/>
  <c r="AL8" i="101" s="1"/>
  <c r="R9" i="101"/>
  <c r="R10" i="101"/>
  <c r="R11" i="101"/>
  <c r="R12" i="101"/>
  <c r="R13" i="101"/>
  <c r="R14" i="101"/>
  <c r="R15" i="101"/>
  <c r="R16" i="101"/>
  <c r="R17" i="101"/>
  <c r="R18" i="101"/>
  <c r="R19" i="101"/>
  <c r="R20" i="101"/>
  <c r="R21" i="101"/>
  <c r="R22" i="101"/>
  <c r="R23" i="101"/>
  <c r="R24" i="101"/>
  <c r="R25" i="101"/>
  <c r="R26" i="101"/>
  <c r="R27" i="101"/>
  <c r="R28" i="101"/>
  <c r="R29" i="101"/>
  <c r="R30" i="101"/>
  <c r="R31" i="101"/>
  <c r="R32" i="101"/>
  <c r="R33" i="101"/>
  <c r="R34" i="101"/>
  <c r="R35" i="101"/>
  <c r="R36" i="101"/>
  <c r="R37" i="101"/>
  <c r="R38" i="101"/>
  <c r="AL38" i="101" s="1"/>
  <c r="R39" i="101"/>
  <c r="AL39" i="101" s="1"/>
  <c r="R40" i="101"/>
  <c r="R5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P24" i="101"/>
  <c r="P23" i="101"/>
  <c r="P22" i="101"/>
  <c r="P21" i="101"/>
  <c r="P20" i="101"/>
  <c r="P19" i="101"/>
  <c r="P18" i="101"/>
  <c r="P17" i="101"/>
  <c r="P16" i="101"/>
  <c r="P15" i="101"/>
  <c r="P14" i="101"/>
  <c r="P13" i="101"/>
  <c r="P12" i="101"/>
  <c r="P11" i="101"/>
  <c r="P10" i="101"/>
  <c r="P9" i="101"/>
  <c r="P8" i="101"/>
  <c r="P7" i="101"/>
  <c r="P6" i="101"/>
  <c r="P5" i="101"/>
  <c r="O40" i="101"/>
  <c r="O39" i="101"/>
  <c r="O38" i="101"/>
  <c r="O37" i="101"/>
  <c r="O36" i="101"/>
  <c r="O35" i="101"/>
  <c r="O34" i="101"/>
  <c r="O33" i="101"/>
  <c r="O32" i="101"/>
  <c r="O31" i="101"/>
  <c r="O30" i="101"/>
  <c r="O29" i="101"/>
  <c r="O28" i="101"/>
  <c r="O27" i="101"/>
  <c r="O26" i="101"/>
  <c r="O25" i="101"/>
  <c r="O24" i="101"/>
  <c r="O23" i="101"/>
  <c r="O22" i="101"/>
  <c r="O21" i="101"/>
  <c r="O20" i="101"/>
  <c r="O19" i="101"/>
  <c r="O18" i="101"/>
  <c r="O17" i="101"/>
  <c r="O16" i="101"/>
  <c r="O15" i="101"/>
  <c r="O14" i="101"/>
  <c r="O13" i="101"/>
  <c r="O12" i="101"/>
  <c r="O11" i="101"/>
  <c r="O10" i="101"/>
  <c r="O9" i="101"/>
  <c r="O8" i="101"/>
  <c r="O7" i="101"/>
  <c r="O6" i="101"/>
  <c r="O5" i="101"/>
  <c r="N40" i="101"/>
  <c r="N39" i="101"/>
  <c r="N38" i="101"/>
  <c r="N37" i="101"/>
  <c r="N36" i="101"/>
  <c r="N35" i="101"/>
  <c r="N34" i="101"/>
  <c r="N33" i="101"/>
  <c r="N32" i="101"/>
  <c r="N31" i="101"/>
  <c r="N30" i="101"/>
  <c r="N29" i="101"/>
  <c r="N28" i="101"/>
  <c r="N27" i="101"/>
  <c r="N26" i="101"/>
  <c r="N25" i="101"/>
  <c r="N24" i="101"/>
  <c r="N23" i="101"/>
  <c r="N22" i="101"/>
  <c r="N21" i="101"/>
  <c r="N20" i="101"/>
  <c r="N19" i="101"/>
  <c r="N18" i="101"/>
  <c r="N17" i="101"/>
  <c r="N16" i="101"/>
  <c r="N15" i="101"/>
  <c r="N14" i="101"/>
  <c r="N13" i="101"/>
  <c r="N12" i="101"/>
  <c r="N11" i="101"/>
  <c r="N10" i="101"/>
  <c r="N9" i="101"/>
  <c r="N8" i="101"/>
  <c r="N7" i="101"/>
  <c r="N6" i="101"/>
  <c r="N5" i="101"/>
  <c r="M40" i="101"/>
  <c r="M39" i="101"/>
  <c r="M38" i="101"/>
  <c r="M37" i="101"/>
  <c r="M36" i="101"/>
  <c r="M35" i="101"/>
  <c r="M34" i="101"/>
  <c r="M33" i="101"/>
  <c r="M32" i="101"/>
  <c r="M31" i="101"/>
  <c r="M30" i="101"/>
  <c r="M29" i="101"/>
  <c r="M28" i="101"/>
  <c r="M27" i="101"/>
  <c r="M26" i="101"/>
  <c r="M25" i="101"/>
  <c r="M24" i="101"/>
  <c r="M23" i="101"/>
  <c r="M22" i="101"/>
  <c r="M21" i="101"/>
  <c r="M20" i="101"/>
  <c r="M19" i="101"/>
  <c r="M18" i="101"/>
  <c r="M17" i="101"/>
  <c r="M16" i="101"/>
  <c r="M15" i="101"/>
  <c r="M14" i="101"/>
  <c r="M13" i="101"/>
  <c r="M12" i="101"/>
  <c r="M11" i="101"/>
  <c r="M10" i="101"/>
  <c r="M9" i="101"/>
  <c r="M8" i="101"/>
  <c r="M7" i="101"/>
  <c r="M6" i="101"/>
  <c r="M5" i="101"/>
  <c r="L40" i="101"/>
  <c r="L39" i="101"/>
  <c r="L38" i="101"/>
  <c r="L37" i="101"/>
  <c r="L36" i="101"/>
  <c r="L35" i="101"/>
  <c r="L34" i="101"/>
  <c r="L33" i="101"/>
  <c r="L32" i="101"/>
  <c r="L31" i="101"/>
  <c r="L30" i="101"/>
  <c r="L29" i="101"/>
  <c r="L28" i="101"/>
  <c r="L27" i="101"/>
  <c r="L26" i="101"/>
  <c r="L25" i="101"/>
  <c r="L24" i="101"/>
  <c r="L23" i="101"/>
  <c r="L22" i="101"/>
  <c r="L21" i="101"/>
  <c r="L20" i="101"/>
  <c r="L19" i="101"/>
  <c r="L18" i="101"/>
  <c r="L17" i="101"/>
  <c r="L16" i="101"/>
  <c r="L15" i="101"/>
  <c r="L14" i="101"/>
  <c r="L13" i="101"/>
  <c r="L12" i="101"/>
  <c r="L11" i="101"/>
  <c r="L10" i="101"/>
  <c r="L9" i="101"/>
  <c r="L8" i="101"/>
  <c r="L7" i="101"/>
  <c r="L6" i="101"/>
  <c r="L5" i="101"/>
  <c r="K40" i="101"/>
  <c r="K39" i="101"/>
  <c r="K38" i="101"/>
  <c r="K37" i="101"/>
  <c r="K36" i="101"/>
  <c r="K35" i="101"/>
  <c r="K34" i="101"/>
  <c r="K33" i="101"/>
  <c r="K32" i="101"/>
  <c r="K31" i="101"/>
  <c r="K30" i="101"/>
  <c r="K29" i="101"/>
  <c r="K28" i="101"/>
  <c r="K27" i="101"/>
  <c r="K26" i="101"/>
  <c r="K25" i="101"/>
  <c r="K24" i="101"/>
  <c r="K23" i="101"/>
  <c r="K22" i="101"/>
  <c r="K21" i="101"/>
  <c r="K20" i="101"/>
  <c r="K19" i="101"/>
  <c r="K18" i="101"/>
  <c r="K17" i="101"/>
  <c r="K16" i="101"/>
  <c r="K15" i="101"/>
  <c r="K14" i="101"/>
  <c r="K13" i="101"/>
  <c r="K12" i="101"/>
  <c r="K11" i="101"/>
  <c r="K10" i="101"/>
  <c r="K9" i="101"/>
  <c r="K8" i="101"/>
  <c r="K7" i="101"/>
  <c r="K6" i="101"/>
  <c r="K5" i="101"/>
  <c r="J40" i="101"/>
  <c r="J39" i="101"/>
  <c r="J38" i="101"/>
  <c r="J37" i="101"/>
  <c r="J36" i="101"/>
  <c r="J35" i="101"/>
  <c r="J34" i="101"/>
  <c r="J33" i="101"/>
  <c r="J32" i="101"/>
  <c r="J31" i="101"/>
  <c r="J30" i="101"/>
  <c r="J29" i="101"/>
  <c r="J28" i="101"/>
  <c r="J27" i="101"/>
  <c r="J26" i="101"/>
  <c r="J25" i="101"/>
  <c r="J24" i="101"/>
  <c r="J23" i="101"/>
  <c r="J22" i="101"/>
  <c r="J21" i="101"/>
  <c r="J20" i="101"/>
  <c r="J19" i="101"/>
  <c r="J18" i="101"/>
  <c r="J17" i="101"/>
  <c r="J16" i="101"/>
  <c r="J15" i="101"/>
  <c r="J14" i="101"/>
  <c r="J13" i="101"/>
  <c r="J12" i="101"/>
  <c r="J11" i="101"/>
  <c r="J10" i="101"/>
  <c r="J9" i="101"/>
  <c r="J8" i="101"/>
  <c r="J7" i="101"/>
  <c r="J6" i="101"/>
  <c r="J5" i="101"/>
  <c r="I40" i="101"/>
  <c r="I39" i="101"/>
  <c r="I38" i="101"/>
  <c r="I37" i="101"/>
  <c r="I36" i="101"/>
  <c r="I35" i="101"/>
  <c r="I34" i="101"/>
  <c r="I33" i="101"/>
  <c r="I32" i="101"/>
  <c r="I31" i="101"/>
  <c r="I30" i="101"/>
  <c r="I29" i="101"/>
  <c r="I28" i="101"/>
  <c r="I27" i="101"/>
  <c r="I26" i="101"/>
  <c r="I25" i="101"/>
  <c r="I24" i="101"/>
  <c r="I23" i="101"/>
  <c r="I22" i="101"/>
  <c r="I21" i="101"/>
  <c r="I20" i="101"/>
  <c r="I19" i="101"/>
  <c r="I18" i="101"/>
  <c r="I17" i="101"/>
  <c r="I16" i="101"/>
  <c r="I15" i="101"/>
  <c r="I14" i="101"/>
  <c r="I13" i="101"/>
  <c r="I12" i="101"/>
  <c r="I11" i="101"/>
  <c r="I10" i="101"/>
  <c r="I9" i="101"/>
  <c r="I8" i="101"/>
  <c r="I7" i="101"/>
  <c r="I6" i="101"/>
  <c r="I5" i="101"/>
  <c r="H6" i="101"/>
  <c r="H7" i="101"/>
  <c r="H8" i="101"/>
  <c r="H9" i="101"/>
  <c r="H10" i="101"/>
  <c r="H11" i="101"/>
  <c r="H12" i="101"/>
  <c r="H13" i="101"/>
  <c r="H14" i="101"/>
  <c r="H15" i="101"/>
  <c r="H16" i="101"/>
  <c r="H17" i="101"/>
  <c r="H18" i="101"/>
  <c r="H19" i="101"/>
  <c r="H20" i="101"/>
  <c r="H21" i="101"/>
  <c r="H22" i="101"/>
  <c r="H23" i="101"/>
  <c r="H24" i="101"/>
  <c r="H25" i="101"/>
  <c r="H26" i="101"/>
  <c r="H27" i="101"/>
  <c r="H28" i="101"/>
  <c r="H29" i="101"/>
  <c r="H30" i="101"/>
  <c r="H31" i="101"/>
  <c r="H32" i="101"/>
  <c r="H33" i="101"/>
  <c r="H34" i="101"/>
  <c r="H35" i="101"/>
  <c r="H36" i="101"/>
  <c r="H37" i="101"/>
  <c r="H38" i="101"/>
  <c r="H39" i="101"/>
  <c r="H40" i="101"/>
  <c r="H5" i="101"/>
  <c r="F40" i="101"/>
  <c r="F39" i="101"/>
  <c r="F38" i="101"/>
  <c r="F37" i="101"/>
  <c r="F36" i="101"/>
  <c r="F35" i="101"/>
  <c r="F34" i="101"/>
  <c r="F33" i="101"/>
  <c r="F32" i="101"/>
  <c r="F31" i="101"/>
  <c r="F30" i="101"/>
  <c r="F29" i="101"/>
  <c r="F28" i="101"/>
  <c r="F27" i="101"/>
  <c r="F26" i="101"/>
  <c r="F25" i="101"/>
  <c r="F24" i="101"/>
  <c r="F23" i="101"/>
  <c r="F22" i="101"/>
  <c r="F21" i="101"/>
  <c r="F20" i="101"/>
  <c r="F19" i="101"/>
  <c r="F18" i="101"/>
  <c r="F17" i="101"/>
  <c r="F16" i="101"/>
  <c r="F15" i="101"/>
  <c r="F14" i="101"/>
  <c r="F13" i="101"/>
  <c r="F12" i="101"/>
  <c r="F11" i="101"/>
  <c r="F10" i="101"/>
  <c r="F9" i="101"/>
  <c r="F8" i="101"/>
  <c r="F7" i="101"/>
  <c r="F6" i="101"/>
  <c r="F5" i="101"/>
  <c r="E40" i="101"/>
  <c r="E39" i="101"/>
  <c r="E38" i="101"/>
  <c r="E37" i="101"/>
  <c r="E36" i="101"/>
  <c r="E35" i="101"/>
  <c r="E34" i="101"/>
  <c r="E33" i="101"/>
  <c r="E32" i="101"/>
  <c r="E31" i="101"/>
  <c r="E30" i="101"/>
  <c r="E29" i="101"/>
  <c r="E28" i="101"/>
  <c r="E27" i="101"/>
  <c r="E26" i="101"/>
  <c r="E25" i="101"/>
  <c r="E24" i="101"/>
  <c r="E23" i="101"/>
  <c r="E22" i="101"/>
  <c r="E21" i="101"/>
  <c r="E20" i="101"/>
  <c r="E19" i="101"/>
  <c r="E18" i="101"/>
  <c r="E17" i="101"/>
  <c r="E16" i="101"/>
  <c r="E15" i="101"/>
  <c r="E14" i="101"/>
  <c r="E13" i="101"/>
  <c r="E12" i="101"/>
  <c r="E11" i="101"/>
  <c r="E10" i="101"/>
  <c r="E9" i="101"/>
  <c r="E8" i="101"/>
  <c r="E7" i="101"/>
  <c r="E6" i="101"/>
  <c r="E5" i="101"/>
  <c r="D40" i="101"/>
  <c r="D39" i="101"/>
  <c r="D38" i="101"/>
  <c r="D37" i="101"/>
  <c r="D36" i="101"/>
  <c r="D35" i="101"/>
  <c r="D34" i="101"/>
  <c r="D33" i="101"/>
  <c r="D32" i="101"/>
  <c r="D31" i="101"/>
  <c r="D30" i="101"/>
  <c r="D29" i="101"/>
  <c r="D28" i="101"/>
  <c r="D27" i="101"/>
  <c r="D26" i="101"/>
  <c r="D25" i="101"/>
  <c r="D24" i="101"/>
  <c r="D23" i="101"/>
  <c r="D22" i="101"/>
  <c r="D21" i="101"/>
  <c r="D20" i="101"/>
  <c r="D19" i="101"/>
  <c r="D18" i="101"/>
  <c r="D17" i="101"/>
  <c r="D16" i="101"/>
  <c r="D15" i="101"/>
  <c r="D14" i="101"/>
  <c r="D13" i="101"/>
  <c r="D12" i="101"/>
  <c r="D11" i="101"/>
  <c r="D10" i="101"/>
  <c r="D9" i="101"/>
  <c r="D8" i="101"/>
  <c r="D7" i="101"/>
  <c r="D6" i="101"/>
  <c r="D5" i="101"/>
  <c r="C6" i="101"/>
  <c r="C7" i="101"/>
  <c r="C8" i="101"/>
  <c r="C9" i="101"/>
  <c r="C10" i="101"/>
  <c r="C11" i="101"/>
  <c r="C12" i="101"/>
  <c r="C13" i="101"/>
  <c r="C14" i="101"/>
  <c r="C15" i="101"/>
  <c r="C16" i="101"/>
  <c r="C17" i="101"/>
  <c r="C18" i="101"/>
  <c r="C19" i="101"/>
  <c r="C20" i="101"/>
  <c r="C21" i="101"/>
  <c r="C22" i="101"/>
  <c r="C23" i="101"/>
  <c r="C24" i="101"/>
  <c r="C25" i="101"/>
  <c r="C26" i="101"/>
  <c r="C27" i="101"/>
  <c r="C28" i="101"/>
  <c r="C29" i="101"/>
  <c r="C30" i="101"/>
  <c r="C31" i="101"/>
  <c r="C32" i="101"/>
  <c r="C33" i="101"/>
  <c r="C34" i="101"/>
  <c r="C35" i="101"/>
  <c r="C36" i="101"/>
  <c r="C37" i="101"/>
  <c r="C38" i="101"/>
  <c r="C39" i="101"/>
  <c r="C40" i="101"/>
  <c r="AK40" i="100"/>
  <c r="AK39" i="100"/>
  <c r="AK38" i="100"/>
  <c r="AK37" i="100"/>
  <c r="AK36" i="100"/>
  <c r="AK35" i="100"/>
  <c r="AK34" i="100"/>
  <c r="AK33" i="100"/>
  <c r="AK32" i="100"/>
  <c r="AK31" i="100"/>
  <c r="AK30" i="100"/>
  <c r="AK29" i="100"/>
  <c r="AK28" i="100"/>
  <c r="AK27" i="100"/>
  <c r="AK26" i="100"/>
  <c r="AK25" i="100"/>
  <c r="AK24" i="100"/>
  <c r="AM24" i="100" s="1"/>
  <c r="AK23" i="100"/>
  <c r="AK22" i="100"/>
  <c r="AK21" i="100"/>
  <c r="AK20" i="100"/>
  <c r="AK19" i="100"/>
  <c r="AK18" i="100"/>
  <c r="AK17" i="100"/>
  <c r="AK16" i="100"/>
  <c r="AK15" i="100"/>
  <c r="AK14" i="100"/>
  <c r="AK13" i="100"/>
  <c r="AK12" i="100"/>
  <c r="AK11" i="100"/>
  <c r="AK10" i="100"/>
  <c r="AK9" i="100"/>
  <c r="AK8" i="100"/>
  <c r="AK7" i="100"/>
  <c r="AK6" i="100"/>
  <c r="AK5" i="100"/>
  <c r="AJ6" i="100"/>
  <c r="AJ7" i="100"/>
  <c r="AJ8" i="100"/>
  <c r="AJ9" i="100"/>
  <c r="AJ10" i="100"/>
  <c r="AJ11" i="100"/>
  <c r="AJ12" i="100"/>
  <c r="AJ13" i="100"/>
  <c r="AJ14" i="100"/>
  <c r="AJ15" i="100"/>
  <c r="AJ16" i="100"/>
  <c r="AL16" i="100" s="1"/>
  <c r="AJ17" i="100"/>
  <c r="AJ18" i="100"/>
  <c r="AJ19" i="100"/>
  <c r="AJ20" i="100"/>
  <c r="AJ21" i="100"/>
  <c r="AJ22" i="100"/>
  <c r="AJ23" i="100"/>
  <c r="AJ24" i="100"/>
  <c r="AJ25" i="100"/>
  <c r="AJ26" i="100"/>
  <c r="AJ27" i="100"/>
  <c r="AJ28" i="100"/>
  <c r="AJ29" i="100"/>
  <c r="AJ30" i="100"/>
  <c r="AJ31" i="100"/>
  <c r="AJ32" i="100"/>
  <c r="AJ33" i="100"/>
  <c r="AJ34" i="100"/>
  <c r="AJ35" i="100"/>
  <c r="AJ36" i="100"/>
  <c r="AJ37" i="100"/>
  <c r="AJ38" i="100"/>
  <c r="AJ39" i="100"/>
  <c r="AJ40" i="100"/>
  <c r="AJ5" i="100"/>
  <c r="X40" i="100"/>
  <c r="X39" i="100"/>
  <c r="X38" i="100"/>
  <c r="X37" i="100"/>
  <c r="X36" i="100"/>
  <c r="X35" i="100"/>
  <c r="X34" i="100"/>
  <c r="X33" i="100"/>
  <c r="X32" i="100"/>
  <c r="X31" i="100"/>
  <c r="X30" i="100"/>
  <c r="X29" i="100"/>
  <c r="X28" i="100"/>
  <c r="X27" i="100"/>
  <c r="X26" i="100"/>
  <c r="X25" i="100"/>
  <c r="X24" i="100"/>
  <c r="X23" i="100"/>
  <c r="X22" i="100"/>
  <c r="X21" i="100"/>
  <c r="X20" i="100"/>
  <c r="X19" i="100"/>
  <c r="X18" i="100"/>
  <c r="X17" i="100"/>
  <c r="X16" i="100"/>
  <c r="X15" i="100"/>
  <c r="X14" i="100"/>
  <c r="X13" i="100"/>
  <c r="X12" i="100"/>
  <c r="X11" i="100"/>
  <c r="X10" i="100"/>
  <c r="X9" i="100"/>
  <c r="X8" i="100"/>
  <c r="X7" i="100"/>
  <c r="X6" i="100"/>
  <c r="X5" i="100"/>
  <c r="W40" i="100"/>
  <c r="W39" i="100"/>
  <c r="W38" i="100"/>
  <c r="W37" i="100"/>
  <c r="W36" i="100"/>
  <c r="W35" i="100"/>
  <c r="W34" i="100"/>
  <c r="W33" i="100"/>
  <c r="W32" i="100"/>
  <c r="W31" i="100"/>
  <c r="W30" i="100"/>
  <c r="W29" i="100"/>
  <c r="W28" i="100"/>
  <c r="W27" i="100"/>
  <c r="W26" i="100"/>
  <c r="W25" i="100"/>
  <c r="W24" i="100"/>
  <c r="W23" i="100"/>
  <c r="W22" i="100"/>
  <c r="W21" i="100"/>
  <c r="W20" i="100"/>
  <c r="W19" i="100"/>
  <c r="W18" i="100"/>
  <c r="W17" i="100"/>
  <c r="W16" i="100"/>
  <c r="W15" i="100"/>
  <c r="W14" i="100"/>
  <c r="W13" i="100"/>
  <c r="W12" i="100"/>
  <c r="W11" i="100"/>
  <c r="W10" i="100"/>
  <c r="W9" i="100"/>
  <c r="W8" i="100"/>
  <c r="W7" i="100"/>
  <c r="W6" i="100"/>
  <c r="W5" i="100"/>
  <c r="V40" i="100"/>
  <c r="V39" i="100"/>
  <c r="V38" i="100"/>
  <c r="V37" i="100"/>
  <c r="V36" i="100"/>
  <c r="V35" i="100"/>
  <c r="V34" i="100"/>
  <c r="V33" i="100"/>
  <c r="V32" i="100"/>
  <c r="V31" i="100"/>
  <c r="V30" i="100"/>
  <c r="V29" i="100"/>
  <c r="V28" i="100"/>
  <c r="V27" i="100"/>
  <c r="V26" i="100"/>
  <c r="V25" i="100"/>
  <c r="V24" i="100"/>
  <c r="V23" i="100"/>
  <c r="V22" i="100"/>
  <c r="V21" i="100"/>
  <c r="V20" i="100"/>
  <c r="V19" i="100"/>
  <c r="V18" i="100"/>
  <c r="V17" i="100"/>
  <c r="V16" i="100"/>
  <c r="V15" i="100"/>
  <c r="V14" i="100"/>
  <c r="V13" i="100"/>
  <c r="V12" i="100"/>
  <c r="V11" i="100"/>
  <c r="V10" i="100"/>
  <c r="V9" i="100"/>
  <c r="V8" i="100"/>
  <c r="V7" i="100"/>
  <c r="V6" i="100"/>
  <c r="V5" i="100"/>
  <c r="U6" i="100"/>
  <c r="U7" i="100"/>
  <c r="U8" i="100"/>
  <c r="U9" i="100"/>
  <c r="U10" i="100"/>
  <c r="U11" i="100"/>
  <c r="U12" i="100"/>
  <c r="U13" i="100"/>
  <c r="U14" i="100"/>
  <c r="U15" i="100"/>
  <c r="U16" i="100"/>
  <c r="U17" i="100"/>
  <c r="U18" i="100"/>
  <c r="U19" i="100"/>
  <c r="U20" i="100"/>
  <c r="U21" i="100"/>
  <c r="U22" i="100"/>
  <c r="U23" i="100"/>
  <c r="U24" i="100"/>
  <c r="U25" i="100"/>
  <c r="U26" i="100"/>
  <c r="U27" i="100"/>
  <c r="U28" i="100"/>
  <c r="U29" i="100"/>
  <c r="U30" i="100"/>
  <c r="U31" i="100"/>
  <c r="U32" i="100"/>
  <c r="U33" i="100"/>
  <c r="U34" i="100"/>
  <c r="U35" i="100"/>
  <c r="U36" i="100"/>
  <c r="U37" i="100"/>
  <c r="U38" i="100"/>
  <c r="U39" i="100"/>
  <c r="U40" i="100"/>
  <c r="S40" i="100"/>
  <c r="S39" i="100"/>
  <c r="S38" i="100"/>
  <c r="S37" i="100"/>
  <c r="AM37" i="100" s="1"/>
  <c r="S36" i="100"/>
  <c r="S35" i="100"/>
  <c r="AM35" i="100" s="1"/>
  <c r="S34" i="100"/>
  <c r="S33" i="100"/>
  <c r="S32" i="100"/>
  <c r="S31" i="100"/>
  <c r="S30" i="100"/>
  <c r="S29" i="100"/>
  <c r="S28" i="100"/>
  <c r="S27" i="100"/>
  <c r="S26" i="100"/>
  <c r="AM26" i="100" s="1"/>
  <c r="S25" i="100"/>
  <c r="S24" i="100"/>
  <c r="S23" i="100"/>
  <c r="S22" i="100"/>
  <c r="S21" i="100"/>
  <c r="S20" i="100"/>
  <c r="S19" i="100"/>
  <c r="S18" i="100"/>
  <c r="S17" i="100"/>
  <c r="S16" i="100"/>
  <c r="S15" i="100"/>
  <c r="S14" i="100"/>
  <c r="S13" i="100"/>
  <c r="S12" i="100"/>
  <c r="S11" i="100"/>
  <c r="S10" i="100"/>
  <c r="S9" i="100"/>
  <c r="S8" i="100"/>
  <c r="S7" i="100"/>
  <c r="S6" i="100"/>
  <c r="AM6" i="100" s="1"/>
  <c r="S5" i="100"/>
  <c r="R6" i="100"/>
  <c r="R7" i="100"/>
  <c r="R8" i="100"/>
  <c r="R9" i="100"/>
  <c r="R10" i="100"/>
  <c r="R11" i="100"/>
  <c r="R12" i="100"/>
  <c r="R13" i="100"/>
  <c r="R14" i="100"/>
  <c r="R15" i="100"/>
  <c r="AL15" i="100" s="1"/>
  <c r="R16" i="100"/>
  <c r="R17" i="100"/>
  <c r="R18" i="100"/>
  <c r="R19" i="100"/>
  <c r="R20" i="100"/>
  <c r="R21" i="100"/>
  <c r="R22" i="100"/>
  <c r="AL22" i="100" s="1"/>
  <c r="R23" i="100"/>
  <c r="R24" i="100"/>
  <c r="R25" i="100"/>
  <c r="R26" i="100"/>
  <c r="R27" i="100"/>
  <c r="R28" i="100"/>
  <c r="R29" i="100"/>
  <c r="R30" i="100"/>
  <c r="R31" i="100"/>
  <c r="R32" i="100"/>
  <c r="AL32" i="100" s="1"/>
  <c r="R33" i="100"/>
  <c r="AL33" i="100" s="1"/>
  <c r="R34" i="100"/>
  <c r="R35" i="100"/>
  <c r="R36" i="100"/>
  <c r="R37" i="100"/>
  <c r="R38" i="100"/>
  <c r="R39" i="100"/>
  <c r="R40" i="100"/>
  <c r="R5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P24" i="100"/>
  <c r="P23" i="100"/>
  <c r="P22" i="100"/>
  <c r="P21" i="100"/>
  <c r="P20" i="100"/>
  <c r="P19" i="100"/>
  <c r="P18" i="100"/>
  <c r="P17" i="100"/>
  <c r="P16" i="100"/>
  <c r="P15" i="100"/>
  <c r="P14" i="100"/>
  <c r="P13" i="100"/>
  <c r="P12" i="100"/>
  <c r="P11" i="100"/>
  <c r="P10" i="100"/>
  <c r="P9" i="100"/>
  <c r="P8" i="100"/>
  <c r="P7" i="100"/>
  <c r="P6" i="100"/>
  <c r="P5" i="100"/>
  <c r="O40" i="100"/>
  <c r="O39" i="100"/>
  <c r="O38" i="100"/>
  <c r="O37" i="100"/>
  <c r="O36" i="100"/>
  <c r="O35" i="100"/>
  <c r="O34" i="100"/>
  <c r="O33" i="100"/>
  <c r="O32" i="100"/>
  <c r="O31" i="100"/>
  <c r="O30" i="100"/>
  <c r="O29" i="100"/>
  <c r="O28" i="100"/>
  <c r="O27" i="100"/>
  <c r="O26" i="100"/>
  <c r="O25" i="100"/>
  <c r="O24" i="100"/>
  <c r="O23" i="100"/>
  <c r="O22" i="100"/>
  <c r="O21" i="100"/>
  <c r="O20" i="100"/>
  <c r="O19" i="100"/>
  <c r="O18" i="100"/>
  <c r="O17" i="100"/>
  <c r="O16" i="100"/>
  <c r="O15" i="100"/>
  <c r="O14" i="100"/>
  <c r="O13" i="100"/>
  <c r="O12" i="100"/>
  <c r="O11" i="100"/>
  <c r="O10" i="100"/>
  <c r="O9" i="100"/>
  <c r="O8" i="100"/>
  <c r="O7" i="100"/>
  <c r="O6" i="100"/>
  <c r="O5" i="100"/>
  <c r="N40" i="100"/>
  <c r="N39" i="100"/>
  <c r="N38" i="100"/>
  <c r="N37" i="100"/>
  <c r="N36" i="100"/>
  <c r="N35" i="100"/>
  <c r="N34" i="100"/>
  <c r="N33" i="100"/>
  <c r="N32" i="100"/>
  <c r="N31" i="100"/>
  <c r="N30" i="100"/>
  <c r="N29" i="100"/>
  <c r="N28" i="100"/>
  <c r="N27" i="100"/>
  <c r="N26" i="100"/>
  <c r="N25" i="100"/>
  <c r="N24" i="100"/>
  <c r="N23" i="100"/>
  <c r="N22" i="100"/>
  <c r="N21" i="100"/>
  <c r="N20" i="100"/>
  <c r="N19" i="100"/>
  <c r="N18" i="100"/>
  <c r="N17" i="100"/>
  <c r="N16" i="100"/>
  <c r="N15" i="100"/>
  <c r="N14" i="100"/>
  <c r="N13" i="100"/>
  <c r="N12" i="100"/>
  <c r="N11" i="100"/>
  <c r="N10" i="100"/>
  <c r="N9" i="100"/>
  <c r="N8" i="100"/>
  <c r="N7" i="100"/>
  <c r="N6" i="100"/>
  <c r="N5" i="100"/>
  <c r="M40" i="100"/>
  <c r="M39" i="100"/>
  <c r="M38" i="100"/>
  <c r="M37" i="100"/>
  <c r="M36" i="100"/>
  <c r="M35" i="100"/>
  <c r="M34" i="100"/>
  <c r="M33" i="100"/>
  <c r="M32" i="100"/>
  <c r="M31" i="100"/>
  <c r="M30" i="100"/>
  <c r="M29" i="100"/>
  <c r="M28" i="100"/>
  <c r="M27" i="100"/>
  <c r="M26" i="100"/>
  <c r="M25" i="100"/>
  <c r="M24" i="100"/>
  <c r="M23" i="100"/>
  <c r="M22" i="100"/>
  <c r="M21" i="100"/>
  <c r="M20" i="100"/>
  <c r="M19" i="100"/>
  <c r="M18" i="100"/>
  <c r="M17" i="100"/>
  <c r="M16" i="100"/>
  <c r="M15" i="100"/>
  <c r="M14" i="100"/>
  <c r="M13" i="100"/>
  <c r="M12" i="100"/>
  <c r="M11" i="100"/>
  <c r="M10" i="100"/>
  <c r="M9" i="100"/>
  <c r="M8" i="100"/>
  <c r="M7" i="100"/>
  <c r="M6" i="100"/>
  <c r="M5" i="100"/>
  <c r="L40" i="100"/>
  <c r="L39" i="100"/>
  <c r="L38" i="100"/>
  <c r="L37" i="100"/>
  <c r="L36" i="100"/>
  <c r="L35" i="100"/>
  <c r="L34" i="100"/>
  <c r="L33" i="100"/>
  <c r="L32" i="100"/>
  <c r="L31" i="100"/>
  <c r="L30" i="100"/>
  <c r="L29" i="100"/>
  <c r="L28" i="100"/>
  <c r="L27" i="100"/>
  <c r="L26" i="100"/>
  <c r="L25" i="100"/>
  <c r="L24" i="100"/>
  <c r="L23" i="100"/>
  <c r="L22" i="100"/>
  <c r="L21" i="100"/>
  <c r="L20" i="100"/>
  <c r="L19" i="100"/>
  <c r="L18" i="100"/>
  <c r="L17" i="100"/>
  <c r="L16" i="100"/>
  <c r="L15" i="100"/>
  <c r="L14" i="100"/>
  <c r="L13" i="100"/>
  <c r="L12" i="100"/>
  <c r="L11" i="100"/>
  <c r="L10" i="100"/>
  <c r="L9" i="100"/>
  <c r="L8" i="100"/>
  <c r="L7" i="100"/>
  <c r="L6" i="100"/>
  <c r="L5" i="100"/>
  <c r="K40" i="100"/>
  <c r="K39" i="100"/>
  <c r="K38" i="100"/>
  <c r="K37" i="100"/>
  <c r="K36" i="100"/>
  <c r="K35" i="100"/>
  <c r="K34" i="100"/>
  <c r="K33" i="100"/>
  <c r="K32" i="100"/>
  <c r="K31" i="100"/>
  <c r="K30" i="100"/>
  <c r="K29" i="100"/>
  <c r="K28" i="100"/>
  <c r="K27" i="100"/>
  <c r="K26" i="100"/>
  <c r="K25" i="100"/>
  <c r="K24" i="100"/>
  <c r="K23" i="100"/>
  <c r="K22" i="100"/>
  <c r="K21" i="100"/>
  <c r="K20" i="100"/>
  <c r="K19" i="100"/>
  <c r="K18" i="100"/>
  <c r="K17" i="100"/>
  <c r="K16" i="100"/>
  <c r="K15" i="100"/>
  <c r="K14" i="100"/>
  <c r="K13" i="100"/>
  <c r="K12" i="100"/>
  <c r="K11" i="100"/>
  <c r="K10" i="100"/>
  <c r="K9" i="100"/>
  <c r="K8" i="100"/>
  <c r="K7" i="100"/>
  <c r="K6" i="100"/>
  <c r="K5" i="100"/>
  <c r="J40" i="100"/>
  <c r="J39" i="100"/>
  <c r="J38" i="100"/>
  <c r="J37" i="100"/>
  <c r="J36" i="100"/>
  <c r="J35" i="100"/>
  <c r="J34" i="100"/>
  <c r="J33" i="100"/>
  <c r="J32" i="100"/>
  <c r="J31" i="100"/>
  <c r="J30" i="100"/>
  <c r="J29" i="100"/>
  <c r="J28" i="100"/>
  <c r="J27" i="100"/>
  <c r="J26" i="100"/>
  <c r="J25" i="100"/>
  <c r="J24" i="100"/>
  <c r="J23" i="100"/>
  <c r="J22" i="100"/>
  <c r="J21" i="100"/>
  <c r="J20" i="100"/>
  <c r="J19" i="100"/>
  <c r="J18" i="100"/>
  <c r="J17" i="100"/>
  <c r="J16" i="100"/>
  <c r="J15" i="100"/>
  <c r="J14" i="100"/>
  <c r="J13" i="100"/>
  <c r="J12" i="100"/>
  <c r="J11" i="100"/>
  <c r="J10" i="100"/>
  <c r="J9" i="100"/>
  <c r="J8" i="100"/>
  <c r="J7" i="100"/>
  <c r="J6" i="100"/>
  <c r="J5" i="100"/>
  <c r="I40" i="100"/>
  <c r="I39" i="100"/>
  <c r="I38" i="100"/>
  <c r="I37" i="100"/>
  <c r="I36" i="100"/>
  <c r="I35" i="100"/>
  <c r="I34" i="100"/>
  <c r="I33" i="100"/>
  <c r="I32" i="100"/>
  <c r="I31" i="100"/>
  <c r="I30" i="100"/>
  <c r="I29" i="100"/>
  <c r="I28" i="100"/>
  <c r="I27" i="100"/>
  <c r="I26" i="100"/>
  <c r="I25" i="100"/>
  <c r="I24" i="100"/>
  <c r="I23" i="100"/>
  <c r="I22" i="100"/>
  <c r="I21" i="100"/>
  <c r="I20" i="100"/>
  <c r="I19" i="100"/>
  <c r="I18" i="100"/>
  <c r="I17" i="100"/>
  <c r="I16" i="100"/>
  <c r="I15" i="100"/>
  <c r="I14" i="100"/>
  <c r="I13" i="100"/>
  <c r="I12" i="100"/>
  <c r="I11" i="100"/>
  <c r="I10" i="100"/>
  <c r="I9" i="100"/>
  <c r="I8" i="100"/>
  <c r="I7" i="100"/>
  <c r="I6" i="100"/>
  <c r="I5" i="100"/>
  <c r="H6" i="100"/>
  <c r="H7" i="100"/>
  <c r="H8" i="100"/>
  <c r="H9" i="100"/>
  <c r="H10" i="100"/>
  <c r="H11" i="100"/>
  <c r="H12" i="100"/>
  <c r="H13" i="100"/>
  <c r="H14" i="100"/>
  <c r="H15" i="100"/>
  <c r="H16" i="100"/>
  <c r="H17" i="100"/>
  <c r="H18" i="100"/>
  <c r="H19" i="100"/>
  <c r="H20" i="100"/>
  <c r="H21" i="100"/>
  <c r="H22" i="100"/>
  <c r="H23" i="100"/>
  <c r="H24" i="100"/>
  <c r="H25" i="100"/>
  <c r="H26" i="100"/>
  <c r="H27" i="100"/>
  <c r="H28" i="100"/>
  <c r="H29" i="100"/>
  <c r="H30" i="100"/>
  <c r="H31" i="100"/>
  <c r="H32" i="100"/>
  <c r="H33" i="100"/>
  <c r="H34" i="100"/>
  <c r="H35" i="100"/>
  <c r="H36" i="100"/>
  <c r="H37" i="100"/>
  <c r="H38" i="100"/>
  <c r="H39" i="100"/>
  <c r="H40" i="100"/>
  <c r="H5" i="100"/>
  <c r="F40" i="100"/>
  <c r="F39" i="100"/>
  <c r="F38" i="100"/>
  <c r="F37" i="100"/>
  <c r="F36" i="100"/>
  <c r="F35" i="100"/>
  <c r="F34" i="100"/>
  <c r="F33" i="100"/>
  <c r="F32" i="100"/>
  <c r="F31" i="100"/>
  <c r="F30" i="100"/>
  <c r="F29" i="100"/>
  <c r="F28" i="100"/>
  <c r="F27" i="100"/>
  <c r="F26" i="100"/>
  <c r="F25" i="100"/>
  <c r="F24" i="100"/>
  <c r="F23" i="100"/>
  <c r="F22" i="100"/>
  <c r="F21" i="100"/>
  <c r="F20" i="100"/>
  <c r="F19" i="100"/>
  <c r="F18" i="100"/>
  <c r="F17" i="100"/>
  <c r="F16" i="100"/>
  <c r="F15" i="100"/>
  <c r="F14" i="100"/>
  <c r="F13" i="100"/>
  <c r="F12" i="100"/>
  <c r="F11" i="100"/>
  <c r="F10" i="100"/>
  <c r="F9" i="100"/>
  <c r="F8" i="100"/>
  <c r="F7" i="100"/>
  <c r="F6" i="100"/>
  <c r="F5" i="100"/>
  <c r="E40" i="100"/>
  <c r="E39" i="100"/>
  <c r="E38" i="100"/>
  <c r="E37" i="100"/>
  <c r="E36" i="100"/>
  <c r="E35" i="100"/>
  <c r="E34" i="100"/>
  <c r="E33" i="100"/>
  <c r="E32" i="100"/>
  <c r="E31" i="100"/>
  <c r="E30" i="100"/>
  <c r="E29" i="100"/>
  <c r="E28" i="100"/>
  <c r="E27" i="100"/>
  <c r="E26" i="100"/>
  <c r="E25" i="100"/>
  <c r="E24" i="100"/>
  <c r="E23" i="100"/>
  <c r="E22" i="100"/>
  <c r="E21" i="100"/>
  <c r="E20" i="100"/>
  <c r="E19" i="100"/>
  <c r="E18" i="100"/>
  <c r="E17" i="100"/>
  <c r="E16" i="100"/>
  <c r="E15" i="100"/>
  <c r="E14" i="100"/>
  <c r="E13" i="100"/>
  <c r="E12" i="100"/>
  <c r="E11" i="100"/>
  <c r="E10" i="100"/>
  <c r="E9" i="100"/>
  <c r="E8" i="100"/>
  <c r="E7" i="100"/>
  <c r="E6" i="100"/>
  <c r="E5" i="100"/>
  <c r="D40" i="100"/>
  <c r="D39" i="100"/>
  <c r="D38" i="100"/>
  <c r="D37" i="100"/>
  <c r="D36" i="100"/>
  <c r="D35" i="100"/>
  <c r="D34" i="100"/>
  <c r="D33" i="100"/>
  <c r="D32" i="100"/>
  <c r="D31" i="100"/>
  <c r="D30" i="100"/>
  <c r="D29" i="100"/>
  <c r="D28" i="100"/>
  <c r="D27" i="100"/>
  <c r="D26" i="100"/>
  <c r="D25" i="100"/>
  <c r="D24" i="100"/>
  <c r="D23" i="100"/>
  <c r="D22" i="100"/>
  <c r="D21" i="100"/>
  <c r="D20" i="100"/>
  <c r="D19" i="100"/>
  <c r="D18" i="100"/>
  <c r="D17" i="100"/>
  <c r="D16" i="100"/>
  <c r="D15" i="100"/>
  <c r="D14" i="100"/>
  <c r="D13" i="100"/>
  <c r="D12" i="100"/>
  <c r="D11" i="100"/>
  <c r="D10" i="100"/>
  <c r="D9" i="100"/>
  <c r="D8" i="100"/>
  <c r="D7" i="100"/>
  <c r="D6" i="100"/>
  <c r="D5" i="100"/>
  <c r="C6" i="100"/>
  <c r="C7" i="100"/>
  <c r="C8" i="100"/>
  <c r="C9" i="100"/>
  <c r="C10" i="100"/>
  <c r="C11" i="100"/>
  <c r="C12" i="100"/>
  <c r="C13" i="100"/>
  <c r="C14" i="100"/>
  <c r="C15" i="100"/>
  <c r="C16" i="100"/>
  <c r="C17" i="100"/>
  <c r="C18" i="100"/>
  <c r="C19" i="100"/>
  <c r="C20" i="100"/>
  <c r="C21" i="100"/>
  <c r="C22" i="100"/>
  <c r="C23" i="100"/>
  <c r="C24" i="100"/>
  <c r="C25" i="100"/>
  <c r="C26" i="100"/>
  <c r="C27" i="100"/>
  <c r="C28" i="100"/>
  <c r="C29" i="100"/>
  <c r="C30" i="100"/>
  <c r="C31" i="100"/>
  <c r="C32" i="100"/>
  <c r="C33" i="100"/>
  <c r="C34" i="100"/>
  <c r="C35" i="100"/>
  <c r="C36" i="100"/>
  <c r="C37" i="100"/>
  <c r="C38" i="100"/>
  <c r="C39" i="100"/>
  <c r="C40" i="100"/>
  <c r="AK40" i="99"/>
  <c r="AK39" i="99"/>
  <c r="AK38" i="99"/>
  <c r="AK37" i="99"/>
  <c r="AK36" i="99"/>
  <c r="AK35" i="99"/>
  <c r="AK34" i="99"/>
  <c r="AK33" i="99"/>
  <c r="AK32" i="99"/>
  <c r="AK31" i="99"/>
  <c r="AK30" i="99"/>
  <c r="AK29" i="99"/>
  <c r="AK28" i="99"/>
  <c r="AK27" i="99"/>
  <c r="AK26" i="99"/>
  <c r="AK25" i="99"/>
  <c r="AK24" i="99"/>
  <c r="AK23" i="99"/>
  <c r="AK22" i="99"/>
  <c r="AK21" i="99"/>
  <c r="AK20" i="99"/>
  <c r="AK19" i="99"/>
  <c r="AK18" i="99"/>
  <c r="AK17" i="99"/>
  <c r="AK16" i="99"/>
  <c r="AK15" i="99"/>
  <c r="AK14" i="99"/>
  <c r="AK13" i="99"/>
  <c r="AK12" i="99"/>
  <c r="AK11" i="99"/>
  <c r="AK10" i="99"/>
  <c r="AK9" i="99"/>
  <c r="AK8" i="99"/>
  <c r="AK7" i="99"/>
  <c r="AK6" i="99"/>
  <c r="AK5" i="99"/>
  <c r="AJ6" i="99"/>
  <c r="AJ7" i="99"/>
  <c r="AJ8" i="99"/>
  <c r="AJ9" i="99"/>
  <c r="AJ10" i="99"/>
  <c r="AJ11" i="99"/>
  <c r="AJ12" i="99"/>
  <c r="AJ13" i="99"/>
  <c r="AJ14" i="99"/>
  <c r="AJ15" i="99"/>
  <c r="AJ16" i="99"/>
  <c r="AJ17" i="99"/>
  <c r="AJ18" i="99"/>
  <c r="AJ19" i="99"/>
  <c r="AJ20" i="99"/>
  <c r="AJ21" i="99"/>
  <c r="AJ22" i="99"/>
  <c r="AJ23" i="99"/>
  <c r="AJ24" i="99"/>
  <c r="AJ25" i="99"/>
  <c r="AJ26" i="99"/>
  <c r="AJ27" i="99"/>
  <c r="AJ28" i="99"/>
  <c r="AJ29" i="99"/>
  <c r="AJ30" i="99"/>
  <c r="AJ31" i="99"/>
  <c r="AJ32" i="99"/>
  <c r="AJ33" i="99"/>
  <c r="AJ34" i="99"/>
  <c r="AJ35" i="99"/>
  <c r="AJ36" i="99"/>
  <c r="AJ37" i="99"/>
  <c r="AJ38" i="99"/>
  <c r="AJ39" i="99"/>
  <c r="AJ40" i="99"/>
  <c r="AJ5" i="99"/>
  <c r="X40" i="99"/>
  <c r="X39" i="99"/>
  <c r="X38" i="99"/>
  <c r="X37" i="99"/>
  <c r="X36" i="99"/>
  <c r="X35" i="99"/>
  <c r="X34" i="99"/>
  <c r="X33" i="99"/>
  <c r="X32" i="99"/>
  <c r="X31" i="99"/>
  <c r="X30" i="99"/>
  <c r="X29" i="99"/>
  <c r="X28" i="99"/>
  <c r="X27" i="99"/>
  <c r="X26" i="99"/>
  <c r="X25" i="99"/>
  <c r="X24" i="99"/>
  <c r="X23" i="99"/>
  <c r="X22" i="99"/>
  <c r="X21" i="99"/>
  <c r="X20" i="99"/>
  <c r="X19" i="99"/>
  <c r="X18" i="99"/>
  <c r="X17" i="99"/>
  <c r="X16" i="99"/>
  <c r="X15" i="99"/>
  <c r="X14" i="99"/>
  <c r="X13" i="99"/>
  <c r="X12" i="99"/>
  <c r="X11" i="99"/>
  <c r="X10" i="99"/>
  <c r="X9" i="99"/>
  <c r="X8" i="99"/>
  <c r="X7" i="99"/>
  <c r="X6" i="99"/>
  <c r="X5" i="99"/>
  <c r="W40" i="99"/>
  <c r="W39" i="99"/>
  <c r="W38" i="99"/>
  <c r="W37" i="99"/>
  <c r="W36" i="99"/>
  <c r="W35" i="99"/>
  <c r="W34" i="99"/>
  <c r="W33" i="99"/>
  <c r="W32" i="99"/>
  <c r="W31" i="99"/>
  <c r="W30" i="99"/>
  <c r="W29" i="99"/>
  <c r="W28" i="99"/>
  <c r="W27" i="99"/>
  <c r="W26" i="99"/>
  <c r="W25" i="99"/>
  <c r="W24" i="99"/>
  <c r="W23" i="99"/>
  <c r="W22" i="99"/>
  <c r="W21" i="99"/>
  <c r="W20" i="99"/>
  <c r="W19" i="99"/>
  <c r="W18" i="99"/>
  <c r="W17" i="99"/>
  <c r="W16" i="99"/>
  <c r="W15" i="99"/>
  <c r="W14" i="99"/>
  <c r="W13" i="99"/>
  <c r="W12" i="99"/>
  <c r="W11" i="99"/>
  <c r="W10" i="99"/>
  <c r="W9" i="99"/>
  <c r="W8" i="99"/>
  <c r="W7" i="99"/>
  <c r="W6" i="99"/>
  <c r="W5" i="99"/>
  <c r="V40" i="99"/>
  <c r="V39" i="99"/>
  <c r="V38" i="99"/>
  <c r="V37" i="99"/>
  <c r="V36" i="99"/>
  <c r="V35" i="99"/>
  <c r="V34" i="99"/>
  <c r="V33" i="99"/>
  <c r="V32" i="99"/>
  <c r="V31" i="99"/>
  <c r="V30" i="99"/>
  <c r="V29" i="99"/>
  <c r="V28" i="99"/>
  <c r="V27" i="99"/>
  <c r="V26" i="99"/>
  <c r="V25" i="99"/>
  <c r="V24" i="99"/>
  <c r="V23" i="99"/>
  <c r="V22" i="99"/>
  <c r="V21" i="99"/>
  <c r="V20" i="99"/>
  <c r="V19" i="99"/>
  <c r="V18" i="99"/>
  <c r="V17" i="99"/>
  <c r="V16" i="99"/>
  <c r="V15" i="99"/>
  <c r="V14" i="99"/>
  <c r="V13" i="99"/>
  <c r="V12" i="99"/>
  <c r="V11" i="99"/>
  <c r="V10" i="99"/>
  <c r="V9" i="99"/>
  <c r="V8" i="99"/>
  <c r="V7" i="99"/>
  <c r="V6" i="99"/>
  <c r="V5" i="99"/>
  <c r="U6" i="99"/>
  <c r="U7" i="99"/>
  <c r="U8" i="99"/>
  <c r="U9" i="99"/>
  <c r="U10" i="99"/>
  <c r="U11" i="99"/>
  <c r="U12" i="99"/>
  <c r="U13" i="99"/>
  <c r="U14" i="99"/>
  <c r="U15" i="99"/>
  <c r="U16" i="99"/>
  <c r="U17" i="99"/>
  <c r="U18" i="99"/>
  <c r="U19" i="99"/>
  <c r="U20" i="99"/>
  <c r="U21" i="99"/>
  <c r="U22" i="99"/>
  <c r="U23" i="99"/>
  <c r="U24" i="99"/>
  <c r="U25" i="99"/>
  <c r="U26" i="99"/>
  <c r="U27" i="99"/>
  <c r="U28" i="99"/>
  <c r="U29" i="99"/>
  <c r="U30" i="99"/>
  <c r="U31" i="99"/>
  <c r="U32" i="99"/>
  <c r="U33" i="99"/>
  <c r="U34" i="99"/>
  <c r="U35" i="99"/>
  <c r="U36" i="99"/>
  <c r="U37" i="99"/>
  <c r="U38" i="99"/>
  <c r="U39" i="99"/>
  <c r="U40" i="99"/>
  <c r="S40" i="99"/>
  <c r="S39" i="99"/>
  <c r="S38" i="99"/>
  <c r="S37" i="99"/>
  <c r="S36" i="99"/>
  <c r="S35" i="99"/>
  <c r="S34" i="99"/>
  <c r="S33" i="99"/>
  <c r="S32" i="99"/>
  <c r="S31" i="99"/>
  <c r="S30" i="99"/>
  <c r="S29" i="99"/>
  <c r="AM29" i="99" s="1"/>
  <c r="S28" i="99"/>
  <c r="S27" i="99"/>
  <c r="S26" i="99"/>
  <c r="S25" i="99"/>
  <c r="S24" i="99"/>
  <c r="S23" i="99"/>
  <c r="S22" i="99"/>
  <c r="AM22" i="99" s="1"/>
  <c r="S21" i="99"/>
  <c r="S20" i="99"/>
  <c r="S19" i="99"/>
  <c r="S18" i="99"/>
  <c r="S17" i="99"/>
  <c r="S16" i="99"/>
  <c r="S15" i="99"/>
  <c r="S14" i="99"/>
  <c r="S13" i="99"/>
  <c r="S12" i="99"/>
  <c r="AM12" i="99" s="1"/>
  <c r="S11" i="99"/>
  <c r="S10" i="99"/>
  <c r="S9" i="99"/>
  <c r="S8" i="99"/>
  <c r="S7" i="99"/>
  <c r="S6" i="99"/>
  <c r="S5" i="99"/>
  <c r="R6" i="99"/>
  <c r="R7" i="99"/>
  <c r="R8" i="99"/>
  <c r="R9" i="99"/>
  <c r="R10" i="99"/>
  <c r="R11" i="99"/>
  <c r="R12" i="99"/>
  <c r="R13" i="99"/>
  <c r="R14" i="99"/>
  <c r="R15" i="99"/>
  <c r="R16" i="99"/>
  <c r="R17" i="99"/>
  <c r="R18" i="99"/>
  <c r="AL18" i="99" s="1"/>
  <c r="R19" i="99"/>
  <c r="R20" i="99"/>
  <c r="AL20" i="99" s="1"/>
  <c r="R21" i="99"/>
  <c r="R22" i="99"/>
  <c r="R23" i="99"/>
  <c r="R24" i="99"/>
  <c r="R25" i="99"/>
  <c r="R26" i="99"/>
  <c r="R27" i="99"/>
  <c r="R28" i="99"/>
  <c r="R29" i="99"/>
  <c r="AL29" i="99" s="1"/>
  <c r="R30" i="99"/>
  <c r="AL30" i="99" s="1"/>
  <c r="R31" i="99"/>
  <c r="R32" i="99"/>
  <c r="R33" i="99"/>
  <c r="R34" i="99"/>
  <c r="R35" i="99"/>
  <c r="R36" i="99"/>
  <c r="R37" i="99"/>
  <c r="R38" i="99"/>
  <c r="R39" i="99"/>
  <c r="R40" i="99"/>
  <c r="R5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P24" i="99"/>
  <c r="P23" i="99"/>
  <c r="P22" i="99"/>
  <c r="P21" i="99"/>
  <c r="P20" i="99"/>
  <c r="P19" i="99"/>
  <c r="P18" i="99"/>
  <c r="P17" i="99"/>
  <c r="P16" i="99"/>
  <c r="P15" i="99"/>
  <c r="P14" i="99"/>
  <c r="P13" i="99"/>
  <c r="P12" i="99"/>
  <c r="P11" i="99"/>
  <c r="P10" i="99"/>
  <c r="P9" i="99"/>
  <c r="P8" i="99"/>
  <c r="P7" i="99"/>
  <c r="P6" i="99"/>
  <c r="P5" i="99"/>
  <c r="O40" i="99"/>
  <c r="O39" i="99"/>
  <c r="O38" i="99"/>
  <c r="O37" i="99"/>
  <c r="O36" i="99"/>
  <c r="O35" i="99"/>
  <c r="O34" i="99"/>
  <c r="O33" i="99"/>
  <c r="O32" i="99"/>
  <c r="O31" i="99"/>
  <c r="O30" i="99"/>
  <c r="O29" i="99"/>
  <c r="O28" i="99"/>
  <c r="O27" i="99"/>
  <c r="O26" i="99"/>
  <c r="O25" i="99"/>
  <c r="O24" i="99"/>
  <c r="O23" i="99"/>
  <c r="O22" i="99"/>
  <c r="O21" i="99"/>
  <c r="O20" i="99"/>
  <c r="O19" i="99"/>
  <c r="O18" i="99"/>
  <c r="O17" i="99"/>
  <c r="O16" i="99"/>
  <c r="O15" i="99"/>
  <c r="O14" i="99"/>
  <c r="O13" i="99"/>
  <c r="O12" i="99"/>
  <c r="O11" i="99"/>
  <c r="O10" i="99"/>
  <c r="O9" i="99"/>
  <c r="O8" i="99"/>
  <c r="O7" i="99"/>
  <c r="O6" i="99"/>
  <c r="O5" i="99"/>
  <c r="N40" i="99"/>
  <c r="N39" i="99"/>
  <c r="N38" i="99"/>
  <c r="N37" i="99"/>
  <c r="N36" i="99"/>
  <c r="N35" i="99"/>
  <c r="N34" i="99"/>
  <c r="N33" i="99"/>
  <c r="N32" i="99"/>
  <c r="N31" i="99"/>
  <c r="N30" i="99"/>
  <c r="N29" i="99"/>
  <c r="N28" i="99"/>
  <c r="N27" i="99"/>
  <c r="N26" i="99"/>
  <c r="N25" i="99"/>
  <c r="N24" i="99"/>
  <c r="N23" i="99"/>
  <c r="N22" i="99"/>
  <c r="N21" i="99"/>
  <c r="N20" i="99"/>
  <c r="N19" i="99"/>
  <c r="N18" i="99"/>
  <c r="N17" i="99"/>
  <c r="N16" i="99"/>
  <c r="N15" i="99"/>
  <c r="N14" i="99"/>
  <c r="N13" i="99"/>
  <c r="N12" i="99"/>
  <c r="N11" i="99"/>
  <c r="N10" i="99"/>
  <c r="N9" i="99"/>
  <c r="N8" i="99"/>
  <c r="N7" i="99"/>
  <c r="N6" i="99"/>
  <c r="N5" i="99"/>
  <c r="M40" i="99"/>
  <c r="M39" i="99"/>
  <c r="M38" i="99"/>
  <c r="M37" i="99"/>
  <c r="M36" i="99"/>
  <c r="M35" i="99"/>
  <c r="M34" i="99"/>
  <c r="M33" i="99"/>
  <c r="M32" i="99"/>
  <c r="M31" i="99"/>
  <c r="M30" i="99"/>
  <c r="M29" i="99"/>
  <c r="M28" i="99"/>
  <c r="M27" i="99"/>
  <c r="M26" i="99"/>
  <c r="M25" i="99"/>
  <c r="M24" i="99"/>
  <c r="M23" i="99"/>
  <c r="M22" i="99"/>
  <c r="M21" i="99"/>
  <c r="M20" i="99"/>
  <c r="M19" i="99"/>
  <c r="M18" i="99"/>
  <c r="M17" i="99"/>
  <c r="M16" i="99"/>
  <c r="M15" i="99"/>
  <c r="M14" i="99"/>
  <c r="M13" i="99"/>
  <c r="M12" i="99"/>
  <c r="M11" i="99"/>
  <c r="M10" i="99"/>
  <c r="M9" i="99"/>
  <c r="M8" i="99"/>
  <c r="M7" i="99"/>
  <c r="M6" i="99"/>
  <c r="M5" i="99"/>
  <c r="L40" i="99"/>
  <c r="L39" i="99"/>
  <c r="L38" i="99"/>
  <c r="L37" i="99"/>
  <c r="L36" i="99"/>
  <c r="L35" i="99"/>
  <c r="L34" i="99"/>
  <c r="L33" i="99"/>
  <c r="L32" i="99"/>
  <c r="L31" i="99"/>
  <c r="L30" i="99"/>
  <c r="L29" i="99"/>
  <c r="L28" i="99"/>
  <c r="L27" i="99"/>
  <c r="L26" i="99"/>
  <c r="L25" i="99"/>
  <c r="L24" i="99"/>
  <c r="L23" i="99"/>
  <c r="L22" i="99"/>
  <c r="L21" i="99"/>
  <c r="L20" i="99"/>
  <c r="L19" i="99"/>
  <c r="L18" i="99"/>
  <c r="L17" i="99"/>
  <c r="L16" i="99"/>
  <c r="L15" i="99"/>
  <c r="L14" i="99"/>
  <c r="L13" i="99"/>
  <c r="L12" i="99"/>
  <c r="L11" i="99"/>
  <c r="L10" i="99"/>
  <c r="L9" i="99"/>
  <c r="L8" i="99"/>
  <c r="L7" i="99"/>
  <c r="L6" i="99"/>
  <c r="L5" i="99"/>
  <c r="K40" i="99"/>
  <c r="K39" i="99"/>
  <c r="K38" i="99"/>
  <c r="K37" i="99"/>
  <c r="K36" i="99"/>
  <c r="K35" i="99"/>
  <c r="K34" i="99"/>
  <c r="K33" i="99"/>
  <c r="K32" i="99"/>
  <c r="K31" i="99"/>
  <c r="K30" i="99"/>
  <c r="K29" i="99"/>
  <c r="K28" i="99"/>
  <c r="K27" i="99"/>
  <c r="K26" i="99"/>
  <c r="K25" i="99"/>
  <c r="K24" i="99"/>
  <c r="K23" i="99"/>
  <c r="K22" i="99"/>
  <c r="K21" i="99"/>
  <c r="K20" i="99"/>
  <c r="K19" i="99"/>
  <c r="K18" i="99"/>
  <c r="K17" i="99"/>
  <c r="K16" i="99"/>
  <c r="K15" i="99"/>
  <c r="K14" i="99"/>
  <c r="K13" i="99"/>
  <c r="K12" i="99"/>
  <c r="K11" i="99"/>
  <c r="K10" i="99"/>
  <c r="K9" i="99"/>
  <c r="K8" i="99"/>
  <c r="K7" i="99"/>
  <c r="K6" i="99"/>
  <c r="K5" i="99"/>
  <c r="J40" i="99"/>
  <c r="J39" i="99"/>
  <c r="J38" i="99"/>
  <c r="J37" i="99"/>
  <c r="J36" i="99"/>
  <c r="J35" i="99"/>
  <c r="J34" i="99"/>
  <c r="J33" i="99"/>
  <c r="J32" i="99"/>
  <c r="J31" i="99"/>
  <c r="J30" i="99"/>
  <c r="J29" i="99"/>
  <c r="J28" i="99"/>
  <c r="J27" i="99"/>
  <c r="J26" i="99"/>
  <c r="J25" i="99"/>
  <c r="J24" i="99"/>
  <c r="J23" i="99"/>
  <c r="J22" i="99"/>
  <c r="J21" i="99"/>
  <c r="J20" i="99"/>
  <c r="J19" i="99"/>
  <c r="J18" i="99"/>
  <c r="J17" i="99"/>
  <c r="J16" i="99"/>
  <c r="J15" i="99"/>
  <c r="J14" i="99"/>
  <c r="J13" i="99"/>
  <c r="J12" i="99"/>
  <c r="J11" i="99"/>
  <c r="J10" i="99"/>
  <c r="J9" i="99"/>
  <c r="J8" i="99"/>
  <c r="J7" i="99"/>
  <c r="J6" i="99"/>
  <c r="J5" i="99"/>
  <c r="I40" i="99"/>
  <c r="I39" i="99"/>
  <c r="I38" i="99"/>
  <c r="I37" i="99"/>
  <c r="I36" i="99"/>
  <c r="I35" i="99"/>
  <c r="I34" i="99"/>
  <c r="I33" i="99"/>
  <c r="I32" i="99"/>
  <c r="I31" i="99"/>
  <c r="I30" i="99"/>
  <c r="I29" i="99"/>
  <c r="I28" i="99"/>
  <c r="I27" i="99"/>
  <c r="I26" i="99"/>
  <c r="I25" i="99"/>
  <c r="I24" i="99"/>
  <c r="I23" i="99"/>
  <c r="I22" i="99"/>
  <c r="I21" i="99"/>
  <c r="I20" i="99"/>
  <c r="I19" i="99"/>
  <c r="I18" i="99"/>
  <c r="I17" i="99"/>
  <c r="I16" i="99"/>
  <c r="I15" i="99"/>
  <c r="I14" i="99"/>
  <c r="I13" i="99"/>
  <c r="I12" i="99"/>
  <c r="I11" i="99"/>
  <c r="I10" i="99"/>
  <c r="I9" i="99"/>
  <c r="I8" i="99"/>
  <c r="I7" i="99"/>
  <c r="I6" i="99"/>
  <c r="I5" i="99"/>
  <c r="H6" i="99"/>
  <c r="H7" i="99"/>
  <c r="H8" i="99"/>
  <c r="H9" i="99"/>
  <c r="H10" i="99"/>
  <c r="H11" i="99"/>
  <c r="H12" i="99"/>
  <c r="H13" i="99"/>
  <c r="H14" i="99"/>
  <c r="H15" i="99"/>
  <c r="H16" i="99"/>
  <c r="H17" i="99"/>
  <c r="H18" i="99"/>
  <c r="H19" i="99"/>
  <c r="H20" i="99"/>
  <c r="H21" i="99"/>
  <c r="H22" i="99"/>
  <c r="H23" i="99"/>
  <c r="H24" i="99"/>
  <c r="H25" i="99"/>
  <c r="H26" i="99"/>
  <c r="H27" i="99"/>
  <c r="H28" i="99"/>
  <c r="H29" i="99"/>
  <c r="H30" i="99"/>
  <c r="H31" i="99"/>
  <c r="H32" i="99"/>
  <c r="H33" i="99"/>
  <c r="H34" i="99"/>
  <c r="H35" i="99"/>
  <c r="H36" i="99"/>
  <c r="H37" i="99"/>
  <c r="H38" i="99"/>
  <c r="H39" i="99"/>
  <c r="H40" i="99"/>
  <c r="H5" i="99"/>
  <c r="F40" i="99"/>
  <c r="F39" i="99"/>
  <c r="F38" i="99"/>
  <c r="F37" i="99"/>
  <c r="F36" i="99"/>
  <c r="F35" i="99"/>
  <c r="F34" i="99"/>
  <c r="F33" i="99"/>
  <c r="F32" i="99"/>
  <c r="F31" i="99"/>
  <c r="F30" i="99"/>
  <c r="F29" i="99"/>
  <c r="F28" i="99"/>
  <c r="F27" i="99"/>
  <c r="F26" i="99"/>
  <c r="F25" i="99"/>
  <c r="F24" i="99"/>
  <c r="F23" i="99"/>
  <c r="F22" i="99"/>
  <c r="F21" i="99"/>
  <c r="F20" i="99"/>
  <c r="F19" i="99"/>
  <c r="F18" i="99"/>
  <c r="F17" i="99"/>
  <c r="F16" i="99"/>
  <c r="F15" i="99"/>
  <c r="F14" i="99"/>
  <c r="F13" i="99"/>
  <c r="F12" i="99"/>
  <c r="F11" i="99"/>
  <c r="F10" i="99"/>
  <c r="F9" i="99"/>
  <c r="F8" i="99"/>
  <c r="F7" i="99"/>
  <c r="F6" i="99"/>
  <c r="F5" i="99"/>
  <c r="E40" i="99"/>
  <c r="E39" i="99"/>
  <c r="E38" i="99"/>
  <c r="E37" i="99"/>
  <c r="E36" i="99"/>
  <c r="E35" i="99"/>
  <c r="E34" i="99"/>
  <c r="E33" i="99"/>
  <c r="E32" i="99"/>
  <c r="E31" i="99"/>
  <c r="E30" i="99"/>
  <c r="E29" i="99"/>
  <c r="E28" i="99"/>
  <c r="E27" i="99"/>
  <c r="E26" i="99"/>
  <c r="E25" i="99"/>
  <c r="E24" i="99"/>
  <c r="E23" i="99"/>
  <c r="E22" i="99"/>
  <c r="E21" i="99"/>
  <c r="E20" i="99"/>
  <c r="E19" i="99"/>
  <c r="E18" i="99"/>
  <c r="E17" i="99"/>
  <c r="E16" i="99"/>
  <c r="E15" i="99"/>
  <c r="E14" i="99"/>
  <c r="E13" i="99"/>
  <c r="E12" i="99"/>
  <c r="E11" i="99"/>
  <c r="E10" i="99"/>
  <c r="E9" i="99"/>
  <c r="E8" i="99"/>
  <c r="E7" i="99"/>
  <c r="E6" i="99"/>
  <c r="E5" i="99"/>
  <c r="D40" i="99"/>
  <c r="D39" i="99"/>
  <c r="D38" i="99"/>
  <c r="D37" i="99"/>
  <c r="D36" i="99"/>
  <c r="D35" i="99"/>
  <c r="D34" i="99"/>
  <c r="D33" i="99"/>
  <c r="D32" i="99"/>
  <c r="D31" i="99"/>
  <c r="D30" i="99"/>
  <c r="D29" i="99"/>
  <c r="D28" i="99"/>
  <c r="D27" i="99"/>
  <c r="D26" i="99"/>
  <c r="D25" i="99"/>
  <c r="D24" i="99"/>
  <c r="D23" i="99"/>
  <c r="D22" i="99"/>
  <c r="D21" i="99"/>
  <c r="D20" i="99"/>
  <c r="D19" i="99"/>
  <c r="D18" i="99"/>
  <c r="D17" i="99"/>
  <c r="D16" i="99"/>
  <c r="D15" i="99"/>
  <c r="D14" i="99"/>
  <c r="D13" i="99"/>
  <c r="D12" i="99"/>
  <c r="D11" i="99"/>
  <c r="D10" i="99"/>
  <c r="D9" i="99"/>
  <c r="D8" i="99"/>
  <c r="D7" i="99"/>
  <c r="D6" i="99"/>
  <c r="D5" i="99"/>
  <c r="C6" i="99"/>
  <c r="C7" i="99"/>
  <c r="C8" i="99"/>
  <c r="C9" i="99"/>
  <c r="C10" i="99"/>
  <c r="C11" i="99"/>
  <c r="C12" i="99"/>
  <c r="C13" i="99"/>
  <c r="C14" i="99"/>
  <c r="C15" i="99"/>
  <c r="C16" i="99"/>
  <c r="C17" i="99"/>
  <c r="C18" i="99"/>
  <c r="C19" i="99"/>
  <c r="C20" i="99"/>
  <c r="C21" i="99"/>
  <c r="C22" i="99"/>
  <c r="C23" i="99"/>
  <c r="C24" i="99"/>
  <c r="C25" i="99"/>
  <c r="C26" i="99"/>
  <c r="C27" i="99"/>
  <c r="C28" i="99"/>
  <c r="C29" i="99"/>
  <c r="C30" i="99"/>
  <c r="C31" i="99"/>
  <c r="C32" i="99"/>
  <c r="C33" i="99"/>
  <c r="C34" i="99"/>
  <c r="C35" i="99"/>
  <c r="C36" i="99"/>
  <c r="C37" i="99"/>
  <c r="C38" i="99"/>
  <c r="C39" i="99"/>
  <c r="C40" i="99"/>
  <c r="AM40" i="104"/>
  <c r="AM39" i="104"/>
  <c r="AM38" i="104"/>
  <c r="AL38" i="104"/>
  <c r="AM37" i="104"/>
  <c r="AM36" i="104"/>
  <c r="AL34" i="104"/>
  <c r="AM33" i="104"/>
  <c r="AL25" i="104"/>
  <c r="AM24" i="104"/>
  <c r="AL22" i="104"/>
  <c r="AM22" i="104"/>
  <c r="AM21" i="104"/>
  <c r="AM20" i="104"/>
  <c r="AM15" i="104"/>
  <c r="AL11" i="104"/>
  <c r="AL9" i="104"/>
  <c r="AM8" i="104"/>
  <c r="FN4" i="104"/>
  <c r="FL4" i="104"/>
  <c r="EQ4" i="104"/>
  <c r="EP4" i="104"/>
  <c r="EO4" i="104"/>
  <c r="EN4" i="104"/>
  <c r="EM4" i="104"/>
  <c r="EL4" i="104"/>
  <c r="EK4" i="104"/>
  <c r="EJ4" i="104"/>
  <c r="EI4" i="104"/>
  <c r="EH4" i="104"/>
  <c r="EG4" i="104"/>
  <c r="EF4" i="104"/>
  <c r="EE4" i="104"/>
  <c r="ED4" i="104"/>
  <c r="EC4" i="104"/>
  <c r="EB4" i="104"/>
  <c r="DX4" i="104"/>
  <c r="DW4" i="104"/>
  <c r="DV4" i="104"/>
  <c r="DU4" i="104"/>
  <c r="DT4" i="104"/>
  <c r="DR4" i="104"/>
  <c r="DP4" i="104"/>
  <c r="DN4" i="104"/>
  <c r="DL4" i="104"/>
  <c r="DI4" i="104"/>
  <c r="DF4" i="104"/>
  <c r="DC4" i="104"/>
  <c r="DB4" i="104"/>
  <c r="DA4" i="104"/>
  <c r="CZ4" i="104"/>
  <c r="CY4" i="104"/>
  <c r="CX4" i="104"/>
  <c r="CW4" i="104"/>
  <c r="CV4" i="104"/>
  <c r="CU4" i="104"/>
  <c r="CT4" i="104"/>
  <c r="CS4" i="104"/>
  <c r="CR4" i="104"/>
  <c r="CQ4" i="104"/>
  <c r="CP4" i="104"/>
  <c r="CO4" i="104"/>
  <c r="CN4" i="104"/>
  <c r="CM4" i="104"/>
  <c r="CL4" i="104"/>
  <c r="AM38" i="103"/>
  <c r="AL35" i="103"/>
  <c r="AM35" i="103"/>
  <c r="AL34" i="103"/>
  <c r="AL26" i="103"/>
  <c r="AM23" i="103"/>
  <c r="AL23" i="103"/>
  <c r="AM22" i="103"/>
  <c r="AM19" i="103"/>
  <c r="AM8" i="103"/>
  <c r="AM6" i="103"/>
  <c r="FN4" i="103"/>
  <c r="FL4" i="103"/>
  <c r="EQ4" i="103"/>
  <c r="EP4" i="103"/>
  <c r="EO4" i="103"/>
  <c r="EN4" i="103"/>
  <c r="EM4" i="103"/>
  <c r="EL4" i="103"/>
  <c r="EK4" i="103"/>
  <c r="EJ4" i="103"/>
  <c r="EI4" i="103"/>
  <c r="EH4" i="103"/>
  <c r="EG4" i="103"/>
  <c r="EF4" i="103"/>
  <c r="EE4" i="103"/>
  <c r="ED4" i="103"/>
  <c r="EC4" i="103"/>
  <c r="EB4" i="103"/>
  <c r="DX4" i="103"/>
  <c r="DW4" i="103"/>
  <c r="DV4" i="103"/>
  <c r="DU4" i="103"/>
  <c r="DT4" i="103"/>
  <c r="DR4" i="103"/>
  <c r="DP4" i="103"/>
  <c r="DN4" i="103"/>
  <c r="DL4" i="103"/>
  <c r="DI4" i="103"/>
  <c r="DF4" i="103"/>
  <c r="DC4" i="103"/>
  <c r="DB4" i="103"/>
  <c r="DA4" i="103"/>
  <c r="CZ4" i="103"/>
  <c r="CY4" i="103"/>
  <c r="CX4" i="103"/>
  <c r="CW4" i="103"/>
  <c r="CV4" i="103"/>
  <c r="CU4" i="103"/>
  <c r="CT4" i="103"/>
  <c r="CS4" i="103"/>
  <c r="CR4" i="103"/>
  <c r="CQ4" i="103"/>
  <c r="CP4" i="103"/>
  <c r="CO4" i="103"/>
  <c r="CN4" i="103"/>
  <c r="CM4" i="103"/>
  <c r="CL4" i="103"/>
  <c r="AL38" i="102"/>
  <c r="AM36" i="102"/>
  <c r="AM34" i="102"/>
  <c r="AL33" i="102"/>
  <c r="AM33" i="102"/>
  <c r="AM28" i="102"/>
  <c r="AM27" i="102"/>
  <c r="AL24" i="102"/>
  <c r="AM22" i="102"/>
  <c r="AL18" i="102"/>
  <c r="AM17" i="102"/>
  <c r="AL16" i="102"/>
  <c r="AL6" i="102"/>
  <c r="FN4" i="102"/>
  <c r="FL4" i="102"/>
  <c r="EQ4" i="102"/>
  <c r="EP4" i="102"/>
  <c r="EO4" i="102"/>
  <c r="EN4" i="102"/>
  <c r="EM4" i="102"/>
  <c r="EL4" i="102"/>
  <c r="EK4" i="102"/>
  <c r="EJ4" i="102"/>
  <c r="EI4" i="102"/>
  <c r="EH4" i="102"/>
  <c r="EG4" i="102"/>
  <c r="EF4" i="102"/>
  <c r="EE4" i="102"/>
  <c r="ED4" i="102"/>
  <c r="EC4" i="102"/>
  <c r="EB4" i="102"/>
  <c r="DX4" i="102"/>
  <c r="DW4" i="102"/>
  <c r="DV4" i="102"/>
  <c r="DU4" i="102"/>
  <c r="DT4" i="102"/>
  <c r="DR4" i="102"/>
  <c r="DP4" i="102"/>
  <c r="DN4" i="102"/>
  <c r="DL4" i="102"/>
  <c r="DI4" i="102"/>
  <c r="DF4" i="102"/>
  <c r="DC4" i="102"/>
  <c r="DB4" i="102"/>
  <c r="DA4" i="102"/>
  <c r="CZ4" i="102"/>
  <c r="CY4" i="102"/>
  <c r="CX4" i="102"/>
  <c r="CW4" i="102"/>
  <c r="CV4" i="102"/>
  <c r="CU4" i="102"/>
  <c r="CT4" i="102"/>
  <c r="CS4" i="102"/>
  <c r="CR4" i="102"/>
  <c r="CQ4" i="102"/>
  <c r="CP4" i="102"/>
  <c r="CO4" i="102"/>
  <c r="CN4" i="102"/>
  <c r="CM4" i="102"/>
  <c r="CL4" i="102"/>
  <c r="AK60" i="101"/>
  <c r="AK59" i="101"/>
  <c r="AK58" i="101"/>
  <c r="AK57" i="101"/>
  <c r="AM40" i="101"/>
  <c r="AL40" i="101"/>
  <c r="AM38" i="101"/>
  <c r="AM31" i="101"/>
  <c r="AM29" i="101"/>
  <c r="AM28" i="101"/>
  <c r="AM26" i="101"/>
  <c r="AM21" i="101"/>
  <c r="AL20" i="101"/>
  <c r="AM20" i="101"/>
  <c r="AL19" i="101"/>
  <c r="AM18" i="101"/>
  <c r="AM16" i="101"/>
  <c r="AM15" i="101"/>
  <c r="AM11" i="101"/>
  <c r="AM6" i="101"/>
  <c r="AM5" i="101"/>
  <c r="FN4" i="101"/>
  <c r="FL4" i="101"/>
  <c r="EQ4" i="101"/>
  <c r="EP4" i="101"/>
  <c r="EO4" i="101"/>
  <c r="EN4" i="101"/>
  <c r="EM4" i="101"/>
  <c r="EL4" i="101"/>
  <c r="EK4" i="101"/>
  <c r="EJ4" i="101"/>
  <c r="EI4" i="101"/>
  <c r="EH4" i="101"/>
  <c r="EG4" i="101"/>
  <c r="EF4" i="101"/>
  <c r="EE4" i="101"/>
  <c r="ED4" i="101"/>
  <c r="EC4" i="101"/>
  <c r="EB4" i="101"/>
  <c r="DX4" i="101"/>
  <c r="DW4" i="101"/>
  <c r="DV4" i="101"/>
  <c r="DU4" i="101"/>
  <c r="DT4" i="101"/>
  <c r="DR4" i="101"/>
  <c r="DP4" i="101"/>
  <c r="DN4" i="101"/>
  <c r="DL4" i="101"/>
  <c r="DI4" i="101"/>
  <c r="DF4" i="101"/>
  <c r="DC4" i="101"/>
  <c r="DB4" i="101"/>
  <c r="DA4" i="101"/>
  <c r="CZ4" i="101"/>
  <c r="CY4" i="101"/>
  <c r="CX4" i="101"/>
  <c r="CW4" i="101"/>
  <c r="CV4" i="101"/>
  <c r="CU4" i="101"/>
  <c r="CT4" i="101"/>
  <c r="CS4" i="101"/>
  <c r="CR4" i="101"/>
  <c r="CQ4" i="101"/>
  <c r="CP4" i="101"/>
  <c r="CO4" i="101"/>
  <c r="CN4" i="101"/>
  <c r="CM4" i="101"/>
  <c r="CL4" i="101"/>
  <c r="FN4" i="100"/>
  <c r="FL4" i="100"/>
  <c r="EQ4" i="100"/>
  <c r="EP4" i="100"/>
  <c r="EO4" i="100"/>
  <c r="EN4" i="100"/>
  <c r="EM4" i="100"/>
  <c r="EL4" i="100"/>
  <c r="EK4" i="100"/>
  <c r="EJ4" i="100"/>
  <c r="EI4" i="100"/>
  <c r="EH4" i="100"/>
  <c r="EG4" i="100"/>
  <c r="EF4" i="100"/>
  <c r="EE4" i="100"/>
  <c r="ED4" i="100"/>
  <c r="EC4" i="100"/>
  <c r="EB4" i="100"/>
  <c r="DX4" i="100"/>
  <c r="DW4" i="100"/>
  <c r="DV4" i="100"/>
  <c r="DU4" i="100"/>
  <c r="DT4" i="100"/>
  <c r="DR4" i="100"/>
  <c r="DP4" i="100"/>
  <c r="DN4" i="100"/>
  <c r="DL4" i="100"/>
  <c r="DI4" i="100"/>
  <c r="DF4" i="100"/>
  <c r="DC4" i="100"/>
  <c r="DB4" i="100"/>
  <c r="DA4" i="100"/>
  <c r="CZ4" i="100"/>
  <c r="CY4" i="100"/>
  <c r="CX4" i="100"/>
  <c r="CW4" i="100"/>
  <c r="CV4" i="100"/>
  <c r="CU4" i="100"/>
  <c r="CT4" i="100"/>
  <c r="CS4" i="100"/>
  <c r="CR4" i="100"/>
  <c r="CQ4" i="100"/>
  <c r="CP4" i="100"/>
  <c r="CO4" i="100"/>
  <c r="CN4" i="100"/>
  <c r="CM4" i="100"/>
  <c r="CL4" i="100"/>
  <c r="FN4" i="99"/>
  <c r="FL4" i="99"/>
  <c r="EQ4" i="99"/>
  <c r="EP4" i="99"/>
  <c r="EO4" i="99"/>
  <c r="EN4" i="99"/>
  <c r="EM4" i="99"/>
  <c r="EL4" i="99"/>
  <c r="EK4" i="99"/>
  <c r="EJ4" i="99"/>
  <c r="EI4" i="99"/>
  <c r="EH4" i="99"/>
  <c r="EG4" i="99"/>
  <c r="EF4" i="99"/>
  <c r="EE4" i="99"/>
  <c r="ED4" i="99"/>
  <c r="EC4" i="99"/>
  <c r="EB4" i="99"/>
  <c r="DX4" i="99"/>
  <c r="DW4" i="99"/>
  <c r="DV4" i="99"/>
  <c r="DU4" i="99"/>
  <c r="DT4" i="99"/>
  <c r="DR4" i="99"/>
  <c r="DP4" i="99"/>
  <c r="DN4" i="99"/>
  <c r="DL4" i="99"/>
  <c r="DI4" i="99"/>
  <c r="DF4" i="99"/>
  <c r="DC4" i="99"/>
  <c r="DB4" i="99"/>
  <c r="DA4" i="99"/>
  <c r="CZ4" i="99"/>
  <c r="CY4" i="99"/>
  <c r="CX4" i="99"/>
  <c r="CW4" i="99"/>
  <c r="CV4" i="99"/>
  <c r="CU4" i="99"/>
  <c r="CT4" i="99"/>
  <c r="CS4" i="99"/>
  <c r="CR4" i="99"/>
  <c r="CQ4" i="99"/>
  <c r="CP4" i="99"/>
  <c r="CO4" i="99"/>
  <c r="CN4" i="99"/>
  <c r="CM4" i="99"/>
  <c r="CL4" i="99"/>
  <c r="FB5" i="102" a="1"/>
  <c r="ER5" i="99" a="1"/>
  <c r="EX5" i="102" a="1"/>
  <c r="EV5" i="101" a="1"/>
  <c r="FB5" i="103" a="1"/>
  <c r="ER5" i="101" a="1"/>
  <c r="EZ5" i="101" a="1"/>
  <c r="ET5" i="100" a="1"/>
  <c r="ET5" i="103" a="1"/>
  <c r="EX5" i="100" a="1"/>
  <c r="EZ5" i="99" a="1"/>
  <c r="FB5" i="101" a="1"/>
  <c r="ET5" i="99" a="1"/>
  <c r="ET5" i="101" a="1"/>
  <c r="EV5" i="100" a="1"/>
  <c r="EZ5" i="100" a="1"/>
  <c r="EZ5" i="102" a="1"/>
  <c r="ER5" i="104" a="1"/>
  <c r="ER5" i="100" a="1"/>
  <c r="ET5" i="102" a="1"/>
  <c r="EX5" i="99" a="1"/>
  <c r="FB5" i="104" a="1"/>
  <c r="EV5" i="104" a="1"/>
  <c r="EX5" i="101" a="1"/>
  <c r="ER5" i="103" a="1"/>
  <c r="ET5" i="104" a="1"/>
  <c r="EV5" i="102" a="1"/>
  <c r="EX5" i="104" a="1"/>
  <c r="EV5" i="99" a="1"/>
  <c r="ER5" i="102" a="1"/>
  <c r="FB5" i="99" a="1"/>
  <c r="EV5" i="103" a="1"/>
  <c r="FB5" i="100" a="1"/>
  <c r="EX5" i="103" a="1"/>
  <c r="EZ5" i="104" a="1"/>
  <c r="EZ5" i="103" a="1"/>
  <c r="AP21" i="101" a="1"/>
  <c r="AQ17" i="99" a="1"/>
  <c r="AZ37" i="102" a="1"/>
  <c r="AU11" i="99" a="1"/>
  <c r="AZ11" i="103" a="1"/>
  <c r="AZ39" i="102" a="1"/>
  <c r="AX21" i="100" a="1"/>
  <c r="AX19" i="103" a="1"/>
  <c r="AU17" i="102" a="1"/>
  <c r="AS35" i="103" a="1"/>
  <c r="AZ31" i="101" a="1"/>
  <c r="DK5" i="103" a="1"/>
  <c r="AR29" i="99" a="1"/>
  <c r="AX37" i="102" a="1"/>
  <c r="AX11" i="104" a="1"/>
  <c r="AZ11" i="99" a="1"/>
  <c r="AX27" i="101" a="1"/>
  <c r="AX35" i="104" a="1"/>
  <c r="AV29" i="104" a="1"/>
  <c r="AW11" i="100" a="1"/>
  <c r="AV31" i="100" a="1"/>
  <c r="DK5" i="102" a="1"/>
  <c r="AU29" i="102" a="1"/>
  <c r="AT29" i="102" a="1"/>
  <c r="DK5" i="99" a="1"/>
  <c r="BA11" i="104" a="1"/>
  <c r="AY35" i="104" a="1"/>
  <c r="AT29" i="104" a="1"/>
  <c r="AT15" i="104" a="1"/>
  <c r="AV5" i="102" a="1"/>
  <c r="AU17" i="101" a="1"/>
  <c r="AP11" i="100" a="1"/>
  <c r="AT33" i="102" a="1"/>
  <c r="AX13" i="103" a="1"/>
  <c r="AZ23" i="99" a="1"/>
  <c r="AQ11" i="100" a="1"/>
  <c r="AZ13" i="104" a="1"/>
  <c r="BA29" i="101" a="1"/>
  <c r="DH5" i="102" a="1"/>
  <c r="AX19" i="102" a="1"/>
  <c r="AT37" i="103" a="1"/>
  <c r="AT23" i="101" a="1"/>
  <c r="AQ5" i="104" a="1"/>
  <c r="AP7" i="99" a="1"/>
  <c r="AT21" i="100" a="1"/>
  <c r="BA35" i="101" a="1"/>
  <c r="AX21" i="102" a="1"/>
  <c r="AW23" i="104" a="1"/>
  <c r="AZ27" i="99" a="1"/>
  <c r="AR17" i="104" a="1"/>
  <c r="AS11" i="100" a="1"/>
  <c r="AU29" i="103" a="1"/>
  <c r="AV13" i="101" a="1"/>
  <c r="AW11" i="103" a="1"/>
  <c r="BA29" i="102" a="1"/>
  <c r="AP25" i="102" a="1"/>
  <c r="DQ5" i="100" a="1"/>
  <c r="AV7" i="103" a="1"/>
  <c r="AP31" i="101" a="1"/>
  <c r="AW5" i="103" a="1"/>
  <c r="AY35" i="103" a="1"/>
  <c r="AP39" i="100" a="1"/>
  <c r="AX33" i="103" a="1"/>
  <c r="AU29" i="100" a="1"/>
  <c r="AZ15" i="100" a="1"/>
  <c r="AP27" i="99" a="1"/>
  <c r="AP11" i="103" a="1"/>
  <c r="AS35" i="99" a="1"/>
  <c r="AS35" i="104" a="1"/>
  <c r="AZ29" i="102" a="1"/>
  <c r="AW17" i="99" a="1"/>
  <c r="AZ29" i="103" a="1"/>
  <c r="AW35" i="101" a="1"/>
  <c r="AZ9" i="104" a="1"/>
  <c r="AT21" i="102" a="1"/>
  <c r="AP33" i="101" a="1"/>
  <c r="AZ5" i="104" a="1"/>
  <c r="AV19" i="103" a="1"/>
  <c r="AX17" i="104" a="1"/>
  <c r="AV15" i="100" a="1"/>
  <c r="AP5" i="100" a="1"/>
  <c r="AT33" i="100" a="1"/>
  <c r="AZ25" i="104" a="1"/>
  <c r="AZ9" i="100" a="1"/>
  <c r="AV9" i="99" a="1"/>
  <c r="AU5" i="103" a="1"/>
  <c r="AT19" i="102" a="1"/>
  <c r="AX7" i="101" a="1"/>
  <c r="AT33" i="104" a="1"/>
  <c r="AU35" i="100" a="1"/>
  <c r="AQ17" i="103" a="1"/>
  <c r="AX11" i="100" a="1"/>
  <c r="AP35" i="102" a="1"/>
  <c r="AV9" i="104" a="1"/>
  <c r="DK5" i="100" a="1"/>
  <c r="AT15" i="102" a="1"/>
  <c r="AP17" i="102" a="1"/>
  <c r="AP25" i="101" a="1"/>
  <c r="AP15" i="101" a="1"/>
  <c r="AT27" i="101" a="1"/>
  <c r="AV33" i="99" a="1"/>
  <c r="AY5" i="102" a="1"/>
  <c r="AV35" i="101" a="1"/>
  <c r="AT17" i="104" a="1"/>
  <c r="AS29" i="102" a="1"/>
  <c r="AZ39" i="103" a="1"/>
  <c r="AX21" i="103" a="1"/>
  <c r="AY5" i="104" a="1"/>
  <c r="AU23" i="104" a="1"/>
  <c r="AR5" i="103" a="1"/>
  <c r="AP9" i="100" a="1"/>
  <c r="AY11" i="101" a="1"/>
  <c r="AT15" i="103" a="1"/>
  <c r="AZ5" i="102" a="1"/>
  <c r="AT17" i="101" a="1"/>
  <c r="AX13" i="99" a="1"/>
  <c r="AV13" i="99" a="1"/>
  <c r="BA5" i="101" a="1"/>
  <c r="AX39" i="103" a="1"/>
  <c r="AW5" i="101" a="1"/>
  <c r="AW23" i="102" a="1"/>
  <c r="AX29" i="101" a="1"/>
  <c r="AV23" i="100" a="1"/>
  <c r="AX37" i="101" a="1"/>
  <c r="AZ29" i="101" a="1"/>
  <c r="DQ5" i="103" a="1"/>
  <c r="AR35" i="99" a="1"/>
  <c r="AY23" i="103" a="1"/>
  <c r="BA29" i="104" a="1"/>
  <c r="AS17" i="102" a="1"/>
  <c r="AP21" i="100" a="1"/>
  <c r="AX39" i="100" a="1"/>
  <c r="AR35" i="100" a="1"/>
  <c r="AZ31" i="103" a="1"/>
  <c r="AZ21" i="99" a="1"/>
  <c r="AX31" i="104" a="1"/>
  <c r="AX21" i="101" a="1"/>
  <c r="AT5" i="100" a="1"/>
  <c r="AP27" i="100" a="1"/>
  <c r="AZ7" i="99" a="1"/>
  <c r="AY5" i="103" a="1"/>
  <c r="AW17" i="101" a="1"/>
  <c r="AT5" i="103" a="1"/>
  <c r="AP13" i="101" a="1"/>
  <c r="AU11" i="104" a="1"/>
  <c r="AT29" i="99" a="1"/>
  <c r="AP39" i="103" a="1"/>
  <c r="AX27" i="104" a="1"/>
  <c r="AQ35" i="102" a="1"/>
  <c r="AZ27" i="102" a="1"/>
  <c r="AY17" i="103" a="1"/>
  <c r="AX15" i="99" a="1"/>
  <c r="AX25" i="101" a="1"/>
  <c r="AU11" i="103" a="1"/>
  <c r="AX31" i="101" a="1"/>
  <c r="AV13" i="102" a="1"/>
  <c r="AX9" i="99" a="1"/>
  <c r="AP17" i="104" a="1"/>
  <c r="AX5" i="99" a="1"/>
  <c r="AU17" i="104" a="1"/>
  <c r="AW23" i="100" a="1"/>
  <c r="AV37" i="103" a="1"/>
  <c r="AP15" i="100" a="1"/>
  <c r="AW29" i="103" a="1"/>
  <c r="AV19" i="102" a="1"/>
  <c r="AT7" i="100" a="1"/>
  <c r="AV35" i="104" a="1"/>
  <c r="AW17" i="104" a="1"/>
  <c r="DE5" i="102" a="1"/>
  <c r="AZ21" i="100" a="1"/>
  <c r="AZ29" i="100" a="1"/>
  <c r="AY29" i="99" a="1"/>
  <c r="AV11" i="102" a="1"/>
  <c r="DE5" i="104" a="1"/>
  <c r="AV31" i="102" a="1"/>
  <c r="AZ31" i="102" a="1"/>
  <c r="AW23" i="101" a="1"/>
  <c r="AU29" i="101" a="1"/>
  <c r="AT23" i="100" a="1"/>
  <c r="AZ21" i="102" a="1"/>
  <c r="AS11" i="103" a="1"/>
  <c r="AY11" i="103" a="1"/>
  <c r="AU29" i="104" a="1"/>
  <c r="AT35" i="99" a="1"/>
  <c r="AT9" i="99" a="1"/>
  <c r="AP13" i="99" a="1"/>
  <c r="AR29" i="103" a="1"/>
  <c r="AZ5" i="101" a="1"/>
  <c r="AZ35" i="99" a="1"/>
  <c r="AP7" i="103" a="1"/>
  <c r="AP9" i="101" a="1"/>
  <c r="AX37" i="99" a="1"/>
  <c r="AV27" i="99" a="1"/>
  <c r="AY11" i="104" a="1"/>
  <c r="BA35" i="104" a="1"/>
  <c r="AP31" i="102" a="1"/>
  <c r="AU5" i="99" a="1"/>
  <c r="AS23" i="99" a="1"/>
  <c r="AP11" i="99" a="1"/>
  <c r="AP21" i="99" a="1"/>
  <c r="AT27" i="100" a="1"/>
  <c r="DE5" i="103" a="1"/>
  <c r="AR5" i="100" a="1"/>
  <c r="AQ23" i="100" a="1"/>
  <c r="AV39" i="102" a="1"/>
  <c r="AT9" i="102" a="1"/>
  <c r="BA29" i="103" a="1"/>
  <c r="AR23" i="99" a="1"/>
  <c r="AP19" i="99" a="1"/>
  <c r="AT7" i="101" a="1"/>
  <c r="AZ13" i="100" a="1"/>
  <c r="AV21" i="102" a="1"/>
  <c r="AR35" i="101" a="1"/>
  <c r="AZ23" i="101" a="1"/>
  <c r="DQ5" i="104" a="1"/>
  <c r="AX25" i="103" a="1"/>
  <c r="DH5" i="103" a="1"/>
  <c r="AX5" i="103" a="1"/>
  <c r="AZ13" i="99" a="1"/>
  <c r="AQ29" i="102" a="1"/>
  <c r="AU5" i="100" a="1"/>
  <c r="AT5" i="101" a="1"/>
  <c r="BA23" i="100" a="1"/>
  <c r="AX37" i="104" a="1"/>
  <c r="AT7" i="102" a="1"/>
  <c r="AQ23" i="99" a="1"/>
  <c r="AT15" i="99" a="1"/>
  <c r="AW23" i="103" a="1"/>
  <c r="AW35" i="103" a="1"/>
  <c r="AP27" i="104" a="1"/>
  <c r="AS23" i="104" a="1"/>
  <c r="AZ7" i="104" a="1"/>
  <c r="AW5" i="104" a="1"/>
  <c r="AX39" i="104" a="1"/>
  <c r="DO5" i="102" a="1"/>
  <c r="AW17" i="103" a="1"/>
  <c r="AX23" i="104" a="1"/>
  <c r="AT11" i="104" a="1"/>
  <c r="AV9" i="100" a="1"/>
  <c r="AX27" i="102" a="1"/>
  <c r="AP35" i="103" a="1"/>
  <c r="AZ25" i="102" a="1"/>
  <c r="AV15" i="101" a="1"/>
  <c r="AP39" i="101" a="1"/>
  <c r="AT23" i="99" a="1"/>
  <c r="AV35" i="100" a="1"/>
  <c r="AY35" i="100" a="1"/>
  <c r="AX5" i="100" a="1"/>
  <c r="AR17" i="103" a="1"/>
  <c r="AV7" i="99" a="1"/>
  <c r="AV25" i="103" a="1"/>
  <c r="AS11" i="101" a="1"/>
  <c r="AX23" i="99" a="1"/>
  <c r="AT35" i="100" a="1"/>
  <c r="DO5" i="99" a="1"/>
  <c r="AY23" i="99" a="1"/>
  <c r="AV39" i="101" a="1"/>
  <c r="DM5" i="104" a="1"/>
  <c r="AP35" i="99" a="1"/>
  <c r="BA5" i="100" a="1"/>
  <c r="AV23" i="101" a="1"/>
  <c r="AV33" i="100" a="1"/>
  <c r="AP9" i="102" a="1"/>
  <c r="DE5" i="100" a="1"/>
  <c r="AV37" i="99" a="1"/>
  <c r="AS5" i="101" a="1"/>
  <c r="AX27" i="99" a="1"/>
  <c r="AP21" i="104" a="1"/>
  <c r="AV21" i="103" a="1"/>
  <c r="BA23" i="104" a="1"/>
  <c r="AV27" i="103" a="1"/>
  <c r="AZ19" i="103" a="1"/>
  <c r="AZ27" i="101" a="1"/>
  <c r="AT11" i="101" a="1"/>
  <c r="AU17" i="99" a="1"/>
  <c r="AZ31" i="100" a="1"/>
  <c r="AP33" i="103" a="1"/>
  <c r="AZ7" i="100" a="1"/>
  <c r="AP35" i="104" a="1"/>
  <c r="AV29" i="99" a="1"/>
  <c r="AV11" i="104" a="1"/>
  <c r="AX15" i="103" a="1"/>
  <c r="AV15" i="104" a="1"/>
  <c r="AT27" i="99" a="1"/>
  <c r="AV31" i="99" a="1"/>
  <c r="AR11" i="103" a="1"/>
  <c r="AP37" i="99" a="1"/>
  <c r="AP31" i="104" a="1"/>
  <c r="AZ33" i="102" a="1"/>
  <c r="BA35" i="99" a="1"/>
  <c r="AW29" i="104" a="1"/>
  <c r="AZ23" i="100" a="1"/>
  <c r="AQ35" i="99" a="1"/>
  <c r="AV23" i="99" a="1"/>
  <c r="AX31" i="102" a="1"/>
  <c r="AZ19" i="104" a="1"/>
  <c r="AR5" i="99" a="1"/>
  <c r="AX11" i="101" a="1"/>
  <c r="AQ17" i="102" a="1"/>
  <c r="AZ17" i="103" a="1"/>
  <c r="AW17" i="102" a="1"/>
  <c r="AX13" i="100" a="1"/>
  <c r="AZ31" i="104" a="1"/>
  <c r="AX21" i="99" a="1"/>
  <c r="AV27" i="104" a="1"/>
  <c r="AT5" i="99" a="1"/>
  <c r="AX19" i="104" a="1"/>
  <c r="AZ7" i="101" a="1"/>
  <c r="AS17" i="103" a="1"/>
  <c r="AT15" i="101" a="1"/>
  <c r="AV25" i="102" a="1"/>
  <c r="AX11" i="99" a="1"/>
  <c r="AX7" i="104" a="1"/>
  <c r="AS29" i="103" a="1"/>
  <c r="AV27" i="101" a="1"/>
  <c r="AP29" i="103" a="1"/>
  <c r="AV5" i="101" a="1"/>
  <c r="AW35" i="102" a="1"/>
  <c r="AV7" i="101" a="1"/>
  <c r="AV31" i="103" a="1"/>
  <c r="AU23" i="103" a="1"/>
  <c r="AZ35" i="101" a="1"/>
  <c r="AT7" i="99" a="1"/>
  <c r="AR23" i="101" a="1"/>
  <c r="DQ5" i="99" a="1"/>
  <c r="AV15" i="103" a="1"/>
  <c r="AX35" i="103" a="1"/>
  <c r="AZ15" i="104" a="1"/>
  <c r="AU23" i="102" a="1"/>
  <c r="AT25" i="103" a="1"/>
  <c r="AZ35" i="102" a="1"/>
  <c r="AX31" i="99" a="1"/>
  <c r="AP29" i="102" a="1"/>
  <c r="AY35" i="101" a="1"/>
  <c r="AV11" i="101" a="1"/>
  <c r="AY35" i="99" a="1"/>
  <c r="AT17" i="103" a="1"/>
  <c r="DK5" i="104" a="1"/>
  <c r="AU23" i="99" a="1"/>
  <c r="AP29" i="104" a="1"/>
  <c r="AV17" i="100" a="1"/>
  <c r="AQ29" i="101" a="1"/>
  <c r="AX7" i="102" a="1"/>
  <c r="AR5" i="101" a="1"/>
  <c r="AV7" i="102" a="1"/>
  <c r="AP37" i="104" a="1"/>
  <c r="AR29" i="104" a="1"/>
  <c r="AV33" i="104" a="1"/>
  <c r="AY29" i="103" a="1"/>
  <c r="AV25" i="100" a="1"/>
  <c r="AX29" i="100" a="1"/>
  <c r="BA35" i="100" a="1"/>
  <c r="AZ29" i="104" a="1"/>
  <c r="AT27" i="104" a="1"/>
  <c r="AW17" i="100" a="1"/>
  <c r="AX17" i="101" a="1"/>
  <c r="AP5" i="103" a="1"/>
  <c r="AT9" i="104" a="1"/>
  <c r="AP31" i="100" a="1"/>
  <c r="AT19" i="104" a="1"/>
  <c r="BA23" i="101" a="1"/>
  <c r="AX9" i="103" a="1"/>
  <c r="AZ37" i="100" a="1"/>
  <c r="AR17" i="102" a="1"/>
  <c r="AU35" i="101" a="1"/>
  <c r="BA11" i="103" a="1"/>
  <c r="AR17" i="99" a="1"/>
  <c r="AV5" i="100" a="1"/>
  <c r="AV11" i="99" a="1"/>
  <c r="AP37" i="103" a="1"/>
  <c r="AV7" i="100" a="1"/>
  <c r="AV33" i="103" a="1"/>
  <c r="AP29" i="99" a="1"/>
  <c r="AP13" i="100" a="1"/>
  <c r="AP15" i="103" a="1"/>
  <c r="AQ29" i="99" a="1"/>
  <c r="AQ23" i="102" a="1"/>
  <c r="AP23" i="104" a="1"/>
  <c r="AX23" i="103" a="1"/>
  <c r="AT25" i="102" a="1"/>
  <c r="AT29" i="101" a="1"/>
  <c r="AZ19" i="101" a="1"/>
  <c r="AP17" i="103" a="1"/>
  <c r="AV19" i="101" a="1"/>
  <c r="AV35" i="102" a="1"/>
  <c r="AS35" i="102" a="1"/>
  <c r="AX13" i="101" a="1"/>
  <c r="AW29" i="102" a="1"/>
  <c r="AT33" i="99" a="1"/>
  <c r="AX39" i="101" a="1"/>
  <c r="AT11" i="102" a="1"/>
  <c r="AP33" i="99" a="1"/>
  <c r="AR17" i="101" a="1"/>
  <c r="AQ35" i="103" a="1"/>
  <c r="AV39" i="100" a="1"/>
  <c r="AW35" i="104" a="1"/>
  <c r="AV21" i="100" a="1"/>
  <c r="AT5" i="102" a="1"/>
  <c r="AT23" i="103" a="1"/>
  <c r="AR35" i="102" a="1"/>
  <c r="AX29" i="99" a="1"/>
  <c r="AX19" i="100" a="1"/>
  <c r="AT19" i="99" a="1"/>
  <c r="AZ21" i="104" a="1"/>
  <c r="DK5" i="101" a="1"/>
  <c r="AW11" i="101" a="1"/>
  <c r="AZ23" i="104" a="1"/>
  <c r="AQ23" i="103" a="1"/>
  <c r="AZ13" i="101" a="1"/>
  <c r="AR29" i="102" a="1"/>
  <c r="BA11" i="102" a="1"/>
  <c r="AU17" i="100" a="1"/>
  <c r="AS11" i="102" a="1"/>
  <c r="AV29" i="100" a="1"/>
  <c r="AQ17" i="104" a="1"/>
  <c r="AT19" i="100" a="1"/>
  <c r="AZ21" i="103" a="1"/>
  <c r="AT13" i="103" a="1"/>
  <c r="AV5" i="104" a="1"/>
  <c r="AZ35" i="100" a="1"/>
  <c r="AU23" i="100" a="1"/>
  <c r="AT35" i="101" a="1"/>
  <c r="BA17" i="103" a="1"/>
  <c r="AP23" i="103" a="1"/>
  <c r="DE5" i="99" a="1"/>
  <c r="AX29" i="103" a="1"/>
  <c r="AQ29" i="104" a="1"/>
  <c r="AP29" i="100" a="1"/>
  <c r="AT39" i="103" a="1"/>
  <c r="AV31" i="104" a="1"/>
  <c r="AS11" i="104" a="1"/>
  <c r="AU17" i="103" a="1"/>
  <c r="BA23" i="103" a="1"/>
  <c r="AZ17" i="99" a="1"/>
  <c r="AP13" i="104" a="1"/>
  <c r="AT37" i="102" a="1"/>
  <c r="AU29" i="99" a="1"/>
  <c r="AP17" i="99" a="1"/>
  <c r="AT39" i="104" a="1"/>
  <c r="AT11" i="100" a="1"/>
  <c r="AP9" i="103" a="1"/>
  <c r="AQ5" i="99" a="1"/>
  <c r="AS23" i="102" a="1"/>
  <c r="AY17" i="100" a="1"/>
  <c r="BA29" i="100" a="1"/>
  <c r="AT33" i="103" a="1"/>
  <c r="AT17" i="99" a="1"/>
  <c r="AV19" i="100" a="1"/>
  <c r="AV37" i="104" a="1"/>
  <c r="AY35" i="102" a="1"/>
  <c r="AZ31" i="99" a="1"/>
  <c r="AW23" i="99" a="1"/>
  <c r="AZ5" i="100" a="1"/>
  <c r="AS5" i="99" a="1"/>
  <c r="AT39" i="99" a="1"/>
  <c r="AZ27" i="104" a="1"/>
  <c r="BA11" i="101" a="1"/>
  <c r="AP25" i="100" a="1"/>
  <c r="AT35" i="104" a="1"/>
  <c r="AZ11" i="100" a="1"/>
  <c r="AP11" i="104" a="1"/>
  <c r="AS29" i="100" a="1"/>
  <c r="AP9" i="99" a="1"/>
  <c r="AX17" i="102" a="1"/>
  <c r="AT29" i="100" a="1"/>
  <c r="AV23" i="102" a="1"/>
  <c r="AR11" i="102" a="1"/>
  <c r="AW5" i="102" a="1"/>
  <c r="AX33" i="99" a="1"/>
  <c r="AZ39" i="100" a="1"/>
  <c r="AX35" i="100" a="1"/>
  <c r="AZ5" i="99" a="1"/>
  <c r="AX13" i="104" a="1"/>
  <c r="AX33" i="101" a="1"/>
  <c r="AR23" i="104" a="1"/>
  <c r="AV17" i="99" a="1"/>
  <c r="BA5" i="104" a="1"/>
  <c r="AV13" i="100" a="1"/>
  <c r="AZ19" i="99" a="1"/>
  <c r="AR5" i="102" a="1"/>
  <c r="AX31" i="100" a="1"/>
  <c r="AP39" i="102" a="1"/>
  <c r="AS23" i="101" a="1"/>
  <c r="AV39" i="99" a="1"/>
  <c r="AX19" i="99" a="1"/>
  <c r="AX7" i="103" a="1"/>
  <c r="AT37" i="104" a="1"/>
  <c r="AP25" i="99" a="1"/>
  <c r="AY17" i="102" a="1"/>
  <c r="AT25" i="99" a="1"/>
  <c r="AW11" i="104" a="1"/>
  <c r="AP19" i="101" a="1"/>
  <c r="AQ11" i="104" a="1"/>
  <c r="DQ5" i="102" a="1"/>
  <c r="DH5" i="104" a="1"/>
  <c r="AV31" i="101" a="1"/>
  <c r="AV37" i="102" a="1"/>
  <c r="AX25" i="104" a="1"/>
  <c r="AV19" i="99" a="1"/>
  <c r="AZ33" i="99" a="1"/>
  <c r="AX33" i="104" a="1"/>
  <c r="AZ27" i="100" a="1"/>
  <c r="AU11" i="101" a="1"/>
  <c r="AZ23" i="103" a="1"/>
  <c r="AX37" i="103" a="1"/>
  <c r="AT9" i="101" a="1"/>
  <c r="AP33" i="102" a="1"/>
  <c r="AX19" i="101" a="1"/>
  <c r="AZ39" i="99" a="1"/>
  <c r="AS35" i="100" a="1"/>
  <c r="AX33" i="102" a="1"/>
  <c r="AX37" i="100" a="1"/>
  <c r="AV23" i="103" a="1"/>
  <c r="AT31" i="100" a="1"/>
  <c r="AT9" i="100" a="1"/>
  <c r="AU23" i="101" a="1"/>
  <c r="AX9" i="100" a="1"/>
  <c r="AZ37" i="101" a="1"/>
  <c r="AP31" i="103" a="1"/>
  <c r="AZ7" i="102" a="1"/>
  <c r="AZ17" i="104" a="1"/>
  <c r="AT31" i="101" a="1"/>
  <c r="AZ9" i="102" a="1"/>
  <c r="AS29" i="104" a="1"/>
  <c r="DM5" i="101" a="1"/>
  <c r="AX33" i="100" a="1"/>
  <c r="AP5" i="104" a="1"/>
  <c r="AX27" i="103" a="1"/>
  <c r="AS29" i="99" a="1"/>
  <c r="AQ29" i="100" a="1"/>
  <c r="AX5" i="104" a="1"/>
  <c r="AP19" i="100" a="1"/>
  <c r="AV27" i="102" a="1"/>
  <c r="AT23" i="102" a="1"/>
  <c r="AU5" i="102" a="1"/>
  <c r="AR23" i="102" a="1"/>
  <c r="DM5" i="103" a="1"/>
  <c r="AT33" i="101" a="1"/>
  <c r="AV33" i="102" a="1"/>
  <c r="AQ17" i="101" a="1"/>
  <c r="AP39" i="99" a="1"/>
  <c r="AR5" i="104" a="1"/>
  <c r="AP27" i="103" a="1"/>
  <c r="AP7" i="100" a="1"/>
  <c r="DH5" i="101" a="1"/>
  <c r="AZ11" i="104" a="1"/>
  <c r="BA35" i="103" a="1"/>
  <c r="AW11" i="102" a="1"/>
  <c r="AS5" i="104" a="1"/>
  <c r="AT11" i="99" a="1"/>
  <c r="AP17" i="101" a="1"/>
  <c r="AT21" i="104" a="1"/>
  <c r="AT25" i="100" a="1"/>
  <c r="AP33" i="104" a="1"/>
  <c r="AY29" i="101" a="1"/>
  <c r="AX15" i="102" a="1"/>
  <c r="AS11" i="99" a="1"/>
  <c r="AR35" i="104" a="1"/>
  <c r="AR29" i="101" a="1"/>
  <c r="AT39" i="101" a="1"/>
  <c r="AV17" i="101" a="1"/>
  <c r="AW29" i="101" a="1"/>
  <c r="AV11" i="100" a="1"/>
  <c r="AX17" i="100" a="1"/>
  <c r="AZ13" i="102" a="1"/>
  <c r="AU35" i="103" a="1"/>
  <c r="AV17" i="102" a="1"/>
  <c r="AZ27" i="103" a="1"/>
  <c r="AQ23" i="101" a="1"/>
  <c r="AT21" i="103" a="1"/>
  <c r="AW35" i="99" a="1"/>
  <c r="BA17" i="102" a="1"/>
  <c r="AP35" i="101" a="1"/>
  <c r="AQ29" i="103" a="1"/>
  <c r="BA5" i="103" a="1"/>
  <c r="AS29" i="101" a="1"/>
  <c r="AT27" i="103" a="1"/>
  <c r="AZ11" i="101" a="1"/>
  <c r="DM5" i="99" a="1"/>
  <c r="AR11" i="101" a="1"/>
  <c r="AZ33" i="101" a="1"/>
  <c r="AX27" i="100" a="1"/>
  <c r="AU11" i="100" a="1"/>
  <c r="AZ25" i="101" a="1"/>
  <c r="AZ17" i="101" a="1"/>
  <c r="AZ29" i="99" a="1"/>
  <c r="AS5" i="102" a="1"/>
  <c r="AV21" i="99" a="1"/>
  <c r="BA11" i="100" a="1"/>
  <c r="AQ5" i="102" a="1"/>
  <c r="AZ15" i="102" a="1"/>
  <c r="AP23" i="102" a="1"/>
  <c r="AS17" i="100" a="1"/>
  <c r="AP21" i="103" a="1"/>
  <c r="AX25" i="102" a="1"/>
  <c r="AR23" i="100" a="1"/>
  <c r="AY5" i="100" a="1"/>
  <c r="AX25" i="100" a="1"/>
  <c r="AW29" i="100" a="1"/>
  <c r="AP7" i="104" a="1"/>
  <c r="AP19" i="102" a="1"/>
  <c r="AP29" i="101" a="1"/>
  <c r="AV5" i="103" a="1"/>
  <c r="AQ35" i="100" a="1"/>
  <c r="AV11" i="103" a="1"/>
  <c r="AU35" i="102" a="1"/>
  <c r="AX23" i="102" a="1"/>
  <c r="AP31" i="99" a="1"/>
  <c r="AY11" i="100" a="1"/>
  <c r="AY17" i="104" a="1"/>
  <c r="AV13" i="103" a="1"/>
  <c r="AZ17" i="100" a="1"/>
  <c r="AW5" i="100" a="1"/>
  <c r="AP9" i="104" a="1"/>
  <c r="AP17" i="100" a="1"/>
  <c r="AP5" i="101" a="1"/>
  <c r="DO5" i="104" a="1"/>
  <c r="AT25" i="101" a="1"/>
  <c r="BA29" i="99" a="1"/>
  <c r="AT19" i="103" a="1"/>
  <c r="AR11" i="104" a="1"/>
  <c r="AX15" i="104" a="1"/>
  <c r="AP5" i="99" a="1"/>
  <c r="AX5" i="102" a="1"/>
  <c r="DH5" i="99" a="1"/>
  <c r="AS35" i="101" a="1"/>
  <c r="AV15" i="99" a="1"/>
  <c r="AT35" i="102" a="1"/>
  <c r="AX23" i="100" a="1"/>
  <c r="BA5" i="102" a="1"/>
  <c r="AZ37" i="104" a="1"/>
  <c r="AZ25" i="100" a="1"/>
  <c r="AZ9" i="101" a="1"/>
  <c r="BA23" i="99" a="1"/>
  <c r="AP19" i="103" a="1"/>
  <c r="AX7" i="100" a="1"/>
  <c r="AT13" i="102" a="1"/>
  <c r="BA17" i="104" a="1"/>
  <c r="AT13" i="104" a="1"/>
  <c r="AR11" i="100" a="1"/>
  <c r="AZ37" i="99" a="1"/>
  <c r="AT27" i="102" a="1"/>
  <c r="AV17" i="103" a="1"/>
  <c r="AX29" i="102" a="1"/>
  <c r="AX35" i="102" a="1"/>
  <c r="AP7" i="101" a="1"/>
  <c r="AT13" i="99" a="1"/>
  <c r="DH5" i="100" a="1"/>
  <c r="AX15" i="101" a="1"/>
  <c r="AP23" i="101" a="1"/>
  <c r="AP19" i="104" a="1"/>
  <c r="AS17" i="99" a="1"/>
  <c r="AT39" i="100" a="1"/>
  <c r="AT15" i="100" a="1"/>
  <c r="AY29" i="104" a="1"/>
  <c r="AZ15" i="103" a="1"/>
  <c r="AP27" i="101" a="1"/>
  <c r="AV25" i="101" a="1"/>
  <c r="AP11" i="101" a="1"/>
  <c r="AZ23" i="102" a="1"/>
  <c r="AT31" i="103" a="1"/>
  <c r="AZ15" i="101" a="1"/>
  <c r="AX35" i="99" a="1"/>
  <c r="AP15" i="102" a="1"/>
  <c r="DE5" i="101" a="1"/>
  <c r="AX17" i="99" a="1"/>
  <c r="AQ5" i="103" a="1"/>
  <c r="DO5" i="103" a="1"/>
  <c r="AZ15" i="99" a="1"/>
  <c r="AP37" i="101" a="1"/>
  <c r="AP23" i="100" a="1"/>
  <c r="AZ13" i="103" a="1"/>
  <c r="AQ35" i="101" a="1"/>
  <c r="AT31" i="104" a="1"/>
  <c r="AR11" i="99" a="1"/>
  <c r="AP21" i="102" a="1"/>
  <c r="AZ37" i="103" a="1"/>
  <c r="AP37" i="100" a="1"/>
  <c r="AW11" i="99" a="1"/>
  <c r="AV9" i="102" a="1"/>
  <c r="BA17" i="99" a="1"/>
  <c r="AV29" i="102" a="1"/>
  <c r="AZ17" i="102" a="1"/>
  <c r="AX9" i="102" a="1"/>
  <c r="AX15" i="100" a="1"/>
  <c r="AP35" i="100" a="1"/>
  <c r="AS5" i="103" a="1"/>
  <c r="AP25" i="104" a="1"/>
  <c r="AX35" i="101" a="1"/>
  <c r="AX11" i="102" a="1"/>
  <c r="AV17" i="104" a="1"/>
  <c r="AV37" i="100" a="1"/>
  <c r="AQ11" i="101" a="1"/>
  <c r="AZ19" i="102" a="1"/>
  <c r="AP37" i="102" a="1"/>
  <c r="AT31" i="99" a="1"/>
  <c r="AU5" i="104" a="1"/>
  <c r="AZ35" i="103" a="1"/>
  <c r="AT9" i="103" a="1"/>
  <c r="AV25" i="104" a="1"/>
  <c r="AQ11" i="103" a="1"/>
  <c r="AV23" i="104" a="1"/>
  <c r="BA5" i="99" a="1"/>
  <c r="AW35" i="100" a="1"/>
  <c r="AU35" i="104" a="1"/>
  <c r="AZ33" i="104" a="1"/>
  <c r="AZ7" i="103" a="1"/>
  <c r="AP11" i="102" a="1"/>
  <c r="AV15" i="102" a="1"/>
  <c r="AZ21" i="101" a="1"/>
  <c r="AZ19" i="100" a="1"/>
  <c r="AT7" i="103" a="1"/>
  <c r="AP13" i="103" a="1"/>
  <c r="AY23" i="101" a="1"/>
  <c r="AW5" i="99" a="1"/>
  <c r="AV21" i="104" a="1"/>
  <c r="AZ39" i="104" a="1"/>
  <c r="AX21" i="104" a="1"/>
  <c r="AV25" i="99" a="1"/>
  <c r="AX17" i="103" a="1"/>
  <c r="AT35" i="103" a="1"/>
  <c r="AT31" i="102" a="1"/>
  <c r="AX39" i="102" a="1"/>
  <c r="AZ9" i="103" a="1"/>
  <c r="AV29" i="101" a="1"/>
  <c r="AP5" i="102" a="1"/>
  <c r="AV27" i="100" a="1"/>
  <c r="AS23" i="103" a="1"/>
  <c r="AT37" i="100" a="1"/>
  <c r="AZ33" i="103" a="1"/>
  <c r="AS17" i="104" a="1"/>
  <c r="AX31" i="103" a="1"/>
  <c r="AX13" i="102" a="1"/>
  <c r="DQ5" i="101" a="1"/>
  <c r="AV7" i="104" a="1"/>
  <c r="AY5" i="99" a="1"/>
  <c r="AX23" i="101" a="1"/>
  <c r="AY11" i="99" a="1"/>
  <c r="AT23" i="104" a="1"/>
  <c r="AS5" i="100" a="1"/>
  <c r="AX11" i="103" a="1"/>
  <c r="AV39" i="103" a="1"/>
  <c r="AR23" i="103" a="1"/>
  <c r="AT13" i="101" a="1"/>
  <c r="AQ11" i="99" a="1"/>
  <c r="AP39" i="104" a="1"/>
  <c r="AV35" i="103" a="1"/>
  <c r="AY17" i="99" a="1"/>
  <c r="AT37" i="99" a="1"/>
  <c r="AY23" i="104" a="1"/>
  <c r="AW29" i="99" a="1"/>
  <c r="AV35" i="99" a="1"/>
  <c r="AP33" i="100" a="1"/>
  <c r="AT29" i="103" a="1"/>
  <c r="DM5" i="100" a="1"/>
  <c r="AY11" i="102" a="1"/>
  <c r="AY29" i="102" a="1"/>
  <c r="DO5" i="100" a="1"/>
  <c r="AY23" i="100" a="1"/>
  <c r="AX39" i="99" a="1"/>
  <c r="AT21" i="99" a="1"/>
  <c r="AZ25" i="103" a="1"/>
  <c r="AP27" i="102" a="1"/>
  <c r="AR17" i="100" a="1"/>
  <c r="AV9" i="101" a="1"/>
  <c r="DM5" i="102" a="1"/>
  <c r="AR35" i="103" a="1"/>
  <c r="AP15" i="99" a="1"/>
  <c r="AU5" i="101" a="1"/>
  <c r="AU11" i="102" a="1"/>
  <c r="AY5" i="101" a="1"/>
  <c r="AP15" i="104" a="1"/>
  <c r="AV9" i="103" a="1"/>
  <c r="AP7" i="102" a="1"/>
  <c r="AZ33" i="100" a="1"/>
  <c r="BA35" i="102" a="1"/>
  <c r="AX9" i="101" a="1"/>
  <c r="AZ5" i="103" a="1"/>
  <c r="AQ11" i="102" a="1"/>
  <c r="AR29" i="100" a="1"/>
  <c r="AP13" i="102" a="1"/>
  <c r="AT39" i="102" a="1"/>
  <c r="AT17" i="100" a="1"/>
  <c r="AY17" i="101" a="1"/>
  <c r="AU35" i="99" a="1"/>
  <c r="AQ35" i="104" a="1"/>
  <c r="AX9" i="104" a="1"/>
  <c r="AV19" i="104" a="1"/>
  <c r="AZ25" i="99" a="1"/>
  <c r="AS17" i="101" a="1"/>
  <c r="AV37" i="101" a="1"/>
  <c r="AZ9" i="99" a="1"/>
  <c r="AX7" i="99" a="1"/>
  <c r="AV21" i="101" a="1"/>
  <c r="DO5" i="101" a="1"/>
  <c r="AT11" i="103" a="1"/>
  <c r="AT5" i="104" a="1"/>
  <c r="AS23" i="100" a="1"/>
  <c r="AQ5" i="100" a="1"/>
  <c r="AQ5" i="101" a="1"/>
  <c r="AT13" i="100" a="1"/>
  <c r="AT25" i="104" a="1"/>
  <c r="AT37" i="101" a="1"/>
  <c r="AP25" i="103" a="1"/>
  <c r="AT19" i="101" a="1"/>
  <c r="AQ17" i="100" a="1"/>
  <c r="AT21" i="101" a="1"/>
  <c r="AP23" i="99" a="1"/>
  <c r="AZ35" i="104" a="1"/>
  <c r="AX29" i="104" a="1"/>
  <c r="AX5" i="101" a="1"/>
  <c r="BA11" i="99" a="1"/>
  <c r="AT17" i="102" a="1"/>
  <c r="AZ11" i="102" a="1"/>
  <c r="AQ23" i="104" a="1"/>
  <c r="AV39" i="104" a="1"/>
  <c r="AZ39" i="101" a="1"/>
  <c r="BA17" i="100" a="1"/>
  <c r="AT7" i="104" a="1"/>
  <c r="AY29" i="100" a="1"/>
  <c r="AX25" i="99" a="1"/>
  <c r="AV13" i="104" a="1"/>
  <c r="BA23" i="102" a="1"/>
  <c r="AV5" i="99" a="1"/>
  <c r="BA17" i="101" a="1"/>
  <c r="AY23" i="102" a="1"/>
  <c r="AV29" i="103" a="1"/>
  <c r="AV33" i="101" a="1"/>
  <c r="AM24" i="99" l="1"/>
  <c r="AL40" i="100"/>
  <c r="AM40" i="100"/>
  <c r="AM18" i="102"/>
  <c r="AL7" i="104"/>
  <c r="AM23" i="104"/>
  <c r="AM23" i="99"/>
  <c r="AL23" i="102"/>
  <c r="AM24" i="103"/>
  <c r="AL8" i="104"/>
  <c r="AM32" i="104"/>
  <c r="AL17" i="100"/>
  <c r="AM20" i="102"/>
  <c r="AL34" i="99"/>
  <c r="AL18" i="100"/>
  <c r="AM21" i="102"/>
  <c r="AM10" i="100"/>
  <c r="AL32" i="102"/>
  <c r="AM5" i="103"/>
  <c r="AM40" i="103"/>
  <c r="AL39" i="104"/>
  <c r="AM31" i="104"/>
  <c r="AM6" i="104"/>
  <c r="AM11" i="100"/>
  <c r="AM36" i="100"/>
  <c r="AM36" i="103"/>
  <c r="AL18" i="104"/>
  <c r="AL14" i="99"/>
  <c r="AM26" i="99"/>
  <c r="AM22" i="100"/>
  <c r="AL33" i="103"/>
  <c r="AM37" i="103"/>
  <c r="AL18" i="103"/>
  <c r="AL13" i="99"/>
  <c r="AM8" i="100"/>
  <c r="AM11" i="102"/>
  <c r="AL22" i="103"/>
  <c r="AL6" i="104"/>
  <c r="AM34" i="104"/>
  <c r="AL32" i="99"/>
  <c r="AM8" i="99"/>
  <c r="AM28" i="99"/>
  <c r="AL36" i="100"/>
  <c r="AM34" i="100"/>
  <c r="AL10" i="101"/>
  <c r="AM12" i="102"/>
  <c r="AM35" i="104"/>
  <c r="AL38" i="100"/>
  <c r="AL19" i="103"/>
  <c r="AM5" i="104"/>
  <c r="AM10" i="99"/>
  <c r="AL36" i="101"/>
  <c r="AL24" i="101"/>
  <c r="AL34" i="102"/>
  <c r="AL22" i="102"/>
  <c r="AL7" i="103"/>
  <c r="AM39" i="103"/>
  <c r="AL5" i="104"/>
  <c r="AM17" i="104"/>
  <c r="AL34" i="100"/>
  <c r="AL16" i="99"/>
  <c r="AL15" i="99"/>
  <c r="AL35" i="101"/>
  <c r="AL23" i="101"/>
  <c r="AM37" i="102"/>
  <c r="AL6" i="103"/>
  <c r="AL40" i="104"/>
  <c r="AM18" i="104"/>
  <c r="AM26" i="102"/>
  <c r="AM38" i="102"/>
  <c r="AM13" i="99"/>
  <c r="AM37" i="99"/>
  <c r="AL31" i="100"/>
  <c r="AM27" i="100"/>
  <c r="AM19" i="102"/>
  <c r="AM15" i="102"/>
  <c r="AL25" i="99"/>
  <c r="AM33" i="99"/>
  <c r="AL11" i="100"/>
  <c r="AM16" i="102"/>
  <c r="AL28" i="103"/>
  <c r="AM30" i="103"/>
  <c r="AL13" i="104"/>
  <c r="AL12" i="102"/>
  <c r="EZ5" i="102"/>
  <c r="FB5" i="102"/>
  <c r="ET5" i="102"/>
  <c r="EX5" i="102"/>
  <c r="EV5" i="102"/>
  <c r="ER5" i="102"/>
  <c r="EZ5" i="101"/>
  <c r="FB5" i="101"/>
  <c r="ER5" i="101"/>
  <c r="EV5" i="101"/>
  <c r="EX5" i="101"/>
  <c r="ET5" i="101"/>
  <c r="EV5" i="100"/>
  <c r="EZ5" i="100"/>
  <c r="FB5" i="100"/>
  <c r="EX5" i="100"/>
  <c r="ER5" i="100"/>
  <c r="ET5" i="100"/>
  <c r="ET5" i="99"/>
  <c r="EV5" i="99"/>
  <c r="EZ5" i="99"/>
  <c r="ER5" i="99"/>
  <c r="FB5" i="99"/>
  <c r="EX5" i="99"/>
  <c r="EX5" i="104"/>
  <c r="FB5" i="104"/>
  <c r="ER5" i="104"/>
  <c r="EV5" i="104"/>
  <c r="EZ5" i="104"/>
  <c r="ET5" i="104"/>
  <c r="FB5" i="103"/>
  <c r="EZ5" i="103"/>
  <c r="EV5" i="103"/>
  <c r="ER5" i="103"/>
  <c r="EX5" i="103"/>
  <c r="ET5" i="103"/>
  <c r="DO5" i="103"/>
  <c r="DQ5" i="103"/>
  <c r="DE5" i="103"/>
  <c r="DK5" i="103"/>
  <c r="DM5" i="103"/>
  <c r="DH5" i="103"/>
  <c r="DQ5" i="102"/>
  <c r="DE5" i="102"/>
  <c r="DK5" i="102"/>
  <c r="DM5" i="102"/>
  <c r="DH5" i="102"/>
  <c r="DO5" i="102"/>
  <c r="DE5" i="101"/>
  <c r="DH5" i="101"/>
  <c r="DK5" i="101"/>
  <c r="DM5" i="101"/>
  <c r="DO5" i="101"/>
  <c r="DQ5" i="101"/>
  <c r="DK5" i="100"/>
  <c r="DQ5" i="100"/>
  <c r="DE5" i="100"/>
  <c r="DH5" i="100"/>
  <c r="DM5" i="100"/>
  <c r="DO5" i="100"/>
  <c r="DQ5" i="99"/>
  <c r="DM5" i="99"/>
  <c r="DK5" i="99"/>
  <c r="DH5" i="99"/>
  <c r="DO5" i="99"/>
  <c r="DE5" i="99"/>
  <c r="DO5" i="104"/>
  <c r="DE5" i="104"/>
  <c r="DH5" i="104"/>
  <c r="DM5" i="104"/>
  <c r="DQ5" i="104"/>
  <c r="DK5" i="104"/>
  <c r="AL24" i="100"/>
  <c r="AL12" i="100"/>
  <c r="AL8" i="102"/>
  <c r="AL5" i="103"/>
  <c r="AL29" i="103"/>
  <c r="AM17" i="103"/>
  <c r="AM29" i="103"/>
  <c r="AL27" i="104"/>
  <c r="AL15" i="104"/>
  <c r="AL36" i="99"/>
  <c r="AL32" i="101"/>
  <c r="AL30" i="102"/>
  <c r="AL27" i="103"/>
  <c r="AL15" i="103"/>
  <c r="AM31" i="103"/>
  <c r="AL23" i="99"/>
  <c r="AL9" i="100"/>
  <c r="AM13" i="100"/>
  <c r="AL31" i="101"/>
  <c r="AL5" i="102"/>
  <c r="AL14" i="103"/>
  <c r="AM32" i="103"/>
  <c r="AL12" i="104"/>
  <c r="AM14" i="100"/>
  <c r="AL30" i="101"/>
  <c r="AL40" i="102"/>
  <c r="AL28" i="102"/>
  <c r="AM31" i="102"/>
  <c r="AL25" i="103"/>
  <c r="AL13" i="103"/>
  <c r="AM11" i="104"/>
  <c r="AL9" i="99"/>
  <c r="AM15" i="100"/>
  <c r="AM32" i="102"/>
  <c r="AM38" i="99"/>
  <c r="AL16" i="101"/>
  <c r="AL26" i="102"/>
  <c r="AL14" i="102"/>
  <c r="AL11" i="103"/>
  <c r="AM11" i="103"/>
  <c r="AL33" i="104"/>
  <c r="AM13" i="104"/>
  <c r="AL7" i="99"/>
  <c r="AL5" i="100"/>
  <c r="AL29" i="100"/>
  <c r="AM17" i="100"/>
  <c r="AM29" i="100"/>
  <c r="AL27" i="101"/>
  <c r="AL25" i="102"/>
  <c r="AL13" i="102"/>
  <c r="AL10" i="103"/>
  <c r="AM12" i="103"/>
  <c r="AL32" i="104"/>
  <c r="AM14" i="104"/>
  <c r="AL28" i="100"/>
  <c r="AM30" i="100"/>
  <c r="AL26" i="101"/>
  <c r="AL14" i="101"/>
  <c r="AL9" i="103"/>
  <c r="AM13" i="103"/>
  <c r="AL31" i="104"/>
  <c r="AM17" i="99"/>
  <c r="AL27" i="100"/>
  <c r="AM31" i="100"/>
  <c r="C56" i="99"/>
  <c r="AM6" i="99"/>
  <c r="AM20" i="100"/>
  <c r="AL10" i="102"/>
  <c r="AM13" i="102"/>
  <c r="AL31" i="103"/>
  <c r="AM15" i="103"/>
  <c r="AM27" i="103"/>
  <c r="AL29" i="104"/>
  <c r="AL17" i="104"/>
  <c r="AM29" i="104"/>
  <c r="AL39" i="99"/>
  <c r="AL25" i="100"/>
  <c r="AL13" i="100"/>
  <c r="AM33" i="100"/>
  <c r="AL11" i="101"/>
  <c r="AL9" i="102"/>
  <c r="AL30" i="103"/>
  <c r="AM16" i="103"/>
  <c r="AM28" i="103"/>
  <c r="AL28" i="104"/>
  <c r="AL16" i="104"/>
  <c r="AM30" i="104"/>
  <c r="AM15" i="99"/>
  <c r="AM19" i="99"/>
  <c r="AL38" i="99"/>
  <c r="AL22" i="99"/>
  <c r="AL6" i="99"/>
  <c r="AM36" i="99"/>
  <c r="AL6" i="100"/>
  <c r="AL12" i="99"/>
  <c r="AM14" i="99"/>
  <c r="AM12" i="100"/>
  <c r="AM5" i="99"/>
  <c r="AL26" i="100"/>
  <c r="AL10" i="100"/>
  <c r="AM16" i="100"/>
  <c r="AM32" i="100"/>
  <c r="AL28" i="99"/>
  <c r="AM30" i="99"/>
  <c r="AL30" i="100"/>
  <c r="AL14" i="100"/>
  <c r="AM28" i="100"/>
  <c r="AL27" i="99"/>
  <c r="AL11" i="99"/>
  <c r="AM31" i="99"/>
  <c r="AL15" i="101"/>
  <c r="AL29" i="102"/>
  <c r="AM29" i="102"/>
  <c r="AM14" i="102"/>
  <c r="AM30" i="102"/>
  <c r="AL28" i="101"/>
  <c r="AL12" i="101"/>
  <c r="AL5" i="99"/>
  <c r="AM20" i="99"/>
  <c r="AL8" i="100"/>
  <c r="AM18" i="100"/>
  <c r="C56" i="100"/>
  <c r="AL26" i="99"/>
  <c r="AL10" i="99"/>
  <c r="AM16" i="99"/>
  <c r="AM32" i="99"/>
  <c r="AL29" i="101"/>
  <c r="AL13" i="101"/>
  <c r="AL27" i="102"/>
  <c r="AL11" i="102"/>
  <c r="AL12" i="103"/>
  <c r="AM14" i="103"/>
  <c r="AL30" i="104"/>
  <c r="AL14" i="104"/>
  <c r="AM12" i="104"/>
  <c r="AL40" i="99"/>
  <c r="AL24" i="99"/>
  <c r="AL8" i="99"/>
  <c r="AM35" i="102"/>
  <c r="AM21" i="99"/>
  <c r="AL39" i="100"/>
  <c r="AL23" i="100"/>
  <c r="AL7" i="100"/>
  <c r="AM19" i="100"/>
  <c r="AL5" i="101"/>
  <c r="AL25" i="101"/>
  <c r="AL9" i="101"/>
  <c r="AL39" i="102"/>
  <c r="AL7" i="102"/>
  <c r="AL40" i="103"/>
  <c r="AL24" i="103"/>
  <c r="AL8" i="103"/>
  <c r="AM18" i="103"/>
  <c r="AM34" i="103"/>
  <c r="AL26" i="104"/>
  <c r="AL19" i="99"/>
  <c r="AM7" i="99"/>
  <c r="AM39" i="99"/>
  <c r="AM40" i="99"/>
  <c r="AL20" i="100"/>
  <c r="AM38" i="100"/>
  <c r="AL22" i="101"/>
  <c r="AL6" i="101"/>
  <c r="AM7" i="102"/>
  <c r="AM23" i="102"/>
  <c r="AL35" i="100"/>
  <c r="AL19" i="100"/>
  <c r="AM7" i="100"/>
  <c r="AM23" i="100"/>
  <c r="AM39" i="100"/>
  <c r="AL19" i="102"/>
  <c r="AM8" i="102"/>
  <c r="AM24" i="102"/>
  <c r="AM40" i="102"/>
  <c r="AL36" i="103"/>
  <c r="AL33" i="101"/>
  <c r="AL17" i="101"/>
  <c r="AL31" i="102"/>
  <c r="AL15" i="102"/>
  <c r="AL32" i="103"/>
  <c r="AL16" i="103"/>
  <c r="AM10" i="103"/>
  <c r="AM27" i="104"/>
  <c r="AM28" i="104"/>
  <c r="AM34" i="99"/>
  <c r="AM35" i="99"/>
  <c r="AM33" i="103"/>
  <c r="AL10" i="104"/>
  <c r="AK57" i="104"/>
  <c r="AM21" i="100"/>
  <c r="AM39" i="102"/>
  <c r="AL20" i="103"/>
  <c r="AM27" i="99"/>
  <c r="AL34" i="101"/>
  <c r="AL18" i="101"/>
  <c r="AL35" i="99"/>
  <c r="AM5" i="100"/>
  <c r="AL36" i="102"/>
  <c r="AL20" i="102"/>
  <c r="AL33" i="99"/>
  <c r="AL17" i="99"/>
  <c r="AL31" i="99"/>
  <c r="AM11" i="99"/>
  <c r="AM26" i="103"/>
  <c r="AK59" i="99"/>
  <c r="AK58" i="102"/>
  <c r="AM18" i="99"/>
  <c r="U56" i="99"/>
  <c r="U56" i="103"/>
  <c r="AK57" i="102"/>
  <c r="U56" i="100"/>
  <c r="U56" i="104"/>
  <c r="AK58" i="99"/>
  <c r="AJ58" i="100"/>
  <c r="AK60" i="103"/>
  <c r="U56" i="101"/>
  <c r="AK60" i="100"/>
  <c r="U56" i="102"/>
  <c r="AJ58" i="104"/>
  <c r="AK58" i="104"/>
  <c r="AZ5" i="104"/>
  <c r="S58" i="102"/>
  <c r="R59" i="103"/>
  <c r="C56" i="104"/>
  <c r="AL36" i="104"/>
  <c r="R58" i="100"/>
  <c r="AM10" i="104"/>
  <c r="AM26" i="104"/>
  <c r="C56" i="101"/>
  <c r="C56" i="102"/>
  <c r="R58" i="101"/>
  <c r="R58" i="102"/>
  <c r="AL37" i="103"/>
  <c r="C56" i="103"/>
  <c r="S58" i="101"/>
  <c r="AK59" i="104"/>
  <c r="AK60" i="104"/>
  <c r="AM9" i="104"/>
  <c r="AM25" i="104"/>
  <c r="AL21" i="104"/>
  <c r="S58" i="104"/>
  <c r="AL20" i="104"/>
  <c r="AL37" i="104"/>
  <c r="AL35" i="104"/>
  <c r="AM9" i="103"/>
  <c r="AM25" i="103"/>
  <c r="AK57" i="103"/>
  <c r="AK58" i="103"/>
  <c r="AK59" i="103"/>
  <c r="S58" i="103"/>
  <c r="R58" i="103"/>
  <c r="AL21" i="103"/>
  <c r="AK59" i="102"/>
  <c r="AK60" i="102"/>
  <c r="AM25" i="102"/>
  <c r="AM9" i="102"/>
  <c r="AL37" i="102"/>
  <c r="AL21" i="102"/>
  <c r="AM9" i="101"/>
  <c r="AM60" i="101" s="1"/>
  <c r="AL37" i="101"/>
  <c r="AL21" i="101"/>
  <c r="AM9" i="100"/>
  <c r="AM25" i="100"/>
  <c r="AK57" i="100"/>
  <c r="AK58" i="100"/>
  <c r="AK59" i="100"/>
  <c r="S58" i="100"/>
  <c r="AL37" i="100"/>
  <c r="AL21" i="100"/>
  <c r="AK60" i="99"/>
  <c r="AM9" i="99"/>
  <c r="AM25" i="99"/>
  <c r="AK57" i="99"/>
  <c r="AL21" i="99"/>
  <c r="S58" i="99"/>
  <c r="R58" i="99"/>
  <c r="AL37" i="99"/>
  <c r="AV13" i="104"/>
  <c r="AV15" i="104"/>
  <c r="AR17" i="104"/>
  <c r="AZ17" i="104"/>
  <c r="AX19" i="104"/>
  <c r="AX21" i="104"/>
  <c r="AS23" i="104"/>
  <c r="BA23" i="104"/>
  <c r="AZ25" i="104"/>
  <c r="AZ27" i="104"/>
  <c r="AT29" i="104"/>
  <c r="AU35" i="104"/>
  <c r="AP5" i="104"/>
  <c r="AX5" i="104"/>
  <c r="AZ7" i="104"/>
  <c r="AX9" i="104"/>
  <c r="AR11" i="104"/>
  <c r="AZ11" i="104"/>
  <c r="AX13" i="104"/>
  <c r="AX15" i="104"/>
  <c r="AS17" i="104"/>
  <c r="BA17" i="104"/>
  <c r="AZ19" i="104"/>
  <c r="AZ21" i="104"/>
  <c r="AT23" i="104"/>
  <c r="AU29" i="104"/>
  <c r="AV35" i="104"/>
  <c r="AQ5" i="104"/>
  <c r="AY5" i="104"/>
  <c r="AZ9" i="104"/>
  <c r="AS11" i="104"/>
  <c r="BA11" i="104"/>
  <c r="AZ13" i="104"/>
  <c r="AZ15" i="104"/>
  <c r="AT17" i="104"/>
  <c r="AU23" i="104"/>
  <c r="AV29" i="104"/>
  <c r="AW35" i="104"/>
  <c r="AP37" i="104"/>
  <c r="AP39" i="104"/>
  <c r="AR5" i="104"/>
  <c r="AT11" i="104"/>
  <c r="AU17" i="104"/>
  <c r="AV23" i="104"/>
  <c r="AW29" i="104"/>
  <c r="AP31" i="104"/>
  <c r="AP33" i="104"/>
  <c r="AP35" i="104"/>
  <c r="AX35" i="104"/>
  <c r="AT37" i="104"/>
  <c r="AT39" i="104"/>
  <c r="AS5" i="104"/>
  <c r="BA5" i="104"/>
  <c r="AU11" i="104"/>
  <c r="AV17" i="104"/>
  <c r="AW23" i="104"/>
  <c r="AP25" i="104"/>
  <c r="AP27" i="104"/>
  <c r="AP29" i="104"/>
  <c r="AX29" i="104"/>
  <c r="AT31" i="104"/>
  <c r="AT33" i="104"/>
  <c r="AQ35" i="104"/>
  <c r="AY35" i="104"/>
  <c r="AV37" i="104"/>
  <c r="AV39" i="104"/>
  <c r="AT5" i="104"/>
  <c r="AP7" i="104"/>
  <c r="AV11" i="104"/>
  <c r="AW17" i="104"/>
  <c r="AP19" i="104"/>
  <c r="AP21" i="104"/>
  <c r="AP23" i="104"/>
  <c r="AX23" i="104"/>
  <c r="AT25" i="104"/>
  <c r="AT27" i="104"/>
  <c r="AQ29" i="104"/>
  <c r="AY29" i="104"/>
  <c r="AV31" i="104"/>
  <c r="AV33" i="104"/>
  <c r="AR35" i="104"/>
  <c r="AZ35" i="104"/>
  <c r="AX37" i="104"/>
  <c r="AX39" i="104"/>
  <c r="AU5" i="104"/>
  <c r="AT7" i="104"/>
  <c r="AP9" i="104"/>
  <c r="AW11" i="104"/>
  <c r="AP13" i="104"/>
  <c r="AP15" i="104"/>
  <c r="AP17" i="104"/>
  <c r="AX17" i="104"/>
  <c r="AT19" i="104"/>
  <c r="AT21" i="104"/>
  <c r="AQ23" i="104"/>
  <c r="AY23" i="104"/>
  <c r="AV25" i="104"/>
  <c r="AV27" i="104"/>
  <c r="AR29" i="104"/>
  <c r="AZ29" i="104"/>
  <c r="AX31" i="104"/>
  <c r="AX33" i="104"/>
  <c r="AS35" i="104"/>
  <c r="BA35" i="104"/>
  <c r="AZ37" i="104"/>
  <c r="AZ39" i="104"/>
  <c r="AV5" i="104"/>
  <c r="AV7" i="104"/>
  <c r="AT9" i="104"/>
  <c r="AP11" i="104"/>
  <c r="AX11" i="104"/>
  <c r="AT13" i="104"/>
  <c r="AT15" i="104"/>
  <c r="AQ17" i="104"/>
  <c r="AY17" i="104"/>
  <c r="AV19" i="104"/>
  <c r="AV21" i="104"/>
  <c r="AR23" i="104"/>
  <c r="AZ23" i="104"/>
  <c r="AX25" i="104"/>
  <c r="AX27" i="104"/>
  <c r="AS29" i="104"/>
  <c r="BA29" i="104"/>
  <c r="AZ31" i="104"/>
  <c r="AZ33" i="104"/>
  <c r="AT35" i="104"/>
  <c r="AW5" i="104"/>
  <c r="AX7" i="104"/>
  <c r="AV9" i="104"/>
  <c r="AQ11" i="104"/>
  <c r="AY11" i="104"/>
  <c r="R59" i="104"/>
  <c r="S59" i="104"/>
  <c r="AJ59" i="104"/>
  <c r="R57" i="104"/>
  <c r="S57" i="104"/>
  <c r="AJ57" i="104"/>
  <c r="R60" i="104"/>
  <c r="S60" i="104"/>
  <c r="AJ60" i="104"/>
  <c r="R58" i="104"/>
  <c r="AZ7" i="103"/>
  <c r="AQ5" i="103"/>
  <c r="AY5" i="103"/>
  <c r="AZ9" i="103"/>
  <c r="AS11" i="103"/>
  <c r="BA11" i="103"/>
  <c r="AZ13" i="103"/>
  <c r="AZ15" i="103"/>
  <c r="AT17" i="103"/>
  <c r="AU23" i="103"/>
  <c r="AV29" i="103"/>
  <c r="AW35" i="103"/>
  <c r="AP37" i="103"/>
  <c r="AP39" i="103"/>
  <c r="AR17" i="103"/>
  <c r="AU29" i="103"/>
  <c r="AR5" i="103"/>
  <c r="AZ5" i="103"/>
  <c r="AT11" i="103"/>
  <c r="AZ19" i="103"/>
  <c r="AU17" i="103"/>
  <c r="AV23" i="103"/>
  <c r="AW29" i="103"/>
  <c r="AP31" i="103"/>
  <c r="AP33" i="103"/>
  <c r="AP35" i="103"/>
  <c r="AX35" i="103"/>
  <c r="AT37" i="103"/>
  <c r="AT39" i="103"/>
  <c r="AZ17" i="103"/>
  <c r="AZ25" i="103"/>
  <c r="AT29" i="103"/>
  <c r="AX9" i="103"/>
  <c r="AZ11" i="103"/>
  <c r="BA17" i="103"/>
  <c r="AT23" i="103"/>
  <c r="AS5" i="103"/>
  <c r="BA5" i="103"/>
  <c r="AU11" i="103"/>
  <c r="AX19" i="103"/>
  <c r="BA23" i="103"/>
  <c r="AZ27" i="103"/>
  <c r="AX15" i="103"/>
  <c r="AZ21" i="103"/>
  <c r="AV35" i="103"/>
  <c r="AV17" i="103"/>
  <c r="AW23" i="103"/>
  <c r="AP25" i="103"/>
  <c r="AP27" i="103"/>
  <c r="AP29" i="103"/>
  <c r="AX29" i="103"/>
  <c r="AT31" i="103"/>
  <c r="AT33" i="103"/>
  <c r="AQ35" i="103"/>
  <c r="AY35" i="103"/>
  <c r="AV37" i="103"/>
  <c r="AV39" i="103"/>
  <c r="AX13" i="103"/>
  <c r="AS17" i="103"/>
  <c r="AT5" i="103"/>
  <c r="AP7" i="103"/>
  <c r="AV11" i="103"/>
  <c r="AW17" i="103"/>
  <c r="AP19" i="103"/>
  <c r="AP21" i="103"/>
  <c r="AP23" i="103"/>
  <c r="AX23" i="103"/>
  <c r="AT25" i="103"/>
  <c r="AT27" i="103"/>
  <c r="AQ29" i="103"/>
  <c r="AY29" i="103"/>
  <c r="AV31" i="103"/>
  <c r="AV33" i="103"/>
  <c r="AR35" i="103"/>
  <c r="AZ35" i="103"/>
  <c r="AX37" i="103"/>
  <c r="AX39" i="103"/>
  <c r="AX5" i="103"/>
  <c r="AU5" i="103"/>
  <c r="AT7" i="103"/>
  <c r="AP9" i="103"/>
  <c r="AW11" i="103"/>
  <c r="AP13" i="103"/>
  <c r="AP15" i="103"/>
  <c r="AP17" i="103"/>
  <c r="AX17" i="103"/>
  <c r="AT19" i="103"/>
  <c r="AT21" i="103"/>
  <c r="AQ23" i="103"/>
  <c r="AY23" i="103"/>
  <c r="AV25" i="103"/>
  <c r="AV27" i="103"/>
  <c r="AR29" i="103"/>
  <c r="AZ29" i="103"/>
  <c r="AX31" i="103"/>
  <c r="AX33" i="103"/>
  <c r="AS35" i="103"/>
  <c r="BA35" i="103"/>
  <c r="AZ37" i="103"/>
  <c r="AZ39" i="103"/>
  <c r="AV13" i="103"/>
  <c r="AV5" i="103"/>
  <c r="AV7" i="103"/>
  <c r="AT9" i="103"/>
  <c r="AP11" i="103"/>
  <c r="AX11" i="103"/>
  <c r="AV15" i="103"/>
  <c r="AP5" i="103"/>
  <c r="AT13" i="103"/>
  <c r="AT15" i="103"/>
  <c r="AQ17" i="103"/>
  <c r="AY17" i="103"/>
  <c r="AV19" i="103"/>
  <c r="AV21" i="103"/>
  <c r="AR23" i="103"/>
  <c r="AZ23" i="103"/>
  <c r="AX25" i="103"/>
  <c r="AX27" i="103"/>
  <c r="AS29" i="103"/>
  <c r="BA29" i="103"/>
  <c r="AZ31" i="103"/>
  <c r="AZ33" i="103"/>
  <c r="AT35" i="103"/>
  <c r="AX21" i="103"/>
  <c r="AS23" i="103"/>
  <c r="AU35" i="103"/>
  <c r="AR11" i="103"/>
  <c r="AW5" i="103"/>
  <c r="AX7" i="103"/>
  <c r="AV9" i="103"/>
  <c r="AQ11" i="103"/>
  <c r="AY11" i="103"/>
  <c r="S59" i="103"/>
  <c r="AJ59" i="103"/>
  <c r="R57" i="103"/>
  <c r="S57" i="103"/>
  <c r="AJ57" i="103"/>
  <c r="R60" i="103"/>
  <c r="S60" i="103"/>
  <c r="AJ60" i="103"/>
  <c r="AJ58" i="103"/>
  <c r="AV15" i="102"/>
  <c r="AR17" i="102"/>
  <c r="AZ17" i="102"/>
  <c r="AX19" i="102"/>
  <c r="AX21" i="102"/>
  <c r="AS23" i="102"/>
  <c r="BA23" i="102"/>
  <c r="AZ25" i="102"/>
  <c r="AZ27" i="102"/>
  <c r="AT29" i="102"/>
  <c r="AU35" i="102"/>
  <c r="AP5" i="102"/>
  <c r="AX5" i="102"/>
  <c r="AZ7" i="102"/>
  <c r="AX9" i="102"/>
  <c r="AR11" i="102"/>
  <c r="AZ11" i="102"/>
  <c r="AX13" i="102"/>
  <c r="AX15" i="102"/>
  <c r="AS17" i="102"/>
  <c r="BA17" i="102"/>
  <c r="AZ19" i="102"/>
  <c r="AZ21" i="102"/>
  <c r="AT23" i="102"/>
  <c r="AU29" i="102"/>
  <c r="AV35" i="102"/>
  <c r="AQ5" i="102"/>
  <c r="AY5" i="102"/>
  <c r="AZ9" i="102"/>
  <c r="AS11" i="102"/>
  <c r="BA11" i="102"/>
  <c r="AZ13" i="102"/>
  <c r="AZ15" i="102"/>
  <c r="AT17" i="102"/>
  <c r="AU23" i="102"/>
  <c r="AV29" i="102"/>
  <c r="AW35" i="102"/>
  <c r="AP37" i="102"/>
  <c r="AP39" i="102"/>
  <c r="AV13" i="102"/>
  <c r="AR5" i="102"/>
  <c r="AZ5" i="102"/>
  <c r="AT11" i="102"/>
  <c r="AU17" i="102"/>
  <c r="AV23" i="102"/>
  <c r="AW29" i="102"/>
  <c r="AP31" i="102"/>
  <c r="AP33" i="102"/>
  <c r="AP35" i="102"/>
  <c r="AX35" i="102"/>
  <c r="AT37" i="102"/>
  <c r="AT39" i="102"/>
  <c r="AS5" i="102"/>
  <c r="BA5" i="102"/>
  <c r="AU11" i="102"/>
  <c r="AV17" i="102"/>
  <c r="AW23" i="102"/>
  <c r="AP25" i="102"/>
  <c r="AP27" i="102"/>
  <c r="AP29" i="102"/>
  <c r="AX29" i="102"/>
  <c r="AT31" i="102"/>
  <c r="AT33" i="102"/>
  <c r="AQ35" i="102"/>
  <c r="AY35" i="102"/>
  <c r="AV37" i="102"/>
  <c r="AV39" i="102"/>
  <c r="AT5" i="102"/>
  <c r="AP7" i="102"/>
  <c r="AV11" i="102"/>
  <c r="AW17" i="102"/>
  <c r="AP19" i="102"/>
  <c r="AP21" i="102"/>
  <c r="AP23" i="102"/>
  <c r="AX23" i="102"/>
  <c r="AT25" i="102"/>
  <c r="AT27" i="102"/>
  <c r="AQ29" i="102"/>
  <c r="AY29" i="102"/>
  <c r="AV31" i="102"/>
  <c r="AV33" i="102"/>
  <c r="AR35" i="102"/>
  <c r="AZ35" i="102"/>
  <c r="AX37" i="102"/>
  <c r="AX39" i="102"/>
  <c r="AU5" i="102"/>
  <c r="AT7" i="102"/>
  <c r="AP9" i="102"/>
  <c r="AW11" i="102"/>
  <c r="AP13" i="102"/>
  <c r="AP15" i="102"/>
  <c r="AP17" i="102"/>
  <c r="AX17" i="102"/>
  <c r="AT19" i="102"/>
  <c r="AT21" i="102"/>
  <c r="AQ23" i="102"/>
  <c r="AY23" i="102"/>
  <c r="AV25" i="102"/>
  <c r="AV27" i="102"/>
  <c r="AR29" i="102"/>
  <c r="AZ29" i="102"/>
  <c r="AX31" i="102"/>
  <c r="AX33" i="102"/>
  <c r="AS35" i="102"/>
  <c r="BA35" i="102"/>
  <c r="AZ37" i="102"/>
  <c r="AZ39" i="102"/>
  <c r="AV5" i="102"/>
  <c r="AV7" i="102"/>
  <c r="AT9" i="102"/>
  <c r="AP11" i="102"/>
  <c r="AX11" i="102"/>
  <c r="AT13" i="102"/>
  <c r="AT15" i="102"/>
  <c r="AQ17" i="102"/>
  <c r="AY17" i="102"/>
  <c r="AV19" i="102"/>
  <c r="AV21" i="102"/>
  <c r="AR23" i="102"/>
  <c r="AZ23" i="102"/>
  <c r="AX25" i="102"/>
  <c r="AX27" i="102"/>
  <c r="AS29" i="102"/>
  <c r="BA29" i="102"/>
  <c r="AZ31" i="102"/>
  <c r="AZ33" i="102"/>
  <c r="AT35" i="102"/>
  <c r="AW5" i="102"/>
  <c r="AX7" i="102"/>
  <c r="AV9" i="102"/>
  <c r="AQ11" i="102"/>
  <c r="AY11" i="102"/>
  <c r="R59" i="102"/>
  <c r="S59" i="102"/>
  <c r="AJ59" i="102"/>
  <c r="R57" i="102"/>
  <c r="S57" i="102"/>
  <c r="AJ57" i="102"/>
  <c r="R60" i="102"/>
  <c r="S60" i="102"/>
  <c r="AJ60" i="102"/>
  <c r="AJ58" i="102"/>
  <c r="AV13" i="101"/>
  <c r="AP5" i="101"/>
  <c r="AX5" i="101"/>
  <c r="AZ7" i="101"/>
  <c r="AX9" i="101"/>
  <c r="AR11" i="101"/>
  <c r="AZ11" i="101"/>
  <c r="AX13" i="101"/>
  <c r="AX15" i="101"/>
  <c r="AS17" i="101"/>
  <c r="BA17" i="101"/>
  <c r="AZ19" i="101"/>
  <c r="AZ21" i="101"/>
  <c r="AT23" i="101"/>
  <c r="AU29" i="101"/>
  <c r="AV35" i="101"/>
  <c r="AS23" i="101"/>
  <c r="AU35" i="101"/>
  <c r="AQ5" i="101"/>
  <c r="AY5" i="101"/>
  <c r="AZ9" i="101"/>
  <c r="AS11" i="101"/>
  <c r="BA11" i="101"/>
  <c r="AZ13" i="101"/>
  <c r="AZ15" i="101"/>
  <c r="AT17" i="101"/>
  <c r="AU23" i="101"/>
  <c r="AV29" i="101"/>
  <c r="AW35" i="101"/>
  <c r="AP37" i="101"/>
  <c r="AP39" i="101"/>
  <c r="BA23" i="101"/>
  <c r="AR5" i="101"/>
  <c r="AZ5" i="101"/>
  <c r="AT11" i="101"/>
  <c r="AU17" i="101"/>
  <c r="AV23" i="101"/>
  <c r="AW29" i="101"/>
  <c r="AP31" i="101"/>
  <c r="AP33" i="101"/>
  <c r="AP35" i="101"/>
  <c r="AX35" i="101"/>
  <c r="AT37" i="101"/>
  <c r="AT39" i="101"/>
  <c r="AZ27" i="101"/>
  <c r="AS5" i="101"/>
  <c r="BA5" i="101"/>
  <c r="AU11" i="101"/>
  <c r="AZ25" i="101"/>
  <c r="AV17" i="101"/>
  <c r="AW23" i="101"/>
  <c r="AP25" i="101"/>
  <c r="AP27" i="101"/>
  <c r="AP29" i="101"/>
  <c r="AX29" i="101"/>
  <c r="AT31" i="101"/>
  <c r="AT33" i="101"/>
  <c r="AQ35" i="101"/>
  <c r="AY35" i="101"/>
  <c r="AV37" i="101"/>
  <c r="AV39" i="101"/>
  <c r="AT5" i="101"/>
  <c r="AP7" i="101"/>
  <c r="AV11" i="101"/>
  <c r="AZ17" i="101"/>
  <c r="AW17" i="101"/>
  <c r="AP19" i="101"/>
  <c r="AP21" i="101"/>
  <c r="AP23" i="101"/>
  <c r="AX23" i="101"/>
  <c r="AT25" i="101"/>
  <c r="AT27" i="101"/>
  <c r="AQ29" i="101"/>
  <c r="AY29" i="101"/>
  <c r="AV31" i="101"/>
  <c r="AV33" i="101"/>
  <c r="AR35" i="101"/>
  <c r="AZ35" i="101"/>
  <c r="AX37" i="101"/>
  <c r="AX39" i="101"/>
  <c r="AU5" i="101"/>
  <c r="AT7" i="101"/>
  <c r="AP9" i="101"/>
  <c r="AW11" i="101"/>
  <c r="AV15" i="101"/>
  <c r="AT29" i="101"/>
  <c r="AP13" i="101"/>
  <c r="AP15" i="101"/>
  <c r="AP17" i="101"/>
  <c r="AX17" i="101"/>
  <c r="AT19" i="101"/>
  <c r="AT21" i="101"/>
  <c r="AQ23" i="101"/>
  <c r="AY23" i="101"/>
  <c r="AV25" i="101"/>
  <c r="AV27" i="101"/>
  <c r="AR29" i="101"/>
  <c r="AZ29" i="101"/>
  <c r="AX31" i="101"/>
  <c r="AX33" i="101"/>
  <c r="AS35" i="101"/>
  <c r="BA35" i="101"/>
  <c r="AZ37" i="101"/>
  <c r="AZ39" i="101"/>
  <c r="AV5" i="101"/>
  <c r="AV7" i="101"/>
  <c r="AT9" i="101"/>
  <c r="AP11" i="101"/>
  <c r="AX11" i="101"/>
  <c r="AX19" i="101"/>
  <c r="AT13" i="101"/>
  <c r="AT15" i="101"/>
  <c r="AQ17" i="101"/>
  <c r="AY17" i="101"/>
  <c r="AV19" i="101"/>
  <c r="AV21" i="101"/>
  <c r="AR23" i="101"/>
  <c r="AZ23" i="101"/>
  <c r="AX25" i="101"/>
  <c r="AX27" i="101"/>
  <c r="AS29" i="101"/>
  <c r="BA29" i="101"/>
  <c r="AZ31" i="101"/>
  <c r="AZ33" i="101"/>
  <c r="AT35" i="101"/>
  <c r="AR17" i="101"/>
  <c r="AX21" i="101"/>
  <c r="AW5" i="101"/>
  <c r="AX7" i="101"/>
  <c r="AV9" i="101"/>
  <c r="AQ11" i="101"/>
  <c r="AY11" i="101"/>
  <c r="R59" i="101"/>
  <c r="S59" i="101"/>
  <c r="AJ59" i="101"/>
  <c r="R57" i="101"/>
  <c r="S57" i="101"/>
  <c r="AK61" i="101" s="1"/>
  <c r="AJ57" i="101"/>
  <c r="R60" i="101"/>
  <c r="S60" i="101"/>
  <c r="AJ60" i="101"/>
  <c r="AJ58" i="101"/>
  <c r="AV13" i="100"/>
  <c r="AR17" i="100"/>
  <c r="AS23" i="100"/>
  <c r="BA23" i="100"/>
  <c r="AZ27" i="100"/>
  <c r="AT29" i="100"/>
  <c r="AU35" i="100"/>
  <c r="AV15" i="100"/>
  <c r="AZ25" i="100"/>
  <c r="AP5" i="100"/>
  <c r="AX5" i="100"/>
  <c r="AZ7" i="100"/>
  <c r="AX9" i="100"/>
  <c r="AR11" i="100"/>
  <c r="AZ11" i="100"/>
  <c r="AX19" i="100"/>
  <c r="AX13" i="100"/>
  <c r="AX15" i="100"/>
  <c r="AS17" i="100"/>
  <c r="BA17" i="100"/>
  <c r="AZ19" i="100"/>
  <c r="AZ21" i="100"/>
  <c r="AT23" i="100"/>
  <c r="AU29" i="100"/>
  <c r="AV35" i="100"/>
  <c r="AQ5" i="100"/>
  <c r="AY5" i="100"/>
  <c r="AZ9" i="100"/>
  <c r="AS11" i="100"/>
  <c r="BA11" i="100"/>
  <c r="AX21" i="100"/>
  <c r="AZ13" i="100"/>
  <c r="AZ15" i="100"/>
  <c r="AT17" i="100"/>
  <c r="AU23" i="100"/>
  <c r="AV29" i="100"/>
  <c r="AW35" i="100"/>
  <c r="AP37" i="100"/>
  <c r="AP39" i="100"/>
  <c r="AR5" i="100"/>
  <c r="AZ5" i="100"/>
  <c r="AT11" i="100"/>
  <c r="AU17" i="100"/>
  <c r="AV23" i="100"/>
  <c r="AW29" i="100"/>
  <c r="AP31" i="100"/>
  <c r="AP33" i="100"/>
  <c r="AP35" i="100"/>
  <c r="AX35" i="100"/>
  <c r="AT37" i="100"/>
  <c r="AT39" i="100"/>
  <c r="AS5" i="100"/>
  <c r="BA5" i="100"/>
  <c r="AU11" i="100"/>
  <c r="AV17" i="100"/>
  <c r="AW23" i="100"/>
  <c r="AP25" i="100"/>
  <c r="AP27" i="100"/>
  <c r="AP29" i="100"/>
  <c r="AX29" i="100"/>
  <c r="AT31" i="100"/>
  <c r="AT33" i="100"/>
  <c r="AQ35" i="100"/>
  <c r="AY35" i="100"/>
  <c r="AV37" i="100"/>
  <c r="AV39" i="100"/>
  <c r="AT5" i="100"/>
  <c r="AP7" i="100"/>
  <c r="AV11" i="100"/>
  <c r="AZ17" i="100"/>
  <c r="AW17" i="100"/>
  <c r="AP19" i="100"/>
  <c r="AP21" i="100"/>
  <c r="AP23" i="100"/>
  <c r="AX23" i="100"/>
  <c r="AT25" i="100"/>
  <c r="AT27" i="100"/>
  <c r="AQ29" i="100"/>
  <c r="AY29" i="100"/>
  <c r="AV31" i="100"/>
  <c r="AV33" i="100"/>
  <c r="AR35" i="100"/>
  <c r="AZ35" i="100"/>
  <c r="AX37" i="100"/>
  <c r="AX39" i="100"/>
  <c r="AU5" i="100"/>
  <c r="AT7" i="100"/>
  <c r="AP9" i="100"/>
  <c r="AW11" i="100"/>
  <c r="AP13" i="100"/>
  <c r="AP15" i="100"/>
  <c r="AP17" i="100"/>
  <c r="AX17" i="100"/>
  <c r="AT19" i="100"/>
  <c r="AT21" i="100"/>
  <c r="AQ23" i="100"/>
  <c r="AY23" i="100"/>
  <c r="AV25" i="100"/>
  <c r="AV27" i="100"/>
  <c r="AR29" i="100"/>
  <c r="AZ29" i="100"/>
  <c r="AX31" i="100"/>
  <c r="AX33" i="100"/>
  <c r="AS35" i="100"/>
  <c r="BA35" i="100"/>
  <c r="AZ37" i="100"/>
  <c r="AZ39" i="100"/>
  <c r="AV5" i="100"/>
  <c r="AV7" i="100"/>
  <c r="AT9" i="100"/>
  <c r="AP11" i="100"/>
  <c r="AX11" i="100"/>
  <c r="AT13" i="100"/>
  <c r="AT15" i="100"/>
  <c r="AQ17" i="100"/>
  <c r="AY17" i="100"/>
  <c r="AV19" i="100"/>
  <c r="AV21" i="100"/>
  <c r="AR23" i="100"/>
  <c r="AZ23" i="100"/>
  <c r="AX25" i="100"/>
  <c r="AX27" i="100"/>
  <c r="AS29" i="100"/>
  <c r="BA29" i="100"/>
  <c r="AZ31" i="100"/>
  <c r="AZ33" i="100"/>
  <c r="AT35" i="100"/>
  <c r="AW5" i="100"/>
  <c r="AX7" i="100"/>
  <c r="AV9" i="100"/>
  <c r="AQ11" i="100"/>
  <c r="AY11" i="100"/>
  <c r="R59" i="100"/>
  <c r="S59" i="100"/>
  <c r="AJ59" i="100"/>
  <c r="R57" i="100"/>
  <c r="S57" i="100"/>
  <c r="AJ57" i="100"/>
  <c r="R60" i="100"/>
  <c r="S60" i="100"/>
  <c r="AJ60" i="100"/>
  <c r="AX5" i="99"/>
  <c r="AX19" i="99"/>
  <c r="AX13" i="99"/>
  <c r="AX15" i="99"/>
  <c r="AS17" i="99"/>
  <c r="BA17" i="99"/>
  <c r="AZ19" i="99"/>
  <c r="AZ21" i="99"/>
  <c r="AT23" i="99"/>
  <c r="AU29" i="99"/>
  <c r="AV35" i="99"/>
  <c r="AV13" i="99"/>
  <c r="AZ17" i="99"/>
  <c r="AQ5" i="99"/>
  <c r="AY5" i="99"/>
  <c r="AZ9" i="99"/>
  <c r="AS11" i="99"/>
  <c r="BA11" i="99"/>
  <c r="AZ13" i="99"/>
  <c r="AZ15" i="99"/>
  <c r="AT17" i="99"/>
  <c r="AU23" i="99"/>
  <c r="AV29" i="99"/>
  <c r="AW35" i="99"/>
  <c r="AP37" i="99"/>
  <c r="AP39" i="99"/>
  <c r="AR5" i="99"/>
  <c r="AZ5" i="99"/>
  <c r="AT11" i="99"/>
  <c r="AX21" i="99"/>
  <c r="AU17" i="99"/>
  <c r="AV23" i="99"/>
  <c r="AW29" i="99"/>
  <c r="AP31" i="99"/>
  <c r="AP33" i="99"/>
  <c r="AP35" i="99"/>
  <c r="AX35" i="99"/>
  <c r="AT37" i="99"/>
  <c r="AT39" i="99"/>
  <c r="AX9" i="99"/>
  <c r="AS5" i="99"/>
  <c r="BA5" i="99"/>
  <c r="AU11" i="99"/>
  <c r="AZ25" i="99"/>
  <c r="AP5" i="99"/>
  <c r="AV17" i="99"/>
  <c r="AW23" i="99"/>
  <c r="AP25" i="99"/>
  <c r="AP27" i="99"/>
  <c r="AP29" i="99"/>
  <c r="AX29" i="99"/>
  <c r="AT31" i="99"/>
  <c r="AT33" i="99"/>
  <c r="AQ35" i="99"/>
  <c r="AY35" i="99"/>
  <c r="AV37" i="99"/>
  <c r="AV39" i="99"/>
  <c r="AR17" i="99"/>
  <c r="AZ11" i="99"/>
  <c r="AV11" i="99"/>
  <c r="AV15" i="99"/>
  <c r="AS23" i="99"/>
  <c r="AZ7" i="99"/>
  <c r="AT5" i="99"/>
  <c r="AP7" i="99"/>
  <c r="AW17" i="99"/>
  <c r="AP19" i="99"/>
  <c r="AP21" i="99"/>
  <c r="AP23" i="99"/>
  <c r="AX23" i="99"/>
  <c r="AT25" i="99"/>
  <c r="AT27" i="99"/>
  <c r="AQ29" i="99"/>
  <c r="AY29" i="99"/>
  <c r="AV31" i="99"/>
  <c r="AV33" i="99"/>
  <c r="AR35" i="99"/>
  <c r="AZ35" i="99"/>
  <c r="AX37" i="99"/>
  <c r="AX39" i="99"/>
  <c r="BA23" i="99"/>
  <c r="AU5" i="99"/>
  <c r="AT7" i="99"/>
  <c r="AP9" i="99"/>
  <c r="AW11" i="99"/>
  <c r="AZ27" i="99"/>
  <c r="AP13" i="99"/>
  <c r="AP15" i="99"/>
  <c r="AP17" i="99"/>
  <c r="AX17" i="99"/>
  <c r="AT19" i="99"/>
  <c r="AT21" i="99"/>
  <c r="AQ23" i="99"/>
  <c r="AY23" i="99"/>
  <c r="AV25" i="99"/>
  <c r="AV27" i="99"/>
  <c r="AR29" i="99"/>
  <c r="AZ29" i="99"/>
  <c r="AX31" i="99"/>
  <c r="AX33" i="99"/>
  <c r="AS35" i="99"/>
  <c r="BA35" i="99"/>
  <c r="AZ37" i="99"/>
  <c r="AZ39" i="99"/>
  <c r="AV5" i="99"/>
  <c r="AV7" i="99"/>
  <c r="AT9" i="99"/>
  <c r="AP11" i="99"/>
  <c r="AX11" i="99"/>
  <c r="AT13" i="99"/>
  <c r="AT15" i="99"/>
  <c r="AQ17" i="99"/>
  <c r="AY17" i="99"/>
  <c r="AV19" i="99"/>
  <c r="AV21" i="99"/>
  <c r="AR23" i="99"/>
  <c r="AZ23" i="99"/>
  <c r="AX25" i="99"/>
  <c r="AX27" i="99"/>
  <c r="AS29" i="99"/>
  <c r="BA29" i="99"/>
  <c r="AZ31" i="99"/>
  <c r="AZ33" i="99"/>
  <c r="AT35" i="99"/>
  <c r="AT29" i="99"/>
  <c r="AU35" i="99"/>
  <c r="AR11" i="99"/>
  <c r="AW5" i="99"/>
  <c r="AX7" i="99"/>
  <c r="AV9" i="99"/>
  <c r="AQ11" i="99"/>
  <c r="AY11" i="99"/>
  <c r="R59" i="99"/>
  <c r="S59" i="99"/>
  <c r="AJ59" i="99"/>
  <c r="R57" i="99"/>
  <c r="S57" i="99"/>
  <c r="AJ57" i="99"/>
  <c r="R60" i="99"/>
  <c r="S60" i="99"/>
  <c r="AJ60" i="99"/>
  <c r="AJ58" i="99"/>
  <c r="AM56" i="100" l="1"/>
  <c r="AM56" i="99"/>
  <c r="AK61" i="104"/>
  <c r="AM56" i="104"/>
  <c r="AK61" i="102"/>
  <c r="AM57" i="104"/>
  <c r="AM59" i="100"/>
  <c r="AL59" i="100"/>
  <c r="AM56" i="103"/>
  <c r="AL58" i="102"/>
  <c r="AM57" i="100"/>
  <c r="AL60" i="99"/>
  <c r="AL58" i="101"/>
  <c r="AM57" i="103"/>
  <c r="AJ61" i="101"/>
  <c r="AM58" i="100"/>
  <c r="AL60" i="104"/>
  <c r="AM59" i="104"/>
  <c r="AM60" i="100"/>
  <c r="AL58" i="99"/>
  <c r="AM60" i="102"/>
  <c r="AM59" i="101"/>
  <c r="AL59" i="103"/>
  <c r="AM56" i="102"/>
  <c r="AL59" i="99"/>
  <c r="AJ61" i="103"/>
  <c r="AM56" i="101"/>
  <c r="AL57" i="99"/>
  <c r="AL59" i="102"/>
  <c r="AL57" i="103"/>
  <c r="AL57" i="102"/>
  <c r="AM59" i="102"/>
  <c r="AL60" i="102"/>
  <c r="AM60" i="103"/>
  <c r="AL57" i="101"/>
  <c r="AL60" i="100"/>
  <c r="AL59" i="101"/>
  <c r="AM57" i="101"/>
  <c r="AL60" i="101"/>
  <c r="AM58" i="99"/>
  <c r="AM57" i="102"/>
  <c r="AM58" i="103"/>
  <c r="AL58" i="104"/>
  <c r="AM57" i="99"/>
  <c r="AM60" i="104"/>
  <c r="AM59" i="103"/>
  <c r="AK61" i="103"/>
  <c r="AK61" i="100"/>
  <c r="AL59" i="104"/>
  <c r="AL57" i="104"/>
  <c r="AM59" i="99"/>
  <c r="AM58" i="104"/>
  <c r="AK61" i="99"/>
  <c r="AM58" i="102"/>
  <c r="AL58" i="103"/>
  <c r="AM60" i="99"/>
  <c r="AJ61" i="104"/>
  <c r="AL60" i="103"/>
  <c r="AJ61" i="102"/>
  <c r="AM58" i="101"/>
  <c r="AL58" i="100"/>
  <c r="AL57" i="100"/>
  <c r="AJ61" i="99"/>
  <c r="AJ61" i="100"/>
  <c r="AK40" i="98"/>
  <c r="AK39" i="98"/>
  <c r="AK38" i="98"/>
  <c r="AK37" i="98"/>
  <c r="AK36" i="98"/>
  <c r="AK35" i="98"/>
  <c r="AK34" i="98"/>
  <c r="AK33" i="98"/>
  <c r="AK32" i="98"/>
  <c r="AK31" i="98"/>
  <c r="AK30" i="98"/>
  <c r="AK29" i="98"/>
  <c r="AK28" i="98"/>
  <c r="AK27" i="98"/>
  <c r="AK26" i="98"/>
  <c r="AK25" i="98"/>
  <c r="AK24" i="98"/>
  <c r="AK23" i="98"/>
  <c r="AK22" i="98"/>
  <c r="AK21" i="98"/>
  <c r="AK20" i="98"/>
  <c r="AK19" i="98"/>
  <c r="AK18" i="98"/>
  <c r="AK17" i="98"/>
  <c r="AK16" i="98"/>
  <c r="AK15" i="98"/>
  <c r="AK14" i="98"/>
  <c r="AK13" i="98"/>
  <c r="AK12" i="98"/>
  <c r="AK11" i="98"/>
  <c r="AK10" i="98"/>
  <c r="AK9" i="98"/>
  <c r="AK8" i="98"/>
  <c r="AK7" i="98"/>
  <c r="AK6" i="98"/>
  <c r="AK5" i="98"/>
  <c r="AJ6" i="98"/>
  <c r="AJ7" i="98"/>
  <c r="AJ8" i="98"/>
  <c r="AJ9" i="98"/>
  <c r="AJ10" i="98"/>
  <c r="AJ11" i="98"/>
  <c r="AJ12" i="98"/>
  <c r="AJ13" i="98"/>
  <c r="AJ14" i="98"/>
  <c r="AJ15" i="98"/>
  <c r="AJ16" i="98"/>
  <c r="AJ17" i="98"/>
  <c r="AJ18" i="98"/>
  <c r="AJ19" i="98"/>
  <c r="AJ20" i="98"/>
  <c r="AJ21" i="98"/>
  <c r="AJ22" i="98"/>
  <c r="AJ23" i="98"/>
  <c r="AJ24" i="98"/>
  <c r="AJ25" i="98"/>
  <c r="AJ26" i="98"/>
  <c r="AJ27" i="98"/>
  <c r="AJ28" i="98"/>
  <c r="AJ29" i="98"/>
  <c r="AJ30" i="98"/>
  <c r="AJ31" i="98"/>
  <c r="AJ32" i="98"/>
  <c r="AJ33" i="98"/>
  <c r="AJ34" i="98"/>
  <c r="AJ35" i="98"/>
  <c r="AJ36" i="98"/>
  <c r="AJ37" i="98"/>
  <c r="AJ38" i="98"/>
  <c r="AJ39" i="98"/>
  <c r="AJ40" i="98"/>
  <c r="AJ5" i="98"/>
  <c r="X40" i="98"/>
  <c r="X39" i="98"/>
  <c r="X38" i="98"/>
  <c r="X37" i="98"/>
  <c r="X36" i="98"/>
  <c r="X35" i="98"/>
  <c r="X34" i="98"/>
  <c r="X33" i="98"/>
  <c r="X32" i="98"/>
  <c r="X31" i="98"/>
  <c r="X30" i="98"/>
  <c r="X29" i="98"/>
  <c r="X28" i="98"/>
  <c r="X27" i="98"/>
  <c r="X26" i="98"/>
  <c r="X25" i="98"/>
  <c r="X24" i="98"/>
  <c r="X23" i="98"/>
  <c r="X22" i="98"/>
  <c r="X21" i="98"/>
  <c r="X20" i="98"/>
  <c r="X19" i="98"/>
  <c r="X18" i="98"/>
  <c r="X17" i="98"/>
  <c r="X16" i="98"/>
  <c r="X15" i="98"/>
  <c r="X14" i="98"/>
  <c r="X13" i="98"/>
  <c r="X12" i="98"/>
  <c r="X11" i="98"/>
  <c r="X10" i="98"/>
  <c r="X9" i="98"/>
  <c r="X8" i="98"/>
  <c r="X7" i="98"/>
  <c r="X6" i="98"/>
  <c r="X5" i="98"/>
  <c r="W40" i="98"/>
  <c r="W39" i="98"/>
  <c r="W38" i="98"/>
  <c r="W37" i="98"/>
  <c r="W36" i="98"/>
  <c r="W35" i="98"/>
  <c r="W34" i="98"/>
  <c r="W33" i="98"/>
  <c r="W32" i="98"/>
  <c r="W31" i="98"/>
  <c r="W30" i="98"/>
  <c r="W29" i="98"/>
  <c r="W28" i="98"/>
  <c r="W27" i="98"/>
  <c r="W26" i="98"/>
  <c r="W25" i="98"/>
  <c r="W24" i="98"/>
  <c r="W23" i="98"/>
  <c r="W22" i="98"/>
  <c r="W21" i="98"/>
  <c r="W20" i="98"/>
  <c r="W19" i="98"/>
  <c r="W18" i="98"/>
  <c r="W17" i="98"/>
  <c r="W16" i="98"/>
  <c r="W15" i="98"/>
  <c r="W14" i="98"/>
  <c r="W13" i="98"/>
  <c r="W12" i="98"/>
  <c r="W11" i="98"/>
  <c r="W10" i="98"/>
  <c r="W9" i="98"/>
  <c r="W8" i="98"/>
  <c r="W7" i="98"/>
  <c r="W6" i="98"/>
  <c r="W5" i="98"/>
  <c r="V40" i="98"/>
  <c r="V39" i="98"/>
  <c r="V38" i="98"/>
  <c r="V37" i="98"/>
  <c r="V36" i="98"/>
  <c r="V35" i="98"/>
  <c r="V34" i="98"/>
  <c r="V33" i="98"/>
  <c r="V32" i="98"/>
  <c r="V31" i="98"/>
  <c r="V30" i="98"/>
  <c r="V29" i="98"/>
  <c r="V28" i="98"/>
  <c r="V27" i="98"/>
  <c r="V26" i="98"/>
  <c r="V25" i="98"/>
  <c r="V24" i="98"/>
  <c r="V23" i="98"/>
  <c r="V22" i="98"/>
  <c r="V21" i="98"/>
  <c r="V20" i="98"/>
  <c r="V19" i="98"/>
  <c r="V18" i="98"/>
  <c r="V17" i="98"/>
  <c r="V16" i="98"/>
  <c r="V15" i="98"/>
  <c r="V14" i="98"/>
  <c r="V13" i="98"/>
  <c r="V12" i="98"/>
  <c r="V11" i="98"/>
  <c r="V10" i="98"/>
  <c r="V9" i="98"/>
  <c r="V8" i="98"/>
  <c r="V7" i="98"/>
  <c r="V6" i="98"/>
  <c r="V5" i="98"/>
  <c r="U6" i="98"/>
  <c r="U7" i="98"/>
  <c r="U8" i="98"/>
  <c r="U9" i="98"/>
  <c r="U10" i="98"/>
  <c r="U11" i="98"/>
  <c r="U12" i="98"/>
  <c r="U13" i="98"/>
  <c r="U14" i="98"/>
  <c r="U15" i="98"/>
  <c r="U16" i="98"/>
  <c r="U17" i="98"/>
  <c r="U18" i="98"/>
  <c r="U19" i="98"/>
  <c r="U20" i="98"/>
  <c r="U21" i="98"/>
  <c r="U22" i="98"/>
  <c r="U23" i="98"/>
  <c r="U24" i="98"/>
  <c r="U25" i="98"/>
  <c r="U26" i="98"/>
  <c r="U27" i="98"/>
  <c r="U28" i="98"/>
  <c r="U29" i="98"/>
  <c r="U30" i="98"/>
  <c r="U31" i="98"/>
  <c r="U32" i="98"/>
  <c r="U33" i="98"/>
  <c r="U34" i="98"/>
  <c r="U35" i="98"/>
  <c r="U36" i="98"/>
  <c r="U37" i="98"/>
  <c r="U38" i="98"/>
  <c r="U39" i="98"/>
  <c r="U40" i="98"/>
  <c r="U5" i="98"/>
  <c r="S40" i="98"/>
  <c r="S39" i="98"/>
  <c r="S38" i="98"/>
  <c r="S37" i="98"/>
  <c r="S36" i="98"/>
  <c r="S35" i="98"/>
  <c r="S34" i="98"/>
  <c r="AM34" i="98" s="1"/>
  <c r="S33" i="98"/>
  <c r="S32" i="98"/>
  <c r="S31" i="98"/>
  <c r="S30" i="98"/>
  <c r="S29" i="98"/>
  <c r="S28" i="98"/>
  <c r="S27" i="98"/>
  <c r="S26" i="98"/>
  <c r="S25" i="98"/>
  <c r="S24" i="98"/>
  <c r="S23" i="98"/>
  <c r="S22" i="98"/>
  <c r="S21" i="98"/>
  <c r="S20" i="98"/>
  <c r="S19" i="98"/>
  <c r="S18" i="98"/>
  <c r="S17" i="98"/>
  <c r="S16" i="98"/>
  <c r="S15" i="98"/>
  <c r="S14" i="98"/>
  <c r="S13" i="98"/>
  <c r="S12" i="98"/>
  <c r="S11" i="98"/>
  <c r="S10" i="98"/>
  <c r="S9" i="98"/>
  <c r="S8" i="98"/>
  <c r="S7" i="98"/>
  <c r="S6" i="98"/>
  <c r="S5" i="98"/>
  <c r="R6" i="98"/>
  <c r="R7" i="98"/>
  <c r="R8" i="98"/>
  <c r="R9" i="98"/>
  <c r="R10" i="98"/>
  <c r="R11" i="98"/>
  <c r="R12" i="98"/>
  <c r="R13" i="98"/>
  <c r="R14" i="98"/>
  <c r="R15" i="98"/>
  <c r="R16" i="98"/>
  <c r="R17" i="98"/>
  <c r="R18" i="98"/>
  <c r="R19" i="98"/>
  <c r="R20" i="98"/>
  <c r="R21" i="98"/>
  <c r="R22" i="98"/>
  <c r="R23" i="98"/>
  <c r="R24" i="98"/>
  <c r="R25" i="98"/>
  <c r="R26" i="98"/>
  <c r="R27" i="98"/>
  <c r="R28" i="98"/>
  <c r="R29" i="98"/>
  <c r="R30" i="98"/>
  <c r="R31" i="98"/>
  <c r="R32" i="98"/>
  <c r="R33" i="98"/>
  <c r="R34" i="98"/>
  <c r="R35" i="98"/>
  <c r="R36" i="98"/>
  <c r="R37" i="98"/>
  <c r="R38" i="98"/>
  <c r="R39" i="98"/>
  <c r="R40" i="98"/>
  <c r="R5" i="98"/>
  <c r="P40" i="98"/>
  <c r="P39" i="98"/>
  <c r="P38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P16" i="98"/>
  <c r="P15" i="98"/>
  <c r="P14" i="98"/>
  <c r="P13" i="98"/>
  <c r="P12" i="98"/>
  <c r="P11" i="98"/>
  <c r="P10" i="98"/>
  <c r="P9" i="98"/>
  <c r="P8" i="98"/>
  <c r="P7" i="98"/>
  <c r="P6" i="98"/>
  <c r="P5" i="98"/>
  <c r="O40" i="98"/>
  <c r="O39" i="98"/>
  <c r="O38" i="98"/>
  <c r="O37" i="98"/>
  <c r="O36" i="98"/>
  <c r="O35" i="98"/>
  <c r="O34" i="98"/>
  <c r="O33" i="98"/>
  <c r="O32" i="98"/>
  <c r="O31" i="98"/>
  <c r="O30" i="98"/>
  <c r="O29" i="98"/>
  <c r="O28" i="98"/>
  <c r="O27" i="98"/>
  <c r="O26" i="98"/>
  <c r="O25" i="98"/>
  <c r="O24" i="98"/>
  <c r="O23" i="98"/>
  <c r="O22" i="98"/>
  <c r="O21" i="98"/>
  <c r="O20" i="98"/>
  <c r="O19" i="98"/>
  <c r="O18" i="98"/>
  <c r="O17" i="98"/>
  <c r="O16" i="98"/>
  <c r="O15" i="98"/>
  <c r="O14" i="98"/>
  <c r="O13" i="98"/>
  <c r="O12" i="98"/>
  <c r="O11" i="98"/>
  <c r="O10" i="98"/>
  <c r="O9" i="98"/>
  <c r="O8" i="98"/>
  <c r="O7" i="98"/>
  <c r="O6" i="98"/>
  <c r="O5" i="98"/>
  <c r="N40" i="98"/>
  <c r="N39" i="98"/>
  <c r="N38" i="98"/>
  <c r="N37" i="98"/>
  <c r="N36" i="98"/>
  <c r="N35" i="98"/>
  <c r="N34" i="98"/>
  <c r="N33" i="98"/>
  <c r="N32" i="98"/>
  <c r="N31" i="98"/>
  <c r="N30" i="98"/>
  <c r="N29" i="98"/>
  <c r="N28" i="98"/>
  <c r="N27" i="98"/>
  <c r="N26" i="98"/>
  <c r="N25" i="98"/>
  <c r="N24" i="98"/>
  <c r="N23" i="98"/>
  <c r="N22" i="98"/>
  <c r="N21" i="98"/>
  <c r="N20" i="98"/>
  <c r="N19" i="98"/>
  <c r="N18" i="98"/>
  <c r="N17" i="98"/>
  <c r="N16" i="98"/>
  <c r="N15" i="98"/>
  <c r="N14" i="98"/>
  <c r="N13" i="98"/>
  <c r="N12" i="98"/>
  <c r="N11" i="98"/>
  <c r="N10" i="98"/>
  <c r="N9" i="98"/>
  <c r="N8" i="98"/>
  <c r="N7" i="98"/>
  <c r="N6" i="98"/>
  <c r="N5" i="98"/>
  <c r="M40" i="98"/>
  <c r="M39" i="98"/>
  <c r="M38" i="98"/>
  <c r="M37" i="98"/>
  <c r="M36" i="98"/>
  <c r="M35" i="98"/>
  <c r="M34" i="98"/>
  <c r="M33" i="98"/>
  <c r="M32" i="98"/>
  <c r="M31" i="98"/>
  <c r="M30" i="98"/>
  <c r="M29" i="98"/>
  <c r="M28" i="98"/>
  <c r="M27" i="98"/>
  <c r="M26" i="98"/>
  <c r="M25" i="98"/>
  <c r="M24" i="98"/>
  <c r="M23" i="98"/>
  <c r="M22" i="98"/>
  <c r="M21" i="98"/>
  <c r="M20" i="98"/>
  <c r="M19" i="98"/>
  <c r="M18" i="98"/>
  <c r="M17" i="98"/>
  <c r="M16" i="98"/>
  <c r="M15" i="98"/>
  <c r="M14" i="98"/>
  <c r="M13" i="98"/>
  <c r="M12" i="98"/>
  <c r="M11" i="98"/>
  <c r="M10" i="98"/>
  <c r="M9" i="98"/>
  <c r="M8" i="98"/>
  <c r="M7" i="98"/>
  <c r="M6" i="98"/>
  <c r="M5" i="98"/>
  <c r="L40" i="98"/>
  <c r="L39" i="98"/>
  <c r="L38" i="98"/>
  <c r="L37" i="98"/>
  <c r="L36" i="98"/>
  <c r="L35" i="98"/>
  <c r="L34" i="98"/>
  <c r="L33" i="98"/>
  <c r="L32" i="98"/>
  <c r="L31" i="98"/>
  <c r="L30" i="98"/>
  <c r="L29" i="98"/>
  <c r="L28" i="98"/>
  <c r="L27" i="98"/>
  <c r="L26" i="98"/>
  <c r="L25" i="98"/>
  <c r="L24" i="98"/>
  <c r="L23" i="98"/>
  <c r="L22" i="98"/>
  <c r="L21" i="98"/>
  <c r="L20" i="98"/>
  <c r="L19" i="98"/>
  <c r="L18" i="98"/>
  <c r="L17" i="98"/>
  <c r="L16" i="98"/>
  <c r="L15" i="98"/>
  <c r="L14" i="98"/>
  <c r="L13" i="98"/>
  <c r="L12" i="98"/>
  <c r="L11" i="98"/>
  <c r="L10" i="98"/>
  <c r="L9" i="98"/>
  <c r="L8" i="98"/>
  <c r="L7" i="98"/>
  <c r="L6" i="98"/>
  <c r="L5" i="98"/>
  <c r="K40" i="98"/>
  <c r="K39" i="98"/>
  <c r="K38" i="98"/>
  <c r="K37" i="98"/>
  <c r="K36" i="98"/>
  <c r="K35" i="98"/>
  <c r="K34" i="98"/>
  <c r="K33" i="98"/>
  <c r="K32" i="98"/>
  <c r="K31" i="98"/>
  <c r="K30" i="98"/>
  <c r="K29" i="98"/>
  <c r="K28" i="98"/>
  <c r="K27" i="98"/>
  <c r="K26" i="98"/>
  <c r="K25" i="98"/>
  <c r="K24" i="98"/>
  <c r="K23" i="98"/>
  <c r="K22" i="98"/>
  <c r="K21" i="98"/>
  <c r="K20" i="98"/>
  <c r="K19" i="98"/>
  <c r="K18" i="98"/>
  <c r="K17" i="98"/>
  <c r="K16" i="98"/>
  <c r="K15" i="98"/>
  <c r="K14" i="98"/>
  <c r="K13" i="98"/>
  <c r="K12" i="98"/>
  <c r="K11" i="98"/>
  <c r="K10" i="98"/>
  <c r="K9" i="98"/>
  <c r="K8" i="98"/>
  <c r="K7" i="98"/>
  <c r="K6" i="98"/>
  <c r="K5" i="98"/>
  <c r="J40" i="98"/>
  <c r="J39" i="98"/>
  <c r="J38" i="98"/>
  <c r="J37" i="98"/>
  <c r="J36" i="98"/>
  <c r="J35" i="98"/>
  <c r="J34" i="98"/>
  <c r="J33" i="98"/>
  <c r="J32" i="98"/>
  <c r="J31" i="98"/>
  <c r="J30" i="98"/>
  <c r="J29" i="98"/>
  <c r="J28" i="98"/>
  <c r="J27" i="98"/>
  <c r="J26" i="98"/>
  <c r="J25" i="98"/>
  <c r="J24" i="98"/>
  <c r="J23" i="98"/>
  <c r="J22" i="98"/>
  <c r="J21" i="98"/>
  <c r="J20" i="98"/>
  <c r="J19" i="98"/>
  <c r="J18" i="98"/>
  <c r="J17" i="98"/>
  <c r="J16" i="98"/>
  <c r="J15" i="98"/>
  <c r="J14" i="98"/>
  <c r="J13" i="98"/>
  <c r="J12" i="98"/>
  <c r="J11" i="98"/>
  <c r="J10" i="98"/>
  <c r="J9" i="98"/>
  <c r="J8" i="98"/>
  <c r="J7" i="98"/>
  <c r="J6" i="98"/>
  <c r="J5" i="98"/>
  <c r="I40" i="98"/>
  <c r="I39" i="98"/>
  <c r="I38" i="98"/>
  <c r="I37" i="98"/>
  <c r="I36" i="98"/>
  <c r="I35" i="98"/>
  <c r="I34" i="98"/>
  <c r="I33" i="98"/>
  <c r="I32" i="98"/>
  <c r="I31" i="98"/>
  <c r="I30" i="98"/>
  <c r="I29" i="98"/>
  <c r="I28" i="98"/>
  <c r="I27" i="98"/>
  <c r="I26" i="98"/>
  <c r="I25" i="98"/>
  <c r="I24" i="98"/>
  <c r="I23" i="98"/>
  <c r="I22" i="98"/>
  <c r="I21" i="98"/>
  <c r="I20" i="98"/>
  <c r="I19" i="98"/>
  <c r="I18" i="98"/>
  <c r="I17" i="98"/>
  <c r="I16" i="98"/>
  <c r="I15" i="98"/>
  <c r="I14" i="98"/>
  <c r="I13" i="98"/>
  <c r="I12" i="98"/>
  <c r="I11" i="98"/>
  <c r="I10" i="98"/>
  <c r="I9" i="98"/>
  <c r="I8" i="98"/>
  <c r="I7" i="98"/>
  <c r="I6" i="98"/>
  <c r="I5" i="98"/>
  <c r="H6" i="98"/>
  <c r="H7" i="98"/>
  <c r="H8" i="98"/>
  <c r="H9" i="98"/>
  <c r="H10" i="98"/>
  <c r="H11" i="98"/>
  <c r="H12" i="98"/>
  <c r="H13" i="98"/>
  <c r="H14" i="98"/>
  <c r="H15" i="98"/>
  <c r="H16" i="98"/>
  <c r="H17" i="98"/>
  <c r="H18" i="98"/>
  <c r="H19" i="98"/>
  <c r="H20" i="98"/>
  <c r="H21" i="98"/>
  <c r="H22" i="98"/>
  <c r="H23" i="98"/>
  <c r="H24" i="98"/>
  <c r="H25" i="98"/>
  <c r="H26" i="98"/>
  <c r="H27" i="98"/>
  <c r="H28" i="98"/>
  <c r="H29" i="98"/>
  <c r="H30" i="98"/>
  <c r="H31" i="98"/>
  <c r="H32" i="98"/>
  <c r="H33" i="98"/>
  <c r="H34" i="98"/>
  <c r="H35" i="98"/>
  <c r="H36" i="98"/>
  <c r="H37" i="98"/>
  <c r="H38" i="98"/>
  <c r="H39" i="98"/>
  <c r="H40" i="98"/>
  <c r="H5" i="98"/>
  <c r="F40" i="98"/>
  <c r="F39" i="98"/>
  <c r="F38" i="98"/>
  <c r="F37" i="98"/>
  <c r="F36" i="98"/>
  <c r="F35" i="98"/>
  <c r="F34" i="98"/>
  <c r="F33" i="98"/>
  <c r="F32" i="98"/>
  <c r="F31" i="98"/>
  <c r="F30" i="98"/>
  <c r="F29" i="98"/>
  <c r="F28" i="98"/>
  <c r="F27" i="98"/>
  <c r="F26" i="98"/>
  <c r="F25" i="98"/>
  <c r="F24" i="98"/>
  <c r="F23" i="98"/>
  <c r="F22" i="98"/>
  <c r="F21" i="98"/>
  <c r="F20" i="98"/>
  <c r="F19" i="98"/>
  <c r="F18" i="98"/>
  <c r="F17" i="98"/>
  <c r="F16" i="98"/>
  <c r="F15" i="98"/>
  <c r="F14" i="98"/>
  <c r="F13" i="98"/>
  <c r="F12" i="98"/>
  <c r="F11" i="98"/>
  <c r="F10" i="98"/>
  <c r="F9" i="98"/>
  <c r="F8" i="98"/>
  <c r="F7" i="98"/>
  <c r="F6" i="98"/>
  <c r="F5" i="98"/>
  <c r="E40" i="98"/>
  <c r="E39" i="98"/>
  <c r="E38" i="98"/>
  <c r="E37" i="98"/>
  <c r="E36" i="98"/>
  <c r="E35" i="98"/>
  <c r="E34" i="98"/>
  <c r="E33" i="98"/>
  <c r="E32" i="98"/>
  <c r="E31" i="98"/>
  <c r="E30" i="98"/>
  <c r="E29" i="98"/>
  <c r="E28" i="98"/>
  <c r="E27" i="98"/>
  <c r="E26" i="98"/>
  <c r="E25" i="98"/>
  <c r="E24" i="98"/>
  <c r="E23" i="98"/>
  <c r="E22" i="98"/>
  <c r="E21" i="98"/>
  <c r="E20" i="98"/>
  <c r="E19" i="98"/>
  <c r="E18" i="98"/>
  <c r="E17" i="98"/>
  <c r="E16" i="98"/>
  <c r="E15" i="98"/>
  <c r="E14" i="98"/>
  <c r="E13" i="98"/>
  <c r="E12" i="98"/>
  <c r="E11" i="98"/>
  <c r="E10" i="98"/>
  <c r="E9" i="98"/>
  <c r="E8" i="98"/>
  <c r="E7" i="98"/>
  <c r="E6" i="98"/>
  <c r="E5" i="98"/>
  <c r="D40" i="98"/>
  <c r="D39" i="98"/>
  <c r="D38" i="98"/>
  <c r="D37" i="98"/>
  <c r="D36" i="98"/>
  <c r="D35" i="98"/>
  <c r="D34" i="98"/>
  <c r="D33" i="98"/>
  <c r="D32" i="98"/>
  <c r="D31" i="98"/>
  <c r="D30" i="98"/>
  <c r="D29" i="98"/>
  <c r="D28" i="98"/>
  <c r="D27" i="98"/>
  <c r="D26" i="98"/>
  <c r="D25" i="98"/>
  <c r="D24" i="98"/>
  <c r="D23" i="98"/>
  <c r="D22" i="98"/>
  <c r="D21" i="98"/>
  <c r="D20" i="98"/>
  <c r="D19" i="98"/>
  <c r="D18" i="98"/>
  <c r="D17" i="98"/>
  <c r="D16" i="98"/>
  <c r="D15" i="98"/>
  <c r="D14" i="98"/>
  <c r="D13" i="98"/>
  <c r="D12" i="98"/>
  <c r="D11" i="98"/>
  <c r="D10" i="98"/>
  <c r="D9" i="98"/>
  <c r="D8" i="98"/>
  <c r="D7" i="98"/>
  <c r="D6" i="98"/>
  <c r="D5" i="98"/>
  <c r="C6" i="98"/>
  <c r="C7" i="98"/>
  <c r="C8" i="98"/>
  <c r="C9" i="98"/>
  <c r="C10" i="98"/>
  <c r="C11" i="98"/>
  <c r="C12" i="98"/>
  <c r="C13" i="98"/>
  <c r="C14" i="98"/>
  <c r="C15" i="98"/>
  <c r="C16" i="98"/>
  <c r="C17" i="98"/>
  <c r="C18" i="98"/>
  <c r="C19" i="98"/>
  <c r="C20" i="98"/>
  <c r="C21" i="98"/>
  <c r="C22" i="98"/>
  <c r="C23" i="98"/>
  <c r="C24" i="98"/>
  <c r="C25" i="98"/>
  <c r="C26" i="98"/>
  <c r="C27" i="98"/>
  <c r="C28" i="98"/>
  <c r="C29" i="98"/>
  <c r="C30" i="98"/>
  <c r="C31" i="98"/>
  <c r="C32" i="98"/>
  <c r="C33" i="98"/>
  <c r="C34" i="98"/>
  <c r="C35" i="98"/>
  <c r="C36" i="98"/>
  <c r="C37" i="98"/>
  <c r="C38" i="98"/>
  <c r="C39" i="98"/>
  <c r="C40" i="98"/>
  <c r="C5" i="98"/>
  <c r="FN4" i="98"/>
  <c r="FL4" i="98"/>
  <c r="EQ4" i="98"/>
  <c r="EP4" i="98"/>
  <c r="EO4" i="98"/>
  <c r="EN4" i="98"/>
  <c r="EM4" i="98"/>
  <c r="EL4" i="98"/>
  <c r="EK4" i="98"/>
  <c r="EJ4" i="98"/>
  <c r="EI4" i="98"/>
  <c r="EH4" i="98"/>
  <c r="EG4" i="98"/>
  <c r="EF4" i="98"/>
  <c r="EE4" i="98"/>
  <c r="ED4" i="98"/>
  <c r="EC4" i="98"/>
  <c r="EB4" i="98"/>
  <c r="DX4" i="98"/>
  <c r="DW4" i="98"/>
  <c r="DV4" i="98"/>
  <c r="DU4" i="98"/>
  <c r="DT4" i="98"/>
  <c r="DR4" i="98"/>
  <c r="DP4" i="98"/>
  <c r="DN4" i="98"/>
  <c r="DL4" i="98"/>
  <c r="DI4" i="98"/>
  <c r="DF4" i="98"/>
  <c r="DC4" i="98"/>
  <c r="DB4" i="98"/>
  <c r="DA4" i="98"/>
  <c r="CZ4" i="98"/>
  <c r="CY4" i="98"/>
  <c r="CX4" i="98"/>
  <c r="CW4" i="98"/>
  <c r="CV4" i="98"/>
  <c r="CU4" i="98"/>
  <c r="CT4" i="98"/>
  <c r="CS4" i="98"/>
  <c r="CR4" i="98"/>
  <c r="CQ4" i="98"/>
  <c r="CP4" i="98"/>
  <c r="CO4" i="98"/>
  <c r="CN4" i="98"/>
  <c r="CM4" i="98"/>
  <c r="CL4" i="98"/>
  <c r="ER5" i="98" a="1"/>
  <c r="EV5" i="98" a="1"/>
  <c r="EZ5" i="98" a="1"/>
  <c r="FB5" i="98" a="1"/>
  <c r="ET5" i="98" a="1"/>
  <c r="EX5" i="98" a="1"/>
  <c r="BA23" i="98" a="1"/>
  <c r="AZ19" i="98" a="1"/>
  <c r="AY17" i="98" a="1"/>
  <c r="DH5" i="98" a="1"/>
  <c r="AV27" i="98" a="1"/>
  <c r="AX19" i="98" a="1"/>
  <c r="AY35" i="98" a="1"/>
  <c r="AT25" i="98" a="1"/>
  <c r="AX29" i="98" a="1"/>
  <c r="AV37" i="98" a="1"/>
  <c r="AX11" i="98" a="1"/>
  <c r="AQ17" i="98" a="1"/>
  <c r="AV31" i="98" a="1"/>
  <c r="AZ7" i="98" a="1"/>
  <c r="AY29" i="98" a="1"/>
  <c r="AZ17" i="98" a="1"/>
  <c r="AY11" i="98" a="1"/>
  <c r="AR29" i="98" a="1"/>
  <c r="AR17" i="98" a="1"/>
  <c r="AP7" i="98" a="1"/>
  <c r="AS5" i="98" a="1"/>
  <c r="AV35" i="98" a="1"/>
  <c r="AQ11" i="98" a="1"/>
  <c r="AR11" i="98" a="1"/>
  <c r="AP31" i="98" a="1"/>
  <c r="AW29" i="98" a="1"/>
  <c r="AP37" i="98" a="1"/>
  <c r="DE5" i="98" a="1"/>
  <c r="AU5" i="98" a="1"/>
  <c r="AU35" i="98" a="1"/>
  <c r="AP25" i="98" a="1"/>
  <c r="AT7" i="98" a="1"/>
  <c r="AP29" i="98" a="1"/>
  <c r="AV7" i="98" a="1"/>
  <c r="AQ29" i="98" a="1"/>
  <c r="AP9" i="98" a="1"/>
  <c r="AP17" i="98" a="1"/>
  <c r="DK5" i="98" a="1"/>
  <c r="AT5" i="98" a="1"/>
  <c r="AT37" i="98" a="1"/>
  <c r="BA5" i="98" a="1"/>
  <c r="AP5" i="98" a="1"/>
  <c r="AV19" i="98" a="1"/>
  <c r="AT27" i="98" a="1"/>
  <c r="AV39" i="98" a="1"/>
  <c r="AV23" i="98" a="1"/>
  <c r="AP35" i="98" a="1"/>
  <c r="AY5" i="98" a="1"/>
  <c r="AZ23" i="98" a="1"/>
  <c r="AT23" i="98" a="1"/>
  <c r="AX37" i="98" a="1"/>
  <c r="AZ21" i="98" a="1"/>
  <c r="AV9" i="98" a="1"/>
  <c r="AX23" i="98" a="1"/>
  <c r="AT31" i="98" a="1"/>
  <c r="AT39" i="98" a="1"/>
  <c r="AX15" i="98" a="1"/>
  <c r="AX31" i="98" a="1"/>
  <c r="AV29" i="98" a="1"/>
  <c r="DM5" i="98" a="1"/>
  <c r="AT17" i="98" a="1"/>
  <c r="AZ37" i="98" a="1"/>
  <c r="AT33" i="98" a="1"/>
  <c r="AT13" i="98" a="1"/>
  <c r="AT15" i="98" a="1"/>
  <c r="AX7" i="98" a="1"/>
  <c r="AR35" i="98" a="1"/>
  <c r="AP19" i="98" a="1"/>
  <c r="AV21" i="98" a="1"/>
  <c r="AP27" i="98" a="1"/>
  <c r="AZ29" i="98" a="1"/>
  <c r="AX21" i="98" a="1"/>
  <c r="AV5" i="98" a="1"/>
  <c r="DO5" i="98" a="1"/>
  <c r="AP11" i="98" a="1"/>
  <c r="AX13" i="98" a="1"/>
  <c r="DQ5" i="98" a="1"/>
  <c r="BA29" i="98" a="1"/>
  <c r="AW5" i="98" a="1"/>
  <c r="AT19" i="98" a="1"/>
  <c r="AV15" i="98" a="1"/>
  <c r="AW17" i="98" a="1"/>
  <c r="AX35" i="98" a="1"/>
  <c r="AT11" i="98" a="1"/>
  <c r="AZ35" i="98" a="1"/>
  <c r="AU11" i="98" a="1"/>
  <c r="AZ31" i="98" a="1"/>
  <c r="AX27" i="98" a="1"/>
  <c r="AT35" i="98" a="1"/>
  <c r="AU17" i="98" a="1"/>
  <c r="AZ33" i="98" a="1"/>
  <c r="AX9" i="98" a="1"/>
  <c r="AQ5" i="98" a="1"/>
  <c r="AS29" i="98" a="1"/>
  <c r="AR23" i="98" a="1"/>
  <c r="AS11" i="98" a="1"/>
  <c r="AQ23" i="98" a="1"/>
  <c r="AZ5" i="98" a="1"/>
  <c r="AP33" i="98" a="1"/>
  <c r="AP23" i="98" a="1"/>
  <c r="BA17" i="98" a="1"/>
  <c r="AP39" i="98" a="1"/>
  <c r="AQ35" i="98" a="1"/>
  <c r="AT29" i="98" a="1"/>
  <c r="AV13" i="98" a="1"/>
  <c r="AV11" i="98" a="1"/>
  <c r="AS23" i="98" a="1"/>
  <c r="AZ25" i="98" a="1"/>
  <c r="AZ39" i="98" a="1"/>
  <c r="AU23" i="98" a="1"/>
  <c r="AX39" i="98" a="1"/>
  <c r="AX5" i="98" a="1"/>
  <c r="AS17" i="98" a="1"/>
  <c r="AZ27" i="98" a="1"/>
  <c r="AV33" i="98" a="1"/>
  <c r="AZ11" i="98" a="1"/>
  <c r="AW23" i="98" a="1"/>
  <c r="AZ15" i="98" a="1"/>
  <c r="AZ13" i="98" a="1"/>
  <c r="AX17" i="98" a="1"/>
  <c r="AP15" i="98" a="1"/>
  <c r="AX33" i="98" a="1"/>
  <c r="AP21" i="98" a="1"/>
  <c r="AY23" i="98" a="1"/>
  <c r="AR5" i="98" a="1"/>
  <c r="AZ9" i="98" a="1"/>
  <c r="AV17" i="98" a="1"/>
  <c r="AP13" i="98" a="1"/>
  <c r="AW11" i="98" a="1"/>
  <c r="BA35" i="98" a="1"/>
  <c r="AT9" i="98" a="1"/>
  <c r="AV25" i="98" a="1"/>
  <c r="AT21" i="98" a="1"/>
  <c r="AU29" i="98" a="1"/>
  <c r="AS35" i="98" a="1"/>
  <c r="BA11" i="98" a="1"/>
  <c r="AW35" i="98" a="1"/>
  <c r="AX25" i="98" a="1"/>
  <c r="AL9" i="98" l="1"/>
  <c r="AM36" i="98"/>
  <c r="AL5" i="98"/>
  <c r="AL40" i="98"/>
  <c r="AL10" i="98"/>
  <c r="AL24" i="98"/>
  <c r="AM16" i="98"/>
  <c r="ER5" i="98"/>
  <c r="ET5" i="98"/>
  <c r="EV5" i="98"/>
  <c r="FB5" i="98"/>
  <c r="EZ5" i="98"/>
  <c r="EX5" i="98"/>
  <c r="DM5" i="98"/>
  <c r="DK5" i="98"/>
  <c r="DH5" i="98"/>
  <c r="DQ5" i="98"/>
  <c r="DE5" i="98"/>
  <c r="DO5" i="98"/>
  <c r="AM22" i="98"/>
  <c r="AL26" i="98"/>
  <c r="AL25" i="98"/>
  <c r="AM17" i="98"/>
  <c r="AM33" i="98"/>
  <c r="AL17" i="98"/>
  <c r="AM9" i="98"/>
  <c r="AL23" i="98"/>
  <c r="AL38" i="98"/>
  <c r="AM5" i="98"/>
  <c r="AM21" i="98"/>
  <c r="AM37" i="98"/>
  <c r="AL36" i="98"/>
  <c r="AL20" i="98"/>
  <c r="AM6" i="98"/>
  <c r="AM38" i="98"/>
  <c r="AM7" i="98"/>
  <c r="AM23" i="98"/>
  <c r="AM39" i="98"/>
  <c r="AM20" i="98"/>
  <c r="AL13" i="98"/>
  <c r="AL12" i="98"/>
  <c r="AM14" i="98"/>
  <c r="R58" i="98"/>
  <c r="AL6" i="98"/>
  <c r="AL16" i="98"/>
  <c r="AM10" i="98"/>
  <c r="AM26" i="98"/>
  <c r="AL8" i="98"/>
  <c r="AL15" i="98"/>
  <c r="AL39" i="98"/>
  <c r="AL7" i="98"/>
  <c r="AM35" i="98"/>
  <c r="AL14" i="98"/>
  <c r="AL22" i="98"/>
  <c r="AL29" i="98"/>
  <c r="AL28" i="98"/>
  <c r="C56" i="98"/>
  <c r="AL27" i="98"/>
  <c r="AL11" i="98"/>
  <c r="AM15" i="98"/>
  <c r="AM8" i="98"/>
  <c r="AM24" i="98"/>
  <c r="AM40" i="98"/>
  <c r="AK57" i="98"/>
  <c r="AM19" i="98"/>
  <c r="U56" i="98"/>
  <c r="AK59" i="98"/>
  <c r="AM30" i="98"/>
  <c r="AM31" i="98"/>
  <c r="AM32" i="98"/>
  <c r="AM18" i="98"/>
  <c r="AM11" i="98"/>
  <c r="AM27" i="98"/>
  <c r="AM12" i="98"/>
  <c r="AM28" i="98"/>
  <c r="AM13" i="98"/>
  <c r="AM29" i="98"/>
  <c r="AK58" i="98"/>
  <c r="AM25" i="98"/>
  <c r="AK60" i="98"/>
  <c r="S58" i="98"/>
  <c r="AL21" i="98"/>
  <c r="AL37" i="98"/>
  <c r="AL32" i="98"/>
  <c r="AL33" i="98"/>
  <c r="AL35" i="98"/>
  <c r="AL30" i="98"/>
  <c r="AL31" i="98"/>
  <c r="AL34" i="98"/>
  <c r="AL18" i="98"/>
  <c r="AL19" i="98"/>
  <c r="AS11" i="98"/>
  <c r="AV13" i="98"/>
  <c r="AV15" i="98"/>
  <c r="AR17" i="98"/>
  <c r="AZ17" i="98"/>
  <c r="AX19" i="98"/>
  <c r="AX21" i="98"/>
  <c r="AS23" i="98"/>
  <c r="BA23" i="98"/>
  <c r="AZ25" i="98"/>
  <c r="AZ27" i="98"/>
  <c r="AT29" i="98"/>
  <c r="AU35" i="98"/>
  <c r="BA11" i="98"/>
  <c r="AX5" i="98"/>
  <c r="AZ7" i="98"/>
  <c r="AX9" i="98"/>
  <c r="AR11" i="98"/>
  <c r="AZ11" i="98"/>
  <c r="AP5" i="98"/>
  <c r="AX13" i="98"/>
  <c r="AX15" i="98"/>
  <c r="AS17" i="98"/>
  <c r="BA17" i="98"/>
  <c r="AZ19" i="98"/>
  <c r="AZ21" i="98"/>
  <c r="AT23" i="98"/>
  <c r="AU29" i="98"/>
  <c r="AV35" i="98"/>
  <c r="AZ13" i="98"/>
  <c r="AT17" i="98"/>
  <c r="AR5" i="98"/>
  <c r="AZ5" i="98"/>
  <c r="AT11" i="98"/>
  <c r="AZ9" i="98"/>
  <c r="AW35" i="98"/>
  <c r="AU17" i="98"/>
  <c r="AV23" i="98"/>
  <c r="AW29" i="98"/>
  <c r="AP31" i="98"/>
  <c r="AP33" i="98"/>
  <c r="AP35" i="98"/>
  <c r="AX35" i="98"/>
  <c r="AT37" i="98"/>
  <c r="AT39" i="98"/>
  <c r="AV29" i="98"/>
  <c r="AP37" i="98"/>
  <c r="AS5" i="98"/>
  <c r="BA5" i="98"/>
  <c r="AU11" i="98"/>
  <c r="AZ15" i="98"/>
  <c r="AU23" i="98"/>
  <c r="AV17" i="98"/>
  <c r="AW23" i="98"/>
  <c r="AP25" i="98"/>
  <c r="AP27" i="98"/>
  <c r="AP29" i="98"/>
  <c r="AX29" i="98"/>
  <c r="AT31" i="98"/>
  <c r="AT33" i="98"/>
  <c r="AQ35" i="98"/>
  <c r="AY35" i="98"/>
  <c r="AV37" i="98"/>
  <c r="AV39" i="98"/>
  <c r="AP39" i="98"/>
  <c r="AT5" i="98"/>
  <c r="AP7" i="98"/>
  <c r="AV11" i="98"/>
  <c r="AQ5" i="98"/>
  <c r="AW17" i="98"/>
  <c r="AP19" i="98"/>
  <c r="AP21" i="98"/>
  <c r="AP23" i="98"/>
  <c r="AX23" i="98"/>
  <c r="AT25" i="98"/>
  <c r="AT27" i="98"/>
  <c r="AQ29" i="98"/>
  <c r="AY29" i="98"/>
  <c r="AV31" i="98"/>
  <c r="AV33" i="98"/>
  <c r="AR35" i="98"/>
  <c r="AZ35" i="98"/>
  <c r="AX37" i="98"/>
  <c r="AX39" i="98"/>
  <c r="AU5" i="98"/>
  <c r="AT7" i="98"/>
  <c r="AP9" i="98"/>
  <c r="AW11" i="98"/>
  <c r="AP17" i="98"/>
  <c r="AX17" i="98"/>
  <c r="AT19" i="98"/>
  <c r="AT21" i="98"/>
  <c r="AQ23" i="98"/>
  <c r="AY23" i="98"/>
  <c r="AV25" i="98"/>
  <c r="AV27" i="98"/>
  <c r="AR29" i="98"/>
  <c r="AZ29" i="98"/>
  <c r="AX31" i="98"/>
  <c r="AX33" i="98"/>
  <c r="AS35" i="98"/>
  <c r="BA35" i="98"/>
  <c r="AZ37" i="98"/>
  <c r="AZ39" i="98"/>
  <c r="AY5" i="98"/>
  <c r="AP13" i="98"/>
  <c r="AV5" i="98"/>
  <c r="AV7" i="98"/>
  <c r="AT9" i="98"/>
  <c r="AP11" i="98"/>
  <c r="AX11" i="98"/>
  <c r="AP15" i="98"/>
  <c r="AT13" i="98"/>
  <c r="AT15" i="98"/>
  <c r="AQ17" i="98"/>
  <c r="AY17" i="98"/>
  <c r="AV19" i="98"/>
  <c r="AV21" i="98"/>
  <c r="AR23" i="98"/>
  <c r="AZ23" i="98"/>
  <c r="AX25" i="98"/>
  <c r="AX27" i="98"/>
  <c r="AS29" i="98"/>
  <c r="BA29" i="98"/>
  <c r="AZ31" i="98"/>
  <c r="AZ33" i="98"/>
  <c r="AT35" i="98"/>
  <c r="AW5" i="98"/>
  <c r="AX7" i="98"/>
  <c r="AV9" i="98"/>
  <c r="AQ11" i="98"/>
  <c r="AY11" i="98"/>
  <c r="R59" i="98"/>
  <c r="S59" i="98"/>
  <c r="AJ59" i="98"/>
  <c r="R57" i="98"/>
  <c r="S57" i="98"/>
  <c r="AJ57" i="98"/>
  <c r="R60" i="98"/>
  <c r="S60" i="98"/>
  <c r="AJ60" i="98"/>
  <c r="AJ58" i="98"/>
  <c r="AM56" i="98" l="1"/>
  <c r="AK61" i="98"/>
  <c r="AM60" i="98"/>
  <c r="AM57" i="98"/>
  <c r="AM59" i="98"/>
  <c r="AM58" i="98"/>
  <c r="AJ61" i="98"/>
  <c r="AL57" i="98"/>
  <c r="AL60" i="98"/>
  <c r="AL58" i="98"/>
  <c r="AL59" i="98"/>
  <c r="AJ6" i="94" l="1"/>
  <c r="AJ7" i="94"/>
  <c r="AJ8" i="94"/>
  <c r="AJ9" i="94"/>
  <c r="AJ10" i="94"/>
  <c r="AJ11" i="94"/>
  <c r="AJ12" i="94"/>
  <c r="AJ13" i="94"/>
  <c r="AJ14" i="94"/>
  <c r="AJ15" i="94"/>
  <c r="AJ16" i="94"/>
  <c r="AJ17" i="94"/>
  <c r="AJ18" i="94"/>
  <c r="AJ19" i="94"/>
  <c r="AJ20" i="94"/>
  <c r="AJ21" i="94"/>
  <c r="AJ22" i="94"/>
  <c r="AJ23" i="94"/>
  <c r="AJ24" i="94"/>
  <c r="AJ25" i="94"/>
  <c r="AJ26" i="94"/>
  <c r="AJ27" i="94"/>
  <c r="AJ28" i="94"/>
  <c r="AJ29" i="94"/>
  <c r="AJ30" i="94"/>
  <c r="AJ31" i="94"/>
  <c r="AJ32" i="94"/>
  <c r="AJ33" i="94"/>
  <c r="AJ34" i="94"/>
  <c r="AJ35" i="94"/>
  <c r="AJ36" i="94"/>
  <c r="AJ37" i="94"/>
  <c r="AJ38" i="94"/>
  <c r="AJ39" i="94"/>
  <c r="AJ40" i="94"/>
  <c r="AJ5" i="94"/>
  <c r="S40" i="94"/>
  <c r="S39" i="94"/>
  <c r="S38" i="94"/>
  <c r="S37" i="94"/>
  <c r="S36" i="94"/>
  <c r="S35" i="94"/>
  <c r="S34" i="94"/>
  <c r="S33" i="94"/>
  <c r="S32" i="94"/>
  <c r="S31" i="94"/>
  <c r="S30" i="94"/>
  <c r="S29" i="94"/>
  <c r="S28" i="94"/>
  <c r="S27" i="94"/>
  <c r="S26" i="94"/>
  <c r="S25" i="94"/>
  <c r="S24" i="94"/>
  <c r="S23" i="94"/>
  <c r="S22" i="94"/>
  <c r="S21" i="94"/>
  <c r="S20" i="94"/>
  <c r="S19" i="94"/>
  <c r="S18" i="94"/>
  <c r="S17" i="94"/>
  <c r="S16" i="94"/>
  <c r="S15" i="94"/>
  <c r="S14" i="94"/>
  <c r="S13" i="94"/>
  <c r="S12" i="94"/>
  <c r="S11" i="94"/>
  <c r="S10" i="94"/>
  <c r="S9" i="94"/>
  <c r="S8" i="94"/>
  <c r="S7" i="94"/>
  <c r="S6" i="94"/>
  <c r="S5" i="94"/>
  <c r="R6" i="94"/>
  <c r="R7" i="94"/>
  <c r="R8" i="94"/>
  <c r="R9" i="94"/>
  <c r="R10" i="94"/>
  <c r="R11" i="94"/>
  <c r="R12" i="94"/>
  <c r="R13" i="94"/>
  <c r="R14" i="94"/>
  <c r="R15" i="94"/>
  <c r="R16" i="94"/>
  <c r="R17" i="94"/>
  <c r="R18" i="94"/>
  <c r="R19" i="94"/>
  <c r="R20" i="94"/>
  <c r="R21" i="94"/>
  <c r="R22" i="94"/>
  <c r="R23" i="94"/>
  <c r="R24" i="94"/>
  <c r="R25" i="94"/>
  <c r="R26" i="94"/>
  <c r="R27" i="94"/>
  <c r="R28" i="94"/>
  <c r="R29" i="94"/>
  <c r="R30" i="94"/>
  <c r="R31" i="94"/>
  <c r="R32" i="94"/>
  <c r="R33" i="94"/>
  <c r="R34" i="94"/>
  <c r="R35" i="94"/>
  <c r="R36" i="94"/>
  <c r="R37" i="94"/>
  <c r="R38" i="94"/>
  <c r="R39" i="94"/>
  <c r="R40" i="94"/>
  <c r="R5" i="94"/>
  <c r="X40" i="94"/>
  <c r="X39" i="94"/>
  <c r="X38" i="94"/>
  <c r="X37" i="94"/>
  <c r="X36" i="94"/>
  <c r="X35" i="94"/>
  <c r="X34" i="94"/>
  <c r="X33" i="94"/>
  <c r="X32" i="94"/>
  <c r="X31" i="94"/>
  <c r="X30" i="94"/>
  <c r="X29" i="94"/>
  <c r="X28" i="94"/>
  <c r="X27" i="94"/>
  <c r="X26" i="94"/>
  <c r="X25" i="94"/>
  <c r="X24" i="94"/>
  <c r="X23" i="94"/>
  <c r="X22" i="94"/>
  <c r="X21" i="94"/>
  <c r="X20" i="94"/>
  <c r="X19" i="94"/>
  <c r="X18" i="94"/>
  <c r="X17" i="94"/>
  <c r="X16" i="94"/>
  <c r="X15" i="94"/>
  <c r="X14" i="94"/>
  <c r="X13" i="94"/>
  <c r="X12" i="94"/>
  <c r="X11" i="94"/>
  <c r="X10" i="94"/>
  <c r="X9" i="94"/>
  <c r="X8" i="94"/>
  <c r="X7" i="94"/>
  <c r="X6" i="94"/>
  <c r="X5" i="94"/>
  <c r="W40" i="94"/>
  <c r="W39" i="94"/>
  <c r="W38" i="94"/>
  <c r="W37" i="94"/>
  <c r="W36" i="94"/>
  <c r="W35" i="94"/>
  <c r="W34" i="94"/>
  <c r="W33" i="94"/>
  <c r="W32" i="94"/>
  <c r="W31" i="94"/>
  <c r="W30" i="94"/>
  <c r="W29" i="94"/>
  <c r="W28" i="94"/>
  <c r="W27" i="94"/>
  <c r="W26" i="94"/>
  <c r="W25" i="94"/>
  <c r="W24" i="94"/>
  <c r="W23" i="94"/>
  <c r="W22" i="94"/>
  <c r="W21" i="94"/>
  <c r="W20" i="94"/>
  <c r="W19" i="94"/>
  <c r="W18" i="94"/>
  <c r="W17" i="94"/>
  <c r="W16" i="94"/>
  <c r="W15" i="94"/>
  <c r="W14" i="94"/>
  <c r="W13" i="94"/>
  <c r="W12" i="94"/>
  <c r="W11" i="94"/>
  <c r="W10" i="94"/>
  <c r="W9" i="94"/>
  <c r="W8" i="94"/>
  <c r="W7" i="94"/>
  <c r="W6" i="94"/>
  <c r="W5" i="94"/>
  <c r="V40" i="94"/>
  <c r="V39" i="94"/>
  <c r="V38" i="94"/>
  <c r="V37" i="94"/>
  <c r="V36" i="94"/>
  <c r="V35" i="94"/>
  <c r="V34" i="94"/>
  <c r="V33" i="94"/>
  <c r="V32" i="94"/>
  <c r="V31" i="94"/>
  <c r="V30" i="94"/>
  <c r="V29" i="94"/>
  <c r="V28" i="94"/>
  <c r="V27" i="94"/>
  <c r="V26" i="94"/>
  <c r="V25" i="94"/>
  <c r="V24" i="94"/>
  <c r="V23" i="94"/>
  <c r="V22" i="94"/>
  <c r="V21" i="94"/>
  <c r="V20" i="94"/>
  <c r="V19" i="94"/>
  <c r="V18" i="94"/>
  <c r="V17" i="94"/>
  <c r="V16" i="94"/>
  <c r="V15" i="94"/>
  <c r="V14" i="94"/>
  <c r="V13" i="94"/>
  <c r="V12" i="94"/>
  <c r="V11" i="94"/>
  <c r="V10" i="94"/>
  <c r="V9" i="94"/>
  <c r="V8" i="94"/>
  <c r="V7" i="94"/>
  <c r="V6" i="94"/>
  <c r="V5" i="94"/>
  <c r="U6" i="94"/>
  <c r="U7" i="94"/>
  <c r="U8" i="94"/>
  <c r="U9" i="94"/>
  <c r="U10" i="94"/>
  <c r="U11" i="94"/>
  <c r="U12" i="94"/>
  <c r="U13" i="94"/>
  <c r="U14" i="94"/>
  <c r="U15" i="94"/>
  <c r="U16" i="94"/>
  <c r="U17" i="94"/>
  <c r="U18" i="94"/>
  <c r="U19" i="94"/>
  <c r="U20" i="94"/>
  <c r="U21" i="94"/>
  <c r="U22" i="94"/>
  <c r="U23" i="94"/>
  <c r="U24" i="94"/>
  <c r="U25" i="94"/>
  <c r="U26" i="94"/>
  <c r="U27" i="94"/>
  <c r="U28" i="94"/>
  <c r="U29" i="94"/>
  <c r="U30" i="94"/>
  <c r="U31" i="94"/>
  <c r="U32" i="94"/>
  <c r="U33" i="94"/>
  <c r="U34" i="94"/>
  <c r="U35" i="94"/>
  <c r="U36" i="94"/>
  <c r="U37" i="94"/>
  <c r="U38" i="94"/>
  <c r="U39" i="94"/>
  <c r="U40" i="94"/>
  <c r="U5" i="94"/>
  <c r="P40" i="94"/>
  <c r="P39" i="94"/>
  <c r="P38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P16" i="94"/>
  <c r="P15" i="94"/>
  <c r="P14" i="94"/>
  <c r="P13" i="94"/>
  <c r="P12" i="94"/>
  <c r="P11" i="94"/>
  <c r="P10" i="94"/>
  <c r="P9" i="94"/>
  <c r="P8" i="94"/>
  <c r="P7" i="94"/>
  <c r="P6" i="94"/>
  <c r="P5" i="94"/>
  <c r="O40" i="94"/>
  <c r="O39" i="94"/>
  <c r="O38" i="94"/>
  <c r="O37" i="94"/>
  <c r="O36" i="94"/>
  <c r="O35" i="94"/>
  <c r="O34" i="94"/>
  <c r="O33" i="94"/>
  <c r="O32" i="94"/>
  <c r="O31" i="94"/>
  <c r="O30" i="94"/>
  <c r="O29" i="94"/>
  <c r="O28" i="94"/>
  <c r="O27" i="94"/>
  <c r="O26" i="94"/>
  <c r="O25" i="94"/>
  <c r="O24" i="94"/>
  <c r="O23" i="94"/>
  <c r="O22" i="94"/>
  <c r="O21" i="94"/>
  <c r="O20" i="94"/>
  <c r="O19" i="94"/>
  <c r="O18" i="94"/>
  <c r="O17" i="94"/>
  <c r="O16" i="94"/>
  <c r="O15" i="94"/>
  <c r="O14" i="94"/>
  <c r="O13" i="94"/>
  <c r="O12" i="94"/>
  <c r="O11" i="94"/>
  <c r="O10" i="94"/>
  <c r="O9" i="94"/>
  <c r="O8" i="94"/>
  <c r="O7" i="94"/>
  <c r="O6" i="94"/>
  <c r="O5" i="94"/>
  <c r="N40" i="94"/>
  <c r="N39" i="94"/>
  <c r="N38" i="94"/>
  <c r="N37" i="94"/>
  <c r="N36" i="94"/>
  <c r="N35" i="94"/>
  <c r="N34" i="94"/>
  <c r="N33" i="94"/>
  <c r="N32" i="94"/>
  <c r="N31" i="94"/>
  <c r="N30" i="94"/>
  <c r="N29" i="94"/>
  <c r="N28" i="94"/>
  <c r="N27" i="94"/>
  <c r="N26" i="94"/>
  <c r="N25" i="94"/>
  <c r="N24" i="94"/>
  <c r="N23" i="94"/>
  <c r="N22" i="94"/>
  <c r="N21" i="94"/>
  <c r="N20" i="94"/>
  <c r="N19" i="94"/>
  <c r="N18" i="94"/>
  <c r="N17" i="94"/>
  <c r="N16" i="94"/>
  <c r="N15" i="94"/>
  <c r="N14" i="94"/>
  <c r="N13" i="94"/>
  <c r="N12" i="94"/>
  <c r="N11" i="94"/>
  <c r="N10" i="94"/>
  <c r="N9" i="94"/>
  <c r="N8" i="94"/>
  <c r="N7" i="94"/>
  <c r="N6" i="94"/>
  <c r="N5" i="94"/>
  <c r="M40" i="94"/>
  <c r="M39" i="94"/>
  <c r="M38" i="94"/>
  <c r="M37" i="94"/>
  <c r="M36" i="94"/>
  <c r="M35" i="94"/>
  <c r="M34" i="94"/>
  <c r="M33" i="94"/>
  <c r="M32" i="94"/>
  <c r="M31" i="94"/>
  <c r="M30" i="94"/>
  <c r="M29" i="94"/>
  <c r="M28" i="94"/>
  <c r="M27" i="94"/>
  <c r="M26" i="94"/>
  <c r="M25" i="94"/>
  <c r="M24" i="94"/>
  <c r="M23" i="94"/>
  <c r="M22" i="94"/>
  <c r="M21" i="94"/>
  <c r="M20" i="94"/>
  <c r="M19" i="94"/>
  <c r="M18" i="94"/>
  <c r="M17" i="94"/>
  <c r="M16" i="94"/>
  <c r="M15" i="94"/>
  <c r="M14" i="94"/>
  <c r="M13" i="94"/>
  <c r="M12" i="94"/>
  <c r="M11" i="94"/>
  <c r="M10" i="94"/>
  <c r="M9" i="94"/>
  <c r="M8" i="94"/>
  <c r="M7" i="94"/>
  <c r="M6" i="94"/>
  <c r="M5" i="94"/>
  <c r="L40" i="94"/>
  <c r="L39" i="94"/>
  <c r="L38" i="94"/>
  <c r="L37" i="94"/>
  <c r="L36" i="94"/>
  <c r="L35" i="94"/>
  <c r="L34" i="94"/>
  <c r="L33" i="94"/>
  <c r="L32" i="94"/>
  <c r="L31" i="94"/>
  <c r="L30" i="94"/>
  <c r="L29" i="94"/>
  <c r="L28" i="94"/>
  <c r="L27" i="94"/>
  <c r="L26" i="94"/>
  <c r="L25" i="94"/>
  <c r="L24" i="94"/>
  <c r="L23" i="94"/>
  <c r="L22" i="94"/>
  <c r="L21" i="94"/>
  <c r="L20" i="94"/>
  <c r="L19" i="94"/>
  <c r="L18" i="94"/>
  <c r="L17" i="94"/>
  <c r="L16" i="94"/>
  <c r="L15" i="94"/>
  <c r="L14" i="94"/>
  <c r="L13" i="94"/>
  <c r="L12" i="94"/>
  <c r="L11" i="94"/>
  <c r="L10" i="94"/>
  <c r="L9" i="94"/>
  <c r="L8" i="94"/>
  <c r="L7" i="94"/>
  <c r="L6" i="94"/>
  <c r="L5" i="94"/>
  <c r="K40" i="94"/>
  <c r="K39" i="94"/>
  <c r="K38" i="94"/>
  <c r="K37" i="94"/>
  <c r="K36" i="94"/>
  <c r="K35" i="94"/>
  <c r="K34" i="94"/>
  <c r="K33" i="94"/>
  <c r="K32" i="94"/>
  <c r="K31" i="94"/>
  <c r="K30" i="94"/>
  <c r="K29" i="94"/>
  <c r="K28" i="94"/>
  <c r="K27" i="94"/>
  <c r="K26" i="94"/>
  <c r="K25" i="94"/>
  <c r="K24" i="94"/>
  <c r="K23" i="94"/>
  <c r="K22" i="94"/>
  <c r="K21" i="94"/>
  <c r="K20" i="94"/>
  <c r="K19" i="94"/>
  <c r="K18" i="94"/>
  <c r="K17" i="94"/>
  <c r="K16" i="94"/>
  <c r="K15" i="94"/>
  <c r="K14" i="94"/>
  <c r="K13" i="94"/>
  <c r="K12" i="94"/>
  <c r="K11" i="94"/>
  <c r="K10" i="94"/>
  <c r="J40" i="94"/>
  <c r="J39" i="94"/>
  <c r="J38" i="94"/>
  <c r="J37" i="94"/>
  <c r="J36" i="94"/>
  <c r="J35" i="94"/>
  <c r="J34" i="94"/>
  <c r="J33" i="94"/>
  <c r="J32" i="94"/>
  <c r="J31" i="94"/>
  <c r="J30" i="94"/>
  <c r="J29" i="94"/>
  <c r="J28" i="94"/>
  <c r="J27" i="94"/>
  <c r="J26" i="94"/>
  <c r="J25" i="94"/>
  <c r="J24" i="94"/>
  <c r="J23" i="94"/>
  <c r="J22" i="94"/>
  <c r="J21" i="94"/>
  <c r="J20" i="94"/>
  <c r="J19" i="94"/>
  <c r="J18" i="94"/>
  <c r="J17" i="94"/>
  <c r="J16" i="94"/>
  <c r="J15" i="94"/>
  <c r="J14" i="94"/>
  <c r="J13" i="94"/>
  <c r="J12" i="94"/>
  <c r="J11" i="94"/>
  <c r="J10" i="94"/>
  <c r="I40" i="94"/>
  <c r="I39" i="94"/>
  <c r="I38" i="94"/>
  <c r="I37" i="94"/>
  <c r="I36" i="94"/>
  <c r="I35" i="94"/>
  <c r="I34" i="94"/>
  <c r="I33" i="94"/>
  <c r="I32" i="94"/>
  <c r="I31" i="94"/>
  <c r="I30" i="94"/>
  <c r="I29" i="94"/>
  <c r="I28" i="94"/>
  <c r="I27" i="94"/>
  <c r="I26" i="94"/>
  <c r="I25" i="94"/>
  <c r="I24" i="94"/>
  <c r="I23" i="94"/>
  <c r="I22" i="94"/>
  <c r="I21" i="94"/>
  <c r="I20" i="94"/>
  <c r="I19" i="94"/>
  <c r="I18" i="94"/>
  <c r="I17" i="94"/>
  <c r="I16" i="94"/>
  <c r="I15" i="94"/>
  <c r="I14" i="94"/>
  <c r="I13" i="94"/>
  <c r="I12" i="94"/>
  <c r="I11" i="94"/>
  <c r="I10" i="94"/>
  <c r="I9" i="94"/>
  <c r="I8" i="94"/>
  <c r="I7" i="94"/>
  <c r="I6" i="94"/>
  <c r="I5" i="94"/>
  <c r="H6" i="94"/>
  <c r="H7" i="94"/>
  <c r="H8" i="94"/>
  <c r="H9" i="94"/>
  <c r="H10" i="94"/>
  <c r="H11" i="94"/>
  <c r="H12" i="94"/>
  <c r="H13" i="94"/>
  <c r="H14" i="94"/>
  <c r="H15" i="94"/>
  <c r="H16" i="94"/>
  <c r="H17" i="94"/>
  <c r="H18" i="94"/>
  <c r="H19" i="94"/>
  <c r="H20" i="94"/>
  <c r="H21" i="94"/>
  <c r="H22" i="94"/>
  <c r="H23" i="94"/>
  <c r="H24" i="94"/>
  <c r="H25" i="94"/>
  <c r="H26" i="94"/>
  <c r="H27" i="94"/>
  <c r="H28" i="94"/>
  <c r="H29" i="94"/>
  <c r="H30" i="94"/>
  <c r="H31" i="94"/>
  <c r="H32" i="94"/>
  <c r="H33" i="94"/>
  <c r="H34" i="94"/>
  <c r="H35" i="94"/>
  <c r="H36" i="94"/>
  <c r="H37" i="94"/>
  <c r="H38" i="94"/>
  <c r="H39" i="94"/>
  <c r="H40" i="94"/>
  <c r="H5" i="94"/>
  <c r="C6" i="94"/>
  <c r="D6" i="94"/>
  <c r="E6" i="94"/>
  <c r="F6" i="94"/>
  <c r="C7" i="94"/>
  <c r="D7" i="94"/>
  <c r="E7" i="94"/>
  <c r="F7" i="94"/>
  <c r="C8" i="94"/>
  <c r="D8" i="94"/>
  <c r="E8" i="94"/>
  <c r="F8" i="94"/>
  <c r="C9" i="94"/>
  <c r="D9" i="94"/>
  <c r="E9" i="94"/>
  <c r="F9" i="94"/>
  <c r="C10" i="94"/>
  <c r="D10" i="94"/>
  <c r="E10" i="94"/>
  <c r="F10" i="94"/>
  <c r="C11" i="94"/>
  <c r="D11" i="94"/>
  <c r="E11" i="94"/>
  <c r="F11" i="94"/>
  <c r="C12" i="94"/>
  <c r="D12" i="94"/>
  <c r="E12" i="94"/>
  <c r="F12" i="94"/>
  <c r="C13" i="94"/>
  <c r="D13" i="94"/>
  <c r="E13" i="94"/>
  <c r="F13" i="94"/>
  <c r="C14" i="94"/>
  <c r="D14" i="94"/>
  <c r="E14" i="94"/>
  <c r="F14" i="94"/>
  <c r="C15" i="94"/>
  <c r="D15" i="94"/>
  <c r="E15" i="94"/>
  <c r="F15" i="94"/>
  <c r="C16" i="94"/>
  <c r="D16" i="94"/>
  <c r="E16" i="94"/>
  <c r="F16" i="94"/>
  <c r="C17" i="94"/>
  <c r="D17" i="94"/>
  <c r="E17" i="94"/>
  <c r="F17" i="94"/>
  <c r="C18" i="94"/>
  <c r="D18" i="94"/>
  <c r="E18" i="94"/>
  <c r="F18" i="94"/>
  <c r="C19" i="94"/>
  <c r="D19" i="94"/>
  <c r="E19" i="94"/>
  <c r="F19" i="94"/>
  <c r="C20" i="94"/>
  <c r="D20" i="94"/>
  <c r="E20" i="94"/>
  <c r="F20" i="94"/>
  <c r="C21" i="94"/>
  <c r="D21" i="94"/>
  <c r="E21" i="94"/>
  <c r="F21" i="94"/>
  <c r="C22" i="94"/>
  <c r="D22" i="94"/>
  <c r="E22" i="94"/>
  <c r="F22" i="94"/>
  <c r="C23" i="94"/>
  <c r="D23" i="94"/>
  <c r="E23" i="94"/>
  <c r="F23" i="94"/>
  <c r="C24" i="94"/>
  <c r="D24" i="94"/>
  <c r="E24" i="94"/>
  <c r="F24" i="94"/>
  <c r="C25" i="94"/>
  <c r="D25" i="94"/>
  <c r="E25" i="94"/>
  <c r="F25" i="94"/>
  <c r="C26" i="94"/>
  <c r="D26" i="94"/>
  <c r="E26" i="94"/>
  <c r="F26" i="94"/>
  <c r="C27" i="94"/>
  <c r="D27" i="94"/>
  <c r="E27" i="94"/>
  <c r="F27" i="94"/>
  <c r="C28" i="94"/>
  <c r="D28" i="94"/>
  <c r="E28" i="94"/>
  <c r="F28" i="94"/>
  <c r="C29" i="94"/>
  <c r="D29" i="94"/>
  <c r="E29" i="94"/>
  <c r="F29" i="94"/>
  <c r="C30" i="94"/>
  <c r="D30" i="94"/>
  <c r="E30" i="94"/>
  <c r="F30" i="94"/>
  <c r="C31" i="94"/>
  <c r="D31" i="94"/>
  <c r="E31" i="94"/>
  <c r="F31" i="94"/>
  <c r="C32" i="94"/>
  <c r="D32" i="94"/>
  <c r="E32" i="94"/>
  <c r="F32" i="94"/>
  <c r="C33" i="94"/>
  <c r="D33" i="94"/>
  <c r="E33" i="94"/>
  <c r="F33" i="94"/>
  <c r="C34" i="94"/>
  <c r="D34" i="94"/>
  <c r="E34" i="94"/>
  <c r="F34" i="94"/>
  <c r="C35" i="94"/>
  <c r="D35" i="94"/>
  <c r="E35" i="94"/>
  <c r="F35" i="94"/>
  <c r="C36" i="94"/>
  <c r="D36" i="94"/>
  <c r="E36" i="94"/>
  <c r="F36" i="94"/>
  <c r="C37" i="94"/>
  <c r="D37" i="94"/>
  <c r="E37" i="94"/>
  <c r="F37" i="94"/>
  <c r="C38" i="94"/>
  <c r="D38" i="94"/>
  <c r="E38" i="94"/>
  <c r="F38" i="94"/>
  <c r="C39" i="94"/>
  <c r="D39" i="94"/>
  <c r="E39" i="94"/>
  <c r="F39" i="94"/>
  <c r="C40" i="94"/>
  <c r="D40" i="94"/>
  <c r="E40" i="94"/>
  <c r="F40" i="94"/>
  <c r="D5" i="94"/>
  <c r="E5" i="94"/>
  <c r="F5" i="94"/>
  <c r="C5" i="94"/>
  <c r="ER5" i="94" a="1"/>
  <c r="EZ5" i="94" a="1"/>
  <c r="FB5" i="94" a="1"/>
  <c r="ET5" i="94" a="1"/>
  <c r="EV5" i="94" a="1"/>
  <c r="EX5" i="94" a="1"/>
  <c r="AZ27" i="94" a="1"/>
  <c r="AZ25" i="94" a="1"/>
  <c r="DE5" i="94" a="1"/>
  <c r="AX39" i="94" a="1"/>
  <c r="AZ19" i="94" a="1"/>
  <c r="AQ11" i="94" a="1"/>
  <c r="DO5" i="94" a="1"/>
  <c r="AX11" i="94" a="1"/>
  <c r="BA29" i="94" a="1"/>
  <c r="BA35" i="94" a="1"/>
  <c r="DQ5" i="94" a="1"/>
  <c r="AR11" i="94" a="1"/>
  <c r="AY35" i="94" a="1"/>
  <c r="AZ35" i="94" a="1"/>
  <c r="AV11" i="94" a="1"/>
  <c r="BA23" i="94" a="1"/>
  <c r="AW11" i="94" a="1"/>
  <c r="AZ21" i="94" a="1"/>
  <c r="AX19" i="94" a="1"/>
  <c r="AY29" i="94" a="1"/>
  <c r="AZ7" i="94" a="1"/>
  <c r="DH5" i="94" a="1"/>
  <c r="AX31" i="94" a="1"/>
  <c r="BA17" i="94" a="1"/>
  <c r="AZ29" i="94" a="1"/>
  <c r="AZ13" i="94" a="1"/>
  <c r="AX5" i="94" a="1"/>
  <c r="AZ11" i="94" a="1"/>
  <c r="AY23" i="94" a="1"/>
  <c r="AZ5" i="94" a="1"/>
  <c r="AZ9" i="94" a="1"/>
  <c r="AX13" i="94" a="1"/>
  <c r="AX37" i="94" a="1"/>
  <c r="AV13" i="94" a="1"/>
  <c r="AT13" i="94" a="1"/>
  <c r="AY5" i="94" a="1"/>
  <c r="AZ37" i="94" a="1"/>
  <c r="AY11" i="94" a="1"/>
  <c r="AZ15" i="94" a="1"/>
  <c r="AX33" i="94" a="1"/>
  <c r="AT15" i="94" a="1"/>
  <c r="AX27" i="94" a="1"/>
  <c r="AX25" i="94" a="1"/>
  <c r="BA5" i="94" a="1"/>
  <c r="BA11" i="94" a="1"/>
  <c r="AZ23" i="94" a="1"/>
  <c r="AX21" i="94" a="1"/>
  <c r="AX35" i="94" a="1"/>
  <c r="AP13" i="94" a="1"/>
  <c r="AS11" i="94" a="1"/>
  <c r="AU11" i="94" a="1"/>
  <c r="AZ39" i="94" a="1"/>
  <c r="AX9" i="94" a="1"/>
  <c r="AX17" i="94" a="1"/>
  <c r="AZ31" i="94" a="1"/>
  <c r="DM5" i="94" a="1"/>
  <c r="DK5" i="94" a="1"/>
  <c r="AZ33" i="94" a="1"/>
  <c r="AX29" i="94" a="1"/>
  <c r="AP15" i="94" a="1"/>
  <c r="AP11" i="94" a="1"/>
  <c r="AP5" i="94" a="1"/>
  <c r="AT11" i="94" a="1"/>
  <c r="AX7" i="94" a="1"/>
  <c r="AX23" i="94" a="1"/>
  <c r="AZ17" i="94" a="1"/>
  <c r="AY17" i="94" a="1"/>
  <c r="AX15" i="94" a="1"/>
  <c r="AV15" i="94" a="1"/>
  <c r="ET5" i="94" l="1"/>
  <c r="EV5" i="94"/>
  <c r="FB5" i="94"/>
  <c r="ER5" i="94"/>
  <c r="EX5" i="94"/>
  <c r="EZ5" i="94"/>
  <c r="DM5" i="94"/>
  <c r="DH5" i="94"/>
  <c r="DK5" i="94"/>
  <c r="DE5" i="94"/>
  <c r="DQ5" i="94"/>
  <c r="DO5" i="94"/>
  <c r="AP5" i="94"/>
  <c r="AX5" i="94"/>
  <c r="AY5" i="94"/>
  <c r="AZ7" i="94"/>
  <c r="AX7" i="94"/>
  <c r="AZ15" i="94"/>
  <c r="AZ29" i="94"/>
  <c r="BA29" i="94"/>
  <c r="AX23" i="94"/>
  <c r="AY23" i="94"/>
  <c r="AZ33" i="94"/>
  <c r="AZ17" i="94"/>
  <c r="BA17" i="94"/>
  <c r="BA11" i="94"/>
  <c r="AZ11" i="94"/>
  <c r="AS11" i="94"/>
  <c r="AZ13" i="94"/>
  <c r="AQ11" i="94"/>
  <c r="AP11" i="94"/>
  <c r="AY11" i="94"/>
  <c r="AX11" i="94"/>
  <c r="AV11" i="94"/>
  <c r="AT11" i="94"/>
  <c r="AU11" i="94"/>
  <c r="AW11" i="94"/>
  <c r="AZ19" i="94"/>
  <c r="AX31" i="94"/>
  <c r="AX19" i="94"/>
  <c r="AZ21" i="94"/>
  <c r="BA35" i="94"/>
  <c r="AZ35" i="94"/>
  <c r="AX25" i="94"/>
  <c r="AX9" i="94"/>
  <c r="AZ37" i="94"/>
  <c r="AP13" i="94"/>
  <c r="AZ39" i="94"/>
  <c r="AR11" i="94"/>
  <c r="AP15" i="94"/>
  <c r="AZ5" i="94"/>
  <c r="BA5" i="94"/>
  <c r="AX13" i="94"/>
  <c r="AV13" i="94"/>
  <c r="AT13" i="94"/>
  <c r="AX21" i="94"/>
  <c r="AX39" i="94"/>
  <c r="AX29" i="94"/>
  <c r="AY29" i="94"/>
  <c r="AX27" i="94"/>
  <c r="AX17" i="94"/>
  <c r="AY17" i="94"/>
  <c r="AX15" i="94"/>
  <c r="AV15" i="94"/>
  <c r="AT15" i="94"/>
  <c r="AZ9" i="94"/>
  <c r="BA23" i="94"/>
  <c r="AZ23" i="94"/>
  <c r="AX37" i="94"/>
  <c r="AZ31" i="94"/>
  <c r="AY35" i="94"/>
  <c r="AX35" i="94"/>
  <c r="AX33" i="94"/>
  <c r="AZ25" i="94"/>
  <c r="AZ27" i="94"/>
  <c r="B61" i="97"/>
  <c r="B53" i="97"/>
  <c r="B44" i="97"/>
  <c r="Q5" i="94" s="1"/>
  <c r="B37" i="97"/>
  <c r="G30" i="94" s="1"/>
  <c r="FN4" i="94"/>
  <c r="FL4" i="94"/>
  <c r="Y5" i="94" l="1"/>
  <c r="Q34" i="104"/>
  <c r="AI30" i="104"/>
  <c r="Q27" i="104"/>
  <c r="AI15" i="104"/>
  <c r="AI12" i="104"/>
  <c r="AI36" i="103"/>
  <c r="AI32" i="103"/>
  <c r="AI29" i="103"/>
  <c r="AI26" i="103"/>
  <c r="AI21" i="103"/>
  <c r="Q18" i="103"/>
  <c r="AI14" i="103"/>
  <c r="Q20" i="102"/>
  <c r="Q17" i="102"/>
  <c r="AI13" i="102"/>
  <c r="AI8" i="102"/>
  <c r="Q5" i="102"/>
  <c r="AI35" i="101"/>
  <c r="Q32" i="101"/>
  <c r="AI21" i="101"/>
  <c r="Q15" i="101"/>
  <c r="Q12" i="101"/>
  <c r="Q8" i="101"/>
  <c r="AI33" i="100"/>
  <c r="AI17" i="100"/>
  <c r="Q14" i="100"/>
  <c r="AI5" i="100"/>
  <c r="AI37" i="99"/>
  <c r="AI33" i="99"/>
  <c r="Q27" i="99"/>
  <c r="AI8" i="99"/>
  <c r="AI40" i="104"/>
  <c r="AI37" i="104"/>
  <c r="Q22" i="104"/>
  <c r="AI18" i="104"/>
  <c r="Q12" i="104"/>
  <c r="Q7" i="104"/>
  <c r="AI39" i="103"/>
  <c r="Q36" i="103"/>
  <c r="AI24" i="103"/>
  <c r="AI11" i="103"/>
  <c r="AI6" i="103"/>
  <c r="AI38" i="102"/>
  <c r="Q35" i="102"/>
  <c r="Q32" i="102"/>
  <c r="AI23" i="102"/>
  <c r="Q8" i="102"/>
  <c r="AI28" i="101"/>
  <c r="AI24" i="101"/>
  <c r="Q18" i="101"/>
  <c r="AI40" i="100"/>
  <c r="AI20" i="100"/>
  <c r="Q5" i="100"/>
  <c r="Q30" i="99"/>
  <c r="AI22" i="99"/>
  <c r="Q19" i="99"/>
  <c r="AI15" i="99"/>
  <c r="AI12" i="99"/>
  <c r="AI5" i="99"/>
  <c r="Q37" i="104"/>
  <c r="AI33" i="104"/>
  <c r="Q30" i="104"/>
  <c r="AI21" i="104"/>
  <c r="Q15" i="104"/>
  <c r="Q32" i="103"/>
  <c r="Q29" i="103"/>
  <c r="Q21" i="103"/>
  <c r="AI17" i="103"/>
  <c r="Q14" i="103"/>
  <c r="Q11" i="103"/>
  <c r="AI31" i="102"/>
  <c r="AI28" i="102"/>
  <c r="Q23" i="102"/>
  <c r="AI16" i="102"/>
  <c r="AI38" i="101"/>
  <c r="Q35" i="101"/>
  <c r="AI31" i="101"/>
  <c r="Q21" i="101"/>
  <c r="AI17" i="101"/>
  <c r="AI14" i="101"/>
  <c r="AI11" i="101"/>
  <c r="Q40" i="100"/>
  <c r="AI36" i="100"/>
  <c r="Q33" i="100"/>
  <c r="Q29" i="100"/>
  <c r="AI24" i="100"/>
  <c r="Q17" i="100"/>
  <c r="AI13" i="100"/>
  <c r="AI8" i="100"/>
  <c r="Q37" i="99"/>
  <c r="Q33" i="99"/>
  <c r="AI26" i="99"/>
  <c r="Q8" i="99"/>
  <c r="Q5" i="99"/>
  <c r="Q40" i="104"/>
  <c r="AI29" i="104"/>
  <c r="Q18" i="104"/>
  <c r="AI11" i="104"/>
  <c r="Q39" i="103"/>
  <c r="AI35" i="103"/>
  <c r="Q24" i="103"/>
  <c r="AI20" i="103"/>
  <c r="Q17" i="103"/>
  <c r="Q6" i="103"/>
  <c r="Q38" i="102"/>
  <c r="AI34" i="102"/>
  <c r="AI19" i="102"/>
  <c r="Q16" i="102"/>
  <c r="AI7" i="102"/>
  <c r="Q38" i="101"/>
  <c r="AI34" i="101"/>
  <c r="Q28" i="101"/>
  <c r="Q24" i="101"/>
  <c r="AI7" i="101"/>
  <c r="AI39" i="100"/>
  <c r="Q36" i="100"/>
  <c r="Q24" i="100"/>
  <c r="Q20" i="100"/>
  <c r="AI40" i="99"/>
  <c r="AI29" i="99"/>
  <c r="Q22" i="99"/>
  <c r="AI18" i="99"/>
  <c r="Q15" i="99"/>
  <c r="Q12" i="99"/>
  <c r="AI36" i="104"/>
  <c r="Q33" i="104"/>
  <c r="AI24" i="104"/>
  <c r="Q21" i="104"/>
  <c r="Q11" i="104"/>
  <c r="AI6" i="104"/>
  <c r="AI31" i="103"/>
  <c r="AI28" i="103"/>
  <c r="AI23" i="103"/>
  <c r="AI16" i="103"/>
  <c r="AI10" i="103"/>
  <c r="Q31" i="102"/>
  <c r="AI27" i="102"/>
  <c r="AI22" i="102"/>
  <c r="Q19" i="102"/>
  <c r="AI15" i="102"/>
  <c r="AI12" i="102"/>
  <c r="Q7" i="102"/>
  <c r="AI37" i="101"/>
  <c r="Q31" i="101"/>
  <c r="AI20" i="101"/>
  <c r="Q17" i="101"/>
  <c r="Q14" i="101"/>
  <c r="Q11" i="101"/>
  <c r="Q7" i="101"/>
  <c r="Q39" i="100"/>
  <c r="AI35" i="100"/>
  <c r="AI32" i="100"/>
  <c r="Q28" i="100"/>
  <c r="AI23" i="100"/>
  <c r="Q13" i="100"/>
  <c r="Q8" i="100"/>
  <c r="Q40" i="99"/>
  <c r="AI32" i="99"/>
  <c r="Q26" i="99"/>
  <c r="AI21" i="99"/>
  <c r="Q18" i="99"/>
  <c r="AI7" i="99"/>
  <c r="Q36" i="104"/>
  <c r="Q24" i="104"/>
  <c r="AI20" i="104"/>
  <c r="AI17" i="104"/>
  <c r="AI14" i="104"/>
  <c r="Q6" i="104"/>
  <c r="Q35" i="103"/>
  <c r="Q20" i="103"/>
  <c r="AI13" i="103"/>
  <c r="AI8" i="103"/>
  <c r="AI5" i="103"/>
  <c r="AI37" i="102"/>
  <c r="Q34" i="102"/>
  <c r="AI11" i="102"/>
  <c r="Q34" i="101"/>
  <c r="AI27" i="101"/>
  <c r="AI23" i="101"/>
  <c r="Q23" i="100"/>
  <c r="AI19" i="100"/>
  <c r="AI16" i="100"/>
  <c r="AI7" i="100"/>
  <c r="AI39" i="99"/>
  <c r="AI36" i="99"/>
  <c r="Q29" i="99"/>
  <c r="Q21" i="99"/>
  <c r="AI17" i="99"/>
  <c r="AI14" i="99"/>
  <c r="AI11" i="99"/>
  <c r="AI39" i="104"/>
  <c r="AI35" i="104"/>
  <c r="AI32" i="104"/>
  <c r="Q29" i="104"/>
  <c r="Q14" i="104"/>
  <c r="AI38" i="103"/>
  <c r="Q31" i="103"/>
  <c r="Q28" i="103"/>
  <c r="Q16" i="103"/>
  <c r="Q13" i="103"/>
  <c r="Q5" i="103"/>
  <c r="AI40" i="102"/>
  <c r="Q37" i="102"/>
  <c r="AI30" i="102"/>
  <c r="Q22" i="102"/>
  <c r="AI18" i="102"/>
  <c r="Q15" i="102"/>
  <c r="AI40" i="101"/>
  <c r="Q37" i="101"/>
  <c r="AI33" i="101"/>
  <c r="AI30" i="101"/>
  <c r="Q20" i="101"/>
  <c r="AI16" i="101"/>
  <c r="AI13" i="101"/>
  <c r="AI10" i="101"/>
  <c r="AI6" i="101"/>
  <c r="Q35" i="100"/>
  <c r="Q32" i="100"/>
  <c r="AI27" i="100"/>
  <c r="Q19" i="100"/>
  <c r="Q16" i="100"/>
  <c r="Q12" i="100"/>
  <c r="Q7" i="100"/>
  <c r="Q36" i="99"/>
  <c r="Q32" i="99"/>
  <c r="Q11" i="99"/>
  <c r="Q7" i="99"/>
  <c r="Q39" i="104"/>
  <c r="AI23" i="104"/>
  <c r="Q20" i="104"/>
  <c r="Q17" i="104"/>
  <c r="AI8" i="104"/>
  <c r="AI5" i="104"/>
  <c r="Q38" i="103"/>
  <c r="AI34" i="103"/>
  <c r="Q23" i="103"/>
  <c r="AI19" i="103"/>
  <c r="Q8" i="103"/>
  <c r="AI33" i="102"/>
  <c r="AI26" i="102"/>
  <c r="AI6" i="102"/>
  <c r="Q40" i="101"/>
  <c r="Q27" i="101"/>
  <c r="Q23" i="101"/>
  <c r="AI38" i="100"/>
  <c r="Q27" i="100"/>
  <c r="AI22" i="100"/>
  <c r="Q39" i="99"/>
  <c r="AI35" i="99"/>
  <c r="AI31" i="99"/>
  <c r="AI28" i="99"/>
  <c r="AI24" i="99"/>
  <c r="AI20" i="99"/>
  <c r="Q17" i="99"/>
  <c r="Q14" i="99"/>
  <c r="AI6" i="99"/>
  <c r="Q35" i="104"/>
  <c r="Q32" i="104"/>
  <c r="AI28" i="104"/>
  <c r="AI13" i="104"/>
  <c r="AI37" i="103"/>
  <c r="Q34" i="103"/>
  <c r="AI30" i="103"/>
  <c r="AI27" i="103"/>
  <c r="AI12" i="103"/>
  <c r="Q40" i="102"/>
  <c r="AI36" i="102"/>
  <c r="Q30" i="102"/>
  <c r="AI21" i="102"/>
  <c r="Q18" i="102"/>
  <c r="Q6" i="102"/>
  <c r="Q33" i="101"/>
  <c r="Q30" i="101"/>
  <c r="AI19" i="101"/>
  <c r="Q16" i="101"/>
  <c r="Q13" i="101"/>
  <c r="Q10" i="101"/>
  <c r="Q6" i="101"/>
  <c r="Q38" i="100"/>
  <c r="AI34" i="100"/>
  <c r="Q31" i="100"/>
  <c r="AI18" i="100"/>
  <c r="AI15" i="100"/>
  <c r="Q11" i="100"/>
  <c r="AI6" i="100"/>
  <c r="Q35" i="99"/>
  <c r="Q24" i="99"/>
  <c r="AI10" i="99"/>
  <c r="AI38" i="104"/>
  <c r="AI31" i="104"/>
  <c r="Q28" i="104"/>
  <c r="Q23" i="104"/>
  <c r="AI19" i="104"/>
  <c r="Q8" i="104"/>
  <c r="Q5" i="104"/>
  <c r="AI22" i="103"/>
  <c r="Q19" i="103"/>
  <c r="AI15" i="103"/>
  <c r="AI7" i="103"/>
  <c r="Q36" i="102"/>
  <c r="Q33" i="102"/>
  <c r="Q21" i="102"/>
  <c r="AI14" i="102"/>
  <c r="AI10" i="102"/>
  <c r="AI39" i="101"/>
  <c r="AI36" i="101"/>
  <c r="AI29" i="101"/>
  <c r="AI26" i="101"/>
  <c r="AI22" i="101"/>
  <c r="Q22" i="100"/>
  <c r="Q15" i="100"/>
  <c r="Q31" i="99"/>
  <c r="Q28" i="99"/>
  <c r="Q20" i="99"/>
  <c r="AI16" i="99"/>
  <c r="AI13" i="99"/>
  <c r="AI34" i="104"/>
  <c r="AI16" i="104"/>
  <c r="Q13" i="104"/>
  <c r="AI40" i="103"/>
  <c r="Q37" i="103"/>
  <c r="AI33" i="103"/>
  <c r="Q30" i="103"/>
  <c r="Q27" i="103"/>
  <c r="Q15" i="103"/>
  <c r="Q12" i="103"/>
  <c r="AI39" i="102"/>
  <c r="AI29" i="102"/>
  <c r="AI24" i="102"/>
  <c r="AI20" i="102"/>
  <c r="AI17" i="102"/>
  <c r="Q14" i="102"/>
  <c r="Q36" i="101"/>
  <c r="AI32" i="101"/>
  <c r="Q19" i="101"/>
  <c r="AI15" i="101"/>
  <c r="AI12" i="101"/>
  <c r="AI8" i="101"/>
  <c r="AI5" i="101"/>
  <c r="AI37" i="100"/>
  <c r="Q34" i="100"/>
  <c r="AI30" i="100"/>
  <c r="Q26" i="100"/>
  <c r="AI21" i="100"/>
  <c r="Q18" i="100"/>
  <c r="Q6" i="100"/>
  <c r="AI38" i="99"/>
  <c r="AI34" i="99"/>
  <c r="AI23" i="99"/>
  <c r="Q10" i="99"/>
  <c r="Q6" i="99"/>
  <c r="Q38" i="104"/>
  <c r="Q31" i="104"/>
  <c r="AI27" i="104"/>
  <c r="AI22" i="104"/>
  <c r="Q19" i="104"/>
  <c r="Q16" i="104"/>
  <c r="AI7" i="104"/>
  <c r="Q40" i="103"/>
  <c r="Q33" i="103"/>
  <c r="Q22" i="103"/>
  <c r="AI18" i="103"/>
  <c r="Q7" i="103"/>
  <c r="Q39" i="102"/>
  <c r="AI35" i="102"/>
  <c r="AI32" i="102"/>
  <c r="Q24" i="102"/>
  <c r="AI5" i="102"/>
  <c r="Q39" i="101"/>
  <c r="Q29" i="101"/>
  <c r="Q26" i="101"/>
  <c r="Q22" i="101"/>
  <c r="AI18" i="101"/>
  <c r="Q5" i="101"/>
  <c r="Q37" i="100"/>
  <c r="Q30" i="100"/>
  <c r="Q21" i="100"/>
  <c r="AI14" i="100"/>
  <c r="Q10" i="100"/>
  <c r="Q38" i="99"/>
  <c r="Q34" i="99"/>
  <c r="AI30" i="99"/>
  <c r="AI27" i="99"/>
  <c r="Q23" i="99"/>
  <c r="AI19" i="99"/>
  <c r="Q16" i="99"/>
  <c r="Q13" i="99"/>
  <c r="Q10" i="104"/>
  <c r="Q10" i="103"/>
  <c r="Q13" i="102"/>
  <c r="AI12" i="100"/>
  <c r="Q26" i="104"/>
  <c r="Q26" i="103"/>
  <c r="Q29" i="102"/>
  <c r="AI28" i="100"/>
  <c r="AI9" i="104"/>
  <c r="Q9" i="103"/>
  <c r="Q9" i="102"/>
  <c r="AI11" i="100"/>
  <c r="AI25" i="104"/>
  <c r="Q25" i="103"/>
  <c r="Q25" i="102"/>
  <c r="Q9" i="101"/>
  <c r="AI9" i="100"/>
  <c r="Q27" i="102"/>
  <c r="AI25" i="101"/>
  <c r="AI10" i="104"/>
  <c r="Q26" i="102"/>
  <c r="Q25" i="101"/>
  <c r="AI29" i="100"/>
  <c r="AI9" i="99"/>
  <c r="AI26" i="104"/>
  <c r="Q11" i="102"/>
  <c r="AI25" i="100"/>
  <c r="AI25" i="99"/>
  <c r="AI31" i="100"/>
  <c r="AI9" i="103"/>
  <c r="AI9" i="102"/>
  <c r="Q28" i="102"/>
  <c r="AI25" i="103"/>
  <c r="AI25" i="102"/>
  <c r="Q12" i="102"/>
  <c r="Q25" i="104"/>
  <c r="Q10" i="102"/>
  <c r="Q9" i="100"/>
  <c r="Q9" i="99"/>
  <c r="AI9" i="101"/>
  <c r="AI26" i="100"/>
  <c r="Q9" i="104"/>
  <c r="AI10" i="100"/>
  <c r="Q25" i="100"/>
  <c r="Q25" i="99"/>
  <c r="Q37" i="98"/>
  <c r="Q16" i="98"/>
  <c r="AI6" i="98"/>
  <c r="AI22" i="98"/>
  <c r="Q36" i="98"/>
  <c r="Q22" i="98"/>
  <c r="Q13" i="98"/>
  <c r="Q5" i="98"/>
  <c r="AI38" i="98"/>
  <c r="AI39" i="98"/>
  <c r="Q34" i="98"/>
  <c r="Q21" i="98"/>
  <c r="Q40" i="98"/>
  <c r="Q33" i="98"/>
  <c r="Q8" i="98"/>
  <c r="Q20" i="98"/>
  <c r="Q18" i="98"/>
  <c r="Q38" i="98"/>
  <c r="Q24" i="98"/>
  <c r="Q17" i="98"/>
  <c r="Q6" i="98"/>
  <c r="AI10" i="98"/>
  <c r="AI14" i="98"/>
  <c r="AI30" i="98"/>
  <c r="Q9" i="98"/>
  <c r="AI23" i="98"/>
  <c r="Q10" i="98"/>
  <c r="Q29" i="98"/>
  <c r="Q30" i="98"/>
  <c r="Q27" i="98"/>
  <c r="AI34" i="98"/>
  <c r="AI26" i="98"/>
  <c r="Q31" i="98"/>
  <c r="Q25" i="98"/>
  <c r="AI31" i="98"/>
  <c r="AI8" i="98"/>
  <c r="AI32" i="98"/>
  <c r="Q14" i="98"/>
  <c r="AI29" i="98"/>
  <c r="Q23" i="98"/>
  <c r="Q39" i="98"/>
  <c r="Q7" i="98"/>
  <c r="Q26" i="98"/>
  <c r="AI28" i="98"/>
  <c r="AI5" i="98"/>
  <c r="AI21" i="98"/>
  <c r="Q19" i="98"/>
  <c r="AI11" i="98"/>
  <c r="AI15" i="98"/>
  <c r="AI7" i="98"/>
  <c r="Q11" i="98"/>
  <c r="AI35" i="98"/>
  <c r="AI27" i="98"/>
  <c r="AI19" i="98"/>
  <c r="Q12" i="98"/>
  <c r="AI16" i="98"/>
  <c r="AI20" i="98"/>
  <c r="Q35" i="98"/>
  <c r="AI17" i="98"/>
  <c r="AI33" i="98"/>
  <c r="AI36" i="98"/>
  <c r="Q15" i="98"/>
  <c r="Q28" i="98"/>
  <c r="AI13" i="98"/>
  <c r="AI12" i="98"/>
  <c r="AI9" i="98"/>
  <c r="AI24" i="98"/>
  <c r="AI40" i="98"/>
  <c r="AI25" i="98"/>
  <c r="AI18" i="98"/>
  <c r="Q32" i="98"/>
  <c r="AI37" i="98"/>
  <c r="Q11" i="94"/>
  <c r="AI32" i="94"/>
  <c r="G35" i="94"/>
  <c r="G25" i="94"/>
  <c r="G18" i="94"/>
  <c r="G37" i="94"/>
  <c r="G38" i="94"/>
  <c r="G33" i="94"/>
  <c r="G34" i="94"/>
  <c r="G6" i="94"/>
  <c r="G17" i="94"/>
  <c r="G9" i="94"/>
  <c r="G11" i="94"/>
  <c r="G7" i="94"/>
  <c r="G27" i="94"/>
  <c r="G21" i="94"/>
  <c r="G14" i="94"/>
  <c r="G30" i="104"/>
  <c r="G24" i="104"/>
  <c r="G22" i="104"/>
  <c r="Y15" i="104"/>
  <c r="Y13" i="104"/>
  <c r="G35" i="103"/>
  <c r="Y32" i="103"/>
  <c r="Y30" i="103"/>
  <c r="Y28" i="103"/>
  <c r="Y26" i="103"/>
  <c r="Y20" i="103"/>
  <c r="Y18" i="103"/>
  <c r="G16" i="103"/>
  <c r="G14" i="103"/>
  <c r="G12" i="103"/>
  <c r="G20" i="102"/>
  <c r="G18" i="102"/>
  <c r="G10" i="102"/>
  <c r="Y23" i="101"/>
  <c r="G17" i="101"/>
  <c r="G15" i="101"/>
  <c r="G13" i="101"/>
  <c r="G11" i="101"/>
  <c r="G37" i="100"/>
  <c r="Y30" i="100"/>
  <c r="Y10" i="100"/>
  <c r="G5" i="100"/>
  <c r="G34" i="99"/>
  <c r="Y24" i="99"/>
  <c r="Y17" i="99"/>
  <c r="Y15" i="99"/>
  <c r="Y13" i="99"/>
  <c r="Y11" i="99"/>
  <c r="Y36" i="104"/>
  <c r="Y19" i="104"/>
  <c r="Y17" i="104"/>
  <c r="G11" i="104"/>
  <c r="Y7" i="104"/>
  <c r="Y5" i="104"/>
  <c r="G37" i="103"/>
  <c r="Y37" i="102"/>
  <c r="G31" i="102"/>
  <c r="Y24" i="102"/>
  <c r="Y15" i="102"/>
  <c r="G13" i="102"/>
  <c r="G37" i="101"/>
  <c r="G35" i="101"/>
  <c r="Y28" i="101"/>
  <c r="Y26" i="101"/>
  <c r="G39" i="100"/>
  <c r="Y27" i="100"/>
  <c r="Y24" i="100"/>
  <c r="G22" i="100"/>
  <c r="Y17" i="100"/>
  <c r="Y15" i="100"/>
  <c r="G7" i="100"/>
  <c r="Y36" i="99"/>
  <c r="Y31" i="99"/>
  <c r="Y29" i="99"/>
  <c r="Y27" i="99"/>
  <c r="G22" i="99"/>
  <c r="G8" i="99"/>
  <c r="G6" i="99"/>
  <c r="Y40" i="104"/>
  <c r="Y38" i="104"/>
  <c r="G34" i="104"/>
  <c r="G32" i="104"/>
  <c r="Y29" i="104"/>
  <c r="Y27" i="104"/>
  <c r="Y21" i="104"/>
  <c r="Y10" i="104"/>
  <c r="G39" i="103"/>
  <c r="Y24" i="103"/>
  <c r="Y22" i="103"/>
  <c r="G18" i="103"/>
  <c r="G8" i="103"/>
  <c r="G6" i="103"/>
  <c r="Y39" i="102"/>
  <c r="G35" i="102"/>
  <c r="G33" i="102"/>
  <c r="G28" i="102"/>
  <c r="G22" i="102"/>
  <c r="G39" i="101"/>
  <c r="Y32" i="101"/>
  <c r="Y30" i="101"/>
  <c r="G21" i="101"/>
  <c r="G19" i="101"/>
  <c r="Y5" i="101"/>
  <c r="Y34" i="100"/>
  <c r="Y32" i="100"/>
  <c r="G30" i="100"/>
  <c r="Y19" i="100"/>
  <c r="G10" i="100"/>
  <c r="Y38" i="99"/>
  <c r="Y33" i="99"/>
  <c r="G24" i="99"/>
  <c r="Y19" i="99"/>
  <c r="G11" i="99"/>
  <c r="G36" i="104"/>
  <c r="Y23" i="104"/>
  <c r="G15" i="104"/>
  <c r="G13" i="104"/>
  <c r="G10" i="104"/>
  <c r="Y34" i="103"/>
  <c r="G32" i="103"/>
  <c r="G30" i="103"/>
  <c r="G28" i="103"/>
  <c r="G20" i="103"/>
  <c r="G37" i="102"/>
  <c r="G24" i="102"/>
  <c r="Y17" i="102"/>
  <c r="Y6" i="102"/>
  <c r="Y34" i="101"/>
  <c r="G23" i="101"/>
  <c r="Y16" i="101"/>
  <c r="Y14" i="101"/>
  <c r="Y12" i="101"/>
  <c r="Y10" i="101"/>
  <c r="Y7" i="101"/>
  <c r="G27" i="100"/>
  <c r="G24" i="100"/>
  <c r="Y21" i="100"/>
  <c r="G15" i="100"/>
  <c r="Y12" i="100"/>
  <c r="Y40" i="99"/>
  <c r="G36" i="99"/>
  <c r="G27" i="99"/>
  <c r="Y21" i="99"/>
  <c r="G17" i="99"/>
  <c r="G15" i="99"/>
  <c r="G13" i="99"/>
  <c r="Y31" i="104"/>
  <c r="G27" i="104"/>
  <c r="G19" i="104"/>
  <c r="G17" i="104"/>
  <c r="G7" i="104"/>
  <c r="G5" i="104"/>
  <c r="Y36" i="103"/>
  <c r="Y15" i="103"/>
  <c r="Y13" i="103"/>
  <c r="Y11" i="103"/>
  <c r="G39" i="102"/>
  <c r="Y19" i="102"/>
  <c r="G15" i="102"/>
  <c r="Y8" i="102"/>
  <c r="G28" i="101"/>
  <c r="Y18" i="101"/>
  <c r="G5" i="101"/>
  <c r="Y36" i="100"/>
  <c r="G19" i="100"/>
  <c r="G17" i="100"/>
  <c r="Y6" i="100"/>
  <c r="G38" i="99"/>
  <c r="G31" i="99"/>
  <c r="G29" i="99"/>
  <c r="Y7" i="99"/>
  <c r="G40" i="104"/>
  <c r="G38" i="104"/>
  <c r="Y35" i="104"/>
  <c r="Y33" i="104"/>
  <c r="Y26" i="104"/>
  <c r="G21" i="104"/>
  <c r="G34" i="103"/>
  <c r="G24" i="103"/>
  <c r="G22" i="103"/>
  <c r="Y17" i="103"/>
  <c r="Y7" i="103"/>
  <c r="Y5" i="103"/>
  <c r="Y34" i="102"/>
  <c r="Y32" i="102"/>
  <c r="G27" i="102"/>
  <c r="Y21" i="102"/>
  <c r="G12" i="102"/>
  <c r="G6" i="102"/>
  <c r="Y36" i="101"/>
  <c r="G32" i="101"/>
  <c r="G30" i="101"/>
  <c r="Y20" i="101"/>
  <c r="G7" i="101"/>
  <c r="Y38" i="100"/>
  <c r="G34" i="100"/>
  <c r="G32" i="100"/>
  <c r="Y29" i="100"/>
  <c r="Y23" i="100"/>
  <c r="G21" i="100"/>
  <c r="G12" i="100"/>
  <c r="G40" i="99"/>
  <c r="Y35" i="99"/>
  <c r="G33" i="99"/>
  <c r="Y23" i="99"/>
  <c r="G21" i="99"/>
  <c r="G19" i="99"/>
  <c r="Y5" i="99"/>
  <c r="G29" i="104"/>
  <c r="G23" i="104"/>
  <c r="Y12" i="104"/>
  <c r="Y40" i="103"/>
  <c r="Y38" i="103"/>
  <c r="G36" i="103"/>
  <c r="Y31" i="103"/>
  <c r="Y29" i="103"/>
  <c r="Y27" i="103"/>
  <c r="Y19" i="103"/>
  <c r="G15" i="103"/>
  <c r="G13" i="103"/>
  <c r="G11" i="103"/>
  <c r="Y36" i="102"/>
  <c r="G30" i="102"/>
  <c r="Y23" i="102"/>
  <c r="G19" i="102"/>
  <c r="G17" i="102"/>
  <c r="G8" i="102"/>
  <c r="Y40" i="101"/>
  <c r="Y38" i="101"/>
  <c r="G34" i="101"/>
  <c r="Y24" i="101"/>
  <c r="Y22" i="101"/>
  <c r="G16" i="101"/>
  <c r="G14" i="101"/>
  <c r="G12" i="101"/>
  <c r="G36" i="100"/>
  <c r="Y26" i="100"/>
  <c r="Y14" i="100"/>
  <c r="Y11" i="100"/>
  <c r="Y8" i="100"/>
  <c r="Y37" i="99"/>
  <c r="Y16" i="99"/>
  <c r="Y14" i="99"/>
  <c r="Y12" i="99"/>
  <c r="G31" i="104"/>
  <c r="Y20" i="104"/>
  <c r="Y18" i="104"/>
  <c r="Y14" i="104"/>
  <c r="Y8" i="104"/>
  <c r="Y23" i="103"/>
  <c r="Y21" i="103"/>
  <c r="G17" i="103"/>
  <c r="G5" i="103"/>
  <c r="Y38" i="102"/>
  <c r="G21" i="102"/>
  <c r="G36" i="101"/>
  <c r="Y29" i="101"/>
  <c r="Y27" i="101"/>
  <c r="G18" i="101"/>
  <c r="Y40" i="100"/>
  <c r="G38" i="100"/>
  <c r="Y31" i="100"/>
  <c r="G23" i="100"/>
  <c r="Y18" i="100"/>
  <c r="G6" i="100"/>
  <c r="Y39" i="99"/>
  <c r="G35" i="99"/>
  <c r="Y30" i="99"/>
  <c r="Y28" i="99"/>
  <c r="G23" i="99"/>
  <c r="G10" i="99"/>
  <c r="G7" i="99"/>
  <c r="G5" i="99"/>
  <c r="Y37" i="104"/>
  <c r="G35" i="104"/>
  <c r="G33" i="104"/>
  <c r="Y16" i="104"/>
  <c r="G12" i="104"/>
  <c r="Y6" i="104"/>
  <c r="G40" i="103"/>
  <c r="G38" i="103"/>
  <c r="Y33" i="103"/>
  <c r="G7" i="103"/>
  <c r="Y40" i="102"/>
  <c r="G36" i="102"/>
  <c r="G34" i="102"/>
  <c r="G32" i="102"/>
  <c r="G23" i="102"/>
  <c r="G11" i="102"/>
  <c r="G40" i="101"/>
  <c r="G38" i="101"/>
  <c r="Y33" i="101"/>
  <c r="Y31" i="101"/>
  <c r="G20" i="101"/>
  <c r="Y8" i="101"/>
  <c r="Y6" i="101"/>
  <c r="Y35" i="100"/>
  <c r="Y33" i="100"/>
  <c r="Y28" i="100"/>
  <c r="G26" i="100"/>
  <c r="Y20" i="100"/>
  <c r="Y16" i="100"/>
  <c r="G14" i="100"/>
  <c r="Y32" i="99"/>
  <c r="G26" i="99"/>
  <c r="Y20" i="99"/>
  <c r="Y18" i="99"/>
  <c r="Y39" i="104"/>
  <c r="Y30" i="104"/>
  <c r="Y28" i="104"/>
  <c r="Y22" i="104"/>
  <c r="G14" i="104"/>
  <c r="Y35" i="103"/>
  <c r="G31" i="103"/>
  <c r="G29" i="103"/>
  <c r="G27" i="103"/>
  <c r="G19" i="103"/>
  <c r="Y16" i="103"/>
  <c r="Y14" i="103"/>
  <c r="Y12" i="103"/>
  <c r="Y10" i="103"/>
  <c r="G26" i="102"/>
  <c r="Y20" i="102"/>
  <c r="Y18" i="102"/>
  <c r="Y16" i="102"/>
  <c r="G14" i="102"/>
  <c r="Y7" i="102"/>
  <c r="Y5" i="102"/>
  <c r="G24" i="101"/>
  <c r="G22" i="101"/>
  <c r="Y17" i="101"/>
  <c r="Y15" i="101"/>
  <c r="Y13" i="101"/>
  <c r="Y11" i="101"/>
  <c r="G40" i="100"/>
  <c r="G31" i="100"/>
  <c r="G11" i="100"/>
  <c r="G8" i="100"/>
  <c r="G37" i="99"/>
  <c r="G16" i="99"/>
  <c r="G14" i="99"/>
  <c r="G12" i="99"/>
  <c r="Y6" i="99"/>
  <c r="G37" i="104"/>
  <c r="Y24" i="104"/>
  <c r="G20" i="104"/>
  <c r="G18" i="104"/>
  <c r="G16" i="104"/>
  <c r="G8" i="104"/>
  <c r="G6" i="104"/>
  <c r="Y37" i="103"/>
  <c r="G33" i="103"/>
  <c r="G21" i="103"/>
  <c r="G38" i="102"/>
  <c r="Y31" i="102"/>
  <c r="G29" i="102"/>
  <c r="Y37" i="101"/>
  <c r="Y35" i="101"/>
  <c r="G29" i="101"/>
  <c r="G27" i="101"/>
  <c r="Y37" i="100"/>
  <c r="G28" i="100"/>
  <c r="Y22" i="100"/>
  <c r="G18" i="100"/>
  <c r="G16" i="100"/>
  <c r="Y5" i="100"/>
  <c r="G39" i="99"/>
  <c r="Y34" i="99"/>
  <c r="G30" i="99"/>
  <c r="G28" i="99"/>
  <c r="Y22" i="99"/>
  <c r="G18" i="99"/>
  <c r="Y8" i="99"/>
  <c r="G39" i="104"/>
  <c r="Y34" i="104"/>
  <c r="Y32" i="104"/>
  <c r="G28" i="104"/>
  <c r="Y11" i="104"/>
  <c r="Y39" i="103"/>
  <c r="G23" i="103"/>
  <c r="Y8" i="103"/>
  <c r="Y6" i="103"/>
  <c r="G40" i="102"/>
  <c r="Y35" i="102"/>
  <c r="Y33" i="102"/>
  <c r="Y22" i="102"/>
  <c r="G16" i="102"/>
  <c r="G7" i="102"/>
  <c r="G5" i="102"/>
  <c r="Y39" i="101"/>
  <c r="G33" i="101"/>
  <c r="G31" i="101"/>
  <c r="Y21" i="101"/>
  <c r="Y19" i="101"/>
  <c r="G8" i="101"/>
  <c r="G6" i="101"/>
  <c r="Y39" i="100"/>
  <c r="G35" i="100"/>
  <c r="G33" i="100"/>
  <c r="G20" i="100"/>
  <c r="Y13" i="100"/>
  <c r="Y7" i="100"/>
  <c r="G32" i="99"/>
  <c r="G20" i="99"/>
  <c r="Y14" i="102"/>
  <c r="Y10" i="102"/>
  <c r="Y29" i="102"/>
  <c r="Y30" i="102"/>
  <c r="Y26" i="102"/>
  <c r="Y9" i="101"/>
  <c r="Y9" i="100"/>
  <c r="Y13" i="102"/>
  <c r="Y11" i="102"/>
  <c r="Y25" i="101"/>
  <c r="Y25" i="100"/>
  <c r="G25" i="103"/>
  <c r="Y27" i="102"/>
  <c r="Y12" i="102"/>
  <c r="G9" i="99"/>
  <c r="G10" i="103"/>
  <c r="G26" i="103"/>
  <c r="Y28" i="102"/>
  <c r="G25" i="99"/>
  <c r="Y25" i="103"/>
  <c r="G9" i="103"/>
  <c r="Y9" i="102"/>
  <c r="Y9" i="103"/>
  <c r="Y25" i="102"/>
  <c r="Y10" i="99"/>
  <c r="G26" i="104"/>
  <c r="G9" i="101"/>
  <c r="G13" i="100"/>
  <c r="Y26" i="99"/>
  <c r="G9" i="104"/>
  <c r="G9" i="102"/>
  <c r="G25" i="101"/>
  <c r="G9" i="100"/>
  <c r="Y25" i="99"/>
  <c r="Y9" i="104"/>
  <c r="G25" i="104"/>
  <c r="G25" i="102"/>
  <c r="G10" i="101"/>
  <c r="G25" i="100"/>
  <c r="Y9" i="99"/>
  <c r="Y25" i="104"/>
  <c r="G26" i="101"/>
  <c r="G29" i="100"/>
  <c r="Y40" i="98"/>
  <c r="G23" i="98"/>
  <c r="Y37" i="98"/>
  <c r="Y22" i="98"/>
  <c r="G20" i="98"/>
  <c r="Y6" i="98"/>
  <c r="Y32" i="98"/>
  <c r="G12" i="98"/>
  <c r="G40" i="98"/>
  <c r="G37" i="98"/>
  <c r="G18" i="98"/>
  <c r="G6" i="98"/>
  <c r="G22" i="98"/>
  <c r="Y17" i="98"/>
  <c r="Y39" i="98"/>
  <c r="Y36" i="98"/>
  <c r="Y21" i="98"/>
  <c r="Y8" i="98"/>
  <c r="G39" i="98"/>
  <c r="Y24" i="98"/>
  <c r="Y5" i="98"/>
  <c r="Y35" i="98"/>
  <c r="Y16" i="98"/>
  <c r="G8" i="98"/>
  <c r="Y38" i="98"/>
  <c r="Y34" i="98"/>
  <c r="G24" i="98"/>
  <c r="G21" i="98"/>
  <c r="Y7" i="98"/>
  <c r="G5" i="98"/>
  <c r="Y23" i="98"/>
  <c r="Y20" i="98"/>
  <c r="Y15" i="98"/>
  <c r="G7" i="98"/>
  <c r="G38" i="98"/>
  <c r="G34" i="98"/>
  <c r="G19" i="98"/>
  <c r="Y30" i="98"/>
  <c r="Y27" i="98"/>
  <c r="G13" i="98"/>
  <c r="G29" i="98"/>
  <c r="Y25" i="98"/>
  <c r="Y26" i="98"/>
  <c r="G26" i="98"/>
  <c r="G35" i="98"/>
  <c r="Y12" i="98"/>
  <c r="G27" i="98"/>
  <c r="G15" i="98"/>
  <c r="Y33" i="98"/>
  <c r="Y29" i="98"/>
  <c r="G25" i="98"/>
  <c r="G36" i="98"/>
  <c r="Y28" i="98"/>
  <c r="G30" i="98"/>
  <c r="G32" i="98"/>
  <c r="G11" i="98"/>
  <c r="G17" i="98"/>
  <c r="G9" i="98"/>
  <c r="Y10" i="98"/>
  <c r="G10" i="98"/>
  <c r="G16" i="98"/>
  <c r="Y9" i="98"/>
  <c r="G28" i="98"/>
  <c r="Y13" i="98"/>
  <c r="Y19" i="98"/>
  <c r="G14" i="98"/>
  <c r="Y18" i="98"/>
  <c r="G33" i="98"/>
  <c r="G31" i="98"/>
  <c r="Y11" i="98"/>
  <c r="Y31" i="98"/>
  <c r="Y14" i="98"/>
  <c r="G15" i="94"/>
  <c r="G23" i="94"/>
  <c r="G28" i="94"/>
  <c r="G40" i="94"/>
  <c r="G22" i="94"/>
  <c r="G12" i="94"/>
  <c r="G29" i="94"/>
  <c r="G31" i="94"/>
  <c r="G39" i="94"/>
  <c r="G20" i="94"/>
  <c r="G24" i="94"/>
  <c r="G10" i="94"/>
  <c r="G16" i="94"/>
  <c r="G36" i="94"/>
  <c r="G19" i="94"/>
  <c r="G32" i="94"/>
  <c r="G5" i="94"/>
  <c r="G8" i="94"/>
  <c r="G13" i="94"/>
  <c r="G26" i="94"/>
  <c r="FD5" i="98" a="1"/>
  <c r="FP5" i="99" a="1"/>
  <c r="DZ5" i="98" a="1"/>
  <c r="DZ5" i="104" a="1"/>
  <c r="FD5" i="103" a="1"/>
  <c r="DZ5" i="99" a="1"/>
  <c r="FD5" i="100" a="1"/>
  <c r="FR5" i="100" a="1"/>
  <c r="FR5" i="102" a="1"/>
  <c r="FR5" i="103" a="1"/>
  <c r="FD5" i="101" a="1"/>
  <c r="DZ5" i="103" a="1"/>
  <c r="FP5" i="101" a="1"/>
  <c r="FP5" i="102" a="1"/>
  <c r="FR5" i="101" a="1"/>
  <c r="FD5" i="99" a="1"/>
  <c r="FR5" i="99" a="1"/>
  <c r="FD5" i="102" a="1"/>
  <c r="FP5" i="98" a="1"/>
  <c r="DZ5" i="102" a="1"/>
  <c r="FR5" i="98" a="1"/>
  <c r="DZ5" i="101" a="1"/>
  <c r="DZ5" i="100" a="1"/>
  <c r="FP5" i="100" a="1"/>
  <c r="FR5" i="104" a="1"/>
  <c r="FD5" i="104" a="1"/>
  <c r="FP5" i="103" a="1"/>
  <c r="FP5" i="104" a="1"/>
  <c r="FM5" i="101" a="1"/>
  <c r="DS5" i="103" a="1"/>
  <c r="FK5" i="103" a="1"/>
  <c r="CL5" i="104" a="1"/>
  <c r="FK5" i="101" a="1"/>
  <c r="DS5" i="100" a="1"/>
  <c r="DS5" i="104" a="1"/>
  <c r="FK5" i="94" a="1"/>
  <c r="DS5" i="99" a="1"/>
  <c r="CL5" i="98" a="1"/>
  <c r="CL5" i="100" a="1"/>
  <c r="FK5" i="98" a="1"/>
  <c r="FM5" i="102" a="1"/>
  <c r="FM5" i="99" a="1"/>
  <c r="FM5" i="98" a="1"/>
  <c r="FM5" i="104" a="1"/>
  <c r="FK5" i="102" a="1"/>
  <c r="CL5" i="101" a="1"/>
  <c r="CL5" i="103" a="1"/>
  <c r="FK5" i="99" a="1"/>
  <c r="CL5" i="102" a="1"/>
  <c r="FK5" i="100" a="1"/>
  <c r="DS5" i="98" a="1"/>
  <c r="DS5" i="101" a="1"/>
  <c r="FK5" i="104" a="1"/>
  <c r="CL5" i="99" a="1"/>
  <c r="DS5" i="102" a="1"/>
  <c r="FM5" i="103" a="1"/>
  <c r="FM5" i="100" a="1"/>
  <c r="FP5" i="102" l="1"/>
  <c r="FP5" i="100"/>
  <c r="FP5" i="103"/>
  <c r="FP5" i="99"/>
  <c r="FR5" i="102"/>
  <c r="DZ5" i="102"/>
  <c r="FD5" i="102"/>
  <c r="FP5" i="104"/>
  <c r="DZ5" i="98"/>
  <c r="FD5" i="98"/>
  <c r="FR5" i="98"/>
  <c r="DZ5" i="103"/>
  <c r="FD5" i="103"/>
  <c r="FR5" i="103"/>
  <c r="DZ5" i="104"/>
  <c r="FR5" i="104"/>
  <c r="FD5" i="104"/>
  <c r="FP5" i="98"/>
  <c r="FR5" i="101"/>
  <c r="DZ5" i="101"/>
  <c r="FD5" i="101"/>
  <c r="FD5" i="100"/>
  <c r="FR5" i="100"/>
  <c r="DZ5" i="100"/>
  <c r="FP5" i="101"/>
  <c r="FR5" i="99"/>
  <c r="DZ5" i="99"/>
  <c r="FD5" i="99"/>
  <c r="FM5" i="98"/>
  <c r="DS5" i="98"/>
  <c r="CL5" i="98"/>
  <c r="DS5" i="100"/>
  <c r="FM5" i="100"/>
  <c r="CL5" i="100"/>
  <c r="FK5" i="102"/>
  <c r="FK5" i="100"/>
  <c r="FK5" i="99"/>
  <c r="FK5" i="94"/>
  <c r="FK5" i="103"/>
  <c r="FK5" i="104"/>
  <c r="FK5" i="101"/>
  <c r="FK5" i="98"/>
  <c r="CL5" i="102"/>
  <c r="DS5" i="102"/>
  <c r="FM5" i="102"/>
  <c r="FM5" i="101"/>
  <c r="CL5" i="101"/>
  <c r="DS5" i="101"/>
  <c r="FM5" i="99"/>
  <c r="DS5" i="99"/>
  <c r="CL5" i="99"/>
  <c r="FM5" i="103"/>
  <c r="CL5" i="103"/>
  <c r="DS5" i="103"/>
  <c r="DS5" i="104"/>
  <c r="FM5" i="104"/>
  <c r="CL5" i="104"/>
  <c r="D35" i="105"/>
  <c r="M33" i="105"/>
  <c r="K33" i="105"/>
  <c r="I33" i="105"/>
  <c r="G33" i="105"/>
  <c r="F33" i="105"/>
  <c r="E33" i="105"/>
  <c r="D33" i="105"/>
  <c r="C32" i="105"/>
  <c r="C53" i="105"/>
  <c r="C52" i="105"/>
  <c r="C51" i="105"/>
  <c r="C50" i="105"/>
  <c r="C49" i="105"/>
  <c r="C48" i="105"/>
  <c r="C47" i="105"/>
  <c r="C46" i="105"/>
  <c r="C45" i="105"/>
  <c r="C44" i="105"/>
  <c r="C43" i="105"/>
  <c r="C42" i="105"/>
  <c r="C41" i="105"/>
  <c r="C40" i="105"/>
  <c r="C39" i="105"/>
  <c r="C38" i="105"/>
  <c r="C37" i="105"/>
  <c r="C36" i="105"/>
  <c r="E249" i="97"/>
  <c r="E246" i="97"/>
  <c r="E243" i="97"/>
  <c r="E240" i="97"/>
  <c r="E237" i="97"/>
  <c r="E234" i="97"/>
  <c r="E231" i="97"/>
  <c r="E228" i="97"/>
  <c r="D228" i="97"/>
  <c r="B51" i="105" s="1"/>
  <c r="E221" i="97"/>
  <c r="E218" i="97"/>
  <c r="E215" i="97"/>
  <c r="E212" i="97"/>
  <c r="E209" i="97"/>
  <c r="E206" i="97"/>
  <c r="E203" i="97"/>
  <c r="E200" i="97"/>
  <c r="D200" i="97"/>
  <c r="B48" i="105" s="1"/>
  <c r="E193" i="97"/>
  <c r="E190" i="97"/>
  <c r="E187" i="97"/>
  <c r="E184" i="97"/>
  <c r="E181" i="97"/>
  <c r="E178" i="97"/>
  <c r="E175" i="97"/>
  <c r="E172" i="97"/>
  <c r="D172" i="97"/>
  <c r="B45" i="105" s="1"/>
  <c r="E165" i="97"/>
  <c r="E162" i="97"/>
  <c r="E159" i="97"/>
  <c r="E156" i="97"/>
  <c r="E153" i="97"/>
  <c r="E150" i="97"/>
  <c r="E147" i="97"/>
  <c r="E144" i="97"/>
  <c r="D144" i="97"/>
  <c r="B42" i="105" s="1"/>
  <c r="D116" i="97"/>
  <c r="B39" i="105" s="1"/>
  <c r="E109" i="97"/>
  <c r="G223" i="97" a="1"/>
  <c r="K251" i="97" a="1"/>
  <c r="H165" i="97" a="1"/>
  <c r="K167" i="97" a="1"/>
  <c r="G167" i="97" a="1"/>
  <c r="O223" i="97" a="1"/>
  <c r="H109" i="97" a="1"/>
  <c r="O165" i="97" a="1"/>
  <c r="F167" i="97" a="1"/>
  <c r="K221" i="97" a="1"/>
  <c r="F111" i="97" a="1"/>
  <c r="F193" i="97" a="1"/>
  <c r="M221" i="97" a="1"/>
  <c r="O249" i="97" a="1"/>
  <c r="M250" i="97" a="1"/>
  <c r="F195" i="97" a="1"/>
  <c r="P221" i="97" a="1"/>
  <c r="M223" i="97" a="1"/>
  <c r="O167" i="97" a="1"/>
  <c r="K194" i="97" a="1"/>
  <c r="G110" i="97" a="1"/>
  <c r="K251" i="97" l="1"/>
  <c r="M250" i="97"/>
  <c r="O249" i="97"/>
  <c r="O223" i="97"/>
  <c r="M223" i="97"/>
  <c r="G223" i="97"/>
  <c r="P221" i="97"/>
  <c r="M221" i="97"/>
  <c r="K221" i="97"/>
  <c r="F195" i="97"/>
  <c r="K194" i="97"/>
  <c r="F193" i="97"/>
  <c r="O167" i="97"/>
  <c r="K167" i="97"/>
  <c r="G167" i="97"/>
  <c r="F167" i="97"/>
  <c r="O165" i="97"/>
  <c r="H165" i="97"/>
  <c r="F111" i="97"/>
  <c r="G110" i="97"/>
  <c r="H109" i="97"/>
  <c r="E137" i="97"/>
  <c r="K249" i="97" a="1"/>
  <c r="N249" i="97" a="1"/>
  <c r="J109" i="97" a="1"/>
  <c r="R165" i="97" a="1"/>
  <c r="P193" i="97" a="1"/>
  <c r="J137" i="97" a="1"/>
  <c r="F250" i="97" a="1"/>
  <c r="N137" i="97" a="1"/>
  <c r="G222" i="97" a="1"/>
  <c r="L193" i="97" a="1"/>
  <c r="F222" i="97" a="1"/>
  <c r="G195" i="97" a="1"/>
  <c r="N221" i="97" a="1"/>
  <c r="O137" i="97" a="1"/>
  <c r="I137" i="97" a="1"/>
  <c r="H193" i="97" a="1"/>
  <c r="I249" i="97" a="1"/>
  <c r="O194" i="97" a="1"/>
  <c r="M139" i="97" a="1"/>
  <c r="R249" i="97" a="1"/>
  <c r="K138" i="97" a="1"/>
  <c r="F137" i="97" a="1"/>
  <c r="I221" i="97" a="1"/>
  <c r="I193" i="97" a="1"/>
  <c r="N165" i="97" a="1"/>
  <c r="Q109" i="97" a="1"/>
  <c r="F221" i="97" a="1"/>
  <c r="Q221" i="97" a="1"/>
  <c r="M138" i="97" a="1"/>
  <c r="O109" i="97" a="1"/>
  <c r="K222" i="97" a="1"/>
  <c r="M110" i="97" a="1"/>
  <c r="K110" i="97" a="1"/>
  <c r="K193" i="97" a="1"/>
  <c r="M167" i="97" a="1"/>
  <c r="K223" i="97" a="1"/>
  <c r="L137" i="97" a="1"/>
  <c r="F109" i="97" a="1"/>
  <c r="F194" i="97" a="1"/>
  <c r="M165" i="97" a="1"/>
  <c r="G109" i="97" a="1"/>
  <c r="M195" i="97" a="1"/>
  <c r="O166" i="97" a="1"/>
  <c r="O111" i="97" a="1"/>
  <c r="R221" i="97" a="1"/>
  <c r="Q165" i="97" a="1"/>
  <c r="G111" i="97" a="1"/>
  <c r="G137" i="97" a="1"/>
  <c r="J193" i="97" a="1"/>
  <c r="P249" i="97" a="1"/>
  <c r="G221" i="97" a="1"/>
  <c r="Q166" i="97" a="1"/>
  <c r="Q111" i="97" a="1"/>
  <c r="Q223" i="97" a="1"/>
  <c r="Q195" i="97" a="1"/>
  <c r="F110" i="97" a="1"/>
  <c r="M249" i="97" a="1"/>
  <c r="K166" i="97" a="1"/>
  <c r="L109" i="97" a="1"/>
  <c r="O250" i="97" a="1"/>
  <c r="O222" i="97" a="1"/>
  <c r="F166" i="97" a="1"/>
  <c r="H249" i="97" a="1"/>
  <c r="M222" i="97" a="1"/>
  <c r="O251" i="97" a="1"/>
  <c r="L221" i="97" a="1"/>
  <c r="O195" i="97" a="1"/>
  <c r="M109" i="97" a="1"/>
  <c r="G194" i="97" a="1"/>
  <c r="K111" i="97" a="1"/>
  <c r="F165" i="97" a="1"/>
  <c r="Q167" i="97" a="1"/>
  <c r="G193" i="97" a="1"/>
  <c r="H137" i="97" a="1"/>
  <c r="O138" i="97" a="1"/>
  <c r="M193" i="97" a="1"/>
  <c r="O193" i="97" a="1"/>
  <c r="Q222" i="97" a="1"/>
  <c r="G250" i="97" a="1"/>
  <c r="N193" i="97" a="1"/>
  <c r="Q194" i="97" a="1"/>
  <c r="G165" i="97" a="1"/>
  <c r="O139" i="97" a="1"/>
  <c r="P137" i="97" a="1"/>
  <c r="J221" i="97" a="1"/>
  <c r="M137" i="97" a="1"/>
  <c r="J249" i="97" a="1"/>
  <c r="K137" i="97" a="1"/>
  <c r="L165" i="97" a="1"/>
  <c r="Q251" i="97" a="1"/>
  <c r="O221" i="97" a="1"/>
  <c r="K250" i="97" a="1"/>
  <c r="Q193" i="97" a="1"/>
  <c r="F249" i="97" a="1"/>
  <c r="Q250" i="97" a="1"/>
  <c r="Q249" i="97" a="1"/>
  <c r="M166" i="97" a="1"/>
  <c r="P109" i="97" a="1"/>
  <c r="G166" i="97" a="1"/>
  <c r="M194" i="97" a="1"/>
  <c r="K139" i="97" a="1"/>
  <c r="R193" i="97" a="1"/>
  <c r="Q110" i="97" a="1"/>
  <c r="J165" i="97" a="1"/>
  <c r="F251" i="97" a="1"/>
  <c r="I109" i="97" a="1"/>
  <c r="N109" i="97" a="1"/>
  <c r="I165" i="97" a="1"/>
  <c r="G249" i="97" a="1"/>
  <c r="R109" i="97" a="1"/>
  <c r="P165" i="97" a="1"/>
  <c r="K165" i="97" a="1"/>
  <c r="F223" i="97" a="1"/>
  <c r="G138" i="97" a="1"/>
  <c r="M111" i="97" a="1"/>
  <c r="F138" i="97" a="1"/>
  <c r="F139" i="97" a="1"/>
  <c r="K109" i="97" a="1"/>
  <c r="K195" i="97" a="1"/>
  <c r="L249" i="97" a="1"/>
  <c r="G251" i="97" a="1"/>
  <c r="O110" i="97" a="1"/>
  <c r="H221" i="97" a="1"/>
  <c r="M251" i="97" a="1"/>
  <c r="G251" i="97" l="1"/>
  <c r="Q250" i="97"/>
  <c r="P249" i="97"/>
  <c r="M166" i="97"/>
  <c r="I249" i="97"/>
  <c r="M194" i="97"/>
  <c r="J165" i="97"/>
  <c r="H193" i="97"/>
  <c r="N221" i="97"/>
  <c r="J109" i="97"/>
  <c r="Q195" i="97"/>
  <c r="R249" i="97"/>
  <c r="K109" i="97"/>
  <c r="R193" i="97"/>
  <c r="Q222" i="97"/>
  <c r="K165" i="97"/>
  <c r="O194" i="97"/>
  <c r="R221" i="97"/>
  <c r="F221" i="97"/>
  <c r="K166" i="97"/>
  <c r="Q194" i="97"/>
  <c r="I109" i="97"/>
  <c r="I193" i="97"/>
  <c r="M195" i="97"/>
  <c r="M111" i="97"/>
  <c r="Q249" i="97"/>
  <c r="F165" i="97"/>
  <c r="L249" i="97"/>
  <c r="F250" i="97"/>
  <c r="J193" i="97"/>
  <c r="P109" i="97"/>
  <c r="L165" i="97"/>
  <c r="F249" i="97"/>
  <c r="I165" i="97"/>
  <c r="O251" i="97"/>
  <c r="M109" i="97"/>
  <c r="F222" i="97"/>
  <c r="K223" i="97"/>
  <c r="F166" i="97"/>
  <c r="P165" i="97"/>
  <c r="K110" i="97"/>
  <c r="G250" i="97"/>
  <c r="M249" i="97"/>
  <c r="N193" i="97"/>
  <c r="K195" i="97"/>
  <c r="Q251" i="97"/>
  <c r="M222" i="97"/>
  <c r="O250" i="97"/>
  <c r="K111" i="97"/>
  <c r="Q110" i="97"/>
  <c r="F110" i="97"/>
  <c r="N249" i="97"/>
  <c r="G222" i="97"/>
  <c r="F223" i="97"/>
  <c r="J249" i="97"/>
  <c r="G195" i="97"/>
  <c r="F109" i="97"/>
  <c r="P193" i="97"/>
  <c r="G111" i="97"/>
  <c r="M167" i="97"/>
  <c r="O110" i="97"/>
  <c r="I221" i="97"/>
  <c r="O193" i="97"/>
  <c r="Q111" i="97"/>
  <c r="M110" i="97"/>
  <c r="M251" i="97"/>
  <c r="L221" i="97"/>
  <c r="R109" i="97"/>
  <c r="K249" i="97"/>
  <c r="O195" i="97"/>
  <c r="K250" i="97"/>
  <c r="Q109" i="97"/>
  <c r="G193" i="97"/>
  <c r="H249" i="97"/>
  <c r="N165" i="97"/>
  <c r="F251" i="97"/>
  <c r="G194" i="97"/>
  <c r="R165" i="97"/>
  <c r="G221" i="97"/>
  <c r="L109" i="97"/>
  <c r="K193" i="97"/>
  <c r="O221" i="97"/>
  <c r="M193" i="97"/>
  <c r="O166" i="97"/>
  <c r="O222" i="97"/>
  <c r="G165" i="97"/>
  <c r="L193" i="97"/>
  <c r="Q165" i="97"/>
  <c r="K222" i="97"/>
  <c r="Q167" i="97"/>
  <c r="Q223" i="97"/>
  <c r="M165" i="97"/>
  <c r="Q166" i="97"/>
  <c r="O109" i="97"/>
  <c r="Q193" i="97"/>
  <c r="G166" i="97"/>
  <c r="J221" i="97"/>
  <c r="N109" i="97"/>
  <c r="G249" i="97"/>
  <c r="H221" i="97"/>
  <c r="G109" i="97"/>
  <c r="Q221" i="97"/>
  <c r="O111" i="97"/>
  <c r="F194" i="97"/>
  <c r="O139" i="97"/>
  <c r="M139" i="97"/>
  <c r="K139" i="97"/>
  <c r="F139" i="97"/>
  <c r="O138" i="97"/>
  <c r="M138" i="97"/>
  <c r="K138" i="97"/>
  <c r="G138" i="97"/>
  <c r="F138" i="97"/>
  <c r="P137" i="97"/>
  <c r="O137" i="97"/>
  <c r="N137" i="97"/>
  <c r="M137" i="97"/>
  <c r="L137" i="97"/>
  <c r="K137" i="97"/>
  <c r="J137" i="97"/>
  <c r="I137" i="97"/>
  <c r="H137" i="97"/>
  <c r="G137" i="97"/>
  <c r="F137" i="97"/>
  <c r="E106" i="97"/>
  <c r="G248" i="97" a="1"/>
  <c r="M192" i="97" a="1"/>
  <c r="F162" i="97" a="1"/>
  <c r="F220" i="97" a="1"/>
  <c r="M219" i="97" a="1"/>
  <c r="K107" i="97" a="1"/>
  <c r="K220" i="97" a="1"/>
  <c r="Q139" i="97" a="1"/>
  <c r="G162" i="97" a="1"/>
  <c r="O162" i="97" a="1"/>
  <c r="R137" i="97" a="1"/>
  <c r="H106" i="97" a="1"/>
  <c r="G219" i="97" a="1"/>
  <c r="F164" i="97" a="1"/>
  <c r="G164" i="97" a="1"/>
  <c r="G192" i="97" a="1"/>
  <c r="M248" i="97" a="1"/>
  <c r="H218" i="97" a="1"/>
  <c r="F248" i="97" a="1"/>
  <c r="G191" i="97" a="1"/>
  <c r="P218" i="97" a="1"/>
  <c r="F190" i="97" a="1"/>
  <c r="K247" i="97" a="1"/>
  <c r="M162" i="97" a="1"/>
  <c r="L190" i="97" a="1"/>
  <c r="O248" i="97" a="1"/>
  <c r="K164" i="97" a="1"/>
  <c r="K192" i="97" a="1"/>
  <c r="K246" i="97" a="1"/>
  <c r="O190" i="97" a="1"/>
  <c r="N218" i="97" a="1"/>
  <c r="F163" i="97" a="1"/>
  <c r="M108" i="97" a="1"/>
  <c r="P162" i="97" a="1"/>
  <c r="K162" i="97" a="1"/>
  <c r="F191" i="97" a="1"/>
  <c r="K219" i="97" a="1"/>
  <c r="M218" i="97" a="1"/>
  <c r="G108" i="97" a="1"/>
  <c r="H190" i="97" a="1"/>
  <c r="P106" i="97" a="1"/>
  <c r="M191" i="97" a="1"/>
  <c r="I246" i="97" a="1"/>
  <c r="K106" i="97" a="1"/>
  <c r="J162" i="97" a="1"/>
  <c r="F218" i="97" a="1"/>
  <c r="F219" i="97" a="1"/>
  <c r="L162" i="97" a="1"/>
  <c r="O218" i="97" a="1"/>
  <c r="N106" i="97" a="1"/>
  <c r="Q137" i="97" a="1"/>
  <c r="K248" i="97" a="1"/>
  <c r="J106" i="97" a="1"/>
  <c r="O108" i="97" a="1"/>
  <c r="N162" i="97" a="1"/>
  <c r="O247" i="97" a="1"/>
  <c r="K163" i="97" a="1"/>
  <c r="J246" i="97" a="1"/>
  <c r="G246" i="97" a="1"/>
  <c r="H246" i="97" a="1"/>
  <c r="O106" i="97" a="1"/>
  <c r="O220" i="97" a="1"/>
  <c r="M163" i="97" a="1"/>
  <c r="O163" i="97" a="1"/>
  <c r="F106" i="97" a="1"/>
  <c r="N246" i="97" a="1"/>
  <c r="M246" i="97" a="1"/>
  <c r="G247" i="97" a="1"/>
  <c r="O191" i="97" a="1"/>
  <c r="O192" i="97" a="1"/>
  <c r="J190" i="97" a="1"/>
  <c r="G107" i="97" a="1"/>
  <c r="I218" i="97" a="1"/>
  <c r="I162" i="97" a="1"/>
  <c r="K108" i="97" a="1"/>
  <c r="F107" i="97" a="1"/>
  <c r="O164" i="97" a="1"/>
  <c r="G190" i="97" a="1"/>
  <c r="P246" i="97" a="1"/>
  <c r="O107" i="97" a="1"/>
  <c r="I190" i="97" a="1"/>
  <c r="G139" i="97" a="1"/>
  <c r="M164" i="97" a="1"/>
  <c r="L218" i="97" a="1"/>
  <c r="O219" i="97" a="1"/>
  <c r="G163" i="97" a="1"/>
  <c r="F192" i="97" a="1"/>
  <c r="J218" i="97" a="1"/>
  <c r="K190" i="97" a="1"/>
  <c r="I106" i="97" a="1"/>
  <c r="G218" i="97" a="1"/>
  <c r="M247" i="97" a="1"/>
  <c r="F108" i="97" a="1"/>
  <c r="G106" i="97" a="1"/>
  <c r="Q138" i="97" a="1"/>
  <c r="L106" i="97" a="1"/>
  <c r="M107" i="97" a="1"/>
  <c r="Q139" i="97" l="1"/>
  <c r="R137" i="97"/>
  <c r="G139" i="97"/>
  <c r="Q137" i="97"/>
  <c r="Q138" i="97"/>
  <c r="O248" i="97"/>
  <c r="M248" i="97"/>
  <c r="K248" i="97"/>
  <c r="G248" i="97"/>
  <c r="F248" i="97"/>
  <c r="O247" i="97"/>
  <c r="M247" i="97"/>
  <c r="K247" i="97"/>
  <c r="G247" i="97"/>
  <c r="P246" i="97"/>
  <c r="N246" i="97"/>
  <c r="M246" i="97"/>
  <c r="K246" i="97"/>
  <c r="J246" i="97"/>
  <c r="I246" i="97"/>
  <c r="H246" i="97"/>
  <c r="G246" i="97"/>
  <c r="O220" i="97"/>
  <c r="K220" i="97"/>
  <c r="F220" i="97"/>
  <c r="O219" i="97"/>
  <c r="M219" i="97"/>
  <c r="K219" i="97"/>
  <c r="G219" i="97"/>
  <c r="F219" i="97"/>
  <c r="P218" i="97"/>
  <c r="O218" i="97"/>
  <c r="N218" i="97"/>
  <c r="M218" i="97"/>
  <c r="L218" i="97"/>
  <c r="J218" i="97"/>
  <c r="I218" i="97"/>
  <c r="H218" i="97"/>
  <c r="G218" i="97"/>
  <c r="F218" i="97"/>
  <c r="O192" i="97"/>
  <c r="M192" i="97"/>
  <c r="K192" i="97"/>
  <c r="G192" i="97"/>
  <c r="F192" i="97"/>
  <c r="O191" i="97"/>
  <c r="M191" i="97"/>
  <c r="G191" i="97"/>
  <c r="F191" i="97"/>
  <c r="O190" i="97"/>
  <c r="L190" i="97"/>
  <c r="K190" i="97"/>
  <c r="J190" i="97"/>
  <c r="I190" i="97"/>
  <c r="H190" i="97"/>
  <c r="G190" i="97"/>
  <c r="F190" i="97"/>
  <c r="O164" i="97"/>
  <c r="M164" i="97"/>
  <c r="K164" i="97"/>
  <c r="G164" i="97"/>
  <c r="F164" i="97"/>
  <c r="O163" i="97"/>
  <c r="M163" i="97"/>
  <c r="K163" i="97"/>
  <c r="G163" i="97"/>
  <c r="F163" i="97"/>
  <c r="P162" i="97"/>
  <c r="O162" i="97"/>
  <c r="N162" i="97"/>
  <c r="M162" i="97"/>
  <c r="L162" i="97"/>
  <c r="K162" i="97"/>
  <c r="J162" i="97"/>
  <c r="I162" i="97"/>
  <c r="G162" i="97"/>
  <c r="F162" i="97"/>
  <c r="O108" i="97"/>
  <c r="M108" i="97"/>
  <c r="K108" i="97"/>
  <c r="G108" i="97"/>
  <c r="F108" i="97"/>
  <c r="O107" i="97"/>
  <c r="M107" i="97"/>
  <c r="K107" i="97"/>
  <c r="G107" i="97"/>
  <c r="F107" i="97"/>
  <c r="P106" i="97"/>
  <c r="O106" i="97"/>
  <c r="N106" i="97"/>
  <c r="L106" i="97"/>
  <c r="K106" i="97"/>
  <c r="J106" i="97"/>
  <c r="I106" i="97"/>
  <c r="H106" i="97"/>
  <c r="G106" i="97"/>
  <c r="F106" i="97"/>
  <c r="E134" i="97"/>
  <c r="P190" i="97" a="1"/>
  <c r="Q190" i="97" a="1"/>
  <c r="K191" i="97" a="1"/>
  <c r="Q220" i="97" a="1"/>
  <c r="Q191" i="97" a="1"/>
  <c r="F135" i="97" a="1"/>
  <c r="Q247" i="97" a="1"/>
  <c r="Q107" i="97" a="1"/>
  <c r="Q163" i="97" a="1"/>
  <c r="Q164" i="97" a="1"/>
  <c r="Q246" i="97" a="1"/>
  <c r="K218" i="97" a="1"/>
  <c r="O246" i="97" a="1"/>
  <c r="F246" i="97" a="1"/>
  <c r="Q108" i="97" a="1"/>
  <c r="F247" i="97" a="1"/>
  <c r="M106" i="97" a="1"/>
  <c r="R190" i="97" a="1"/>
  <c r="Q218" i="97" a="1"/>
  <c r="Q219" i="97" a="1"/>
  <c r="N190" i="97" a="1"/>
  <c r="R246" i="97" a="1"/>
  <c r="G220" i="97" a="1"/>
  <c r="L246" i="97" a="1"/>
  <c r="Q192" i="97" a="1"/>
  <c r="Q248" i="97" a="1"/>
  <c r="R218" i="97" a="1"/>
  <c r="H162" i="97" a="1"/>
  <c r="R162" i="97" a="1"/>
  <c r="M190" i="97" a="1"/>
  <c r="Q162" i="97" a="1"/>
  <c r="Q106" i="97" a="1"/>
  <c r="R106" i="97" a="1"/>
  <c r="M220" i="97" a="1"/>
  <c r="K218" i="97" l="1"/>
  <c r="G220" i="97"/>
  <c r="K191" i="97"/>
  <c r="M190" i="97"/>
  <c r="H162" i="97"/>
  <c r="L246" i="97"/>
  <c r="O246" i="97"/>
  <c r="P190" i="97"/>
  <c r="M106" i="97"/>
  <c r="F247" i="97"/>
  <c r="F246" i="97"/>
  <c r="Q218" i="97"/>
  <c r="Q246" i="97"/>
  <c r="Q108" i="97"/>
  <c r="M220" i="97"/>
  <c r="N190" i="97"/>
  <c r="R162" i="97"/>
  <c r="Q107" i="97"/>
  <c r="Q164" i="97"/>
  <c r="Q191" i="97"/>
  <c r="Q192" i="97"/>
  <c r="Q162" i="97"/>
  <c r="Q248" i="97"/>
  <c r="Q106" i="97"/>
  <c r="Q220" i="97"/>
  <c r="Q247" i="97"/>
  <c r="R218" i="97"/>
  <c r="Q190" i="97"/>
  <c r="Q219" i="97"/>
  <c r="R190" i="97"/>
  <c r="Q163" i="97"/>
  <c r="R106" i="97"/>
  <c r="R246" i="97"/>
  <c r="F135" i="97"/>
  <c r="E103" i="97"/>
  <c r="J134" i="97" a="1"/>
  <c r="P159" i="97" a="1"/>
  <c r="F136" i="97" a="1"/>
  <c r="M134" i="97" a="1"/>
  <c r="I243" i="97" a="1"/>
  <c r="P134" i="97" a="1"/>
  <c r="O243" i="97" a="1"/>
  <c r="O245" i="97" a="1"/>
  <c r="M243" i="97" a="1"/>
  <c r="N134" i="97" a="1"/>
  <c r="K134" i="97" a="1"/>
  <c r="O134" i="97" a="1"/>
  <c r="M104" i="97" a="1"/>
  <c r="I187" i="97" a="1"/>
  <c r="Q136" i="97" a="1"/>
  <c r="R134" i="97" a="1"/>
  <c r="O216" i="97" a="1"/>
  <c r="K161" i="97" a="1"/>
  <c r="K135" i="97" a="1"/>
  <c r="H134" i="97" a="1"/>
  <c r="G135" i="97" a="1"/>
  <c r="M136" i="97" a="1"/>
  <c r="O161" i="97" a="1"/>
  <c r="G187" i="97" a="1"/>
  <c r="O105" i="97" a="1"/>
  <c r="G159" i="97" a="1"/>
  <c r="J103" i="97" a="1"/>
  <c r="I103" i="97" a="1"/>
  <c r="G136" i="97" a="1"/>
  <c r="G215" i="97" a="1"/>
  <c r="M187" i="97" a="1"/>
  <c r="K136" i="97" a="1"/>
  <c r="P103" i="97" a="1"/>
  <c r="L134" i="97" a="1"/>
  <c r="N215" i="97" a="1"/>
  <c r="G134" i="97" a="1"/>
  <c r="O188" i="97" a="1"/>
  <c r="Q134" i="97" a="1"/>
  <c r="L159" i="97" a="1"/>
  <c r="P187" i="97" a="1"/>
  <c r="K245" i="97" a="1"/>
  <c r="I134" i="97" a="1"/>
  <c r="F103" i="97" a="1"/>
  <c r="O136" i="97" a="1"/>
  <c r="J159" i="97" a="1"/>
  <c r="G161" i="97" a="1"/>
  <c r="L243" i="97" a="1"/>
  <c r="F188" i="97" a="1"/>
  <c r="M244" i="97" a="1"/>
  <c r="O135" i="97" a="1"/>
  <c r="O160" i="97" a="1"/>
  <c r="M135" i="97" a="1"/>
  <c r="Q135" i="97" a="1"/>
  <c r="F134" i="97" a="1"/>
  <c r="F134" i="97" l="1"/>
  <c r="G136" i="97"/>
  <c r="L134" i="97"/>
  <c r="K136" i="97"/>
  <c r="K134" i="97"/>
  <c r="O134" i="97"/>
  <c r="H134" i="97"/>
  <c r="M134" i="97"/>
  <c r="P134" i="97"/>
  <c r="N134" i="97"/>
  <c r="G134" i="97"/>
  <c r="G135" i="97"/>
  <c r="M136" i="97"/>
  <c r="I134" i="97"/>
  <c r="F136" i="97"/>
  <c r="M135" i="97"/>
  <c r="Q136" i="97"/>
  <c r="K135" i="97"/>
  <c r="J134" i="97"/>
  <c r="O136" i="97"/>
  <c r="R134" i="97"/>
  <c r="O135" i="97"/>
  <c r="Q135" i="97"/>
  <c r="Q134" i="97"/>
  <c r="O245" i="97"/>
  <c r="K245" i="97"/>
  <c r="M244" i="97"/>
  <c r="O243" i="97"/>
  <c r="M243" i="97"/>
  <c r="L243" i="97"/>
  <c r="I243" i="97"/>
  <c r="O216" i="97"/>
  <c r="N215" i="97"/>
  <c r="G215" i="97"/>
  <c r="O188" i="97"/>
  <c r="F188" i="97"/>
  <c r="P187" i="97"/>
  <c r="M187" i="97"/>
  <c r="I187" i="97"/>
  <c r="G187" i="97"/>
  <c r="O161" i="97"/>
  <c r="K161" i="97"/>
  <c r="G161" i="97"/>
  <c r="O160" i="97"/>
  <c r="P159" i="97"/>
  <c r="L159" i="97"/>
  <c r="J159" i="97"/>
  <c r="G159" i="97"/>
  <c r="O105" i="97"/>
  <c r="M104" i="97"/>
  <c r="P103" i="97"/>
  <c r="J103" i="97"/>
  <c r="I103" i="97"/>
  <c r="F103" i="97"/>
  <c r="E131" i="97"/>
  <c r="M215" i="97" a="1"/>
  <c r="M159" i="97" a="1"/>
  <c r="K131" i="97" a="1"/>
  <c r="R187" i="97" a="1"/>
  <c r="L215" i="97" a="1"/>
  <c r="G131" i="97" a="1"/>
  <c r="Q216" i="97" a="1"/>
  <c r="Q189" i="97" a="1"/>
  <c r="K104" i="97" a="1"/>
  <c r="F217" i="97" a="1"/>
  <c r="G160" i="97" a="1"/>
  <c r="F161" i="97" a="1"/>
  <c r="F243" i="97" a="1"/>
  <c r="F216" i="97" a="1"/>
  <c r="N159" i="97" a="1"/>
  <c r="H187" i="97" a="1"/>
  <c r="Q187" i="97" a="1"/>
  <c r="Q104" i="97" a="1"/>
  <c r="O103" i="97" a="1"/>
  <c r="Q244" i="97" a="1"/>
  <c r="M216" i="97" a="1"/>
  <c r="R159" i="97" a="1"/>
  <c r="L187" i="97" a="1"/>
  <c r="Q161" i="97" a="1"/>
  <c r="G103" i="97" a="1"/>
  <c r="Q188" i="97" a="1"/>
  <c r="K159" i="97" a="1"/>
  <c r="K160" i="97" a="1"/>
  <c r="F187" i="97" a="1"/>
  <c r="O187" i="97" a="1"/>
  <c r="G243" i="97" a="1"/>
  <c r="Q215" i="97" a="1"/>
  <c r="G189" i="97" a="1"/>
  <c r="G104" i="97" a="1"/>
  <c r="O104" i="97" a="1"/>
  <c r="Q245" i="97" a="1"/>
  <c r="M245" i="97" a="1"/>
  <c r="F104" i="97" a="1"/>
  <c r="O215" i="97" a="1"/>
  <c r="K187" i="97" a="1"/>
  <c r="K189" i="97" a="1"/>
  <c r="K215" i="97" a="1"/>
  <c r="G245" i="97" a="1"/>
  <c r="M160" i="97" a="1"/>
  <c r="F244" i="97" a="1"/>
  <c r="O159" i="97" a="1"/>
  <c r="G216" i="97" a="1"/>
  <c r="K132" i="97" a="1"/>
  <c r="Q160" i="97" a="1"/>
  <c r="G244" i="97" a="1"/>
  <c r="O217" i="97" a="1"/>
  <c r="H215" i="97" a="1"/>
  <c r="G188" i="97" a="1"/>
  <c r="F160" i="97" a="1"/>
  <c r="R215" i="97" a="1"/>
  <c r="Q103" i="97" a="1"/>
  <c r="Q217" i="97" a="1"/>
  <c r="M188" i="97" a="1"/>
  <c r="P215" i="97" a="1"/>
  <c r="M189" i="97" a="1"/>
  <c r="K217" i="97" a="1"/>
  <c r="G105" i="97" a="1"/>
  <c r="F245" i="97" a="1"/>
  <c r="P243" i="97" a="1"/>
  <c r="J215" i="97" a="1"/>
  <c r="L103" i="97" a="1"/>
  <c r="H103" i="97" a="1"/>
  <c r="H243" i="97" a="1"/>
  <c r="M217" i="97" a="1"/>
  <c r="N187" i="97" a="1"/>
  <c r="R103" i="97" a="1"/>
  <c r="N243" i="97" a="1"/>
  <c r="M161" i="97" a="1"/>
  <c r="G217" i="97" a="1"/>
  <c r="F215" i="97" a="1"/>
  <c r="F159" i="97" a="1"/>
  <c r="O244" i="97" a="1"/>
  <c r="O189" i="97" a="1"/>
  <c r="F105" i="97" a="1"/>
  <c r="H159" i="97" a="1"/>
  <c r="R243" i="97" a="1"/>
  <c r="M105" i="97" a="1"/>
  <c r="I159" i="97" a="1"/>
  <c r="K188" i="97" a="1"/>
  <c r="M103" i="97" a="1"/>
  <c r="I215" i="97" a="1"/>
  <c r="Q243" i="97" a="1"/>
  <c r="Q159" i="97" a="1"/>
  <c r="K243" i="97" a="1"/>
  <c r="K216" i="97" a="1"/>
  <c r="F189" i="97" a="1"/>
  <c r="J187" i="97" a="1"/>
  <c r="K244" i="97" a="1"/>
  <c r="N103" i="97" a="1"/>
  <c r="I131" i="97" a="1"/>
  <c r="K105" i="97" a="1"/>
  <c r="J243" i="97" a="1"/>
  <c r="M132" i="97" a="1"/>
  <c r="Q105" i="97" a="1"/>
  <c r="K103" i="97" a="1"/>
  <c r="F215" i="97" l="1"/>
  <c r="I215" i="97"/>
  <c r="N187" i="97"/>
  <c r="F189" i="97"/>
  <c r="M160" i="97"/>
  <c r="H243" i="97"/>
  <c r="H215" i="97"/>
  <c r="K243" i="97"/>
  <c r="G217" i="97"/>
  <c r="L103" i="97"/>
  <c r="G104" i="97"/>
  <c r="M105" i="97"/>
  <c r="M103" i="97"/>
  <c r="F187" i="97"/>
  <c r="K216" i="97"/>
  <c r="K159" i="97"/>
  <c r="M215" i="97"/>
  <c r="H159" i="97"/>
  <c r="G243" i="97"/>
  <c r="K105" i="97"/>
  <c r="M217" i="97"/>
  <c r="G105" i="97"/>
  <c r="L215" i="97"/>
  <c r="F217" i="97"/>
  <c r="K104" i="97"/>
  <c r="N243" i="97"/>
  <c r="F105" i="97"/>
  <c r="J215" i="97"/>
  <c r="O244" i="97"/>
  <c r="G188" i="97"/>
  <c r="F216" i="97"/>
  <c r="F161" i="97"/>
  <c r="K244" i="97"/>
  <c r="L187" i="97"/>
  <c r="O103" i="97"/>
  <c r="M245" i="97"/>
  <c r="M189" i="97"/>
  <c r="M161" i="97"/>
  <c r="K215" i="97"/>
  <c r="K217" i="97"/>
  <c r="H103" i="97"/>
  <c r="I159" i="97"/>
  <c r="H187" i="97"/>
  <c r="K160" i="97"/>
  <c r="G160" i="97"/>
  <c r="F159" i="97"/>
  <c r="K103" i="97"/>
  <c r="M159" i="97"/>
  <c r="G216" i="97"/>
  <c r="F104" i="97"/>
  <c r="N159" i="97"/>
  <c r="O189" i="97"/>
  <c r="N103" i="97"/>
  <c r="G103" i="97"/>
  <c r="P215" i="97"/>
  <c r="O217" i="97"/>
  <c r="F244" i="97"/>
  <c r="Q188" i="97"/>
  <c r="K187" i="97"/>
  <c r="Q189" i="97"/>
  <c r="J243" i="97"/>
  <c r="O187" i="97"/>
  <c r="F245" i="97"/>
  <c r="P243" i="97"/>
  <c r="Q104" i="97"/>
  <c r="O159" i="97"/>
  <c r="Q244" i="97"/>
  <c r="O104" i="97"/>
  <c r="R243" i="97"/>
  <c r="Q245" i="97"/>
  <c r="Q217" i="97"/>
  <c r="F243" i="97"/>
  <c r="Q159" i="97"/>
  <c r="R159" i="97"/>
  <c r="J187" i="97"/>
  <c r="M216" i="97"/>
  <c r="K188" i="97"/>
  <c r="Q103" i="97"/>
  <c r="R187" i="97"/>
  <c r="K189" i="97"/>
  <c r="F160" i="97"/>
  <c r="M188" i="97"/>
  <c r="R103" i="97"/>
  <c r="Q243" i="97"/>
  <c r="Q187" i="97"/>
  <c r="Q160" i="97"/>
  <c r="O215" i="97"/>
  <c r="Q216" i="97"/>
  <c r="Q105" i="97"/>
  <c r="G189" i="97"/>
  <c r="G245" i="97"/>
  <c r="Q215" i="97"/>
  <c r="Q161" i="97"/>
  <c r="G244" i="97"/>
  <c r="R215" i="97"/>
  <c r="M132" i="97"/>
  <c r="K132" i="97"/>
  <c r="K131" i="97"/>
  <c r="I131" i="97"/>
  <c r="G131" i="97"/>
  <c r="E100" i="97"/>
  <c r="F242" i="97" a="1"/>
  <c r="R131" i="97" a="1"/>
  <c r="I240" i="97" a="1"/>
  <c r="Q131" i="97" a="1"/>
  <c r="F132" i="97" a="1"/>
  <c r="Q133" i="97" a="1"/>
  <c r="O157" i="97" a="1"/>
  <c r="O131" i="97" a="1"/>
  <c r="M131" i="97" a="1"/>
  <c r="G212" i="97" a="1"/>
  <c r="M133" i="97" a="1"/>
  <c r="F133" i="97" a="1"/>
  <c r="J131" i="97" a="1"/>
  <c r="Q132" i="97" a="1"/>
  <c r="K133" i="97" a="1"/>
  <c r="O132" i="97" a="1"/>
  <c r="F157" i="97" a="1"/>
  <c r="G132" i="97" a="1"/>
  <c r="M214" i="97" a="1"/>
  <c r="L131" i="97" a="1"/>
  <c r="O133" i="97" a="1"/>
  <c r="K213" i="97" a="1"/>
  <c r="P131" i="97" a="1"/>
  <c r="M240" i="97" a="1"/>
  <c r="H131" i="97" a="1"/>
  <c r="N131" i="97" a="1"/>
  <c r="G133" i="97" a="1"/>
  <c r="M185" i="97" a="1"/>
  <c r="G101" i="97" a="1"/>
  <c r="F131" i="97" a="1"/>
  <c r="K242" i="97" a="1"/>
  <c r="L156" i="97" a="1"/>
  <c r="O133" i="97" l="1"/>
  <c r="O131" i="97"/>
  <c r="G132" i="97"/>
  <c r="F132" i="97"/>
  <c r="O132" i="97"/>
  <c r="F133" i="97"/>
  <c r="K133" i="97"/>
  <c r="J131" i="97"/>
  <c r="P131" i="97"/>
  <c r="Q131" i="97"/>
  <c r="G133" i="97"/>
  <c r="Q133" i="97"/>
  <c r="M133" i="97"/>
  <c r="H131" i="97"/>
  <c r="F131" i="97"/>
  <c r="R131" i="97"/>
  <c r="Q132" i="97"/>
  <c r="L131" i="97"/>
  <c r="N131" i="97"/>
  <c r="M131" i="97"/>
  <c r="K242" i="97"/>
  <c r="F242" i="97"/>
  <c r="M240" i="97"/>
  <c r="I240" i="97"/>
  <c r="M214" i="97"/>
  <c r="K213" i="97"/>
  <c r="G212" i="97"/>
  <c r="M185" i="97"/>
  <c r="O157" i="97"/>
  <c r="F157" i="97"/>
  <c r="L156" i="97"/>
  <c r="G101" i="97"/>
  <c r="E128" i="97"/>
  <c r="G214" i="97" a="1"/>
  <c r="Q100" i="97" a="1"/>
  <c r="Q156" i="97" a="1"/>
  <c r="N100" i="97" a="1"/>
  <c r="O241" i="97" a="1"/>
  <c r="G156" i="97" a="1"/>
  <c r="O129" i="97" a="1"/>
  <c r="J212" i="97" a="1"/>
  <c r="M157" i="97" a="1"/>
  <c r="H212" i="97" a="1"/>
  <c r="G242" i="97" a="1"/>
  <c r="K101" i="97" a="1"/>
  <c r="K156" i="97" a="1"/>
  <c r="I212" i="97" a="1"/>
  <c r="M213" i="97" a="1"/>
  <c r="Q212" i="97" a="1"/>
  <c r="H240" i="97" a="1"/>
  <c r="Q186" i="97" a="1"/>
  <c r="J184" i="97" a="1"/>
  <c r="M212" i="97" a="1"/>
  <c r="G185" i="97" a="1"/>
  <c r="Q242" i="97" a="1"/>
  <c r="L184" i="97" a="1"/>
  <c r="P240" i="97" a="1"/>
  <c r="Q184" i="97" a="1"/>
  <c r="N240" i="97" a="1"/>
  <c r="K157" i="97" a="1"/>
  <c r="O240" i="97" a="1"/>
  <c r="O158" i="97" a="1"/>
  <c r="K128" i="97" a="1"/>
  <c r="M184" i="97" a="1"/>
  <c r="O130" i="97" a="1"/>
  <c r="K129" i="97" a="1"/>
  <c r="F212" i="97" a="1"/>
  <c r="H184" i="97" a="1"/>
  <c r="K100" i="97" a="1"/>
  <c r="Q213" i="97" a="1"/>
  <c r="K241" i="97" a="1"/>
  <c r="J128" i="97" a="1"/>
  <c r="M186" i="97" a="1"/>
  <c r="R240" i="97" a="1"/>
  <c r="G157" i="97" a="1"/>
  <c r="O212" i="97" a="1"/>
  <c r="K102" i="97" a="1"/>
  <c r="G240" i="97" a="1"/>
  <c r="O100" i="97" a="1"/>
  <c r="Q185" i="97" a="1"/>
  <c r="K212" i="97" a="1"/>
  <c r="G184" i="97" a="1"/>
  <c r="P184" i="97" a="1"/>
  <c r="J156" i="97" a="1"/>
  <c r="Q157" i="97" a="1"/>
  <c r="J240" i="97" a="1"/>
  <c r="Q214" i="97" a="1"/>
  <c r="F130" i="97" a="1"/>
  <c r="F102" i="97" a="1"/>
  <c r="M100" i="97" a="1"/>
  <c r="M241" i="97" a="1"/>
  <c r="O156" i="97" a="1"/>
  <c r="O184" i="97" a="1"/>
  <c r="O213" i="97" a="1"/>
  <c r="Q102" i="97" a="1"/>
  <c r="N128" i="97" a="1"/>
  <c r="O101" i="97" a="1"/>
  <c r="N212" i="97" a="1"/>
  <c r="O214" i="97" a="1"/>
  <c r="Q241" i="97" a="1"/>
  <c r="F129" i="97" a="1"/>
  <c r="F100" i="97" a="1"/>
  <c r="G186" i="97" a="1"/>
  <c r="K214" i="97" a="1"/>
  <c r="H100" i="97" a="1"/>
  <c r="I184" i="97" a="1"/>
  <c r="F184" i="97" a="1"/>
  <c r="I100" i="97" a="1"/>
  <c r="F213" i="97" a="1"/>
  <c r="F101" i="97" a="1"/>
  <c r="P100" i="97" a="1"/>
  <c r="R156" i="97" a="1"/>
  <c r="G102" i="97" a="1"/>
  <c r="O185" i="97" a="1"/>
  <c r="F214" i="97" a="1"/>
  <c r="K186" i="97" a="1"/>
  <c r="F186" i="97" a="1"/>
  <c r="K185" i="97" a="1"/>
  <c r="I156" i="97" a="1"/>
  <c r="Q240" i="97" a="1"/>
  <c r="M158" i="97" a="1"/>
  <c r="H156" i="97" a="1"/>
  <c r="I128" i="97" a="1"/>
  <c r="K158" i="97" a="1"/>
  <c r="J100" i="97" a="1"/>
  <c r="M156" i="97" a="1"/>
  <c r="F240" i="97" a="1"/>
  <c r="L212" i="97" a="1"/>
  <c r="M101" i="97" a="1"/>
  <c r="M102" i="97" a="1"/>
  <c r="K184" i="97" a="1"/>
  <c r="L100" i="97" a="1"/>
  <c r="G241" i="97" a="1"/>
  <c r="N184" i="97" a="1"/>
  <c r="O186" i="97" a="1"/>
  <c r="R100" i="97" a="1"/>
  <c r="F158" i="97" a="1"/>
  <c r="M242" i="97" a="1"/>
  <c r="R184" i="97" a="1"/>
  <c r="L240" i="97" a="1"/>
  <c r="R212" i="97" a="1"/>
  <c r="P156" i="97" a="1"/>
  <c r="O242" i="97" a="1"/>
  <c r="K130" i="97" a="1"/>
  <c r="G158" i="97" a="1"/>
  <c r="N156" i="97" a="1"/>
  <c r="F241" i="97" a="1"/>
  <c r="G213" i="97" a="1"/>
  <c r="G100" i="97" a="1"/>
  <c r="G129" i="97" a="1"/>
  <c r="P128" i="97" a="1"/>
  <c r="O102" i="97" a="1"/>
  <c r="F156" i="97" a="1"/>
  <c r="Q101" i="97" a="1"/>
  <c r="K240" i="97" a="1"/>
  <c r="Q158" i="97" a="1"/>
  <c r="F185" i="97" a="1"/>
  <c r="P212" i="97" a="1"/>
  <c r="N212" i="97" l="1"/>
  <c r="K158" i="97"/>
  <c r="G156" i="97"/>
  <c r="K212" i="97"/>
  <c r="O156" i="97"/>
  <c r="J184" i="97"/>
  <c r="K240" i="97"/>
  <c r="P184" i="97"/>
  <c r="M242" i="97"/>
  <c r="G241" i="97"/>
  <c r="F214" i="97"/>
  <c r="O158" i="97"/>
  <c r="K186" i="97"/>
  <c r="O100" i="97"/>
  <c r="O213" i="97"/>
  <c r="L184" i="97"/>
  <c r="M212" i="97"/>
  <c r="F158" i="97"/>
  <c r="M101" i="97"/>
  <c r="H156" i="97"/>
  <c r="O184" i="97"/>
  <c r="I184" i="97"/>
  <c r="I156" i="97"/>
  <c r="I212" i="97"/>
  <c r="M102" i="97"/>
  <c r="J100" i="97"/>
  <c r="N184" i="97"/>
  <c r="O186" i="97"/>
  <c r="N156" i="97"/>
  <c r="H212" i="97"/>
  <c r="F240" i="97"/>
  <c r="M213" i="97"/>
  <c r="K184" i="97"/>
  <c r="G157" i="97"/>
  <c r="I100" i="97"/>
  <c r="O240" i="97"/>
  <c r="G100" i="97"/>
  <c r="F101" i="97"/>
  <c r="P156" i="97"/>
  <c r="F156" i="97"/>
  <c r="G185" i="97"/>
  <c r="H184" i="97"/>
  <c r="G186" i="97"/>
  <c r="K102" i="97"/>
  <c r="G242" i="97"/>
  <c r="Q157" i="97"/>
  <c r="K214" i="97"/>
  <c r="H240" i="97"/>
  <c r="O101" i="97"/>
  <c r="N240" i="97"/>
  <c r="F102" i="97"/>
  <c r="Q186" i="97"/>
  <c r="K156" i="97"/>
  <c r="M156" i="97"/>
  <c r="Q100" i="97"/>
  <c r="G184" i="97"/>
  <c r="P100" i="97"/>
  <c r="M100" i="97"/>
  <c r="Q101" i="97"/>
  <c r="F100" i="97"/>
  <c r="M184" i="97"/>
  <c r="Q241" i="97"/>
  <c r="G213" i="97"/>
  <c r="J156" i="97"/>
  <c r="F213" i="97"/>
  <c r="O212" i="97"/>
  <c r="O241" i="97"/>
  <c r="R212" i="97"/>
  <c r="O242" i="97"/>
  <c r="O214" i="97"/>
  <c r="K101" i="97"/>
  <c r="L240" i="97"/>
  <c r="M186" i="97"/>
  <c r="P240" i="97"/>
  <c r="K100" i="97"/>
  <c r="Q213" i="97"/>
  <c r="Q102" i="97"/>
  <c r="F186" i="97"/>
  <c r="M158" i="97"/>
  <c r="R184" i="97"/>
  <c r="F184" i="97"/>
  <c r="M241" i="97"/>
  <c r="Q156" i="97"/>
  <c r="O185" i="97"/>
  <c r="R240" i="97"/>
  <c r="N100" i="97"/>
  <c r="R100" i="97"/>
  <c r="J212" i="97"/>
  <c r="F185" i="97"/>
  <c r="L212" i="97"/>
  <c r="F212" i="97"/>
  <c r="J240" i="97"/>
  <c r="R156" i="97"/>
  <c r="K241" i="97"/>
  <c r="H100" i="97"/>
  <c r="P212" i="97"/>
  <c r="Q185" i="97"/>
  <c r="G102" i="97"/>
  <c r="G214" i="97"/>
  <c r="Q240" i="97"/>
  <c r="Q158" i="97"/>
  <c r="G158" i="97"/>
  <c r="L100" i="97"/>
  <c r="M157" i="97"/>
  <c r="Q214" i="97"/>
  <c r="Q212" i="97"/>
  <c r="Q184" i="97"/>
  <c r="F241" i="97"/>
  <c r="K157" i="97"/>
  <c r="K185" i="97"/>
  <c r="O102" i="97"/>
  <c r="G240" i="97"/>
  <c r="Q242" i="97"/>
  <c r="O130" i="97"/>
  <c r="K130" i="97"/>
  <c r="F130" i="97"/>
  <c r="O129" i="97"/>
  <c r="K129" i="97"/>
  <c r="G129" i="97"/>
  <c r="F129" i="97"/>
  <c r="P128" i="97"/>
  <c r="N128" i="97"/>
  <c r="K128" i="97"/>
  <c r="J128" i="97"/>
  <c r="I128" i="97"/>
  <c r="E97" i="97"/>
  <c r="M130" i="97" a="1"/>
  <c r="K211" i="97" a="1"/>
  <c r="F128" i="97" a="1"/>
  <c r="G155" i="97" a="1"/>
  <c r="O155" i="97" a="1"/>
  <c r="K97" i="97" a="1"/>
  <c r="I181" i="97" a="1"/>
  <c r="F155" i="97" a="1"/>
  <c r="R128" i="97" a="1"/>
  <c r="J237" i="97" a="1"/>
  <c r="M99" i="97" a="1"/>
  <c r="K237" i="97" a="1"/>
  <c r="O237" i="97" a="1"/>
  <c r="G98" i="97" a="1"/>
  <c r="J181" i="97" a="1"/>
  <c r="H97" i="97" a="1"/>
  <c r="G238" i="97" a="1"/>
  <c r="L128" i="97" a="1"/>
  <c r="F181" i="97" a="1"/>
  <c r="G128" i="97" a="1"/>
  <c r="M181" i="97" a="1"/>
  <c r="I209" i="97" a="1"/>
  <c r="K210" i="97" a="1"/>
  <c r="O153" i="97" a="1"/>
  <c r="F97" i="97" a="1"/>
  <c r="G130" i="97" a="1"/>
  <c r="N237" i="97" a="1"/>
  <c r="H181" i="97" a="1"/>
  <c r="M98" i="97" a="1"/>
  <c r="G154" i="97" a="1"/>
  <c r="G182" i="97" a="1"/>
  <c r="F210" i="97" a="1"/>
  <c r="G153" i="97" a="1"/>
  <c r="H209" i="97" a="1"/>
  <c r="N181" i="97" a="1"/>
  <c r="L209" i="97" a="1"/>
  <c r="L97" i="97" a="1"/>
  <c r="M209" i="97" a="1"/>
  <c r="F239" i="97" a="1"/>
  <c r="F209" i="97" a="1"/>
  <c r="L153" i="97" a="1"/>
  <c r="G209" i="97" a="1"/>
  <c r="M153" i="97" a="1"/>
  <c r="Q128" i="97" a="1"/>
  <c r="I97" i="97" a="1"/>
  <c r="Q130" i="97" a="1"/>
  <c r="O183" i="97" a="1"/>
  <c r="K209" i="97" a="1"/>
  <c r="P181" i="97" a="1"/>
  <c r="M182" i="97" a="1"/>
  <c r="K98" i="97" a="1"/>
  <c r="Q129" i="97" a="1"/>
  <c r="G211" i="97" a="1"/>
  <c r="M155" i="97" a="1"/>
  <c r="G237" i="97" a="1"/>
  <c r="M211" i="97" a="1"/>
  <c r="L237" i="97" a="1"/>
  <c r="M183" i="97" a="1"/>
  <c r="K238" i="97" a="1"/>
  <c r="O238" i="97" a="1"/>
  <c r="K239" i="97" a="1"/>
  <c r="G99" i="97" a="1"/>
  <c r="K154" i="97" a="1"/>
  <c r="P153" i="97" a="1"/>
  <c r="M154" i="97" a="1"/>
  <c r="I153" i="97" a="1"/>
  <c r="O128" i="97" a="1"/>
  <c r="O209" i="97" a="1"/>
  <c r="M238" i="97" a="1"/>
  <c r="F183" i="97" a="1"/>
  <c r="O99" i="97" a="1"/>
  <c r="M237" i="97" a="1"/>
  <c r="K182" i="97" a="1"/>
  <c r="O181" i="97" a="1"/>
  <c r="F182" i="97" a="1"/>
  <c r="F154" i="97" a="1"/>
  <c r="O154" i="97" a="1"/>
  <c r="O210" i="97" a="1"/>
  <c r="F99" i="97" a="1"/>
  <c r="K181" i="97" a="1"/>
  <c r="K155" i="97" a="1"/>
  <c r="M129" i="97" a="1"/>
  <c r="M97" i="97" a="1"/>
  <c r="G181" i="97" a="1"/>
  <c r="H128" i="97" a="1"/>
  <c r="M128" i="97" a="1"/>
  <c r="J209" i="97" a="1"/>
  <c r="J153" i="97" a="1"/>
  <c r="F237" i="97" a="1"/>
  <c r="F128" i="97" l="1"/>
  <c r="L128" i="97"/>
  <c r="M130" i="97"/>
  <c r="R128" i="97"/>
  <c r="H128" i="97"/>
  <c r="O128" i="97"/>
  <c r="Q129" i="97"/>
  <c r="Q130" i="97"/>
  <c r="M129" i="97"/>
  <c r="G130" i="97"/>
  <c r="G128" i="97"/>
  <c r="M128" i="97"/>
  <c r="Q128" i="97"/>
  <c r="K239" i="97"/>
  <c r="F239" i="97"/>
  <c r="O238" i="97"/>
  <c r="M238" i="97"/>
  <c r="K238" i="97"/>
  <c r="G238" i="97"/>
  <c r="O237" i="97"/>
  <c r="N237" i="97"/>
  <c r="M237" i="97"/>
  <c r="L237" i="97"/>
  <c r="K237" i="97"/>
  <c r="J237" i="97"/>
  <c r="G237" i="97"/>
  <c r="F237" i="97"/>
  <c r="M211" i="97"/>
  <c r="K211" i="97"/>
  <c r="G211" i="97"/>
  <c r="O210" i="97"/>
  <c r="K210" i="97"/>
  <c r="F210" i="97"/>
  <c r="O209" i="97"/>
  <c r="M209" i="97"/>
  <c r="L209" i="97"/>
  <c r="K209" i="97"/>
  <c r="J209" i="97"/>
  <c r="I209" i="97"/>
  <c r="H209" i="97"/>
  <c r="G209" i="97"/>
  <c r="F209" i="97"/>
  <c r="O183" i="97"/>
  <c r="M183" i="97"/>
  <c r="F183" i="97"/>
  <c r="M182" i="97"/>
  <c r="K182" i="97"/>
  <c r="G182" i="97"/>
  <c r="F182" i="97"/>
  <c r="P181" i="97"/>
  <c r="O181" i="97"/>
  <c r="N181" i="97"/>
  <c r="M181" i="97"/>
  <c r="K181" i="97"/>
  <c r="J181" i="97"/>
  <c r="I181" i="97"/>
  <c r="H181" i="97"/>
  <c r="G181" i="97"/>
  <c r="F181" i="97"/>
  <c r="O155" i="97"/>
  <c r="M155" i="97"/>
  <c r="K155" i="97"/>
  <c r="G155" i="97"/>
  <c r="F155" i="97"/>
  <c r="O154" i="97"/>
  <c r="M154" i="97"/>
  <c r="K154" i="97"/>
  <c r="G154" i="97"/>
  <c r="F154" i="97"/>
  <c r="P153" i="97"/>
  <c r="O153" i="97"/>
  <c r="M153" i="97"/>
  <c r="L153" i="97"/>
  <c r="J153" i="97"/>
  <c r="I153" i="97"/>
  <c r="G153" i="97"/>
  <c r="O99" i="97"/>
  <c r="M99" i="97"/>
  <c r="G99" i="97"/>
  <c r="F99" i="97"/>
  <c r="M98" i="97"/>
  <c r="K98" i="97"/>
  <c r="G98" i="97"/>
  <c r="M97" i="97"/>
  <c r="L97" i="97"/>
  <c r="K97" i="97"/>
  <c r="I97" i="97"/>
  <c r="H97" i="97"/>
  <c r="F97" i="97"/>
  <c r="E125" i="97"/>
  <c r="M239" i="97" a="1"/>
  <c r="K153" i="97" a="1"/>
  <c r="L181" i="97" a="1"/>
  <c r="Q154" i="97" a="1"/>
  <c r="Q211" i="97" a="1"/>
  <c r="O97" i="97" a="1"/>
  <c r="M127" i="97" a="1"/>
  <c r="O239" i="97" a="1"/>
  <c r="R97" i="97" a="1"/>
  <c r="Q239" i="97" a="1"/>
  <c r="Q155" i="97" a="1"/>
  <c r="Q97" i="97" a="1"/>
  <c r="F98" i="97" a="1"/>
  <c r="K99" i="97" a="1"/>
  <c r="O182" i="97" a="1"/>
  <c r="P97" i="97" a="1"/>
  <c r="F211" i="97" a="1"/>
  <c r="Q153" i="97" a="1"/>
  <c r="M210" i="97" a="1"/>
  <c r="Q237" i="97" a="1"/>
  <c r="I237" i="97" a="1"/>
  <c r="G126" i="97" a="1"/>
  <c r="Q99" i="97" a="1"/>
  <c r="Q183" i="97" a="1"/>
  <c r="K183" i="97" a="1"/>
  <c r="G239" i="97" a="1"/>
  <c r="R153" i="97" a="1"/>
  <c r="Q181" i="97" a="1"/>
  <c r="O211" i="97" a="1"/>
  <c r="F238" i="97" a="1"/>
  <c r="R237" i="97" a="1"/>
  <c r="N209" i="97" a="1"/>
  <c r="Q182" i="97" a="1"/>
  <c r="Q238" i="97" a="1"/>
  <c r="J97" i="97" a="1"/>
  <c r="R209" i="97" a="1"/>
  <c r="Q210" i="97" a="1"/>
  <c r="P237" i="97" a="1"/>
  <c r="Q98" i="97" a="1"/>
  <c r="R181" i="97" a="1"/>
  <c r="H237" i="97" a="1"/>
  <c r="F153" i="97" a="1"/>
  <c r="G97" i="97" a="1"/>
  <c r="G183" i="97" a="1"/>
  <c r="G210" i="97" a="1"/>
  <c r="F126" i="97" a="1"/>
  <c r="N153" i="97" a="1"/>
  <c r="N97" i="97" a="1"/>
  <c r="O98" i="97" a="1"/>
  <c r="P209" i="97" a="1"/>
  <c r="H153" i="97" a="1"/>
  <c r="Q209" i="97" a="1"/>
  <c r="L181" i="97" l="1"/>
  <c r="H153" i="97"/>
  <c r="H237" i="97"/>
  <c r="O211" i="97"/>
  <c r="K183" i="97"/>
  <c r="F238" i="97"/>
  <c r="F98" i="97"/>
  <c r="M210" i="97"/>
  <c r="Q238" i="97"/>
  <c r="K99" i="97"/>
  <c r="F211" i="97"/>
  <c r="J97" i="97"/>
  <c r="G239" i="97"/>
  <c r="R237" i="97"/>
  <c r="Q181" i="97"/>
  <c r="Q183" i="97"/>
  <c r="Q154" i="97"/>
  <c r="I237" i="97"/>
  <c r="R97" i="97"/>
  <c r="O239" i="97"/>
  <c r="Q98" i="97"/>
  <c r="N209" i="97"/>
  <c r="O182" i="97"/>
  <c r="G97" i="97"/>
  <c r="Q239" i="97"/>
  <c r="Q155" i="97"/>
  <c r="Q211" i="97"/>
  <c r="Q210" i="97"/>
  <c r="N97" i="97"/>
  <c r="Q97" i="97"/>
  <c r="P209" i="97"/>
  <c r="Q153" i="97"/>
  <c r="O98" i="97"/>
  <c r="Q209" i="97"/>
  <c r="O97" i="97"/>
  <c r="R153" i="97"/>
  <c r="Q237" i="97"/>
  <c r="G183" i="97"/>
  <c r="R209" i="97"/>
  <c r="Q182" i="97"/>
  <c r="F153" i="97"/>
  <c r="P97" i="97"/>
  <c r="P237" i="97"/>
  <c r="R181" i="97"/>
  <c r="N153" i="97"/>
  <c r="G210" i="97"/>
  <c r="K153" i="97"/>
  <c r="Q99" i="97"/>
  <c r="M239" i="97"/>
  <c r="M127" i="97"/>
  <c r="G126" i="97"/>
  <c r="F126" i="97"/>
  <c r="E94" i="97"/>
  <c r="F208" i="97" a="1"/>
  <c r="H206" i="97" a="1"/>
  <c r="G207" i="97" a="1"/>
  <c r="O95" i="97" a="1"/>
  <c r="P94" i="97" a="1"/>
  <c r="M125" i="97" a="1"/>
  <c r="O207" i="97" a="1"/>
  <c r="O94" i="97" a="1"/>
  <c r="L125" i="97" a="1"/>
  <c r="N150" i="97" a="1"/>
  <c r="I125" i="97" a="1"/>
  <c r="O150" i="97" a="1"/>
  <c r="F234" i="97" a="1"/>
  <c r="N234" i="97" a="1"/>
  <c r="K207" i="97" a="1"/>
  <c r="H234" i="97" a="1"/>
  <c r="F150" i="97" a="1"/>
  <c r="G125" i="97" a="1"/>
  <c r="O127" i="97" a="1"/>
  <c r="H94" i="97" a="1"/>
  <c r="O125" i="97" a="1"/>
  <c r="M96" i="97" a="1"/>
  <c r="M208" i="97" a="1"/>
  <c r="G234" i="97" a="1"/>
  <c r="K125" i="97" a="1"/>
  <c r="F94" i="97" a="1"/>
  <c r="F207" i="97" a="1"/>
  <c r="H125" i="97" a="1"/>
  <c r="Q125" i="97" a="1"/>
  <c r="F178" i="97" a="1"/>
  <c r="G152" i="97" a="1"/>
  <c r="K127" i="97" a="1"/>
  <c r="G208" i="97" a="1"/>
  <c r="N206" i="97" a="1"/>
  <c r="M206" i="97" a="1"/>
  <c r="M151" i="97" a="1"/>
  <c r="N125" i="97" a="1"/>
  <c r="Q126" i="97" a="1"/>
  <c r="M178" i="97" a="1"/>
  <c r="R125" i="97" a="1"/>
  <c r="F96" i="97" a="1"/>
  <c r="G127" i="97" a="1"/>
  <c r="L178" i="97" a="1"/>
  <c r="G94" i="97" a="1"/>
  <c r="K126" i="97" a="1"/>
  <c r="M235" i="97" a="1"/>
  <c r="K180" i="97" a="1"/>
  <c r="M180" i="97" a="1"/>
  <c r="J125" i="97" a="1"/>
  <c r="F125" i="97" a="1"/>
  <c r="M126" i="97" a="1"/>
  <c r="M94" i="97" a="1"/>
  <c r="K236" i="97" a="1"/>
  <c r="Q127" i="97" a="1"/>
  <c r="P125" i="97" a="1"/>
  <c r="M95" i="97" a="1"/>
  <c r="F127" i="97" a="1"/>
  <c r="O126" i="97" a="1"/>
  <c r="K178" i="97" a="1"/>
  <c r="G125" i="97" l="1"/>
  <c r="P125" i="97"/>
  <c r="K127" i="97"/>
  <c r="G127" i="97"/>
  <c r="N125" i="97"/>
  <c r="K125" i="97"/>
  <c r="J125" i="97"/>
  <c r="L125" i="97"/>
  <c r="R125" i="97"/>
  <c r="Q126" i="97"/>
  <c r="O127" i="97"/>
  <c r="I125" i="97"/>
  <c r="K126" i="97"/>
  <c r="O126" i="97"/>
  <c r="F125" i="97"/>
  <c r="M126" i="97"/>
  <c r="Q127" i="97"/>
  <c r="Q125" i="97"/>
  <c r="O125" i="97"/>
  <c r="M125" i="97"/>
  <c r="H125" i="97"/>
  <c r="F127" i="97"/>
  <c r="K236" i="97"/>
  <c r="M235" i="97"/>
  <c r="N234" i="97"/>
  <c r="H234" i="97"/>
  <c r="G234" i="97"/>
  <c r="F234" i="97"/>
  <c r="M208" i="97"/>
  <c r="G208" i="97"/>
  <c r="F208" i="97"/>
  <c r="O207" i="97"/>
  <c r="K207" i="97"/>
  <c r="G207" i="97"/>
  <c r="F207" i="97"/>
  <c r="N206" i="97"/>
  <c r="M206" i="97"/>
  <c r="H206" i="97"/>
  <c r="M180" i="97"/>
  <c r="K180" i="97"/>
  <c r="M178" i="97"/>
  <c r="L178" i="97"/>
  <c r="K178" i="97"/>
  <c r="F178" i="97"/>
  <c r="G152" i="97"/>
  <c r="M151" i="97"/>
  <c r="O150" i="97"/>
  <c r="N150" i="97"/>
  <c r="F150" i="97"/>
  <c r="M96" i="97"/>
  <c r="F96" i="97"/>
  <c r="O95" i="97"/>
  <c r="M95" i="97"/>
  <c r="P94" i="97"/>
  <c r="O94" i="97"/>
  <c r="M94" i="97"/>
  <c r="H94" i="97"/>
  <c r="G94" i="97"/>
  <c r="F94" i="97"/>
  <c r="E122" i="97"/>
  <c r="P234" i="97" a="1"/>
  <c r="O151" i="97" a="1"/>
  <c r="J234" i="97" a="1"/>
  <c r="Q234" i="97" a="1"/>
  <c r="G123" i="97" a="1"/>
  <c r="K152" i="97" a="1"/>
  <c r="O152" i="97" a="1"/>
  <c r="R234" i="97" a="1"/>
  <c r="R206" i="97" a="1"/>
  <c r="O206" i="97" a="1"/>
  <c r="K234" i="97" a="1"/>
  <c r="G96" i="97" a="1"/>
  <c r="F206" i="97" a="1"/>
  <c r="R178" i="97" a="1"/>
  <c r="R150" i="97" a="1"/>
  <c r="K179" i="97" a="1"/>
  <c r="K235" i="97" a="1"/>
  <c r="N178" i="97" a="1"/>
  <c r="H178" i="97" a="1"/>
  <c r="Q235" i="97" a="1"/>
  <c r="G235" i="97" a="1"/>
  <c r="J206" i="97" a="1"/>
  <c r="Q236" i="97" a="1"/>
  <c r="Q96" i="97" a="1"/>
  <c r="G236" i="97" a="1"/>
  <c r="F180" i="97" a="1"/>
  <c r="P178" i="97" a="1"/>
  <c r="O208" i="97" a="1"/>
  <c r="Q208" i="97" a="1"/>
  <c r="I150" i="97" a="1"/>
  <c r="F179" i="97" a="1"/>
  <c r="L150" i="97" a="1"/>
  <c r="G206" i="97" a="1"/>
  <c r="N94" i="97" a="1"/>
  <c r="K94" i="97" a="1"/>
  <c r="K151" i="97" a="1"/>
  <c r="G151" i="97" a="1"/>
  <c r="Q150" i="97" a="1"/>
  <c r="P150" i="97" a="1"/>
  <c r="I234" i="97" a="1"/>
  <c r="F95" i="97" a="1"/>
  <c r="G124" i="97" a="1"/>
  <c r="Q95" i="97" a="1"/>
  <c r="F235" i="97" a="1"/>
  <c r="Q152" i="97" a="1"/>
  <c r="J94" i="97" a="1"/>
  <c r="J178" i="97" a="1"/>
  <c r="Q179" i="97" a="1"/>
  <c r="Q180" i="97" a="1"/>
  <c r="G180" i="97" a="1"/>
  <c r="O96" i="97" a="1"/>
  <c r="O234" i="97" a="1"/>
  <c r="F152" i="97" a="1"/>
  <c r="K122" i="97" a="1"/>
  <c r="K208" i="97" a="1"/>
  <c r="M150" i="97" a="1"/>
  <c r="M207" i="97" a="1"/>
  <c r="Q178" i="97" a="1"/>
  <c r="R94" i="97" a="1"/>
  <c r="M179" i="97" a="1"/>
  <c r="F151" i="97" a="1"/>
  <c r="M234" i="97" a="1"/>
  <c r="I94" i="97" a="1"/>
  <c r="O236" i="97" a="1"/>
  <c r="L206" i="97" a="1"/>
  <c r="P206" i="97" a="1"/>
  <c r="G95" i="97" a="1"/>
  <c r="M152" i="97" a="1"/>
  <c r="Q207" i="97" a="1"/>
  <c r="K150" i="97" a="1"/>
  <c r="G150" i="97" a="1"/>
  <c r="O178" i="97" a="1"/>
  <c r="I178" i="97" a="1"/>
  <c r="O180" i="97" a="1"/>
  <c r="K206" i="97" a="1"/>
  <c r="H150" i="97" a="1"/>
  <c r="F236" i="97" a="1"/>
  <c r="Q94" i="97" a="1"/>
  <c r="J150" i="97" a="1"/>
  <c r="K95" i="97" a="1"/>
  <c r="I206" i="97" a="1"/>
  <c r="M236" i="97" a="1"/>
  <c r="O179" i="97" a="1"/>
  <c r="L94" i="97" a="1"/>
  <c r="Q151" i="97" a="1"/>
  <c r="K96" i="97" a="1"/>
  <c r="O235" i="97" a="1"/>
  <c r="G178" i="97" a="1"/>
  <c r="K124" i="97" a="1"/>
  <c r="Q206" i="97" a="1"/>
  <c r="G179" i="97" a="1"/>
  <c r="L234" i="97" a="1"/>
  <c r="M150" i="97" l="1"/>
  <c r="K234" i="97"/>
  <c r="G179" i="97"/>
  <c r="I178" i="97"/>
  <c r="O234" i="97"/>
  <c r="I150" i="97"/>
  <c r="M234" i="97"/>
  <c r="O96" i="97"/>
  <c r="O236" i="97"/>
  <c r="L150" i="97"/>
  <c r="K235" i="97"/>
  <c r="F206" i="97"/>
  <c r="H150" i="97"/>
  <c r="K206" i="97"/>
  <c r="O208" i="97"/>
  <c r="O151" i="97"/>
  <c r="L234" i="97"/>
  <c r="F179" i="97"/>
  <c r="N178" i="97"/>
  <c r="L206" i="97"/>
  <c r="F236" i="97"/>
  <c r="J94" i="97"/>
  <c r="G151" i="97"/>
  <c r="O179" i="97"/>
  <c r="P178" i="97"/>
  <c r="P150" i="97"/>
  <c r="I234" i="97"/>
  <c r="P234" i="97"/>
  <c r="F180" i="97"/>
  <c r="M236" i="97"/>
  <c r="Q179" i="97"/>
  <c r="L94" i="97"/>
  <c r="Q94" i="97"/>
  <c r="G150" i="97"/>
  <c r="I206" i="97"/>
  <c r="K152" i="97"/>
  <c r="M152" i="97"/>
  <c r="K150" i="97"/>
  <c r="Q152" i="97"/>
  <c r="Q150" i="97"/>
  <c r="Q206" i="97"/>
  <c r="R234" i="97"/>
  <c r="K95" i="97"/>
  <c r="F235" i="97"/>
  <c r="Q95" i="97"/>
  <c r="Q96" i="97"/>
  <c r="K208" i="97"/>
  <c r="R94" i="97"/>
  <c r="G178" i="97"/>
  <c r="Q178" i="97"/>
  <c r="Q180" i="97"/>
  <c r="I94" i="97"/>
  <c r="F151" i="97"/>
  <c r="N94" i="97"/>
  <c r="F95" i="97"/>
  <c r="K179" i="97"/>
  <c r="G206" i="97"/>
  <c r="Q235" i="97"/>
  <c r="Q151" i="97"/>
  <c r="M179" i="97"/>
  <c r="J178" i="97"/>
  <c r="O178" i="97"/>
  <c r="G96" i="97"/>
  <c r="R206" i="97"/>
  <c r="Q236" i="97"/>
  <c r="F152" i="97"/>
  <c r="G180" i="97"/>
  <c r="Q234" i="97"/>
  <c r="G236" i="97"/>
  <c r="O152" i="97"/>
  <c r="H178" i="97"/>
  <c r="G95" i="97"/>
  <c r="J150" i="97"/>
  <c r="Q207" i="97"/>
  <c r="M207" i="97"/>
  <c r="G235" i="97"/>
  <c r="K151" i="97"/>
  <c r="K96" i="97"/>
  <c r="O235" i="97"/>
  <c r="R150" i="97"/>
  <c r="K94" i="97"/>
  <c r="J234" i="97"/>
  <c r="O206" i="97"/>
  <c r="Q208" i="97"/>
  <c r="J206" i="97"/>
  <c r="O180" i="97"/>
  <c r="P206" i="97"/>
  <c r="R178" i="97"/>
  <c r="K124" i="97"/>
  <c r="G124" i="97"/>
  <c r="G123" i="97"/>
  <c r="K122" i="97"/>
  <c r="E91" i="97"/>
  <c r="N122" i="97" a="1"/>
  <c r="P231" i="97" a="1"/>
  <c r="K233" i="97" a="1"/>
  <c r="R122" i="97" a="1"/>
  <c r="K91" i="97" a="1"/>
  <c r="G92" i="97" a="1"/>
  <c r="M122" i="97" a="1"/>
  <c r="N147" i="97" a="1"/>
  <c r="Q123" i="97" a="1"/>
  <c r="F205" i="97" a="1"/>
  <c r="J175" i="97" a="1"/>
  <c r="F124" i="97" a="1"/>
  <c r="O123" i="97" a="1"/>
  <c r="K123" i="97" a="1"/>
  <c r="N91" i="97" a="1"/>
  <c r="M147" i="97" a="1"/>
  <c r="G122" i="97" a="1"/>
  <c r="O203" i="97" a="1"/>
  <c r="O124" i="97" a="1"/>
  <c r="Q122" i="97" a="1"/>
  <c r="F148" i="97" a="1"/>
  <c r="F92" i="97" a="1"/>
  <c r="M124" i="97" a="1"/>
  <c r="F123" i="97" a="1"/>
  <c r="L122" i="97" a="1"/>
  <c r="J122" i="97" a="1"/>
  <c r="Q124" i="97" a="1"/>
  <c r="F147" i="97" a="1"/>
  <c r="P203" i="97" a="1"/>
  <c r="P122" i="97" a="1"/>
  <c r="H122" i="97" a="1"/>
  <c r="M123" i="97" a="1"/>
  <c r="H203" i="97" a="1"/>
  <c r="O122" i="97" a="1"/>
  <c r="F122" i="97" a="1"/>
  <c r="I122" i="97" a="1"/>
  <c r="N175" i="97" a="1"/>
  <c r="M123" i="97" l="1"/>
  <c r="L122" i="97"/>
  <c r="H122" i="97"/>
  <c r="Q122" i="97"/>
  <c r="J122" i="97"/>
  <c r="O123" i="97"/>
  <c r="O124" i="97"/>
  <c r="R122" i="97"/>
  <c r="M124" i="97"/>
  <c r="I122" i="97"/>
  <c r="Q124" i="97"/>
  <c r="Q123" i="97"/>
  <c r="G122" i="97"/>
  <c r="F123" i="97"/>
  <c r="M122" i="97"/>
  <c r="N122" i="97"/>
  <c r="F122" i="97"/>
  <c r="F124" i="97"/>
  <c r="P122" i="97"/>
  <c r="O122" i="97"/>
  <c r="K123" i="97"/>
  <c r="K233" i="97"/>
  <c r="P231" i="97"/>
  <c r="F205" i="97"/>
  <c r="P203" i="97"/>
  <c r="O203" i="97"/>
  <c r="H203" i="97"/>
  <c r="N175" i="97"/>
  <c r="J175" i="97"/>
  <c r="F148" i="97"/>
  <c r="N147" i="97"/>
  <c r="M147" i="97"/>
  <c r="F147" i="97"/>
  <c r="G92" i="97"/>
  <c r="F92" i="97"/>
  <c r="N91" i="97"/>
  <c r="K91" i="97"/>
  <c r="E119" i="97"/>
  <c r="P91" i="97" a="1"/>
  <c r="R91" i="97" a="1"/>
  <c r="O148" i="97" a="1"/>
  <c r="L231" i="97" a="1"/>
  <c r="O149" i="97" a="1"/>
  <c r="J203" i="97" a="1"/>
  <c r="F91" i="97" a="1"/>
  <c r="O176" i="97" a="1"/>
  <c r="O177" i="97" a="1"/>
  <c r="M91" i="97" a="1"/>
  <c r="G149" i="97" a="1"/>
  <c r="F176" i="97" a="1"/>
  <c r="F177" i="97" a="1"/>
  <c r="O93" i="97" a="1"/>
  <c r="Q231" i="97" a="1"/>
  <c r="M175" i="97" a="1"/>
  <c r="Q177" i="97" a="1"/>
  <c r="Q149" i="97" a="1"/>
  <c r="F203" i="97" a="1"/>
  <c r="O175" i="97" a="1"/>
  <c r="G204" i="97" a="1"/>
  <c r="O231" i="97" a="1"/>
  <c r="G233" i="97" a="1"/>
  <c r="G176" i="97" a="1"/>
  <c r="K232" i="97" a="1"/>
  <c r="R147" i="97" a="1"/>
  <c r="O232" i="97" a="1"/>
  <c r="Q148" i="97" a="1"/>
  <c r="M203" i="97" a="1"/>
  <c r="Q204" i="97" a="1"/>
  <c r="I175" i="97" a="1"/>
  <c r="G232" i="97" a="1"/>
  <c r="G177" i="97" a="1"/>
  <c r="M204" i="97" a="1"/>
  <c r="Q205" i="97" a="1"/>
  <c r="L203" i="97" a="1"/>
  <c r="O205" i="97" a="1"/>
  <c r="I147" i="97" a="1"/>
  <c r="O204" i="97" a="1"/>
  <c r="G148" i="97" a="1"/>
  <c r="P147" i="97" a="1"/>
  <c r="Q232" i="97" a="1"/>
  <c r="H91" i="97" a="1"/>
  <c r="I91" i="97" a="1"/>
  <c r="K93" i="97" a="1"/>
  <c r="I231" i="97" a="1"/>
  <c r="M176" i="97" a="1"/>
  <c r="O147" i="97" a="1"/>
  <c r="M177" i="97" a="1"/>
  <c r="K175" i="97" a="1"/>
  <c r="G147" i="97" a="1"/>
  <c r="G93" i="97" a="1"/>
  <c r="F233" i="97" a="1"/>
  <c r="Q176" i="97" a="1"/>
  <c r="M148" i="97" a="1"/>
  <c r="N203" i="97" a="1"/>
  <c r="L91" i="97" a="1"/>
  <c r="F204" i="97" a="1"/>
  <c r="O92" i="97" a="1"/>
  <c r="Q147" i="97" a="1"/>
  <c r="R175" i="97" a="1"/>
  <c r="P175" i="97" a="1"/>
  <c r="L175" i="97" a="1"/>
  <c r="K176" i="97" a="1"/>
  <c r="F175" i="97" a="1"/>
  <c r="Q93" i="97" a="1"/>
  <c r="Q92" i="97" a="1"/>
  <c r="M232" i="97" a="1"/>
  <c r="M149" i="97" a="1"/>
  <c r="K147" i="97" a="1"/>
  <c r="K92" i="97" a="1"/>
  <c r="R203" i="97" a="1"/>
  <c r="F232" i="97" a="1"/>
  <c r="K203" i="97" a="1"/>
  <c r="Q203" i="97" a="1"/>
  <c r="N231" i="97" a="1"/>
  <c r="M93" i="97" a="1"/>
  <c r="G175" i="97" a="1"/>
  <c r="L147" i="97" a="1"/>
  <c r="K177" i="97" a="1"/>
  <c r="G91" i="97" a="1"/>
  <c r="O91" i="97" a="1"/>
  <c r="K148" i="97" a="1"/>
  <c r="J147" i="97" a="1"/>
  <c r="J91" i="97" a="1"/>
  <c r="F149" i="97" a="1"/>
  <c r="F93" i="97" a="1"/>
  <c r="K204" i="97" a="1"/>
  <c r="M205" i="97" a="1"/>
  <c r="H175" i="97" a="1"/>
  <c r="Q91" i="97" a="1"/>
  <c r="K205" i="97" a="1"/>
  <c r="G231" i="97" a="1"/>
  <c r="O233" i="97" a="1"/>
  <c r="M92" i="97" a="1"/>
  <c r="F231" i="97" a="1"/>
  <c r="R231" i="97" a="1"/>
  <c r="Q233" i="97" a="1"/>
  <c r="G205" i="97" a="1"/>
  <c r="M233" i="97" a="1"/>
  <c r="G203" i="97" a="1"/>
  <c r="N119" i="97" a="1"/>
  <c r="K231" i="97" a="1"/>
  <c r="I203" i="97" a="1"/>
  <c r="J231" i="97" a="1"/>
  <c r="M231" i="97" a="1"/>
  <c r="K149" i="97" a="1"/>
  <c r="H231" i="97" a="1"/>
  <c r="Q175" i="97" a="1"/>
  <c r="H147" i="97" a="1"/>
  <c r="K232" i="97" l="1"/>
  <c r="G231" i="97"/>
  <c r="O176" i="97"/>
  <c r="F176" i="97"/>
  <c r="G204" i="97"/>
  <c r="J203" i="97"/>
  <c r="O149" i="97"/>
  <c r="K149" i="97"/>
  <c r="J231" i="97"/>
  <c r="M92" i="97"/>
  <c r="H91" i="97"/>
  <c r="K203" i="97"/>
  <c r="F93" i="97"/>
  <c r="F177" i="97"/>
  <c r="L91" i="97"/>
  <c r="M204" i="97"/>
  <c r="K204" i="97"/>
  <c r="M233" i="97"/>
  <c r="O232" i="97"/>
  <c r="K177" i="97"/>
  <c r="I147" i="97"/>
  <c r="P147" i="97"/>
  <c r="F203" i="97"/>
  <c r="M93" i="97"/>
  <c r="K231" i="97"/>
  <c r="G177" i="97"/>
  <c r="O233" i="97"/>
  <c r="F91" i="97"/>
  <c r="F231" i="97"/>
  <c r="I91" i="97"/>
  <c r="O177" i="97"/>
  <c r="L203" i="97"/>
  <c r="N203" i="97"/>
  <c r="L231" i="97"/>
  <c r="G232" i="97"/>
  <c r="H231" i="97"/>
  <c r="P175" i="97"/>
  <c r="M232" i="97"/>
  <c r="O148" i="97"/>
  <c r="K205" i="97"/>
  <c r="I231" i="97"/>
  <c r="M203" i="97"/>
  <c r="N231" i="97"/>
  <c r="O91" i="97"/>
  <c r="F233" i="97"/>
  <c r="G91" i="97"/>
  <c r="K147" i="97"/>
  <c r="M231" i="97"/>
  <c r="O93" i="97"/>
  <c r="K175" i="97"/>
  <c r="M149" i="97"/>
  <c r="M176" i="97"/>
  <c r="O175" i="97"/>
  <c r="K176" i="97"/>
  <c r="F204" i="97"/>
  <c r="K93" i="97"/>
  <c r="G233" i="97"/>
  <c r="G149" i="97"/>
  <c r="F149" i="97"/>
  <c r="G176" i="97"/>
  <c r="O147" i="97"/>
  <c r="G93" i="97"/>
  <c r="O231" i="97"/>
  <c r="G175" i="97"/>
  <c r="K148" i="97"/>
  <c r="F175" i="97"/>
  <c r="Q177" i="97"/>
  <c r="Q91" i="97"/>
  <c r="P91" i="97"/>
  <c r="Q233" i="97"/>
  <c r="I175" i="97"/>
  <c r="L175" i="97"/>
  <c r="G147" i="97"/>
  <c r="Q232" i="97"/>
  <c r="F232" i="97"/>
  <c r="R231" i="97"/>
  <c r="R147" i="97"/>
  <c r="M175" i="97"/>
  <c r="H175" i="97"/>
  <c r="O205" i="97"/>
  <c r="G148" i="97"/>
  <c r="G203" i="97"/>
  <c r="Q147" i="97"/>
  <c r="G205" i="97"/>
  <c r="H147" i="97"/>
  <c r="O204" i="97"/>
  <c r="J91" i="97"/>
  <c r="M205" i="97"/>
  <c r="R175" i="97"/>
  <c r="I203" i="97"/>
  <c r="O92" i="97"/>
  <c r="Q176" i="97"/>
  <c r="Q204" i="97"/>
  <c r="Q205" i="97"/>
  <c r="J147" i="97"/>
  <c r="Q175" i="97"/>
  <c r="Q148" i="97"/>
  <c r="M148" i="97"/>
  <c r="K92" i="97"/>
  <c r="R91" i="97"/>
  <c r="R203" i="97"/>
  <c r="Q92" i="97"/>
  <c r="Q149" i="97"/>
  <c r="L147" i="97"/>
  <c r="M91" i="97"/>
  <c r="M177" i="97"/>
  <c r="Q203" i="97"/>
  <c r="Q231" i="97"/>
  <c r="Q93" i="97"/>
  <c r="N119" i="97"/>
  <c r="E88" i="97"/>
  <c r="D88" i="97"/>
  <c r="B36" i="105" s="1"/>
  <c r="K85" i="97"/>
  <c r="H33" i="105" s="1"/>
  <c r="M85" i="97"/>
  <c r="J33" i="105" s="1"/>
  <c r="O85" i="97"/>
  <c r="L33" i="105" s="1"/>
  <c r="F85" i="97"/>
  <c r="C33" i="105" s="1"/>
  <c r="P87" i="97"/>
  <c r="M35" i="105" s="1"/>
  <c r="O87" i="97"/>
  <c r="L35" i="105" s="1"/>
  <c r="N87" i="97"/>
  <c r="K35" i="105" s="1"/>
  <c r="M87" i="97"/>
  <c r="J35" i="105" s="1"/>
  <c r="L87" i="97"/>
  <c r="I35" i="105" s="1"/>
  <c r="K87" i="97"/>
  <c r="H35" i="105" s="1"/>
  <c r="J87" i="97"/>
  <c r="G35" i="105" s="1"/>
  <c r="I87" i="97"/>
  <c r="F35" i="105" s="1"/>
  <c r="H87" i="97"/>
  <c r="E35" i="105" s="1"/>
  <c r="F87" i="97"/>
  <c r="C35" i="105" s="1"/>
  <c r="F174" i="97" a="1"/>
  <c r="Q119" i="97" a="1"/>
  <c r="H119" i="97" a="1"/>
  <c r="L119" i="97" a="1"/>
  <c r="G120" i="97" a="1"/>
  <c r="P119" i="97" a="1"/>
  <c r="G119" i="97" a="1"/>
  <c r="K119" i="97" a="1"/>
  <c r="O119" i="97" a="1"/>
  <c r="M119" i="97" a="1"/>
  <c r="F88" i="97" a="1"/>
  <c r="F119" i="97" a="1"/>
  <c r="O121" i="97" a="1"/>
  <c r="I119" i="97" a="1"/>
  <c r="J119" i="97" a="1"/>
  <c r="M121" i="97" a="1"/>
  <c r="M120" i="97" a="1"/>
  <c r="K121" i="97" a="1"/>
  <c r="G121" i="97" a="1"/>
  <c r="F120" i="97" a="1"/>
  <c r="Q121" i="97" a="1"/>
  <c r="O120" i="97" a="1"/>
  <c r="Q120" i="97" a="1"/>
  <c r="F121" i="97" a="1"/>
  <c r="R119" i="97" a="1"/>
  <c r="K120" i="97" a="1"/>
  <c r="F229" i="97" a="1"/>
  <c r="F120" i="97" l="1"/>
  <c r="K121" i="97"/>
  <c r="J119" i="97"/>
  <c r="O119" i="97"/>
  <c r="P119" i="97"/>
  <c r="G121" i="97"/>
  <c r="K119" i="97"/>
  <c r="F119" i="97"/>
  <c r="G119" i="97"/>
  <c r="G120" i="97"/>
  <c r="K120" i="97"/>
  <c r="M120" i="97"/>
  <c r="F121" i="97"/>
  <c r="O121" i="97"/>
  <c r="Q120" i="97"/>
  <c r="Q121" i="97"/>
  <c r="O120" i="97"/>
  <c r="I119" i="97"/>
  <c r="H119" i="97"/>
  <c r="Q119" i="97"/>
  <c r="R119" i="97"/>
  <c r="M119" i="97"/>
  <c r="M121" i="97"/>
  <c r="L119" i="97"/>
  <c r="F229" i="97"/>
  <c r="F174" i="97"/>
  <c r="F88" i="97"/>
  <c r="E116" i="97"/>
  <c r="Q146" i="97" a="1"/>
  <c r="F116" i="97" a="1"/>
  <c r="Q145" i="97" a="1"/>
  <c r="Q200" i="97" a="1"/>
  <c r="Q229" i="97" a="1"/>
  <c r="F201" i="97" a="1"/>
  <c r="F146" i="97" a="1"/>
  <c r="R172" i="97" a="1"/>
  <c r="F117" i="97" a="1"/>
  <c r="F144" i="97" a="1"/>
  <c r="Q230" i="97" a="1"/>
  <c r="Q89" i="97" a="1"/>
  <c r="Q88" i="97" a="1"/>
  <c r="R88" i="97" a="1"/>
  <c r="Q202" i="97" a="1"/>
  <c r="F172" i="97" a="1"/>
  <c r="Q228" i="97" a="1"/>
  <c r="Q174" i="97" a="1"/>
  <c r="R228" i="97" a="1"/>
  <c r="Q90" i="97" a="1"/>
  <c r="R200" i="97" a="1"/>
  <c r="F173" i="97" a="1"/>
  <c r="Q201" i="97" a="1"/>
  <c r="F228" i="97" a="1"/>
  <c r="F90" i="97" a="1"/>
  <c r="F202" i="97" a="1"/>
  <c r="F89" i="97" a="1"/>
  <c r="Q173" i="97" a="1"/>
  <c r="R144" i="97" a="1"/>
  <c r="Q172" i="97" a="1"/>
  <c r="F230" i="97" a="1"/>
  <c r="F118" i="97" a="1"/>
  <c r="F200" i="97" a="1"/>
  <c r="F145" i="97" a="1"/>
  <c r="Q144" i="97" a="1"/>
  <c r="F200" i="97" l="1"/>
  <c r="F145" i="97"/>
  <c r="F89" i="97"/>
  <c r="Q201" i="97"/>
  <c r="Q225" i="97" s="1"/>
  <c r="N49" i="105" s="1"/>
  <c r="R88" i="97"/>
  <c r="R112" i="97" s="1"/>
  <c r="O36" i="105" s="1"/>
  <c r="F202" i="97"/>
  <c r="Q88" i="97"/>
  <c r="Q112" i="97" s="1"/>
  <c r="N36" i="105" s="1"/>
  <c r="Q89" i="97"/>
  <c r="Q113" i="97" s="1"/>
  <c r="N37" i="105" s="1"/>
  <c r="R228" i="97"/>
  <c r="R252" i="97" s="1"/>
  <c r="O51" i="105" s="1"/>
  <c r="F172" i="97"/>
  <c r="R200" i="97"/>
  <c r="R224" i="97" s="1"/>
  <c r="O48" i="105" s="1"/>
  <c r="F173" i="97"/>
  <c r="R172" i="97"/>
  <c r="R196" i="97" s="1"/>
  <c r="O45" i="105" s="1"/>
  <c r="Q173" i="97"/>
  <c r="Q197" i="97" s="1"/>
  <c r="N46" i="105" s="1"/>
  <c r="Q202" i="97"/>
  <c r="Q226" i="97" s="1"/>
  <c r="N50" i="105" s="1"/>
  <c r="F201" i="97"/>
  <c r="F230" i="97"/>
  <c r="Q174" i="97"/>
  <c r="Q198" i="97" s="1"/>
  <c r="N47" i="105" s="1"/>
  <c r="F146" i="97"/>
  <c r="Q229" i="97"/>
  <c r="Q253" i="97" s="1"/>
  <c r="N52" i="105" s="1"/>
  <c r="F90" i="97"/>
  <c r="Q230" i="97"/>
  <c r="Q254" i="97" s="1"/>
  <c r="N53" i="105" s="1"/>
  <c r="F144" i="97"/>
  <c r="Q145" i="97"/>
  <c r="Q169" i="97" s="1"/>
  <c r="N43" i="105" s="1"/>
  <c r="Q172" i="97"/>
  <c r="Q196" i="97" s="1"/>
  <c r="N45" i="105" s="1"/>
  <c r="F228" i="97"/>
  <c r="R144" i="97"/>
  <c r="R168" i="97" s="1"/>
  <c r="O42" i="105" s="1"/>
  <c r="Q146" i="97"/>
  <c r="Q170" i="97" s="1"/>
  <c r="N44" i="105" s="1"/>
  <c r="Q228" i="97"/>
  <c r="Q252" i="97" s="1"/>
  <c r="N51" i="105" s="1"/>
  <c r="Q200" i="97"/>
  <c r="Q224" i="97" s="1"/>
  <c r="N48" i="105" s="1"/>
  <c r="Q90" i="97"/>
  <c r="Q114" i="97" s="1"/>
  <c r="N38" i="105" s="1"/>
  <c r="Q144" i="97"/>
  <c r="Q168" i="97" s="1"/>
  <c r="N42" i="105" s="1"/>
  <c r="F118" i="97"/>
  <c r="F117" i="97"/>
  <c r="F116" i="97"/>
  <c r="Q117" i="97" a="1"/>
  <c r="P116" i="97" a="1"/>
  <c r="R116" i="97" a="1"/>
  <c r="Q116" i="97" a="1"/>
  <c r="Q118" i="97" a="1"/>
  <c r="Q118" i="97" l="1"/>
  <c r="Q142" i="97" s="1"/>
  <c r="N41" i="105" s="1"/>
  <c r="N56" i="105" s="1"/>
  <c r="R116" i="97"/>
  <c r="R140" i="97" s="1"/>
  <c r="O39" i="105" s="1"/>
  <c r="O54" i="105" s="1"/>
  <c r="P116" i="97"/>
  <c r="Q117" i="97"/>
  <c r="Q141" i="97" s="1"/>
  <c r="N40" i="105" s="1"/>
  <c r="N55" i="105" s="1"/>
  <c r="Q116" i="97"/>
  <c r="Q140" i="97" s="1"/>
  <c r="N39" i="105" s="1"/>
  <c r="N54" i="105" s="1"/>
  <c r="AU35" i="106"/>
  <c r="AU29" i="106"/>
  <c r="AU23" i="106"/>
  <c r="AU17" i="106"/>
  <c r="AU11" i="106"/>
  <c r="AU5" i="106"/>
  <c r="AC35" i="106"/>
  <c r="AC29" i="106"/>
  <c r="AC23" i="106"/>
  <c r="AC17" i="106"/>
  <c r="AC11" i="106"/>
  <c r="AC5" i="106"/>
  <c r="CE1" i="106"/>
  <c r="CF1" i="106" s="1"/>
  <c r="BN1" i="106"/>
  <c r="BO1" i="106" s="1"/>
  <c r="BP1" i="106" s="1"/>
  <c r="BQ1" i="106" s="1"/>
  <c r="BR1" i="106" s="1"/>
  <c r="BS1" i="106" s="1"/>
  <c r="BT1" i="106" s="1"/>
  <c r="BU1" i="106" s="1"/>
  <c r="BV1" i="106" s="1"/>
  <c r="BW1" i="106" s="1"/>
  <c r="BX1" i="106" s="1"/>
  <c r="BY1" i="106" s="1"/>
  <c r="BZ1" i="106" s="1"/>
  <c r="AV39" i="106"/>
  <c r="AE23" i="106"/>
  <c r="AE28" i="106"/>
  <c r="AE40" i="106"/>
  <c r="AE25" i="106"/>
  <c r="AV31" i="106"/>
  <c r="AE14" i="106"/>
  <c r="AV18" i="106"/>
  <c r="AE17" i="106"/>
  <c r="AV27" i="106"/>
  <c r="AE36" i="106"/>
  <c r="AV28" i="106"/>
  <c r="AE15" i="106"/>
  <c r="AE32" i="106"/>
  <c r="AE31" i="106"/>
  <c r="AV32" i="106"/>
  <c r="AV15" i="106"/>
  <c r="AV34" i="106"/>
  <c r="AV24" i="106"/>
  <c r="AV22" i="106"/>
  <c r="AV19" i="106"/>
  <c r="AE27" i="106"/>
  <c r="AE24" i="106"/>
  <c r="AV33" i="106"/>
  <c r="AV40" i="106"/>
  <c r="AV21" i="106"/>
  <c r="AE38" i="106"/>
  <c r="AE35" i="106"/>
  <c r="AE37" i="106"/>
  <c r="AV16" i="106"/>
  <c r="AE34" i="106"/>
  <c r="AE11" i="106"/>
  <c r="AE5" i="106"/>
  <c r="AE21" i="106"/>
  <c r="AE16" i="106"/>
  <c r="AV35" i="106"/>
  <c r="AE18" i="106"/>
  <c r="AV29" i="106"/>
  <c r="AV14" i="106"/>
  <c r="AE39" i="106"/>
  <c r="AV5" i="106"/>
  <c r="AE30" i="106"/>
  <c r="AV12" i="106"/>
  <c r="AV20" i="106"/>
  <c r="AV38" i="106"/>
  <c r="AV17" i="106"/>
  <c r="AE33" i="106"/>
  <c r="AV37" i="106"/>
  <c r="AV30" i="106"/>
  <c r="AV13" i="106"/>
  <c r="AE20" i="106"/>
  <c r="AE13" i="106"/>
  <c r="AE26" i="106"/>
  <c r="AV11" i="106"/>
  <c r="AV26" i="106"/>
  <c r="AE19" i="106"/>
  <c r="AE22" i="106"/>
  <c r="AV36" i="106"/>
  <c r="AE29" i="106"/>
  <c r="AV25" i="106"/>
  <c r="AV23" i="106"/>
  <c r="AE12" i="106"/>
  <c r="CG1" i="106" l="1"/>
  <c r="AE46" i="106"/>
  <c r="AW1" i="106"/>
  <c r="AF1" i="106"/>
  <c r="AF24" i="106"/>
  <c r="AF38" i="106"/>
  <c r="AF22" i="106"/>
  <c r="AF13" i="106"/>
  <c r="AF15" i="106"/>
  <c r="AF19" i="106"/>
  <c r="AF18" i="106"/>
  <c r="AF26" i="106"/>
  <c r="AF36" i="106"/>
  <c r="AF21" i="106"/>
  <c r="AF27" i="106"/>
  <c r="AF11" i="106"/>
  <c r="AF35" i="106"/>
  <c r="AF25" i="106"/>
  <c r="AF30" i="106"/>
  <c r="AF33" i="106"/>
  <c r="AF37" i="106"/>
  <c r="AF5" i="106"/>
  <c r="AF17" i="106"/>
  <c r="AW5" i="106"/>
  <c r="AF20" i="106"/>
  <c r="AF32" i="106"/>
  <c r="AF28" i="106"/>
  <c r="AF40" i="106"/>
  <c r="AF23" i="106"/>
  <c r="AF29" i="106"/>
  <c r="AF14" i="106"/>
  <c r="AF12" i="106"/>
  <c r="AF34" i="106"/>
  <c r="AF31" i="106"/>
  <c r="CH1" i="106" l="1"/>
  <c r="AG1" i="106"/>
  <c r="AX1" i="106"/>
  <c r="AD6" i="106"/>
  <c r="AW19" i="106"/>
  <c r="AW11" i="106"/>
  <c r="AG33" i="106"/>
  <c r="AF16" i="106"/>
  <c r="AW13" i="106"/>
  <c r="AG40" i="106"/>
  <c r="AW38" i="106"/>
  <c r="AG17" i="106"/>
  <c r="AG12" i="106"/>
  <c r="AW32" i="106"/>
  <c r="AG18" i="106"/>
  <c r="AW37" i="106"/>
  <c r="AW29" i="106"/>
  <c r="AG5" i="106"/>
  <c r="AG23" i="106"/>
  <c r="AW33" i="106"/>
  <c r="AW12" i="106"/>
  <c r="AF6" i="106"/>
  <c r="AW26" i="106"/>
  <c r="AG6" i="106"/>
  <c r="AG39" i="106"/>
  <c r="AG19" i="106"/>
  <c r="AE6" i="106"/>
  <c r="AW39" i="106"/>
  <c r="AW27" i="106"/>
  <c r="AG36" i="106"/>
  <c r="AG31" i="106"/>
  <c r="AW36" i="106"/>
  <c r="AG14" i="106"/>
  <c r="AW30" i="106"/>
  <c r="AW16" i="106"/>
  <c r="AW14" i="106"/>
  <c r="AG11" i="106"/>
  <c r="AW21" i="106"/>
  <c r="AW31" i="106"/>
  <c r="AW24" i="106"/>
  <c r="AW28" i="106"/>
  <c r="AW18" i="106"/>
  <c r="AW35" i="106"/>
  <c r="AW25" i="106"/>
  <c r="AG29" i="106"/>
  <c r="AG27" i="106"/>
  <c r="AW17" i="106"/>
  <c r="AW15" i="106"/>
  <c r="AF39" i="106"/>
  <c r="AG26" i="106"/>
  <c r="AG37" i="106"/>
  <c r="AG16" i="106"/>
  <c r="AG22" i="106"/>
  <c r="AW23" i="106"/>
  <c r="AG30" i="106"/>
  <c r="AX5" i="106"/>
  <c r="AG35" i="106"/>
  <c r="AG34" i="106"/>
  <c r="AW34" i="106"/>
  <c r="AG32" i="106"/>
  <c r="AG21" i="106"/>
  <c r="AG15" i="106"/>
  <c r="AW40" i="106"/>
  <c r="AG24" i="106"/>
  <c r="AW22" i="106"/>
  <c r="AW20" i="106"/>
  <c r="AG25" i="106"/>
  <c r="AG28" i="106"/>
  <c r="CI1" i="106" l="1"/>
  <c r="AY1" i="106"/>
  <c r="AH1" i="106"/>
  <c r="AD7" i="106"/>
  <c r="AH14" i="106"/>
  <c r="AG38" i="106"/>
  <c r="AG7" i="106"/>
  <c r="AX6" i="106"/>
  <c r="AX22" i="106"/>
  <c r="AX16" i="106"/>
  <c r="AX26" i="106"/>
  <c r="AX32" i="106"/>
  <c r="AH32" i="106"/>
  <c r="AX17" i="106"/>
  <c r="AX20" i="106"/>
  <c r="AX15" i="106"/>
  <c r="AX31" i="106"/>
  <c r="AG13" i="106"/>
  <c r="AX39" i="106"/>
  <c r="AX34" i="106"/>
  <c r="AX13" i="106"/>
  <c r="AH7" i="106"/>
  <c r="AX14" i="106"/>
  <c r="AH13" i="106"/>
  <c r="AX33" i="106"/>
  <c r="AX27" i="106"/>
  <c r="AH12" i="106"/>
  <c r="AH26" i="106"/>
  <c r="AX11" i="106"/>
  <c r="AH18" i="106"/>
  <c r="AV6" i="106"/>
  <c r="AE7" i="106"/>
  <c r="AX38" i="106"/>
  <c r="AH20" i="106"/>
  <c r="AX36" i="106"/>
  <c r="AH38" i="106"/>
  <c r="AW6" i="106"/>
  <c r="AH16" i="106"/>
  <c r="AG20" i="106"/>
  <c r="AH39" i="106"/>
  <c r="AH40" i="106"/>
  <c r="AX35" i="106"/>
  <c r="AX12" i="106"/>
  <c r="AH15" i="106"/>
  <c r="AH6" i="106"/>
  <c r="AH11" i="106"/>
  <c r="AX21" i="106"/>
  <c r="AX40" i="106"/>
  <c r="AX23" i="106"/>
  <c r="AY5" i="106"/>
  <c r="AX37" i="106"/>
  <c r="AF7" i="106"/>
  <c r="AX25" i="106"/>
  <c r="AX24" i="106"/>
  <c r="AX30" i="106"/>
  <c r="AX19" i="106"/>
  <c r="AX29" i="106"/>
  <c r="AX18" i="106"/>
  <c r="AH21" i="106"/>
  <c r="AH35" i="106"/>
  <c r="AX28" i="106"/>
  <c r="CJ1" i="106" l="1"/>
  <c r="AI1" i="106"/>
  <c r="AZ1" i="106"/>
  <c r="AD8" i="106"/>
  <c r="D79" i="97"/>
  <c r="D78" i="97"/>
  <c r="D77" i="97"/>
  <c r="D76" i="97"/>
  <c r="D75" i="97"/>
  <c r="D74" i="97"/>
  <c r="D73" i="97"/>
  <c r="AJ58" i="94"/>
  <c r="D72" i="97"/>
  <c r="AK60" i="94"/>
  <c r="AJ60" i="94"/>
  <c r="S60" i="94"/>
  <c r="R60" i="94"/>
  <c r="AK59" i="94"/>
  <c r="AJ59" i="94"/>
  <c r="S59" i="94"/>
  <c r="R59" i="94"/>
  <c r="AK58" i="94"/>
  <c r="S58" i="94"/>
  <c r="R58" i="94"/>
  <c r="AK57" i="94"/>
  <c r="AJ57" i="94"/>
  <c r="S57" i="94"/>
  <c r="R57" i="94"/>
  <c r="U56" i="94"/>
  <c r="C56" i="94"/>
  <c r="AL6" i="94"/>
  <c r="AM6" i="94"/>
  <c r="AL7" i="94"/>
  <c r="AM7" i="94"/>
  <c r="AL8" i="94"/>
  <c r="AM8" i="94"/>
  <c r="AL9" i="94"/>
  <c r="AM9" i="94"/>
  <c r="AL10" i="94"/>
  <c r="AM10" i="94"/>
  <c r="AL11" i="94"/>
  <c r="AM11" i="94"/>
  <c r="AL12" i="94"/>
  <c r="AM12" i="94"/>
  <c r="AL13" i="94"/>
  <c r="AM13" i="94"/>
  <c r="AL14" i="94"/>
  <c r="AM14" i="94"/>
  <c r="AL15" i="94"/>
  <c r="AM15" i="94"/>
  <c r="AL16" i="94"/>
  <c r="AM16" i="94"/>
  <c r="AL17" i="94"/>
  <c r="AM17" i="94"/>
  <c r="AL18" i="94"/>
  <c r="AM18" i="94"/>
  <c r="AL19" i="94"/>
  <c r="AM19" i="94"/>
  <c r="AL20" i="94"/>
  <c r="AM20" i="94"/>
  <c r="AL21" i="94"/>
  <c r="AM21" i="94"/>
  <c r="AL22" i="94"/>
  <c r="AM22" i="94"/>
  <c r="AL23" i="94"/>
  <c r="AM23" i="94"/>
  <c r="AL24" i="94"/>
  <c r="AM24" i="94"/>
  <c r="AL25" i="94"/>
  <c r="AM25" i="94"/>
  <c r="AL26" i="94"/>
  <c r="AM26" i="94"/>
  <c r="AL27" i="94"/>
  <c r="AM27" i="94"/>
  <c r="AL28" i="94"/>
  <c r="AM28" i="94"/>
  <c r="AL29" i="94"/>
  <c r="AM29" i="94"/>
  <c r="AL30" i="94"/>
  <c r="AM30" i="94"/>
  <c r="AL31" i="94"/>
  <c r="AM31" i="94"/>
  <c r="AL32" i="94"/>
  <c r="AM32" i="94"/>
  <c r="AL33" i="94"/>
  <c r="AM33" i="94"/>
  <c r="AL34" i="94"/>
  <c r="AM34" i="94"/>
  <c r="AL35" i="94"/>
  <c r="AM35" i="94"/>
  <c r="AL36" i="94"/>
  <c r="AM36" i="94"/>
  <c r="AL37" i="94"/>
  <c r="AM37" i="94"/>
  <c r="AL38" i="94"/>
  <c r="AM38" i="94"/>
  <c r="AL39" i="94"/>
  <c r="AM39" i="94"/>
  <c r="AL40" i="94"/>
  <c r="AM40" i="94"/>
  <c r="AM5" i="94"/>
  <c r="AL5" i="94"/>
  <c r="S8" i="105"/>
  <c r="R8" i="105"/>
  <c r="Q8" i="105"/>
  <c r="P8" i="105"/>
  <c r="O8" i="105"/>
  <c r="N8" i="105"/>
  <c r="M8" i="105"/>
  <c r="L8" i="105"/>
  <c r="K8" i="105"/>
  <c r="J8" i="105"/>
  <c r="H8" i="105"/>
  <c r="G8" i="105"/>
  <c r="F8" i="105"/>
  <c r="E8" i="105"/>
  <c r="AH31" i="106"/>
  <c r="AH28" i="106"/>
  <c r="AY22" i="106"/>
  <c r="AH36" i="106"/>
  <c r="H76" i="97" a="1"/>
  <c r="AH29" i="106"/>
  <c r="AY19" i="106"/>
  <c r="AF8" i="106"/>
  <c r="AH33" i="106"/>
  <c r="O77" i="97" a="1"/>
  <c r="AH25" i="106"/>
  <c r="H74" i="97" a="1"/>
  <c r="AE8" i="106"/>
  <c r="AY34" i="106"/>
  <c r="AY20" i="106"/>
  <c r="AH19" i="106"/>
  <c r="AV7" i="106"/>
  <c r="AH24" i="106"/>
  <c r="AH22" i="106"/>
  <c r="AY36" i="106"/>
  <c r="AY25" i="106"/>
  <c r="AY35" i="106"/>
  <c r="AH34" i="106"/>
  <c r="AH30" i="106"/>
  <c r="AH27" i="106"/>
  <c r="AH23" i="106"/>
  <c r="N77" i="97" a="1"/>
  <c r="AY28" i="106"/>
  <c r="H75" i="97" a="1"/>
  <c r="AY12" i="106"/>
  <c r="E76" i="97" a="1"/>
  <c r="AY30" i="106"/>
  <c r="O74" i="97" a="1"/>
  <c r="AY18" i="106"/>
  <c r="AY23" i="106"/>
  <c r="AY17" i="106"/>
  <c r="AY39" i="106"/>
  <c r="H79" i="97" a="1"/>
  <c r="AH5" i="106"/>
  <c r="AY40" i="106"/>
  <c r="AH17" i="106"/>
  <c r="AY6" i="106"/>
  <c r="AY38" i="106"/>
  <c r="AW7" i="106"/>
  <c r="AY27" i="106"/>
  <c r="O76" i="97" a="1"/>
  <c r="AY13" i="106"/>
  <c r="AH37" i="106"/>
  <c r="AY33" i="106"/>
  <c r="AY32" i="106"/>
  <c r="O75" i="97" a="1"/>
  <c r="AY14" i="106"/>
  <c r="AY15" i="106"/>
  <c r="AY31" i="106"/>
  <c r="H73" i="97" a="1"/>
  <c r="AY7" i="106"/>
  <c r="AY37" i="106"/>
  <c r="O78" i="97" a="1"/>
  <c r="AY29" i="106"/>
  <c r="AY21" i="106"/>
  <c r="AY16" i="106"/>
  <c r="AX7" i="106"/>
  <c r="AY24" i="106"/>
  <c r="AY11" i="106"/>
  <c r="AY26" i="106"/>
  <c r="N77" i="97" l="1"/>
  <c r="AM56" i="94"/>
  <c r="AM59" i="94"/>
  <c r="AL59" i="94"/>
  <c r="AJ61" i="94"/>
  <c r="AK61" i="94"/>
  <c r="AL57" i="94"/>
  <c r="AL60" i="94"/>
  <c r="AM57" i="94"/>
  <c r="AM60" i="94"/>
  <c r="AL58" i="94"/>
  <c r="AM58" i="94"/>
  <c r="O75" i="97"/>
  <c r="O76" i="97"/>
  <c r="O78" i="97"/>
  <c r="O77" i="97"/>
  <c r="O74" i="97"/>
  <c r="AA7" i="106"/>
  <c r="AA11" i="106"/>
  <c r="AA8" i="106"/>
  <c r="AA10" i="106"/>
  <c r="AA4" i="106"/>
  <c r="AA9" i="106"/>
  <c r="AA5" i="106"/>
  <c r="AA6" i="106"/>
  <c r="CK1" i="106"/>
  <c r="BA1" i="106"/>
  <c r="AJ1" i="106"/>
  <c r="AD9" i="106"/>
  <c r="H79" i="97"/>
  <c r="H76" i="97"/>
  <c r="E76" i="97"/>
  <c r="H75" i="97"/>
  <c r="H74" i="97"/>
  <c r="H73" i="97"/>
  <c r="F74" i="97" a="1"/>
  <c r="E73" i="97" a="1"/>
  <c r="L72" i="97" a="1"/>
  <c r="M76" i="97" a="1"/>
  <c r="AJ23" i="106"/>
  <c r="L74" i="97" a="1"/>
  <c r="G79" i="97" a="1"/>
  <c r="E75" i="97" a="1"/>
  <c r="K76" i="97" a="1"/>
  <c r="F72" i="97" a="1"/>
  <c r="L78" i="97" a="1"/>
  <c r="E8" i="97" a="1"/>
  <c r="E26" i="97" a="1"/>
  <c r="K74" i="97" a="1"/>
  <c r="G72" i="97" a="1"/>
  <c r="L77" i="97" a="1"/>
  <c r="I73" i="97" a="1"/>
  <c r="M77" i="97" a="1"/>
  <c r="AJ31" i="106"/>
  <c r="F75" i="97" a="1"/>
  <c r="J78" i="97" a="1"/>
  <c r="N72" i="97" a="1"/>
  <c r="I79" i="97" a="1"/>
  <c r="AH9" i="106"/>
  <c r="K72" i="97" a="1"/>
  <c r="F79" i="97" a="1"/>
  <c r="F78" i="97" a="1"/>
  <c r="AH8" i="106"/>
  <c r="M79" i="97" a="1"/>
  <c r="N74" i="97" a="1"/>
  <c r="I76" i="97" a="1"/>
  <c r="AY8" i="106"/>
  <c r="E25" i="97" a="1"/>
  <c r="AX8" i="106"/>
  <c r="M73" i="97" a="1"/>
  <c r="E18" i="97" a="1"/>
  <c r="M78" i="97" a="1"/>
  <c r="AG8" i="106"/>
  <c r="J76" i="97" a="1"/>
  <c r="E19" i="97" a="1"/>
  <c r="G75" i="97" a="1"/>
  <c r="E16" i="97" a="1"/>
  <c r="AJ33" i="106"/>
  <c r="G74" i="97" a="1"/>
  <c r="BA5" i="106"/>
  <c r="N78" i="97" a="1"/>
  <c r="AV8" i="106"/>
  <c r="K75" i="97" a="1"/>
  <c r="N73" i="97" a="1"/>
  <c r="J77" i="97" a="1"/>
  <c r="J79" i="97" a="1"/>
  <c r="AJ26" i="106"/>
  <c r="O72" i="97" a="1"/>
  <c r="E28" i="97" a="1"/>
  <c r="E20" i="97" a="1"/>
  <c r="O79" i="97" a="1"/>
  <c r="E9" i="97" a="1"/>
  <c r="K78" i="97" a="1"/>
  <c r="K73" i="97" a="1"/>
  <c r="I77" i="97" a="1"/>
  <c r="I72" i="97" a="1"/>
  <c r="E13" i="97" a="1"/>
  <c r="AJ6" i="106"/>
  <c r="M74" i="97" a="1"/>
  <c r="J72" i="97" a="1"/>
  <c r="M72" i="97" a="1"/>
  <c r="J73" i="97" a="1"/>
  <c r="AW8" i="106"/>
  <c r="L76" i="97" a="1"/>
  <c r="L75" i="97" a="1"/>
  <c r="K77" i="97" a="1"/>
  <c r="E79" i="97" a="1"/>
  <c r="J75" i="97" a="1"/>
  <c r="E17" i="97" a="1"/>
  <c r="AJ21" i="106"/>
  <c r="N76" i="97" a="1"/>
  <c r="E14" i="97" a="1"/>
  <c r="E78" i="97" a="1"/>
  <c r="E11" i="97" a="1"/>
  <c r="BA8" i="106"/>
  <c r="O73" i="97" a="1"/>
  <c r="E27" i="97" a="1"/>
  <c r="AJ13" i="106"/>
  <c r="E24" i="97" a="1"/>
  <c r="E10" i="97" a="1"/>
  <c r="E74" i="97" a="1"/>
  <c r="F76" i="97" a="1"/>
  <c r="E12" i="97" a="1"/>
  <c r="E22" i="97" a="1"/>
  <c r="L73" i="97" a="1"/>
  <c r="J74" i="97" a="1"/>
  <c r="H72" i="97" a="1"/>
  <c r="L79" i="97" a="1"/>
  <c r="G73" i="97" a="1"/>
  <c r="AJ7" i="106"/>
  <c r="G76" i="97" a="1"/>
  <c r="E15" i="97" a="1"/>
  <c r="E77" i="97" a="1"/>
  <c r="M75" i="97" a="1"/>
  <c r="E21" i="97" a="1"/>
  <c r="F73" i="97" a="1"/>
  <c r="E72" i="97" a="1"/>
  <c r="N79" i="97" a="1"/>
  <c r="G77" i="97" a="1"/>
  <c r="E23" i="97" a="1"/>
  <c r="I74" i="97" a="1"/>
  <c r="K79" i="97" a="1"/>
  <c r="H77" i="97" a="1"/>
  <c r="G78" i="97" a="1"/>
  <c r="F77" i="97" a="1"/>
  <c r="I78" i="97" a="1"/>
  <c r="AJ18" i="106"/>
  <c r="H78" i="97" a="1"/>
  <c r="N75" i="97" a="1"/>
  <c r="I75" i="97" a="1"/>
  <c r="H77" i="97" l="1"/>
  <c r="E79" i="97"/>
  <c r="H78" i="97"/>
  <c r="M79" i="97"/>
  <c r="O73" i="97"/>
  <c r="O79" i="97"/>
  <c r="O72" i="97"/>
  <c r="O80" i="97" s="1"/>
  <c r="M28" i="105" s="1"/>
  <c r="K72" i="97"/>
  <c r="L72" i="97"/>
  <c r="J72" i="97"/>
  <c r="I72" i="97"/>
  <c r="N72" i="97"/>
  <c r="H72" i="97"/>
  <c r="M72" i="97"/>
  <c r="F72" i="97"/>
  <c r="G72" i="97"/>
  <c r="E72" i="97"/>
  <c r="CL1" i="106"/>
  <c r="AK1" i="106"/>
  <c r="BB1" i="106"/>
  <c r="AD10" i="106"/>
  <c r="J79" i="97"/>
  <c r="I79" i="97"/>
  <c r="I77" i="97"/>
  <c r="I76" i="97"/>
  <c r="J75" i="97"/>
  <c r="I75" i="97"/>
  <c r="J74" i="97"/>
  <c r="I74" i="97"/>
  <c r="J73" i="97"/>
  <c r="G79" i="97"/>
  <c r="N79" i="97"/>
  <c r="F79" i="97"/>
  <c r="L79" i="97"/>
  <c r="K79" i="97"/>
  <c r="G78" i="97"/>
  <c r="N78" i="97"/>
  <c r="F78" i="97"/>
  <c r="M78" i="97"/>
  <c r="E78" i="97"/>
  <c r="L78" i="97"/>
  <c r="K78" i="97"/>
  <c r="J78" i="97"/>
  <c r="I78" i="97"/>
  <c r="G76" i="97"/>
  <c r="N76" i="97"/>
  <c r="F76" i="97"/>
  <c r="M76" i="97"/>
  <c r="L76" i="97"/>
  <c r="K76" i="97"/>
  <c r="J76" i="97"/>
  <c r="G77" i="97"/>
  <c r="F77" i="97"/>
  <c r="M77" i="97"/>
  <c r="E77" i="97"/>
  <c r="L77" i="97"/>
  <c r="K77" i="97"/>
  <c r="J77" i="97"/>
  <c r="G75" i="97"/>
  <c r="N75" i="97"/>
  <c r="F75" i="97"/>
  <c r="M75" i="97"/>
  <c r="E75" i="97"/>
  <c r="L75" i="97"/>
  <c r="K75" i="97"/>
  <c r="G74" i="97"/>
  <c r="N74" i="97"/>
  <c r="F74" i="97"/>
  <c r="M74" i="97"/>
  <c r="E74" i="97"/>
  <c r="L74" i="97"/>
  <c r="K74" i="97"/>
  <c r="G73" i="97"/>
  <c r="N73" i="97"/>
  <c r="F73" i="97"/>
  <c r="M73" i="97"/>
  <c r="E73" i="97"/>
  <c r="L73" i="97"/>
  <c r="K73" i="97"/>
  <c r="I73" i="97"/>
  <c r="E27" i="97"/>
  <c r="E28" i="97"/>
  <c r="E26" i="97"/>
  <c r="E25" i="97"/>
  <c r="E23" i="97"/>
  <c r="E24" i="97"/>
  <c r="E22" i="97"/>
  <c r="E21" i="97"/>
  <c r="E20" i="97"/>
  <c r="E18" i="97"/>
  <c r="E19" i="97"/>
  <c r="E17" i="97"/>
  <c r="E16" i="97"/>
  <c r="E15" i="97"/>
  <c r="E14" i="97"/>
  <c r="E13" i="97"/>
  <c r="E12" i="97"/>
  <c r="E11" i="97"/>
  <c r="E9" i="97"/>
  <c r="E10" i="97"/>
  <c r="E8" i="97"/>
  <c r="BA7" i="106"/>
  <c r="AJ39" i="106"/>
  <c r="AJ24" i="106"/>
  <c r="AH10" i="106"/>
  <c r="BA32" i="106"/>
  <c r="AJ30" i="106"/>
  <c r="BA37" i="106"/>
  <c r="AK17" i="106"/>
  <c r="AJ11" i="106"/>
  <c r="AK12" i="106"/>
  <c r="AK23" i="106"/>
  <c r="BA39" i="106"/>
  <c r="AK10" i="106"/>
  <c r="AK14" i="106"/>
  <c r="BB9" i="106"/>
  <c r="AY9" i="106"/>
  <c r="BA17" i="106"/>
  <c r="BA23" i="106"/>
  <c r="AK5" i="106"/>
  <c r="BA22" i="106"/>
  <c r="BA15" i="106"/>
  <c r="BA21" i="106"/>
  <c r="BA28" i="106"/>
  <c r="AK6" i="106"/>
  <c r="AK25" i="106"/>
  <c r="AJ40" i="106"/>
  <c r="AV9" i="106"/>
  <c r="BA33" i="106"/>
  <c r="BA18" i="106"/>
  <c r="BA31" i="106"/>
  <c r="AJ28" i="106"/>
  <c r="AK30" i="106"/>
  <c r="AJ16" i="106"/>
  <c r="AK15" i="106"/>
  <c r="AJ17" i="106"/>
  <c r="AJ34" i="106"/>
  <c r="AJ22" i="106"/>
  <c r="AE10" i="106"/>
  <c r="AK24" i="106"/>
  <c r="BA14" i="106"/>
  <c r="BA36" i="106"/>
  <c r="AJ29" i="106"/>
  <c r="AJ9" i="106"/>
  <c r="BA12" i="106"/>
  <c r="AJ10" i="106"/>
  <c r="AG9" i="106"/>
  <c r="BA30" i="106"/>
  <c r="AJ32" i="106"/>
  <c r="AF9" i="106"/>
  <c r="AW9" i="106"/>
  <c r="BA16" i="106"/>
  <c r="AJ25" i="106"/>
  <c r="BA19" i="106"/>
  <c r="BB5" i="106"/>
  <c r="BA26" i="106"/>
  <c r="BA27" i="106"/>
  <c r="AJ35" i="106"/>
  <c r="BA38" i="106"/>
  <c r="AJ37" i="106"/>
  <c r="AJ12" i="106"/>
  <c r="BA11" i="106"/>
  <c r="BA13" i="106"/>
  <c r="AJ38" i="106"/>
  <c r="AJ36" i="106"/>
  <c r="AJ8" i="106"/>
  <c r="AK40" i="106"/>
  <c r="BA24" i="106"/>
  <c r="AK32" i="106"/>
  <c r="AK8" i="106"/>
  <c r="BA9" i="106"/>
  <c r="AE9" i="106"/>
  <c r="AJ14" i="106"/>
  <c r="BA40" i="106"/>
  <c r="AK19" i="106"/>
  <c r="AJ15" i="106"/>
  <c r="AJ20" i="106"/>
  <c r="BA6" i="106"/>
  <c r="AJ5" i="106"/>
  <c r="AX9" i="106"/>
  <c r="AK13" i="106"/>
  <c r="BA20" i="106"/>
  <c r="AJ27" i="106"/>
  <c r="BA35" i="106"/>
  <c r="AK39" i="106"/>
  <c r="BA34" i="106"/>
  <c r="AJ19" i="106"/>
  <c r="AK38" i="106"/>
  <c r="BA29" i="106"/>
  <c r="BA25" i="106"/>
  <c r="AF10" i="106"/>
  <c r="AK34" i="106"/>
  <c r="H80" i="97" l="1"/>
  <c r="F28" i="105" s="1"/>
  <c r="CM1" i="106"/>
  <c r="BC1" i="106"/>
  <c r="AL1" i="106"/>
  <c r="I80" i="97"/>
  <c r="G28" i="105" s="1"/>
  <c r="N80" i="97"/>
  <c r="L28" i="105" s="1"/>
  <c r="M80" i="97"/>
  <c r="K28" i="105" s="1"/>
  <c r="L80" i="97"/>
  <c r="J28" i="105" s="1"/>
  <c r="K80" i="97"/>
  <c r="I28" i="105" s="1"/>
  <c r="J80" i="97"/>
  <c r="H28" i="105" s="1"/>
  <c r="F80" i="97"/>
  <c r="D28" i="105" s="1"/>
  <c r="G80" i="97"/>
  <c r="E28" i="105" s="1"/>
  <c r="E80" i="97"/>
  <c r="C28" i="105" s="1"/>
  <c r="AK18" i="106"/>
  <c r="AK27" i="106"/>
  <c r="BB27" i="106"/>
  <c r="AK29" i="106"/>
  <c r="AX10" i="106"/>
  <c r="BB30" i="106"/>
  <c r="AK20" i="106"/>
  <c r="BC5" i="106"/>
  <c r="BB38" i="106"/>
  <c r="AK31" i="106"/>
  <c r="BB13" i="106"/>
  <c r="AK21" i="106"/>
  <c r="BB28" i="106"/>
  <c r="BB15" i="106"/>
  <c r="BB11" i="106"/>
  <c r="BB26" i="106"/>
  <c r="AK22" i="106"/>
  <c r="BB24" i="106"/>
  <c r="BB7" i="106"/>
  <c r="BB16" i="106"/>
  <c r="BB40" i="106"/>
  <c r="BB6" i="106"/>
  <c r="AK33" i="106"/>
  <c r="AG10" i="106"/>
  <c r="BB32" i="106"/>
  <c r="AK36" i="106"/>
  <c r="AK37" i="106"/>
  <c r="AY10" i="106"/>
  <c r="AL15" i="106"/>
  <c r="BB31" i="106"/>
  <c r="AK28" i="106"/>
  <c r="BB14" i="106"/>
  <c r="BB22" i="106"/>
  <c r="BB8" i="106"/>
  <c r="AK26" i="106"/>
  <c r="BB19" i="106"/>
  <c r="AK7" i="106"/>
  <c r="BB29" i="106"/>
  <c r="BB37" i="106"/>
  <c r="AK9" i="106"/>
  <c r="BB18" i="106"/>
  <c r="AW10" i="106"/>
  <c r="BB33" i="106"/>
  <c r="BA10" i="106"/>
  <c r="BB20" i="106"/>
  <c r="BB17" i="106"/>
  <c r="BB39" i="106"/>
  <c r="BB23" i="106"/>
  <c r="BB35" i="106"/>
  <c r="BB36" i="106"/>
  <c r="AK16" i="106"/>
  <c r="AK11" i="106"/>
  <c r="AK35" i="106"/>
  <c r="BB25" i="106"/>
  <c r="BB10" i="106"/>
  <c r="BB12" i="106"/>
  <c r="BB34" i="106"/>
  <c r="BB21" i="106"/>
  <c r="AV10" i="106"/>
  <c r="AK51" i="106" l="1"/>
  <c r="AK54" i="106" s="1"/>
  <c r="AK50" i="106"/>
  <c r="AK53" i="106" s="1"/>
  <c r="AF50" i="106"/>
  <c r="AF53" i="106" s="1"/>
  <c r="AF51" i="106"/>
  <c r="AF54" i="106" s="1"/>
  <c r="AH51" i="106"/>
  <c r="AH54" i="106" s="1"/>
  <c r="AH50" i="106"/>
  <c r="AH53" i="106" s="1"/>
  <c r="AG50" i="106"/>
  <c r="AG53" i="106" s="1"/>
  <c r="AG51" i="106"/>
  <c r="AG54" i="106" s="1"/>
  <c r="AJ51" i="106"/>
  <c r="AJ54" i="106" s="1"/>
  <c r="AJ50" i="106"/>
  <c r="AJ53" i="106" s="1"/>
  <c r="AE51" i="106"/>
  <c r="AE54" i="106" s="1"/>
  <c r="AE50" i="106"/>
  <c r="AE53" i="106" s="1"/>
  <c r="CN1" i="106"/>
  <c r="AM1" i="106"/>
  <c r="BD1" i="106"/>
  <c r="BC15" i="106"/>
  <c r="AL6" i="106"/>
  <c r="AL14" i="106"/>
  <c r="AL39" i="106"/>
  <c r="BC20" i="106"/>
  <c r="AL33" i="106"/>
  <c r="AL19" i="106"/>
  <c r="AL31" i="106"/>
  <c r="BC22" i="106"/>
  <c r="BC7" i="106"/>
  <c r="BC8" i="106"/>
  <c r="BC39" i="106"/>
  <c r="AL27" i="106"/>
  <c r="AL24" i="106"/>
  <c r="BC38" i="106"/>
  <c r="BC37" i="106"/>
  <c r="BC32" i="106"/>
  <c r="BC14" i="106"/>
  <c r="AL11" i="106"/>
  <c r="BC27" i="106"/>
  <c r="AL25" i="106"/>
  <c r="BC29" i="106"/>
  <c r="AL23" i="106"/>
  <c r="BC24" i="106"/>
  <c r="BC18" i="106"/>
  <c r="AL13" i="106"/>
  <c r="AM11" i="106"/>
  <c r="BC10" i="106"/>
  <c r="BC9" i="106"/>
  <c r="AL35" i="106"/>
  <c r="BC6" i="106"/>
  <c r="AL34" i="106"/>
  <c r="AM40" i="106"/>
  <c r="BC19" i="106"/>
  <c r="AL12" i="106"/>
  <c r="BC36" i="106"/>
  <c r="BC12" i="106"/>
  <c r="AL29" i="106"/>
  <c r="BD5" i="106"/>
  <c r="AL21" i="106"/>
  <c r="AL37" i="106"/>
  <c r="BC28" i="106"/>
  <c r="AL18" i="106"/>
  <c r="AL30" i="106"/>
  <c r="AL20" i="106"/>
  <c r="AM31" i="106"/>
  <c r="AL26" i="106"/>
  <c r="BC13" i="106"/>
  <c r="AL22" i="106"/>
  <c r="AL36" i="106"/>
  <c r="BC17" i="106"/>
  <c r="BC16" i="106"/>
  <c r="AL38" i="106"/>
  <c r="AL9" i="106"/>
  <c r="BC30" i="106"/>
  <c r="AL16" i="106"/>
  <c r="BC25" i="106"/>
  <c r="AL10" i="106"/>
  <c r="AL5" i="106"/>
  <c r="AL17" i="106"/>
  <c r="AL8" i="106"/>
  <c r="BC35" i="106"/>
  <c r="AL7" i="106"/>
  <c r="BC40" i="106"/>
  <c r="BC26" i="106"/>
  <c r="BC33" i="106"/>
  <c r="AL28" i="106"/>
  <c r="BC23" i="106"/>
  <c r="AL40" i="106"/>
  <c r="AM23" i="106"/>
  <c r="BC34" i="106"/>
  <c r="BC21" i="106"/>
  <c r="BC31" i="106"/>
  <c r="AL32" i="106"/>
  <c r="BC11" i="106"/>
  <c r="AL50" i="106" l="1"/>
  <c r="AL53" i="106" s="1"/>
  <c r="AL51" i="106"/>
  <c r="AL54" i="106" s="1"/>
  <c r="AE56" i="106"/>
  <c r="CO1" i="106"/>
  <c r="BE1" i="106"/>
  <c r="AN1" i="106"/>
  <c r="AM32" i="106"/>
  <c r="BD22" i="106"/>
  <c r="BD38" i="106"/>
  <c r="AN24" i="106"/>
  <c r="BD37" i="106"/>
  <c r="BD39" i="106"/>
  <c r="AM12" i="106"/>
  <c r="AN34" i="106"/>
  <c r="BD28" i="106"/>
  <c r="AM5" i="106"/>
  <c r="AM14" i="106"/>
  <c r="AM36" i="106"/>
  <c r="AN36" i="106"/>
  <c r="AN39" i="106"/>
  <c r="AM15" i="106"/>
  <c r="AN21" i="106"/>
  <c r="AN17" i="106"/>
  <c r="AN37" i="106"/>
  <c r="AM18" i="106"/>
  <c r="BD11" i="106"/>
  <c r="AM20" i="106"/>
  <c r="AM22" i="106"/>
  <c r="AN40" i="106"/>
  <c r="AN32" i="106"/>
  <c r="AN18" i="106"/>
  <c r="BD27" i="106"/>
  <c r="AN16" i="106"/>
  <c r="BD12" i="106"/>
  <c r="AM25" i="106"/>
  <c r="BD25" i="106"/>
  <c r="AN38" i="106"/>
  <c r="AM19" i="106"/>
  <c r="AM17" i="106"/>
  <c r="AM34" i="106"/>
  <c r="AM37" i="106"/>
  <c r="AM26" i="106"/>
  <c r="AM35" i="106"/>
  <c r="BD40" i="106"/>
  <c r="BD19" i="106"/>
  <c r="AN22" i="106"/>
  <c r="AM24" i="106"/>
  <c r="BD23" i="106"/>
  <c r="AN35" i="106"/>
  <c r="AM16" i="106"/>
  <c r="BD33" i="106"/>
  <c r="AN6" i="106"/>
  <c r="BD8" i="106"/>
  <c r="BD13" i="106"/>
  <c r="AN7" i="106"/>
  <c r="BD14" i="106"/>
  <c r="AN28" i="106"/>
  <c r="BD35" i="106"/>
  <c r="AM29" i="106"/>
  <c r="AM13" i="106"/>
  <c r="BD16" i="106"/>
  <c r="AN15" i="106"/>
  <c r="AM27" i="106"/>
  <c r="AN26" i="106"/>
  <c r="AM10" i="106"/>
  <c r="BD29" i="106"/>
  <c r="AM6" i="106"/>
  <c r="BD10" i="106"/>
  <c r="AM9" i="106"/>
  <c r="AM8" i="106"/>
  <c r="BE5" i="106"/>
  <c r="BD15" i="106"/>
  <c r="AM28" i="106"/>
  <c r="BD24" i="106"/>
  <c r="AN27" i="106"/>
  <c r="BD21" i="106"/>
  <c r="AN14" i="106"/>
  <c r="BD9" i="106"/>
  <c r="AN25" i="106"/>
  <c r="AM21" i="106"/>
  <c r="BD7" i="106"/>
  <c r="BD36" i="106"/>
  <c r="AM7" i="106"/>
  <c r="AN23" i="106"/>
  <c r="AM39" i="106"/>
  <c r="BD26" i="106"/>
  <c r="AM38" i="106"/>
  <c r="BD32" i="106"/>
  <c r="AN10" i="106"/>
  <c r="BD34" i="106"/>
  <c r="AN8" i="106"/>
  <c r="AN13" i="106"/>
  <c r="AM30" i="106"/>
  <c r="BD17" i="106"/>
  <c r="AM33" i="106"/>
  <c r="BD6" i="106"/>
  <c r="BD31" i="106"/>
  <c r="BD20" i="106"/>
  <c r="BD30" i="106"/>
  <c r="BD18" i="106"/>
  <c r="AM51" i="106" l="1"/>
  <c r="AM54" i="106" s="1"/>
  <c r="AM50" i="106"/>
  <c r="AM53" i="106" s="1"/>
  <c r="CP1" i="106"/>
  <c r="AO1" i="106"/>
  <c r="BF1" i="106"/>
  <c r="BE6" i="106"/>
  <c r="BE18" i="106"/>
  <c r="AO8" i="106"/>
  <c r="AN9" i="106"/>
  <c r="BE34" i="106"/>
  <c r="AN20" i="106"/>
  <c r="BE33" i="106"/>
  <c r="BE21" i="106"/>
  <c r="AO34" i="106"/>
  <c r="BE22" i="106"/>
  <c r="BE11" i="106"/>
  <c r="BE32" i="106"/>
  <c r="BE36" i="106"/>
  <c r="AN33" i="106"/>
  <c r="BE37" i="106"/>
  <c r="BE31" i="106"/>
  <c r="BE40" i="106"/>
  <c r="AO39" i="106"/>
  <c r="AO14" i="106"/>
  <c r="BE10" i="106"/>
  <c r="BE23" i="106"/>
  <c r="AN31" i="106"/>
  <c r="AN12" i="106"/>
  <c r="AO18" i="106"/>
  <c r="BE24" i="106"/>
  <c r="AN11" i="106"/>
  <c r="BE14" i="106"/>
  <c r="BE29" i="106"/>
  <c r="BE7" i="106"/>
  <c r="AO9" i="106"/>
  <c r="BE25" i="106"/>
  <c r="BE30" i="106"/>
  <c r="BE17" i="106"/>
  <c r="BE20" i="106"/>
  <c r="BE15" i="106"/>
  <c r="BE12" i="106"/>
  <c r="BE27" i="106"/>
  <c r="BE9" i="106"/>
  <c r="AN19" i="106"/>
  <c r="BE39" i="106"/>
  <c r="BF5" i="106"/>
  <c r="AN5" i="106"/>
  <c r="BE38" i="106"/>
  <c r="BE13" i="106"/>
  <c r="BE8" i="106"/>
  <c r="BE28" i="106"/>
  <c r="AN29" i="106"/>
  <c r="BE35" i="106"/>
  <c r="AO24" i="106"/>
  <c r="BE19" i="106"/>
  <c r="BE16" i="106"/>
  <c r="BE26" i="106"/>
  <c r="AN30" i="106"/>
  <c r="AN51" i="106" l="1"/>
  <c r="AN54" i="106" s="1"/>
  <c r="AN50" i="106"/>
  <c r="AN53" i="106" s="1"/>
  <c r="CQ1" i="106"/>
  <c r="AP1" i="106"/>
  <c r="BG1" i="106"/>
  <c r="BF14" i="106"/>
  <c r="AO23" i="106"/>
  <c r="BF31" i="106"/>
  <c r="BF20" i="106"/>
  <c r="AO19" i="106"/>
  <c r="AO38" i="106"/>
  <c r="AP9" i="106"/>
  <c r="AO29" i="106"/>
  <c r="AO32" i="106"/>
  <c r="BF29" i="106"/>
  <c r="AP16" i="106"/>
  <c r="BF13" i="106"/>
  <c r="AP17" i="106"/>
  <c r="AO16" i="106"/>
  <c r="BF11" i="106"/>
  <c r="BF17" i="106"/>
  <c r="AO20" i="106"/>
  <c r="AP8" i="106"/>
  <c r="BF26" i="106"/>
  <c r="BF8" i="106"/>
  <c r="BG5" i="106"/>
  <c r="AP33" i="106"/>
  <c r="BF10" i="106"/>
  <c r="AP22" i="106"/>
  <c r="AO17" i="106"/>
  <c r="BF6" i="106"/>
  <c r="AO37" i="106"/>
  <c r="BF21" i="106"/>
  <c r="AP37" i="106"/>
  <c r="BF24" i="106"/>
  <c r="AO15" i="106"/>
  <c r="AP29" i="106"/>
  <c r="AO7" i="106"/>
  <c r="AO35" i="106"/>
  <c r="BF22" i="106"/>
  <c r="AP23" i="106"/>
  <c r="AO40" i="106"/>
  <c r="AO21" i="106"/>
  <c r="AP25" i="106"/>
  <c r="AP18" i="106"/>
  <c r="AO36" i="106"/>
  <c r="BF15" i="106"/>
  <c r="BF23" i="106"/>
  <c r="AO28" i="106"/>
  <c r="AP36" i="106"/>
  <c r="BF39" i="106"/>
  <c r="BF25" i="106"/>
  <c r="AO27" i="106"/>
  <c r="AO11" i="106"/>
  <c r="AP30" i="106"/>
  <c r="AP34" i="106"/>
  <c r="BF30" i="106"/>
  <c r="AO12" i="106"/>
  <c r="AO6" i="106"/>
  <c r="AP5" i="106"/>
  <c r="AO5" i="106"/>
  <c r="BF34" i="106"/>
  <c r="BF35" i="106"/>
  <c r="BF33" i="106"/>
  <c r="BF28" i="106"/>
  <c r="BF9" i="106"/>
  <c r="AO22" i="106"/>
  <c r="BF16" i="106"/>
  <c r="AO26" i="106"/>
  <c r="AO33" i="106"/>
  <c r="AO10" i="106"/>
  <c r="AP15" i="106"/>
  <c r="BF19" i="106"/>
  <c r="AO25" i="106"/>
  <c r="BF38" i="106"/>
  <c r="BF32" i="106"/>
  <c r="AO31" i="106"/>
  <c r="AO13" i="106"/>
  <c r="BF40" i="106"/>
  <c r="BF18" i="106"/>
  <c r="BF7" i="106"/>
  <c r="BF12" i="106"/>
  <c r="AO30" i="106"/>
  <c r="BF36" i="106"/>
  <c r="BF27" i="106"/>
  <c r="BF37" i="106"/>
  <c r="AO51" i="106" l="1"/>
  <c r="AO54" i="106" s="1"/>
  <c r="AO50" i="106"/>
  <c r="AO53" i="106" s="1"/>
  <c r="BH1" i="106"/>
  <c r="AQ1" i="106"/>
  <c r="AP38" i="106"/>
  <c r="BG38" i="106"/>
  <c r="AP19" i="106"/>
  <c r="AQ11" i="106"/>
  <c r="BG9" i="106"/>
  <c r="BG14" i="106"/>
  <c r="AQ19" i="106"/>
  <c r="AP7" i="106"/>
  <c r="BG35" i="106"/>
  <c r="AP35" i="106"/>
  <c r="BG18" i="106"/>
  <c r="BG34" i="106"/>
  <c r="AP20" i="106"/>
  <c r="BG39" i="106"/>
  <c r="BG37" i="106"/>
  <c r="AQ32" i="106"/>
  <c r="AQ5" i="106"/>
  <c r="BG30" i="106"/>
  <c r="BG26" i="106"/>
  <c r="AQ26" i="106"/>
  <c r="BG24" i="106"/>
  <c r="BG40" i="106"/>
  <c r="AP11" i="106"/>
  <c r="BG10" i="106"/>
  <c r="AQ7" i="106"/>
  <c r="BG32" i="106"/>
  <c r="BG22" i="106"/>
  <c r="BG7" i="106"/>
  <c r="BG33" i="106"/>
  <c r="BH5" i="106"/>
  <c r="AP26" i="106"/>
  <c r="AP21" i="106"/>
  <c r="AP24" i="106"/>
  <c r="BG23" i="106"/>
  <c r="BG31" i="106"/>
  <c r="AP14" i="106"/>
  <c r="AP27" i="106"/>
  <c r="AP12" i="106"/>
  <c r="BG36" i="106"/>
  <c r="BG13" i="106"/>
  <c r="AP6" i="106"/>
  <c r="BG20" i="106"/>
  <c r="AP28" i="106"/>
  <c r="AP40" i="106"/>
  <c r="BG21" i="106"/>
  <c r="AP31" i="106"/>
  <c r="BG16" i="106"/>
  <c r="BG28" i="106"/>
  <c r="BG11" i="106"/>
  <c r="AP39" i="106"/>
  <c r="BG6" i="106"/>
  <c r="BG19" i="106"/>
  <c r="AP13" i="106"/>
  <c r="BG25" i="106"/>
  <c r="AP32" i="106"/>
  <c r="AQ16" i="106"/>
  <c r="BG12" i="106"/>
  <c r="BG27" i="106"/>
  <c r="AP10" i="106"/>
  <c r="BG17" i="106"/>
  <c r="BG29" i="106"/>
  <c r="BG15" i="106"/>
  <c r="BG8" i="106"/>
  <c r="AP50" i="106" l="1"/>
  <c r="AP53" i="106" s="1"/>
  <c r="AP51" i="106"/>
  <c r="AP54" i="106" s="1"/>
  <c r="AR1" i="106"/>
  <c r="BI1" i="106"/>
  <c r="AQ40" i="106"/>
  <c r="AR11" i="106"/>
  <c r="BH19" i="106"/>
  <c r="AR17" i="106"/>
  <c r="AQ9" i="106"/>
  <c r="BH29" i="106"/>
  <c r="AQ23" i="106"/>
  <c r="BH9" i="106"/>
  <c r="BH15" i="106"/>
  <c r="BH25" i="106"/>
  <c r="AR25" i="106"/>
  <c r="BH32" i="106"/>
  <c r="BH12" i="106"/>
  <c r="AR30" i="106"/>
  <c r="AQ36" i="106"/>
  <c r="AR31" i="106"/>
  <c r="AR27" i="106"/>
  <c r="AR23" i="106"/>
  <c r="AR29" i="106"/>
  <c r="BH21" i="106"/>
  <c r="BH38" i="106"/>
  <c r="AR8" i="106"/>
  <c r="BH6" i="106"/>
  <c r="AR6" i="106"/>
  <c r="AQ13" i="106"/>
  <c r="AR12" i="106"/>
  <c r="BH26" i="106"/>
  <c r="BH8" i="106"/>
  <c r="BI5" i="106"/>
  <c r="AR40" i="106"/>
  <c r="AQ6" i="106"/>
  <c r="AQ34" i="106"/>
  <c r="AR20" i="106"/>
  <c r="BH24" i="106"/>
  <c r="AR16" i="106"/>
  <c r="AQ27" i="106"/>
  <c r="AR32" i="106"/>
  <c r="BH30" i="106"/>
  <c r="AQ21" i="106"/>
  <c r="AQ20" i="106"/>
  <c r="AR18" i="106"/>
  <c r="AR19" i="106"/>
  <c r="BH13" i="106"/>
  <c r="AQ24" i="106"/>
  <c r="BH35" i="106"/>
  <c r="AR9" i="106"/>
  <c r="AR34" i="106"/>
  <c r="BH37" i="106"/>
  <c r="BH20" i="106"/>
  <c r="AQ25" i="106"/>
  <c r="AR7" i="106"/>
  <c r="AR26" i="106"/>
  <c r="BH22" i="106"/>
  <c r="AQ30" i="106"/>
  <c r="BH7" i="106"/>
  <c r="BH11" i="106"/>
  <c r="AQ38" i="106"/>
  <c r="AR14" i="106"/>
  <c r="AQ10" i="106"/>
  <c r="AR13" i="106"/>
  <c r="AR39" i="106"/>
  <c r="AR15" i="106"/>
  <c r="AQ39" i="106"/>
  <c r="AR37" i="106"/>
  <c r="BH17" i="106"/>
  <c r="BH18" i="106"/>
  <c r="BH31" i="106"/>
  <c r="BH33" i="106"/>
  <c r="BH40" i="106"/>
  <c r="AR5" i="106"/>
  <c r="AQ31" i="106"/>
  <c r="AR10" i="106"/>
  <c r="BH28" i="106"/>
  <c r="BH27" i="106"/>
  <c r="BH36" i="106"/>
  <c r="AQ29" i="106"/>
  <c r="AQ18" i="106"/>
  <c r="BH10" i="106"/>
  <c r="AR36" i="106"/>
  <c r="AQ12" i="106"/>
  <c r="BH23" i="106"/>
  <c r="AQ22" i="106"/>
  <c r="AQ35" i="106"/>
  <c r="AR24" i="106"/>
  <c r="AR22" i="106"/>
  <c r="AQ28" i="106"/>
  <c r="AR38" i="106"/>
  <c r="AQ8" i="106"/>
  <c r="BH14" i="106"/>
  <c r="BH34" i="106"/>
  <c r="AR33" i="106"/>
  <c r="AQ15" i="106"/>
  <c r="AQ14" i="106"/>
  <c r="AR21" i="106"/>
  <c r="BH39" i="106"/>
  <c r="AQ17" i="106"/>
  <c r="AR28" i="106"/>
  <c r="BH16" i="106"/>
  <c r="AQ33" i="106"/>
  <c r="AQ37" i="106"/>
  <c r="AR35" i="106"/>
  <c r="AQ50" i="106" l="1"/>
  <c r="AQ53" i="106" s="1"/>
  <c r="AQ51" i="106"/>
  <c r="AQ54" i="106" s="1"/>
  <c r="BI26" i="106"/>
  <c r="BI30" i="106"/>
  <c r="BI21" i="106"/>
  <c r="BI38" i="106"/>
  <c r="BI33" i="106"/>
  <c r="BI29" i="106"/>
  <c r="BI32" i="106"/>
  <c r="BI13" i="106"/>
  <c r="BI23" i="106"/>
  <c r="BI15" i="106"/>
  <c r="BI27" i="106"/>
  <c r="BI12" i="106"/>
  <c r="BI34" i="106"/>
  <c r="BI28" i="106"/>
  <c r="BI9" i="106"/>
  <c r="BI10" i="106"/>
  <c r="BI17" i="106"/>
  <c r="BI40" i="106"/>
  <c r="BI6" i="106"/>
  <c r="BI19" i="106"/>
  <c r="BI31" i="106"/>
  <c r="BI18" i="106"/>
  <c r="BI14" i="106"/>
  <c r="BI35" i="106"/>
  <c r="BI24" i="106"/>
  <c r="BI39" i="106"/>
  <c r="BI16" i="106"/>
  <c r="BI37" i="106"/>
  <c r="BI25" i="106"/>
  <c r="BI11" i="106"/>
  <c r="BI8" i="106"/>
  <c r="BI7" i="106"/>
  <c r="BI20" i="106"/>
  <c r="BI22" i="106"/>
  <c r="BI36" i="106"/>
  <c r="AR50" i="106" l="1"/>
  <c r="AR53" i="106" s="1"/>
  <c r="AR51" i="106"/>
  <c r="AR54" i="106" s="1"/>
  <c r="D60" i="97" l="1"/>
  <c r="D57" i="97"/>
  <c r="D54" i="97"/>
  <c r="D51" i="97"/>
  <c r="D48" i="97"/>
  <c r="D45" i="97"/>
  <c r="D42" i="97"/>
  <c r="D39" i="97"/>
  <c r="AI40" i="94"/>
  <c r="AI39" i="94"/>
  <c r="AI38" i="94"/>
  <c r="AI37" i="94"/>
  <c r="AI36" i="94"/>
  <c r="AI35" i="94"/>
  <c r="AI34" i="94"/>
  <c r="AI33" i="94"/>
  <c r="AI31" i="94"/>
  <c r="AI30" i="94"/>
  <c r="AI29" i="94"/>
  <c r="AI28" i="94"/>
  <c r="AI27" i="94"/>
  <c r="AI26" i="94"/>
  <c r="AI25" i="94"/>
  <c r="AI24" i="94"/>
  <c r="AI23" i="94"/>
  <c r="AI22" i="94"/>
  <c r="AI21" i="94"/>
  <c r="AI20" i="94"/>
  <c r="AI19" i="94"/>
  <c r="AI18" i="94"/>
  <c r="AI17" i="94"/>
  <c r="AI16" i="94"/>
  <c r="AI15" i="94"/>
  <c r="AI14" i="94"/>
  <c r="AI13" i="94"/>
  <c r="AI12" i="94"/>
  <c r="AI11" i="94"/>
  <c r="AI10" i="94"/>
  <c r="AI9" i="94"/>
  <c r="AI8" i="94"/>
  <c r="AI7" i="94"/>
  <c r="AI6" i="94"/>
  <c r="AI5" i="94"/>
  <c r="Q6" i="94"/>
  <c r="Q7" i="94"/>
  <c r="Q8" i="94"/>
  <c r="Q9" i="94"/>
  <c r="Q10" i="94"/>
  <c r="Q12" i="94"/>
  <c r="Q13" i="94"/>
  <c r="Q14" i="94"/>
  <c r="Q15" i="94"/>
  <c r="Q16" i="94"/>
  <c r="Q17" i="94"/>
  <c r="Q18" i="94"/>
  <c r="Q19" i="94"/>
  <c r="Q20" i="94"/>
  <c r="Q21" i="94"/>
  <c r="Q22" i="94"/>
  <c r="Q23" i="94"/>
  <c r="Q24" i="94"/>
  <c r="Q25" i="94"/>
  <c r="Q26" i="94"/>
  <c r="Q27" i="94"/>
  <c r="Q28" i="94"/>
  <c r="Q29" i="94"/>
  <c r="Q30" i="94"/>
  <c r="Q31" i="94"/>
  <c r="Q32" i="94"/>
  <c r="Q33" i="94"/>
  <c r="Q34" i="94"/>
  <c r="Q35" i="94"/>
  <c r="Q36" i="94"/>
  <c r="Q37" i="94"/>
  <c r="Q38" i="94"/>
  <c r="Q39" i="94"/>
  <c r="Q40" i="94"/>
  <c r="Y6" i="94"/>
  <c r="Y7" i="94"/>
  <c r="Y8" i="94"/>
  <c r="Y9" i="94"/>
  <c r="Y10" i="94"/>
  <c r="Y11" i="94"/>
  <c r="Y12" i="94"/>
  <c r="Y13" i="94"/>
  <c r="Y14" i="94"/>
  <c r="Y15" i="94"/>
  <c r="Y16" i="94"/>
  <c r="Y17" i="94"/>
  <c r="Y18" i="94"/>
  <c r="Y19" i="94"/>
  <c r="Y20" i="94"/>
  <c r="Y21" i="94"/>
  <c r="Y22" i="94"/>
  <c r="Y23" i="94"/>
  <c r="Y24" i="94"/>
  <c r="Y25" i="94"/>
  <c r="Y26" i="94"/>
  <c r="Y27" i="94"/>
  <c r="Y28" i="94"/>
  <c r="Y29" i="94"/>
  <c r="Y30" i="94"/>
  <c r="Y31" i="94"/>
  <c r="Y32" i="94"/>
  <c r="Y33" i="94"/>
  <c r="Y34" i="94"/>
  <c r="Y35" i="94"/>
  <c r="Y36" i="94"/>
  <c r="Y37" i="94"/>
  <c r="Y38" i="94"/>
  <c r="Y39" i="94"/>
  <c r="Y40" i="94"/>
  <c r="FP5" i="94" a="1"/>
  <c r="FR5" i="94" a="1"/>
  <c r="FD5" i="94" a="1"/>
  <c r="DZ5" i="94" a="1"/>
  <c r="FM5" i="94" a="1"/>
  <c r="DS5" i="94" a="1"/>
  <c r="CL5" i="94" a="1"/>
  <c r="AZ35" i="106"/>
  <c r="AI27" i="106"/>
  <c r="E7" i="97" a="1"/>
  <c r="AZ26" i="106"/>
  <c r="AZ5" i="106"/>
  <c r="E47" i="97" a="1"/>
  <c r="E59" i="97" a="1"/>
  <c r="AZ11" i="106"/>
  <c r="AZ29" i="106"/>
  <c r="AZ6" i="106"/>
  <c r="AI39" i="106"/>
  <c r="E56" i="97" a="1"/>
  <c r="AZ30" i="106"/>
  <c r="AZ34" i="106"/>
  <c r="E52" i="97" a="1"/>
  <c r="E62" i="97" a="1"/>
  <c r="AI28" i="106"/>
  <c r="AI16" i="106"/>
  <c r="E57" i="97" a="1"/>
  <c r="AI17" i="106"/>
  <c r="AI35" i="106"/>
  <c r="AI15" i="106"/>
  <c r="AZ27" i="106"/>
  <c r="AI14" i="106"/>
  <c r="E58" i="97" a="1"/>
  <c r="AZ36" i="106"/>
  <c r="AZ31" i="106"/>
  <c r="AI36" i="106"/>
  <c r="AZ16" i="106"/>
  <c r="AI25" i="106"/>
  <c r="AI5" i="106"/>
  <c r="E53" i="97" a="1"/>
  <c r="AZ15" i="106"/>
  <c r="AI10" i="106"/>
  <c r="AI11" i="106"/>
  <c r="AZ19" i="106"/>
  <c r="AI34" i="106"/>
  <c r="AI20" i="106"/>
  <c r="AI7" i="106"/>
  <c r="AZ9" i="106"/>
  <c r="AI26" i="106"/>
  <c r="AZ25" i="106"/>
  <c r="AI40" i="106"/>
  <c r="AZ13" i="106"/>
  <c r="AZ17" i="106"/>
  <c r="AI21" i="106"/>
  <c r="AZ37" i="106"/>
  <c r="AI30" i="106"/>
  <c r="AI18" i="106"/>
  <c r="AI8" i="106"/>
  <c r="E61" i="97" a="1"/>
  <c r="E44" i="97" a="1"/>
  <c r="AI22" i="106"/>
  <c r="AZ32" i="106"/>
  <c r="AZ22" i="106"/>
  <c r="E55" i="97" a="1"/>
  <c r="AI29" i="106"/>
  <c r="AZ33" i="106"/>
  <c r="AZ14" i="106"/>
  <c r="E39" i="97" a="1"/>
  <c r="AZ38" i="106"/>
  <c r="E5" i="97" a="1"/>
  <c r="E46" i="97" a="1"/>
  <c r="E60" i="97" a="1"/>
  <c r="AZ12" i="106"/>
  <c r="AZ8" i="106"/>
  <c r="AI13" i="106"/>
  <c r="AI33" i="106"/>
  <c r="AI32" i="106"/>
  <c r="AZ7" i="106"/>
  <c r="AZ24" i="106"/>
  <c r="AI12" i="106"/>
  <c r="AZ28" i="106"/>
  <c r="E48" i="97" a="1"/>
  <c r="AI9" i="106"/>
  <c r="AI37" i="106"/>
  <c r="AI31" i="106"/>
  <c r="AI23" i="106"/>
  <c r="AI38" i="106"/>
  <c r="AZ18" i="106"/>
  <c r="E6" i="97" a="1"/>
  <c r="E43" i="97" a="1"/>
  <c r="E54" i="97" a="1"/>
  <c r="AZ39" i="106"/>
  <c r="AZ23" i="106"/>
  <c r="AI24" i="106"/>
  <c r="AZ40" i="106"/>
  <c r="AI19" i="106"/>
  <c r="AZ21" i="106"/>
  <c r="E50" i="97" a="1"/>
  <c r="AZ10" i="106"/>
  <c r="AI6" i="106"/>
  <c r="AZ20" i="106"/>
  <c r="FR5" i="94" l="1"/>
  <c r="FD5" i="94"/>
  <c r="DZ5" i="94"/>
  <c r="FP5" i="94"/>
  <c r="CL5" i="94"/>
  <c r="DS5" i="94"/>
  <c r="FM5" i="94"/>
  <c r="AI51" i="106"/>
  <c r="AI54" i="106" s="1"/>
  <c r="AI50" i="106"/>
  <c r="AI53" i="106" s="1"/>
  <c r="E43" i="97"/>
  <c r="E44" i="97"/>
  <c r="E46" i="97"/>
  <c r="E47" i="97"/>
  <c r="E48" i="97"/>
  <c r="E50" i="97"/>
  <c r="E52" i="97"/>
  <c r="E53" i="97"/>
  <c r="E54" i="97"/>
  <c r="E55" i="97"/>
  <c r="E56" i="97"/>
  <c r="E57" i="97"/>
  <c r="E58" i="97"/>
  <c r="E59" i="97"/>
  <c r="E60" i="97"/>
  <c r="E61" i="97"/>
  <c r="E62" i="97"/>
  <c r="E39" i="97"/>
  <c r="E7" i="97"/>
  <c r="E6" i="97"/>
  <c r="E5" i="97"/>
  <c r="E40" i="97" a="1"/>
  <c r="E41" i="97" a="1"/>
  <c r="E49" i="97" a="1"/>
  <c r="E51" i="97" a="1"/>
  <c r="E45" i="97" a="1"/>
  <c r="E42" i="97" a="1"/>
  <c r="E42" i="97" l="1"/>
  <c r="E45" i="97"/>
  <c r="E51" i="97"/>
  <c r="E49" i="97"/>
  <c r="E41" i="97"/>
  <c r="E40" i="97"/>
  <c r="G4" i="97"/>
  <c r="H4" i="97"/>
  <c r="I4" i="97"/>
  <c r="J4" i="97"/>
  <c r="L4" i="97"/>
  <c r="M4" i="97"/>
  <c r="N4" i="97"/>
  <c r="O4" i="97"/>
  <c r="P4" i="97"/>
  <c r="Q4" i="97"/>
  <c r="R4" i="97"/>
  <c r="S4" i="97"/>
  <c r="T4" i="97"/>
  <c r="U4" i="97"/>
  <c r="EC4" i="94" l="1"/>
  <c r="ED4" i="94"/>
  <c r="EE4" i="94"/>
  <c r="EF4" i="94"/>
  <c r="EG4" i="94"/>
  <c r="EH4" i="94"/>
  <c r="EI4" i="94"/>
  <c r="EJ4" i="94"/>
  <c r="EK4" i="94"/>
  <c r="EL4" i="94"/>
  <c r="EM4" i="94"/>
  <c r="EN4" i="94"/>
  <c r="EO4" i="94"/>
  <c r="EP4" i="94"/>
  <c r="EQ4" i="94"/>
  <c r="EB4" i="94"/>
  <c r="DV4" i="94"/>
  <c r="DW4" i="94"/>
  <c r="DX4" i="94"/>
  <c r="DU4" i="94"/>
  <c r="DT4" i="94"/>
  <c r="DR4" i="94"/>
  <c r="DP4" i="94"/>
  <c r="DN4" i="94"/>
  <c r="DL4" i="94" l="1"/>
  <c r="DI4" i="94"/>
  <c r="DF4" i="94"/>
  <c r="DC4" i="94"/>
  <c r="DB4" i="94"/>
  <c r="DA4" i="94"/>
  <c r="CZ4" i="94"/>
  <c r="CY4" i="94"/>
  <c r="CX4" i="94"/>
  <c r="CW4" i="94"/>
  <c r="CV4" i="94"/>
  <c r="CU4" i="94"/>
  <c r="CT4" i="94"/>
  <c r="CS4" i="94"/>
  <c r="CR4" i="94"/>
  <c r="CQ4" i="94"/>
  <c r="CP4" i="94"/>
  <c r="CO4" i="94"/>
  <c r="CN4" i="94"/>
  <c r="CM4" i="94"/>
  <c r="CL4" i="94"/>
  <c r="AP19" i="94" a="1"/>
  <c r="AV25" i="94" a="1"/>
  <c r="AS35" i="94" a="1"/>
  <c r="AS5" i="94" a="1"/>
  <c r="AU29" i="94" a="1"/>
  <c r="AV17" i="94" a="1"/>
  <c r="AP23" i="94" a="1"/>
  <c r="AS17" i="94" a="1"/>
  <c r="AT7" i="94" a="1"/>
  <c r="AT21" i="94" a="1"/>
  <c r="AP29" i="94" a="1"/>
  <c r="AV27" i="94" a="1"/>
  <c r="AP21" i="94" a="1"/>
  <c r="AP33" i="94" a="1"/>
  <c r="AP35" i="94" a="1"/>
  <c r="AU5" i="94" a="1"/>
  <c r="AT39" i="94" a="1"/>
  <c r="AW17" i="94" a="1"/>
  <c r="AU17" i="94" a="1"/>
  <c r="AR29" i="94" a="1"/>
  <c r="AQ17" i="94" a="1"/>
  <c r="AQ29" i="94" a="1"/>
  <c r="AP37" i="94" a="1"/>
  <c r="AS23" i="94" a="1"/>
  <c r="AR17" i="94" a="1"/>
  <c r="AV9" i="94" a="1"/>
  <c r="AP27" i="94" a="1"/>
  <c r="AP9" i="94" a="1"/>
  <c r="AP31" i="94" a="1"/>
  <c r="AT25" i="94" a="1"/>
  <c r="AQ5" i="94" a="1"/>
  <c r="AP25" i="94" a="1"/>
  <c r="AP39" i="94" a="1"/>
  <c r="AV7" i="94" a="1"/>
  <c r="AV37" i="94" a="1"/>
  <c r="AV35" i="94" a="1"/>
  <c r="AR23" i="94" a="1"/>
  <c r="AU23" i="94" a="1"/>
  <c r="AT19" i="94" a="1"/>
  <c r="AT23" i="94" a="1"/>
  <c r="AV19" i="94" a="1"/>
  <c r="AW35" i="94" a="1"/>
  <c r="AP17" i="94" a="1"/>
  <c r="AV29" i="94" a="1"/>
  <c r="AR5" i="94" a="1"/>
  <c r="AT5" i="94" a="1"/>
  <c r="AW23" i="94" a="1"/>
  <c r="AT9" i="94" a="1"/>
  <c r="AV5" i="94" a="1"/>
  <c r="AV23" i="94" a="1"/>
  <c r="AW5" i="94" a="1"/>
  <c r="AU35" i="94" a="1"/>
  <c r="AW29" i="94" a="1"/>
  <c r="AP7" i="94" a="1"/>
  <c r="AT31" i="94" a="1"/>
  <c r="AT27" i="94" a="1"/>
  <c r="AQ23" i="94" a="1"/>
  <c r="AV39" i="94" a="1"/>
  <c r="AV21" i="94" a="1"/>
  <c r="AQ35" i="94" a="1"/>
  <c r="AS29" i="94" a="1"/>
  <c r="AT35" i="94" a="1"/>
  <c r="AV31" i="94" a="1"/>
  <c r="AR35" i="94" a="1"/>
  <c r="AT29" i="94" a="1"/>
  <c r="AT17" i="94" a="1"/>
  <c r="AT37" i="94" a="1"/>
  <c r="AV33" i="94" a="1"/>
  <c r="AT33" i="94" a="1"/>
  <c r="O200" i="97" a="1"/>
  <c r="O173" i="97" a="1"/>
  <c r="O172" i="97" a="1"/>
  <c r="O88" i="97" a="1"/>
  <c r="N116" i="97" a="1"/>
  <c r="K117" i="97" a="1"/>
  <c r="O118" i="97" a="1"/>
  <c r="P200" i="97" a="1"/>
  <c r="O144" i="97" a="1"/>
  <c r="O90" i="97" a="1"/>
  <c r="M116" i="97" a="1"/>
  <c r="M118" i="97" a="1"/>
  <c r="J116" i="97" a="1"/>
  <c r="O230" i="97" a="1"/>
  <c r="O117" i="97" a="1"/>
  <c r="K118" i="97" a="1"/>
  <c r="I116" i="97" a="1"/>
  <c r="O174" i="97" a="1"/>
  <c r="P172" i="97" a="1"/>
  <c r="O228" i="97" a="1"/>
  <c r="G118" i="97" a="1"/>
  <c r="O146" i="97" a="1"/>
  <c r="G117" i="97" a="1"/>
  <c r="O145" i="97" a="1"/>
  <c r="H116" i="97" a="1"/>
  <c r="O202" i="97" a="1"/>
  <c r="P88" i="97" a="1"/>
  <c r="K116" i="97" a="1"/>
  <c r="P144" i="97" a="1"/>
  <c r="O89" i="97" a="1"/>
  <c r="L116" i="97" a="1"/>
  <c r="P228" i="97" a="1"/>
  <c r="O116" i="97" a="1"/>
  <c r="O201" i="97" a="1"/>
  <c r="G88" i="97" a="1"/>
  <c r="G116" i="97" a="1"/>
  <c r="O229" i="97" a="1"/>
  <c r="M117" i="97" a="1"/>
  <c r="AV21" i="94" l="1"/>
  <c r="AV29" i="94"/>
  <c r="AP25" i="94"/>
  <c r="AW29" i="94"/>
  <c r="AP7" i="94"/>
  <c r="AV23" i="94"/>
  <c r="AT31" i="94"/>
  <c r="AW17" i="94"/>
  <c r="AT5" i="94"/>
  <c r="AW5" i="94"/>
  <c r="AW35" i="94"/>
  <c r="AR23" i="94"/>
  <c r="AS5" i="94"/>
  <c r="AT9" i="94"/>
  <c r="AQ5" i="94"/>
  <c r="AS29" i="94"/>
  <c r="AT21" i="94"/>
  <c r="AS35" i="94"/>
  <c r="AP17" i="94"/>
  <c r="AR29" i="94"/>
  <c r="AT37" i="94"/>
  <c r="AV19" i="94"/>
  <c r="AP39" i="94"/>
  <c r="AT35" i="94"/>
  <c r="AP19" i="94"/>
  <c r="AT25" i="94"/>
  <c r="AU17" i="94"/>
  <c r="AQ17" i="94"/>
  <c r="AV7" i="94"/>
  <c r="AV35" i="94"/>
  <c r="AV27" i="94"/>
  <c r="AU23" i="94"/>
  <c r="AP21" i="94"/>
  <c r="AV9" i="94"/>
  <c r="AP29" i="94"/>
  <c r="AU5" i="94"/>
  <c r="AQ23" i="94"/>
  <c r="AP23" i="94"/>
  <c r="AP9" i="94"/>
  <c r="AP37" i="94"/>
  <c r="AV17" i="94"/>
  <c r="AP27" i="94"/>
  <c r="AR5" i="94"/>
  <c r="AV5" i="94"/>
  <c r="AS23" i="94"/>
  <c r="AT39" i="94"/>
  <c r="AV25" i="94"/>
  <c r="AU29" i="94"/>
  <c r="AV31" i="94"/>
  <c r="AP33" i="94"/>
  <c r="AR17" i="94"/>
  <c r="AP31" i="94"/>
  <c r="AR35" i="94"/>
  <c r="AT7" i="94"/>
  <c r="AV39" i="94"/>
  <c r="AV37" i="94"/>
  <c r="AU35" i="94"/>
  <c r="AS17" i="94"/>
  <c r="AW23" i="94"/>
  <c r="AQ35" i="94"/>
  <c r="AT27" i="94"/>
  <c r="AT33" i="94"/>
  <c r="AT19" i="94"/>
  <c r="AT17" i="94"/>
  <c r="AP35" i="94"/>
  <c r="AT23" i="94"/>
  <c r="AQ29" i="94"/>
  <c r="AV33" i="94"/>
  <c r="AT29" i="94"/>
  <c r="O144" i="97"/>
  <c r="O168" i="97" s="1"/>
  <c r="L42" i="105" s="1"/>
  <c r="P140" i="97"/>
  <c r="M39" i="105" s="1"/>
  <c r="N116" i="97"/>
  <c r="N140" i="97" s="1"/>
  <c r="K39" i="105" s="1"/>
  <c r="H116" i="97"/>
  <c r="H140" i="97" s="1"/>
  <c r="E39" i="105" s="1"/>
  <c r="P144" i="97"/>
  <c r="P168" i="97" s="1"/>
  <c r="M42" i="105" s="1"/>
  <c r="O172" i="97"/>
  <c r="O196" i="97" s="1"/>
  <c r="L45" i="105" s="1"/>
  <c r="M116" i="97"/>
  <c r="M140" i="97" s="1"/>
  <c r="J39" i="105" s="1"/>
  <c r="G118" i="97"/>
  <c r="G142" i="97" s="1"/>
  <c r="D41" i="105" s="1"/>
  <c r="K116" i="97"/>
  <c r="K140" i="97" s="1"/>
  <c r="H39" i="105" s="1"/>
  <c r="K117" i="97"/>
  <c r="K141" i="97" s="1"/>
  <c r="H40" i="105" s="1"/>
  <c r="O229" i="97"/>
  <c r="O253" i="97" s="1"/>
  <c r="L52" i="105" s="1"/>
  <c r="P172" i="97"/>
  <c r="P196" i="97" s="1"/>
  <c r="M45" i="105" s="1"/>
  <c r="O228" i="97"/>
  <c r="O252" i="97" s="1"/>
  <c r="L51" i="105" s="1"/>
  <c r="G88" i="97"/>
  <c r="G112" i="97" s="1"/>
  <c r="D36" i="105" s="1"/>
  <c r="O201" i="97"/>
  <c r="O225" i="97" s="1"/>
  <c r="L49" i="105" s="1"/>
  <c r="O118" i="97"/>
  <c r="O142" i="97" s="1"/>
  <c r="L41" i="105" s="1"/>
  <c r="G117" i="97"/>
  <c r="G141" i="97" s="1"/>
  <c r="D40" i="105" s="1"/>
  <c r="O116" i="97"/>
  <c r="O140" i="97" s="1"/>
  <c r="L39" i="105" s="1"/>
  <c r="K118" i="97"/>
  <c r="K142" i="97" s="1"/>
  <c r="H41" i="105" s="1"/>
  <c r="O173" i="97"/>
  <c r="O197" i="97" s="1"/>
  <c r="L46" i="105" s="1"/>
  <c r="L116" i="97"/>
  <c r="L140" i="97" s="1"/>
  <c r="I39" i="105" s="1"/>
  <c r="O88" i="97"/>
  <c r="O112" i="97" s="1"/>
  <c r="L36" i="105" s="1"/>
  <c r="M117" i="97"/>
  <c r="M141" i="97" s="1"/>
  <c r="J40" i="105" s="1"/>
  <c r="O174" i="97"/>
  <c r="O198" i="97" s="1"/>
  <c r="L47" i="105" s="1"/>
  <c r="P228" i="97"/>
  <c r="P252" i="97" s="1"/>
  <c r="M51" i="105" s="1"/>
  <c r="O117" i="97"/>
  <c r="O141" i="97" s="1"/>
  <c r="L40" i="105" s="1"/>
  <c r="M118" i="97"/>
  <c r="M142" i="97" s="1"/>
  <c r="J41" i="105" s="1"/>
  <c r="O89" i="97"/>
  <c r="O113" i="97" s="1"/>
  <c r="L37" i="105" s="1"/>
  <c r="J116" i="97"/>
  <c r="J140" i="97" s="1"/>
  <c r="G39" i="105" s="1"/>
  <c r="O145" i="97"/>
  <c r="O169" i="97" s="1"/>
  <c r="L43" i="105" s="1"/>
  <c r="O202" i="97"/>
  <c r="O226" i="97" s="1"/>
  <c r="L50" i="105" s="1"/>
  <c r="O230" i="97"/>
  <c r="O254" i="97" s="1"/>
  <c r="L53" i="105" s="1"/>
  <c r="O200" i="97"/>
  <c r="O224" i="97" s="1"/>
  <c r="L48" i="105" s="1"/>
  <c r="P88" i="97"/>
  <c r="P112" i="97" s="1"/>
  <c r="M36" i="105" s="1"/>
  <c r="O146" i="97"/>
  <c r="O170" i="97" s="1"/>
  <c r="L44" i="105" s="1"/>
  <c r="G116" i="97"/>
  <c r="G140" i="97" s="1"/>
  <c r="D39" i="105" s="1"/>
  <c r="P200" i="97"/>
  <c r="P224" i="97" s="1"/>
  <c r="M48" i="105" s="1"/>
  <c r="O90" i="97"/>
  <c r="O114" i="97" s="1"/>
  <c r="L38" i="105" s="1"/>
  <c r="I116" i="97"/>
  <c r="I140" i="97" s="1"/>
  <c r="F39" i="105" s="1"/>
  <c r="J172" i="97" a="1"/>
  <c r="G201" i="97" a="1"/>
  <c r="J228" i="97" a="1"/>
  <c r="H88" i="97" a="1"/>
  <c r="H200" i="97" a="1"/>
  <c r="M145" i="97" a="1"/>
  <c r="K202" i="97" a="1"/>
  <c r="G146" i="97" a="1"/>
  <c r="I144" i="97" a="1"/>
  <c r="N88" i="97" a="1"/>
  <c r="L200" i="97" a="1"/>
  <c r="J144" i="97" a="1"/>
  <c r="M172" i="97" a="1"/>
  <c r="L172" i="97" a="1"/>
  <c r="J88" i="97" a="1"/>
  <c r="K173" i="97" a="1"/>
  <c r="G174" i="97" a="1"/>
  <c r="G90" i="97" a="1"/>
  <c r="M202" i="97" a="1"/>
  <c r="K172" i="97" a="1"/>
  <c r="G202" i="97" a="1"/>
  <c r="K228" i="97" a="1"/>
  <c r="M90" i="97" a="1"/>
  <c r="M144" i="97" a="1"/>
  <c r="K145" i="97" a="1"/>
  <c r="G145" i="97" a="1"/>
  <c r="I88" i="97" a="1"/>
  <c r="K200" i="97" a="1"/>
  <c r="H172" i="97" a="1"/>
  <c r="N144" i="97" a="1"/>
  <c r="L144" i="97" a="1"/>
  <c r="J200" i="97" a="1"/>
  <c r="K144" i="97" a="1"/>
  <c r="G228" i="97" a="1"/>
  <c r="L88" i="97" a="1"/>
  <c r="N228" i="97" a="1"/>
  <c r="M230" i="97" a="1"/>
  <c r="I200" i="97" a="1"/>
  <c r="K90" i="97" a="1"/>
  <c r="M173" i="97" a="1"/>
  <c r="G200" i="97" a="1"/>
  <c r="M89" i="97" a="1"/>
  <c r="K88" i="97" a="1"/>
  <c r="M174" i="97" a="1"/>
  <c r="K229" i="97" a="1"/>
  <c r="G89" i="97" a="1"/>
  <c r="K89" i="97" a="1"/>
  <c r="G144" i="97" a="1"/>
  <c r="K174" i="97" a="1"/>
  <c r="M88" i="97" a="1"/>
  <c r="M146" i="97" a="1"/>
  <c r="K201" i="97" a="1"/>
  <c r="N172" i="97" a="1"/>
  <c r="N200" i="97" a="1"/>
  <c r="H228" i="97" a="1"/>
  <c r="G173" i="97" a="1"/>
  <c r="I228" i="97" a="1"/>
  <c r="M228" i="97" a="1"/>
  <c r="G229" i="97" a="1"/>
  <c r="G230" i="97" a="1"/>
  <c r="G172" i="97" a="1"/>
  <c r="K230" i="97" a="1"/>
  <c r="H144" i="97" a="1"/>
  <c r="I172" i="97" a="1"/>
  <c r="K146" i="97" a="1"/>
  <c r="M200" i="97" a="1"/>
  <c r="M229" i="97" a="1"/>
  <c r="M201" i="97" a="1"/>
  <c r="L228" i="97" a="1"/>
  <c r="J200" i="97" l="1"/>
  <c r="J224" i="97" s="1"/>
  <c r="G48" i="105" s="1"/>
  <c r="K90" i="97"/>
  <c r="K114" i="97" s="1"/>
  <c r="H38" i="105" s="1"/>
  <c r="L172" i="97"/>
  <c r="L196" i="97" s="1"/>
  <c r="I45" i="105" s="1"/>
  <c r="J88" i="97"/>
  <c r="J112" i="97" s="1"/>
  <c r="G36" i="105" s="1"/>
  <c r="J144" i="97"/>
  <c r="J168" i="97" s="1"/>
  <c r="G42" i="105" s="1"/>
  <c r="G174" i="97"/>
  <c r="G198" i="97" s="1"/>
  <c r="D47" i="105" s="1"/>
  <c r="K173" i="97"/>
  <c r="K197" i="97" s="1"/>
  <c r="H46" i="105" s="1"/>
  <c r="N88" i="97"/>
  <c r="N112" i="97" s="1"/>
  <c r="K36" i="105" s="1"/>
  <c r="K202" i="97"/>
  <c r="K226" i="97" s="1"/>
  <c r="H50" i="105" s="1"/>
  <c r="L228" i="97"/>
  <c r="L252" i="97" s="1"/>
  <c r="I51" i="105" s="1"/>
  <c r="M144" i="97"/>
  <c r="M168" i="97" s="1"/>
  <c r="J42" i="105" s="1"/>
  <c r="G145" i="97"/>
  <c r="G169" i="97" s="1"/>
  <c r="D43" i="105" s="1"/>
  <c r="K88" i="97"/>
  <c r="K112" i="97" s="1"/>
  <c r="H36" i="105" s="1"/>
  <c r="M88" i="97"/>
  <c r="M112" i="97" s="1"/>
  <c r="J36" i="105" s="1"/>
  <c r="L144" i="97"/>
  <c r="L168" i="97" s="1"/>
  <c r="I42" i="105" s="1"/>
  <c r="M229" i="97"/>
  <c r="M253" i="97" s="1"/>
  <c r="J52" i="105" s="1"/>
  <c r="G229" i="97"/>
  <c r="G253" i="97" s="1"/>
  <c r="D52" i="105" s="1"/>
  <c r="K228" i="97"/>
  <c r="K252" i="97" s="1"/>
  <c r="H51" i="105" s="1"/>
  <c r="N144" i="97"/>
  <c r="N168" i="97" s="1"/>
  <c r="K42" i="105" s="1"/>
  <c r="K144" i="97"/>
  <c r="K168" i="97" s="1"/>
  <c r="H42" i="105" s="1"/>
  <c r="M173" i="97"/>
  <c r="M197" i="97" s="1"/>
  <c r="J46" i="105" s="1"/>
  <c r="H144" i="97"/>
  <c r="H168" i="97" s="1"/>
  <c r="E42" i="105" s="1"/>
  <c r="M230" i="97"/>
  <c r="M254" i="97" s="1"/>
  <c r="J53" i="105" s="1"/>
  <c r="G90" i="97"/>
  <c r="G114" i="97" s="1"/>
  <c r="D38" i="105" s="1"/>
  <c r="G230" i="97"/>
  <c r="G254" i="97" s="1"/>
  <c r="D53" i="105" s="1"/>
  <c r="K201" i="97"/>
  <c r="K225" i="97" s="1"/>
  <c r="H49" i="105" s="1"/>
  <c r="H88" i="97"/>
  <c r="H112" i="97" s="1"/>
  <c r="E36" i="105" s="1"/>
  <c r="K89" i="97"/>
  <c r="K113" i="97" s="1"/>
  <c r="H37" i="105" s="1"/>
  <c r="G172" i="97"/>
  <c r="G196" i="97" s="1"/>
  <c r="D45" i="105" s="1"/>
  <c r="M145" i="97"/>
  <c r="M169" i="97" s="1"/>
  <c r="J43" i="105" s="1"/>
  <c r="M172" i="97"/>
  <c r="M196" i="97" s="1"/>
  <c r="J45" i="105" s="1"/>
  <c r="L200" i="97"/>
  <c r="L224" i="97" s="1"/>
  <c r="I48" i="105" s="1"/>
  <c r="K145" i="97"/>
  <c r="K169" i="97" s="1"/>
  <c r="H43" i="105" s="1"/>
  <c r="I88" i="97"/>
  <c r="I112" i="97" s="1"/>
  <c r="F36" i="105" s="1"/>
  <c r="K200" i="97"/>
  <c r="K224" i="97" s="1"/>
  <c r="H48" i="105" s="1"/>
  <c r="I228" i="97"/>
  <c r="I252" i="97" s="1"/>
  <c r="F51" i="105" s="1"/>
  <c r="H172" i="97"/>
  <c r="H196" i="97" s="1"/>
  <c r="E45" i="105" s="1"/>
  <c r="K229" i="97"/>
  <c r="K253" i="97" s="1"/>
  <c r="H52" i="105" s="1"/>
  <c r="G89" i="97"/>
  <c r="G113" i="97" s="1"/>
  <c r="D37" i="105" s="1"/>
  <c r="M174" i="97"/>
  <c r="M198" i="97" s="1"/>
  <c r="J47" i="105" s="1"/>
  <c r="M202" i="97"/>
  <c r="M226" i="97" s="1"/>
  <c r="J50" i="105" s="1"/>
  <c r="G201" i="97"/>
  <c r="G225" i="97" s="1"/>
  <c r="D49" i="105" s="1"/>
  <c r="L88" i="97"/>
  <c r="L112" i="97" s="1"/>
  <c r="I36" i="105" s="1"/>
  <c r="I200" i="97"/>
  <c r="I224" i="97" s="1"/>
  <c r="F48" i="105" s="1"/>
  <c r="N200" i="97"/>
  <c r="N224" i="97" s="1"/>
  <c r="K48" i="105" s="1"/>
  <c r="N172" i="97"/>
  <c r="N196" i="97" s="1"/>
  <c r="K45" i="105" s="1"/>
  <c r="H200" i="97"/>
  <c r="H224" i="97" s="1"/>
  <c r="E48" i="105" s="1"/>
  <c r="I144" i="97"/>
  <c r="I168" i="97" s="1"/>
  <c r="F42" i="105" s="1"/>
  <c r="G200" i="97"/>
  <c r="G224" i="97" s="1"/>
  <c r="D48" i="105" s="1"/>
  <c r="G144" i="97"/>
  <c r="G168" i="97" s="1"/>
  <c r="D42" i="105" s="1"/>
  <c r="G173" i="97"/>
  <c r="G197" i="97" s="1"/>
  <c r="D46" i="105" s="1"/>
  <c r="K230" i="97"/>
  <c r="K254" i="97" s="1"/>
  <c r="H53" i="105" s="1"/>
  <c r="J172" i="97"/>
  <c r="J196" i="97" s="1"/>
  <c r="G45" i="105" s="1"/>
  <c r="I172" i="97"/>
  <c r="I196" i="97" s="1"/>
  <c r="F45" i="105" s="1"/>
  <c r="K172" i="97"/>
  <c r="K196" i="97" s="1"/>
  <c r="H45" i="105" s="1"/>
  <c r="G202" i="97"/>
  <c r="G226" i="97" s="1"/>
  <c r="D50" i="105" s="1"/>
  <c r="M90" i="97"/>
  <c r="M114" i="97" s="1"/>
  <c r="J38" i="105" s="1"/>
  <c r="J228" i="97"/>
  <c r="J252" i="97" s="1"/>
  <c r="G51" i="105" s="1"/>
  <c r="M200" i="97"/>
  <c r="M224" i="97" s="1"/>
  <c r="J48" i="105" s="1"/>
  <c r="M228" i="97"/>
  <c r="M252" i="97" s="1"/>
  <c r="J51" i="105" s="1"/>
  <c r="K174" i="97"/>
  <c r="K198" i="97" s="1"/>
  <c r="H47" i="105" s="1"/>
  <c r="M89" i="97"/>
  <c r="M113" i="97" s="1"/>
  <c r="J37" i="105" s="1"/>
  <c r="H228" i="97"/>
  <c r="H252" i="97" s="1"/>
  <c r="E51" i="105" s="1"/>
  <c r="N228" i="97"/>
  <c r="N252" i="97" s="1"/>
  <c r="K51" i="105" s="1"/>
  <c r="G228" i="97"/>
  <c r="G252" i="97" s="1"/>
  <c r="D51" i="105" s="1"/>
  <c r="M201" i="97"/>
  <c r="M225" i="97" s="1"/>
  <c r="J49" i="105" s="1"/>
  <c r="G146" i="97"/>
  <c r="G170" i="97" s="1"/>
  <c r="D44" i="105" s="1"/>
  <c r="K146" i="97"/>
  <c r="K170" i="97" s="1"/>
  <c r="H44" i="105" s="1"/>
  <c r="M146" i="97"/>
  <c r="M170" i="97" s="1"/>
  <c r="J44" i="105" s="1"/>
  <c r="L56" i="105"/>
  <c r="M54" i="105"/>
  <c r="L55" i="105"/>
  <c r="L54" i="105"/>
  <c r="D54" i="105" l="1"/>
  <c r="F54" i="105"/>
  <c r="H54" i="105"/>
  <c r="G54" i="105"/>
  <c r="D55" i="105"/>
  <c r="D56" i="105"/>
  <c r="H55" i="105"/>
  <c r="J55" i="105"/>
  <c r="E54" i="105"/>
  <c r="J56" i="105"/>
  <c r="J54" i="105"/>
  <c r="H56" i="105"/>
  <c r="K54" i="105"/>
  <c r="I54" i="105"/>
  <c r="G47" i="100"/>
  <c r="AN47" i="94" a="1"/>
  <c r="R47" i="100"/>
  <c r="K47" i="102"/>
  <c r="Z47" i="100"/>
  <c r="Z47" i="102"/>
  <c r="Z47" i="104"/>
  <c r="K47" i="98"/>
  <c r="M47" i="101"/>
  <c r="X47" i="103"/>
  <c r="D47" i="104"/>
  <c r="O47" i="99"/>
  <c r="R47" i="102"/>
  <c r="Z47" i="101"/>
  <c r="T47" i="104"/>
  <c r="AG47" i="102"/>
  <c r="X47" i="104"/>
  <c r="R47" i="101"/>
  <c r="P47" i="102"/>
  <c r="E47" i="102"/>
  <c r="AL47" i="99"/>
  <c r="AE47" i="100"/>
  <c r="AJ47" i="103"/>
  <c r="J47" i="104"/>
  <c r="G47" i="94"/>
  <c r="Z47" i="94"/>
  <c r="V47" i="101"/>
  <c r="G47" i="101"/>
  <c r="V47" i="104"/>
  <c r="AE47" i="101"/>
  <c r="P47" i="101"/>
  <c r="P47" i="100"/>
  <c r="G47" i="103"/>
  <c r="AB47" i="103"/>
  <c r="P47" i="104"/>
  <c r="AE47" i="104"/>
  <c r="M47" i="94"/>
  <c r="T47" i="98"/>
  <c r="AG47" i="103"/>
  <c r="T47" i="99"/>
  <c r="AE47" i="103"/>
  <c r="F47" i="94"/>
  <c r="I47" i="103"/>
  <c r="C47" i="102"/>
  <c r="AD47" i="103"/>
  <c r="H47" i="100"/>
  <c r="E47" i="104"/>
  <c r="I47" i="99"/>
  <c r="R47" i="94"/>
  <c r="H47" i="101"/>
  <c r="O47" i="101"/>
  <c r="T47" i="103"/>
  <c r="AB47" i="98"/>
  <c r="AL47" i="104"/>
  <c r="H47" i="104"/>
  <c r="G47" i="104"/>
  <c r="N47" i="104"/>
  <c r="I47" i="104"/>
  <c r="AJ47" i="104"/>
  <c r="N47" i="103"/>
  <c r="AB47" i="101"/>
  <c r="AH47" i="101"/>
  <c r="AH47" i="102"/>
  <c r="O47" i="98"/>
  <c r="M47" i="100"/>
  <c r="N47" i="101"/>
  <c r="AL47" i="94"/>
  <c r="AJ47" i="101"/>
  <c r="H47" i="99"/>
  <c r="F47" i="103"/>
  <c r="D47" i="100"/>
  <c r="AL47" i="103"/>
  <c r="AJ47" i="99"/>
  <c r="R47" i="103"/>
  <c r="F47" i="101"/>
  <c r="AL47" i="98"/>
  <c r="O47" i="102"/>
  <c r="G47" i="99"/>
  <c r="C47" i="100"/>
  <c r="V47" i="94"/>
  <c r="AH47" i="98"/>
  <c r="AH47" i="104"/>
  <c r="AD47" i="94"/>
  <c r="V47" i="98"/>
  <c r="AJ47" i="94"/>
  <c r="H47" i="102"/>
  <c r="N47" i="98"/>
  <c r="AD47" i="100"/>
  <c r="T47" i="102"/>
  <c r="AF47" i="104"/>
  <c r="J47" i="101"/>
  <c r="K47" i="94"/>
  <c r="AH47" i="103"/>
  <c r="AH47" i="94"/>
  <c r="C47" i="103"/>
  <c r="K47" i="104"/>
  <c r="O47" i="100"/>
  <c r="O47" i="103"/>
  <c r="P47" i="94"/>
  <c r="AP47" i="98" a="1"/>
  <c r="J47" i="99"/>
  <c r="E47" i="94"/>
  <c r="O47" i="104"/>
  <c r="M47" i="99"/>
  <c r="X47" i="98"/>
  <c r="K47" i="103"/>
  <c r="X47" i="94"/>
  <c r="AF47" i="103"/>
  <c r="AJ47" i="100"/>
  <c r="AD47" i="102"/>
  <c r="Z47" i="99"/>
  <c r="AD47" i="99"/>
  <c r="AF47" i="94"/>
  <c r="AL47" i="102"/>
  <c r="AD47" i="98"/>
  <c r="I47" i="100"/>
  <c r="AB47" i="99"/>
  <c r="I47" i="101"/>
  <c r="AH47" i="99"/>
  <c r="AF47" i="101"/>
  <c r="H47" i="103"/>
  <c r="X47" i="100"/>
  <c r="H47" i="98"/>
  <c r="D47" i="101"/>
  <c r="D47" i="98"/>
  <c r="I47" i="102"/>
  <c r="AL47" i="101"/>
  <c r="R47" i="99"/>
  <c r="E47" i="103"/>
  <c r="AE47" i="94"/>
  <c r="AG47" i="94"/>
  <c r="L47" i="103"/>
  <c r="M47" i="104"/>
  <c r="P47" i="99"/>
  <c r="C47" i="94"/>
  <c r="T47" i="100"/>
  <c r="L47" i="99"/>
  <c r="E47" i="101"/>
  <c r="J47" i="103"/>
  <c r="AG47" i="99"/>
  <c r="V47" i="102"/>
  <c r="V47" i="99"/>
  <c r="R47" i="104"/>
  <c r="AE47" i="99"/>
  <c r="AF47" i="100"/>
  <c r="K47" i="100"/>
  <c r="AG47" i="100"/>
  <c r="AD47" i="104"/>
  <c r="M47" i="103"/>
  <c r="L47" i="94"/>
  <c r="AG47" i="101"/>
  <c r="AH47" i="100"/>
  <c r="L47" i="98"/>
  <c r="P47" i="98"/>
  <c r="AJ47" i="98"/>
  <c r="L47" i="100"/>
  <c r="X47" i="101"/>
  <c r="D47" i="102"/>
  <c r="AB47" i="100"/>
  <c r="F47" i="104"/>
  <c r="AP47" i="94" a="1"/>
  <c r="D47" i="99"/>
  <c r="H47" i="94"/>
  <c r="AF47" i="102"/>
  <c r="AD47" i="101"/>
  <c r="N47" i="94"/>
  <c r="D47" i="103"/>
  <c r="X47" i="102"/>
  <c r="P47" i="103"/>
  <c r="E47" i="100"/>
  <c r="J47" i="100"/>
  <c r="V47" i="100"/>
  <c r="V47" i="103"/>
  <c r="G47" i="102"/>
  <c r="AN47" i="98" a="1"/>
  <c r="C47" i="104"/>
  <c r="R47" i="98"/>
  <c r="Z47" i="103"/>
  <c r="I47" i="98"/>
  <c r="J47" i="102"/>
  <c r="F47" i="99"/>
  <c r="AF47" i="98"/>
  <c r="E47" i="99"/>
  <c r="C47" i="99"/>
  <c r="O47" i="94"/>
  <c r="G47" i="98"/>
  <c r="AB47" i="102"/>
  <c r="L47" i="102"/>
  <c r="M47" i="98"/>
  <c r="L47" i="104"/>
  <c r="M47" i="102"/>
  <c r="L47" i="101"/>
  <c r="K47" i="99"/>
  <c r="AB47" i="104"/>
  <c r="F47" i="102"/>
  <c r="AG47" i="104"/>
  <c r="AE47" i="102"/>
  <c r="D47" i="94"/>
  <c r="K47" i="101"/>
  <c r="AJ47" i="102"/>
  <c r="X47" i="99"/>
  <c r="N47" i="102"/>
  <c r="J47" i="94"/>
  <c r="N47" i="100"/>
  <c r="T47" i="94"/>
  <c r="AG47" i="98"/>
  <c r="J47" i="98"/>
  <c r="E47" i="98"/>
  <c r="AE47" i="98"/>
  <c r="AB47" i="94"/>
  <c r="N47" i="99"/>
  <c r="F47" i="98"/>
  <c r="C47" i="101"/>
  <c r="AF47" i="99"/>
  <c r="T47" i="101"/>
  <c r="I47" i="94"/>
  <c r="F47" i="100"/>
  <c r="C47" i="98"/>
  <c r="AL47" i="100"/>
  <c r="Z47" i="98"/>
  <c r="BM5" i="106"/>
  <c r="CD5" i="106"/>
  <c r="AN47" i="94" l="1"/>
  <c r="AP47" i="94"/>
  <c r="AP47" i="98"/>
  <c r="AN47" i="98"/>
  <c r="CJ5" i="99" a="1"/>
  <c r="CJ5" i="99" s="1"/>
  <c r="CJ6" i="99"/>
  <c r="CJ5" i="101" a="1"/>
  <c r="CJ5" i="101" s="1"/>
  <c r="CJ6" i="101"/>
  <c r="CJ5" i="98" a="1"/>
  <c r="CJ5" i="98" s="1"/>
  <c r="CJ6" i="98"/>
  <c r="CJ5" i="102" a="1"/>
  <c r="CJ5" i="102" s="1"/>
  <c r="CJ6" i="102"/>
  <c r="CJ5" i="103" a="1"/>
  <c r="CJ5" i="103" s="1"/>
  <c r="CJ6" i="103"/>
  <c r="CJ5" i="104" a="1"/>
  <c r="CJ5" i="104" s="1"/>
  <c r="CJ6" i="104"/>
  <c r="CJ5" i="94" a="1"/>
  <c r="CJ5" i="94" s="1"/>
  <c r="CJ6" i="94"/>
  <c r="CJ5" i="100" a="1"/>
  <c r="CJ5" i="100" s="1"/>
  <c r="CJ6" i="100"/>
  <c r="CJ7" i="103" l="1"/>
  <c r="CJ7" i="101"/>
  <c r="CJ7" i="102"/>
  <c r="CJ7" i="99"/>
  <c r="CJ7" i="98"/>
  <c r="CJ7" i="100"/>
  <c r="CJ7" i="104"/>
  <c r="CJ7" i="94"/>
  <c r="CJ8" i="102" l="1"/>
  <c r="CJ11" i="102" s="1"/>
  <c r="CJ9" i="102"/>
  <c r="CJ10" i="102" s="1"/>
  <c r="CJ9" i="101"/>
  <c r="CJ10" i="101" s="1"/>
  <c r="CJ8" i="101"/>
  <c r="CJ11" i="101" s="1"/>
  <c r="CJ8" i="103"/>
  <c r="CJ11" i="103" s="1"/>
  <c r="CJ9" i="103"/>
  <c r="CJ10" i="103" s="1"/>
  <c r="CJ8" i="99"/>
  <c r="CJ11" i="99" s="1"/>
  <c r="CJ9" i="99"/>
  <c r="CJ10" i="99" s="1"/>
  <c r="CJ9" i="98"/>
  <c r="CJ10" i="98" s="1"/>
  <c r="CJ8" i="98"/>
  <c r="CJ11" i="98" s="1"/>
  <c r="CJ9" i="104"/>
  <c r="CJ10" i="104" s="1"/>
  <c r="CJ8" i="104"/>
  <c r="CJ11" i="104" s="1"/>
  <c r="CJ8" i="94"/>
  <c r="CJ11" i="94" s="1"/>
  <c r="CJ9" i="94"/>
  <c r="CJ10" i="94" s="1"/>
  <c r="CJ8" i="100"/>
  <c r="CJ11" i="100" s="1"/>
  <c r="CJ9" i="100"/>
  <c r="CJ10" i="100" s="1"/>
  <c r="AK51" i="103"/>
  <c r="Q49" i="99"/>
  <c r="U49" i="94"/>
  <c r="AA47" i="100"/>
  <c r="S51" i="104"/>
  <c r="AC49" i="103"/>
  <c r="AK51" i="102"/>
  <c r="B49" i="101"/>
  <c r="AC49" i="94"/>
  <c r="B51" i="100"/>
  <c r="B49" i="99"/>
  <c r="AK51" i="100"/>
  <c r="AK49" i="94"/>
  <c r="W51" i="102"/>
  <c r="AA47" i="104"/>
  <c r="AC51" i="102"/>
  <c r="AA49" i="103"/>
  <c r="Y49" i="99"/>
  <c r="AC47" i="99"/>
  <c r="Y47" i="94"/>
  <c r="U51" i="103"/>
  <c r="W51" i="100"/>
  <c r="S49" i="104"/>
  <c r="B51" i="102"/>
  <c r="S51" i="100"/>
  <c r="AK49" i="99"/>
  <c r="AK47" i="102"/>
  <c r="AI51" i="102"/>
  <c r="W49" i="100"/>
  <c r="B47" i="98"/>
  <c r="AA47" i="103"/>
  <c r="W47" i="102"/>
  <c r="S47" i="94"/>
  <c r="Q51" i="99"/>
  <c r="S51" i="94"/>
  <c r="Y51" i="103"/>
  <c r="Y51" i="99"/>
  <c r="S51" i="103"/>
  <c r="AA49" i="98"/>
  <c r="Q47" i="99"/>
  <c r="B47" i="102"/>
  <c r="AK47" i="98"/>
  <c r="AC49" i="104"/>
  <c r="U51" i="104"/>
  <c r="Y49" i="100"/>
  <c r="Q49" i="102"/>
  <c r="AI51" i="99"/>
  <c r="B47" i="100"/>
  <c r="AC51" i="94"/>
  <c r="Q49" i="100"/>
  <c r="AI47" i="98"/>
  <c r="S49" i="102"/>
  <c r="AI47" i="103"/>
  <c r="Y47" i="101"/>
  <c r="U49" i="99"/>
  <c r="S49" i="101"/>
  <c r="AI51" i="103"/>
  <c r="AK49" i="103"/>
  <c r="AI49" i="99"/>
  <c r="S49" i="99"/>
  <c r="AK51" i="104"/>
  <c r="AC49" i="102"/>
  <c r="S47" i="104"/>
  <c r="AA51" i="98"/>
  <c r="Q47" i="98"/>
  <c r="Y47" i="100"/>
  <c r="AC49" i="100"/>
  <c r="Q49" i="98"/>
  <c r="AC51" i="100"/>
  <c r="U47" i="100"/>
  <c r="AI51" i="98"/>
  <c r="B51" i="99"/>
  <c r="W51" i="98"/>
  <c r="AA47" i="99"/>
  <c r="AI51" i="100"/>
  <c r="S51" i="101"/>
  <c r="Y47" i="104"/>
  <c r="W49" i="104"/>
  <c r="B51" i="104"/>
  <c r="U47" i="104"/>
  <c r="W51" i="94"/>
  <c r="U51" i="102"/>
  <c r="U49" i="98"/>
  <c r="AC47" i="104"/>
  <c r="Q51" i="102"/>
  <c r="W47" i="101"/>
  <c r="Q51" i="94"/>
  <c r="W51" i="99"/>
  <c r="W49" i="103"/>
  <c r="U49" i="103"/>
  <c r="AI49" i="94"/>
  <c r="W49" i="99"/>
  <c r="S51" i="99"/>
  <c r="AI47" i="102"/>
  <c r="U47" i="103"/>
  <c r="Y49" i="94"/>
  <c r="AA47" i="102"/>
  <c r="Q49" i="104"/>
  <c r="Q51" i="103"/>
  <c r="S51" i="98"/>
  <c r="AC49" i="101"/>
  <c r="AA49" i="94"/>
  <c r="U51" i="101"/>
  <c r="B51" i="98"/>
  <c r="AI49" i="101"/>
  <c r="S47" i="100"/>
  <c r="AK47" i="104"/>
  <c r="AK51" i="99"/>
  <c r="AK47" i="94"/>
  <c r="Q47" i="103"/>
  <c r="B51" i="101"/>
  <c r="B47" i="99"/>
  <c r="B51" i="103"/>
  <c r="AA49" i="104"/>
  <c r="W47" i="94"/>
  <c r="Y51" i="94"/>
  <c r="AK49" i="101"/>
  <c r="Q51" i="100"/>
  <c r="AK47" i="100"/>
  <c r="AK51" i="101"/>
  <c r="U51" i="99"/>
  <c r="AA49" i="102"/>
  <c r="Y47" i="103"/>
  <c r="AK49" i="98"/>
  <c r="AA51" i="102"/>
  <c r="S49" i="100"/>
  <c r="AC49" i="99"/>
  <c r="W49" i="102"/>
  <c r="Y51" i="104"/>
  <c r="AK47" i="99"/>
  <c r="AI49" i="104"/>
  <c r="B47" i="101"/>
  <c r="AI47" i="104"/>
  <c r="AC51" i="101"/>
  <c r="AA51" i="101"/>
  <c r="Y49" i="102"/>
  <c r="Q47" i="94"/>
  <c r="B47" i="103"/>
  <c r="Y49" i="103"/>
  <c r="S47" i="98"/>
  <c r="AC51" i="104"/>
  <c r="W49" i="94"/>
  <c r="Y47" i="102"/>
  <c r="Y51" i="101"/>
  <c r="Q47" i="100"/>
  <c r="Q51" i="98"/>
  <c r="AK47" i="101"/>
  <c r="AA51" i="104"/>
  <c r="AC51" i="99"/>
  <c r="Y47" i="98"/>
  <c r="Y49" i="104"/>
  <c r="Q49" i="94"/>
  <c r="Q51" i="104"/>
  <c r="U49" i="101"/>
  <c r="AC47" i="101"/>
  <c r="W47" i="100"/>
  <c r="Q47" i="101"/>
  <c r="AK47" i="103"/>
  <c r="AI49" i="102"/>
  <c r="S49" i="103"/>
  <c r="AA47" i="101"/>
  <c r="B47" i="94"/>
  <c r="U47" i="102"/>
  <c r="Y51" i="100"/>
  <c r="W49" i="101"/>
  <c r="Y47" i="99"/>
  <c r="U49" i="104"/>
  <c r="W51" i="104"/>
  <c r="Y51" i="102"/>
  <c r="AA47" i="98"/>
  <c r="W49" i="98"/>
  <c r="B49" i="98"/>
  <c r="U51" i="94"/>
  <c r="W51" i="103"/>
  <c r="AC49" i="98"/>
  <c r="AC51" i="98"/>
  <c r="Y49" i="101"/>
  <c r="AK49" i="100"/>
  <c r="U47" i="99"/>
  <c r="AA51" i="94"/>
  <c r="U51" i="98"/>
  <c r="AA51" i="99"/>
  <c r="B49" i="103"/>
  <c r="AC47" i="100"/>
  <c r="AA49" i="101"/>
  <c r="AI51" i="94"/>
  <c r="W47" i="103"/>
  <c r="S51" i="102"/>
  <c r="B49" i="104"/>
  <c r="AI49" i="100"/>
  <c r="U47" i="101"/>
  <c r="AA49" i="99"/>
  <c r="AK49" i="102"/>
  <c r="Q49" i="103"/>
  <c r="S47" i="101"/>
  <c r="AI47" i="100"/>
  <c r="AC51" i="103"/>
  <c r="AA51" i="103"/>
  <c r="W47" i="98"/>
  <c r="U51" i="100"/>
  <c r="AK51" i="98"/>
  <c r="Q47" i="102"/>
  <c r="AC47" i="98"/>
  <c r="Q49" i="101"/>
  <c r="S47" i="99"/>
  <c r="U47" i="94"/>
  <c r="S49" i="98"/>
  <c r="AC47" i="103"/>
  <c r="AI51" i="104"/>
  <c r="AK49" i="104"/>
  <c r="AC47" i="94"/>
  <c r="AA47" i="94"/>
  <c r="AA51" i="100"/>
  <c r="B47" i="104"/>
  <c r="AA49" i="100"/>
  <c r="AI49" i="103"/>
  <c r="B51" i="94"/>
  <c r="W47" i="104"/>
  <c r="W51" i="101"/>
  <c r="B49" i="94"/>
  <c r="AI49" i="98"/>
  <c r="Y51" i="98"/>
  <c r="B49" i="102"/>
  <c r="B49" i="100"/>
  <c r="Q51" i="101"/>
  <c r="AI47" i="99"/>
  <c r="S49" i="94"/>
  <c r="AI47" i="94"/>
  <c r="W47" i="99"/>
  <c r="Y49" i="98"/>
  <c r="Q47" i="104"/>
  <c r="AK51" i="94"/>
  <c r="U49" i="100"/>
  <c r="AI47" i="101"/>
  <c r="S47" i="103"/>
  <c r="AI51" i="101"/>
  <c r="AC47" i="102"/>
  <c r="U49" i="102"/>
  <c r="S47" i="102"/>
  <c r="U47" i="98"/>
  <c r="L39" i="97" a="1"/>
  <c r="T23" i="97" a="1"/>
  <c r="Q8" i="97" a="1"/>
  <c r="R11" i="97" a="1"/>
  <c r="U23" i="97" a="1"/>
  <c r="J50" i="97" a="1"/>
  <c r="F59" i="97" a="1"/>
  <c r="S51" i="97" a="1"/>
  <c r="L58" i="97" a="1"/>
  <c r="CF5" i="106"/>
  <c r="I60" i="97" a="1"/>
  <c r="K39" i="97" a="1"/>
  <c r="O20" i="97" a="1"/>
  <c r="M20" i="97" a="1"/>
  <c r="CD6" i="106"/>
  <c r="N17" i="97" a="1"/>
  <c r="V60" i="97" a="1"/>
  <c r="Z48" i="97" a="1"/>
  <c r="AA45" i="97" a="1"/>
  <c r="T39" i="97" a="1"/>
  <c r="T42" i="97" a="1"/>
  <c r="L54" i="97" a="1"/>
  <c r="S57" i="97" a="1"/>
  <c r="J58" i="97" a="1"/>
  <c r="R42" i="97" a="1"/>
  <c r="X57" i="97" a="1"/>
  <c r="N58" i="97" a="1"/>
  <c r="U39" i="97" a="1"/>
  <c r="Q42" i="97" a="1"/>
  <c r="M14" i="97" a="1"/>
  <c r="Q14" i="97" a="1"/>
  <c r="F10" i="97" a="1"/>
  <c r="BO5" i="106"/>
  <c r="Q11" i="97" a="1"/>
  <c r="S48" i="97" a="1"/>
  <c r="I54" i="97" a="1"/>
  <c r="Z49" i="97" a="1"/>
  <c r="Z57" i="97" a="1"/>
  <c r="V54" i="97" a="1"/>
  <c r="N42" i="97" a="1"/>
  <c r="J48" i="97" a="1"/>
  <c r="X54" i="97" a="1"/>
  <c r="P11" i="97" a="1"/>
  <c r="K57" i="97" a="1"/>
  <c r="P60" i="97" a="1"/>
  <c r="H20" i="97" a="1"/>
  <c r="P41" i="97" a="1"/>
  <c r="F39" i="97" a="1"/>
  <c r="J40" i="97" a="1"/>
  <c r="H39" i="97" a="1"/>
  <c r="T14" i="97" a="1"/>
  <c r="I14" i="97" a="1"/>
  <c r="R51" i="97" a="1"/>
  <c r="R46" i="97" a="1"/>
  <c r="M11" i="97" a="1"/>
  <c r="F40" i="97" a="1"/>
  <c r="J23" i="97" a="1"/>
  <c r="J62" i="97" a="1"/>
  <c r="BV5" i="106"/>
  <c r="T57" i="97" a="1"/>
  <c r="H51" i="97" a="1"/>
  <c r="R40" i="97" a="1"/>
  <c r="P51" i="97" a="1"/>
  <c r="R58" i="97" a="1"/>
  <c r="K45" i="97" a="1"/>
  <c r="J55" i="97" a="1"/>
  <c r="P44" i="97" a="1"/>
  <c r="N26" i="97" a="1"/>
  <c r="P54" i="97" a="1"/>
  <c r="L43" i="97" a="1"/>
  <c r="J11" i="97" a="1"/>
  <c r="R56" i="97" a="1"/>
  <c r="N20" i="97" a="1"/>
  <c r="S5" i="97" a="1"/>
  <c r="L42" i="97" a="1"/>
  <c r="L26" i="97" a="1"/>
  <c r="J20" i="97" a="1"/>
  <c r="U26" i="97" a="1"/>
  <c r="L20" i="97" a="1"/>
  <c r="P39" i="97" a="1"/>
  <c r="G39" i="97" a="1"/>
  <c r="P5" i="97" a="1"/>
  <c r="J59" i="97" a="1"/>
  <c r="J47" i="97" a="1"/>
  <c r="U14" i="97" a="1"/>
  <c r="O48" i="97" a="1"/>
  <c r="G42" i="97" a="1"/>
  <c r="CJ5" i="106"/>
  <c r="X40" i="97" a="1"/>
  <c r="H48" i="97" a="1"/>
  <c r="H26" i="97" a="1"/>
  <c r="CK5" i="106"/>
  <c r="I39" i="97" a="1"/>
  <c r="P26" i="97" a="1"/>
  <c r="M26" i="97" a="1"/>
  <c r="Q54" i="97" a="1"/>
  <c r="U45" i="97" a="1"/>
  <c r="H43" i="97" a="1"/>
  <c r="G60" i="97" a="1"/>
  <c r="R20" i="97" a="1"/>
  <c r="J14" i="97" a="1"/>
  <c r="L45" i="97" a="1"/>
  <c r="P56" i="97" a="1"/>
  <c r="S42" i="97" a="1"/>
  <c r="Z54" i="97" a="1"/>
  <c r="H11" i="97" a="1"/>
  <c r="H59" i="97" a="1"/>
  <c r="J44" i="97" a="1"/>
  <c r="Z61" i="97" a="1"/>
  <c r="G14" i="97" a="1"/>
  <c r="L46" i="97" a="1"/>
  <c r="Q51" i="97" a="1"/>
  <c r="R54" i="97" a="1"/>
  <c r="T48" i="97" a="1"/>
  <c r="O39" i="97" a="1"/>
  <c r="BY5" i="106"/>
  <c r="L51" i="97" a="1"/>
  <c r="H14" i="97" a="1"/>
  <c r="AA57" i="97" a="1"/>
  <c r="J61" i="97" a="1"/>
  <c r="V45" i="97" a="1"/>
  <c r="L5" i="97" a="1"/>
  <c r="H44" i="97" a="1"/>
  <c r="L40" i="97" a="1"/>
  <c r="CJ6" i="106"/>
  <c r="CJ7" i="106" s="1"/>
  <c r="R45" i="97" a="1"/>
  <c r="I57" i="97" a="1"/>
  <c r="H53" i="97" a="1"/>
  <c r="Z52" i="97" a="1"/>
  <c r="M39" i="97" a="1"/>
  <c r="G11" i="97" a="1"/>
  <c r="L14" i="97" a="1"/>
  <c r="K54" i="97" a="1"/>
  <c r="CG5" i="106"/>
  <c r="J57" i="97" a="1"/>
  <c r="P42" i="97" a="1"/>
  <c r="F26" i="97" a="1"/>
  <c r="T8" i="97" a="1"/>
  <c r="N39" i="97" a="1"/>
  <c r="G57" i="97" a="1"/>
  <c r="R39" i="97" a="1"/>
  <c r="U51" i="97" a="1"/>
  <c r="H55" i="97" a="1"/>
  <c r="BS5" i="106"/>
  <c r="I26" i="97" a="1"/>
  <c r="N49" i="97" a="1"/>
  <c r="R17" i="97" a="1"/>
  <c r="F42" i="97" a="1"/>
  <c r="R49" i="97" a="1"/>
  <c r="J60" i="97" a="1"/>
  <c r="L61" i="97" a="1"/>
  <c r="AA48" i="97" a="1"/>
  <c r="I48" i="97" a="1"/>
  <c r="J39" i="97" a="1"/>
  <c r="F23" i="97" a="1"/>
  <c r="N60" i="97" a="1"/>
  <c r="J42" i="97" a="1"/>
  <c r="P20" i="97" a="1"/>
  <c r="Z55" i="97" a="1"/>
  <c r="H42" i="97" a="1"/>
  <c r="R41" i="97" a="1"/>
  <c r="F16" i="97" a="1"/>
  <c r="N52" i="97" a="1"/>
  <c r="F58" i="97" a="1"/>
  <c r="M45" i="97" a="1"/>
  <c r="L47" i="97" a="1"/>
  <c r="N11" i="97" a="1"/>
  <c r="H62" i="97" a="1"/>
  <c r="M60" i="97" a="1"/>
  <c r="O42" i="97" a="1"/>
  <c r="CE5" i="106"/>
  <c r="CE6" i="106" s="1"/>
  <c r="N41" i="97" a="1"/>
  <c r="V57" i="97" a="1"/>
  <c r="P43" i="97" a="1"/>
  <c r="R43" i="97" a="1"/>
  <c r="Y60" i="97" a="1"/>
  <c r="F45" i="97" a="1"/>
  <c r="CI5" i="106"/>
  <c r="CI6" i="106" s="1"/>
  <c r="S8" i="97" a="1"/>
  <c r="I23" i="97" a="1"/>
  <c r="L49" i="97" a="1"/>
  <c r="I8" i="97" a="1"/>
  <c r="K48" i="97" a="1"/>
  <c r="H58" i="97" a="1"/>
  <c r="F49" i="97" a="1"/>
  <c r="J41" i="97" a="1"/>
  <c r="CQ5" i="106"/>
  <c r="CQ6" i="106" s="1"/>
  <c r="O14" i="97" a="1"/>
  <c r="N44" i="97" a="1"/>
  <c r="F46" i="97" a="1"/>
  <c r="R26" i="97" a="1"/>
  <c r="O5" i="97" a="1"/>
  <c r="N48" i="97" a="1"/>
  <c r="S17" i="97" a="1"/>
  <c r="F60" i="97" a="1"/>
  <c r="N47" i="97" a="1"/>
  <c r="P23" i="97" a="1"/>
  <c r="X53" i="97" a="1"/>
  <c r="F12" i="97" a="1"/>
  <c r="H5" i="97" a="1"/>
  <c r="N61" i="97" a="1"/>
  <c r="S60" i="97" a="1"/>
  <c r="T20" i="97" a="1"/>
  <c r="R57" i="97" a="1"/>
  <c r="X49" i="97" a="1"/>
  <c r="F8" i="97" a="1"/>
  <c r="O45" i="97" a="1"/>
  <c r="I20" i="97" a="1"/>
  <c r="S54" i="97" a="1"/>
  <c r="L62" i="97" a="1"/>
  <c r="Q23" i="97" a="1"/>
  <c r="N54" i="97" a="1"/>
  <c r="Y39" i="97" a="1"/>
  <c r="Y42" i="97" a="1"/>
  <c r="L57" i="97" a="1"/>
  <c r="G20" i="97" a="1"/>
  <c r="BW5" i="106"/>
  <c r="BW6" i="106" s="1"/>
  <c r="BW7" i="106" s="1"/>
  <c r="L48" i="97" a="1"/>
  <c r="T5" i="97" a="1"/>
  <c r="CO5" i="106"/>
  <c r="H40" i="97" a="1"/>
  <c r="P14" i="97" a="1"/>
  <c r="U11" i="97" a="1"/>
  <c r="P49" i="97" a="1"/>
  <c r="H52" i="97" a="1"/>
  <c r="F61" i="97" a="1"/>
  <c r="CL5" i="106"/>
  <c r="S45" i="97" a="1"/>
  <c r="L55" i="97" a="1"/>
  <c r="I17" i="97" a="1"/>
  <c r="P61" i="97" a="1"/>
  <c r="AA60" i="97" a="1"/>
  <c r="N57" i="97" a="1"/>
  <c r="U5" i="97" a="1"/>
  <c r="N14" i="97" a="1"/>
  <c r="P62" i="97" a="1"/>
  <c r="X47" i="97" a="1"/>
  <c r="H8" i="97" a="1"/>
  <c r="F41" i="97" a="1"/>
  <c r="Z44" i="97" a="1"/>
  <c r="H60" i="97" a="1"/>
  <c r="J43" i="97" a="1"/>
  <c r="U8" i="97" a="1"/>
  <c r="X44" i="97" a="1"/>
  <c r="F20" i="97" a="1"/>
  <c r="X52" i="97" a="1"/>
  <c r="Y48" i="97" a="1"/>
  <c r="BU5" i="106"/>
  <c r="X42" i="97" a="1"/>
  <c r="L59" i="97" a="1"/>
  <c r="Z45" i="97" a="1"/>
  <c r="X43" i="97" a="1"/>
  <c r="H47" i="97" a="1"/>
  <c r="BM6" i="106"/>
  <c r="U57" i="97" a="1"/>
  <c r="J8" i="97" a="1"/>
  <c r="F47" i="97" a="1"/>
  <c r="I5" i="97" a="1"/>
  <c r="R55" i="97" a="1"/>
  <c r="X62" i="97" a="1"/>
  <c r="F13" i="97" a="1"/>
  <c r="N53" i="97" a="1"/>
  <c r="Z62" i="97" a="1"/>
  <c r="BU6" i="106"/>
  <c r="N62" i="97" a="1"/>
  <c r="O23" i="97" a="1"/>
  <c r="F54" i="97" a="1"/>
  <c r="O60" i="97" a="1"/>
  <c r="H23" i="97" a="1"/>
  <c r="S11" i="97" a="1"/>
  <c r="F11" i="97" a="1"/>
  <c r="BR5" i="106"/>
  <c r="G45" i="97" a="1"/>
  <c r="P8" i="97" a="1"/>
  <c r="Z43" i="97" a="1"/>
  <c r="F15" i="97" a="1"/>
  <c r="R5" i="97" a="1"/>
  <c r="R53" i="97" a="1"/>
  <c r="J56" i="97" a="1"/>
  <c r="F22" i="97" a="1"/>
  <c r="N51" i="97" a="1"/>
  <c r="Z60" i="97" a="1"/>
  <c r="O51" i="97" a="1"/>
  <c r="N45" i="97" a="1"/>
  <c r="Z56" i="97" a="1"/>
  <c r="AA39" i="97" a="1"/>
  <c r="L50" i="97" a="1"/>
  <c r="U20" i="97" a="1"/>
  <c r="G23" i="97" a="1"/>
  <c r="X61" i="97" a="1"/>
  <c r="AA54" i="97" a="1"/>
  <c r="Z46" i="97" a="1"/>
  <c r="P52" i="97" a="1"/>
  <c r="CJ8" i="106"/>
  <c r="S23" i="97" a="1"/>
  <c r="X55" i="97" a="1"/>
  <c r="R61" i="97" a="1"/>
  <c r="J54" i="97" a="1"/>
  <c r="F48" i="97" a="1"/>
  <c r="N59" i="97" a="1"/>
  <c r="J45" i="97" a="1"/>
  <c r="H49" i="97" a="1"/>
  <c r="U17" i="97" a="1"/>
  <c r="T54" i="97" a="1"/>
  <c r="X58" i="97" a="1"/>
  <c r="T60" i="97" a="1"/>
  <c r="Q57" i="97" a="1"/>
  <c r="J52" i="97" a="1"/>
  <c r="N43" i="97" a="1"/>
  <c r="P59" i="97" a="1"/>
  <c r="Z58" i="97" a="1"/>
  <c r="R60" i="97" a="1"/>
  <c r="Z42" i="97" a="1"/>
  <c r="R52" i="97" a="1"/>
  <c r="F56" i="97" a="1"/>
  <c r="CO6" i="106"/>
  <c r="BW8" i="106"/>
  <c r="BW9" i="106" s="1"/>
  <c r="F52" i="97" a="1"/>
  <c r="F53" i="97" a="1"/>
  <c r="H41" i="97" a="1"/>
  <c r="S14" i="97" a="1"/>
  <c r="R50" i="97" a="1"/>
  <c r="H54" i="97" a="1"/>
  <c r="V51" i="97" a="1"/>
  <c r="N55" i="97" a="1"/>
  <c r="F44" i="97" a="1"/>
  <c r="M17" i="97" a="1"/>
  <c r="H50" i="97" a="1"/>
  <c r="G17" i="97" a="1"/>
  <c r="Z39" i="97" a="1"/>
  <c r="R47" i="97" a="1"/>
  <c r="I11" i="97" a="1"/>
  <c r="AA51" i="97" a="1"/>
  <c r="X51" i="97" a="1"/>
  <c r="F55" i="97" a="1"/>
  <c r="P50" i="97" a="1"/>
  <c r="F7" i="97" a="1"/>
  <c r="Z59" i="97" a="1"/>
  <c r="Q5" i="97" a="1"/>
  <c r="J53" i="97" a="1"/>
  <c r="X45" i="97" a="1"/>
  <c r="S39" i="97" a="1"/>
  <c r="G48" i="97" a="1"/>
  <c r="Q45" i="97" a="1"/>
  <c r="P55" i="97" a="1"/>
  <c r="L56" i="97" a="1"/>
  <c r="O57" i="97" a="1"/>
  <c r="U60" i="97" a="1"/>
  <c r="R8" i="97" a="1"/>
  <c r="Q17" i="97" a="1"/>
  <c r="BP5" i="106"/>
  <c r="O54" i="97" a="1"/>
  <c r="F19" i="97" a="1"/>
  <c r="T17" i="97" a="1"/>
  <c r="M5" i="97" a="1"/>
  <c r="P45" i="97" a="1"/>
  <c r="Y51" i="97" a="1"/>
  <c r="Y54" i="97" a="1"/>
  <c r="CJ9" i="106"/>
  <c r="CJ10" i="106" s="1"/>
  <c r="CJ11" i="106" s="1"/>
  <c r="CJ12" i="106" s="1"/>
  <c r="J46" i="97" a="1"/>
  <c r="Z50" i="97" a="1"/>
  <c r="V48" i="97" a="1"/>
  <c r="F9" i="97" a="1"/>
  <c r="N40" i="97" a="1"/>
  <c r="O8" i="97" a="1"/>
  <c r="F27" i="97" a="1"/>
  <c r="P53" i="97" a="1"/>
  <c r="F5" i="97" a="1"/>
  <c r="BN5" i="106"/>
  <c r="H17" i="97" a="1"/>
  <c r="V42" i="97" a="1"/>
  <c r="G26" i="97" a="1"/>
  <c r="K42" i="97" a="1"/>
  <c r="H45" i="97" a="1"/>
  <c r="CF6" i="106"/>
  <c r="CJ13" i="106"/>
  <c r="CJ14" i="106" s="1"/>
  <c r="CJ15" i="106" s="1"/>
  <c r="CJ16" i="106" s="1"/>
  <c r="CJ17" i="106" s="1"/>
  <c r="CJ18" i="106" s="1"/>
  <c r="Z53" i="97" a="1"/>
  <c r="Z47" i="97" a="1"/>
  <c r="P46" i="97" a="1"/>
  <c r="J17" i="97" a="1"/>
  <c r="L23" i="97" a="1"/>
  <c r="M57" i="97" a="1"/>
  <c r="M23" i="97" a="1"/>
  <c r="J5" i="97" a="1"/>
  <c r="G54" i="97" a="1"/>
  <c r="U48" i="97" a="1"/>
  <c r="J51" i="97" a="1"/>
  <c r="CL6" i="106"/>
  <c r="X39" i="97" a="1"/>
  <c r="K51" i="97" a="1"/>
  <c r="M42" i="97" a="1"/>
  <c r="R23" i="97" a="1"/>
  <c r="BX5" i="106"/>
  <c r="BX6" i="106" s="1"/>
  <c r="Z40" i="97" a="1"/>
  <c r="M8" i="97" a="1"/>
  <c r="CK6" i="106"/>
  <c r="CK7" i="106" s="1"/>
  <c r="CK8" i="106" s="1"/>
  <c r="CK9" i="106" s="1"/>
  <c r="L17" i="97" a="1"/>
  <c r="P47" i="97" a="1"/>
  <c r="F57" i="97" a="1"/>
  <c r="CP5" i="106"/>
  <c r="R59" i="97" a="1"/>
  <c r="X56" i="97" a="1"/>
  <c r="L41" i="97" a="1"/>
  <c r="P57" i="97" a="1"/>
  <c r="S20" i="97" a="1"/>
  <c r="CN5" i="106"/>
  <c r="X59" i="97" a="1"/>
  <c r="AA42" i="97" a="1"/>
  <c r="BZ5" i="106"/>
  <c r="F51" i="97" a="1"/>
  <c r="X48" i="97" a="1"/>
  <c r="M48" i="97" a="1"/>
  <c r="X41" i="97" a="1"/>
  <c r="Z51" i="97" a="1"/>
  <c r="CH5" i="106"/>
  <c r="X46" i="97" a="1"/>
  <c r="Z41" i="97" a="1"/>
  <c r="Q26" i="97" a="1"/>
  <c r="L53" i="97" a="1"/>
  <c r="L52" i="97" a="1"/>
  <c r="L44" i="97" a="1"/>
  <c r="R62" i="97" a="1"/>
  <c r="P58" i="97" a="1"/>
  <c r="F21" i="97" a="1"/>
  <c r="G8" i="97" a="1"/>
  <c r="N23" i="97" a="1"/>
  <c r="R44" i="97" a="1"/>
  <c r="BU7" i="106"/>
  <c r="BU8" i="106" s="1"/>
  <c r="O26" i="97" a="1"/>
  <c r="I51" i="97" a="1"/>
  <c r="T26" i="97" a="1"/>
  <c r="T11" i="97" a="1"/>
  <c r="L8" i="97" a="1"/>
  <c r="BT5" i="106"/>
  <c r="T51" i="97" a="1"/>
  <c r="T45" i="97" a="1"/>
  <c r="F62" i="97" a="1"/>
  <c r="I42" i="97" a="1"/>
  <c r="CL7" i="106"/>
  <c r="CL8" i="106" s="1"/>
  <c r="CL9" i="106" s="1"/>
  <c r="CL10" i="106" s="1"/>
  <c r="CL11" i="106" s="1"/>
  <c r="CL12" i="106" s="1"/>
  <c r="CL13" i="106" s="1"/>
  <c r="CL14" i="106" s="1"/>
  <c r="G51" i="97" a="1"/>
  <c r="CM5" i="106"/>
  <c r="U42" i="97" a="1"/>
  <c r="N46" i="97" a="1"/>
  <c r="O17" i="97" a="1"/>
  <c r="F28" i="97" a="1"/>
  <c r="I45" i="97" a="1"/>
  <c r="H57" i="97" a="1"/>
  <c r="Q48" i="97" a="1"/>
  <c r="Y57" i="97" a="1"/>
  <c r="J26" i="97" a="1"/>
  <c r="L11" i="97" a="1"/>
  <c r="BQ5" i="106"/>
  <c r="BQ6" i="106" s="1"/>
  <c r="Q39" i="97" a="1"/>
  <c r="BU9" i="106"/>
  <c r="V39" i="97" a="1"/>
  <c r="U54" i="97" a="1"/>
  <c r="L60" i="97" a="1"/>
  <c r="M54" i="97" a="1"/>
  <c r="S26" i="97" a="1"/>
  <c r="Q60" i="97" a="1"/>
  <c r="BM7" i="106"/>
  <c r="F14" i="97" a="1"/>
  <c r="H56" i="97" a="1"/>
  <c r="X50" i="97" a="1"/>
  <c r="F17" i="97" a="1"/>
  <c r="Y45" i="97" a="1"/>
  <c r="F24" i="97" a="1"/>
  <c r="N56" i="97" a="1"/>
  <c r="P48" i="97" a="1"/>
  <c r="G5" i="97" a="1"/>
  <c r="BW10" i="106"/>
  <c r="N8" i="97" a="1"/>
  <c r="R14" i="97" a="1"/>
  <c r="N5" i="97" a="1"/>
  <c r="Q20" i="97" a="1"/>
  <c r="F43" i="97" a="1"/>
  <c r="K60" i="97" a="1"/>
  <c r="F50" i="97" a="1"/>
  <c r="BT6" i="106"/>
  <c r="N50" i="97" a="1"/>
  <c r="F6" i="97" a="1"/>
  <c r="P17" i="97" a="1"/>
  <c r="R48" i="97" a="1"/>
  <c r="CK10" i="106"/>
  <c r="CK11" i="106" s="1"/>
  <c r="CK12" i="106" s="1"/>
  <c r="CK13" i="106" s="1"/>
  <c r="CK14" i="106" s="1"/>
  <c r="CK15" i="106" s="1"/>
  <c r="CK16" i="106" s="1"/>
  <c r="CK17" i="106" s="1"/>
  <c r="P40" i="97" a="1"/>
  <c r="X60" i="97" a="1"/>
  <c r="M51" i="97" a="1"/>
  <c r="F25" i="97" a="1"/>
  <c r="BP6" i="106"/>
  <c r="J49" i="97" a="1"/>
  <c r="CL15" i="106"/>
  <c r="CL16" i="106" s="1"/>
  <c r="O11" i="97" a="1"/>
  <c r="H46" i="97" a="1"/>
  <c r="H61" i="97" a="1"/>
  <c r="F18" i="97" a="1"/>
  <c r="BQ7" i="106"/>
  <c r="BQ8" i="106" s="1"/>
  <c r="BQ9" i="106" s="1"/>
  <c r="BQ10" i="106" s="1"/>
  <c r="BQ11" i="106" s="1"/>
  <c r="BQ12" i="106" s="1"/>
  <c r="BQ13" i="106" s="1"/>
  <c r="BQ14" i="106" s="1"/>
  <c r="BQ15" i="106" s="1"/>
  <c r="BQ16" i="106" s="1"/>
  <c r="G42" i="97" l="1"/>
  <c r="J47" i="97"/>
  <c r="F39" i="97"/>
  <c r="R62" i="97"/>
  <c r="Q39" i="97"/>
  <c r="Y54" i="97"/>
  <c r="Z59" i="97"/>
  <c r="G60" i="97"/>
  <c r="L40" i="97"/>
  <c r="L5" i="97"/>
  <c r="J61" i="97"/>
  <c r="P41" i="97"/>
  <c r="F56" i="97"/>
  <c r="P52" i="97"/>
  <c r="F28" i="97"/>
  <c r="I42" i="97"/>
  <c r="N56" i="97"/>
  <c r="H5" i="97"/>
  <c r="X43" i="97"/>
  <c r="O48" i="97"/>
  <c r="J59" i="97"/>
  <c r="H20" i="97"/>
  <c r="R48" i="97"/>
  <c r="J51" i="97"/>
  <c r="H45" i="97"/>
  <c r="Y51" i="97"/>
  <c r="F7" i="97"/>
  <c r="T8" i="97"/>
  <c r="O14" i="97"/>
  <c r="P5" i="97"/>
  <c r="P60" i="97"/>
  <c r="R52" i="97"/>
  <c r="Z46" i="97"/>
  <c r="F50" i="97"/>
  <c r="P57" i="97"/>
  <c r="R44" i="97"/>
  <c r="Z62" i="97"/>
  <c r="V45" i="97"/>
  <c r="AA57" i="97"/>
  <c r="K57" i="97"/>
  <c r="Q60" i="97"/>
  <c r="Z51" i="97"/>
  <c r="K42" i="97"/>
  <c r="P45" i="97"/>
  <c r="P50" i="97"/>
  <c r="H43" i="97"/>
  <c r="Z45" i="97"/>
  <c r="J41" i="97"/>
  <c r="G39" i="97"/>
  <c r="P11" i="97"/>
  <c r="Z42" i="97"/>
  <c r="AA54" i="97"/>
  <c r="F18" i="97"/>
  <c r="F62" i="97"/>
  <c r="F24" i="97"/>
  <c r="F12" i="97"/>
  <c r="L59" i="97"/>
  <c r="F49" i="97"/>
  <c r="P39" i="97"/>
  <c r="P63" i="97" s="1"/>
  <c r="N19" i="105" s="1"/>
  <c r="X54" i="97"/>
  <c r="L44" i="97"/>
  <c r="U48" i="97"/>
  <c r="G26" i="97"/>
  <c r="M5" i="97"/>
  <c r="F55" i="97"/>
  <c r="F26" i="97"/>
  <c r="H44" i="97"/>
  <c r="U14" i="97"/>
  <c r="L20" i="97"/>
  <c r="J48" i="97"/>
  <c r="R60" i="97"/>
  <c r="X61" i="97"/>
  <c r="O17" i="97"/>
  <c r="G5" i="97"/>
  <c r="F25" i="97"/>
  <c r="N53" i="97"/>
  <c r="X42" i="97"/>
  <c r="H58" i="97"/>
  <c r="H14" i="97"/>
  <c r="N42" i="97"/>
  <c r="P17" i="97"/>
  <c r="X41" i="97"/>
  <c r="F5" i="97"/>
  <c r="T17" i="97"/>
  <c r="X51" i="97"/>
  <c r="U45" i="97"/>
  <c r="K48" i="97"/>
  <c r="U26" i="97"/>
  <c r="V54" i="97"/>
  <c r="Z58" i="97"/>
  <c r="G23" i="97"/>
  <c r="X59" i="97"/>
  <c r="L41" i="97"/>
  <c r="N23" i="97"/>
  <c r="X53" i="97"/>
  <c r="Y48" i="97"/>
  <c r="I8" i="97"/>
  <c r="J20" i="97"/>
  <c r="Z57" i="97"/>
  <c r="G54" i="97"/>
  <c r="AA42" i="97"/>
  <c r="F19" i="97"/>
  <c r="AA51" i="97"/>
  <c r="P42" i="97"/>
  <c r="X52" i="97"/>
  <c r="L49" i="97"/>
  <c r="L26" i="97"/>
  <c r="Z49" i="97"/>
  <c r="P59" i="97"/>
  <c r="U20" i="97"/>
  <c r="K60" i="97"/>
  <c r="T45" i="97"/>
  <c r="L17" i="97"/>
  <c r="F13" i="97"/>
  <c r="F20" i="97"/>
  <c r="I23" i="97"/>
  <c r="L42" i="97"/>
  <c r="I54" i="97"/>
  <c r="S26" i="97"/>
  <c r="M48" i="97"/>
  <c r="P53" i="97"/>
  <c r="O54" i="97"/>
  <c r="I11" i="97"/>
  <c r="Q54" i="97"/>
  <c r="X44" i="97"/>
  <c r="S8" i="97"/>
  <c r="S5" i="97"/>
  <c r="S48" i="97"/>
  <c r="N43" i="97"/>
  <c r="L50" i="97"/>
  <c r="H61" i="97"/>
  <c r="X56" i="97"/>
  <c r="Y45" i="97"/>
  <c r="P23" i="97"/>
  <c r="U8" i="97"/>
  <c r="L51" i="97"/>
  <c r="Q11" i="97"/>
  <c r="L52" i="97"/>
  <c r="J5" i="97"/>
  <c r="I45" i="97"/>
  <c r="R47" i="97"/>
  <c r="X62" i="97"/>
  <c r="J43" i="97"/>
  <c r="F45" i="97"/>
  <c r="N20" i="97"/>
  <c r="J52" i="97"/>
  <c r="AA39" i="97"/>
  <c r="N46" i="97"/>
  <c r="T51" i="97"/>
  <c r="S54" i="97"/>
  <c r="M26" i="97"/>
  <c r="H60" i="97"/>
  <c r="Y60" i="97"/>
  <c r="R56" i="97"/>
  <c r="F10" i="97"/>
  <c r="M51" i="97"/>
  <c r="R23" i="97"/>
  <c r="X48" i="97"/>
  <c r="F27" i="97"/>
  <c r="J57" i="97"/>
  <c r="Z44" i="97"/>
  <c r="R43" i="97"/>
  <c r="J11" i="97"/>
  <c r="Q14" i="97"/>
  <c r="Z39" i="97"/>
  <c r="Q57" i="97"/>
  <c r="Z56" i="97"/>
  <c r="I20" i="97"/>
  <c r="N47" i="97"/>
  <c r="F41" i="97"/>
  <c r="F65" i="97" s="1"/>
  <c r="D21" i="105" s="1"/>
  <c r="P43" i="97"/>
  <c r="L43" i="97"/>
  <c r="M14" i="97"/>
  <c r="F43" i="97"/>
  <c r="R59" i="97"/>
  <c r="G8" i="97"/>
  <c r="F6" i="97"/>
  <c r="J44" i="97"/>
  <c r="R55" i="97"/>
  <c r="H8" i="97"/>
  <c r="V57" i="97"/>
  <c r="P54" i="97"/>
  <c r="Q42" i="97"/>
  <c r="M23" i="97"/>
  <c r="L11" i="97"/>
  <c r="Q17" i="97"/>
  <c r="G17" i="97"/>
  <c r="H55" i="97"/>
  <c r="P26" i="97"/>
  <c r="X47" i="97"/>
  <c r="N41" i="97"/>
  <c r="N26" i="97"/>
  <c r="U39" i="97"/>
  <c r="T60" i="97"/>
  <c r="N45" i="97"/>
  <c r="H46" i="97"/>
  <c r="O45" i="97"/>
  <c r="F60" i="97"/>
  <c r="P62" i="97"/>
  <c r="P44" i="97"/>
  <c r="N58" i="97"/>
  <c r="F17" i="97"/>
  <c r="M54" i="97"/>
  <c r="M57" i="97"/>
  <c r="O8" i="97"/>
  <c r="H59" i="97"/>
  <c r="I5" i="97"/>
  <c r="N14" i="97"/>
  <c r="O42" i="97"/>
  <c r="X57" i="97"/>
  <c r="R8" i="97"/>
  <c r="H50" i="97"/>
  <c r="X58" i="97"/>
  <c r="O51" i="97"/>
  <c r="U51" i="97"/>
  <c r="S17" i="97"/>
  <c r="U5" i="97"/>
  <c r="M60" i="97"/>
  <c r="J55" i="97"/>
  <c r="R42" i="97"/>
  <c r="Q20" i="97"/>
  <c r="X60" i="97"/>
  <c r="L53" i="97"/>
  <c r="F8" i="97"/>
  <c r="N48" i="97"/>
  <c r="N57" i="97"/>
  <c r="H62" i="97"/>
  <c r="K45" i="97"/>
  <c r="J58" i="97"/>
  <c r="F51" i="97"/>
  <c r="J26" i="97"/>
  <c r="U60" i="97"/>
  <c r="M17" i="97"/>
  <c r="H11" i="97"/>
  <c r="F47" i="97"/>
  <c r="AA60" i="97"/>
  <c r="N11" i="97"/>
  <c r="R58" i="97"/>
  <c r="S57" i="97"/>
  <c r="T54" i="97"/>
  <c r="Z60" i="97"/>
  <c r="U42" i="97"/>
  <c r="L8" i="97"/>
  <c r="P61" i="97"/>
  <c r="L47" i="97"/>
  <c r="O39" i="97"/>
  <c r="L54" i="97"/>
  <c r="X50" i="97"/>
  <c r="M42" i="97"/>
  <c r="L23" i="97"/>
  <c r="N40" i="97"/>
  <c r="R39" i="97"/>
  <c r="I39" i="97"/>
  <c r="I17" i="97"/>
  <c r="M45" i="97"/>
  <c r="P51" i="97"/>
  <c r="T42" i="97"/>
  <c r="O57" i="97"/>
  <c r="F44" i="97"/>
  <c r="U17" i="97"/>
  <c r="N51" i="97"/>
  <c r="X49" i="97"/>
  <c r="O5" i="97"/>
  <c r="L55" i="97"/>
  <c r="F58" i="97"/>
  <c r="T48" i="97"/>
  <c r="T39" i="97"/>
  <c r="N5" i="97"/>
  <c r="F57" i="97"/>
  <c r="F21" i="97"/>
  <c r="L60" i="97"/>
  <c r="Z54" i="97"/>
  <c r="K54" i="97"/>
  <c r="S45" i="97"/>
  <c r="N52" i="97"/>
  <c r="R40" i="97"/>
  <c r="AA45" i="97"/>
  <c r="J17" i="97"/>
  <c r="Y57" i="97"/>
  <c r="L56" i="97"/>
  <c r="N55" i="97"/>
  <c r="F11" i="97"/>
  <c r="J8" i="97"/>
  <c r="F16" i="97"/>
  <c r="H51" i="97"/>
  <c r="Z48" i="97"/>
  <c r="H49" i="97"/>
  <c r="F22" i="97"/>
  <c r="R14" i="97"/>
  <c r="T11" i="97"/>
  <c r="S42" i="97"/>
  <c r="R26" i="97"/>
  <c r="F61" i="97"/>
  <c r="R41" i="97"/>
  <c r="R54" i="97"/>
  <c r="V60" i="97"/>
  <c r="Q26" i="97"/>
  <c r="H17" i="97"/>
  <c r="F9" i="97"/>
  <c r="R57" i="97"/>
  <c r="L14" i="97"/>
  <c r="H52" i="97"/>
  <c r="H42" i="97"/>
  <c r="T57" i="97"/>
  <c r="N17" i="97"/>
  <c r="P55" i="97"/>
  <c r="V51" i="97"/>
  <c r="J45" i="97"/>
  <c r="J56" i="97"/>
  <c r="S11" i="97"/>
  <c r="P49" i="97"/>
  <c r="Z55" i="97"/>
  <c r="Q51" i="97"/>
  <c r="T26" i="97"/>
  <c r="H56" i="97"/>
  <c r="K51" i="97"/>
  <c r="G57" i="97"/>
  <c r="U57" i="97"/>
  <c r="U11" i="97"/>
  <c r="P20" i="97"/>
  <c r="M20" i="97"/>
  <c r="P46" i="97"/>
  <c r="Q48" i="97"/>
  <c r="Q45" i="97"/>
  <c r="H54" i="97"/>
  <c r="T20" i="97"/>
  <c r="G11" i="97"/>
  <c r="P14" i="97"/>
  <c r="J42" i="97"/>
  <c r="L46" i="97"/>
  <c r="O20" i="97"/>
  <c r="N59" i="97"/>
  <c r="R53" i="97"/>
  <c r="I51" i="97"/>
  <c r="P56" i="97"/>
  <c r="F46" i="97"/>
  <c r="H40" i="97"/>
  <c r="N60" i="97"/>
  <c r="J62" i="97"/>
  <c r="K39" i="97"/>
  <c r="M8" i="97"/>
  <c r="Z41" i="97"/>
  <c r="Z47" i="97"/>
  <c r="V48" i="97"/>
  <c r="H23" i="97"/>
  <c r="H26" i="97"/>
  <c r="F23" i="97"/>
  <c r="J23" i="97"/>
  <c r="I60" i="97"/>
  <c r="G48" i="97"/>
  <c r="R50" i="97"/>
  <c r="F48" i="97"/>
  <c r="R5" i="97"/>
  <c r="O60" i="97"/>
  <c r="M39" i="97"/>
  <c r="T5" i="97"/>
  <c r="J39" i="97"/>
  <c r="F40" i="97"/>
  <c r="F64" i="97" s="1"/>
  <c r="D20" i="105" s="1"/>
  <c r="N8" i="97"/>
  <c r="J49" i="97"/>
  <c r="F14" i="97"/>
  <c r="U54" i="97"/>
  <c r="L45" i="97"/>
  <c r="H48" i="97"/>
  <c r="L48" i="97"/>
  <c r="I48" i="97"/>
  <c r="M11" i="97"/>
  <c r="L58" i="97"/>
  <c r="V42" i="97"/>
  <c r="S39" i="97"/>
  <c r="S14" i="97"/>
  <c r="S60" i="97"/>
  <c r="Z52" i="97"/>
  <c r="AA48" i="97"/>
  <c r="G14" i="97"/>
  <c r="S51" i="97"/>
  <c r="J54" i="97"/>
  <c r="F15" i="97"/>
  <c r="O11" i="97"/>
  <c r="P47" i="97"/>
  <c r="F54" i="97"/>
  <c r="H53" i="97"/>
  <c r="G20" i="97"/>
  <c r="L61" i="97"/>
  <c r="R46" i="97"/>
  <c r="F59" i="97"/>
  <c r="P40" i="97"/>
  <c r="X39" i="97"/>
  <c r="V39" i="97"/>
  <c r="Z50" i="97"/>
  <c r="J14" i="97"/>
  <c r="L57" i="97"/>
  <c r="J60" i="97"/>
  <c r="R51" i="97"/>
  <c r="J50" i="97"/>
  <c r="X45" i="97"/>
  <c r="H41" i="97"/>
  <c r="H65" i="97" s="1"/>
  <c r="F21" i="105" s="1"/>
  <c r="R61" i="97"/>
  <c r="Z43" i="97"/>
  <c r="O23" i="97"/>
  <c r="I57" i="97"/>
  <c r="Y42" i="97"/>
  <c r="R49" i="97"/>
  <c r="I14" i="97"/>
  <c r="U23" i="97"/>
  <c r="G51" i="97"/>
  <c r="P48" i="97"/>
  <c r="P58" i="97"/>
  <c r="N50" i="97"/>
  <c r="N61" i="97"/>
  <c r="H47" i="97"/>
  <c r="Y39" i="97"/>
  <c r="F42" i="97"/>
  <c r="T14" i="97"/>
  <c r="R11" i="97"/>
  <c r="H57" i="97"/>
  <c r="J53" i="97"/>
  <c r="F53" i="97"/>
  <c r="R20" i="97"/>
  <c r="N44" i="97"/>
  <c r="N54" i="97"/>
  <c r="R17" i="97"/>
  <c r="H39" i="97"/>
  <c r="Q8" i="97"/>
  <c r="X55" i="97"/>
  <c r="P8" i="97"/>
  <c r="S20" i="97"/>
  <c r="O26" i="97"/>
  <c r="N39" i="97"/>
  <c r="X40" i="97"/>
  <c r="X64" i="97" s="1"/>
  <c r="V20" i="105" s="1"/>
  <c r="Q23" i="97"/>
  <c r="N49" i="97"/>
  <c r="J40" i="97"/>
  <c r="T23" i="97"/>
  <c r="Z40" i="97"/>
  <c r="X46" i="97"/>
  <c r="Z53" i="97"/>
  <c r="J46" i="97"/>
  <c r="N62" i="97"/>
  <c r="R45" i="97"/>
  <c r="L62" i="97"/>
  <c r="I26" i="97"/>
  <c r="Z61" i="97"/>
  <c r="L39" i="97"/>
  <c r="Q5" i="97"/>
  <c r="F52" i="97"/>
  <c r="S23" i="97"/>
  <c r="G45" i="97"/>
  <c r="BQ17" i="106"/>
  <c r="BT7" i="106"/>
  <c r="BM8" i="106"/>
  <c r="CD7" i="106"/>
  <c r="BY6" i="106"/>
  <c r="CH6" i="106"/>
  <c r="CH7" i="106" s="1"/>
  <c r="CH8" i="106" s="1"/>
  <c r="CH9" i="106" s="1"/>
  <c r="CE7" i="106"/>
  <c r="CJ19" i="106"/>
  <c r="CL17" i="106"/>
  <c r="CF7" i="106"/>
  <c r="BW11" i="106"/>
  <c r="CO7" i="106"/>
  <c r="BV6" i="106"/>
  <c r="BX7" i="106"/>
  <c r="BP7" i="106"/>
  <c r="CQ7" i="106"/>
  <c r="BR6" i="106"/>
  <c r="BN6" i="106"/>
  <c r="CG6" i="106"/>
  <c r="CG7" i="106" s="1"/>
  <c r="CM6" i="106"/>
  <c r="BS6" i="106"/>
  <c r="CK18" i="106"/>
  <c r="CP6" i="106"/>
  <c r="CP7" i="106" s="1"/>
  <c r="CP8" i="106" s="1"/>
  <c r="CP9" i="106" s="1"/>
  <c r="BZ6" i="106"/>
  <c r="BU10" i="106"/>
  <c r="CP10" i="106"/>
  <c r="CI7" i="106"/>
  <c r="CN6" i="106"/>
  <c r="BO6" i="106"/>
  <c r="CH10" i="106"/>
  <c r="L64" i="97" l="1"/>
  <c r="J20" i="105" s="1"/>
  <c r="N63" i="97"/>
  <c r="L19" i="105" s="1"/>
  <c r="N29" i="97"/>
  <c r="L9" i="105" s="1"/>
  <c r="P64" i="97"/>
  <c r="N20" i="105" s="1"/>
  <c r="F31" i="97"/>
  <c r="D11" i="105" s="1"/>
  <c r="R64" i="97"/>
  <c r="P20" i="105" s="1"/>
  <c r="J65" i="97"/>
  <c r="H21" i="105" s="1"/>
  <c r="J63" i="97"/>
  <c r="H19" i="105" s="1"/>
  <c r="F30" i="97"/>
  <c r="D10" i="105" s="1"/>
  <c r="P65" i="97"/>
  <c r="N21" i="105" s="1"/>
  <c r="X63" i="97"/>
  <c r="V19" i="105" s="1"/>
  <c r="H64" i="97"/>
  <c r="F20" i="105" s="1"/>
  <c r="Z64" i="97"/>
  <c r="X20" i="105" s="1"/>
  <c r="Z63" i="97"/>
  <c r="X19" i="105" s="1"/>
  <c r="L63" i="97"/>
  <c r="J19" i="105" s="1"/>
  <c r="R65" i="97"/>
  <c r="P21" i="105" s="1"/>
  <c r="J64" i="97"/>
  <c r="H20" i="105" s="1"/>
  <c r="H63" i="97"/>
  <c r="F19" i="105" s="1"/>
  <c r="L65" i="97"/>
  <c r="J21" i="105" s="1"/>
  <c r="F29" i="97"/>
  <c r="D9" i="105" s="1"/>
  <c r="F63" i="97"/>
  <c r="D19" i="105" s="1"/>
  <c r="Z65" i="97"/>
  <c r="X21" i="105" s="1"/>
  <c r="R63" i="97"/>
  <c r="P19" i="105" s="1"/>
  <c r="X65" i="97"/>
  <c r="V21" i="105" s="1"/>
  <c r="N64" i="97"/>
  <c r="L20" i="105" s="1"/>
  <c r="N65" i="97"/>
  <c r="L21" i="105" s="1"/>
  <c r="L29" i="97"/>
  <c r="J9" i="105" s="1"/>
  <c r="K63" i="97"/>
  <c r="I19" i="105" s="1"/>
  <c r="P29" i="97"/>
  <c r="N9" i="105" s="1"/>
  <c r="V63" i="97"/>
  <c r="T19" i="105" s="1"/>
  <c r="J29" i="97"/>
  <c r="H9" i="105" s="1"/>
  <c r="G63" i="97"/>
  <c r="E19" i="105" s="1"/>
  <c r="H29" i="97"/>
  <c r="F9" i="105" s="1"/>
  <c r="Q63" i="97"/>
  <c r="O19" i="105" s="1"/>
  <c r="O63" i="97"/>
  <c r="M19" i="105" s="1"/>
  <c r="Q29" i="97"/>
  <c r="O9" i="105" s="1"/>
  <c r="T63" i="97"/>
  <c r="R19" i="105" s="1"/>
  <c r="U29" i="97"/>
  <c r="S9" i="105" s="1"/>
  <c r="I29" i="97"/>
  <c r="G9" i="105" s="1"/>
  <c r="AA63" i="97"/>
  <c r="Y19" i="105" s="1"/>
  <c r="S29" i="97"/>
  <c r="Q9" i="105" s="1"/>
  <c r="T29" i="97"/>
  <c r="R9" i="105" s="1"/>
  <c r="M63" i="97"/>
  <c r="K19" i="105" s="1"/>
  <c r="M29" i="97"/>
  <c r="K9" i="105" s="1"/>
  <c r="O29" i="97"/>
  <c r="M9" i="105" s="1"/>
  <c r="I63" i="97"/>
  <c r="G19" i="105" s="1"/>
  <c r="U63" i="97"/>
  <c r="S19" i="105" s="1"/>
  <c r="Y63" i="97"/>
  <c r="W19" i="105" s="1"/>
  <c r="V20" i="97"/>
  <c r="W57" i="97"/>
  <c r="V11" i="97"/>
  <c r="V17" i="97"/>
  <c r="W60" i="97"/>
  <c r="K23" i="97"/>
  <c r="V5" i="97"/>
  <c r="R29" i="97"/>
  <c r="P9" i="105" s="1"/>
  <c r="K20" i="97"/>
  <c r="K26" i="97"/>
  <c r="W45" i="97"/>
  <c r="K8" i="97"/>
  <c r="W48" i="97"/>
  <c r="V23" i="97"/>
  <c r="V26" i="97"/>
  <c r="W54" i="97"/>
  <c r="W42" i="97"/>
  <c r="S63" i="97"/>
  <c r="Q19" i="105" s="1"/>
  <c r="W39" i="97"/>
  <c r="K17" i="97"/>
  <c r="W51" i="97"/>
  <c r="K14" i="97"/>
  <c r="K11" i="97"/>
  <c r="V14" i="97"/>
  <c r="V8" i="97"/>
  <c r="G29" i="97"/>
  <c r="E9" i="105" s="1"/>
  <c r="K5" i="97"/>
  <c r="CH11" i="106"/>
  <c r="BV7" i="106"/>
  <c r="BQ18" i="106"/>
  <c r="CI8" i="106"/>
  <c r="CN7" i="106"/>
  <c r="CO8" i="106"/>
  <c r="CG8" i="106"/>
  <c r="BW12" i="106"/>
  <c r="CQ8" i="106"/>
  <c r="BU11" i="106"/>
  <c r="CF8" i="106"/>
  <c r="BP8" i="106"/>
  <c r="BZ7" i="106"/>
  <c r="CL18" i="106"/>
  <c r="BO7" i="106"/>
  <c r="BM9" i="106"/>
  <c r="BX8" i="106"/>
  <c r="CK19" i="106"/>
  <c r="CJ20" i="106"/>
  <c r="BS7" i="106"/>
  <c r="CE8" i="106"/>
  <c r="BX9" i="106"/>
  <c r="CD8" i="106"/>
  <c r="CD9" i="106" s="1"/>
  <c r="CM7" i="106"/>
  <c r="CM8" i="106" s="1"/>
  <c r="BY7" i="106"/>
  <c r="CP11" i="106"/>
  <c r="CP12" i="106" s="1"/>
  <c r="CP13" i="106" s="1"/>
  <c r="BN7" i="106"/>
  <c r="BR7" i="106"/>
  <c r="BT8" i="106"/>
  <c r="V29" i="97" l="1"/>
  <c r="T9" i="105" s="1"/>
  <c r="K29" i="97"/>
  <c r="I9" i="105" s="1"/>
  <c r="W63" i="97"/>
  <c r="U19" i="105" s="1"/>
  <c r="BT9" i="106"/>
  <c r="CJ21" i="106"/>
  <c r="CJ22" i="106" s="1"/>
  <c r="BW13" i="106"/>
  <c r="BR8" i="106"/>
  <c r="CK20" i="106"/>
  <c r="CG9" i="106"/>
  <c r="BN8" i="106"/>
  <c r="BM10" i="106"/>
  <c r="BM11" i="106" s="1"/>
  <c r="CO9" i="106"/>
  <c r="CO10" i="106" s="1"/>
  <c r="CP14" i="106"/>
  <c r="BO8" i="106"/>
  <c r="CN8" i="106"/>
  <c r="BY8" i="106"/>
  <c r="CL19" i="106"/>
  <c r="CL20" i="106" s="1"/>
  <c r="CL21" i="106" s="1"/>
  <c r="CI9" i="106"/>
  <c r="CM9" i="106"/>
  <c r="BZ8" i="106"/>
  <c r="BQ19" i="106"/>
  <c r="CD10" i="106"/>
  <c r="BP9" i="106"/>
  <c r="BV8" i="106"/>
  <c r="BX10" i="106"/>
  <c r="BX11" i="106" s="1"/>
  <c r="CF9" i="106"/>
  <c r="CH12" i="106"/>
  <c r="CE9" i="106"/>
  <c r="BU12" i="106"/>
  <c r="BS8" i="106"/>
  <c r="CQ9" i="106"/>
  <c r="CQ10" i="106" l="1"/>
  <c r="BQ20" i="106"/>
  <c r="BQ21" i="106" s="1"/>
  <c r="BQ22" i="106" s="1"/>
  <c r="BQ23" i="106" s="1"/>
  <c r="BM12" i="106"/>
  <c r="BM13" i="106" s="1"/>
  <c r="BS9" i="106"/>
  <c r="BS10" i="106" s="1"/>
  <c r="BZ9" i="106"/>
  <c r="BN9" i="106"/>
  <c r="BU13" i="106"/>
  <c r="CM10" i="106"/>
  <c r="CG10" i="106"/>
  <c r="CE10" i="106"/>
  <c r="CI10" i="106"/>
  <c r="CK21" i="106"/>
  <c r="CH13" i="106"/>
  <c r="CL22" i="106"/>
  <c r="BR9" i="106"/>
  <c r="CF10" i="106"/>
  <c r="BY9" i="106"/>
  <c r="BW14" i="106"/>
  <c r="BX12" i="106"/>
  <c r="CN9" i="106"/>
  <c r="CJ23" i="106"/>
  <c r="BV9" i="106"/>
  <c r="BO9" i="106"/>
  <c r="BO10" i="106" s="1"/>
  <c r="BT10" i="106"/>
  <c r="BP10" i="106"/>
  <c r="CP15" i="106"/>
  <c r="CP16" i="106" s="1"/>
  <c r="CD11" i="106"/>
  <c r="CD12" i="106" s="1"/>
  <c r="CO11" i="106"/>
  <c r="CO12" i="106" l="1"/>
  <c r="BW15" i="106"/>
  <c r="CM11" i="106"/>
  <c r="CP17" i="106"/>
  <c r="BN10" i="106"/>
  <c r="BM14" i="106"/>
  <c r="CD13" i="106"/>
  <c r="BY10" i="106"/>
  <c r="BU14" i="106"/>
  <c r="BU15" i="106" s="1"/>
  <c r="CF11" i="106"/>
  <c r="CI11" i="106"/>
  <c r="BP11" i="106"/>
  <c r="BR10" i="106"/>
  <c r="BR11" i="106" s="1"/>
  <c r="BZ10" i="106"/>
  <c r="BO11" i="106"/>
  <c r="BT11" i="106"/>
  <c r="CL23" i="106"/>
  <c r="BS11" i="106"/>
  <c r="BS12" i="106" s="1"/>
  <c r="CH14" i="106"/>
  <c r="CJ24" i="106"/>
  <c r="BV10" i="106"/>
  <c r="CK22" i="106"/>
  <c r="BQ24" i="106"/>
  <c r="BQ25" i="106" s="1"/>
  <c r="CQ11" i="106"/>
  <c r="CN10" i="106"/>
  <c r="CE11" i="106"/>
  <c r="BX13" i="106"/>
  <c r="CG11" i="106"/>
  <c r="CG12" i="106" s="1"/>
  <c r="CG13" i="106" l="1"/>
  <c r="BS13" i="106"/>
  <c r="BY11" i="106"/>
  <c r="CL24" i="106"/>
  <c r="CD14" i="106"/>
  <c r="CD15" i="106" s="1"/>
  <c r="BX14" i="106"/>
  <c r="CE12" i="106"/>
  <c r="BT12" i="106"/>
  <c r="BM15" i="106"/>
  <c r="CN11" i="106"/>
  <c r="BO12" i="106"/>
  <c r="BN11" i="106"/>
  <c r="CQ12" i="106"/>
  <c r="BZ11" i="106"/>
  <c r="CP18" i="106"/>
  <c r="BQ26" i="106"/>
  <c r="BR12" i="106"/>
  <c r="CM12" i="106"/>
  <c r="CK23" i="106"/>
  <c r="BP12" i="106"/>
  <c r="BW16" i="106"/>
  <c r="BV11" i="106"/>
  <c r="CI12" i="106"/>
  <c r="CO13" i="106"/>
  <c r="CJ25" i="106"/>
  <c r="CF12" i="106"/>
  <c r="CH15" i="106"/>
  <c r="CH16" i="106" s="1"/>
  <c r="BU16" i="106"/>
  <c r="BU17" i="106" l="1"/>
  <c r="CM13" i="106"/>
  <c r="BT13" i="106"/>
  <c r="BT14" i="106" s="1"/>
  <c r="CH17" i="106"/>
  <c r="BR13" i="106"/>
  <c r="CE13" i="106"/>
  <c r="CF13" i="106"/>
  <c r="BQ27" i="106"/>
  <c r="BX15" i="106"/>
  <c r="CJ26" i="106"/>
  <c r="CP19" i="106"/>
  <c r="CD16" i="106"/>
  <c r="CO14" i="106"/>
  <c r="CL25" i="106"/>
  <c r="BZ12" i="106"/>
  <c r="CI13" i="106"/>
  <c r="CQ13" i="106"/>
  <c r="BY12" i="106"/>
  <c r="BV12" i="106"/>
  <c r="BN12" i="106"/>
  <c r="BN13" i="106" s="1"/>
  <c r="BS14" i="106"/>
  <c r="BS15" i="106" s="1"/>
  <c r="BW17" i="106"/>
  <c r="BO13" i="106"/>
  <c r="CG14" i="106"/>
  <c r="BP13" i="106"/>
  <c r="BP14" i="106" s="1"/>
  <c r="CN12" i="106"/>
  <c r="CK24" i="106"/>
  <c r="BM16" i="106"/>
  <c r="BM17" i="106" l="1"/>
  <c r="BY13" i="106"/>
  <c r="BQ28" i="106"/>
  <c r="CK25" i="106"/>
  <c r="CQ14" i="106"/>
  <c r="CF14" i="106"/>
  <c r="CN13" i="106"/>
  <c r="CI14" i="106"/>
  <c r="CE14" i="106"/>
  <c r="BR14" i="106"/>
  <c r="CG15" i="106"/>
  <c r="CL26" i="106"/>
  <c r="CH18" i="106"/>
  <c r="CO15" i="106"/>
  <c r="CO16" i="106" s="1"/>
  <c r="BW18" i="106"/>
  <c r="CM14" i="106"/>
  <c r="CP20" i="106"/>
  <c r="BN14" i="106"/>
  <c r="BV13" i="106"/>
  <c r="BV14" i="106" s="1"/>
  <c r="BV15" i="106" s="1"/>
  <c r="BX16" i="106"/>
  <c r="BP15" i="106"/>
  <c r="BZ13" i="106"/>
  <c r="BO14" i="106"/>
  <c r="BT15" i="106"/>
  <c r="CD17" i="106"/>
  <c r="BS16" i="106"/>
  <c r="BU18" i="106"/>
  <c r="CJ27" i="106"/>
  <c r="CJ28" i="106" s="1"/>
  <c r="CJ29" i="106" l="1"/>
  <c r="BN15" i="106"/>
  <c r="CI15" i="106"/>
  <c r="BU19" i="106"/>
  <c r="CP21" i="106"/>
  <c r="CN14" i="106"/>
  <c r="BS17" i="106"/>
  <c r="CM15" i="106"/>
  <c r="CF15" i="106"/>
  <c r="BT16" i="106"/>
  <c r="CO17" i="106"/>
  <c r="CH19" i="106"/>
  <c r="CL27" i="106"/>
  <c r="BP16" i="106"/>
  <c r="BX17" i="106"/>
  <c r="BV16" i="106"/>
  <c r="CE15" i="106"/>
  <c r="CD18" i="106"/>
  <c r="BW19" i="106"/>
  <c r="CQ15" i="106"/>
  <c r="CK26" i="106"/>
  <c r="BO15" i="106"/>
  <c r="BQ29" i="106"/>
  <c r="BZ14" i="106"/>
  <c r="BY14" i="106"/>
  <c r="CG16" i="106"/>
  <c r="BM18" i="106"/>
  <c r="BR15" i="106"/>
  <c r="BR16" i="106" l="1"/>
  <c r="CD19" i="106"/>
  <c r="CM16" i="106"/>
  <c r="BM19" i="106"/>
  <c r="CE16" i="106"/>
  <c r="BS18" i="106"/>
  <c r="CG17" i="106"/>
  <c r="BV17" i="106"/>
  <c r="CN15" i="106"/>
  <c r="BY15" i="106"/>
  <c r="BX18" i="106"/>
  <c r="BX19" i="106" s="1"/>
  <c r="CP22" i="106"/>
  <c r="BT17" i="106"/>
  <c r="BW20" i="106"/>
  <c r="CF16" i="106"/>
  <c r="BZ15" i="106"/>
  <c r="BP17" i="106"/>
  <c r="BP18" i="106" s="1"/>
  <c r="BU20" i="106"/>
  <c r="BQ30" i="106"/>
  <c r="CL28" i="106"/>
  <c r="CI16" i="106"/>
  <c r="BO16" i="106"/>
  <c r="CH20" i="106"/>
  <c r="BN16" i="106"/>
  <c r="BN17" i="106" s="1"/>
  <c r="CK27" i="106"/>
  <c r="CO18" i="106"/>
  <c r="CJ30" i="106"/>
  <c r="CJ31" i="106" s="1"/>
  <c r="CQ16" i="106"/>
  <c r="CQ17" i="106" l="1"/>
  <c r="BU21" i="106"/>
  <c r="BV18" i="106"/>
  <c r="BW21" i="106"/>
  <c r="BT18" i="106"/>
  <c r="CP23" i="106"/>
  <c r="BX20" i="106"/>
  <c r="BY16" i="106"/>
  <c r="CN16" i="106"/>
  <c r="CJ32" i="106"/>
  <c r="BP19" i="106"/>
  <c r="CG18" i="106"/>
  <c r="CO19" i="106"/>
  <c r="BZ16" i="106"/>
  <c r="BS19" i="106"/>
  <c r="CE17" i="106"/>
  <c r="BN18" i="106"/>
  <c r="BM20" i="106"/>
  <c r="CM17" i="106"/>
  <c r="CD20" i="106"/>
  <c r="CD21" i="106" s="1"/>
  <c r="BR17" i="106"/>
  <c r="CK28" i="106"/>
  <c r="CF17" i="106"/>
  <c r="CH21" i="106"/>
  <c r="BO17" i="106"/>
  <c r="CI17" i="106"/>
  <c r="CL29" i="106"/>
  <c r="BQ31" i="106"/>
  <c r="BQ32" i="106" l="1"/>
  <c r="BM21" i="106"/>
  <c r="BY17" i="106"/>
  <c r="CL30" i="106"/>
  <c r="BN19" i="106"/>
  <c r="BX21" i="106"/>
  <c r="CI18" i="106"/>
  <c r="CE18" i="106"/>
  <c r="CP24" i="106"/>
  <c r="BO18" i="106"/>
  <c r="BS20" i="106"/>
  <c r="BT19" i="106"/>
  <c r="BU22" i="106"/>
  <c r="BP20" i="106"/>
  <c r="CD22" i="106"/>
  <c r="CH22" i="106"/>
  <c r="BZ17" i="106"/>
  <c r="BW22" i="106"/>
  <c r="BW23" i="106" s="1"/>
  <c r="CF18" i="106"/>
  <c r="CO20" i="106"/>
  <c r="BV19" i="106"/>
  <c r="CK29" i="106"/>
  <c r="CG19" i="106"/>
  <c r="BR18" i="106"/>
  <c r="CQ18" i="106"/>
  <c r="CJ33" i="106"/>
  <c r="CM18" i="106"/>
  <c r="CN17" i="106"/>
  <c r="CN18" i="106" l="1"/>
  <c r="BW24" i="106"/>
  <c r="CE19" i="106"/>
  <c r="CM19" i="106"/>
  <c r="BZ18" i="106"/>
  <c r="CI19" i="106"/>
  <c r="CJ34" i="106"/>
  <c r="CH23" i="106"/>
  <c r="BX22" i="106"/>
  <c r="CQ19" i="106"/>
  <c r="CD23" i="106"/>
  <c r="BN20" i="106"/>
  <c r="CP25" i="106"/>
  <c r="BR19" i="106"/>
  <c r="BP21" i="106"/>
  <c r="CL31" i="106"/>
  <c r="CG20" i="106"/>
  <c r="BU23" i="106"/>
  <c r="BY18" i="106"/>
  <c r="CK30" i="106"/>
  <c r="BT20" i="106"/>
  <c r="BM22" i="106"/>
  <c r="BV20" i="106"/>
  <c r="BS21" i="106"/>
  <c r="BQ33" i="106"/>
  <c r="CO21" i="106"/>
  <c r="BO19" i="106"/>
  <c r="CF19" i="106"/>
  <c r="CF20" i="106" l="1"/>
  <c r="BU24" i="106"/>
  <c r="BU25" i="106" s="1"/>
  <c r="CH24" i="106"/>
  <c r="BO20" i="106"/>
  <c r="CG21" i="106"/>
  <c r="CJ35" i="106"/>
  <c r="CO22" i="106"/>
  <c r="CL32" i="106"/>
  <c r="CI20" i="106"/>
  <c r="BN21" i="106"/>
  <c r="BT21" i="106"/>
  <c r="CN19" i="106"/>
  <c r="CQ20" i="106"/>
  <c r="BY19" i="106"/>
  <c r="BQ34" i="106"/>
  <c r="BP22" i="106"/>
  <c r="BZ19" i="106"/>
  <c r="BS22" i="106"/>
  <c r="BR20" i="106"/>
  <c r="CM20" i="106"/>
  <c r="BV21" i="106"/>
  <c r="CP26" i="106"/>
  <c r="CE20" i="106"/>
  <c r="BM23" i="106"/>
  <c r="BM24" i="106" s="1"/>
  <c r="BW25" i="106"/>
  <c r="CD24" i="106"/>
  <c r="CK31" i="106"/>
  <c r="BX23" i="106"/>
  <c r="BX24" i="106" l="1"/>
  <c r="BS23" i="106"/>
  <c r="CL33" i="106"/>
  <c r="CK32" i="106"/>
  <c r="BZ20" i="106"/>
  <c r="CO23" i="106"/>
  <c r="CD25" i="106"/>
  <c r="BP23" i="106"/>
  <c r="CJ36" i="106"/>
  <c r="CE21" i="106"/>
  <c r="CE22" i="106" s="1"/>
  <c r="CH25" i="106"/>
  <c r="CN20" i="106"/>
  <c r="BV22" i="106"/>
  <c r="CF21" i="106"/>
  <c r="BN22" i="106"/>
  <c r="BR21" i="106"/>
  <c r="CI21" i="106"/>
  <c r="BW26" i="106"/>
  <c r="BQ35" i="106"/>
  <c r="CG22" i="106"/>
  <c r="BM25" i="106"/>
  <c r="BY20" i="106"/>
  <c r="BO21" i="106"/>
  <c r="CQ21" i="106"/>
  <c r="CP27" i="106"/>
  <c r="BU26" i="106"/>
  <c r="BT22" i="106"/>
  <c r="CM21" i="106"/>
  <c r="CM22" i="106" l="1"/>
  <c r="BW27" i="106"/>
  <c r="BP24" i="106"/>
  <c r="BT23" i="106"/>
  <c r="CI22" i="106"/>
  <c r="CD26" i="106"/>
  <c r="BU27" i="106"/>
  <c r="BR22" i="106"/>
  <c r="CO24" i="106"/>
  <c r="CK33" i="106"/>
  <c r="BV23" i="106"/>
  <c r="BY21" i="106"/>
  <c r="BS24" i="106"/>
  <c r="CH26" i="106"/>
  <c r="CG23" i="106"/>
  <c r="CJ37" i="106"/>
  <c r="CP28" i="106"/>
  <c r="BN23" i="106"/>
  <c r="BN24" i="106" s="1"/>
  <c r="BZ21" i="106"/>
  <c r="CQ22" i="106"/>
  <c r="CF22" i="106"/>
  <c r="CF23" i="106" s="1"/>
  <c r="BO22" i="106"/>
  <c r="CL34" i="106"/>
  <c r="CN21" i="106"/>
  <c r="BM26" i="106"/>
  <c r="BX25" i="106"/>
  <c r="CE23" i="106"/>
  <c r="BQ36" i="106"/>
  <c r="BQ37" i="106" l="1"/>
  <c r="BN25" i="106"/>
  <c r="BR23" i="106"/>
  <c r="CE24" i="106"/>
  <c r="CP29" i="106"/>
  <c r="BU28" i="106"/>
  <c r="BX26" i="106"/>
  <c r="CJ38" i="106"/>
  <c r="CD27" i="106"/>
  <c r="BS25" i="106"/>
  <c r="BP25" i="106"/>
  <c r="BY22" i="106"/>
  <c r="CF24" i="106"/>
  <c r="CM23" i="106"/>
  <c r="BZ22" i="106"/>
  <c r="CQ23" i="106"/>
  <c r="CQ24" i="106" s="1"/>
  <c r="BM27" i="106"/>
  <c r="CG24" i="106"/>
  <c r="CI23" i="106"/>
  <c r="CN22" i="106"/>
  <c r="CH27" i="106"/>
  <c r="BT24" i="106"/>
  <c r="CL35" i="106"/>
  <c r="BO23" i="106"/>
  <c r="BW28" i="106"/>
  <c r="BV24" i="106"/>
  <c r="CK34" i="106"/>
  <c r="CO25" i="106"/>
  <c r="CO26" i="106"/>
  <c r="CO27" i="106" s="1"/>
  <c r="CO28" i="106" s="1"/>
  <c r="CG25" i="106"/>
  <c r="CJ39" i="106"/>
  <c r="CK35" i="106"/>
  <c r="BM28" i="106"/>
  <c r="BX27" i="106"/>
  <c r="BV25" i="106"/>
  <c r="CQ25" i="106"/>
  <c r="BU29" i="106"/>
  <c r="BW29" i="106"/>
  <c r="BZ23" i="106"/>
  <c r="CP30" i="106"/>
  <c r="CN23" i="106"/>
  <c r="CI24" i="106"/>
  <c r="BO24" i="106"/>
  <c r="CM24" i="106"/>
  <c r="CM25" i="106" s="1"/>
  <c r="CE25" i="106"/>
  <c r="CL36" i="106"/>
  <c r="CF25" i="106"/>
  <c r="BR24" i="106"/>
  <c r="BT25" i="106"/>
  <c r="BY23" i="106"/>
  <c r="BY24" i="106" s="1"/>
  <c r="BY25" i="106" s="1"/>
  <c r="BN26" i="106"/>
  <c r="CH28" i="106"/>
  <c r="BP26" i="106"/>
  <c r="BQ38" i="106"/>
  <c r="BQ39" i="106" s="1"/>
  <c r="BS26" i="106"/>
  <c r="CD28" i="106"/>
  <c r="CD29" i="106"/>
  <c r="CD30" i="106" s="1"/>
  <c r="CL37" i="106"/>
  <c r="CQ26" i="106"/>
  <c r="BS27" i="106"/>
  <c r="CE26" i="106"/>
  <c r="BV26" i="106"/>
  <c r="BQ40" i="106"/>
  <c r="CM26" i="106"/>
  <c r="BX28" i="106"/>
  <c r="CG26" i="106"/>
  <c r="CO29" i="106"/>
  <c r="BW30" i="106"/>
  <c r="BU30" i="106"/>
  <c r="BT26" i="106"/>
  <c r="BP27" i="106"/>
  <c r="BO25" i="106"/>
  <c r="BM29" i="106"/>
  <c r="CH29" i="106"/>
  <c r="CI25" i="106"/>
  <c r="CK36" i="106"/>
  <c r="BN27" i="106"/>
  <c r="CN24" i="106"/>
  <c r="CJ40" i="106"/>
  <c r="BY26" i="106"/>
  <c r="CP31" i="106"/>
  <c r="CP32" i="106" s="1"/>
  <c r="BZ24" i="106"/>
  <c r="BR25" i="106"/>
  <c r="CF26" i="106"/>
  <c r="CF27" i="106"/>
  <c r="CH30" i="106"/>
  <c r="CM27" i="106"/>
  <c r="BR26" i="106"/>
  <c r="BM30" i="106"/>
  <c r="BQ41" i="106"/>
  <c r="BZ25" i="106"/>
  <c r="BO26" i="106"/>
  <c r="BV27" i="106"/>
  <c r="CE27" i="106"/>
  <c r="BY27" i="106"/>
  <c r="BS28" i="106"/>
  <c r="BU31" i="106"/>
  <c r="CN25" i="106"/>
  <c r="CL38" i="106"/>
  <c r="CO30" i="106"/>
  <c r="CK37" i="106"/>
  <c r="CI26" i="106"/>
  <c r="CP33" i="106"/>
  <c r="BP28" i="106"/>
  <c r="BT27" i="106"/>
  <c r="CJ41" i="106"/>
  <c r="CQ27" i="106"/>
  <c r="BW31" i="106"/>
  <c r="BN28" i="106"/>
  <c r="CD31" i="106"/>
  <c r="CG27" i="106"/>
  <c r="BX29" i="106"/>
  <c r="BX30" i="106"/>
  <c r="CI27" i="106"/>
  <c r="BO27" i="106"/>
  <c r="CG28" i="106"/>
  <c r="CK38" i="106"/>
  <c r="BZ26" i="106"/>
  <c r="CD32" i="106"/>
  <c r="CO31" i="106"/>
  <c r="BQ42" i="106"/>
  <c r="BM31" i="106"/>
  <c r="BW32" i="106"/>
  <c r="BR27" i="106"/>
  <c r="BR28" i="106" s="1"/>
  <c r="CQ28" i="106"/>
  <c r="CM28" i="106"/>
  <c r="BS29" i="106"/>
  <c r="BT28" i="106"/>
  <c r="CF28" i="106"/>
  <c r="CE28" i="106"/>
  <c r="BV28" i="106"/>
  <c r="BN29" i="106"/>
  <c r="CL39" i="106"/>
  <c r="CN26" i="106"/>
  <c r="BU32" i="106"/>
  <c r="CJ42" i="106"/>
  <c r="CH31" i="106"/>
  <c r="BY28" i="106"/>
  <c r="BP29" i="106"/>
  <c r="CP34" i="106"/>
  <c r="CP35" i="106"/>
  <c r="CE29" i="106"/>
  <c r="CO32" i="106"/>
  <c r="BP30" i="106"/>
  <c r="CF29" i="106"/>
  <c r="CD33" i="106"/>
  <c r="BY29" i="106"/>
  <c r="BT29" i="106"/>
  <c r="BZ27" i="106"/>
  <c r="CK39" i="106"/>
  <c r="CJ43" i="106"/>
  <c r="CG29" i="106"/>
  <c r="CQ29" i="106"/>
  <c r="CN27" i="106"/>
  <c r="CI28" i="106"/>
  <c r="BW33" i="106"/>
  <c r="BN30" i="106"/>
  <c r="BV29" i="106"/>
  <c r="CH32" i="106"/>
  <c r="BS30" i="106"/>
  <c r="CM29" i="106"/>
  <c r="BU33" i="106"/>
  <c r="BO28" i="106"/>
  <c r="BR29" i="106"/>
  <c r="CL40" i="106"/>
  <c r="BX31" i="106"/>
  <c r="BM32" i="106"/>
  <c r="BQ43" i="106"/>
  <c r="BQ44" i="106"/>
  <c r="BV30" i="106"/>
  <c r="BT30" i="106"/>
  <c r="BW34" i="106"/>
  <c r="CL41" i="106"/>
  <c r="BR30" i="106"/>
  <c r="BO29" i="106"/>
  <c r="CG30" i="106"/>
  <c r="CH33" i="106"/>
  <c r="BM33" i="106"/>
  <c r="BN31" i="106"/>
  <c r="BY30" i="106"/>
  <c r="CD34" i="106"/>
  <c r="CI29" i="106"/>
  <c r="BP31" i="106"/>
  <c r="CO33" i="106"/>
  <c r="BU34" i="106"/>
  <c r="BX32" i="106"/>
  <c r="CN28" i="106"/>
  <c r="CQ30" i="106"/>
  <c r="CE30" i="106"/>
  <c r="BZ28" i="106"/>
  <c r="CF30" i="106"/>
  <c r="CF31" i="106" s="1"/>
  <c r="CM30" i="106"/>
  <c r="CJ44" i="106"/>
  <c r="CP36" i="106"/>
  <c r="BS31" i="106"/>
  <c r="CK40" i="106"/>
  <c r="CK41" i="106"/>
  <c r="BX33" i="106"/>
  <c r="CG31" i="106"/>
  <c r="BS32" i="106"/>
  <c r="BU35" i="106"/>
  <c r="BO30" i="106"/>
  <c r="CP37" i="106"/>
  <c r="CO34" i="106"/>
  <c r="BR31" i="106"/>
  <c r="CJ45" i="106"/>
  <c r="BP32" i="106"/>
  <c r="CL42" i="106"/>
  <c r="BM34" i="106"/>
  <c r="CH34" i="106"/>
  <c r="CM31" i="106"/>
  <c r="CI30" i="106"/>
  <c r="BW35" i="106"/>
  <c r="CF32" i="106"/>
  <c r="CD35" i="106"/>
  <c r="BT31" i="106"/>
  <c r="BZ29" i="106"/>
  <c r="BZ30" i="106" s="1"/>
  <c r="BY31" i="106"/>
  <c r="BV31" i="106"/>
  <c r="CE31" i="106"/>
  <c r="BN32" i="106"/>
  <c r="BQ45" i="106"/>
  <c r="CQ31" i="106"/>
  <c r="CN29" i="106"/>
  <c r="CN30" i="106"/>
  <c r="CF33" i="106"/>
  <c r="CO35" i="106"/>
  <c r="CQ32" i="106"/>
  <c r="BW36" i="106"/>
  <c r="CP38" i="106"/>
  <c r="BQ46" i="106"/>
  <c r="CI31" i="106"/>
  <c r="BO31" i="106"/>
  <c r="BS33" i="106"/>
  <c r="BM35" i="106"/>
  <c r="BY32" i="106"/>
  <c r="BX34" i="106"/>
  <c r="BP33" i="106"/>
  <c r="BT32" i="106"/>
  <c r="CD36" i="106"/>
  <c r="BN33" i="106"/>
  <c r="CM32" i="106"/>
  <c r="BU36" i="106"/>
  <c r="CE32" i="106"/>
  <c r="CH35" i="106"/>
  <c r="BV32" i="106"/>
  <c r="CG32" i="106"/>
  <c r="CL43" i="106"/>
  <c r="BZ31" i="106"/>
  <c r="CK42" i="106"/>
  <c r="CJ46" i="106"/>
  <c r="BR32" i="106"/>
  <c r="BR33" i="106"/>
  <c r="CM33" i="106"/>
  <c r="CI32" i="106"/>
  <c r="CJ47" i="106"/>
  <c r="BN34" i="106"/>
  <c r="BQ47" i="106"/>
  <c r="CK43" i="106"/>
  <c r="CD37" i="106"/>
  <c r="CP39" i="106"/>
  <c r="BZ32" i="106"/>
  <c r="BT33" i="106"/>
  <c r="BW37" i="106"/>
  <c r="BS34" i="106"/>
  <c r="BO32" i="106"/>
  <c r="CL44" i="106"/>
  <c r="BP34" i="106"/>
  <c r="CQ33" i="106"/>
  <c r="CG33" i="106"/>
  <c r="BX35" i="106"/>
  <c r="CO36" i="106"/>
  <c r="BV33" i="106"/>
  <c r="BY33" i="106"/>
  <c r="CF34" i="106"/>
  <c r="CH36" i="106"/>
  <c r="BM36" i="106"/>
  <c r="CN31" i="106"/>
  <c r="CE33" i="106"/>
  <c r="BU37" i="106"/>
  <c r="BU38" i="106"/>
  <c r="CG34" i="106"/>
  <c r="CD38" i="106"/>
  <c r="CE34" i="106"/>
  <c r="CQ34" i="106"/>
  <c r="CK44" i="106"/>
  <c r="CN32" i="106"/>
  <c r="BP35" i="106"/>
  <c r="BP36" i="106" s="1"/>
  <c r="BQ48" i="106"/>
  <c r="BO33" i="106"/>
  <c r="CF35" i="106"/>
  <c r="CI33" i="106"/>
  <c r="BW38" i="106"/>
  <c r="BV34" i="106"/>
  <c r="BR34" i="106"/>
  <c r="BZ33" i="106"/>
  <c r="CP40" i="106"/>
  <c r="BM37" i="106"/>
  <c r="BM38" i="106" s="1"/>
  <c r="CL45" i="106"/>
  <c r="BN35" i="106"/>
  <c r="CH37" i="106"/>
  <c r="CJ48" i="106"/>
  <c r="BS35" i="106"/>
  <c r="BY34" i="106"/>
  <c r="CM34" i="106"/>
  <c r="BT34" i="106"/>
  <c r="CO37" i="106"/>
  <c r="BX36" i="106"/>
  <c r="BX37" i="106"/>
  <c r="BM39" i="106"/>
  <c r="BP37" i="106"/>
  <c r="CO38" i="106"/>
  <c r="CP41" i="106"/>
  <c r="CN33" i="106"/>
  <c r="BT35" i="106"/>
  <c r="BZ34" i="106"/>
  <c r="CK45" i="106"/>
  <c r="CM35" i="106"/>
  <c r="BR35" i="106"/>
  <c r="CQ35" i="106"/>
  <c r="CI34" i="106"/>
  <c r="CH38" i="106"/>
  <c r="BU39" i="106"/>
  <c r="BO34" i="106"/>
  <c r="BQ49" i="106"/>
  <c r="BY35" i="106"/>
  <c r="BV35" i="106"/>
  <c r="CE35" i="106"/>
  <c r="BS36" i="106"/>
  <c r="BW39" i="106"/>
  <c r="CD39" i="106"/>
  <c r="CJ49" i="106"/>
  <c r="CG35" i="106"/>
  <c r="CF36" i="106"/>
  <c r="BN36" i="106"/>
  <c r="CL46" i="106"/>
  <c r="CL47" i="106"/>
  <c r="BY36" i="106"/>
  <c r="BZ35" i="106"/>
  <c r="BN37" i="106"/>
  <c r="BQ50" i="106"/>
  <c r="BT36" i="106"/>
  <c r="CF37" i="106"/>
  <c r="BO35" i="106"/>
  <c r="CN34" i="106"/>
  <c r="CP42" i="106"/>
  <c r="CJ50" i="106"/>
  <c r="CO39" i="106"/>
  <c r="CD40" i="106"/>
  <c r="BP38" i="106"/>
  <c r="CQ36" i="106"/>
  <c r="BS37" i="106"/>
  <c r="BX38" i="106"/>
  <c r="CM36" i="106"/>
  <c r="CK46" i="106"/>
  <c r="CG36" i="106"/>
  <c r="BU40" i="106"/>
  <c r="CH39" i="106"/>
  <c r="CI35" i="106"/>
  <c r="BW40" i="106"/>
  <c r="BM40" i="106"/>
  <c r="BR36" i="106"/>
  <c r="CE36" i="106"/>
  <c r="BV36" i="106"/>
  <c r="BV37" i="106"/>
  <c r="CM37" i="106"/>
  <c r="BO36" i="106"/>
  <c r="CE37" i="106"/>
  <c r="BX39" i="106"/>
  <c r="CF38" i="106"/>
  <c r="BR37" i="106"/>
  <c r="BS38" i="106"/>
  <c r="BT37" i="106"/>
  <c r="BQ51" i="106"/>
  <c r="BW41" i="106"/>
  <c r="BN38" i="106"/>
  <c r="CI36" i="106"/>
  <c r="BZ36" i="106"/>
  <c r="CO40" i="106"/>
  <c r="BU41" i="106"/>
  <c r="CL48" i="106"/>
  <c r="CP43" i="106"/>
  <c r="CN35" i="106"/>
  <c r="BM41" i="106"/>
  <c r="CQ37" i="106"/>
  <c r="BP39" i="106"/>
  <c r="CD41" i="106"/>
  <c r="CH40" i="106"/>
  <c r="BY37" i="106"/>
  <c r="CJ51" i="106"/>
  <c r="CG37" i="106"/>
  <c r="CK47" i="106"/>
  <c r="CK48" i="106"/>
  <c r="CP44" i="106"/>
  <c r="BS39" i="106"/>
  <c r="CG38" i="106"/>
  <c r="CL49" i="106"/>
  <c r="BR38" i="106"/>
  <c r="CJ52" i="106"/>
  <c r="BU42" i="106"/>
  <c r="CF39" i="106"/>
  <c r="CO41" i="106"/>
  <c r="CH41" i="106"/>
  <c r="BZ37" i="106"/>
  <c r="CE38" i="106"/>
  <c r="CI37" i="106"/>
  <c r="BP40" i="106"/>
  <c r="CM38" i="106"/>
  <c r="BW42" i="106"/>
  <c r="BM42" i="106"/>
  <c r="CN36" i="106"/>
  <c r="BY38" i="106"/>
  <c r="BX40" i="106"/>
  <c r="CD42" i="106"/>
  <c r="BO37" i="106"/>
  <c r="BN39" i="106"/>
  <c r="CQ38" i="106"/>
  <c r="BV38" i="106"/>
  <c r="BQ52" i="106"/>
  <c r="BT38" i="106"/>
  <c r="BT39" i="106"/>
  <c r="BM43" i="106"/>
  <c r="BU43" i="106"/>
  <c r="BQ53" i="106"/>
  <c r="BW43" i="106"/>
  <c r="CJ53" i="106"/>
  <c r="BV39" i="106"/>
  <c r="CM39" i="106"/>
  <c r="BR39" i="106"/>
  <c r="CG39" i="106"/>
  <c r="CE39" i="106"/>
  <c r="CD43" i="106"/>
  <c r="CP45" i="106"/>
  <c r="CH42" i="106"/>
  <c r="BY39" i="106"/>
  <c r="CN37" i="106"/>
  <c r="CQ39" i="106"/>
  <c r="BP41" i="106"/>
  <c r="CL50" i="106"/>
  <c r="BN40" i="106"/>
  <c r="CI38" i="106"/>
  <c r="BO38" i="106"/>
  <c r="BS40" i="106"/>
  <c r="BZ38" i="106"/>
  <c r="BX41" i="106"/>
  <c r="CK49" i="106"/>
  <c r="CO42" i="106"/>
  <c r="CF40" i="106"/>
  <c r="CF41" i="106"/>
  <c r="BP42" i="106"/>
  <c r="CM40" i="106"/>
  <c r="CO43" i="106"/>
  <c r="CQ40" i="106"/>
  <c r="BV40" i="106"/>
  <c r="CK50" i="106"/>
  <c r="CN38" i="106"/>
  <c r="CJ54" i="106"/>
  <c r="BX42" i="106"/>
  <c r="BY40" i="106"/>
  <c r="BW44" i="106"/>
  <c r="BW45" i="106" s="1"/>
  <c r="CE40" i="106"/>
  <c r="BN41" i="106"/>
  <c r="CL51" i="106"/>
  <c r="BZ39" i="106"/>
  <c r="CH43" i="106"/>
  <c r="BQ54" i="106"/>
  <c r="BS41" i="106"/>
  <c r="CP46" i="106"/>
  <c r="BU44" i="106"/>
  <c r="BO39" i="106"/>
  <c r="CD44" i="106"/>
  <c r="BM44" i="106"/>
  <c r="CI39" i="106"/>
  <c r="BT40" i="106"/>
  <c r="CG40" i="106"/>
  <c r="BR40" i="106"/>
  <c r="BR41" i="106"/>
  <c r="BR42" i="106" s="1"/>
  <c r="BQ55" i="106"/>
  <c r="CN39" i="106"/>
  <c r="CG41" i="106"/>
  <c r="CH44" i="106"/>
  <c r="CK51" i="106"/>
  <c r="BT41" i="106"/>
  <c r="BT42" i="106" s="1"/>
  <c r="BZ40" i="106"/>
  <c r="BV41" i="106"/>
  <c r="BO40" i="106"/>
  <c r="BP43" i="106"/>
  <c r="BY41" i="106"/>
  <c r="CP47" i="106"/>
  <c r="BS42" i="106"/>
  <c r="BS43" i="106" s="1"/>
  <c r="BX43" i="106"/>
  <c r="CI40" i="106"/>
  <c r="CL52" i="106"/>
  <c r="CL53" i="106" s="1"/>
  <c r="CQ41" i="106"/>
  <c r="BM45" i="106"/>
  <c r="BN42" i="106"/>
  <c r="CO44" i="106"/>
  <c r="CD45" i="106"/>
  <c r="CE41" i="106"/>
  <c r="CM41" i="106"/>
  <c r="BW46" i="106"/>
  <c r="BU45" i="106"/>
  <c r="CF42" i="106"/>
  <c r="CJ55" i="106"/>
  <c r="CJ56" i="106"/>
  <c r="CQ42" i="106"/>
  <c r="BZ41" i="106"/>
  <c r="CF43" i="106"/>
  <c r="CL54" i="106"/>
  <c r="BT43" i="106"/>
  <c r="CK52" i="106"/>
  <c r="BX44" i="106"/>
  <c r="CH45" i="106"/>
  <c r="BS44" i="106"/>
  <c r="CE42" i="106"/>
  <c r="CN40" i="106"/>
  <c r="BY42" i="106"/>
  <c r="CO45" i="106"/>
  <c r="BR43" i="106"/>
  <c r="BO41" i="106"/>
  <c r="BV42" i="106"/>
  <c r="BU46" i="106"/>
  <c r="CI41" i="106"/>
  <c r="BW47" i="106"/>
  <c r="CM42" i="106"/>
  <c r="CG42" i="106"/>
  <c r="CP48" i="106"/>
  <c r="CD46" i="106"/>
  <c r="CD47" i="106" s="1"/>
  <c r="BQ56" i="106"/>
  <c r="BP44" i="106"/>
  <c r="BN43" i="106"/>
  <c r="BM46" i="106"/>
  <c r="BM47" i="106"/>
  <c r="BU47" i="106"/>
  <c r="BX45" i="106"/>
  <c r="BN44" i="106"/>
  <c r="BV43" i="106"/>
  <c r="CK53" i="106"/>
  <c r="BP45" i="106"/>
  <c r="BO42" i="106"/>
  <c r="BT44" i="106"/>
  <c r="BQ57" i="106"/>
  <c r="BR44" i="106"/>
  <c r="CL55" i="106"/>
  <c r="CD48" i="106"/>
  <c r="CO46" i="106"/>
  <c r="CF44" i="106"/>
  <c r="CP49" i="106"/>
  <c r="BY43" i="106"/>
  <c r="BZ42" i="106"/>
  <c r="CG43" i="106"/>
  <c r="CQ43" i="106"/>
  <c r="CM43" i="106"/>
  <c r="CE43" i="106"/>
  <c r="BW48" i="106"/>
  <c r="CI42" i="106"/>
  <c r="CH46" i="106"/>
  <c r="CN41" i="106"/>
  <c r="CJ57" i="106"/>
  <c r="BS45" i="106"/>
  <c r="BS46" i="106"/>
  <c r="BZ43" i="106"/>
  <c r="BO43" i="106"/>
  <c r="BY44" i="106"/>
  <c r="BP46" i="106"/>
  <c r="CK54" i="106"/>
  <c r="CF45" i="106"/>
  <c r="CI43" i="106"/>
  <c r="BN45" i="106"/>
  <c r="CE44" i="106"/>
  <c r="CM44" i="106"/>
  <c r="CQ44" i="106"/>
  <c r="CJ58" i="106"/>
  <c r="CN42" i="106"/>
  <c r="CP50" i="106"/>
  <c r="CH47" i="106"/>
  <c r="BV44" i="106"/>
  <c r="CO47" i="106"/>
  <c r="BX46" i="106"/>
  <c r="CL56" i="106"/>
  <c r="BR45" i="106"/>
  <c r="BQ58" i="106"/>
  <c r="BT45" i="106"/>
  <c r="BW49" i="106"/>
  <c r="CD49" i="106"/>
  <c r="BU48" i="106"/>
  <c r="BM48" i="106"/>
  <c r="CG44" i="106"/>
  <c r="CG45" i="106"/>
  <c r="CO48" i="106"/>
  <c r="CI44" i="106"/>
  <c r="BM49" i="106"/>
  <c r="BV45" i="106"/>
  <c r="CF46" i="106"/>
  <c r="BU49" i="106"/>
  <c r="CH48" i="106"/>
  <c r="CK55" i="106"/>
  <c r="CD50" i="106"/>
  <c r="CP51" i="106"/>
  <c r="BP47" i="106"/>
  <c r="BP48" i="106" s="1"/>
  <c r="BW50" i="106"/>
  <c r="CN43" i="106"/>
  <c r="CN44" i="106" s="1"/>
  <c r="BY45" i="106"/>
  <c r="BT46" i="106"/>
  <c r="CJ59" i="106"/>
  <c r="BO44" i="106"/>
  <c r="BQ59" i="106"/>
  <c r="CQ45" i="106"/>
  <c r="BZ44" i="106"/>
  <c r="BR46" i="106"/>
  <c r="CM45" i="106"/>
  <c r="BS47" i="106"/>
  <c r="CL57" i="106"/>
  <c r="CE45" i="106"/>
  <c r="BX47" i="106"/>
  <c r="BN46" i="106"/>
  <c r="BN47" i="106"/>
  <c r="BO45" i="106"/>
  <c r="CH49" i="106"/>
  <c r="BX48" i="106"/>
  <c r="CJ60" i="106"/>
  <c r="BU50" i="106"/>
  <c r="CE46" i="106"/>
  <c r="BT47" i="106"/>
  <c r="CF47" i="106"/>
  <c r="CL58" i="106"/>
  <c r="BY46" i="106"/>
  <c r="BV46" i="106"/>
  <c r="CQ46" i="106"/>
  <c r="BQ60" i="106"/>
  <c r="CD51" i="106"/>
  <c r="BS48" i="106"/>
  <c r="CN45" i="106"/>
  <c r="BM50" i="106"/>
  <c r="CM46" i="106"/>
  <c r="BW51" i="106"/>
  <c r="CI45" i="106"/>
  <c r="BR47" i="106"/>
  <c r="BP49" i="106"/>
  <c r="CO49" i="106"/>
  <c r="BZ45" i="106"/>
  <c r="CP52" i="106"/>
  <c r="CG46" i="106"/>
  <c r="CK56" i="106"/>
  <c r="CK57" i="106"/>
  <c r="BM51" i="106"/>
  <c r="BT48" i="106"/>
  <c r="CG47" i="106"/>
  <c r="CN46" i="106"/>
  <c r="CE47" i="106"/>
  <c r="CP53" i="106"/>
  <c r="BS49" i="106"/>
  <c r="BU51" i="106"/>
  <c r="BZ46" i="106"/>
  <c r="CD52" i="106"/>
  <c r="CJ61" i="106"/>
  <c r="CF48" i="106"/>
  <c r="CO50" i="106"/>
  <c r="BQ61" i="106"/>
  <c r="BX49" i="106"/>
  <c r="BP50" i="106"/>
  <c r="CQ47" i="106"/>
  <c r="CQ48" i="106" s="1"/>
  <c r="CH50" i="106"/>
  <c r="BR48" i="106"/>
  <c r="BV47" i="106"/>
  <c r="BV48" i="106" s="1"/>
  <c r="BO46" i="106"/>
  <c r="CI46" i="106"/>
  <c r="BY47" i="106"/>
  <c r="BN48" i="106"/>
  <c r="BW52" i="106"/>
  <c r="CL59" i="106"/>
  <c r="CM47" i="106"/>
  <c r="CM48" i="106"/>
  <c r="CQ49" i="106"/>
  <c r="BS50" i="106"/>
  <c r="CL60" i="106"/>
  <c r="BP51" i="106"/>
  <c r="CP54" i="106"/>
  <c r="BW53" i="106"/>
  <c r="BX50" i="106"/>
  <c r="CE48" i="106"/>
  <c r="BN49" i="106"/>
  <c r="BQ62" i="106"/>
  <c r="CN47" i="106"/>
  <c r="BY48" i="106"/>
  <c r="CO51" i="106"/>
  <c r="CG48" i="106"/>
  <c r="CI47" i="106"/>
  <c r="CF49" i="106"/>
  <c r="BT49" i="106"/>
  <c r="CJ62" i="106"/>
  <c r="BM52" i="106"/>
  <c r="BV49" i="106"/>
  <c r="CD53" i="106"/>
  <c r="CK58" i="106"/>
  <c r="BR49" i="106"/>
  <c r="BZ47" i="106"/>
  <c r="CH51" i="106"/>
  <c r="BU52" i="106"/>
  <c r="BO47" i="106"/>
  <c r="BO48" i="106"/>
  <c r="BT50" i="106"/>
  <c r="BX51" i="106"/>
  <c r="BU53" i="106"/>
  <c r="CF50" i="106"/>
  <c r="BW54" i="106"/>
  <c r="CH52" i="106"/>
  <c r="CI48" i="106"/>
  <c r="CP55" i="106"/>
  <c r="BZ48" i="106"/>
  <c r="CG49" i="106"/>
  <c r="BP52" i="106"/>
  <c r="CN48" i="106"/>
  <c r="BV50" i="106"/>
  <c r="CM49" i="106"/>
  <c r="BN50" i="106"/>
  <c r="CE49" i="106"/>
  <c r="BR50" i="106"/>
  <c r="CO52" i="106"/>
  <c r="CL61" i="106"/>
  <c r="CK59" i="106"/>
  <c r="BY49" i="106"/>
  <c r="BS51" i="106"/>
  <c r="CD54" i="106"/>
  <c r="CQ50" i="106"/>
  <c r="BQ63" i="106"/>
  <c r="BM53" i="106"/>
  <c r="CJ63" i="106"/>
  <c r="CJ64" i="106"/>
  <c r="BR51" i="106"/>
  <c r="CI49" i="106"/>
  <c r="BM54" i="106"/>
  <c r="CE50" i="106"/>
  <c r="CH53" i="106"/>
  <c r="BQ64" i="106"/>
  <c r="BN51" i="106"/>
  <c r="BW55" i="106"/>
  <c r="CQ51" i="106"/>
  <c r="CM50" i="106"/>
  <c r="CF51" i="106"/>
  <c r="CD55" i="106"/>
  <c r="BV51" i="106"/>
  <c r="BU54" i="106"/>
  <c r="BU55" i="106" s="1"/>
  <c r="BS52" i="106"/>
  <c r="CN49" i="106"/>
  <c r="BX52" i="106"/>
  <c r="BY50" i="106"/>
  <c r="BP53" i="106"/>
  <c r="BT51" i="106"/>
  <c r="CG50" i="106"/>
  <c r="BO49" i="106"/>
  <c r="CL62" i="106"/>
  <c r="CO53" i="106"/>
  <c r="CK60" i="106"/>
  <c r="BZ49" i="106"/>
  <c r="CP56" i="106"/>
  <c r="CP57" i="106"/>
  <c r="BX53" i="106"/>
  <c r="BN52" i="106"/>
  <c r="BZ50" i="106"/>
  <c r="CN50" i="106"/>
  <c r="BQ65" i="106"/>
  <c r="CK61" i="106"/>
  <c r="BS53" i="106"/>
  <c r="CH54" i="106"/>
  <c r="CO54" i="106"/>
  <c r="BU56" i="106"/>
  <c r="CE51" i="106"/>
  <c r="CL63" i="106"/>
  <c r="BV52" i="106"/>
  <c r="BM55" i="106"/>
  <c r="BO50" i="106"/>
  <c r="CD56" i="106"/>
  <c r="CI50" i="106"/>
  <c r="CG51" i="106"/>
  <c r="CF52" i="106"/>
  <c r="BR52" i="106"/>
  <c r="BT52" i="106"/>
  <c r="CM51" i="106"/>
  <c r="CJ65" i="106"/>
  <c r="BP54" i="106"/>
  <c r="CQ52" i="106"/>
  <c r="BY51" i="106"/>
  <c r="BW56" i="106"/>
  <c r="BW57" i="106"/>
  <c r="CI51" i="106"/>
  <c r="BS54" i="106"/>
  <c r="BY52" i="106"/>
  <c r="CD57" i="106"/>
  <c r="CK62" i="106"/>
  <c r="CQ53" i="106"/>
  <c r="BO51" i="106"/>
  <c r="BQ66" i="106"/>
  <c r="BP55" i="106"/>
  <c r="BM56" i="106"/>
  <c r="CN51" i="106"/>
  <c r="CJ66" i="106"/>
  <c r="BV53" i="106"/>
  <c r="BZ51" i="106"/>
  <c r="CM52" i="106"/>
  <c r="CL64" i="106"/>
  <c r="BN53" i="106"/>
  <c r="BT53" i="106"/>
  <c r="CE52" i="106"/>
  <c r="BX54" i="106"/>
  <c r="BR53" i="106"/>
  <c r="BU57" i="106"/>
  <c r="CP58" i="106"/>
  <c r="CF53" i="106"/>
  <c r="CG52" i="106"/>
  <c r="CH55" i="106"/>
  <c r="CO55" i="106"/>
  <c r="CO56" i="106"/>
  <c r="BN54" i="106"/>
  <c r="BO52" i="106"/>
  <c r="CH56" i="106"/>
  <c r="CL65" i="106"/>
  <c r="CQ54" i="106"/>
  <c r="CG53" i="106"/>
  <c r="CM53" i="106"/>
  <c r="CK63" i="106"/>
  <c r="CF54" i="106"/>
  <c r="BZ52" i="106"/>
  <c r="CD58" i="106"/>
  <c r="CP59" i="106"/>
  <c r="BV54" i="106"/>
  <c r="BY53" i="106"/>
  <c r="BU58" i="106"/>
  <c r="CJ67" i="106"/>
  <c r="BS55" i="106"/>
  <c r="BR54" i="106"/>
  <c r="CN52" i="106"/>
  <c r="CI52" i="106"/>
  <c r="BX55" i="106"/>
  <c r="BM57" i="106"/>
  <c r="BW58" i="106"/>
  <c r="CE53" i="106"/>
  <c r="BP56" i="106"/>
  <c r="BT54" i="106"/>
  <c r="BQ67" i="106"/>
  <c r="BQ68" i="106" s="1"/>
  <c r="BQ69" i="106" s="1"/>
  <c r="BQ70" i="106" s="1"/>
  <c r="BT55" i="106"/>
  <c r="CJ68" i="106"/>
  <c r="CG54" i="106"/>
  <c r="BP57" i="106"/>
  <c r="BU59" i="106"/>
  <c r="CQ55" i="106"/>
  <c r="CE54" i="106"/>
  <c r="BY54" i="106"/>
  <c r="CL66" i="106"/>
  <c r="CH57" i="106"/>
  <c r="BM58" i="106"/>
  <c r="CP60" i="106"/>
  <c r="BX56" i="106"/>
  <c r="CD59" i="106"/>
  <c r="CI53" i="106"/>
  <c r="CO57" i="106"/>
  <c r="CF55" i="106"/>
  <c r="CK64" i="106"/>
  <c r="CM54" i="106"/>
  <c r="BW59" i="106"/>
  <c r="BV55" i="106"/>
  <c r="BO53" i="106"/>
  <c r="BN55" i="106"/>
  <c r="BZ53" i="106"/>
  <c r="CN53" i="106"/>
  <c r="BR55" i="106"/>
  <c r="BS56" i="106"/>
  <c r="BS57" i="106"/>
  <c r="BS58" i="106" s="1"/>
  <c r="CF56" i="106"/>
  <c r="CE55" i="106"/>
  <c r="BR56" i="106"/>
  <c r="CO58" i="106"/>
  <c r="CQ56" i="106"/>
  <c r="CN54" i="106"/>
  <c r="CI54" i="106"/>
  <c r="BU60" i="106"/>
  <c r="BN56" i="106"/>
  <c r="BX57" i="106"/>
  <c r="BO54" i="106"/>
  <c r="CJ69" i="106"/>
  <c r="CJ70" i="106" s="1"/>
  <c r="BM59" i="106"/>
  <c r="BW60" i="106"/>
  <c r="CM55" i="106"/>
  <c r="CK65" i="106"/>
  <c r="BZ54" i="106"/>
  <c r="CD60" i="106"/>
  <c r="BP58" i="106"/>
  <c r="CG55" i="106"/>
  <c r="CP61" i="106"/>
  <c r="BV56" i="106"/>
  <c r="BT56" i="106"/>
  <c r="CH58" i="106"/>
  <c r="CL67" i="106"/>
  <c r="BY55" i="106"/>
  <c r="BY56" i="106"/>
  <c r="CK66" i="106"/>
  <c r="CQ57" i="106"/>
  <c r="CL68" i="106"/>
  <c r="CL69" i="106" s="1"/>
  <c r="CL70" i="106" s="1"/>
  <c r="CM56" i="106"/>
  <c r="CO59" i="106"/>
  <c r="CH59" i="106"/>
  <c r="BW61" i="106"/>
  <c r="BR57" i="106"/>
  <c r="BM60" i="106"/>
  <c r="BV57" i="106"/>
  <c r="BO55" i="106"/>
  <c r="CF57" i="106"/>
  <c r="CP62" i="106"/>
  <c r="BS59" i="106"/>
  <c r="BN57" i="106"/>
  <c r="BU61" i="106"/>
  <c r="CI55" i="106"/>
  <c r="CN55" i="106"/>
  <c r="BT57" i="106"/>
  <c r="CE56" i="106"/>
  <c r="BX58" i="106"/>
  <c r="CG56" i="106"/>
  <c r="BP59" i="106"/>
  <c r="CD61" i="106"/>
  <c r="BZ55" i="106"/>
  <c r="BZ56" i="106"/>
  <c r="BN58" i="106"/>
  <c r="CO60" i="106"/>
  <c r="CD62" i="106"/>
  <c r="BS60" i="106"/>
  <c r="CM57" i="106"/>
  <c r="BP60" i="106"/>
  <c r="CP63" i="106"/>
  <c r="BY57" i="106"/>
  <c r="BV58" i="106"/>
  <c r="CN56" i="106"/>
  <c r="BR58" i="106"/>
  <c r="BU62" i="106"/>
  <c r="CQ58" i="106"/>
  <c r="BM61" i="106"/>
  <c r="BW62" i="106"/>
  <c r="BW63" i="106" s="1"/>
  <c r="CG57" i="106"/>
  <c r="CF58" i="106"/>
  <c r="CK67" i="106"/>
  <c r="CK68" i="106" s="1"/>
  <c r="BX59" i="106"/>
  <c r="BO56" i="106"/>
  <c r="CE57" i="106"/>
  <c r="BT58" i="106"/>
  <c r="CI56" i="106"/>
  <c r="CH60" i="106"/>
  <c r="CH61" i="106"/>
  <c r="BM62" i="106"/>
  <c r="BS61" i="106"/>
  <c r="CI57" i="106"/>
  <c r="CQ59" i="106"/>
  <c r="CD63" i="106"/>
  <c r="BT59" i="106"/>
  <c r="BU63" i="106"/>
  <c r="CO61" i="106"/>
  <c r="BN59" i="106"/>
  <c r="BO57" i="106"/>
  <c r="BZ57" i="106"/>
  <c r="BZ58" i="106" s="1"/>
  <c r="BX60" i="106"/>
  <c r="CK69" i="106"/>
  <c r="CF59" i="106"/>
  <c r="CG58" i="106"/>
  <c r="BW64" i="106"/>
  <c r="CE58" i="106"/>
  <c r="BR59" i="106"/>
  <c r="CN57" i="106"/>
  <c r="BV59" i="106"/>
  <c r="BY58" i="106"/>
  <c r="CP64" i="106"/>
  <c r="BP61" i="106"/>
  <c r="CM58" i="106"/>
  <c r="CM59" i="106"/>
  <c r="CF60" i="106"/>
  <c r="CQ60" i="106"/>
  <c r="BP62" i="106"/>
  <c r="CK70" i="106"/>
  <c r="CI58" i="106"/>
  <c r="CP65" i="106"/>
  <c r="BX61" i="106"/>
  <c r="BS62" i="106"/>
  <c r="BM63" i="106"/>
  <c r="BV60" i="106"/>
  <c r="CH62" i="106"/>
  <c r="BN60" i="106"/>
  <c r="CO62" i="106"/>
  <c r="CO63" i="106" s="1"/>
  <c r="BU64" i="106"/>
  <c r="BT60" i="106"/>
  <c r="CD64" i="106"/>
  <c r="BY59" i="106"/>
  <c r="BZ59" i="106"/>
  <c r="BO58" i="106"/>
  <c r="CN58" i="106"/>
  <c r="BR60" i="106"/>
  <c r="CE59" i="106"/>
  <c r="BW65" i="106"/>
  <c r="CG59" i="106"/>
  <c r="CG60" i="106"/>
  <c r="BU65" i="106"/>
  <c r="BP63" i="106"/>
  <c r="BW66" i="106"/>
  <c r="CO64" i="106"/>
  <c r="CQ61" i="106"/>
  <c r="CE60" i="106"/>
  <c r="BN61" i="106"/>
  <c r="CF61" i="106"/>
  <c r="BR61" i="106"/>
  <c r="CH63" i="106"/>
  <c r="CM60" i="106"/>
  <c r="BT61" i="106"/>
  <c r="CN59" i="106"/>
  <c r="BV61" i="106"/>
  <c r="BO59" i="106"/>
  <c r="BM64" i="106"/>
  <c r="BZ60" i="106"/>
  <c r="BS63" i="106"/>
  <c r="BX62" i="106"/>
  <c r="CD65" i="106"/>
  <c r="CP66" i="106"/>
  <c r="CI59" i="106"/>
  <c r="BY60" i="106"/>
  <c r="BY61" i="106"/>
  <c r="CN60" i="106"/>
  <c r="BW67" i="106"/>
  <c r="CI60" i="106"/>
  <c r="BT62" i="106"/>
  <c r="BP64" i="106"/>
  <c r="CP67" i="106"/>
  <c r="CM61" i="106"/>
  <c r="BU66" i="106"/>
  <c r="CD66" i="106"/>
  <c r="CH64" i="106"/>
  <c r="CG61" i="106"/>
  <c r="BX63" i="106"/>
  <c r="BR62" i="106"/>
  <c r="BS64" i="106"/>
  <c r="CF62" i="106"/>
  <c r="BZ61" i="106"/>
  <c r="BN62" i="106"/>
  <c r="BM65" i="106"/>
  <c r="CE61" i="106"/>
  <c r="BO60" i="106"/>
  <c r="CQ62" i="106"/>
  <c r="BV62" i="106"/>
  <c r="CO65" i="106"/>
  <c r="CO66" i="106"/>
  <c r="BR63" i="106"/>
  <c r="CI61" i="106"/>
  <c r="CG62" i="106"/>
  <c r="CN61" i="106"/>
  <c r="CH65" i="106"/>
  <c r="CE62" i="106"/>
  <c r="BU67" i="106"/>
  <c r="CM62" i="106"/>
  <c r="BP65" i="106"/>
  <c r="BV63" i="106"/>
  <c r="BX64" i="106"/>
  <c r="BW68" i="106"/>
  <c r="BO61" i="106"/>
  <c r="BY62" i="106"/>
  <c r="CD67" i="106"/>
  <c r="BN63" i="106"/>
  <c r="CP68" i="106"/>
  <c r="CP69" i="106" s="1"/>
  <c r="CP70" i="106" s="1"/>
  <c r="BS65" i="106"/>
  <c r="CQ63" i="106"/>
  <c r="BM66" i="106"/>
  <c r="BZ62" i="106"/>
  <c r="CF63" i="106"/>
  <c r="BT63" i="106"/>
  <c r="BT64" i="106"/>
  <c r="BW69" i="106"/>
  <c r="BW70" i="106" s="1"/>
  <c r="CI62" i="106"/>
  <c r="CF64" i="106"/>
  <c r="BX65" i="106"/>
  <c r="BR64" i="106"/>
  <c r="BZ63" i="106"/>
  <c r="BV64" i="106"/>
  <c r="CO67" i="106"/>
  <c r="BM67" i="106"/>
  <c r="BM68" i="106" s="1"/>
  <c r="BP66" i="106"/>
  <c r="CQ64" i="106"/>
  <c r="BS66" i="106"/>
  <c r="BU68" i="106"/>
  <c r="BN64" i="106"/>
  <c r="CH66" i="106"/>
  <c r="CN62" i="106"/>
  <c r="CG63" i="106"/>
  <c r="CM63" i="106"/>
  <c r="CE63" i="106"/>
  <c r="BO62" i="106"/>
  <c r="CD68" i="106"/>
  <c r="CD69" i="106" s="1"/>
  <c r="CD70" i="106" s="1"/>
  <c r="BY63" i="106"/>
  <c r="BY64" i="106"/>
  <c r="CQ65" i="106"/>
  <c r="BT65" i="106"/>
  <c r="BO63" i="106"/>
  <c r="BP67" i="106"/>
  <c r="BP68" i="106" s="1"/>
  <c r="BP69" i="106" s="1"/>
  <c r="BP70" i="106" s="1"/>
  <c r="CE64" i="106"/>
  <c r="BM69" i="106"/>
  <c r="CM64" i="106"/>
  <c r="CO68" i="106"/>
  <c r="CO69" i="106" s="1"/>
  <c r="CO70" i="106" s="1"/>
  <c r="BS67" i="106"/>
  <c r="CG64" i="106"/>
  <c r="BV65" i="106"/>
  <c r="CN63" i="106"/>
  <c r="BZ64" i="106"/>
  <c r="CH67" i="106"/>
  <c r="CH68" i="106" s="1"/>
  <c r="BR65" i="106"/>
  <c r="BN65" i="106"/>
  <c r="BX66" i="106"/>
  <c r="BU69" i="106"/>
  <c r="BU70" i="106" s="1"/>
  <c r="CF65" i="106"/>
  <c r="CI63" i="106"/>
  <c r="CI64" i="106"/>
  <c r="BS68" i="106"/>
  <c r="CF66" i="106"/>
  <c r="CM65" i="106"/>
  <c r="BX67" i="106"/>
  <c r="BM70" i="106"/>
  <c r="CN64" i="106"/>
  <c r="BV66" i="106"/>
  <c r="CQ66" i="106"/>
  <c r="BN66" i="106"/>
  <c r="CE65" i="106"/>
  <c r="BR66" i="106"/>
  <c r="BO64" i="106"/>
  <c r="CH69" i="106"/>
  <c r="CH70" i="106" s="1"/>
  <c r="BT66" i="106"/>
  <c r="BZ65" i="106"/>
  <c r="BZ66" i="106" s="1"/>
  <c r="BY65" i="106"/>
  <c r="CG65" i="106"/>
  <c r="CG66" i="106"/>
  <c r="CN65" i="106"/>
  <c r="BY66" i="106"/>
  <c r="BX68" i="106"/>
  <c r="BX69" i="106" s="1"/>
  <c r="BX70" i="106" s="1"/>
  <c r="BZ67" i="106"/>
  <c r="BZ68" i="106" s="1"/>
  <c r="BZ69" i="106" s="1"/>
  <c r="BZ70" i="106" s="1"/>
  <c r="CM66" i="106"/>
  <c r="CE66" i="106"/>
  <c r="BV67" i="106"/>
  <c r="CQ67" i="106"/>
  <c r="BT67" i="106"/>
  <c r="BT68" i="106" s="1"/>
  <c r="CF67" i="106"/>
  <c r="BO65" i="106"/>
  <c r="BS69" i="106"/>
  <c r="BS70" i="106" s="1"/>
  <c r="BR67" i="106"/>
  <c r="CI65" i="106"/>
  <c r="BN67" i="106"/>
  <c r="BN68" i="106" s="1"/>
  <c r="BN69" i="106" s="1"/>
  <c r="BN70" i="106" s="1"/>
  <c r="CI66" i="106"/>
  <c r="CN66" i="106"/>
  <c r="BR68" i="106"/>
  <c r="BR69" i="106" s="1"/>
  <c r="BR70" i="106" s="1"/>
  <c r="CG67" i="106"/>
  <c r="BT69" i="106"/>
  <c r="CQ68" i="106"/>
  <c r="CQ69" i="106" s="1"/>
  <c r="CQ70" i="106" s="1"/>
  <c r="BV68" i="106"/>
  <c r="CE67" i="106"/>
  <c r="CM67" i="106"/>
  <c r="BY67" i="106"/>
  <c r="BY68" i="106" s="1"/>
  <c r="BY69" i="106" s="1"/>
  <c r="BO66" i="106"/>
  <c r="CF68" i="106"/>
  <c r="CF69" i="106" s="1"/>
  <c r="CF70" i="106" s="1"/>
  <c r="BO67" i="106"/>
  <c r="BO68" i="106" s="1"/>
  <c r="BO69" i="106" s="1"/>
  <c r="BO70" i="106" s="1"/>
  <c r="CI67" i="106"/>
  <c r="CI68" i="106" s="1"/>
  <c r="BY70" i="106"/>
  <c r="CE68" i="106"/>
  <c r="CE69" i="106" s="1"/>
  <c r="CE70" i="106" s="1"/>
  <c r="BT70" i="106"/>
  <c r="CN67" i="106"/>
  <c r="CM68" i="106"/>
  <c r="CM69" i="106" s="1"/>
  <c r="CM70" i="106" s="1"/>
  <c r="BV69" i="106"/>
  <c r="BV70" i="106" s="1"/>
  <c r="CG68" i="106"/>
  <c r="CG69" i="106" s="1"/>
  <c r="CG70" i="106" s="1"/>
  <c r="CN68" i="106"/>
  <c r="CN69" i="106" s="1"/>
  <c r="CN70" i="106" s="1"/>
  <c r="CI69" i="106"/>
  <c r="CI70" i="10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<sst xmlns="http://schemas.openxmlformats.org/spreadsheetml/2006/main" count="1988" uniqueCount="151">
  <si>
    <t>VMAF</t>
  </si>
  <si>
    <t>SSIM</t>
  </si>
  <si>
    <t>PSNR_Y</t>
  </si>
  <si>
    <t>Bit-rate</t>
  </si>
  <si>
    <t>Enc-Time</t>
  </si>
  <si>
    <t>SSIM_Y</t>
  </si>
  <si>
    <t>QP</t>
  </si>
  <si>
    <t>Dec-Time</t>
  </si>
  <si>
    <t>1920x1080</t>
  </si>
  <si>
    <t>960x540</t>
  </si>
  <si>
    <t>Anchor</t>
  </si>
  <si>
    <t>Test</t>
  </si>
  <si>
    <t>Convex Hull Anchor</t>
  </si>
  <si>
    <t>PSNR</t>
  </si>
  <si>
    <t>SSIM Based</t>
  </si>
  <si>
    <t>VMAF Based</t>
  </si>
  <si>
    <t>Average</t>
  </si>
  <si>
    <t>3840x2160</t>
  </si>
  <si>
    <t>2560x1440</t>
  </si>
  <si>
    <t>1280x720</t>
  </si>
  <si>
    <t>640x360</t>
  </si>
  <si>
    <t>BD-rate</t>
  </si>
  <si>
    <t>MS-SSIM</t>
  </si>
  <si>
    <t>Range</t>
  </si>
  <si>
    <t>Y</t>
  </si>
  <si>
    <t>U</t>
  </si>
  <si>
    <t>V</t>
  </si>
  <si>
    <t>High</t>
  </si>
  <si>
    <t>Med</t>
  </si>
  <si>
    <t>Low</t>
  </si>
  <si>
    <t>MS-SSIM Based</t>
  </si>
  <si>
    <t>Min</t>
  </si>
  <si>
    <t>Max</t>
  </si>
  <si>
    <t>delta</t>
  </si>
  <si>
    <t>delta^(3/4)</t>
  </si>
  <si>
    <t>delta^(1/2)</t>
  </si>
  <si>
    <t>min+delta^1/2</t>
  </si>
  <si>
    <t>min+delta^3/4</t>
  </si>
  <si>
    <t>YUV</t>
  </si>
  <si>
    <t>nVMAF</t>
  </si>
  <si>
    <t>PSNR-HVS</t>
  </si>
  <si>
    <t>DE-2K</t>
  </si>
  <si>
    <t>APSNR</t>
  </si>
  <si>
    <t>VMAF-neg Based</t>
  </si>
  <si>
    <t>DE2K Based</t>
  </si>
  <si>
    <t>APSNR Based</t>
  </si>
  <si>
    <t>nVMAF Based</t>
  </si>
  <si>
    <t>PSNR HVS</t>
  </si>
  <si>
    <t>Convex Hull Anchor Test</t>
  </si>
  <si>
    <t>VMAF-neg</t>
  </si>
  <si>
    <t>BoxingPractice</t>
  </si>
  <si>
    <t>DE</t>
  </si>
  <si>
    <t>SSIM CH</t>
  </si>
  <si>
    <t>MS-SSIM CH</t>
  </si>
  <si>
    <t>BD-rates</t>
  </si>
  <si>
    <t>PSNR Y CH</t>
  </si>
  <si>
    <t>DE CH</t>
  </si>
  <si>
    <t>VMAF CH</t>
  </si>
  <si>
    <t>VMAF-neg CH</t>
  </si>
  <si>
    <t>PSNR-HVS CH</t>
  </si>
  <si>
    <t>APSNR CH</t>
  </si>
  <si>
    <t>Sequence</t>
  </si>
  <si>
    <t>CrossWalk</t>
  </si>
  <si>
    <t>FoodMarket2</t>
  </si>
  <si>
    <t>NocturneDance</t>
  </si>
  <si>
    <t>PierSeaside</t>
  </si>
  <si>
    <t>Tango</t>
  </si>
  <si>
    <t>Timelapse</t>
  </si>
  <si>
    <t>Neon1224</t>
  </si>
  <si>
    <t>YUV PSNR Weights</t>
  </si>
  <si>
    <t xml:space="preserve">Y </t>
  </si>
  <si>
    <t>Sum</t>
  </si>
  <si>
    <t>YUV APSNR Weights</t>
  </si>
  <si>
    <t>weighted PSNR BD-rate  Weights</t>
  </si>
  <si>
    <t>weighted APSNR BD-rate  Weights</t>
  </si>
  <si>
    <t>bdYUV</t>
  </si>
  <si>
    <t>BD-rate convex hull</t>
  </si>
  <si>
    <t>EncR</t>
  </si>
  <si>
    <t>DecR</t>
  </si>
  <si>
    <t>Timing</t>
  </si>
  <si>
    <t>EncG</t>
  </si>
  <si>
    <t>DecG</t>
  </si>
  <si>
    <t>Geometric Averages</t>
  </si>
  <si>
    <t>Arithmetic Average</t>
  </si>
  <si>
    <t>Success</t>
  </si>
  <si>
    <t>Line 2 - Test</t>
  </si>
  <si>
    <t>rate</t>
  </si>
  <si>
    <t>y</t>
  </si>
  <si>
    <t>u</t>
  </si>
  <si>
    <t>v</t>
  </si>
  <si>
    <t>yuv</t>
  </si>
  <si>
    <t>Select the sequence from the dropbox below</t>
  </si>
  <si>
    <t>kbps</t>
  </si>
  <si>
    <t>bitrate</t>
  </si>
  <si>
    <t>DE2K</t>
  </si>
  <si>
    <t>Convex Hull - Reference</t>
  </si>
  <si>
    <t>Convex Hull - Test</t>
  </si>
  <si>
    <t>Resolution</t>
  </si>
  <si>
    <t>averages</t>
  </si>
  <si>
    <t>OVERALL</t>
  </si>
  <si>
    <t>HIGH</t>
  </si>
  <si>
    <t>MED</t>
  </si>
  <si>
    <t>LOW</t>
  </si>
  <si>
    <t>AV2 CTC</t>
  </si>
  <si>
    <t>YUV PSNR</t>
  </si>
  <si>
    <t>YUV PSNR Based Test</t>
  </si>
  <si>
    <t>YUV PSNR Based Anchor</t>
  </si>
  <si>
    <t>YUV APSNR Based Anchor</t>
  </si>
  <si>
    <t>YUV APSNR Based Test</t>
  </si>
  <si>
    <t>PSNR YUV</t>
  </si>
  <si>
    <t>PSNR-YUV CH</t>
  </si>
  <si>
    <t>APSNR-YUV CH</t>
  </si>
  <si>
    <t>APSNR YUV</t>
  </si>
  <si>
    <t>PSNR YUV CH</t>
  </si>
  <si>
    <t>PSRN YUV</t>
  </si>
  <si>
    <t>TestCfg</t>
  </si>
  <si>
    <t>EncodeMethod</t>
  </si>
  <si>
    <t>CodecName</t>
  </si>
  <si>
    <t>EncodePreset</t>
  </si>
  <si>
    <t>Class</t>
  </si>
  <si>
    <t>Name</t>
  </si>
  <si>
    <t>OrigRes</t>
  </si>
  <si>
    <t>FPS</t>
  </si>
  <si>
    <t>BitDepth</t>
  </si>
  <si>
    <t>CodedRes</t>
  </si>
  <si>
    <t>Bitrate(kbps)</t>
  </si>
  <si>
    <t>PSNR_U</t>
  </si>
  <si>
    <t>PSNR_V</t>
  </si>
  <si>
    <t>SSIM_Y(dB)</t>
  </si>
  <si>
    <t>MS-SSIM_Y(dB)</t>
  </si>
  <si>
    <t>VMAF_Y</t>
  </si>
  <si>
    <t>VMAF_Y-NEG</t>
  </si>
  <si>
    <t>CIEDE2000</t>
  </si>
  <si>
    <t>APSNR_Y</t>
  </si>
  <si>
    <t>APSNR_U</t>
  </si>
  <si>
    <t>APSNR_V</t>
  </si>
  <si>
    <t>EncT[s]</t>
  </si>
  <si>
    <t>DecT[s]</t>
  </si>
  <si>
    <t>TestVMAF</t>
  </si>
  <si>
    <t>TestVMAFneg</t>
  </si>
  <si>
    <t>VMAF Validity</t>
  </si>
  <si>
    <t>Convex Hull Control</t>
  </si>
  <si>
    <t>Intermediate points</t>
  </si>
  <si>
    <t>EncInstr</t>
  </si>
  <si>
    <t>DecInstr</t>
  </si>
  <si>
    <t>EncCycles</t>
  </si>
  <si>
    <t>DecCycles</t>
  </si>
  <si>
    <t>EncMD5</t>
  </si>
  <si>
    <t>CTC Version</t>
  </si>
  <si>
    <t>v5</t>
  </si>
  <si>
    <t>9.9 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</si>
</sst>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%"/>
    <numFmt numFmtId="165" formatCode="0.0"/>
    <numFmt numFmtId="166" formatCode="0.000000000000000000000"/>
    <numFmt numFmtId="167" formatCode="0.0000000"/>
    <numFmt numFmtId="168" formatCode="0.0000"/>
    <numFmt numFmtId="169" formatCode="0.00000"/>
  </numFmts>
  <fonts count="22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theme="0"/>
      <name val="Calibri"/>
      <family val="2"/>
      <scheme val="minor"/>
    </font>
    <font>
      <sz val="10"/>
      <color theme="1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9"/>
      <color indexed="8"/>
      <name val="Arial"/>
      <family val="2"/>
    </font>
    <font>
      <sz val="9"/>
      <color theme="1"/>
      <name val="Arial"/>
      <family val="2"/>
    </font>
    <font>
      <sz val="12"/>
      <name val="Calibri"/>
      <family val="2"/>
      <scheme val="minor"/>
    </font>
    <font>
      <sz val="12"/>
      <color rgb="FFFFFFFF"/>
      <name val="Calibri"/>
      <family val="2"/>
      <scheme val="minor"/>
    </font>
    <font>
      <sz val="12"/>
      <color rgb="FF000000"/>
      <name val="Calibri"/>
      <family val="2"/>
      <scheme val="minor"/>
    </font>
    <font>
      <sz val="9"/>
      <color theme="0"/>
      <name val="Arial"/>
      <family val="2"/>
    </font>
    <font>
      <sz val="10"/>
      <color indexed="8"/>
      <name val="Calibri"/>
      <family val="2"/>
    </font>
    <font>
      <sz val="10"/>
      <color theme="0"/>
      <name val="Calibri"/>
      <family val="2"/>
      <scheme val="minor"/>
    </font>
    <font>
      <b/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sz val="12"/>
      <color rgb="FF222222"/>
      <name val="Arial"/>
      <family val="2"/>
    </font>
    <font>
      <sz val="8"/>
      <name val="Calibri"/>
      <family val="2"/>
      <scheme val="minor"/>
    </font>
    <font>
      <sz val="10"/>
      <color rgb="FF643820"/>
      <name val="Arial"/>
      <family val="2"/>
    </font>
    <font>
      <sz val="12"/>
      <color rgb="FF1F1F1F"/>
      <name val="Helvetica Neue"/>
      <family val="2"/>
    </font>
  </fonts>
  <fills count="15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262626"/>
        <bgColor rgb="FF000000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</fills>
  <borders count="9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 style="thin">
        <color theme="1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theme="1"/>
      </bottom>
      <diagonal/>
    </border>
    <border>
      <left style="medium">
        <color indexed="64"/>
      </left>
      <right style="thin">
        <color theme="1"/>
      </right>
      <top style="medium">
        <color indexed="64"/>
      </top>
      <bottom style="thin">
        <color theme="1"/>
      </bottom>
      <diagonal/>
    </border>
    <border>
      <left style="thin">
        <color theme="1"/>
      </left>
      <right/>
      <top style="medium">
        <color indexed="64"/>
      </top>
      <bottom style="thin">
        <color theme="1"/>
      </bottom>
      <diagonal/>
    </border>
    <border>
      <left style="medium">
        <color indexed="64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 style="thin">
        <color theme="1"/>
      </left>
      <right/>
      <top style="thin">
        <color theme="1"/>
      </top>
      <bottom style="medium">
        <color indexed="64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medium">
        <color indexed="64"/>
      </right>
      <top style="thin">
        <color theme="0"/>
      </top>
      <bottom/>
      <diagonal/>
    </border>
    <border>
      <left style="medium">
        <color indexed="64"/>
      </left>
      <right style="thin">
        <color theme="0"/>
      </right>
      <top style="medium">
        <color indexed="64"/>
      </top>
      <bottom/>
      <diagonal/>
    </border>
    <border>
      <left style="thin">
        <color theme="0"/>
      </left>
      <right/>
      <top style="medium">
        <color indexed="64"/>
      </top>
      <bottom style="thin">
        <color theme="0"/>
      </bottom>
      <diagonal/>
    </border>
    <border>
      <left/>
      <right/>
      <top style="medium">
        <color indexed="64"/>
      </top>
      <bottom style="thin">
        <color theme="0"/>
      </bottom>
      <diagonal/>
    </border>
    <border>
      <left/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/>
      <bottom/>
      <diagonal/>
    </border>
    <border>
      <left/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/>
      <bottom style="thin">
        <color theme="1"/>
      </bottom>
      <diagonal/>
    </border>
    <border>
      <left style="medium">
        <color indexed="64"/>
      </left>
      <right style="thin">
        <color theme="1"/>
      </right>
      <top style="thin">
        <color theme="1"/>
      </top>
      <bottom/>
      <diagonal/>
    </border>
    <border>
      <left style="medium">
        <color indexed="64"/>
      </left>
      <right style="thin">
        <color theme="1"/>
      </right>
      <top/>
      <bottom/>
      <diagonal/>
    </border>
    <border>
      <left style="medium">
        <color indexed="64"/>
      </left>
      <right style="thin">
        <color theme="1"/>
      </right>
      <top/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theme="1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medium">
        <color indexed="64"/>
      </left>
      <right/>
      <top style="medium">
        <color indexed="64"/>
      </top>
      <bottom style="thin">
        <color theme="1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theme="0"/>
      </right>
      <top/>
      <bottom style="thin">
        <color theme="0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</cellStyleXfs>
  <cellXfs count="310">
    <xf numFmtId="0" fontId="0" fillId="0" borderId="0" xfId="0"/>
    <xf numFmtId="0" fontId="4" fillId="0" borderId="0" xfId="0" applyFont="1" applyAlignment="1">
      <alignment horizontal="center"/>
    </xf>
    <xf numFmtId="0" fontId="4" fillId="0" borderId="1" xfId="0" applyFont="1" applyBorder="1" applyAlignment="1">
      <alignment horizontal="center"/>
    </xf>
    <xf numFmtId="0" fontId="4" fillId="4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0" fontId="6" fillId="0" borderId="0" xfId="0" applyNumberFormat="1" applyFont="1" applyAlignment="1">
      <alignment horizontal="center" vertical="center"/>
    </xf>
    <xf numFmtId="2" fontId="4" fillId="4" borderId="1" xfId="0" applyNumberFormat="1" applyFont="1" applyFill="1" applyBorder="1" applyAlignment="1">
      <alignment horizontal="center" vertical="center"/>
    </xf>
    <xf numFmtId="2" fontId="4" fillId="0" borderId="0" xfId="1" applyNumberFormat="1" applyFont="1" applyAlignment="1">
      <alignment horizontal="center" vertical="center"/>
    </xf>
    <xf numFmtId="2" fontId="4" fillId="0" borderId="0" xfId="0" applyNumberFormat="1" applyFont="1" applyAlignment="1">
      <alignment horizontal="center" vertical="center"/>
    </xf>
    <xf numFmtId="164" fontId="4" fillId="0" borderId="0" xfId="1" applyNumberFormat="1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10" fontId="7" fillId="0" borderId="0" xfId="0" applyNumberFormat="1" applyFont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5" fillId="5" borderId="10" xfId="0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10" fontId="6" fillId="0" borderId="8" xfId="0" applyNumberFormat="1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0" fontId="10" fillId="0" borderId="0" xfId="0" applyFont="1" applyAlignment="1">
      <alignment vertical="center"/>
    </xf>
    <xf numFmtId="0" fontId="10" fillId="0" borderId="0" xfId="0" applyFont="1"/>
    <xf numFmtId="0" fontId="10" fillId="0" borderId="0" xfId="0" applyFont="1" applyAlignment="1">
      <alignment horizontal="center" vertical="center"/>
    </xf>
    <xf numFmtId="10" fontId="10" fillId="0" borderId="0" xfId="0" applyNumberFormat="1" applyFont="1"/>
    <xf numFmtId="0" fontId="10" fillId="0" borderId="0" xfId="0" applyFont="1" applyAlignment="1">
      <alignment horizontal="center"/>
    </xf>
    <xf numFmtId="0" fontId="3" fillId="6" borderId="22" xfId="0" applyFont="1" applyFill="1" applyBorder="1" applyAlignment="1">
      <alignment horizontal="center" vertical="center"/>
    </xf>
    <xf numFmtId="10" fontId="3" fillId="6" borderId="23" xfId="0" applyNumberFormat="1" applyFont="1" applyFill="1" applyBorder="1" applyAlignment="1">
      <alignment horizontal="center" vertical="center"/>
    </xf>
    <xf numFmtId="0" fontId="11" fillId="8" borderId="19" xfId="0" applyFont="1" applyFill="1" applyBorder="1" applyAlignment="1">
      <alignment horizontal="center" vertical="center"/>
    </xf>
    <xf numFmtId="2" fontId="12" fillId="0" borderId="26" xfId="0" applyNumberFormat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9" fontId="12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2" fontId="12" fillId="0" borderId="0" xfId="0" applyNumberFormat="1" applyFont="1" applyAlignment="1">
      <alignment horizontal="center" vertical="center"/>
    </xf>
    <xf numFmtId="10" fontId="3" fillId="6" borderId="24" xfId="0" applyNumberFormat="1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9" fillId="3" borderId="11" xfId="0" applyFont="1" applyFill="1" applyBorder="1" applyAlignment="1">
      <alignment horizontal="center" vertical="center"/>
    </xf>
    <xf numFmtId="0" fontId="4" fillId="0" borderId="24" xfId="0" applyFont="1" applyBorder="1" applyAlignment="1">
      <alignment horizontal="center"/>
    </xf>
    <xf numFmtId="0" fontId="8" fillId="3" borderId="11" xfId="0" applyFont="1" applyFill="1" applyBorder="1" applyAlignment="1">
      <alignment horizontal="center" vertical="center"/>
    </xf>
    <xf numFmtId="0" fontId="3" fillId="6" borderId="30" xfId="0" applyFont="1" applyFill="1" applyBorder="1" applyAlignment="1">
      <alignment vertical="center"/>
    </xf>
    <xf numFmtId="0" fontId="3" fillId="6" borderId="23" xfId="0" applyFont="1" applyFill="1" applyBorder="1" applyAlignment="1">
      <alignment horizontal="center" vertical="center"/>
    </xf>
    <xf numFmtId="10" fontId="6" fillId="0" borderId="1" xfId="0" applyNumberFormat="1" applyFont="1" applyBorder="1" applyAlignment="1">
      <alignment horizontal="center" vertical="center"/>
    </xf>
    <xf numFmtId="10" fontId="10" fillId="7" borderId="33" xfId="0" applyNumberFormat="1" applyFont="1" applyFill="1" applyBorder="1" applyAlignment="1">
      <alignment horizontal="center" vertical="center"/>
    </xf>
    <xf numFmtId="10" fontId="6" fillId="0" borderId="5" xfId="0" applyNumberFormat="1" applyFont="1" applyBorder="1" applyAlignment="1">
      <alignment horizontal="center" vertical="center"/>
    </xf>
    <xf numFmtId="10" fontId="6" fillId="0" borderId="7" xfId="0" applyNumberFormat="1" applyFont="1" applyBorder="1" applyAlignment="1">
      <alignment horizontal="center" vertical="center"/>
    </xf>
    <xf numFmtId="10" fontId="6" fillId="0" borderId="9" xfId="0" applyNumberFormat="1" applyFont="1" applyBorder="1" applyAlignment="1">
      <alignment horizontal="center" vertical="center"/>
    </xf>
    <xf numFmtId="10" fontId="6" fillId="0" borderId="13" xfId="0" applyNumberFormat="1" applyFont="1" applyBorder="1" applyAlignment="1">
      <alignment horizontal="center" vertical="center"/>
    </xf>
    <xf numFmtId="10" fontId="6" fillId="0" borderId="34" xfId="0" applyNumberFormat="1" applyFont="1" applyBorder="1" applyAlignment="1">
      <alignment horizontal="center" vertical="center"/>
    </xf>
    <xf numFmtId="10" fontId="6" fillId="0" borderId="10" xfId="0" applyNumberFormat="1" applyFont="1" applyBorder="1" applyAlignment="1">
      <alignment horizontal="center" vertical="center"/>
    </xf>
    <xf numFmtId="10" fontId="3" fillId="6" borderId="35" xfId="0" applyNumberFormat="1" applyFont="1" applyFill="1" applyBorder="1" applyAlignment="1">
      <alignment horizontal="center" vertical="center"/>
    </xf>
    <xf numFmtId="10" fontId="3" fillId="6" borderId="36" xfId="0" applyNumberFormat="1" applyFont="1" applyFill="1" applyBorder="1" applyAlignment="1">
      <alignment horizontal="center" vertical="center"/>
    </xf>
    <xf numFmtId="10" fontId="3" fillId="6" borderId="37" xfId="0" applyNumberFormat="1" applyFont="1" applyFill="1" applyBorder="1" applyAlignment="1">
      <alignment horizontal="center" vertical="center"/>
    </xf>
    <xf numFmtId="10" fontId="6" fillId="0" borderId="19" xfId="0" applyNumberFormat="1" applyFont="1" applyBorder="1" applyAlignment="1">
      <alignment horizontal="center" vertical="center"/>
    </xf>
    <xf numFmtId="10" fontId="10" fillId="7" borderId="39" xfId="0" applyNumberFormat="1" applyFont="1" applyFill="1" applyBorder="1" applyAlignment="1">
      <alignment horizontal="center" vertical="center"/>
    </xf>
    <xf numFmtId="10" fontId="10" fillId="7" borderId="42" xfId="0" applyNumberFormat="1" applyFont="1" applyFill="1" applyBorder="1" applyAlignment="1">
      <alignment horizontal="center" vertical="center"/>
    </xf>
    <xf numFmtId="10" fontId="6" fillId="0" borderId="6" xfId="0" applyNumberFormat="1" applyFont="1" applyBorder="1" applyAlignment="1">
      <alignment horizontal="center" vertical="center"/>
    </xf>
    <xf numFmtId="10" fontId="6" fillId="0" borderId="14" xfId="0" applyNumberFormat="1" applyFont="1" applyBorder="1" applyAlignment="1">
      <alignment horizontal="center" vertical="center"/>
    </xf>
    <xf numFmtId="0" fontId="3" fillId="10" borderId="12" xfId="0" applyFont="1" applyFill="1" applyBorder="1" applyAlignment="1">
      <alignment horizontal="center"/>
    </xf>
    <xf numFmtId="0" fontId="3" fillId="6" borderId="23" xfId="0" applyFont="1" applyFill="1" applyBorder="1" applyAlignment="1">
      <alignment horizontal="center"/>
    </xf>
    <xf numFmtId="0" fontId="3" fillId="6" borderId="45" xfId="0" applyFont="1" applyFill="1" applyBorder="1" applyAlignment="1">
      <alignment horizontal="center" vertical="center"/>
    </xf>
    <xf numFmtId="0" fontId="3" fillId="6" borderId="47" xfId="0" applyFont="1" applyFill="1" applyBorder="1" applyAlignment="1">
      <alignment horizontal="center" vertical="center"/>
    </xf>
    <xf numFmtId="0" fontId="3" fillId="6" borderId="49" xfId="0" applyFont="1" applyFill="1" applyBorder="1" applyAlignment="1">
      <alignment horizontal="center" vertical="center"/>
    </xf>
    <xf numFmtId="10" fontId="3" fillId="6" borderId="49" xfId="0" applyNumberFormat="1" applyFont="1" applyFill="1" applyBorder="1" applyAlignment="1">
      <alignment horizontal="center" vertical="center"/>
    </xf>
    <xf numFmtId="10" fontId="3" fillId="6" borderId="60" xfId="0" applyNumberFormat="1" applyFont="1" applyFill="1" applyBorder="1" applyAlignment="1">
      <alignment horizontal="center" vertical="center"/>
    </xf>
    <xf numFmtId="10" fontId="10" fillId="0" borderId="63" xfId="0" applyNumberFormat="1" applyFont="1" applyBorder="1" applyAlignment="1">
      <alignment horizontal="center" vertical="center"/>
    </xf>
    <xf numFmtId="10" fontId="10" fillId="0" borderId="64" xfId="0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3" fillId="12" borderId="1" xfId="0" applyFont="1" applyFill="1" applyBorder="1" applyAlignment="1">
      <alignment horizontal="center"/>
    </xf>
    <xf numFmtId="0" fontId="13" fillId="12" borderId="4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0" borderId="1" xfId="0" applyBorder="1" applyAlignment="1">
      <alignment horizontal="center"/>
    </xf>
    <xf numFmtId="2" fontId="14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0" applyNumberFormat="1" applyFont="1" applyAlignment="1">
      <alignment horizontal="center"/>
    </xf>
    <xf numFmtId="0" fontId="8" fillId="0" borderId="0" xfId="0" applyFont="1"/>
    <xf numFmtId="10" fontId="0" fillId="0" borderId="0" xfId="0" applyNumberFormat="1" applyAlignment="1">
      <alignment vertical="center"/>
    </xf>
    <xf numFmtId="0" fontId="13" fillId="0" borderId="0" xfId="0" applyFont="1" applyAlignment="1">
      <alignment horizontal="center"/>
    </xf>
    <xf numFmtId="10" fontId="10" fillId="0" borderId="0" xfId="0" applyNumberFormat="1" applyFont="1" applyAlignment="1">
      <alignment horizontal="center" vertical="center"/>
    </xf>
    <xf numFmtId="10" fontId="10" fillId="7" borderId="68" xfId="0" applyNumberFormat="1" applyFont="1" applyFill="1" applyBorder="1" applyAlignment="1">
      <alignment horizontal="center" vertical="center"/>
    </xf>
    <xf numFmtId="10" fontId="3" fillId="6" borderId="69" xfId="0" applyNumberFormat="1" applyFont="1" applyFill="1" applyBorder="1" applyAlignment="1">
      <alignment horizontal="center" vertical="center"/>
    </xf>
    <xf numFmtId="0" fontId="10" fillId="0" borderId="66" xfId="0" applyFont="1" applyBorder="1" applyAlignment="1">
      <alignment horizontal="center" vertical="center"/>
    </xf>
    <xf numFmtId="0" fontId="3" fillId="10" borderId="75" xfId="0" applyFont="1" applyFill="1" applyBorder="1" applyAlignment="1">
      <alignment horizontal="center" vertical="center"/>
    </xf>
    <xf numFmtId="0" fontId="3" fillId="10" borderId="2" xfId="0" applyFont="1" applyFill="1" applyBorder="1" applyAlignment="1">
      <alignment horizontal="center" vertical="center"/>
    </xf>
    <xf numFmtId="0" fontId="3" fillId="10" borderId="76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3" fillId="10" borderId="18" xfId="0" applyFont="1" applyFill="1" applyBorder="1" applyAlignment="1">
      <alignment vertical="center" textRotation="90" wrapText="1"/>
    </xf>
    <xf numFmtId="10" fontId="3" fillId="10" borderId="66" xfId="0" applyNumberFormat="1" applyFont="1" applyFill="1" applyBorder="1" applyAlignment="1">
      <alignment horizontal="center" vertical="center"/>
    </xf>
    <xf numFmtId="0" fontId="15" fillId="6" borderId="23" xfId="0" applyFont="1" applyFill="1" applyBorder="1" applyAlignment="1">
      <alignment horizontal="center"/>
    </xf>
    <xf numFmtId="0" fontId="15" fillId="6" borderId="23" xfId="0" applyFont="1" applyFill="1" applyBorder="1" applyAlignment="1">
      <alignment horizontal="center" vertical="center"/>
    </xf>
    <xf numFmtId="0" fontId="15" fillId="6" borderId="49" xfId="0" applyFont="1" applyFill="1" applyBorder="1" applyAlignment="1">
      <alignment horizontal="center" vertical="center"/>
    </xf>
    <xf numFmtId="0" fontId="5" fillId="13" borderId="1" xfId="0" applyFont="1" applyFill="1" applyBorder="1" applyAlignment="1">
      <alignment horizontal="center" vertical="center"/>
    </xf>
    <xf numFmtId="0" fontId="5" fillId="13" borderId="6" xfId="0" applyFont="1" applyFill="1" applyBorder="1" applyAlignment="1">
      <alignment horizontal="center" vertical="center"/>
    </xf>
    <xf numFmtId="0" fontId="5" fillId="13" borderId="8" xfId="0" applyFont="1" applyFill="1" applyBorder="1" applyAlignment="1">
      <alignment horizontal="center" vertical="center"/>
    </xf>
    <xf numFmtId="0" fontId="16" fillId="13" borderId="6" xfId="0" applyFont="1" applyFill="1" applyBorder="1" applyAlignment="1">
      <alignment horizontal="center"/>
    </xf>
    <xf numFmtId="0" fontId="16" fillId="13" borderId="7" xfId="0" applyFont="1" applyFill="1" applyBorder="1" applyAlignment="1">
      <alignment horizontal="center"/>
    </xf>
    <xf numFmtId="0" fontId="16" fillId="13" borderId="1" xfId="0" applyFont="1" applyFill="1" applyBorder="1" applyAlignment="1">
      <alignment horizontal="center"/>
    </xf>
    <xf numFmtId="0" fontId="16" fillId="13" borderId="9" xfId="0" applyFont="1" applyFill="1" applyBorder="1" applyAlignment="1">
      <alignment horizontal="center"/>
    </xf>
    <xf numFmtId="10" fontId="6" fillId="0" borderId="66" xfId="0" applyNumberFormat="1" applyFont="1" applyBorder="1" applyAlignment="1">
      <alignment horizontal="center" vertical="center"/>
    </xf>
    <xf numFmtId="10" fontId="6" fillId="0" borderId="11" xfId="0" applyNumberFormat="1" applyFont="1" applyBorder="1" applyAlignment="1">
      <alignment horizontal="center" vertical="center"/>
    </xf>
    <xf numFmtId="10" fontId="6" fillId="0" borderId="18" xfId="0" applyNumberFormat="1" applyFont="1" applyBorder="1" applyAlignment="1">
      <alignment horizontal="center" vertical="center"/>
    </xf>
    <xf numFmtId="10" fontId="3" fillId="6" borderId="33" xfId="0" applyNumberFormat="1" applyFont="1" applyFill="1" applyBorder="1" applyAlignment="1">
      <alignment horizontal="center" vertical="center"/>
    </xf>
    <xf numFmtId="10" fontId="3" fillId="6" borderId="42" xfId="0" applyNumberFormat="1" applyFont="1" applyFill="1" applyBorder="1" applyAlignment="1">
      <alignment horizontal="center" vertical="center"/>
    </xf>
    <xf numFmtId="0" fontId="3" fillId="10" borderId="21" xfId="0" applyFont="1" applyFill="1" applyBorder="1" applyAlignment="1">
      <alignment horizontal="center" vertical="center"/>
    </xf>
    <xf numFmtId="0" fontId="3" fillId="6" borderId="82" xfId="0" applyFont="1" applyFill="1" applyBorder="1" applyAlignment="1">
      <alignment horizontal="center" vertical="center"/>
    </xf>
    <xf numFmtId="10" fontId="6" fillId="0" borderId="81" xfId="0" applyNumberFormat="1" applyFont="1" applyBorder="1" applyAlignment="1">
      <alignment horizontal="center" vertical="center"/>
    </xf>
    <xf numFmtId="10" fontId="6" fillId="0" borderId="83" xfId="0" applyNumberFormat="1" applyFont="1" applyBorder="1" applyAlignment="1">
      <alignment horizontal="center" vertical="center"/>
    </xf>
    <xf numFmtId="0" fontId="3" fillId="6" borderId="86" xfId="0" applyFont="1" applyFill="1" applyBorder="1" applyAlignment="1">
      <alignment horizontal="center" vertical="center"/>
    </xf>
    <xf numFmtId="10" fontId="6" fillId="0" borderId="85" xfId="0" applyNumberFormat="1" applyFont="1" applyBorder="1" applyAlignment="1">
      <alignment horizontal="center" vertical="center"/>
    </xf>
    <xf numFmtId="10" fontId="6" fillId="0" borderId="87" xfId="0" applyNumberFormat="1" applyFont="1" applyBorder="1" applyAlignment="1">
      <alignment horizontal="center" vertical="center"/>
    </xf>
    <xf numFmtId="0" fontId="3" fillId="10" borderId="74" xfId="0" applyFont="1" applyFill="1" applyBorder="1" applyAlignment="1">
      <alignment horizontal="center" vertical="center"/>
    </xf>
    <xf numFmtId="0" fontId="10" fillId="0" borderId="72" xfId="0" applyFont="1" applyBorder="1" applyAlignment="1">
      <alignment horizontal="center" vertical="center"/>
    </xf>
    <xf numFmtId="0" fontId="18" fillId="0" borderId="0" xfId="0" applyFont="1" applyAlignment="1">
      <alignment horizontal="right"/>
    </xf>
    <xf numFmtId="0" fontId="17" fillId="0" borderId="0" xfId="0" applyFont="1" applyAlignment="1">
      <alignment horizontal="right"/>
    </xf>
    <xf numFmtId="0" fontId="6" fillId="5" borderId="11" xfId="0" applyFont="1" applyFill="1" applyBorder="1" applyAlignment="1">
      <alignment horizontal="center" vertical="center"/>
    </xf>
    <xf numFmtId="0" fontId="5" fillId="13" borderId="11" xfId="0" applyFont="1" applyFill="1" applyBorder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166" fontId="4" fillId="0" borderId="0" xfId="0" applyNumberFormat="1" applyFont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167" fontId="4" fillId="0" borderId="0" xfId="0" applyNumberFormat="1" applyFont="1" applyAlignment="1">
      <alignment horizontal="center" vertical="center"/>
    </xf>
    <xf numFmtId="0" fontId="6" fillId="0" borderId="6" xfId="1" applyNumberFormat="1" applyFont="1" applyBorder="1" applyAlignment="1">
      <alignment horizontal="center" vertical="center"/>
    </xf>
    <xf numFmtId="0" fontId="6" fillId="0" borderId="1" xfId="1" applyNumberFormat="1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6" fillId="0" borderId="87" xfId="0" applyFont="1" applyBorder="1" applyAlignment="1">
      <alignment horizontal="center" vertical="center"/>
    </xf>
    <xf numFmtId="0" fontId="6" fillId="0" borderId="83" xfId="0" applyFont="1" applyBorder="1" applyAlignment="1">
      <alignment horizontal="center" vertical="center"/>
    </xf>
    <xf numFmtId="168" fontId="4" fillId="0" borderId="24" xfId="0" applyNumberFormat="1" applyFont="1" applyBorder="1" applyAlignment="1">
      <alignment horizontal="center"/>
    </xf>
    <xf numFmtId="168" fontId="4" fillId="5" borderId="24" xfId="0" applyNumberFormat="1" applyFont="1" applyFill="1" applyBorder="1" applyAlignment="1">
      <alignment horizontal="center"/>
    </xf>
    <xf numFmtId="168" fontId="4" fillId="14" borderId="24" xfId="0" applyNumberFormat="1" applyFont="1" applyFill="1" applyBorder="1" applyAlignment="1">
      <alignment horizontal="center"/>
    </xf>
    <xf numFmtId="168" fontId="4" fillId="0" borderId="0" xfId="0" applyNumberFormat="1" applyFont="1" applyAlignment="1">
      <alignment horizontal="center"/>
    </xf>
    <xf numFmtId="0" fontId="20" fillId="0" borderId="0" xfId="0" applyFont="1"/>
    <xf numFmtId="168" fontId="4" fillId="3" borderId="1" xfId="0" applyNumberFormat="1" applyFont="1" applyFill="1" applyBorder="1" applyAlignment="1">
      <alignment horizontal="center" vertical="center"/>
    </xf>
    <xf numFmtId="168" fontId="4" fillId="3" borderId="11" xfId="0" applyNumberFormat="1" applyFont="1" applyFill="1" applyBorder="1" applyAlignment="1">
      <alignment horizontal="center" vertical="center"/>
    </xf>
    <xf numFmtId="168" fontId="5" fillId="13" borderId="1" xfId="0" applyNumberFormat="1" applyFont="1" applyFill="1" applyBorder="1" applyAlignment="1">
      <alignment horizontal="center" vertical="center"/>
    </xf>
    <xf numFmtId="168" fontId="5" fillId="13" borderId="11" xfId="0" applyNumberFormat="1" applyFont="1" applyFill="1" applyBorder="1" applyAlignment="1">
      <alignment horizontal="center" vertical="center"/>
    </xf>
    <xf numFmtId="169" fontId="4" fillId="3" borderId="1" xfId="0" applyNumberFormat="1" applyFont="1" applyFill="1" applyBorder="1" applyAlignment="1">
      <alignment horizontal="center" vertical="center"/>
    </xf>
    <xf numFmtId="169" fontId="4" fillId="3" borderId="11" xfId="0" applyNumberFormat="1" applyFont="1" applyFill="1" applyBorder="1" applyAlignment="1">
      <alignment horizontal="center" vertical="center"/>
    </xf>
    <xf numFmtId="169" fontId="4" fillId="0" borderId="24" xfId="0" applyNumberFormat="1" applyFont="1" applyBorder="1" applyAlignment="1">
      <alignment horizontal="center"/>
    </xf>
    <xf numFmtId="169" fontId="4" fillId="5" borderId="24" xfId="0" applyNumberFormat="1" applyFont="1" applyFill="1" applyBorder="1" applyAlignment="1">
      <alignment horizontal="center"/>
    </xf>
    <xf numFmtId="169" fontId="4" fillId="14" borderId="24" xfId="0" applyNumberFormat="1" applyFont="1" applyFill="1" applyBorder="1" applyAlignment="1">
      <alignment horizontal="center"/>
    </xf>
    <xf numFmtId="169" fontId="4" fillId="0" borderId="0" xfId="0" applyNumberFormat="1" applyFont="1" applyAlignment="1">
      <alignment horizontal="center"/>
    </xf>
    <xf numFmtId="169" fontId="5" fillId="13" borderId="1" xfId="0" applyNumberFormat="1" applyFont="1" applyFill="1" applyBorder="1" applyAlignment="1">
      <alignment horizontal="center" vertical="center"/>
    </xf>
    <xf numFmtId="169" fontId="5" fillId="13" borderId="11" xfId="0" applyNumberFormat="1" applyFont="1" applyFill="1" applyBorder="1" applyAlignment="1">
      <alignment horizontal="center" vertical="center"/>
    </xf>
    <xf numFmtId="168" fontId="6" fillId="3" borderId="11" xfId="0" applyNumberFormat="1" applyFont="1" applyFill="1" applyBorder="1" applyAlignment="1">
      <alignment horizontal="center" vertical="center"/>
    </xf>
    <xf numFmtId="168" fontId="5" fillId="13" borderId="6" xfId="0" applyNumberFormat="1" applyFont="1" applyFill="1" applyBorder="1" applyAlignment="1">
      <alignment horizontal="center" vertical="center"/>
    </xf>
    <xf numFmtId="168" fontId="16" fillId="13" borderId="6" xfId="0" applyNumberFormat="1" applyFont="1" applyFill="1" applyBorder="1" applyAlignment="1">
      <alignment horizontal="center"/>
    </xf>
    <xf numFmtId="168" fontId="16" fillId="13" borderId="7" xfId="0" applyNumberFormat="1" applyFont="1" applyFill="1" applyBorder="1" applyAlignment="1">
      <alignment horizontal="center"/>
    </xf>
    <xf numFmtId="168" fontId="16" fillId="13" borderId="1" xfId="0" applyNumberFormat="1" applyFont="1" applyFill="1" applyBorder="1" applyAlignment="1">
      <alignment horizontal="center"/>
    </xf>
    <xf numFmtId="168" fontId="16" fillId="13" borderId="9" xfId="0" applyNumberFormat="1" applyFont="1" applyFill="1" applyBorder="1" applyAlignment="1">
      <alignment horizontal="center"/>
    </xf>
    <xf numFmtId="168" fontId="4" fillId="0" borderId="1" xfId="0" applyNumberFormat="1" applyFont="1" applyBorder="1" applyAlignment="1">
      <alignment horizontal="center"/>
    </xf>
    <xf numFmtId="168" fontId="9" fillId="3" borderId="11" xfId="0" applyNumberFormat="1" applyFont="1" applyFill="1" applyBorder="1" applyAlignment="1">
      <alignment horizontal="center" vertical="center"/>
    </xf>
    <xf numFmtId="168" fontId="8" fillId="3" borderId="11" xfId="0" applyNumberFormat="1" applyFont="1" applyFill="1" applyBorder="1" applyAlignment="1">
      <alignment horizontal="center" vertical="center"/>
    </xf>
    <xf numFmtId="168" fontId="4" fillId="0" borderId="33" xfId="0" applyNumberFormat="1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1" fontId="4" fillId="0" borderId="0" xfId="0" applyNumberFormat="1" applyFont="1" applyAlignment="1">
      <alignment horizontal="center"/>
    </xf>
    <xf numFmtId="1" fontId="4" fillId="0" borderId="0" xfId="0" applyNumberFormat="1" applyFont="1" applyAlignment="1">
      <alignment horizontal="center" vertical="center"/>
    </xf>
    <xf numFmtId="1" fontId="4" fillId="6" borderId="0" xfId="1" applyNumberFormat="1" applyFont="1" applyFill="1" applyAlignment="1">
      <alignment horizontal="center" vertical="center"/>
    </xf>
    <xf numFmtId="3" fontId="0" fillId="0" borderId="0" xfId="0" applyNumberFormat="1"/>
    <xf numFmtId="3" fontId="21" fillId="0" borderId="0" xfId="0" applyNumberFormat="1" applyFont="1"/>
    <xf numFmtId="168" fontId="4" fillId="4" borderId="1" xfId="0" applyNumberFormat="1" applyFont="1" applyFill="1" applyBorder="1" applyAlignment="1">
      <alignment horizontal="center" vertical="center"/>
    </xf>
    <xf numFmtId="168" fontId="4" fillId="4" borderId="2" xfId="0" applyNumberFormat="1" applyFont="1" applyFill="1" applyBorder="1" applyAlignment="1">
      <alignment horizontal="center" vertical="center"/>
    </xf>
    <xf numFmtId="168" fontId="4" fillId="0" borderId="0" xfId="0" applyNumberFormat="1" applyFont="1" applyAlignment="1">
      <alignment horizontal="center" vertical="center"/>
    </xf>
    <xf numFmtId="168" fontId="4" fillId="4" borderId="4" xfId="0" applyNumberFormat="1" applyFont="1" applyFill="1" applyBorder="1" applyAlignment="1">
      <alignment horizontal="center" vertical="center"/>
    </xf>
    <xf numFmtId="168" fontId="4" fillId="0" borderId="0" xfId="1" applyNumberFormat="1" applyFont="1" applyAlignment="1">
      <alignment horizontal="center" vertical="center"/>
    </xf>
    <xf numFmtId="0" fontId="17" fillId="0" borderId="0" xfId="0" applyFont="1"/>
    <xf numFmtId="0" fontId="17" fillId="0" borderId="0" xfId="0" applyFont="1" applyAlignment="1">
      <alignment horizontal="left"/>
    </xf>
    <xf numFmtId="9" fontId="0" fillId="0" borderId="0" xfId="1" applyFont="1" applyAlignment="1">
      <alignment horizontal="left" vertical="center"/>
    </xf>
    <xf numFmtId="0" fontId="3" fillId="6" borderId="22" xfId="0" applyFont="1" applyFill="1" applyBorder="1" applyAlignment="1">
      <alignment horizontal="center" vertical="center"/>
    </xf>
    <xf numFmtId="10" fontId="6" fillId="0" borderId="6" xfId="0" applyNumberFormat="1" applyFont="1" applyBorder="1" applyAlignment="1">
      <alignment horizontal="center" vertical="center"/>
    </xf>
    <xf numFmtId="10" fontId="6" fillId="0" borderId="1" xfId="0" applyNumberFormat="1" applyFont="1" applyBorder="1" applyAlignment="1">
      <alignment horizontal="center" vertical="center"/>
    </xf>
    <xf numFmtId="10" fontId="6" fillId="0" borderId="14" xfId="0" applyNumberFormat="1" applyFont="1" applyBorder="1" applyAlignment="1">
      <alignment horizontal="center" vertical="center"/>
    </xf>
    <xf numFmtId="10" fontId="6" fillId="0" borderId="7" xfId="0" applyNumberFormat="1" applyFont="1" applyBorder="1" applyAlignment="1">
      <alignment horizontal="center" vertical="center"/>
    </xf>
    <xf numFmtId="10" fontId="6" fillId="0" borderId="9" xfId="0" applyNumberFormat="1" applyFont="1" applyBorder="1" applyAlignment="1">
      <alignment horizontal="center" vertical="center"/>
    </xf>
    <xf numFmtId="0" fontId="3" fillId="6" borderId="30" xfId="0" applyFont="1" applyFill="1" applyBorder="1" applyAlignment="1">
      <alignment horizontal="center" vertical="center"/>
    </xf>
    <xf numFmtId="0" fontId="3" fillId="6" borderId="31" xfId="0" applyFont="1" applyFill="1" applyBorder="1" applyAlignment="1">
      <alignment horizontal="center" vertical="center"/>
    </xf>
    <xf numFmtId="0" fontId="3" fillId="6" borderId="55" xfId="0" applyFont="1" applyFill="1" applyBorder="1" applyAlignment="1">
      <alignment horizontal="center" vertical="center"/>
    </xf>
    <xf numFmtId="0" fontId="3" fillId="6" borderId="44" xfId="0" applyFont="1" applyFill="1" applyBorder="1" applyAlignment="1">
      <alignment horizontal="center"/>
    </xf>
    <xf numFmtId="0" fontId="3" fillId="6" borderId="22" xfId="0" applyFont="1" applyFill="1" applyBorder="1" applyAlignment="1">
      <alignment horizontal="center"/>
    </xf>
    <xf numFmtId="0" fontId="3" fillId="6" borderId="32" xfId="0" applyFont="1" applyFill="1" applyBorder="1" applyAlignment="1">
      <alignment horizontal="center" vertical="center"/>
    </xf>
    <xf numFmtId="10" fontId="3" fillId="6" borderId="50" xfId="0" applyNumberFormat="1" applyFont="1" applyFill="1" applyBorder="1" applyAlignment="1">
      <alignment horizontal="center" vertical="center"/>
    </xf>
    <xf numFmtId="10" fontId="3" fillId="6" borderId="54" xfId="0" applyNumberFormat="1" applyFont="1" applyFill="1" applyBorder="1" applyAlignment="1">
      <alignment horizontal="center" vertical="center"/>
    </xf>
    <xf numFmtId="10" fontId="3" fillId="6" borderId="56" xfId="0" applyNumberFormat="1" applyFont="1" applyFill="1" applyBorder="1" applyAlignment="1">
      <alignment horizontal="center" vertical="center"/>
    </xf>
    <xf numFmtId="0" fontId="3" fillId="6" borderId="51" xfId="0" applyFont="1" applyFill="1" applyBorder="1" applyAlignment="1">
      <alignment horizontal="center" vertical="center"/>
    </xf>
    <xf numFmtId="0" fontId="3" fillId="6" borderId="52" xfId="0" applyFont="1" applyFill="1" applyBorder="1" applyAlignment="1">
      <alignment horizontal="center" vertical="center"/>
    </xf>
    <xf numFmtId="0" fontId="3" fillId="6" borderId="53" xfId="0" applyFont="1" applyFill="1" applyBorder="1" applyAlignment="1">
      <alignment horizontal="center" vertical="center"/>
    </xf>
    <xf numFmtId="10" fontId="6" fillId="0" borderId="34" xfId="0" applyNumberFormat="1" applyFont="1" applyBorder="1" applyAlignment="1">
      <alignment horizontal="center" vertical="center"/>
    </xf>
    <xf numFmtId="10" fontId="3" fillId="6" borderId="30" xfId="0" applyNumberFormat="1" applyFont="1" applyFill="1" applyBorder="1" applyAlignment="1">
      <alignment horizontal="center" vertical="center"/>
    </xf>
    <xf numFmtId="10" fontId="3" fillId="6" borderId="31" xfId="0" applyNumberFormat="1" applyFont="1" applyFill="1" applyBorder="1" applyAlignment="1">
      <alignment horizontal="center" vertical="center"/>
    </xf>
    <xf numFmtId="10" fontId="3" fillId="6" borderId="32" xfId="0" applyNumberFormat="1" applyFont="1" applyFill="1" applyBorder="1" applyAlignment="1">
      <alignment horizontal="center" vertical="center"/>
    </xf>
    <xf numFmtId="10" fontId="3" fillId="6" borderId="70" xfId="0" applyNumberFormat="1" applyFont="1" applyFill="1" applyBorder="1" applyAlignment="1">
      <alignment horizontal="center" vertical="center"/>
    </xf>
    <xf numFmtId="10" fontId="3" fillId="6" borderId="71" xfId="0" applyNumberFormat="1" applyFont="1" applyFill="1" applyBorder="1" applyAlignment="1">
      <alignment horizontal="center" vertical="center"/>
    </xf>
    <xf numFmtId="0" fontId="3" fillId="9" borderId="57" xfId="0" applyFont="1" applyFill="1" applyBorder="1" applyAlignment="1">
      <alignment horizontal="center" vertical="center"/>
    </xf>
    <xf numFmtId="0" fontId="3" fillId="9" borderId="58" xfId="0" applyFont="1" applyFill="1" applyBorder="1" applyAlignment="1">
      <alignment horizontal="center" vertical="center"/>
    </xf>
    <xf numFmtId="0" fontId="3" fillId="9" borderId="59" xfId="0" applyFont="1" applyFill="1" applyBorder="1" applyAlignment="1">
      <alignment horizontal="center" vertical="center"/>
    </xf>
    <xf numFmtId="0" fontId="3" fillId="6" borderId="78" xfId="0" applyFont="1" applyFill="1" applyBorder="1" applyAlignment="1">
      <alignment horizontal="center" vertical="center"/>
    </xf>
    <xf numFmtId="0" fontId="3" fillId="6" borderId="79" xfId="0" applyFont="1" applyFill="1" applyBorder="1" applyAlignment="1">
      <alignment horizontal="center" vertical="center"/>
    </xf>
    <xf numFmtId="10" fontId="3" fillId="10" borderId="43" xfId="0" applyNumberFormat="1" applyFont="1" applyFill="1" applyBorder="1" applyAlignment="1">
      <alignment horizontal="center" vertical="center"/>
    </xf>
    <xf numFmtId="10" fontId="3" fillId="10" borderId="46" xfId="0" applyNumberFormat="1" applyFont="1" applyFill="1" applyBorder="1" applyAlignment="1">
      <alignment horizontal="center" vertical="center"/>
    </xf>
    <xf numFmtId="10" fontId="3" fillId="10" borderId="48" xfId="0" applyNumberFormat="1" applyFont="1" applyFill="1" applyBorder="1" applyAlignment="1">
      <alignment horizontal="center" vertical="center"/>
    </xf>
    <xf numFmtId="10" fontId="3" fillId="10" borderId="8" xfId="0" applyNumberFormat="1" applyFont="1" applyFill="1" applyBorder="1" applyAlignment="1">
      <alignment horizontal="center" vertical="center"/>
    </xf>
    <xf numFmtId="10" fontId="3" fillId="10" borderId="10" xfId="0" applyNumberFormat="1" applyFont="1" applyFill="1" applyBorder="1" applyAlignment="1">
      <alignment horizontal="center" vertical="center"/>
    </xf>
    <xf numFmtId="10" fontId="3" fillId="6" borderId="85" xfId="0" applyNumberFormat="1" applyFont="1" applyFill="1" applyBorder="1" applyAlignment="1">
      <alignment horizontal="center" vertical="center"/>
    </xf>
    <xf numFmtId="10" fontId="3" fillId="6" borderId="8" xfId="0" applyNumberFormat="1" applyFont="1" applyFill="1" applyBorder="1" applyAlignment="1">
      <alignment horizontal="center" vertical="center"/>
    </xf>
    <xf numFmtId="10" fontId="3" fillId="6" borderId="81" xfId="0" applyNumberFormat="1" applyFont="1" applyFill="1" applyBorder="1" applyAlignment="1">
      <alignment horizontal="center" vertical="center"/>
    </xf>
    <xf numFmtId="10" fontId="3" fillId="10" borderId="5" xfId="0" applyNumberFormat="1" applyFont="1" applyFill="1" applyBorder="1" applyAlignment="1">
      <alignment horizontal="center" vertical="center"/>
    </xf>
    <xf numFmtId="10" fontId="6" fillId="0" borderId="11" xfId="0" applyNumberFormat="1" applyFont="1" applyBorder="1" applyAlignment="1">
      <alignment horizontal="center" vertical="center"/>
    </xf>
    <xf numFmtId="10" fontId="6" fillId="0" borderId="87" xfId="0" applyNumberFormat="1" applyFont="1" applyBorder="1" applyAlignment="1">
      <alignment horizontal="center" vertical="center"/>
    </xf>
    <xf numFmtId="10" fontId="6" fillId="0" borderId="83" xfId="0" applyNumberFormat="1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0" borderId="80" xfId="0" applyFont="1" applyBorder="1" applyAlignment="1">
      <alignment horizontal="center" vertical="center"/>
    </xf>
    <xf numFmtId="0" fontId="6" fillId="0" borderId="88" xfId="0" applyFont="1" applyBorder="1" applyAlignment="1">
      <alignment horizontal="center" vertical="center"/>
    </xf>
    <xf numFmtId="0" fontId="6" fillId="0" borderId="84" xfId="0" applyFont="1" applyBorder="1" applyAlignment="1">
      <alignment horizontal="center" vertical="center"/>
    </xf>
    <xf numFmtId="10" fontId="6" fillId="0" borderId="88" xfId="0" applyNumberFormat="1" applyFont="1" applyBorder="1" applyAlignment="1">
      <alignment horizontal="center" vertical="center"/>
    </xf>
    <xf numFmtId="10" fontId="6" fillId="0" borderId="84" xfId="0" applyNumberFormat="1" applyFont="1" applyBorder="1" applyAlignment="1">
      <alignment horizontal="center" vertical="center"/>
    </xf>
    <xf numFmtId="10" fontId="6" fillId="0" borderId="80" xfId="0" applyNumberFormat="1" applyFont="1" applyBorder="1" applyAlignment="1">
      <alignment horizontal="center" vertical="center"/>
    </xf>
    <xf numFmtId="10" fontId="3" fillId="6" borderId="43" xfId="0" applyNumberFormat="1" applyFont="1" applyFill="1" applyBorder="1" applyAlignment="1">
      <alignment horizontal="center" vertical="center"/>
    </xf>
    <xf numFmtId="10" fontId="3" fillId="6" borderId="46" xfId="0" applyNumberFormat="1" applyFont="1" applyFill="1" applyBorder="1" applyAlignment="1">
      <alignment horizontal="center" vertical="center"/>
    </xf>
    <xf numFmtId="10" fontId="3" fillId="6" borderId="48" xfId="0" applyNumberFormat="1" applyFont="1" applyFill="1" applyBorder="1" applyAlignment="1">
      <alignment horizontal="center" vertical="center"/>
    </xf>
    <xf numFmtId="0" fontId="3" fillId="9" borderId="67" xfId="0" applyFont="1" applyFill="1" applyBorder="1" applyAlignment="1">
      <alignment horizontal="center" vertical="center"/>
    </xf>
    <xf numFmtId="0" fontId="3" fillId="9" borderId="61" xfId="0" applyFont="1" applyFill="1" applyBorder="1" applyAlignment="1">
      <alignment horizontal="center" vertical="center"/>
    </xf>
    <xf numFmtId="0" fontId="3" fillId="9" borderId="62" xfId="0" applyFont="1" applyFill="1" applyBorder="1" applyAlignment="1">
      <alignment horizontal="center" vertical="center"/>
    </xf>
    <xf numFmtId="10" fontId="10" fillId="0" borderId="40" xfId="0" applyNumberFormat="1" applyFont="1" applyBorder="1" applyAlignment="1">
      <alignment horizontal="center" vertical="center"/>
    </xf>
    <xf numFmtId="0" fontId="11" fillId="8" borderId="2" xfId="0" applyFont="1" applyFill="1" applyBorder="1" applyAlignment="1">
      <alignment horizontal="center" vertical="center"/>
    </xf>
    <xf numFmtId="0" fontId="11" fillId="8" borderId="25" xfId="0" applyFont="1" applyFill="1" applyBorder="1" applyAlignment="1">
      <alignment horizontal="center" vertical="center"/>
    </xf>
    <xf numFmtId="0" fontId="11" fillId="8" borderId="21" xfId="0" applyFont="1" applyFill="1" applyBorder="1" applyAlignment="1">
      <alignment horizontal="center" vertical="center"/>
    </xf>
    <xf numFmtId="0" fontId="11" fillId="8" borderId="27" xfId="0" applyFont="1" applyFill="1" applyBorder="1" applyAlignment="1">
      <alignment horizontal="center" vertical="center"/>
    </xf>
    <xf numFmtId="0" fontId="11" fillId="8" borderId="28" xfId="0" applyFont="1" applyFill="1" applyBorder="1" applyAlignment="1">
      <alignment horizontal="center" vertical="center"/>
    </xf>
    <xf numFmtId="0" fontId="11" fillId="8" borderId="29" xfId="0" applyFont="1" applyFill="1" applyBorder="1" applyAlignment="1">
      <alignment horizontal="center" vertical="center"/>
    </xf>
    <xf numFmtId="10" fontId="10" fillId="0" borderId="41" xfId="0" applyNumberFormat="1" applyFont="1" applyBorder="1" applyAlignment="1">
      <alignment horizontal="center" vertical="center"/>
    </xf>
    <xf numFmtId="10" fontId="10" fillId="0" borderId="38" xfId="0" applyNumberFormat="1" applyFont="1" applyBorder="1" applyAlignment="1">
      <alignment horizontal="center" vertical="center"/>
    </xf>
    <xf numFmtId="10" fontId="3" fillId="10" borderId="17" xfId="0" applyNumberFormat="1" applyFont="1" applyFill="1" applyBorder="1" applyAlignment="1">
      <alignment horizontal="center" vertical="center"/>
    </xf>
    <xf numFmtId="10" fontId="3" fillId="10" borderId="18" xfId="0" applyNumberFormat="1" applyFont="1" applyFill="1" applyBorder="1" applyAlignment="1">
      <alignment horizontal="center" vertical="center"/>
    </xf>
    <xf numFmtId="10" fontId="3" fillId="10" borderId="73" xfId="0" applyNumberFormat="1" applyFont="1" applyFill="1" applyBorder="1" applyAlignment="1">
      <alignment horizontal="center" vertical="center"/>
    </xf>
    <xf numFmtId="0" fontId="3" fillId="10" borderId="20" xfId="0" applyFont="1" applyFill="1" applyBorder="1" applyAlignment="1">
      <alignment horizontal="center" vertical="center" textRotation="90" wrapText="1"/>
    </xf>
    <xf numFmtId="0" fontId="3" fillId="10" borderId="15" xfId="0" applyFont="1" applyFill="1" applyBorder="1" applyAlignment="1">
      <alignment horizontal="center" vertical="center" textRotation="90" wrapText="1"/>
    </xf>
    <xf numFmtId="0" fontId="3" fillId="10" borderId="16" xfId="0" applyFont="1" applyFill="1" applyBorder="1" applyAlignment="1">
      <alignment horizontal="center" vertical="center" textRotation="90" wrapText="1"/>
    </xf>
    <xf numFmtId="0" fontId="6" fillId="0" borderId="34" xfId="0" applyFont="1" applyBorder="1" applyAlignment="1">
      <alignment horizontal="center" vertical="center"/>
    </xf>
    <xf numFmtId="0" fontId="3" fillId="6" borderId="90" xfId="0" applyFont="1" applyFill="1" applyBorder="1" applyAlignment="1">
      <alignment horizontal="center" vertical="center"/>
    </xf>
    <xf numFmtId="0" fontId="6" fillId="0" borderId="7" xfId="1" applyNumberFormat="1" applyFont="1" applyBorder="1" applyAlignment="1">
      <alignment horizontal="center" vertical="center"/>
    </xf>
    <xf numFmtId="0" fontId="6" fillId="0" borderId="9" xfId="1" applyNumberFormat="1" applyFont="1" applyBorder="1" applyAlignment="1">
      <alignment horizontal="center" vertical="center"/>
    </xf>
    <xf numFmtId="0" fontId="13" fillId="12" borderId="2" xfId="0" applyFont="1" applyFill="1" applyBorder="1" applyAlignment="1">
      <alignment horizontal="center"/>
    </xf>
    <xf numFmtId="0" fontId="13" fillId="12" borderId="3" xfId="0" applyFont="1" applyFill="1" applyBorder="1" applyAlignment="1">
      <alignment horizontal="center"/>
    </xf>
    <xf numFmtId="0" fontId="13" fillId="12" borderId="4" xfId="0" applyFont="1" applyFill="1" applyBorder="1" applyAlignment="1">
      <alignment horizontal="center"/>
    </xf>
    <xf numFmtId="0" fontId="4" fillId="0" borderId="65" xfId="0" applyFont="1" applyBorder="1" applyAlignment="1">
      <alignment horizontal="center" vertical="center"/>
    </xf>
    <xf numFmtId="0" fontId="0" fillId="11" borderId="0" xfId="0" applyFill="1" applyAlignment="1">
      <alignment horizontal="center"/>
    </xf>
    <xf numFmtId="0" fontId="4" fillId="0" borderId="24" xfId="0" applyFont="1" applyBorder="1" applyAlignment="1">
      <alignment horizontal="center" vertical="center"/>
    </xf>
    <xf numFmtId="0" fontId="4" fillId="0" borderId="24" xfId="2" applyFont="1" applyFill="1" applyBorder="1" applyAlignment="1">
      <alignment horizontal="center" vertical="center"/>
    </xf>
    <xf numFmtId="0" fontId="6" fillId="5" borderId="10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2" fontId="6" fillId="5" borderId="5" xfId="0" applyNumberFormat="1" applyFont="1" applyFill="1" applyBorder="1" applyAlignment="1">
      <alignment horizontal="center" vertical="center" textRotation="90"/>
    </xf>
    <xf numFmtId="2" fontId="6" fillId="5" borderId="8" xfId="0" applyNumberFormat="1" applyFont="1" applyFill="1" applyBorder="1" applyAlignment="1">
      <alignment horizontal="center" vertical="center" textRotation="90"/>
    </xf>
    <xf numFmtId="0" fontId="16" fillId="13" borderId="2" xfId="0" applyFont="1" applyFill="1" applyBorder="1" applyAlignment="1">
      <alignment horizontal="center" vertical="center"/>
    </xf>
    <xf numFmtId="0" fontId="16" fillId="13" borderId="77" xfId="0" applyFont="1" applyFill="1" applyBorder="1" applyAlignment="1">
      <alignment horizontal="center" vertical="center"/>
    </xf>
    <xf numFmtId="0" fontId="16" fillId="13" borderId="21" xfId="0" applyFont="1" applyFill="1" applyBorder="1" applyAlignment="1">
      <alignment horizontal="center" vertical="center"/>
    </xf>
    <xf numFmtId="0" fontId="16" fillId="13" borderId="89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0" fontId="6" fillId="6" borderId="6" xfId="0" applyNumberFormat="1" applyFont="1" applyFill="1" applyBorder="1" applyAlignment="1">
      <alignment horizontal="center" vertical="center"/>
    </xf>
    <xf numFmtId="10" fontId="6" fillId="6" borderId="1" xfId="0" applyNumberFormat="1" applyFont="1" applyFill="1" applyBorder="1" applyAlignment="1">
      <alignment horizontal="center" vertical="center"/>
    </xf>
    <xf numFmtId="10" fontId="6" fillId="6" borderId="14" xfId="0" applyNumberFormat="1" applyFont="1" applyFill="1" applyBorder="1" applyAlignment="1">
      <alignment horizontal="center" vertical="center"/>
    </xf>
    <xf numFmtId="2" fontId="6" fillId="5" borderId="13" xfId="0" applyNumberFormat="1" applyFont="1" applyFill="1" applyBorder="1" applyAlignment="1">
      <alignment horizontal="center" vertical="center" textRotation="90"/>
    </xf>
    <xf numFmtId="0" fontId="5" fillId="5" borderId="1" xfId="0" applyFont="1" applyFill="1" applyBorder="1" applyAlignment="1">
      <alignment horizontal="center" vertical="center"/>
    </xf>
    <xf numFmtId="0" fontId="5" fillId="13" borderId="5" xfId="0" applyFont="1" applyFill="1" applyBorder="1" applyAlignment="1">
      <alignment horizontal="center" vertical="center"/>
    </xf>
    <xf numFmtId="0" fontId="5" fillId="13" borderId="6" xfId="0" applyFont="1" applyFill="1" applyBorder="1" applyAlignment="1">
      <alignment horizontal="center" vertical="center"/>
    </xf>
    <xf numFmtId="0" fontId="5" fillId="13" borderId="8" xfId="0" applyFont="1" applyFill="1" applyBorder="1" applyAlignment="1">
      <alignment horizontal="center" vertical="center"/>
    </xf>
    <xf numFmtId="0" fontId="5" fillId="13" borderId="1" xfId="0" applyFont="1" applyFill="1" applyBorder="1" applyAlignment="1">
      <alignment horizontal="center" vertical="center"/>
    </xf>
    <xf numFmtId="0" fontId="5" fillId="13" borderId="10" xfId="0" applyFont="1" applyFill="1" applyBorder="1" applyAlignment="1">
      <alignment horizontal="center" vertical="center"/>
    </xf>
    <xf numFmtId="0" fontId="5" fillId="13" borderId="11" xfId="0" applyFont="1" applyFill="1" applyBorder="1" applyAlignment="1">
      <alignment horizontal="center" vertical="center"/>
    </xf>
    <xf numFmtId="0" fontId="16" fillId="13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5" fillId="5" borderId="8" xfId="0" applyFont="1" applyFill="1" applyBorder="1" applyAlignment="1">
      <alignment horizontal="center" vertical="center"/>
    </xf>
    <xf numFmtId="0" fontId="16" fillId="13" borderId="1" xfId="0" applyFont="1" applyFill="1" applyBorder="1" applyAlignment="1">
      <alignment horizontal="center"/>
    </xf>
    <xf numFmtId="0" fontId="16" fillId="13" borderId="11" xfId="0" applyFont="1" applyFill="1" applyBorder="1" applyAlignment="1">
      <alignment horizontal="center"/>
    </xf>
    <xf numFmtId="2" fontId="4" fillId="4" borderId="1" xfId="0" applyNumberFormat="1" applyFont="1" applyFill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168" fontId="16" fillId="13" borderId="1" xfId="0" applyNumberFormat="1" applyFont="1" applyFill="1" applyBorder="1" applyAlignment="1">
      <alignment horizontal="center"/>
    </xf>
    <xf numFmtId="168" fontId="16" fillId="13" borderId="2" xfId="0" applyNumberFormat="1" applyFont="1" applyFill="1" applyBorder="1" applyAlignment="1">
      <alignment horizontal="center" vertical="center"/>
    </xf>
    <xf numFmtId="168" fontId="16" fillId="13" borderId="77" xfId="0" applyNumberFormat="1" applyFont="1" applyFill="1" applyBorder="1" applyAlignment="1">
      <alignment horizontal="center" vertical="center"/>
    </xf>
    <xf numFmtId="168" fontId="16" fillId="13" borderId="11" xfId="0" applyNumberFormat="1" applyFont="1" applyFill="1" applyBorder="1" applyAlignment="1">
      <alignment horizontal="center"/>
    </xf>
    <xf numFmtId="168" fontId="16" fillId="13" borderId="21" xfId="0" applyNumberFormat="1" applyFont="1" applyFill="1" applyBorder="1" applyAlignment="1">
      <alignment horizontal="center" vertical="center"/>
    </xf>
    <xf numFmtId="168" fontId="16" fillId="13" borderId="89" xfId="0" applyNumberFormat="1" applyFont="1" applyFill="1" applyBorder="1" applyAlignment="1">
      <alignment horizontal="center" vertical="center"/>
    </xf>
    <xf numFmtId="168" fontId="5" fillId="13" borderId="1" xfId="0" applyNumberFormat="1" applyFont="1" applyFill="1" applyBorder="1" applyAlignment="1">
      <alignment horizontal="center" vertical="center"/>
    </xf>
    <xf numFmtId="168" fontId="16" fillId="13" borderId="1" xfId="0" applyNumberFormat="1" applyFont="1" applyFill="1" applyBorder="1" applyAlignment="1">
      <alignment horizontal="center" vertical="center"/>
    </xf>
    <xf numFmtId="168" fontId="4" fillId="3" borderId="1" xfId="0" applyNumberFormat="1" applyFont="1" applyFill="1" applyBorder="1" applyAlignment="1">
      <alignment horizontal="center" vertical="center"/>
    </xf>
    <xf numFmtId="168" fontId="9" fillId="3" borderId="1" xfId="0" applyNumberFormat="1" applyFont="1" applyFill="1" applyBorder="1" applyAlignment="1">
      <alignment horizontal="center" vertical="center"/>
    </xf>
    <xf numFmtId="168" fontId="8" fillId="3" borderId="1" xfId="0" applyNumberFormat="1" applyFont="1" applyFill="1" applyBorder="1" applyAlignment="1">
      <alignment horizontal="center" vertical="center"/>
    </xf>
    <xf numFmtId="1" fontId="6" fillId="6" borderId="6" xfId="1" applyNumberFormat="1" applyFont="1" applyFill="1" applyBorder="1" applyAlignment="1">
      <alignment horizontal="center" vertical="center"/>
    </xf>
    <xf numFmtId="1" fontId="6" fillId="6" borderId="1" xfId="1" applyNumberFormat="1" applyFont="1" applyFill="1" applyBorder="1" applyAlignment="1">
      <alignment horizontal="center" vertical="center"/>
    </xf>
    <xf numFmtId="1" fontId="4" fillId="0" borderId="0" xfId="1" applyNumberFormat="1" applyFont="1" applyFill="1" applyAlignment="1">
      <alignment horizontal="center" vertical="center"/>
    </xf>
    <xf numFmtId="1" fontId="6" fillId="6" borderId="14" xfId="1" applyNumberFormat="1" applyFont="1" applyFill="1" applyBorder="1" applyAlignment="1">
      <alignment horizontal="center" vertical="center"/>
    </xf>
    <xf numFmtId="168" fontId="4" fillId="4" borderId="1" xfId="0" applyNumberFormat="1" applyFont="1" applyFill="1" applyBorder="1" applyAlignment="1">
      <alignment horizontal="center" vertical="center"/>
    </xf>
    <xf numFmtId="169" fontId="5" fillId="13" borderId="1" xfId="0" applyNumberFormat="1" applyFont="1" applyFill="1" applyBorder="1" applyAlignment="1">
      <alignment horizontal="center" vertical="center"/>
    </xf>
    <xf numFmtId="168" fontId="4" fillId="4" borderId="2" xfId="0" applyNumberFormat="1" applyFont="1" applyFill="1" applyBorder="1" applyAlignment="1">
      <alignment horizontal="center" vertical="center"/>
    </xf>
    <xf numFmtId="168" fontId="4" fillId="4" borderId="3" xfId="0" applyNumberFormat="1" applyFont="1" applyFill="1" applyBorder="1" applyAlignment="1">
      <alignment horizontal="center" vertical="center"/>
    </xf>
    <xf numFmtId="168" fontId="4" fillId="4" borderId="4" xfId="0" applyNumberFormat="1" applyFont="1" applyFill="1" applyBorder="1" applyAlignment="1">
      <alignment horizontal="center" vertical="center"/>
    </xf>
    <xf numFmtId="169" fontId="4" fillId="3" borderId="1" xfId="0" applyNumberFormat="1" applyFont="1" applyFill="1" applyBorder="1" applyAlignment="1">
      <alignment horizontal="center" vertical="center"/>
    </xf>
    <xf numFmtId="168" fontId="6" fillId="3" borderId="1" xfId="0" applyNumberFormat="1" applyFont="1" applyFill="1" applyBorder="1" applyAlignment="1">
      <alignment horizontal="center" vertical="center"/>
    </xf>
  </cellXfs>
  <cellStyles count="3">
    <cellStyle name="Neutral" xfId="2" builtinId="28"/>
    <cellStyle name="Normal" xfId="0" builtinId="0"/>
    <cellStyle name="Percent" xfId="1" builtinId="5"/>
  </cellStyles>
  <dxfs count="4889"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27"/>
          <bgColor theme="8" tint="0.79998168889431442"/>
        </patternFill>
      </fill>
    </dxf>
    <dxf>
      <font>
        <sz val="12"/>
        <color theme="0"/>
      </font>
      <fill>
        <patternFill patternType="solid">
          <fgColor indexed="29"/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condense val="0"/>
        <extend val="0"/>
        <sz val="12"/>
        <color indexed="8"/>
      </font>
      <fill>
        <patternFill patternType="solid">
          <fgColor indexed="27"/>
          <bgColor theme="8" tint="0.79998168889431442"/>
        </patternFill>
      </fill>
    </dxf>
    <dxf>
      <font>
        <sz val="12"/>
        <color theme="0"/>
      </font>
      <fill>
        <patternFill patternType="solid">
          <fgColor indexed="29"/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01"/>
      </font>
    </dxf>
    <dxf>
      <font>
        <color theme="9" tint="-0.24994659260841701"/>
      </font>
    </dxf>
    <dxf>
      <font>
        <color rgb="FF9C0006"/>
      </font>
    </dxf>
    <dxf>
      <font>
        <b val="0"/>
        <condense val="0"/>
        <extend val="0"/>
        <sz val="12"/>
        <color indexed="8"/>
      </font>
      <fill>
        <patternFill patternType="solid">
          <fgColor indexed="27"/>
          <bgColor theme="8" tint="0.79998168889431442"/>
        </patternFill>
      </fill>
    </dxf>
    <dxf>
      <font>
        <sz val="12"/>
        <color theme="0"/>
      </font>
      <fill>
        <patternFill patternType="solid">
          <fgColor indexed="29"/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</a:t>
            </a:r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Plots!$AE$2</c:f>
              <c:strCache>
                <c:ptCount val="1"/>
                <c:pt idx="0">
                  <c:v>Convex Hull -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Plots!$BM$5:$BM$70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xVal>
          <c:yVal>
            <c:numRef>
              <c:f>Plots!$BN$5:$BN$70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35E-E249-A9FC-1A31B833A51D}"/>
            </c:ext>
          </c:extLst>
        </c:ser>
        <c:ser>
          <c:idx val="1"/>
          <c:order val="1"/>
          <c:tx>
            <c:strRef>
              <c:f>Plots!$AV$2</c:f>
              <c:strCache>
                <c:ptCount val="1"/>
                <c:pt idx="0">
                  <c:v>Convex Hull - Test</c:v>
                </c:pt>
              </c:strCache>
            </c:strRef>
          </c:tx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Plots!$CD$5:$CD$70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xVal>
          <c:yVal>
            <c:numRef>
              <c:f>Plots!$CE$5:$CE$70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35E-E249-A9FC-1A31B833A51D}"/>
            </c:ext>
          </c:extLst>
        </c:ser>
        <c:ser>
          <c:idx val="2"/>
          <c:order val="2"/>
          <c:tx>
            <c:strRef>
              <c:f>Plots!$AC$5</c:f>
              <c:strCache>
                <c:ptCount val="1"/>
                <c:pt idx="0">
                  <c:v>3840x2160 Reference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Plots!$AE$5:$AE$10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Plots!$AF$5:$AF$10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35E-E249-A9FC-1A31B833A51D}"/>
            </c:ext>
          </c:extLst>
        </c:ser>
        <c:ser>
          <c:idx val="3"/>
          <c:order val="3"/>
          <c:tx>
            <c:strRef>
              <c:f>Plots!$AC$11</c:f>
              <c:strCache>
                <c:ptCount val="1"/>
                <c:pt idx="0">
                  <c:v>2560x1440 Reference</c:v>
                </c:pt>
              </c:strCache>
            </c:strRef>
          </c:tx>
          <c:xVal>
            <c:numRef>
              <c:f>Plots!$AE$11:$AE$16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Plots!$AF$11:$AF$16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35E-E249-A9FC-1A31B833A51D}"/>
            </c:ext>
          </c:extLst>
        </c:ser>
        <c:ser>
          <c:idx val="4"/>
          <c:order val="4"/>
          <c:tx>
            <c:strRef>
              <c:f>Plots!$AC$17</c:f>
              <c:strCache>
                <c:ptCount val="1"/>
                <c:pt idx="0">
                  <c:v>1920x1080 Reference</c:v>
                </c:pt>
              </c:strCache>
            </c:strRef>
          </c:tx>
          <c:xVal>
            <c:numRef>
              <c:f>Plots!$AE$17:$AE$22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Plots!$AF$17:$AF$22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35E-E249-A9FC-1A31B833A51D}"/>
            </c:ext>
          </c:extLst>
        </c:ser>
        <c:ser>
          <c:idx val="5"/>
          <c:order val="5"/>
          <c:tx>
            <c:strRef>
              <c:f>Plots!$AC$23</c:f>
              <c:strCache>
                <c:ptCount val="1"/>
                <c:pt idx="0">
                  <c:v>1280x720 Reference</c:v>
                </c:pt>
              </c:strCache>
            </c:strRef>
          </c:tx>
          <c:xVal>
            <c:numRef>
              <c:f>Plots!$AE$23:$AE$28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Plots!$AF$23:$AF$28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35E-E249-A9FC-1A31B833A51D}"/>
            </c:ext>
          </c:extLst>
        </c:ser>
        <c:ser>
          <c:idx val="6"/>
          <c:order val="6"/>
          <c:tx>
            <c:strRef>
              <c:f>Plots!$AC$29</c:f>
              <c:strCache>
                <c:ptCount val="1"/>
                <c:pt idx="0">
                  <c:v>960x540 Reference</c:v>
                </c:pt>
              </c:strCache>
            </c:strRef>
          </c:tx>
          <c:xVal>
            <c:numRef>
              <c:f>Plots!$AE$29:$AE$34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Plots!$AF$29:$AF$34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235E-E249-A9FC-1A31B833A51D}"/>
            </c:ext>
          </c:extLst>
        </c:ser>
        <c:ser>
          <c:idx val="7"/>
          <c:order val="7"/>
          <c:tx>
            <c:strRef>
              <c:f>Plots!$AC$35</c:f>
              <c:strCache>
                <c:ptCount val="1"/>
                <c:pt idx="0">
                  <c:v>640x360 Reference</c:v>
                </c:pt>
              </c:strCache>
            </c:strRef>
          </c:tx>
          <c:xVal>
            <c:numRef>
              <c:f>Plots!$AE$35:$AE$40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Plots!$AF$35:$AF$40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235E-E249-A9FC-1A31B833A51D}"/>
            </c:ext>
          </c:extLst>
        </c:ser>
        <c:ser>
          <c:idx val="8"/>
          <c:order val="8"/>
          <c:tx>
            <c:strRef>
              <c:f>Plots!$AU$5</c:f>
              <c:strCache>
                <c:ptCount val="1"/>
                <c:pt idx="0">
                  <c:v>3840x2160 Test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</c:marker>
          <c:xVal>
            <c:numRef>
              <c:f>Plots!$AV$5:$AV$10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Plots!$AW$5:$AW$10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C5-2743-8EF5-64CD2069CDFD}"/>
            </c:ext>
          </c:extLst>
        </c:ser>
        <c:ser>
          <c:idx val="9"/>
          <c:order val="9"/>
          <c:tx>
            <c:strRef>
              <c:f>Plots!$AU$11</c:f>
              <c:strCache>
                <c:ptCount val="1"/>
                <c:pt idx="0">
                  <c:v>2560x1440 Test</c:v>
                </c:pt>
              </c:strCache>
            </c:strRef>
          </c:tx>
          <c:xVal>
            <c:numRef>
              <c:f>Plots!$AV$11:$AV$16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Plots!$AW$11:$AW$16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C5-2743-8EF5-64CD2069CDFD}"/>
            </c:ext>
          </c:extLst>
        </c:ser>
        <c:ser>
          <c:idx val="10"/>
          <c:order val="10"/>
          <c:tx>
            <c:strRef>
              <c:f>Plots!$AU$17</c:f>
              <c:strCache>
                <c:ptCount val="1"/>
                <c:pt idx="0">
                  <c:v>1920x1080 Test</c:v>
                </c:pt>
              </c:strCache>
            </c:strRef>
          </c:tx>
          <c:xVal>
            <c:numRef>
              <c:f>Plots!$AV$17:$AV$22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Plots!$AW$17:$AW$22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CC5-2743-8EF5-64CD2069CDFD}"/>
            </c:ext>
          </c:extLst>
        </c:ser>
        <c:ser>
          <c:idx val="11"/>
          <c:order val="11"/>
          <c:tx>
            <c:strRef>
              <c:f>Plots!$AU$23</c:f>
              <c:strCache>
                <c:ptCount val="1"/>
                <c:pt idx="0">
                  <c:v>1280x720 Test</c:v>
                </c:pt>
              </c:strCache>
            </c:strRef>
          </c:tx>
          <c:xVal>
            <c:numRef>
              <c:f>Plots!$AV$23:$AV$28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Plots!$AW$23:$AW$28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8CC5-2743-8EF5-64CD2069CDFD}"/>
            </c:ext>
          </c:extLst>
        </c:ser>
        <c:ser>
          <c:idx val="12"/>
          <c:order val="12"/>
          <c:tx>
            <c:strRef>
              <c:f>Plots!$AU$29</c:f>
              <c:strCache>
                <c:ptCount val="1"/>
                <c:pt idx="0">
                  <c:v>960x540 Test</c:v>
                </c:pt>
              </c:strCache>
            </c:strRef>
          </c:tx>
          <c:xVal>
            <c:numRef>
              <c:f>Plots!$AV$29:$AV$34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Plots!$AW$29:$AW$34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8CC5-2743-8EF5-64CD2069CDFD}"/>
            </c:ext>
          </c:extLst>
        </c:ser>
        <c:ser>
          <c:idx val="13"/>
          <c:order val="13"/>
          <c:tx>
            <c:strRef>
              <c:f>Plots!$AU$35</c:f>
              <c:strCache>
                <c:ptCount val="1"/>
                <c:pt idx="0">
                  <c:v>640x360 Test</c:v>
                </c:pt>
              </c:strCache>
            </c:strRef>
          </c:tx>
          <c:xVal>
            <c:numRef>
              <c:f>Plots!$AV$35:$AV$40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Plots!$AW$35:$AW$40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8CC5-2743-8EF5-64CD2069CD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048576"/>
        <c:axId val="241120384"/>
      </c:scatterChart>
      <c:valAx>
        <c:axId val="241048576"/>
        <c:scaling>
          <c:orientation val="minMax"/>
          <c:max val="5490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120384"/>
        <c:crosses val="autoZero"/>
        <c:crossBetween val="midCat"/>
      </c:valAx>
      <c:valAx>
        <c:axId val="241120384"/>
        <c:scaling>
          <c:orientation val="minMax"/>
          <c:max val="46"/>
          <c:min val="25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048576"/>
        <c:crosses val="autoZero"/>
        <c:crossBetween val="midCat"/>
        <c:majorUnit val="1"/>
        <c:minorUnit val="0.5"/>
      </c:valAx>
    </c:plotArea>
    <c:legend>
      <c:legendPos val="r"/>
      <c:layout>
        <c:manualLayout>
          <c:xMode val="edge"/>
          <c:yMode val="edge"/>
          <c:x val="0.57784993817921515"/>
          <c:y val="0.34030946817754121"/>
          <c:w val="0.29320661157024785"/>
          <c:h val="0.456274046361700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U PSNR vs Bitrate</a:t>
            </a:r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Plots!$AE$2</c:f>
              <c:strCache>
                <c:ptCount val="1"/>
                <c:pt idx="0">
                  <c:v>Convex Hull -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Plots!$BM$5:$BM$70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xVal>
          <c:yVal>
            <c:numRef>
              <c:f>Plots!$BO$5:$BO$70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2B5-FF4B-857C-62E9D233E585}"/>
            </c:ext>
          </c:extLst>
        </c:ser>
        <c:ser>
          <c:idx val="1"/>
          <c:order val="1"/>
          <c:tx>
            <c:strRef>
              <c:f>Plots!$AV$2</c:f>
              <c:strCache>
                <c:ptCount val="1"/>
                <c:pt idx="0">
                  <c:v>Convex Hull - Test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Plots!$CD$5:$CD$70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xVal>
          <c:yVal>
            <c:numRef>
              <c:f>Plots!$CF$5:$CF$70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2B5-FF4B-857C-62E9D233E585}"/>
            </c:ext>
          </c:extLst>
        </c:ser>
        <c:ser>
          <c:idx val="2"/>
          <c:order val="2"/>
          <c:tx>
            <c:strRef>
              <c:f>Plots!$AC$5</c:f>
              <c:strCache>
                <c:ptCount val="1"/>
                <c:pt idx="0">
                  <c:v>3840x2160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Plots!$AE$5:$AE$10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Plots!$AG$5:$AG$10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2B5-FF4B-857C-62E9D233E585}"/>
            </c:ext>
          </c:extLst>
        </c:ser>
        <c:ser>
          <c:idx val="3"/>
          <c:order val="3"/>
          <c:tx>
            <c:strRef>
              <c:f>Plots!$AC$11</c:f>
              <c:strCache>
                <c:ptCount val="1"/>
                <c:pt idx="0">
                  <c:v>2560x1440 Reference</c:v>
                </c:pt>
              </c:strCache>
            </c:strRef>
          </c:tx>
          <c:xVal>
            <c:numRef>
              <c:f>Plots!$AE$11:$AE$16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Plots!$AG$11:$AG$16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2B5-FF4B-857C-62E9D233E585}"/>
            </c:ext>
          </c:extLst>
        </c:ser>
        <c:ser>
          <c:idx val="4"/>
          <c:order val="4"/>
          <c:tx>
            <c:strRef>
              <c:f>Plots!$AC$17</c:f>
              <c:strCache>
                <c:ptCount val="1"/>
                <c:pt idx="0">
                  <c:v>1920x1080 Reference</c:v>
                </c:pt>
              </c:strCache>
            </c:strRef>
          </c:tx>
          <c:xVal>
            <c:numRef>
              <c:f>Plots!$AE$17:$AE$22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Plots!$AG$17:$AG$22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2B5-FF4B-857C-62E9D233E585}"/>
            </c:ext>
          </c:extLst>
        </c:ser>
        <c:ser>
          <c:idx val="5"/>
          <c:order val="5"/>
          <c:tx>
            <c:strRef>
              <c:f>Plots!$AC$23</c:f>
              <c:strCache>
                <c:ptCount val="1"/>
                <c:pt idx="0">
                  <c:v>1280x720 Reference</c:v>
                </c:pt>
              </c:strCache>
            </c:strRef>
          </c:tx>
          <c:xVal>
            <c:numRef>
              <c:f>Plots!$AE$23:$AE$28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Plots!$AG$23:$AG$28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42B5-FF4B-857C-62E9D233E585}"/>
            </c:ext>
          </c:extLst>
        </c:ser>
        <c:ser>
          <c:idx val="6"/>
          <c:order val="6"/>
          <c:tx>
            <c:strRef>
              <c:f>Plots!$AC$29</c:f>
              <c:strCache>
                <c:ptCount val="1"/>
                <c:pt idx="0">
                  <c:v>960x540 Reference</c:v>
                </c:pt>
              </c:strCache>
            </c:strRef>
          </c:tx>
          <c:xVal>
            <c:numRef>
              <c:f>Plots!$AE$29:$AE$34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Plots!$AG$29:$AG$34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42B5-FF4B-857C-62E9D233E585}"/>
            </c:ext>
          </c:extLst>
        </c:ser>
        <c:ser>
          <c:idx val="7"/>
          <c:order val="7"/>
          <c:tx>
            <c:strRef>
              <c:f>Plots!$AC$35</c:f>
              <c:strCache>
                <c:ptCount val="1"/>
                <c:pt idx="0">
                  <c:v>640x360 Reference</c:v>
                </c:pt>
              </c:strCache>
            </c:strRef>
          </c:tx>
          <c:xVal>
            <c:numRef>
              <c:f>Plots!$AE$35:$AE$40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Plots!$AG$35:$AG$40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42B5-FF4B-857C-62E9D233E585}"/>
            </c:ext>
          </c:extLst>
        </c:ser>
        <c:ser>
          <c:idx val="8"/>
          <c:order val="8"/>
          <c:tx>
            <c:strRef>
              <c:f>Plots!$AU$5</c:f>
              <c:strCache>
                <c:ptCount val="1"/>
                <c:pt idx="0">
                  <c:v>3840x2160 Test</c:v>
                </c:pt>
              </c:strCache>
            </c:strRef>
          </c:tx>
          <c:marker>
            <c:symbol val="square"/>
            <c:size val="5"/>
          </c:marker>
          <c:xVal>
            <c:numRef>
              <c:f>Plots!$AV$5:$AV$10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Plots!$AX$5:$AX$10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42B5-FF4B-857C-62E9D233E585}"/>
            </c:ext>
          </c:extLst>
        </c:ser>
        <c:ser>
          <c:idx val="9"/>
          <c:order val="9"/>
          <c:tx>
            <c:strRef>
              <c:f>Plots!$AU$11</c:f>
              <c:strCache>
                <c:ptCount val="1"/>
                <c:pt idx="0">
                  <c:v>2560x1440 Test</c:v>
                </c:pt>
              </c:strCache>
            </c:strRef>
          </c:tx>
          <c:xVal>
            <c:numRef>
              <c:f>Plots!$AV$11:$AV$16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Plots!$AX$11:$AX$16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42B5-FF4B-857C-62E9D233E585}"/>
            </c:ext>
          </c:extLst>
        </c:ser>
        <c:ser>
          <c:idx val="10"/>
          <c:order val="10"/>
          <c:tx>
            <c:strRef>
              <c:f>Plots!$AU$17</c:f>
              <c:strCache>
                <c:ptCount val="1"/>
                <c:pt idx="0">
                  <c:v>1920x1080 Test</c:v>
                </c:pt>
              </c:strCache>
            </c:strRef>
          </c:tx>
          <c:xVal>
            <c:numRef>
              <c:f>Plots!$AV$17:$AV$22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Plots!$AX$17:$AX$22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42B5-FF4B-857C-62E9D233E585}"/>
            </c:ext>
          </c:extLst>
        </c:ser>
        <c:ser>
          <c:idx val="11"/>
          <c:order val="11"/>
          <c:tx>
            <c:strRef>
              <c:f>Plots!$AU$23</c:f>
              <c:strCache>
                <c:ptCount val="1"/>
                <c:pt idx="0">
                  <c:v>1280x720 Test</c:v>
                </c:pt>
              </c:strCache>
            </c:strRef>
          </c:tx>
          <c:xVal>
            <c:numRef>
              <c:f>Plots!$AV$23:$AV$28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Plots!$AX$23:$AX$28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42B5-FF4B-857C-62E9D233E585}"/>
            </c:ext>
          </c:extLst>
        </c:ser>
        <c:ser>
          <c:idx val="12"/>
          <c:order val="12"/>
          <c:tx>
            <c:strRef>
              <c:f>Plots!$AU$29</c:f>
              <c:strCache>
                <c:ptCount val="1"/>
                <c:pt idx="0">
                  <c:v>960x540 Test</c:v>
                </c:pt>
              </c:strCache>
            </c:strRef>
          </c:tx>
          <c:xVal>
            <c:numRef>
              <c:f>Plots!$AV$29:$AV$34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Plots!$AX$29:$AX$34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42B5-FF4B-857C-62E9D233E585}"/>
            </c:ext>
          </c:extLst>
        </c:ser>
        <c:ser>
          <c:idx val="13"/>
          <c:order val="13"/>
          <c:tx>
            <c:strRef>
              <c:f>Plots!$AU$35</c:f>
              <c:strCache>
                <c:ptCount val="1"/>
                <c:pt idx="0">
                  <c:v>640x360 Test</c:v>
                </c:pt>
              </c:strCache>
            </c:strRef>
          </c:tx>
          <c:xVal>
            <c:numRef>
              <c:f>Plots!$AV$35:$AV$40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Plots!$AX$35:$AX$40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42B5-FF4B-857C-62E9D233E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048576"/>
        <c:axId val="241120384"/>
      </c:scatterChart>
      <c:valAx>
        <c:axId val="241048576"/>
        <c:scaling>
          <c:orientation val="minMax"/>
          <c:max val="5490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120384"/>
        <c:crosses val="autoZero"/>
        <c:crossBetween val="midCat"/>
      </c:valAx>
      <c:valAx>
        <c:axId val="241120384"/>
        <c:scaling>
          <c:orientation val="minMax"/>
          <c:max val="50"/>
          <c:min val="3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U PSNR (dB)</a:t>
                </a:r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048576"/>
        <c:crosses val="autoZero"/>
        <c:crossBetween val="midCat"/>
        <c:majorUnit val="1"/>
        <c:minorUnit val="0.5"/>
      </c:valAx>
    </c:plotArea>
    <c:legend>
      <c:legendPos val="r"/>
      <c:layout>
        <c:manualLayout>
          <c:xMode val="edge"/>
          <c:yMode val="edge"/>
          <c:x val="0.57784993817921515"/>
          <c:y val="0.34030946817754121"/>
          <c:w val="0.29320661157024785"/>
          <c:h val="0.456274046361700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 PSNR vs Bitrate</a:t>
            </a:r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Plots!$AE$2</c:f>
              <c:strCache>
                <c:ptCount val="1"/>
                <c:pt idx="0">
                  <c:v>Convex Hull -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Plots!$BM$5:$BM$70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xVal>
          <c:yVal>
            <c:numRef>
              <c:f>Plots!$BP$5:$BP$70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8B-1F49-BE74-75ABCA4306B2}"/>
            </c:ext>
          </c:extLst>
        </c:ser>
        <c:ser>
          <c:idx val="1"/>
          <c:order val="1"/>
          <c:tx>
            <c:strRef>
              <c:f>Plots!$AV$2</c:f>
              <c:strCache>
                <c:ptCount val="1"/>
                <c:pt idx="0">
                  <c:v>Convex Hull - Test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Plots!$CD$5:$CD$70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xVal>
          <c:yVal>
            <c:numRef>
              <c:f>Plots!$CG$5:$CG$70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8B-1F49-BE74-75ABCA4306B2}"/>
            </c:ext>
          </c:extLst>
        </c:ser>
        <c:ser>
          <c:idx val="2"/>
          <c:order val="2"/>
          <c:tx>
            <c:strRef>
              <c:f>Plots!$AC$5</c:f>
              <c:strCache>
                <c:ptCount val="1"/>
                <c:pt idx="0">
                  <c:v>3840x2160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Plots!$AE$5:$AE$10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Plots!$AH$5:$AH$10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8B-1F49-BE74-75ABCA4306B2}"/>
            </c:ext>
          </c:extLst>
        </c:ser>
        <c:ser>
          <c:idx val="3"/>
          <c:order val="3"/>
          <c:tx>
            <c:strRef>
              <c:f>Plots!$AC$11</c:f>
              <c:strCache>
                <c:ptCount val="1"/>
                <c:pt idx="0">
                  <c:v>2560x1440 Reference</c:v>
                </c:pt>
              </c:strCache>
            </c:strRef>
          </c:tx>
          <c:xVal>
            <c:numRef>
              <c:f>Plots!$AE$11:$AE$16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Plots!$AH$11:$AH$16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F8B-1F49-BE74-75ABCA4306B2}"/>
            </c:ext>
          </c:extLst>
        </c:ser>
        <c:ser>
          <c:idx val="4"/>
          <c:order val="4"/>
          <c:tx>
            <c:strRef>
              <c:f>Plots!$AC$17</c:f>
              <c:strCache>
                <c:ptCount val="1"/>
                <c:pt idx="0">
                  <c:v>1920x1080 Reference</c:v>
                </c:pt>
              </c:strCache>
            </c:strRef>
          </c:tx>
          <c:xVal>
            <c:numRef>
              <c:f>Plots!$AE$17:$AE$22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Plots!$AH$17:$AH$22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F8B-1F49-BE74-75ABCA4306B2}"/>
            </c:ext>
          </c:extLst>
        </c:ser>
        <c:ser>
          <c:idx val="5"/>
          <c:order val="5"/>
          <c:tx>
            <c:strRef>
              <c:f>Plots!$AC$23</c:f>
              <c:strCache>
                <c:ptCount val="1"/>
                <c:pt idx="0">
                  <c:v>1280x720 Reference</c:v>
                </c:pt>
              </c:strCache>
            </c:strRef>
          </c:tx>
          <c:xVal>
            <c:numRef>
              <c:f>Plots!$AE$23:$AE$28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Plots!$AH$23:$AH$28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F8B-1F49-BE74-75ABCA4306B2}"/>
            </c:ext>
          </c:extLst>
        </c:ser>
        <c:ser>
          <c:idx val="6"/>
          <c:order val="6"/>
          <c:tx>
            <c:strRef>
              <c:f>Plots!$AC$29</c:f>
              <c:strCache>
                <c:ptCount val="1"/>
                <c:pt idx="0">
                  <c:v>960x540 Reference</c:v>
                </c:pt>
              </c:strCache>
            </c:strRef>
          </c:tx>
          <c:xVal>
            <c:numRef>
              <c:f>Plots!$AE$29:$AE$34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Plots!$AH$29:$AH$34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F8B-1F49-BE74-75ABCA4306B2}"/>
            </c:ext>
          </c:extLst>
        </c:ser>
        <c:ser>
          <c:idx val="7"/>
          <c:order val="7"/>
          <c:tx>
            <c:strRef>
              <c:f>Plots!$AC$35</c:f>
              <c:strCache>
                <c:ptCount val="1"/>
                <c:pt idx="0">
                  <c:v>640x360 Reference</c:v>
                </c:pt>
              </c:strCache>
            </c:strRef>
          </c:tx>
          <c:xVal>
            <c:numRef>
              <c:f>Plots!$AE$35:$AE$40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Plots!$AH$35:$AH$40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F8B-1F49-BE74-75ABCA4306B2}"/>
            </c:ext>
          </c:extLst>
        </c:ser>
        <c:ser>
          <c:idx val="8"/>
          <c:order val="8"/>
          <c:tx>
            <c:strRef>
              <c:f>Plots!$AU$5</c:f>
              <c:strCache>
                <c:ptCount val="1"/>
                <c:pt idx="0">
                  <c:v>3840x2160 Test</c:v>
                </c:pt>
              </c:strCache>
            </c:strRef>
          </c:tx>
          <c:marker>
            <c:symbol val="square"/>
            <c:size val="5"/>
          </c:marker>
          <c:xVal>
            <c:numRef>
              <c:f>Plots!$AV$5:$AV$10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Plots!$AY$5:$AY$10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F8B-1F49-BE74-75ABCA4306B2}"/>
            </c:ext>
          </c:extLst>
        </c:ser>
        <c:ser>
          <c:idx val="9"/>
          <c:order val="9"/>
          <c:tx>
            <c:strRef>
              <c:f>Plots!$AU$11</c:f>
              <c:strCache>
                <c:ptCount val="1"/>
                <c:pt idx="0">
                  <c:v>2560x1440 Test</c:v>
                </c:pt>
              </c:strCache>
            </c:strRef>
          </c:tx>
          <c:xVal>
            <c:numRef>
              <c:f>Plots!$AV$11:$AV$16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Plots!$AY$11:$AY$16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F8B-1F49-BE74-75ABCA4306B2}"/>
            </c:ext>
          </c:extLst>
        </c:ser>
        <c:ser>
          <c:idx val="10"/>
          <c:order val="10"/>
          <c:tx>
            <c:strRef>
              <c:f>Plots!$AU$17</c:f>
              <c:strCache>
                <c:ptCount val="1"/>
                <c:pt idx="0">
                  <c:v>1920x1080 Test</c:v>
                </c:pt>
              </c:strCache>
            </c:strRef>
          </c:tx>
          <c:xVal>
            <c:numRef>
              <c:f>Plots!$AV$17:$AV$22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Plots!$AY$17:$AY$22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F8B-1F49-BE74-75ABCA4306B2}"/>
            </c:ext>
          </c:extLst>
        </c:ser>
        <c:ser>
          <c:idx val="11"/>
          <c:order val="11"/>
          <c:tx>
            <c:strRef>
              <c:f>Plots!$AU$23</c:f>
              <c:strCache>
                <c:ptCount val="1"/>
                <c:pt idx="0">
                  <c:v>1280x720 Test</c:v>
                </c:pt>
              </c:strCache>
            </c:strRef>
          </c:tx>
          <c:xVal>
            <c:numRef>
              <c:f>Plots!$AV$23:$AV$28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Plots!$AY$23:$AY$28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F8B-1F49-BE74-75ABCA4306B2}"/>
            </c:ext>
          </c:extLst>
        </c:ser>
        <c:ser>
          <c:idx val="12"/>
          <c:order val="12"/>
          <c:tx>
            <c:strRef>
              <c:f>Plots!$AU$29</c:f>
              <c:strCache>
                <c:ptCount val="1"/>
                <c:pt idx="0">
                  <c:v>960x540 Test</c:v>
                </c:pt>
              </c:strCache>
            </c:strRef>
          </c:tx>
          <c:xVal>
            <c:numRef>
              <c:f>Plots!$AV$29:$AV$34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Plots!$AY$29:$AY$34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F8B-1F49-BE74-75ABCA4306B2}"/>
            </c:ext>
          </c:extLst>
        </c:ser>
        <c:ser>
          <c:idx val="13"/>
          <c:order val="13"/>
          <c:tx>
            <c:strRef>
              <c:f>Plots!$AU$35</c:f>
              <c:strCache>
                <c:ptCount val="1"/>
                <c:pt idx="0">
                  <c:v>640x360 Test</c:v>
                </c:pt>
              </c:strCache>
            </c:strRef>
          </c:tx>
          <c:xVal>
            <c:numRef>
              <c:f>Plots!$AV$35:$AV$40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Plots!$AY$35:$AY$40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F8B-1F49-BE74-75ABCA430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048576"/>
        <c:axId val="241120384"/>
      </c:scatterChart>
      <c:valAx>
        <c:axId val="241048576"/>
        <c:scaling>
          <c:orientation val="minMax"/>
          <c:max val="5490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120384"/>
        <c:crosses val="autoZero"/>
        <c:crossBetween val="midCat"/>
      </c:valAx>
      <c:valAx>
        <c:axId val="241120384"/>
        <c:scaling>
          <c:orientation val="minMax"/>
          <c:max val="49"/>
          <c:min val="28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 PSNR (dB)</a:t>
                </a:r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048576"/>
        <c:crosses val="autoZero"/>
        <c:crossBetween val="midCat"/>
        <c:majorUnit val="1"/>
        <c:minorUnit val="0.5"/>
      </c:valAx>
    </c:plotArea>
    <c:legend>
      <c:legendPos val="r"/>
      <c:layout>
        <c:manualLayout>
          <c:xMode val="edge"/>
          <c:yMode val="edge"/>
          <c:x val="0.57784993817921515"/>
          <c:y val="0.34030946817754121"/>
          <c:w val="0.29320661157024785"/>
          <c:h val="0.456274046361700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</a:t>
            </a:r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Plots!$AE$2</c:f>
              <c:strCache>
                <c:ptCount val="1"/>
                <c:pt idx="0">
                  <c:v>Convex Hull -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Plots!$BM$5:$BM$70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xVal>
          <c:yVal>
            <c:numRef>
              <c:f>Plots!$BN$5:$BN$70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290-4F45-937D-7BE1421391E7}"/>
            </c:ext>
          </c:extLst>
        </c:ser>
        <c:ser>
          <c:idx val="1"/>
          <c:order val="1"/>
          <c:tx>
            <c:strRef>
              <c:f>Plots!$AV$2</c:f>
              <c:strCache>
                <c:ptCount val="1"/>
                <c:pt idx="0">
                  <c:v>Convex Hull - Test</c:v>
                </c:pt>
              </c:strCache>
            </c:strRef>
          </c:tx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Plots!$CD$5:$CD$70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xVal>
          <c:yVal>
            <c:numRef>
              <c:f>Plots!$CE$5:$CE$70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290-4F45-937D-7BE1421391E7}"/>
            </c:ext>
          </c:extLst>
        </c:ser>
        <c:ser>
          <c:idx val="2"/>
          <c:order val="2"/>
          <c:tx>
            <c:strRef>
              <c:f>Plots!$AC$5</c:f>
              <c:strCache>
                <c:ptCount val="1"/>
                <c:pt idx="0">
                  <c:v>3840x2160 Reference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Plots!$AE$5:$AE$10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Plots!$AF$5:$AF$10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290-4F45-937D-7BE1421391E7}"/>
            </c:ext>
          </c:extLst>
        </c:ser>
        <c:ser>
          <c:idx val="3"/>
          <c:order val="3"/>
          <c:tx>
            <c:strRef>
              <c:f>Plots!$AC$11</c:f>
              <c:strCache>
                <c:ptCount val="1"/>
                <c:pt idx="0">
                  <c:v>2560x1440 Reference</c:v>
                </c:pt>
              </c:strCache>
            </c:strRef>
          </c:tx>
          <c:xVal>
            <c:numRef>
              <c:f>Plots!$AE$11:$AE$16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Plots!$AF$11:$AF$16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290-4F45-937D-7BE1421391E7}"/>
            </c:ext>
          </c:extLst>
        </c:ser>
        <c:ser>
          <c:idx val="4"/>
          <c:order val="4"/>
          <c:tx>
            <c:strRef>
              <c:f>Plots!$AC$17</c:f>
              <c:strCache>
                <c:ptCount val="1"/>
                <c:pt idx="0">
                  <c:v>1920x1080 Reference</c:v>
                </c:pt>
              </c:strCache>
            </c:strRef>
          </c:tx>
          <c:xVal>
            <c:numRef>
              <c:f>Plots!$AE$17:$AE$22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Plots!$AF$17:$AF$22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290-4F45-937D-7BE1421391E7}"/>
            </c:ext>
          </c:extLst>
        </c:ser>
        <c:ser>
          <c:idx val="5"/>
          <c:order val="5"/>
          <c:tx>
            <c:strRef>
              <c:f>Plots!$AC$23</c:f>
              <c:strCache>
                <c:ptCount val="1"/>
                <c:pt idx="0">
                  <c:v>1280x720 Reference</c:v>
                </c:pt>
              </c:strCache>
            </c:strRef>
          </c:tx>
          <c:xVal>
            <c:numRef>
              <c:f>Plots!$AE$23:$AE$28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Plots!$AF$23:$AF$28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290-4F45-937D-7BE1421391E7}"/>
            </c:ext>
          </c:extLst>
        </c:ser>
        <c:ser>
          <c:idx val="6"/>
          <c:order val="6"/>
          <c:tx>
            <c:strRef>
              <c:f>Plots!$AC$29</c:f>
              <c:strCache>
                <c:ptCount val="1"/>
                <c:pt idx="0">
                  <c:v>960x540 Reference</c:v>
                </c:pt>
              </c:strCache>
            </c:strRef>
          </c:tx>
          <c:xVal>
            <c:numRef>
              <c:f>Plots!$AE$29:$AE$34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Plots!$AF$29:$AF$34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290-4F45-937D-7BE1421391E7}"/>
            </c:ext>
          </c:extLst>
        </c:ser>
        <c:ser>
          <c:idx val="7"/>
          <c:order val="7"/>
          <c:tx>
            <c:strRef>
              <c:f>Plots!$AC$35</c:f>
              <c:strCache>
                <c:ptCount val="1"/>
                <c:pt idx="0">
                  <c:v>640x360 Reference</c:v>
                </c:pt>
              </c:strCache>
            </c:strRef>
          </c:tx>
          <c:xVal>
            <c:numRef>
              <c:f>Plots!$AE$35:$AE$40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Plots!$AF$35:$AF$40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290-4F45-937D-7BE1421391E7}"/>
            </c:ext>
          </c:extLst>
        </c:ser>
        <c:ser>
          <c:idx val="8"/>
          <c:order val="8"/>
          <c:tx>
            <c:strRef>
              <c:f>Plots!$AU$5</c:f>
              <c:strCache>
                <c:ptCount val="1"/>
                <c:pt idx="0">
                  <c:v>3840x2160 Test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</c:marker>
          <c:xVal>
            <c:numRef>
              <c:f>Plots!$AV$5:$AV$10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Plots!$AW$5:$AW$10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D290-4F45-937D-7BE1421391E7}"/>
            </c:ext>
          </c:extLst>
        </c:ser>
        <c:ser>
          <c:idx val="9"/>
          <c:order val="9"/>
          <c:tx>
            <c:strRef>
              <c:f>Plots!$AU$11</c:f>
              <c:strCache>
                <c:ptCount val="1"/>
                <c:pt idx="0">
                  <c:v>2560x1440 Test</c:v>
                </c:pt>
              </c:strCache>
            </c:strRef>
          </c:tx>
          <c:xVal>
            <c:numRef>
              <c:f>Plots!$AV$11:$AV$16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Plots!$AW$11:$AW$16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D290-4F45-937D-7BE1421391E7}"/>
            </c:ext>
          </c:extLst>
        </c:ser>
        <c:ser>
          <c:idx val="10"/>
          <c:order val="10"/>
          <c:tx>
            <c:strRef>
              <c:f>Plots!$AU$17</c:f>
              <c:strCache>
                <c:ptCount val="1"/>
                <c:pt idx="0">
                  <c:v>1920x1080 Test</c:v>
                </c:pt>
              </c:strCache>
            </c:strRef>
          </c:tx>
          <c:xVal>
            <c:numRef>
              <c:f>Plots!$AV$17:$AV$22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Plots!$AW$17:$AW$22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D290-4F45-937D-7BE1421391E7}"/>
            </c:ext>
          </c:extLst>
        </c:ser>
        <c:ser>
          <c:idx val="11"/>
          <c:order val="11"/>
          <c:tx>
            <c:strRef>
              <c:f>Plots!$AU$23</c:f>
              <c:strCache>
                <c:ptCount val="1"/>
                <c:pt idx="0">
                  <c:v>1280x720 Test</c:v>
                </c:pt>
              </c:strCache>
            </c:strRef>
          </c:tx>
          <c:xVal>
            <c:numRef>
              <c:f>Plots!$AV$23:$AV$28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Plots!$AW$23:$AW$28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D290-4F45-937D-7BE1421391E7}"/>
            </c:ext>
          </c:extLst>
        </c:ser>
        <c:ser>
          <c:idx val="12"/>
          <c:order val="12"/>
          <c:tx>
            <c:strRef>
              <c:f>Plots!$AU$29</c:f>
              <c:strCache>
                <c:ptCount val="1"/>
                <c:pt idx="0">
                  <c:v>960x540 Test</c:v>
                </c:pt>
              </c:strCache>
            </c:strRef>
          </c:tx>
          <c:xVal>
            <c:numRef>
              <c:f>Plots!$AV$29:$AV$34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Plots!$AW$29:$AW$34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D290-4F45-937D-7BE1421391E7}"/>
            </c:ext>
          </c:extLst>
        </c:ser>
        <c:ser>
          <c:idx val="13"/>
          <c:order val="13"/>
          <c:tx>
            <c:strRef>
              <c:f>Plots!$AU$35</c:f>
              <c:strCache>
                <c:ptCount val="1"/>
                <c:pt idx="0">
                  <c:v>640x360 Test</c:v>
                </c:pt>
              </c:strCache>
            </c:strRef>
          </c:tx>
          <c:xVal>
            <c:numRef>
              <c:f>Plots!$AV$35:$AV$40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Plots!$AW$35:$AW$40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D290-4F45-937D-7BE1421391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048576"/>
        <c:axId val="241120384"/>
      </c:scatterChart>
      <c:valAx>
        <c:axId val="241048576"/>
        <c:scaling>
          <c:logBase val="10"/>
          <c:orientation val="minMax"/>
          <c:max val="100000"/>
          <c:min val="1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120384"/>
        <c:crosses val="autoZero"/>
        <c:crossBetween val="midCat"/>
      </c:valAx>
      <c:valAx>
        <c:axId val="241120384"/>
        <c:scaling>
          <c:orientation val="minMax"/>
          <c:max val="46"/>
          <c:min val="25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048576"/>
        <c:crosses val="autoZero"/>
        <c:crossBetween val="midCat"/>
        <c:majorUnit val="1"/>
        <c:minorUnit val="0.5"/>
      </c:valAx>
    </c:plotArea>
    <c:legend>
      <c:legendPos val="r"/>
      <c:layout>
        <c:manualLayout>
          <c:xMode val="edge"/>
          <c:yMode val="edge"/>
          <c:x val="0.57784993817921515"/>
          <c:y val="0.34030946817754121"/>
          <c:w val="0.29320661157024785"/>
          <c:h val="0.456274046361700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log SSIM vs Bitrate</a:t>
            </a:r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Plots!$AE$2</c:f>
              <c:strCache>
                <c:ptCount val="1"/>
                <c:pt idx="0">
                  <c:v>Convex Hull -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Plots!$BM$5:$BM$70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xVal>
          <c:yVal>
            <c:numRef>
              <c:f>Plots!$BR$5:$BR$70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4F5-9E43-96E6-ED8486FF9E08}"/>
            </c:ext>
          </c:extLst>
        </c:ser>
        <c:ser>
          <c:idx val="1"/>
          <c:order val="1"/>
          <c:tx>
            <c:strRef>
              <c:f>Plots!$AV$2</c:f>
              <c:strCache>
                <c:ptCount val="1"/>
                <c:pt idx="0">
                  <c:v>Convex Hull - Test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Plots!$CD$5:$CD$70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xVal>
          <c:yVal>
            <c:numRef>
              <c:f>Plots!$CI$5:$CI$70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4F5-9E43-96E6-ED8486FF9E08}"/>
            </c:ext>
          </c:extLst>
        </c:ser>
        <c:ser>
          <c:idx val="2"/>
          <c:order val="2"/>
          <c:tx>
            <c:strRef>
              <c:f>Plots!$AC$5</c:f>
              <c:strCache>
                <c:ptCount val="1"/>
                <c:pt idx="0">
                  <c:v>3840x2160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Plots!$AE$5:$AE$10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Plots!$AJ$5:$AJ$10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4F5-9E43-96E6-ED8486FF9E08}"/>
            </c:ext>
          </c:extLst>
        </c:ser>
        <c:ser>
          <c:idx val="3"/>
          <c:order val="3"/>
          <c:tx>
            <c:strRef>
              <c:f>Plots!$AC$11</c:f>
              <c:strCache>
                <c:ptCount val="1"/>
                <c:pt idx="0">
                  <c:v>2560x1440 Reference</c:v>
                </c:pt>
              </c:strCache>
            </c:strRef>
          </c:tx>
          <c:xVal>
            <c:numRef>
              <c:f>Plots!$AE$11:$AE$16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Plots!$AJ$11:$AJ$16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4F5-9E43-96E6-ED8486FF9E08}"/>
            </c:ext>
          </c:extLst>
        </c:ser>
        <c:ser>
          <c:idx val="4"/>
          <c:order val="4"/>
          <c:tx>
            <c:strRef>
              <c:f>Plots!$AC$17</c:f>
              <c:strCache>
                <c:ptCount val="1"/>
                <c:pt idx="0">
                  <c:v>1920x1080 Reference</c:v>
                </c:pt>
              </c:strCache>
            </c:strRef>
          </c:tx>
          <c:xVal>
            <c:numRef>
              <c:f>Plots!$AE$17:$AE$22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Plots!$AJ$17:$AJ$22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4F5-9E43-96E6-ED8486FF9E08}"/>
            </c:ext>
          </c:extLst>
        </c:ser>
        <c:ser>
          <c:idx val="5"/>
          <c:order val="5"/>
          <c:tx>
            <c:strRef>
              <c:f>Plots!$AC$23</c:f>
              <c:strCache>
                <c:ptCount val="1"/>
                <c:pt idx="0">
                  <c:v>1280x720 Reference</c:v>
                </c:pt>
              </c:strCache>
            </c:strRef>
          </c:tx>
          <c:xVal>
            <c:numRef>
              <c:f>Plots!$AE$23:$AE$28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Plots!$AJ$23:$AJ$28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E4F5-9E43-96E6-ED8486FF9E08}"/>
            </c:ext>
          </c:extLst>
        </c:ser>
        <c:ser>
          <c:idx val="6"/>
          <c:order val="6"/>
          <c:tx>
            <c:strRef>
              <c:f>Plots!$AC$29</c:f>
              <c:strCache>
                <c:ptCount val="1"/>
                <c:pt idx="0">
                  <c:v>960x540 Reference</c:v>
                </c:pt>
              </c:strCache>
            </c:strRef>
          </c:tx>
          <c:xVal>
            <c:numRef>
              <c:f>Plots!$AE$29:$AE$34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Plots!$AJ$29:$AJ$34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4F5-9E43-96E6-ED8486FF9E08}"/>
            </c:ext>
          </c:extLst>
        </c:ser>
        <c:ser>
          <c:idx val="7"/>
          <c:order val="7"/>
          <c:tx>
            <c:strRef>
              <c:f>Plots!$AC$35</c:f>
              <c:strCache>
                <c:ptCount val="1"/>
                <c:pt idx="0">
                  <c:v>640x360 Reference</c:v>
                </c:pt>
              </c:strCache>
            </c:strRef>
          </c:tx>
          <c:xVal>
            <c:numRef>
              <c:f>Plots!$AE$35:$AE$40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Plots!$AJ$35:$AJ$40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E4F5-9E43-96E6-ED8486FF9E08}"/>
            </c:ext>
          </c:extLst>
        </c:ser>
        <c:ser>
          <c:idx val="8"/>
          <c:order val="8"/>
          <c:tx>
            <c:strRef>
              <c:f>Plots!$AU$5</c:f>
              <c:strCache>
                <c:ptCount val="1"/>
                <c:pt idx="0">
                  <c:v>3840x2160 Test</c:v>
                </c:pt>
              </c:strCache>
            </c:strRef>
          </c:tx>
          <c:marker>
            <c:symbol val="square"/>
            <c:size val="5"/>
          </c:marker>
          <c:xVal>
            <c:numRef>
              <c:f>Plots!$AV$5:$AV$10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Plots!$BA$5:$BA$10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E4F5-9E43-96E6-ED8486FF9E08}"/>
            </c:ext>
          </c:extLst>
        </c:ser>
        <c:ser>
          <c:idx val="9"/>
          <c:order val="9"/>
          <c:tx>
            <c:strRef>
              <c:f>Plots!$AU$11</c:f>
              <c:strCache>
                <c:ptCount val="1"/>
                <c:pt idx="0">
                  <c:v>2560x1440 Test</c:v>
                </c:pt>
              </c:strCache>
            </c:strRef>
          </c:tx>
          <c:xVal>
            <c:numRef>
              <c:f>Plots!$AV$11:$AV$16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Plots!$BA$11:$BA$16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E4F5-9E43-96E6-ED8486FF9E08}"/>
            </c:ext>
          </c:extLst>
        </c:ser>
        <c:ser>
          <c:idx val="10"/>
          <c:order val="10"/>
          <c:tx>
            <c:strRef>
              <c:f>Plots!$AU$17</c:f>
              <c:strCache>
                <c:ptCount val="1"/>
                <c:pt idx="0">
                  <c:v>1920x1080 Test</c:v>
                </c:pt>
              </c:strCache>
            </c:strRef>
          </c:tx>
          <c:xVal>
            <c:numRef>
              <c:f>Plots!$AV$17:$AV$22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Plots!$BA$17:$BA$22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E4F5-9E43-96E6-ED8486FF9E08}"/>
            </c:ext>
          </c:extLst>
        </c:ser>
        <c:ser>
          <c:idx val="11"/>
          <c:order val="11"/>
          <c:tx>
            <c:strRef>
              <c:f>Plots!$AU$23</c:f>
              <c:strCache>
                <c:ptCount val="1"/>
                <c:pt idx="0">
                  <c:v>1280x720 Test</c:v>
                </c:pt>
              </c:strCache>
            </c:strRef>
          </c:tx>
          <c:xVal>
            <c:numRef>
              <c:f>Plots!$AV$23:$AV$28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Plots!$BA$23:$BA$28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E4F5-9E43-96E6-ED8486FF9E08}"/>
            </c:ext>
          </c:extLst>
        </c:ser>
        <c:ser>
          <c:idx val="12"/>
          <c:order val="12"/>
          <c:tx>
            <c:strRef>
              <c:f>Plots!$AU$29</c:f>
              <c:strCache>
                <c:ptCount val="1"/>
                <c:pt idx="0">
                  <c:v>960x540 Test</c:v>
                </c:pt>
              </c:strCache>
            </c:strRef>
          </c:tx>
          <c:xVal>
            <c:numRef>
              <c:f>Plots!$AV$29:$AV$34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Plots!$BA$29:$BA$34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E4F5-9E43-96E6-ED8486FF9E08}"/>
            </c:ext>
          </c:extLst>
        </c:ser>
        <c:ser>
          <c:idx val="13"/>
          <c:order val="13"/>
          <c:tx>
            <c:strRef>
              <c:f>Plots!$AU$35</c:f>
              <c:strCache>
                <c:ptCount val="1"/>
                <c:pt idx="0">
                  <c:v>640x360 Test</c:v>
                </c:pt>
              </c:strCache>
            </c:strRef>
          </c:tx>
          <c:xVal>
            <c:numRef>
              <c:f>Plots!$AV$35:$AV$40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Plots!$BA$35:$BA$40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E4F5-9E43-96E6-ED8486FF9E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048576"/>
        <c:axId val="241120384"/>
      </c:scatterChart>
      <c:valAx>
        <c:axId val="241048576"/>
        <c:scaling>
          <c:orientation val="minMax"/>
          <c:max val="5490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120384"/>
        <c:crosses val="autoZero"/>
        <c:crossBetween val="midCat"/>
      </c:valAx>
      <c:valAx>
        <c:axId val="241120384"/>
        <c:scaling>
          <c:orientation val="minMax"/>
          <c:max val="30"/>
          <c:min val="7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SSIM (dB)</a:t>
                </a:r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048576"/>
        <c:crosses val="autoZero"/>
        <c:crossBetween val="midCat"/>
        <c:majorUnit val="1"/>
        <c:minorUnit val="0.5"/>
      </c:valAx>
    </c:plotArea>
    <c:legend>
      <c:legendPos val="r"/>
      <c:layout>
        <c:manualLayout>
          <c:xMode val="edge"/>
          <c:yMode val="edge"/>
          <c:x val="0.62908960760070276"/>
          <c:y val="0.37690180665667222"/>
          <c:w val="0.29320661157024785"/>
          <c:h val="0.456274046361700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log MS-SSIM vs Bitrate</a:t>
            </a:r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Plots!$AE$2</c:f>
              <c:strCache>
                <c:ptCount val="1"/>
                <c:pt idx="0">
                  <c:v>Convex Hull -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Plots!$BM$5:$BM$70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xVal>
          <c:yVal>
            <c:numRef>
              <c:f>Plots!$BS$5:$BS$70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68C-1C40-B222-32A55C7360DB}"/>
            </c:ext>
          </c:extLst>
        </c:ser>
        <c:ser>
          <c:idx val="1"/>
          <c:order val="1"/>
          <c:tx>
            <c:strRef>
              <c:f>Plots!$AV$2</c:f>
              <c:strCache>
                <c:ptCount val="1"/>
                <c:pt idx="0">
                  <c:v>Convex Hull - Test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Plots!$CD$5:$CD$70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xVal>
          <c:yVal>
            <c:numRef>
              <c:f>Plots!$CJ$5:$CJ$70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8C-1C40-B222-32A55C7360DB}"/>
            </c:ext>
          </c:extLst>
        </c:ser>
        <c:ser>
          <c:idx val="2"/>
          <c:order val="2"/>
          <c:tx>
            <c:strRef>
              <c:f>Plots!$AC$5</c:f>
              <c:strCache>
                <c:ptCount val="1"/>
                <c:pt idx="0">
                  <c:v>3840x2160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Plots!$AE$5:$AE$10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Plots!$AK$5:$AK$10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8C-1C40-B222-32A55C7360DB}"/>
            </c:ext>
          </c:extLst>
        </c:ser>
        <c:ser>
          <c:idx val="3"/>
          <c:order val="3"/>
          <c:tx>
            <c:strRef>
              <c:f>Plots!$AC$11</c:f>
              <c:strCache>
                <c:ptCount val="1"/>
                <c:pt idx="0">
                  <c:v>2560x1440 Reference</c:v>
                </c:pt>
              </c:strCache>
            </c:strRef>
          </c:tx>
          <c:xVal>
            <c:numRef>
              <c:f>Plots!$AE$11:$AE$16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Plots!$AK$11:$AK$16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68C-1C40-B222-32A55C7360DB}"/>
            </c:ext>
          </c:extLst>
        </c:ser>
        <c:ser>
          <c:idx val="4"/>
          <c:order val="4"/>
          <c:tx>
            <c:strRef>
              <c:f>Plots!$AC$17</c:f>
              <c:strCache>
                <c:ptCount val="1"/>
                <c:pt idx="0">
                  <c:v>1920x1080 Reference</c:v>
                </c:pt>
              </c:strCache>
            </c:strRef>
          </c:tx>
          <c:xVal>
            <c:numRef>
              <c:f>Plots!$AE$17:$AE$22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Plots!$AK$17:$AK$22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868C-1C40-B222-32A55C7360DB}"/>
            </c:ext>
          </c:extLst>
        </c:ser>
        <c:ser>
          <c:idx val="5"/>
          <c:order val="5"/>
          <c:tx>
            <c:strRef>
              <c:f>Plots!$AC$23</c:f>
              <c:strCache>
                <c:ptCount val="1"/>
                <c:pt idx="0">
                  <c:v>1280x720 Reference</c:v>
                </c:pt>
              </c:strCache>
            </c:strRef>
          </c:tx>
          <c:xVal>
            <c:numRef>
              <c:f>Plots!$AE$23:$AE$28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Plots!$AK$23:$AK$28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868C-1C40-B222-32A55C7360DB}"/>
            </c:ext>
          </c:extLst>
        </c:ser>
        <c:ser>
          <c:idx val="6"/>
          <c:order val="6"/>
          <c:tx>
            <c:strRef>
              <c:f>Plots!$AC$29</c:f>
              <c:strCache>
                <c:ptCount val="1"/>
                <c:pt idx="0">
                  <c:v>960x540 Reference</c:v>
                </c:pt>
              </c:strCache>
            </c:strRef>
          </c:tx>
          <c:xVal>
            <c:numRef>
              <c:f>Plots!$AE$29:$AE$34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Plots!$AK$29:$AK$34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868C-1C40-B222-32A55C7360DB}"/>
            </c:ext>
          </c:extLst>
        </c:ser>
        <c:ser>
          <c:idx val="7"/>
          <c:order val="7"/>
          <c:tx>
            <c:strRef>
              <c:f>Plots!$AC$35</c:f>
              <c:strCache>
                <c:ptCount val="1"/>
                <c:pt idx="0">
                  <c:v>640x360 Reference</c:v>
                </c:pt>
              </c:strCache>
            </c:strRef>
          </c:tx>
          <c:xVal>
            <c:numRef>
              <c:f>Plots!$AE$35:$AE$40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Plots!$AK$35:$AK$40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868C-1C40-B222-32A55C7360DB}"/>
            </c:ext>
          </c:extLst>
        </c:ser>
        <c:ser>
          <c:idx val="8"/>
          <c:order val="8"/>
          <c:tx>
            <c:strRef>
              <c:f>Plots!$AU$5</c:f>
              <c:strCache>
                <c:ptCount val="1"/>
                <c:pt idx="0">
                  <c:v>3840x2160 Test</c:v>
                </c:pt>
              </c:strCache>
            </c:strRef>
          </c:tx>
          <c:marker>
            <c:symbol val="square"/>
            <c:size val="5"/>
          </c:marker>
          <c:xVal>
            <c:numRef>
              <c:f>Plots!$AV$5:$AV$10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Plots!$BB$5:$BB$10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868C-1C40-B222-32A55C7360DB}"/>
            </c:ext>
          </c:extLst>
        </c:ser>
        <c:ser>
          <c:idx val="9"/>
          <c:order val="9"/>
          <c:tx>
            <c:strRef>
              <c:f>Plots!$AU$11</c:f>
              <c:strCache>
                <c:ptCount val="1"/>
                <c:pt idx="0">
                  <c:v>2560x1440 Test</c:v>
                </c:pt>
              </c:strCache>
            </c:strRef>
          </c:tx>
          <c:xVal>
            <c:numRef>
              <c:f>Plots!$AV$11:$AV$16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Plots!$BB$11:$BB$16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868C-1C40-B222-32A55C7360DB}"/>
            </c:ext>
          </c:extLst>
        </c:ser>
        <c:ser>
          <c:idx val="10"/>
          <c:order val="10"/>
          <c:tx>
            <c:strRef>
              <c:f>Plots!$AU$17</c:f>
              <c:strCache>
                <c:ptCount val="1"/>
                <c:pt idx="0">
                  <c:v>1920x1080 Test</c:v>
                </c:pt>
              </c:strCache>
            </c:strRef>
          </c:tx>
          <c:xVal>
            <c:numRef>
              <c:f>Plots!$AV$17:$AV$22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Plots!$BB$17:$BB$22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868C-1C40-B222-32A55C7360DB}"/>
            </c:ext>
          </c:extLst>
        </c:ser>
        <c:ser>
          <c:idx val="11"/>
          <c:order val="11"/>
          <c:tx>
            <c:strRef>
              <c:f>Plots!$AU$23</c:f>
              <c:strCache>
                <c:ptCount val="1"/>
                <c:pt idx="0">
                  <c:v>1280x720 Test</c:v>
                </c:pt>
              </c:strCache>
            </c:strRef>
          </c:tx>
          <c:xVal>
            <c:numRef>
              <c:f>Plots!$AV$23:$AV$28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Plots!$BB$23:$BB$28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868C-1C40-B222-32A55C7360DB}"/>
            </c:ext>
          </c:extLst>
        </c:ser>
        <c:ser>
          <c:idx val="12"/>
          <c:order val="12"/>
          <c:tx>
            <c:strRef>
              <c:f>Plots!$AU$29</c:f>
              <c:strCache>
                <c:ptCount val="1"/>
                <c:pt idx="0">
                  <c:v>960x540 Test</c:v>
                </c:pt>
              </c:strCache>
            </c:strRef>
          </c:tx>
          <c:xVal>
            <c:numRef>
              <c:f>Plots!$AV$29:$AV$34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Plots!$BB$29:$BB$34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868C-1C40-B222-32A55C7360DB}"/>
            </c:ext>
          </c:extLst>
        </c:ser>
        <c:ser>
          <c:idx val="13"/>
          <c:order val="13"/>
          <c:tx>
            <c:strRef>
              <c:f>Plots!$AU$35</c:f>
              <c:strCache>
                <c:ptCount val="1"/>
                <c:pt idx="0">
                  <c:v>640x360 Test</c:v>
                </c:pt>
              </c:strCache>
            </c:strRef>
          </c:tx>
          <c:xVal>
            <c:numRef>
              <c:f>Plots!$AV$35:$AV$40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Plots!$BB$35:$BB$40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868C-1C40-B222-32A55C7360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048576"/>
        <c:axId val="241120384"/>
      </c:scatterChart>
      <c:valAx>
        <c:axId val="241048576"/>
        <c:scaling>
          <c:orientation val="minMax"/>
          <c:max val="5490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120384"/>
        <c:crosses val="autoZero"/>
        <c:crossBetween val="midCat"/>
      </c:valAx>
      <c:valAx>
        <c:axId val="241120384"/>
        <c:scaling>
          <c:orientation val="minMax"/>
          <c:max val="23.5"/>
          <c:min val="7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MS-SSIM (dB)</a:t>
                </a:r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048576"/>
        <c:crosses val="autoZero"/>
        <c:crossBetween val="midCat"/>
        <c:majorUnit val="1"/>
        <c:minorUnit val="0.5"/>
      </c:valAx>
    </c:plotArea>
    <c:legend>
      <c:legendPos val="r"/>
      <c:layout>
        <c:manualLayout>
          <c:xMode val="edge"/>
          <c:yMode val="edge"/>
          <c:x val="0.62908960760070276"/>
          <c:y val="0.37690180665667222"/>
          <c:w val="0.29320661157024785"/>
          <c:h val="0.456274046361700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VMAF vs Bitrate</a:t>
            </a:r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Plots!$AE$2</c:f>
              <c:strCache>
                <c:ptCount val="1"/>
                <c:pt idx="0">
                  <c:v>Convex Hull -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Plots!$BM$5:$BM$70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xVal>
          <c:yVal>
            <c:numRef>
              <c:f>Plots!$BT$5:$BT$70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44-3449-9364-D4E1396CC5F1}"/>
            </c:ext>
          </c:extLst>
        </c:ser>
        <c:ser>
          <c:idx val="1"/>
          <c:order val="1"/>
          <c:tx>
            <c:strRef>
              <c:f>Plots!$AV$2</c:f>
              <c:strCache>
                <c:ptCount val="1"/>
                <c:pt idx="0">
                  <c:v>Convex Hull - Test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Plots!$CD$5:$CD$70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xVal>
          <c:yVal>
            <c:numRef>
              <c:f>Plots!$CK$5:$CK$70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44-3449-9364-D4E1396CC5F1}"/>
            </c:ext>
          </c:extLst>
        </c:ser>
        <c:ser>
          <c:idx val="2"/>
          <c:order val="2"/>
          <c:tx>
            <c:strRef>
              <c:f>Plots!$AC$5</c:f>
              <c:strCache>
                <c:ptCount val="1"/>
                <c:pt idx="0">
                  <c:v>3840x2160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Plots!$AE$5:$AE$10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Plots!$AL$5:$AL$10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C44-3449-9364-D4E1396CC5F1}"/>
            </c:ext>
          </c:extLst>
        </c:ser>
        <c:ser>
          <c:idx val="3"/>
          <c:order val="3"/>
          <c:tx>
            <c:strRef>
              <c:f>Plots!$AC$11</c:f>
              <c:strCache>
                <c:ptCount val="1"/>
                <c:pt idx="0">
                  <c:v>2560x1440 Reference</c:v>
                </c:pt>
              </c:strCache>
            </c:strRef>
          </c:tx>
          <c:xVal>
            <c:numRef>
              <c:f>Plots!$AE$11:$AE$16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Plots!$AL$11:$AL$16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44-3449-9364-D4E1396CC5F1}"/>
            </c:ext>
          </c:extLst>
        </c:ser>
        <c:ser>
          <c:idx val="4"/>
          <c:order val="4"/>
          <c:tx>
            <c:strRef>
              <c:f>Plots!$AC$17</c:f>
              <c:strCache>
                <c:ptCount val="1"/>
                <c:pt idx="0">
                  <c:v>1920x1080 Reference</c:v>
                </c:pt>
              </c:strCache>
            </c:strRef>
          </c:tx>
          <c:xVal>
            <c:numRef>
              <c:f>Plots!$AE$17:$AE$22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Plots!$AL$17:$AL$22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44-3449-9364-D4E1396CC5F1}"/>
            </c:ext>
          </c:extLst>
        </c:ser>
        <c:ser>
          <c:idx val="5"/>
          <c:order val="5"/>
          <c:tx>
            <c:strRef>
              <c:f>Plots!$AC$23</c:f>
              <c:strCache>
                <c:ptCount val="1"/>
                <c:pt idx="0">
                  <c:v>1280x720 Reference</c:v>
                </c:pt>
              </c:strCache>
            </c:strRef>
          </c:tx>
          <c:xVal>
            <c:numRef>
              <c:f>Plots!$AE$23:$AE$28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Plots!$AL$23:$AL$28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C44-3449-9364-D4E1396CC5F1}"/>
            </c:ext>
          </c:extLst>
        </c:ser>
        <c:ser>
          <c:idx val="6"/>
          <c:order val="6"/>
          <c:tx>
            <c:strRef>
              <c:f>Plots!$AC$29</c:f>
              <c:strCache>
                <c:ptCount val="1"/>
                <c:pt idx="0">
                  <c:v>960x540 Reference</c:v>
                </c:pt>
              </c:strCache>
            </c:strRef>
          </c:tx>
          <c:xVal>
            <c:numRef>
              <c:f>Plots!$AE$29:$AE$34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Plots!$AL$29:$AL$34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BC44-3449-9364-D4E1396CC5F1}"/>
            </c:ext>
          </c:extLst>
        </c:ser>
        <c:ser>
          <c:idx val="7"/>
          <c:order val="7"/>
          <c:tx>
            <c:strRef>
              <c:f>Plots!$AC$35</c:f>
              <c:strCache>
                <c:ptCount val="1"/>
                <c:pt idx="0">
                  <c:v>640x360 Reference</c:v>
                </c:pt>
              </c:strCache>
            </c:strRef>
          </c:tx>
          <c:xVal>
            <c:numRef>
              <c:f>Plots!$AE$35:$AE$40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Plots!$AL$35:$AL$40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BC44-3449-9364-D4E1396CC5F1}"/>
            </c:ext>
          </c:extLst>
        </c:ser>
        <c:ser>
          <c:idx val="8"/>
          <c:order val="8"/>
          <c:tx>
            <c:strRef>
              <c:f>Plots!$AU$5</c:f>
              <c:strCache>
                <c:ptCount val="1"/>
                <c:pt idx="0">
                  <c:v>3840x2160 Test</c:v>
                </c:pt>
              </c:strCache>
            </c:strRef>
          </c:tx>
          <c:marker>
            <c:symbol val="square"/>
            <c:size val="5"/>
          </c:marker>
          <c:xVal>
            <c:numRef>
              <c:f>Plots!$AV$5:$AV$10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Plots!$BC$5:$BC$10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BC44-3449-9364-D4E1396CC5F1}"/>
            </c:ext>
          </c:extLst>
        </c:ser>
        <c:ser>
          <c:idx val="9"/>
          <c:order val="9"/>
          <c:tx>
            <c:strRef>
              <c:f>Plots!$AU$11</c:f>
              <c:strCache>
                <c:ptCount val="1"/>
                <c:pt idx="0">
                  <c:v>2560x1440 Test</c:v>
                </c:pt>
              </c:strCache>
            </c:strRef>
          </c:tx>
          <c:xVal>
            <c:numRef>
              <c:f>Plots!$AV$11:$AV$16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Plots!$BC$11:$BC$16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BC44-3449-9364-D4E1396CC5F1}"/>
            </c:ext>
          </c:extLst>
        </c:ser>
        <c:ser>
          <c:idx val="10"/>
          <c:order val="10"/>
          <c:tx>
            <c:strRef>
              <c:f>Plots!$AU$17</c:f>
              <c:strCache>
                <c:ptCount val="1"/>
                <c:pt idx="0">
                  <c:v>1920x1080 Test</c:v>
                </c:pt>
              </c:strCache>
            </c:strRef>
          </c:tx>
          <c:xVal>
            <c:numRef>
              <c:f>Plots!$AV$17:$AV$22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Plots!$BC$17:$BC$22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BC44-3449-9364-D4E1396CC5F1}"/>
            </c:ext>
          </c:extLst>
        </c:ser>
        <c:ser>
          <c:idx val="11"/>
          <c:order val="11"/>
          <c:tx>
            <c:strRef>
              <c:f>Plots!$AU$23</c:f>
              <c:strCache>
                <c:ptCount val="1"/>
                <c:pt idx="0">
                  <c:v>1280x720 Test</c:v>
                </c:pt>
              </c:strCache>
            </c:strRef>
          </c:tx>
          <c:xVal>
            <c:numRef>
              <c:f>Plots!$AV$23:$AV$28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Plots!$BC$23:$BC$28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BC44-3449-9364-D4E1396CC5F1}"/>
            </c:ext>
          </c:extLst>
        </c:ser>
        <c:ser>
          <c:idx val="12"/>
          <c:order val="12"/>
          <c:tx>
            <c:strRef>
              <c:f>Plots!$AU$29</c:f>
              <c:strCache>
                <c:ptCount val="1"/>
                <c:pt idx="0">
                  <c:v>960x540 Test</c:v>
                </c:pt>
              </c:strCache>
            </c:strRef>
          </c:tx>
          <c:xVal>
            <c:numRef>
              <c:f>Plots!$AV$29:$AV$34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Plots!$BC$29:$BC$34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BC44-3449-9364-D4E1396CC5F1}"/>
            </c:ext>
          </c:extLst>
        </c:ser>
        <c:ser>
          <c:idx val="13"/>
          <c:order val="13"/>
          <c:tx>
            <c:strRef>
              <c:f>Plots!$AU$35</c:f>
              <c:strCache>
                <c:ptCount val="1"/>
                <c:pt idx="0">
                  <c:v>640x360 Test</c:v>
                </c:pt>
              </c:strCache>
            </c:strRef>
          </c:tx>
          <c:xVal>
            <c:numRef>
              <c:f>Plots!$AV$35:$AV$40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Plots!$BC$35:$BC$40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BC44-3449-9364-D4E1396CC5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048576"/>
        <c:axId val="241120384"/>
      </c:scatterChart>
      <c:valAx>
        <c:axId val="241048576"/>
        <c:scaling>
          <c:orientation val="minMax"/>
          <c:max val="5490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120384"/>
        <c:crosses val="autoZero"/>
        <c:crossBetween val="midCat"/>
      </c:valAx>
      <c:valAx>
        <c:axId val="241120384"/>
        <c:scaling>
          <c:orientation val="minMax"/>
          <c:max val="100.5"/>
          <c:min val="3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VMAF</a:t>
                </a:r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048576"/>
        <c:crosses val="autoZero"/>
        <c:crossBetween val="midCat"/>
        <c:majorUnit val="10"/>
        <c:minorUnit val="5"/>
      </c:valAx>
    </c:plotArea>
    <c:legend>
      <c:legendPos val="r"/>
      <c:layout>
        <c:manualLayout>
          <c:xMode val="edge"/>
          <c:yMode val="edge"/>
          <c:x val="0.62908960760070276"/>
          <c:y val="0.37690180665667222"/>
          <c:w val="0.29320661157024785"/>
          <c:h val="0.456274046361700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VMAF-neg vs Bitrate</a:t>
            </a:r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Plots!$AE$2</c:f>
              <c:strCache>
                <c:ptCount val="1"/>
                <c:pt idx="0">
                  <c:v>Convex Hull -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Plots!$BM$5:$BM$70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xVal>
          <c:yVal>
            <c:numRef>
              <c:f>Plots!$BU$5:$BU$70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7E9-1641-AD5A-4C2B45C83CAF}"/>
            </c:ext>
          </c:extLst>
        </c:ser>
        <c:ser>
          <c:idx val="1"/>
          <c:order val="1"/>
          <c:tx>
            <c:strRef>
              <c:f>Plots!$AV$2</c:f>
              <c:strCache>
                <c:ptCount val="1"/>
                <c:pt idx="0">
                  <c:v>Convex Hull - Test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Plots!$CD$5:$CD$70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xVal>
          <c:yVal>
            <c:numRef>
              <c:f>Plots!$CL$5:$CL$70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7E9-1641-AD5A-4C2B45C83CAF}"/>
            </c:ext>
          </c:extLst>
        </c:ser>
        <c:ser>
          <c:idx val="2"/>
          <c:order val="2"/>
          <c:tx>
            <c:strRef>
              <c:f>Plots!$AC$5</c:f>
              <c:strCache>
                <c:ptCount val="1"/>
                <c:pt idx="0">
                  <c:v>3840x2160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Plots!$AE$5:$AE$10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Plots!$AM$5:$AM$10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7E9-1641-AD5A-4C2B45C83CAF}"/>
            </c:ext>
          </c:extLst>
        </c:ser>
        <c:ser>
          <c:idx val="3"/>
          <c:order val="3"/>
          <c:tx>
            <c:strRef>
              <c:f>Plots!$AC$11</c:f>
              <c:strCache>
                <c:ptCount val="1"/>
                <c:pt idx="0">
                  <c:v>2560x1440 Reference</c:v>
                </c:pt>
              </c:strCache>
            </c:strRef>
          </c:tx>
          <c:xVal>
            <c:numRef>
              <c:f>Plots!$AE$11:$AE$16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Plots!$AM$11:$AM$16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7E9-1641-AD5A-4C2B45C83CAF}"/>
            </c:ext>
          </c:extLst>
        </c:ser>
        <c:ser>
          <c:idx val="4"/>
          <c:order val="4"/>
          <c:tx>
            <c:strRef>
              <c:f>Plots!$AC$17</c:f>
              <c:strCache>
                <c:ptCount val="1"/>
                <c:pt idx="0">
                  <c:v>1920x1080 Reference</c:v>
                </c:pt>
              </c:strCache>
            </c:strRef>
          </c:tx>
          <c:xVal>
            <c:numRef>
              <c:f>Plots!$AE$17:$AE$22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Plots!$AM$17:$AM$22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7E9-1641-AD5A-4C2B45C83CAF}"/>
            </c:ext>
          </c:extLst>
        </c:ser>
        <c:ser>
          <c:idx val="5"/>
          <c:order val="5"/>
          <c:tx>
            <c:strRef>
              <c:f>Plots!$AC$23</c:f>
              <c:strCache>
                <c:ptCount val="1"/>
                <c:pt idx="0">
                  <c:v>1280x720 Reference</c:v>
                </c:pt>
              </c:strCache>
            </c:strRef>
          </c:tx>
          <c:xVal>
            <c:numRef>
              <c:f>Plots!$AE$23:$AE$28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Plots!$AM$23:$AM$28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7E9-1641-AD5A-4C2B45C83CAF}"/>
            </c:ext>
          </c:extLst>
        </c:ser>
        <c:ser>
          <c:idx val="6"/>
          <c:order val="6"/>
          <c:tx>
            <c:strRef>
              <c:f>Plots!$AC$29</c:f>
              <c:strCache>
                <c:ptCount val="1"/>
                <c:pt idx="0">
                  <c:v>960x540 Reference</c:v>
                </c:pt>
              </c:strCache>
            </c:strRef>
          </c:tx>
          <c:xVal>
            <c:numRef>
              <c:f>Plots!$AE$29:$AE$34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Plots!$AM$29:$AM$34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7E9-1641-AD5A-4C2B45C83CAF}"/>
            </c:ext>
          </c:extLst>
        </c:ser>
        <c:ser>
          <c:idx val="7"/>
          <c:order val="7"/>
          <c:tx>
            <c:strRef>
              <c:f>Plots!$AC$35</c:f>
              <c:strCache>
                <c:ptCount val="1"/>
                <c:pt idx="0">
                  <c:v>640x360 Reference</c:v>
                </c:pt>
              </c:strCache>
            </c:strRef>
          </c:tx>
          <c:xVal>
            <c:numRef>
              <c:f>Plots!$AE$35:$AE$40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Plots!$AM$35:$AM$40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7E9-1641-AD5A-4C2B45C83CAF}"/>
            </c:ext>
          </c:extLst>
        </c:ser>
        <c:ser>
          <c:idx val="8"/>
          <c:order val="8"/>
          <c:tx>
            <c:strRef>
              <c:f>Plots!$AU$5</c:f>
              <c:strCache>
                <c:ptCount val="1"/>
                <c:pt idx="0">
                  <c:v>3840x2160 Test</c:v>
                </c:pt>
              </c:strCache>
            </c:strRef>
          </c:tx>
          <c:marker>
            <c:symbol val="square"/>
            <c:size val="5"/>
          </c:marker>
          <c:xVal>
            <c:numRef>
              <c:f>Plots!$AV$5:$AV$10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Plots!$BD$5:$BD$10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7E9-1641-AD5A-4C2B45C83CAF}"/>
            </c:ext>
          </c:extLst>
        </c:ser>
        <c:ser>
          <c:idx val="9"/>
          <c:order val="9"/>
          <c:tx>
            <c:strRef>
              <c:f>Plots!$AU$11</c:f>
              <c:strCache>
                <c:ptCount val="1"/>
                <c:pt idx="0">
                  <c:v>2560x1440 Test</c:v>
                </c:pt>
              </c:strCache>
            </c:strRef>
          </c:tx>
          <c:xVal>
            <c:numRef>
              <c:f>Plots!$AV$11:$AV$16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Plots!$BD$11:$BD$16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7E9-1641-AD5A-4C2B45C83CAF}"/>
            </c:ext>
          </c:extLst>
        </c:ser>
        <c:ser>
          <c:idx val="10"/>
          <c:order val="10"/>
          <c:tx>
            <c:strRef>
              <c:f>Plots!$AU$17</c:f>
              <c:strCache>
                <c:ptCount val="1"/>
                <c:pt idx="0">
                  <c:v>1920x1080 Test</c:v>
                </c:pt>
              </c:strCache>
            </c:strRef>
          </c:tx>
          <c:xVal>
            <c:numRef>
              <c:f>Plots!$AV$17:$AV$22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Plots!$BD$17:$BD$22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7E9-1641-AD5A-4C2B45C83CAF}"/>
            </c:ext>
          </c:extLst>
        </c:ser>
        <c:ser>
          <c:idx val="11"/>
          <c:order val="11"/>
          <c:tx>
            <c:strRef>
              <c:f>Plots!$AU$23</c:f>
              <c:strCache>
                <c:ptCount val="1"/>
                <c:pt idx="0">
                  <c:v>1280x720 Test</c:v>
                </c:pt>
              </c:strCache>
            </c:strRef>
          </c:tx>
          <c:xVal>
            <c:numRef>
              <c:f>Plots!$AV$23:$AV$28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Plots!$BD$23:$BD$28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7E9-1641-AD5A-4C2B45C83CAF}"/>
            </c:ext>
          </c:extLst>
        </c:ser>
        <c:ser>
          <c:idx val="12"/>
          <c:order val="12"/>
          <c:tx>
            <c:strRef>
              <c:f>Plots!$AU$29</c:f>
              <c:strCache>
                <c:ptCount val="1"/>
                <c:pt idx="0">
                  <c:v>960x540 Test</c:v>
                </c:pt>
              </c:strCache>
            </c:strRef>
          </c:tx>
          <c:xVal>
            <c:numRef>
              <c:f>Plots!$AV$29:$AV$34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Plots!$BD$29:$BD$34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17E9-1641-AD5A-4C2B45C83CAF}"/>
            </c:ext>
          </c:extLst>
        </c:ser>
        <c:ser>
          <c:idx val="13"/>
          <c:order val="13"/>
          <c:tx>
            <c:strRef>
              <c:f>Plots!$AU$35</c:f>
              <c:strCache>
                <c:ptCount val="1"/>
                <c:pt idx="0">
                  <c:v>640x360 Test</c:v>
                </c:pt>
              </c:strCache>
            </c:strRef>
          </c:tx>
          <c:xVal>
            <c:numRef>
              <c:f>Plots!$AV$35:$AV$40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Plots!$BD$35:$BD$40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7E9-1641-AD5A-4C2B45C83C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048576"/>
        <c:axId val="241120384"/>
      </c:scatterChart>
      <c:valAx>
        <c:axId val="241048576"/>
        <c:scaling>
          <c:orientation val="minMax"/>
          <c:max val="5490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120384"/>
        <c:crosses val="autoZero"/>
        <c:crossBetween val="midCat"/>
      </c:valAx>
      <c:valAx>
        <c:axId val="241120384"/>
        <c:scaling>
          <c:orientation val="minMax"/>
          <c:max val="100.5"/>
          <c:min val="3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VMAF neg</a:t>
                </a:r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048576"/>
        <c:crosses val="autoZero"/>
        <c:crossBetween val="midCat"/>
        <c:majorUnit val="10"/>
        <c:minorUnit val="5"/>
      </c:valAx>
    </c:plotArea>
    <c:legend>
      <c:legendPos val="r"/>
      <c:layout>
        <c:manualLayout>
          <c:xMode val="edge"/>
          <c:yMode val="edge"/>
          <c:x val="0.62908960760070276"/>
          <c:y val="0.37690180665667222"/>
          <c:w val="0.29320661157024785"/>
          <c:h val="0.456274046361700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PSNR</a:t>
            </a:r>
            <a:r>
              <a:rPr lang="en-US" baseline="0"/>
              <a:t> HVS vs Bitrate</a:t>
            </a:r>
            <a:endParaRPr lang="en-US"/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Plots!$AE$2</c:f>
              <c:strCache>
                <c:ptCount val="1"/>
                <c:pt idx="0">
                  <c:v>Convex Hull -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Plots!$BM$5:$BM$70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xVal>
          <c:yVal>
            <c:numRef>
              <c:f>Plots!$BV$5:$BV$70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40-0F40-9296-E43FC9BD077A}"/>
            </c:ext>
          </c:extLst>
        </c:ser>
        <c:ser>
          <c:idx val="1"/>
          <c:order val="1"/>
          <c:tx>
            <c:strRef>
              <c:f>Plots!$AV$2</c:f>
              <c:strCache>
                <c:ptCount val="1"/>
                <c:pt idx="0">
                  <c:v>Convex Hull - Test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Plots!$CD$5:$CD$70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xVal>
          <c:yVal>
            <c:numRef>
              <c:f>Plots!$CM$5:$CM$70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40-0F40-9296-E43FC9BD077A}"/>
            </c:ext>
          </c:extLst>
        </c:ser>
        <c:ser>
          <c:idx val="2"/>
          <c:order val="2"/>
          <c:tx>
            <c:strRef>
              <c:f>Plots!$AC$5</c:f>
              <c:strCache>
                <c:ptCount val="1"/>
                <c:pt idx="0">
                  <c:v>3840x2160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Plots!$AE$5:$AE$10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Plots!$AN$5:$AN$10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40-0F40-9296-E43FC9BD077A}"/>
            </c:ext>
          </c:extLst>
        </c:ser>
        <c:ser>
          <c:idx val="3"/>
          <c:order val="3"/>
          <c:tx>
            <c:strRef>
              <c:f>Plots!$AC$11</c:f>
              <c:strCache>
                <c:ptCount val="1"/>
                <c:pt idx="0">
                  <c:v>2560x1440 Reference</c:v>
                </c:pt>
              </c:strCache>
            </c:strRef>
          </c:tx>
          <c:xVal>
            <c:numRef>
              <c:f>Plots!$AE$11:$AE$16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Plots!$AN$11:$AN$16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A40-0F40-9296-E43FC9BD077A}"/>
            </c:ext>
          </c:extLst>
        </c:ser>
        <c:ser>
          <c:idx val="4"/>
          <c:order val="4"/>
          <c:tx>
            <c:strRef>
              <c:f>Plots!$AC$17</c:f>
              <c:strCache>
                <c:ptCount val="1"/>
                <c:pt idx="0">
                  <c:v>1920x1080 Reference</c:v>
                </c:pt>
              </c:strCache>
            </c:strRef>
          </c:tx>
          <c:xVal>
            <c:numRef>
              <c:f>Plots!$AE$17:$AE$22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Plots!$AN$17:$AN$22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A40-0F40-9296-E43FC9BD077A}"/>
            </c:ext>
          </c:extLst>
        </c:ser>
        <c:ser>
          <c:idx val="5"/>
          <c:order val="5"/>
          <c:tx>
            <c:strRef>
              <c:f>Plots!$AC$23</c:f>
              <c:strCache>
                <c:ptCount val="1"/>
                <c:pt idx="0">
                  <c:v>1280x720 Reference</c:v>
                </c:pt>
              </c:strCache>
            </c:strRef>
          </c:tx>
          <c:xVal>
            <c:numRef>
              <c:f>Plots!$AE$23:$AE$28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Plots!$AN$23:$AN$28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9A40-0F40-9296-E43FC9BD077A}"/>
            </c:ext>
          </c:extLst>
        </c:ser>
        <c:ser>
          <c:idx val="6"/>
          <c:order val="6"/>
          <c:tx>
            <c:strRef>
              <c:f>Plots!$AC$29</c:f>
              <c:strCache>
                <c:ptCount val="1"/>
                <c:pt idx="0">
                  <c:v>960x540 Reference</c:v>
                </c:pt>
              </c:strCache>
            </c:strRef>
          </c:tx>
          <c:xVal>
            <c:numRef>
              <c:f>Plots!$AE$29:$AE$34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Plots!$AN$29:$AN$34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9A40-0F40-9296-E43FC9BD077A}"/>
            </c:ext>
          </c:extLst>
        </c:ser>
        <c:ser>
          <c:idx val="7"/>
          <c:order val="7"/>
          <c:tx>
            <c:strRef>
              <c:f>Plots!$AC$35</c:f>
              <c:strCache>
                <c:ptCount val="1"/>
                <c:pt idx="0">
                  <c:v>640x360 Reference</c:v>
                </c:pt>
              </c:strCache>
            </c:strRef>
          </c:tx>
          <c:xVal>
            <c:numRef>
              <c:f>Plots!$AE$35:$AE$40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Plots!$AN$35:$AN$40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9A40-0F40-9296-E43FC9BD077A}"/>
            </c:ext>
          </c:extLst>
        </c:ser>
        <c:ser>
          <c:idx val="8"/>
          <c:order val="8"/>
          <c:tx>
            <c:strRef>
              <c:f>Plots!$AU$5</c:f>
              <c:strCache>
                <c:ptCount val="1"/>
                <c:pt idx="0">
                  <c:v>3840x2160 Test</c:v>
                </c:pt>
              </c:strCache>
            </c:strRef>
          </c:tx>
          <c:marker>
            <c:symbol val="square"/>
            <c:size val="5"/>
          </c:marker>
          <c:xVal>
            <c:numRef>
              <c:f>Plots!$AV$5:$AV$10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Plots!$BE$5:$BE$10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9A40-0F40-9296-E43FC9BD077A}"/>
            </c:ext>
          </c:extLst>
        </c:ser>
        <c:ser>
          <c:idx val="9"/>
          <c:order val="9"/>
          <c:tx>
            <c:strRef>
              <c:f>Plots!$AU$11</c:f>
              <c:strCache>
                <c:ptCount val="1"/>
                <c:pt idx="0">
                  <c:v>2560x1440 Test</c:v>
                </c:pt>
              </c:strCache>
            </c:strRef>
          </c:tx>
          <c:xVal>
            <c:numRef>
              <c:f>Plots!$AV$11:$AV$16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Plots!$BE$11:$BE$16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9A40-0F40-9296-E43FC9BD077A}"/>
            </c:ext>
          </c:extLst>
        </c:ser>
        <c:ser>
          <c:idx val="10"/>
          <c:order val="10"/>
          <c:tx>
            <c:strRef>
              <c:f>Plots!$AU$17</c:f>
              <c:strCache>
                <c:ptCount val="1"/>
                <c:pt idx="0">
                  <c:v>1920x1080 Test</c:v>
                </c:pt>
              </c:strCache>
            </c:strRef>
          </c:tx>
          <c:xVal>
            <c:numRef>
              <c:f>Plots!$AV$17:$AV$22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Plots!$BE$17:$BE$22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9A40-0F40-9296-E43FC9BD077A}"/>
            </c:ext>
          </c:extLst>
        </c:ser>
        <c:ser>
          <c:idx val="11"/>
          <c:order val="11"/>
          <c:tx>
            <c:strRef>
              <c:f>Plots!$AU$23</c:f>
              <c:strCache>
                <c:ptCount val="1"/>
                <c:pt idx="0">
                  <c:v>1280x720 Test</c:v>
                </c:pt>
              </c:strCache>
            </c:strRef>
          </c:tx>
          <c:xVal>
            <c:numRef>
              <c:f>Plots!$AV$23:$AV$28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Plots!$BE$23:$BE$28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9A40-0F40-9296-E43FC9BD077A}"/>
            </c:ext>
          </c:extLst>
        </c:ser>
        <c:ser>
          <c:idx val="12"/>
          <c:order val="12"/>
          <c:tx>
            <c:strRef>
              <c:f>Plots!$AU$29</c:f>
              <c:strCache>
                <c:ptCount val="1"/>
                <c:pt idx="0">
                  <c:v>960x540 Test</c:v>
                </c:pt>
              </c:strCache>
            </c:strRef>
          </c:tx>
          <c:xVal>
            <c:numRef>
              <c:f>Plots!$AV$29:$AV$34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Plots!$BE$29:$BE$34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9A40-0F40-9296-E43FC9BD077A}"/>
            </c:ext>
          </c:extLst>
        </c:ser>
        <c:ser>
          <c:idx val="13"/>
          <c:order val="13"/>
          <c:tx>
            <c:strRef>
              <c:f>Plots!$AU$35</c:f>
              <c:strCache>
                <c:ptCount val="1"/>
                <c:pt idx="0">
                  <c:v>640x360 Test</c:v>
                </c:pt>
              </c:strCache>
            </c:strRef>
          </c:tx>
          <c:xVal>
            <c:numRef>
              <c:f>Plots!$AV$35:$AV$40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Plots!$BE$35:$BE$40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9A40-0F40-9296-E43FC9BD07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048576"/>
        <c:axId val="241120384"/>
      </c:scatterChart>
      <c:valAx>
        <c:axId val="241048576"/>
        <c:scaling>
          <c:orientation val="minMax"/>
          <c:max val="5490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120384"/>
        <c:crosses val="autoZero"/>
        <c:crossBetween val="midCat"/>
      </c:valAx>
      <c:valAx>
        <c:axId val="241120384"/>
        <c:scaling>
          <c:orientation val="minMax"/>
          <c:max val="45"/>
          <c:min val="2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PSNR</a:t>
                </a:r>
                <a:r>
                  <a:rPr lang="en-US" baseline="0"/>
                  <a:t> HVS (dB)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048576"/>
        <c:crosses val="autoZero"/>
        <c:crossBetween val="midCat"/>
        <c:majorUnit val="1"/>
        <c:minorUnit val="0.5"/>
      </c:valAx>
    </c:plotArea>
    <c:legend>
      <c:legendPos val="r"/>
      <c:layout>
        <c:manualLayout>
          <c:xMode val="edge"/>
          <c:yMode val="edge"/>
          <c:x val="0.62908960760070276"/>
          <c:y val="0.37690180665667222"/>
          <c:w val="0.29320661157024785"/>
          <c:h val="0.456274046361700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baseline="0"/>
              <a:t>DE2K vs Bitrate</a:t>
            </a:r>
            <a:endParaRPr lang="en-US"/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Plots!$AE$2</c:f>
              <c:strCache>
                <c:ptCount val="1"/>
                <c:pt idx="0">
                  <c:v>Convex Hull -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Plots!$BM$5:$BM$70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xVal>
          <c:yVal>
            <c:numRef>
              <c:f>Plots!$BW$5:$BW$70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5D9-DA44-9F08-F9486E232962}"/>
            </c:ext>
          </c:extLst>
        </c:ser>
        <c:ser>
          <c:idx val="1"/>
          <c:order val="1"/>
          <c:tx>
            <c:strRef>
              <c:f>Plots!$AV$2</c:f>
              <c:strCache>
                <c:ptCount val="1"/>
                <c:pt idx="0">
                  <c:v>Convex Hull - Test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Plots!$CD$5:$CD$70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xVal>
          <c:yVal>
            <c:numRef>
              <c:f>Plots!$CN$5:$CN$70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5D9-DA44-9F08-F9486E232962}"/>
            </c:ext>
          </c:extLst>
        </c:ser>
        <c:ser>
          <c:idx val="2"/>
          <c:order val="2"/>
          <c:tx>
            <c:strRef>
              <c:f>Plots!$AC$5</c:f>
              <c:strCache>
                <c:ptCount val="1"/>
                <c:pt idx="0">
                  <c:v>3840x2160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Plots!$AE$5:$AE$10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Plots!$AO$5:$AO$10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5D9-DA44-9F08-F9486E232962}"/>
            </c:ext>
          </c:extLst>
        </c:ser>
        <c:ser>
          <c:idx val="3"/>
          <c:order val="3"/>
          <c:tx>
            <c:strRef>
              <c:f>Plots!$AC$11</c:f>
              <c:strCache>
                <c:ptCount val="1"/>
                <c:pt idx="0">
                  <c:v>2560x1440 Reference</c:v>
                </c:pt>
              </c:strCache>
            </c:strRef>
          </c:tx>
          <c:xVal>
            <c:numRef>
              <c:f>Plots!$AE$11:$AE$16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Plots!$AO$11:$AO$16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5D9-DA44-9F08-F9486E232962}"/>
            </c:ext>
          </c:extLst>
        </c:ser>
        <c:ser>
          <c:idx val="4"/>
          <c:order val="4"/>
          <c:tx>
            <c:strRef>
              <c:f>Plots!$AC$17</c:f>
              <c:strCache>
                <c:ptCount val="1"/>
                <c:pt idx="0">
                  <c:v>1920x1080 Reference</c:v>
                </c:pt>
              </c:strCache>
            </c:strRef>
          </c:tx>
          <c:xVal>
            <c:numRef>
              <c:f>Plots!$AE$17:$AE$22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Plots!$AO$17:$AO$22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5D9-DA44-9F08-F9486E232962}"/>
            </c:ext>
          </c:extLst>
        </c:ser>
        <c:ser>
          <c:idx val="5"/>
          <c:order val="5"/>
          <c:tx>
            <c:strRef>
              <c:f>Plots!$AC$23</c:f>
              <c:strCache>
                <c:ptCount val="1"/>
                <c:pt idx="0">
                  <c:v>1280x720 Reference</c:v>
                </c:pt>
              </c:strCache>
            </c:strRef>
          </c:tx>
          <c:xVal>
            <c:numRef>
              <c:f>Plots!$AE$23:$AE$28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Plots!$AO$23:$AO$28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E5D9-DA44-9F08-F9486E232962}"/>
            </c:ext>
          </c:extLst>
        </c:ser>
        <c:ser>
          <c:idx val="6"/>
          <c:order val="6"/>
          <c:tx>
            <c:strRef>
              <c:f>Plots!$AC$29</c:f>
              <c:strCache>
                <c:ptCount val="1"/>
                <c:pt idx="0">
                  <c:v>960x540 Reference</c:v>
                </c:pt>
              </c:strCache>
            </c:strRef>
          </c:tx>
          <c:xVal>
            <c:numRef>
              <c:f>Plots!$AE$29:$AE$34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Plots!$AO$29:$AO$34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5D9-DA44-9F08-F9486E232962}"/>
            </c:ext>
          </c:extLst>
        </c:ser>
        <c:ser>
          <c:idx val="7"/>
          <c:order val="7"/>
          <c:tx>
            <c:strRef>
              <c:f>Plots!$AC$35</c:f>
              <c:strCache>
                <c:ptCount val="1"/>
                <c:pt idx="0">
                  <c:v>640x360 Reference</c:v>
                </c:pt>
              </c:strCache>
            </c:strRef>
          </c:tx>
          <c:xVal>
            <c:numRef>
              <c:f>Plots!$AE$35:$AE$40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Plots!$AO$35:$AO$40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E5D9-DA44-9F08-F9486E232962}"/>
            </c:ext>
          </c:extLst>
        </c:ser>
        <c:ser>
          <c:idx val="8"/>
          <c:order val="8"/>
          <c:tx>
            <c:strRef>
              <c:f>Plots!$AU$5</c:f>
              <c:strCache>
                <c:ptCount val="1"/>
                <c:pt idx="0">
                  <c:v>3840x2160 Test</c:v>
                </c:pt>
              </c:strCache>
            </c:strRef>
          </c:tx>
          <c:marker>
            <c:symbol val="square"/>
            <c:size val="5"/>
          </c:marker>
          <c:xVal>
            <c:numRef>
              <c:f>Plots!$AV$5:$AV$10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Plots!$BF$5:$BF$10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E5D9-DA44-9F08-F9486E232962}"/>
            </c:ext>
          </c:extLst>
        </c:ser>
        <c:ser>
          <c:idx val="9"/>
          <c:order val="9"/>
          <c:tx>
            <c:strRef>
              <c:f>Plots!$AU$11</c:f>
              <c:strCache>
                <c:ptCount val="1"/>
                <c:pt idx="0">
                  <c:v>2560x1440 Test</c:v>
                </c:pt>
              </c:strCache>
            </c:strRef>
          </c:tx>
          <c:xVal>
            <c:numRef>
              <c:f>Plots!$AV$11:$AV$16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Plots!$BF$11:$BF$16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E5D9-DA44-9F08-F9486E232962}"/>
            </c:ext>
          </c:extLst>
        </c:ser>
        <c:ser>
          <c:idx val="10"/>
          <c:order val="10"/>
          <c:tx>
            <c:strRef>
              <c:f>Plots!$AU$17</c:f>
              <c:strCache>
                <c:ptCount val="1"/>
                <c:pt idx="0">
                  <c:v>1920x1080 Test</c:v>
                </c:pt>
              </c:strCache>
            </c:strRef>
          </c:tx>
          <c:xVal>
            <c:numRef>
              <c:f>Plots!$AV$17:$AV$22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Plots!$BF$17:$BF$22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E5D9-DA44-9F08-F9486E232962}"/>
            </c:ext>
          </c:extLst>
        </c:ser>
        <c:ser>
          <c:idx val="11"/>
          <c:order val="11"/>
          <c:tx>
            <c:strRef>
              <c:f>Plots!$AU$23</c:f>
              <c:strCache>
                <c:ptCount val="1"/>
                <c:pt idx="0">
                  <c:v>1280x720 Test</c:v>
                </c:pt>
              </c:strCache>
            </c:strRef>
          </c:tx>
          <c:xVal>
            <c:numRef>
              <c:f>Plots!$AV$23:$AV$28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Plots!$BF$23:$BF$28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E5D9-DA44-9F08-F9486E232962}"/>
            </c:ext>
          </c:extLst>
        </c:ser>
        <c:ser>
          <c:idx val="12"/>
          <c:order val="12"/>
          <c:tx>
            <c:strRef>
              <c:f>Plots!$AU$29</c:f>
              <c:strCache>
                <c:ptCount val="1"/>
                <c:pt idx="0">
                  <c:v>960x540 Test</c:v>
                </c:pt>
              </c:strCache>
            </c:strRef>
          </c:tx>
          <c:xVal>
            <c:numRef>
              <c:f>Plots!$AV$29:$AV$34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Plots!$BF$29:$BF$34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E5D9-DA44-9F08-F9486E232962}"/>
            </c:ext>
          </c:extLst>
        </c:ser>
        <c:ser>
          <c:idx val="13"/>
          <c:order val="13"/>
          <c:tx>
            <c:strRef>
              <c:f>Plots!$AU$35</c:f>
              <c:strCache>
                <c:ptCount val="1"/>
                <c:pt idx="0">
                  <c:v>640x360 Test</c:v>
                </c:pt>
              </c:strCache>
            </c:strRef>
          </c:tx>
          <c:xVal>
            <c:numRef>
              <c:f>Plots!$AV$35:$AV$40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Plots!$BF$35:$BF$40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E5D9-DA44-9F08-F9486E2329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048576"/>
        <c:axId val="241120384"/>
      </c:scatterChart>
      <c:valAx>
        <c:axId val="241048576"/>
        <c:scaling>
          <c:orientation val="minMax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120384"/>
        <c:crosses val="autoZero"/>
        <c:crossBetween val="midCat"/>
      </c:valAx>
      <c:valAx>
        <c:axId val="241120384"/>
        <c:scaling>
          <c:orientation val="minMax"/>
          <c:max val="48"/>
          <c:min val="29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baseline="0"/>
                  <a:t>DE2K  (dB)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048576"/>
        <c:crosses val="autoZero"/>
        <c:crossBetween val="midCat"/>
        <c:majorUnit val="1"/>
        <c:minorUnit val="0.5"/>
      </c:valAx>
    </c:plotArea>
    <c:legend>
      <c:legendPos val="r"/>
      <c:layout>
        <c:manualLayout>
          <c:xMode val="edge"/>
          <c:yMode val="edge"/>
          <c:x val="0.62908960760070276"/>
          <c:y val="0.37690180665667222"/>
          <c:w val="0.29320661157024785"/>
          <c:h val="0.456274046361700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baseline="0"/>
              <a:t>APSNR Y vs Bitrate</a:t>
            </a:r>
            <a:endParaRPr lang="en-US"/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Plots!$AE$2</c:f>
              <c:strCache>
                <c:ptCount val="1"/>
                <c:pt idx="0">
                  <c:v>Convex Hull -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Plots!$BM$5:$BM$70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xVal>
          <c:yVal>
            <c:numRef>
              <c:f>Plots!$BY$5:$BY$70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5F8-C349-8277-D5B1C1A5CFC0}"/>
            </c:ext>
          </c:extLst>
        </c:ser>
        <c:ser>
          <c:idx val="1"/>
          <c:order val="1"/>
          <c:tx>
            <c:strRef>
              <c:f>Plots!$AV$2</c:f>
              <c:strCache>
                <c:ptCount val="1"/>
                <c:pt idx="0">
                  <c:v>Convex Hull - Test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Plots!$CD$5:$CD$70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xVal>
          <c:yVal>
            <c:numRef>
              <c:f>Plots!$CO$5:$CO$70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5F8-C349-8277-D5B1C1A5CFC0}"/>
            </c:ext>
          </c:extLst>
        </c:ser>
        <c:ser>
          <c:idx val="2"/>
          <c:order val="2"/>
          <c:tx>
            <c:strRef>
              <c:f>Plots!$AC$5</c:f>
              <c:strCache>
                <c:ptCount val="1"/>
                <c:pt idx="0">
                  <c:v>3840x2160 Reference</c:v>
                </c:pt>
              </c:strCache>
            </c:strRef>
          </c:tx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Plots!$AE$5:$AE$10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Plots!$AP$5:$AP$10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5F8-C349-8277-D5B1C1A5CFC0}"/>
            </c:ext>
          </c:extLst>
        </c:ser>
        <c:ser>
          <c:idx val="3"/>
          <c:order val="3"/>
          <c:tx>
            <c:strRef>
              <c:f>Plots!$AC$11</c:f>
              <c:strCache>
                <c:ptCount val="1"/>
                <c:pt idx="0">
                  <c:v>2560x1440 Reference</c:v>
                </c:pt>
              </c:strCache>
            </c:strRef>
          </c:tx>
          <c:xVal>
            <c:numRef>
              <c:f>Plots!$AE$11:$AE$16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Plots!$AP$11:$AP$16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5F8-C349-8277-D5B1C1A5CFC0}"/>
            </c:ext>
          </c:extLst>
        </c:ser>
        <c:ser>
          <c:idx val="4"/>
          <c:order val="4"/>
          <c:tx>
            <c:strRef>
              <c:f>Plots!$AC$17</c:f>
              <c:strCache>
                <c:ptCount val="1"/>
                <c:pt idx="0">
                  <c:v>1920x1080 Reference</c:v>
                </c:pt>
              </c:strCache>
            </c:strRef>
          </c:tx>
          <c:xVal>
            <c:numRef>
              <c:f>Plots!$AE$17:$AE$22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Plots!$AP$17:$AP$22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5F8-C349-8277-D5B1C1A5CFC0}"/>
            </c:ext>
          </c:extLst>
        </c:ser>
        <c:ser>
          <c:idx val="5"/>
          <c:order val="5"/>
          <c:tx>
            <c:strRef>
              <c:f>Plots!$AC$23</c:f>
              <c:strCache>
                <c:ptCount val="1"/>
                <c:pt idx="0">
                  <c:v>1280x720 Reference</c:v>
                </c:pt>
              </c:strCache>
            </c:strRef>
          </c:tx>
          <c:xVal>
            <c:numRef>
              <c:f>Plots!$AE$23:$AE$28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Plots!$AP$23:$AP$28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5F8-C349-8277-D5B1C1A5CFC0}"/>
            </c:ext>
          </c:extLst>
        </c:ser>
        <c:ser>
          <c:idx val="6"/>
          <c:order val="6"/>
          <c:tx>
            <c:strRef>
              <c:f>Plots!$AC$29</c:f>
              <c:strCache>
                <c:ptCount val="1"/>
                <c:pt idx="0">
                  <c:v>960x540 Reference</c:v>
                </c:pt>
              </c:strCache>
            </c:strRef>
          </c:tx>
          <c:xVal>
            <c:numRef>
              <c:f>Plots!$AE$29:$AE$34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Plots!$AP$29:$AP$34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5F8-C349-8277-D5B1C1A5CFC0}"/>
            </c:ext>
          </c:extLst>
        </c:ser>
        <c:ser>
          <c:idx val="7"/>
          <c:order val="7"/>
          <c:tx>
            <c:strRef>
              <c:f>Plots!$AC$35</c:f>
              <c:strCache>
                <c:ptCount val="1"/>
                <c:pt idx="0">
                  <c:v>640x360 Reference</c:v>
                </c:pt>
              </c:strCache>
            </c:strRef>
          </c:tx>
          <c:xVal>
            <c:numRef>
              <c:f>Plots!$AE$35:$AE$40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Plots!$AP$35:$AP$40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5F8-C349-8277-D5B1C1A5CFC0}"/>
            </c:ext>
          </c:extLst>
        </c:ser>
        <c:ser>
          <c:idx val="8"/>
          <c:order val="8"/>
          <c:tx>
            <c:strRef>
              <c:f>Plots!$AU$5</c:f>
              <c:strCache>
                <c:ptCount val="1"/>
                <c:pt idx="0">
                  <c:v>3840x2160 Test</c:v>
                </c:pt>
              </c:strCache>
            </c:strRef>
          </c:tx>
          <c:marker>
            <c:symbol val="square"/>
            <c:size val="5"/>
          </c:marker>
          <c:xVal>
            <c:numRef>
              <c:f>Plots!$AV$5:$AV$10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Plots!$BG$5:$BG$10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5F8-C349-8277-D5B1C1A5CFC0}"/>
            </c:ext>
          </c:extLst>
        </c:ser>
        <c:ser>
          <c:idx val="9"/>
          <c:order val="9"/>
          <c:tx>
            <c:strRef>
              <c:f>Plots!$AU$11</c:f>
              <c:strCache>
                <c:ptCount val="1"/>
                <c:pt idx="0">
                  <c:v>2560x1440 Test</c:v>
                </c:pt>
              </c:strCache>
            </c:strRef>
          </c:tx>
          <c:xVal>
            <c:numRef>
              <c:f>Plots!$AV$11:$AV$16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Plots!$BG$11:$BG$16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5F8-C349-8277-D5B1C1A5CFC0}"/>
            </c:ext>
          </c:extLst>
        </c:ser>
        <c:ser>
          <c:idx val="10"/>
          <c:order val="10"/>
          <c:tx>
            <c:strRef>
              <c:f>Plots!$AU$17</c:f>
              <c:strCache>
                <c:ptCount val="1"/>
                <c:pt idx="0">
                  <c:v>1920x1080 Test</c:v>
                </c:pt>
              </c:strCache>
            </c:strRef>
          </c:tx>
          <c:xVal>
            <c:numRef>
              <c:f>Plots!$AV$17:$AV$22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Plots!$BG$17:$BG$22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5F8-C349-8277-D5B1C1A5CFC0}"/>
            </c:ext>
          </c:extLst>
        </c:ser>
        <c:ser>
          <c:idx val="11"/>
          <c:order val="11"/>
          <c:tx>
            <c:strRef>
              <c:f>Plots!$AU$23</c:f>
              <c:strCache>
                <c:ptCount val="1"/>
                <c:pt idx="0">
                  <c:v>1280x720 Test</c:v>
                </c:pt>
              </c:strCache>
            </c:strRef>
          </c:tx>
          <c:xVal>
            <c:numRef>
              <c:f>Plots!$AV$23:$AV$28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Plots!$BG$23:$BG$28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A5F8-C349-8277-D5B1C1A5CFC0}"/>
            </c:ext>
          </c:extLst>
        </c:ser>
        <c:ser>
          <c:idx val="12"/>
          <c:order val="12"/>
          <c:tx>
            <c:strRef>
              <c:f>Plots!$AU$29</c:f>
              <c:strCache>
                <c:ptCount val="1"/>
                <c:pt idx="0">
                  <c:v>960x540 Test</c:v>
                </c:pt>
              </c:strCache>
            </c:strRef>
          </c:tx>
          <c:xVal>
            <c:numRef>
              <c:f>Plots!$AV$29:$AV$34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Plots!$BG$29:$BG$34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A5F8-C349-8277-D5B1C1A5CFC0}"/>
            </c:ext>
          </c:extLst>
        </c:ser>
        <c:ser>
          <c:idx val="13"/>
          <c:order val="13"/>
          <c:tx>
            <c:strRef>
              <c:f>Plots!$AU$35</c:f>
              <c:strCache>
                <c:ptCount val="1"/>
                <c:pt idx="0">
                  <c:v>640x360 Test</c:v>
                </c:pt>
              </c:strCache>
            </c:strRef>
          </c:tx>
          <c:xVal>
            <c:numRef>
              <c:f>Plots!$AV$35:$AV$40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Plots!$BG$35:$BG$40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5F8-C349-8277-D5B1C1A5C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048576"/>
        <c:axId val="241120384"/>
      </c:scatterChart>
      <c:valAx>
        <c:axId val="241048576"/>
        <c:scaling>
          <c:orientation val="minMax"/>
          <c:max val="5490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120384"/>
        <c:crosses val="autoZero"/>
        <c:crossBetween val="midCat"/>
      </c:valAx>
      <c:valAx>
        <c:axId val="241120384"/>
        <c:scaling>
          <c:orientation val="minMax"/>
          <c:max val="49.5"/>
          <c:min val="3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baseline="0"/>
                  <a:t>APSNR Y (dB)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  <a:prstDash val="solid"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048576"/>
        <c:crosses val="autoZero"/>
        <c:crossBetween val="midCat"/>
        <c:majorUnit val="1"/>
        <c:minorUnit val="0.5"/>
      </c:valAx>
    </c:plotArea>
    <c:legend>
      <c:legendPos val="r"/>
      <c:layout>
        <c:manualLayout>
          <c:xMode val="edge"/>
          <c:yMode val="edge"/>
          <c:x val="0.62908960760070276"/>
          <c:y val="0.37690180665667222"/>
          <c:w val="0.29320661157024785"/>
          <c:h val="0.4562740463617004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9525</xdr:rowOff>
    </xdr:from>
    <xdr:to>
      <xdr:col>10</xdr:col>
      <xdr:colOff>0</xdr:colOff>
      <xdr:row>31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361A65B-9F6C-BE4A-B5FE-C9A3840BFE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431800</xdr:colOff>
      <xdr:row>4</xdr:row>
      <xdr:rowOff>12700</xdr:rowOff>
    </xdr:from>
    <xdr:to>
      <xdr:col>22</xdr:col>
      <xdr:colOff>38100</xdr:colOff>
      <xdr:row>31</xdr:row>
      <xdr:rowOff>79375</xdr:rowOff>
    </xdr:to>
    <xdr:graphicFrame macro="">
      <xdr:nvGraphicFramePr>
        <xdr:cNvPr id="13" name="Chart 2">
          <a:extLst>
            <a:ext uri="{FF2B5EF4-FFF2-40B4-BE49-F238E27FC236}">
              <a16:creationId xmlns:a16="http://schemas.microsoft.com/office/drawing/2014/main" id="{4BC060FB-ABFF-7E40-A70A-1D451C1BA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482600</xdr:colOff>
      <xdr:row>32</xdr:row>
      <xdr:rowOff>101600</xdr:rowOff>
    </xdr:from>
    <xdr:to>
      <xdr:col>22</xdr:col>
      <xdr:colOff>88900</xdr:colOff>
      <xdr:row>59</xdr:row>
      <xdr:rowOff>168275</xdr:rowOff>
    </xdr:to>
    <xdr:graphicFrame macro="">
      <xdr:nvGraphicFramePr>
        <xdr:cNvPr id="14" name="Chart 3">
          <a:extLst>
            <a:ext uri="{FF2B5EF4-FFF2-40B4-BE49-F238E27FC236}">
              <a16:creationId xmlns:a16="http://schemas.microsoft.com/office/drawing/2014/main" id="{24D118D2-B005-1E46-B84D-F41DE3E49E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38100</xdr:colOff>
      <xdr:row>32</xdr:row>
      <xdr:rowOff>50800</xdr:rowOff>
    </xdr:from>
    <xdr:to>
      <xdr:col>10</xdr:col>
      <xdr:colOff>38100</xdr:colOff>
      <xdr:row>59</xdr:row>
      <xdr:rowOff>117475</xdr:rowOff>
    </xdr:to>
    <xdr:graphicFrame macro="">
      <xdr:nvGraphicFramePr>
        <xdr:cNvPr id="15" name="Chart 4">
          <a:extLst>
            <a:ext uri="{FF2B5EF4-FFF2-40B4-BE49-F238E27FC236}">
              <a16:creationId xmlns:a16="http://schemas.microsoft.com/office/drawing/2014/main" id="{DDCE1F3C-DB7E-E34D-89BE-38EB8E2A76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38100</xdr:colOff>
      <xdr:row>60</xdr:row>
      <xdr:rowOff>114300</xdr:rowOff>
    </xdr:from>
    <xdr:to>
      <xdr:col>10</xdr:col>
      <xdr:colOff>38100</xdr:colOff>
      <xdr:row>87</xdr:row>
      <xdr:rowOff>180975</xdr:rowOff>
    </xdr:to>
    <xdr:graphicFrame macro="">
      <xdr:nvGraphicFramePr>
        <xdr:cNvPr id="16" name="Chart 5">
          <a:extLst>
            <a:ext uri="{FF2B5EF4-FFF2-40B4-BE49-F238E27FC236}">
              <a16:creationId xmlns:a16="http://schemas.microsoft.com/office/drawing/2014/main" id="{CCF3352A-830F-EB44-B6ED-22C9CC8806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635000</xdr:colOff>
      <xdr:row>60</xdr:row>
      <xdr:rowOff>165100</xdr:rowOff>
    </xdr:from>
    <xdr:to>
      <xdr:col>22</xdr:col>
      <xdr:colOff>241300</xdr:colOff>
      <xdr:row>88</xdr:row>
      <xdr:rowOff>28575</xdr:rowOff>
    </xdr:to>
    <xdr:graphicFrame macro="">
      <xdr:nvGraphicFramePr>
        <xdr:cNvPr id="17" name="Chart 6">
          <a:extLst>
            <a:ext uri="{FF2B5EF4-FFF2-40B4-BE49-F238E27FC236}">
              <a16:creationId xmlns:a16="http://schemas.microsoft.com/office/drawing/2014/main" id="{5756D50C-05AB-A04A-BAAF-BB59658B1B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25400</xdr:colOff>
      <xdr:row>88</xdr:row>
      <xdr:rowOff>63500</xdr:rowOff>
    </xdr:from>
    <xdr:to>
      <xdr:col>10</xdr:col>
      <xdr:colOff>25400</xdr:colOff>
      <xdr:row>115</xdr:row>
      <xdr:rowOff>130175</xdr:rowOff>
    </xdr:to>
    <xdr:graphicFrame macro="">
      <xdr:nvGraphicFramePr>
        <xdr:cNvPr id="18" name="Chart 7">
          <a:extLst>
            <a:ext uri="{FF2B5EF4-FFF2-40B4-BE49-F238E27FC236}">
              <a16:creationId xmlns:a16="http://schemas.microsoft.com/office/drawing/2014/main" id="{6035282F-779E-E448-8419-2E687A2D25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635000</xdr:colOff>
      <xdr:row>88</xdr:row>
      <xdr:rowOff>127000</xdr:rowOff>
    </xdr:from>
    <xdr:to>
      <xdr:col>22</xdr:col>
      <xdr:colOff>241300</xdr:colOff>
      <xdr:row>115</xdr:row>
      <xdr:rowOff>193675</xdr:rowOff>
    </xdr:to>
    <xdr:graphicFrame macro="">
      <xdr:nvGraphicFramePr>
        <xdr:cNvPr id="19" name="Chart 8">
          <a:extLst>
            <a:ext uri="{FF2B5EF4-FFF2-40B4-BE49-F238E27FC236}">
              <a16:creationId xmlns:a16="http://schemas.microsoft.com/office/drawing/2014/main" id="{68D5D467-5CAA-504A-8248-4F8481DF81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127000</xdr:colOff>
      <xdr:row>117</xdr:row>
      <xdr:rowOff>12700</xdr:rowOff>
    </xdr:from>
    <xdr:to>
      <xdr:col>10</xdr:col>
      <xdr:colOff>127000</xdr:colOff>
      <xdr:row>144</xdr:row>
      <xdr:rowOff>79375</xdr:rowOff>
    </xdr:to>
    <xdr:graphicFrame macro="">
      <xdr:nvGraphicFramePr>
        <xdr:cNvPr id="20" name="Chart 9">
          <a:extLst>
            <a:ext uri="{FF2B5EF4-FFF2-40B4-BE49-F238E27FC236}">
              <a16:creationId xmlns:a16="http://schemas.microsoft.com/office/drawing/2014/main" id="{F40A524A-7988-664D-BCBC-93FC055250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622300</xdr:colOff>
      <xdr:row>117</xdr:row>
      <xdr:rowOff>38100</xdr:rowOff>
    </xdr:from>
    <xdr:to>
      <xdr:col>22</xdr:col>
      <xdr:colOff>228600</xdr:colOff>
      <xdr:row>144</xdr:row>
      <xdr:rowOff>104775</xdr:rowOff>
    </xdr:to>
    <xdr:graphicFrame macro="">
      <xdr:nvGraphicFramePr>
        <xdr:cNvPr id="21" name="Chart 10">
          <a:extLst>
            <a:ext uri="{FF2B5EF4-FFF2-40B4-BE49-F238E27FC236}">
              <a16:creationId xmlns:a16="http://schemas.microsoft.com/office/drawing/2014/main" id="{C095E9A0-A40D-3844-97EA-C37B6BB6EE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177800</xdr:colOff>
      <xdr:row>147</xdr:row>
      <xdr:rowOff>63500</xdr:rowOff>
    </xdr:from>
    <xdr:to>
      <xdr:col>10</xdr:col>
      <xdr:colOff>177800</xdr:colOff>
      <xdr:row>174</xdr:row>
      <xdr:rowOff>130175</xdr:rowOff>
    </xdr:to>
    <xdr:graphicFrame macro="">
      <xdr:nvGraphicFramePr>
        <xdr:cNvPr id="22" name="Chart 11">
          <a:extLst>
            <a:ext uri="{FF2B5EF4-FFF2-40B4-BE49-F238E27FC236}">
              <a16:creationId xmlns:a16="http://schemas.microsoft.com/office/drawing/2014/main" id="{ED50EE23-83B9-E540-A003-4BAB099305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5A1B2F-8957-8D4D-BAB6-61E642DC6749}">
  <sheetPr codeName="Sheet2"/>
  <dimension ref="A1:AL57"/>
  <sheetViews>
    <sheetView zoomScale="110" zoomScaleNormal="110" workbookViewId="0">
      <selection activeCell="B4" sqref="B4"/>
    </sheetView>
  </sheetViews>
  <sheetFormatPr baseColWidth="10" defaultColWidth="10.83203125" defaultRowHeight="16" x14ac:dyDescent="0.2"/>
  <cols>
    <col min="1" max="1" width="10.6640625" customWidth="1"/>
    <col min="2" max="2" width="15.1640625" style="26" customWidth="1"/>
    <col min="3" max="3" width="13" style="24" bestFit="1" customWidth="1"/>
    <col min="4" max="4" width="12.83203125" style="24" bestFit="1" customWidth="1"/>
    <col min="5" max="6" width="11" style="24" bestFit="1" customWidth="1"/>
    <col min="7" max="7" width="12.83203125" style="24" bestFit="1" customWidth="1"/>
    <col min="8" max="8" width="11" style="24" bestFit="1" customWidth="1"/>
    <col min="9" max="9" width="12.83203125" style="24" bestFit="1" customWidth="1"/>
    <col min="10" max="10" width="11" style="24" bestFit="1" customWidth="1"/>
    <col min="11" max="11" width="12.83203125" style="24" bestFit="1" customWidth="1"/>
    <col min="12" max="25" width="11" style="24" bestFit="1" customWidth="1"/>
    <col min="26" max="38" width="10.83203125" style="24"/>
    <col min="39" max="16384" width="10.83203125" style="23"/>
  </cols>
  <sheetData>
    <row r="1" spans="1:38" x14ac:dyDescent="0.2">
      <c r="A1" s="72" t="s">
        <v>103</v>
      </c>
      <c r="B1" s="169" t="s">
        <v>150</v>
      </c>
    </row>
    <row r="2" spans="1:38" x14ac:dyDescent="0.2">
      <c r="A2" s="72" t="s">
        <v>148</v>
      </c>
      <c r="B2" s="169" t="s">
        <v>149</v>
      </c>
    </row>
    <row r="3" spans="1:38" x14ac:dyDescent="0.2">
      <c r="A3" s="72" t="s">
        <v>10</v>
      </c>
      <c r="B3" s="169"/>
    </row>
    <row r="4" spans="1:38" ht="17" thickBot="1" x14ac:dyDescent="0.25">
      <c r="A4" s="72" t="s">
        <v>11</v>
      </c>
      <c r="B4" s="169"/>
    </row>
    <row r="5" spans="1:38" x14ac:dyDescent="0.2">
      <c r="B5" s="182" t="s">
        <v>61</v>
      </c>
      <c r="C5" s="185" t="str">
        <f>CONCATENATE("BD-rates Over ", B3)</f>
        <v xml:space="preserve">BD-rates Over </v>
      </c>
      <c r="D5" s="186"/>
      <c r="E5" s="186"/>
      <c r="F5" s="186"/>
      <c r="G5" s="186"/>
      <c r="H5" s="186"/>
      <c r="I5" s="186"/>
      <c r="J5" s="186"/>
      <c r="K5" s="186"/>
      <c r="L5" s="186"/>
      <c r="M5" s="186"/>
      <c r="N5" s="186"/>
      <c r="O5" s="186"/>
      <c r="P5" s="186"/>
      <c r="Q5" s="186"/>
      <c r="R5" s="186"/>
      <c r="S5" s="186"/>
      <c r="T5" s="187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</row>
    <row r="6" spans="1:38" x14ac:dyDescent="0.2">
      <c r="B6" s="183"/>
      <c r="C6" s="176" t="s">
        <v>55</v>
      </c>
      <c r="D6" s="177"/>
      <c r="E6" s="177"/>
      <c r="F6" s="177"/>
      <c r="G6" s="177"/>
      <c r="H6" s="177"/>
      <c r="I6" s="177"/>
      <c r="J6" s="177"/>
      <c r="K6" s="177"/>
      <c r="L6" s="177"/>
      <c r="M6" s="177"/>
      <c r="N6" s="177"/>
      <c r="O6" s="177"/>
      <c r="P6" s="177"/>
      <c r="Q6" s="177"/>
      <c r="R6" s="177"/>
      <c r="S6" s="177"/>
      <c r="T6" s="178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</row>
    <row r="7" spans="1:38" x14ac:dyDescent="0.2">
      <c r="B7" s="183"/>
      <c r="C7" s="27"/>
      <c r="D7" s="27"/>
      <c r="E7" s="176" t="s">
        <v>13</v>
      </c>
      <c r="F7" s="177"/>
      <c r="G7" s="177"/>
      <c r="H7" s="177"/>
      <c r="I7" s="181"/>
      <c r="J7" s="27"/>
      <c r="K7" s="27"/>
      <c r="L7" s="27"/>
      <c r="M7" s="27"/>
      <c r="N7" s="27"/>
      <c r="O7" s="27"/>
      <c r="P7" s="176" t="s">
        <v>42</v>
      </c>
      <c r="Q7" s="177"/>
      <c r="R7" s="177"/>
      <c r="S7" s="177"/>
      <c r="T7" s="178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</row>
    <row r="8" spans="1:38" ht="17" thickBot="1" x14ac:dyDescent="0.25">
      <c r="B8" s="184"/>
      <c r="C8" s="28"/>
      <c r="D8" s="28" t="s">
        <v>24</v>
      </c>
      <c r="E8" s="28" t="str">
        <f>BoxingPractice!C46</f>
        <v>Y</v>
      </c>
      <c r="F8" s="28" t="str">
        <f>BoxingPractice!D46</f>
        <v>U</v>
      </c>
      <c r="G8" s="28" t="str">
        <f>BoxingPractice!E46</f>
        <v>V</v>
      </c>
      <c r="H8" s="28" t="str">
        <f>BoxingPractice!F46</f>
        <v>YUV</v>
      </c>
      <c r="I8" s="28" t="s">
        <v>75</v>
      </c>
      <c r="J8" s="28" t="str">
        <f>BoxingPractice!G46</f>
        <v>SSIM_Y</v>
      </c>
      <c r="K8" s="28" t="str">
        <f>BoxingPractice!H46</f>
        <v>MS-SSIM</v>
      </c>
      <c r="L8" s="28" t="str">
        <f>BoxingPractice!I46</f>
        <v>VMAF</v>
      </c>
      <c r="M8" s="28" t="str">
        <f>BoxingPractice!J46</f>
        <v>nVMAF</v>
      </c>
      <c r="N8" s="28" t="str">
        <f>BoxingPractice!K46</f>
        <v>PSNR-HVS</v>
      </c>
      <c r="O8" s="28" t="str">
        <f>BoxingPractice!L46</f>
        <v>DE-2K</v>
      </c>
      <c r="P8" s="28" t="str">
        <f>BoxingPractice!M46</f>
        <v>Y</v>
      </c>
      <c r="Q8" s="28" t="str">
        <f>BoxingPractice!N46</f>
        <v>U</v>
      </c>
      <c r="R8" s="28" t="str">
        <f>BoxingPractice!O46</f>
        <v>V</v>
      </c>
      <c r="S8" s="28" t="str">
        <f>BoxingPractice!P46</f>
        <v>YUV</v>
      </c>
      <c r="T8" s="63" t="s">
        <v>75</v>
      </c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</row>
    <row r="9" spans="1:38" x14ac:dyDescent="0.2">
      <c r="B9" s="194" t="s">
        <v>16</v>
      </c>
      <c r="C9" s="103" t="s">
        <v>27</v>
      </c>
      <c r="D9" s="44" t="e">
        <f ca="1">'Summary (Full)'!F29</f>
        <v>#VALUE!</v>
      </c>
      <c r="E9" s="171" t="e">
        <f ca="1">'Summary (Full)'!G29</f>
        <v>#VALUE!</v>
      </c>
      <c r="F9" s="171" t="e">
        <f ca="1">'Summary (Full)'!H29</f>
        <v>#VALUE!</v>
      </c>
      <c r="G9" s="171" t="e">
        <f ca="1">'Summary (Full)'!I29</f>
        <v>#VALUE!</v>
      </c>
      <c r="H9" s="171" t="e">
        <f ca="1">'Summary (Full)'!J29</f>
        <v>#VALUE!</v>
      </c>
      <c r="I9" s="171" t="e">
        <f ca="1">'Summary (Full)'!K29</f>
        <v>#VALUE!</v>
      </c>
      <c r="J9" s="171" t="e">
        <f ca="1">'Summary (Full)'!L29</f>
        <v>#VALUE!</v>
      </c>
      <c r="K9" s="171" t="e">
        <f ca="1">'Summary (Full)'!M29</f>
        <v>#VALUE!</v>
      </c>
      <c r="L9" s="171" t="e">
        <f ca="1">'Summary (Full)'!N29</f>
        <v>#VALUE!</v>
      </c>
      <c r="M9" s="171" t="e">
        <f ca="1">'Summary (Full)'!O29</f>
        <v>#VALUE!</v>
      </c>
      <c r="N9" s="171" t="e">
        <f ca="1">'Summary (Full)'!P29</f>
        <v>#VALUE!</v>
      </c>
      <c r="O9" s="171" t="e">
        <f ca="1">'Summary (Full)'!Q29</f>
        <v>#VALUE!</v>
      </c>
      <c r="P9" s="171" t="e">
        <f ca="1">'Summary (Full)'!R29</f>
        <v>#VALUE!</v>
      </c>
      <c r="Q9" s="171" t="e">
        <f ca="1">'Summary (Full)'!S29</f>
        <v>#VALUE!</v>
      </c>
      <c r="R9" s="171" t="e">
        <f ca="1">'Summary (Full)'!T29</f>
        <v>#VALUE!</v>
      </c>
      <c r="S9" s="171" t="e">
        <f ca="1">'Summary (Full)'!U29</f>
        <v>#VALUE!</v>
      </c>
      <c r="T9" s="174" t="e">
        <f ca="1">'Summary (Full)'!V29</f>
        <v>#VALUE!</v>
      </c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</row>
    <row r="10" spans="1:38" x14ac:dyDescent="0.2">
      <c r="B10" s="195"/>
      <c r="C10" s="103" t="s">
        <v>28</v>
      </c>
      <c r="D10" s="17" t="e">
        <f ca="1">'Summary (Full)'!F30</f>
        <v>#VALUE!</v>
      </c>
      <c r="E10" s="172"/>
      <c r="F10" s="172"/>
      <c r="G10" s="172"/>
      <c r="H10" s="172"/>
      <c r="I10" s="172"/>
      <c r="J10" s="172"/>
      <c r="K10" s="172"/>
      <c r="L10" s="172"/>
      <c r="M10" s="172"/>
      <c r="N10" s="172"/>
      <c r="O10" s="172"/>
      <c r="P10" s="172"/>
      <c r="Q10" s="172"/>
      <c r="R10" s="172"/>
      <c r="S10" s="172"/>
      <c r="T10" s="175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</row>
    <row r="11" spans="1:38" ht="17" thickBot="1" x14ac:dyDescent="0.25">
      <c r="B11" s="196"/>
      <c r="C11" s="104" t="s">
        <v>29</v>
      </c>
      <c r="D11" s="47" t="e">
        <f ca="1">'Summary (Full)'!F31</f>
        <v>#VALUE!</v>
      </c>
      <c r="E11" s="173"/>
      <c r="F11" s="173"/>
      <c r="G11" s="173"/>
      <c r="H11" s="173"/>
      <c r="I11" s="173"/>
      <c r="J11" s="173"/>
      <c r="K11" s="173"/>
      <c r="L11" s="173"/>
      <c r="M11" s="173"/>
      <c r="N11" s="173"/>
      <c r="O11" s="173"/>
      <c r="P11" s="173"/>
      <c r="Q11" s="173"/>
      <c r="R11" s="173"/>
      <c r="S11" s="173"/>
      <c r="T11" s="188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</row>
    <row r="12" spans="1:38" x14ac:dyDescent="0.2">
      <c r="D12" s="5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</row>
    <row r="14" spans="1:38" ht="17" thickBot="1" x14ac:dyDescent="0.25"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</row>
    <row r="15" spans="1:38" x14ac:dyDescent="0.2">
      <c r="B15" s="182" t="s">
        <v>61</v>
      </c>
      <c r="C15" s="197" t="str">
        <f>CONCATENATE("BD-rates Over ", B3)</f>
        <v xml:space="preserve">BD-rates Over </v>
      </c>
      <c r="D15" s="198"/>
      <c r="E15" s="198"/>
      <c r="F15" s="198"/>
      <c r="G15" s="198"/>
      <c r="H15" s="198"/>
      <c r="I15" s="198"/>
      <c r="J15" s="198"/>
      <c r="K15" s="198"/>
      <c r="L15" s="198"/>
      <c r="M15" s="198"/>
      <c r="N15" s="198"/>
      <c r="O15" s="198"/>
      <c r="P15" s="198"/>
      <c r="Q15" s="198"/>
      <c r="R15" s="198"/>
      <c r="S15" s="198"/>
      <c r="T15" s="198"/>
      <c r="U15" s="198"/>
      <c r="V15" s="198"/>
      <c r="W15" s="198"/>
      <c r="X15" s="198"/>
      <c r="Y15" s="198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</row>
    <row r="16" spans="1:38" x14ac:dyDescent="0.2">
      <c r="B16" s="183"/>
      <c r="C16" s="40"/>
      <c r="D16" s="170" t="s">
        <v>52</v>
      </c>
      <c r="E16" s="170"/>
      <c r="F16" s="170" t="s">
        <v>53</v>
      </c>
      <c r="G16" s="170"/>
      <c r="H16" s="170" t="s">
        <v>57</v>
      </c>
      <c r="I16" s="170"/>
      <c r="J16" s="170" t="s">
        <v>58</v>
      </c>
      <c r="K16" s="170"/>
      <c r="L16" s="170" t="s">
        <v>59</v>
      </c>
      <c r="M16" s="170"/>
      <c r="N16" s="170" t="s">
        <v>56</v>
      </c>
      <c r="O16" s="170"/>
      <c r="P16" s="176" t="s">
        <v>60</v>
      </c>
      <c r="Q16" s="177"/>
      <c r="R16" s="177"/>
      <c r="S16" s="177"/>
      <c r="T16" s="177"/>
      <c r="U16" s="178"/>
      <c r="V16" s="170" t="s">
        <v>113</v>
      </c>
      <c r="W16" s="170"/>
      <c r="X16" s="170" t="s">
        <v>111</v>
      </c>
      <c r="Y16" s="170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</row>
    <row r="17" spans="2:38" x14ac:dyDescent="0.2">
      <c r="B17" s="183"/>
      <c r="C17" s="27"/>
      <c r="D17" s="170" t="s">
        <v>1</v>
      </c>
      <c r="E17" s="170"/>
      <c r="F17" s="170" t="s">
        <v>22</v>
      </c>
      <c r="G17" s="170"/>
      <c r="H17" s="170" t="s">
        <v>0</v>
      </c>
      <c r="I17" s="170"/>
      <c r="J17" s="170" t="s">
        <v>49</v>
      </c>
      <c r="K17" s="170"/>
      <c r="L17" s="170" t="s">
        <v>47</v>
      </c>
      <c r="M17" s="170"/>
      <c r="N17" s="170" t="s">
        <v>51</v>
      </c>
      <c r="O17" s="170"/>
      <c r="P17" s="176" t="s">
        <v>42</v>
      </c>
      <c r="Q17" s="177"/>
      <c r="R17" s="177"/>
      <c r="S17" s="177"/>
      <c r="T17" s="177"/>
      <c r="U17" s="178"/>
      <c r="V17" s="170" t="s">
        <v>114</v>
      </c>
      <c r="W17" s="170"/>
      <c r="X17" s="170" t="s">
        <v>112</v>
      </c>
      <c r="Y17" s="170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</row>
    <row r="18" spans="2:38" ht="17" thickBot="1" x14ac:dyDescent="0.25">
      <c r="B18" s="184"/>
      <c r="C18" s="28"/>
      <c r="D18" s="28" t="s">
        <v>23</v>
      </c>
      <c r="E18" s="28" t="s">
        <v>24</v>
      </c>
      <c r="F18" s="28" t="s">
        <v>23</v>
      </c>
      <c r="G18" s="28" t="s">
        <v>24</v>
      </c>
      <c r="H18" s="28" t="s">
        <v>23</v>
      </c>
      <c r="I18" s="28" t="s">
        <v>24</v>
      </c>
      <c r="J18" s="28" t="s">
        <v>23</v>
      </c>
      <c r="K18" s="28" t="s">
        <v>24</v>
      </c>
      <c r="L18" s="28" t="s">
        <v>23</v>
      </c>
      <c r="M18" s="28" t="s">
        <v>24</v>
      </c>
      <c r="N18" s="28" t="s">
        <v>23</v>
      </c>
      <c r="O18" s="28" t="s">
        <v>24</v>
      </c>
      <c r="P18" s="28" t="s">
        <v>23</v>
      </c>
      <c r="Q18" s="28" t="s">
        <v>24</v>
      </c>
      <c r="R18" s="28" t="s">
        <v>25</v>
      </c>
      <c r="S18" s="28" t="s">
        <v>26</v>
      </c>
      <c r="T18" s="28" t="s">
        <v>38</v>
      </c>
      <c r="U18" s="63" t="s">
        <v>75</v>
      </c>
      <c r="V18" s="28" t="s">
        <v>23</v>
      </c>
      <c r="W18" s="28" t="s">
        <v>38</v>
      </c>
      <c r="X18" s="28" t="s">
        <v>23</v>
      </c>
      <c r="Y18" s="28" t="s">
        <v>38</v>
      </c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</row>
    <row r="19" spans="2:38" x14ac:dyDescent="0.2">
      <c r="B19" s="194" t="s">
        <v>16</v>
      </c>
      <c r="C19" s="35" t="s">
        <v>27</v>
      </c>
      <c r="D19" s="44" t="e">
        <f ca="1">'Summary (Full)'!F63</f>
        <v>#VALUE!</v>
      </c>
      <c r="E19" s="171" t="e">
        <f ca="1">'Summary (Full)'!G63</f>
        <v>#VALUE!</v>
      </c>
      <c r="F19" s="44" t="e">
        <f ca="1">'Summary (Full)'!H63</f>
        <v>#VALUE!</v>
      </c>
      <c r="G19" s="171" t="e">
        <f ca="1">'Summary (Full)'!I63</f>
        <v>#VALUE!</v>
      </c>
      <c r="H19" s="44" t="e">
        <f ca="1">'Summary (Full)'!J63</f>
        <v>#VALUE!</v>
      </c>
      <c r="I19" s="171" t="e">
        <f ca="1">'Summary (Full)'!K63</f>
        <v>#VALUE!</v>
      </c>
      <c r="J19" s="44" t="e">
        <f ca="1">'Summary (Full)'!L63</f>
        <v>#VALUE!</v>
      </c>
      <c r="K19" s="171" t="e">
        <f ca="1">'Summary (Full)'!M63</f>
        <v>#VALUE!</v>
      </c>
      <c r="L19" s="44" t="e">
        <f ca="1">'Summary (Full)'!N63</f>
        <v>#VALUE!</v>
      </c>
      <c r="M19" s="171" t="e">
        <f ca="1">'Summary (Full)'!O63</f>
        <v>#VALUE!</v>
      </c>
      <c r="N19" s="44" t="e">
        <f ca="1">'Summary (Full)'!P63</f>
        <v>#VALUE!</v>
      </c>
      <c r="O19" s="171" t="e">
        <f ca="1">'Summary (Full)'!Q63</f>
        <v>#VALUE!</v>
      </c>
      <c r="P19" s="44" t="e">
        <f ca="1">'Summary (Full)'!R63</f>
        <v>#VALUE!</v>
      </c>
      <c r="Q19" s="171" t="e">
        <f ca="1">'Summary (Full)'!S63</f>
        <v>#VALUE!</v>
      </c>
      <c r="R19" s="171" t="e">
        <f ca="1">'Summary (Full)'!T63</f>
        <v>#VALUE!</v>
      </c>
      <c r="S19" s="171" t="e">
        <f ca="1">'Summary (Full)'!U63</f>
        <v>#VALUE!</v>
      </c>
      <c r="T19" s="171" t="e">
        <f ca="1">'Summary (Full)'!V63</f>
        <v>#VALUE!</v>
      </c>
      <c r="U19" s="171" t="e">
        <f ca="1">'Summary (Full)'!W63</f>
        <v>#VALUE!</v>
      </c>
      <c r="V19" s="44" t="e">
        <f ca="1">'Summary (Full)'!X63</f>
        <v>#VALUE!</v>
      </c>
      <c r="W19" s="171" t="e">
        <f ca="1">'Summary (Full)'!Y63</f>
        <v>#VALUE!</v>
      </c>
      <c r="X19" s="44" t="e">
        <f ca="1">'Summary (Full)'!Z63</f>
        <v>#VALUE!</v>
      </c>
      <c r="Y19" s="171" t="e">
        <f ca="1">'Summary (Full)'!AA63</f>
        <v>#VALUE!</v>
      </c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</row>
    <row r="20" spans="2:38" x14ac:dyDescent="0.2">
      <c r="B20" s="195"/>
      <c r="C20" s="35" t="s">
        <v>28</v>
      </c>
      <c r="D20" s="17" t="e">
        <f ca="1">'Summary (Full)'!F64</f>
        <v>#VALUE!</v>
      </c>
      <c r="E20" s="172"/>
      <c r="F20" s="17" t="e">
        <f ca="1">'Summary (Full)'!H64</f>
        <v>#VALUE!</v>
      </c>
      <c r="G20" s="172"/>
      <c r="H20" s="17" t="e">
        <f ca="1">'Summary (Full)'!J64</f>
        <v>#VALUE!</v>
      </c>
      <c r="I20" s="172"/>
      <c r="J20" s="17" t="e">
        <f ca="1">'Summary (Full)'!L64</f>
        <v>#VALUE!</v>
      </c>
      <c r="K20" s="172"/>
      <c r="L20" s="17" t="e">
        <f ca="1">'Summary (Full)'!N64</f>
        <v>#VALUE!</v>
      </c>
      <c r="M20" s="172"/>
      <c r="N20" s="17" t="e">
        <f ca="1">'Summary (Full)'!P64</f>
        <v>#VALUE!</v>
      </c>
      <c r="O20" s="172"/>
      <c r="P20" s="17" t="e">
        <f ca="1">'Summary (Full)'!R64</f>
        <v>#VALUE!</v>
      </c>
      <c r="Q20" s="172"/>
      <c r="R20" s="172"/>
      <c r="S20" s="172"/>
      <c r="T20" s="172"/>
      <c r="U20" s="172"/>
      <c r="V20" s="17" t="e">
        <f ca="1">'Summary (Full)'!X64</f>
        <v>#VALUE!</v>
      </c>
      <c r="W20" s="172"/>
      <c r="X20" s="17" t="e">
        <f ca="1">'Summary (Full)'!Z64</f>
        <v>#VALUE!</v>
      </c>
      <c r="Y20" s="172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</row>
    <row r="21" spans="2:38" ht="17" thickBot="1" x14ac:dyDescent="0.25">
      <c r="B21" s="196"/>
      <c r="C21" s="64" t="s">
        <v>29</v>
      </c>
      <c r="D21" s="47" t="e">
        <f ca="1">'Summary (Full)'!F65</f>
        <v>#VALUE!</v>
      </c>
      <c r="E21" s="173"/>
      <c r="F21" s="47" t="e">
        <f ca="1">'Summary (Full)'!H65</f>
        <v>#VALUE!</v>
      </c>
      <c r="G21" s="173"/>
      <c r="H21" s="47" t="e">
        <f ca="1">'Summary (Full)'!J65</f>
        <v>#VALUE!</v>
      </c>
      <c r="I21" s="173"/>
      <c r="J21" s="47" t="e">
        <f ca="1">'Summary (Full)'!L65</f>
        <v>#VALUE!</v>
      </c>
      <c r="K21" s="173"/>
      <c r="L21" s="47" t="e">
        <f ca="1">'Summary (Full)'!N65</f>
        <v>#VALUE!</v>
      </c>
      <c r="M21" s="173"/>
      <c r="N21" s="47" t="e">
        <f ca="1">'Summary (Full)'!P65</f>
        <v>#VALUE!</v>
      </c>
      <c r="O21" s="173"/>
      <c r="P21" s="47" t="e">
        <f ca="1">'Summary (Full)'!R65</f>
        <v>#VALUE!</v>
      </c>
      <c r="Q21" s="173"/>
      <c r="R21" s="173"/>
      <c r="S21" s="173"/>
      <c r="T21" s="173"/>
      <c r="U21" s="173"/>
      <c r="V21" s="47" t="e">
        <f ca="1">'Summary (Full)'!X65</f>
        <v>#VALUE!</v>
      </c>
      <c r="W21" s="173"/>
      <c r="X21" s="47" t="e">
        <f ca="1">'Summary (Full)'!Z65</f>
        <v>#VALUE!</v>
      </c>
      <c r="Y21" s="17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</row>
    <row r="22" spans="2:38" x14ac:dyDescent="0.2"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</row>
    <row r="23" spans="2:38" x14ac:dyDescent="0.2"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</row>
    <row r="24" spans="2:38" ht="17" thickBot="1" x14ac:dyDescent="0.25"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</row>
    <row r="25" spans="2:38" x14ac:dyDescent="0.2">
      <c r="B25" s="199" t="s">
        <v>61</v>
      </c>
      <c r="C25" s="179" t="s">
        <v>79</v>
      </c>
      <c r="D25" s="179"/>
      <c r="E25" s="179"/>
      <c r="F25" s="179"/>
      <c r="G25" s="179"/>
      <c r="H25" s="179"/>
      <c r="I25" s="179"/>
      <c r="J25" s="179"/>
      <c r="K25" s="179"/>
      <c r="L25" s="179"/>
      <c r="M25" s="60"/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</row>
    <row r="26" spans="2:38" x14ac:dyDescent="0.2">
      <c r="B26" s="200"/>
      <c r="C26" s="180" t="s">
        <v>82</v>
      </c>
      <c r="D26" s="180"/>
      <c r="E26" s="180"/>
      <c r="F26" s="180"/>
      <c r="G26" s="170" t="s">
        <v>83</v>
      </c>
      <c r="H26" s="170"/>
      <c r="I26" s="170" t="s">
        <v>32</v>
      </c>
      <c r="J26" s="170"/>
      <c r="K26" s="170" t="s">
        <v>31</v>
      </c>
      <c r="L26" s="170"/>
      <c r="M26" s="61"/>
      <c r="W26" s="23"/>
      <c r="X26" s="23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</row>
    <row r="27" spans="2:38" ht="17" thickBot="1" x14ac:dyDescent="0.25">
      <c r="B27" s="201"/>
      <c r="C27" s="90" t="s">
        <v>80</v>
      </c>
      <c r="D27" s="90" t="s">
        <v>77</v>
      </c>
      <c r="E27" s="90" t="s">
        <v>81</v>
      </c>
      <c r="F27" s="90" t="s">
        <v>78</v>
      </c>
      <c r="G27" s="91" t="s">
        <v>77</v>
      </c>
      <c r="H27" s="91" t="s">
        <v>78</v>
      </c>
      <c r="I27" s="91" t="s">
        <v>77</v>
      </c>
      <c r="J27" s="91" t="s">
        <v>80</v>
      </c>
      <c r="K27" s="91" t="s">
        <v>77</v>
      </c>
      <c r="L27" s="91" t="s">
        <v>80</v>
      </c>
      <c r="M27" s="92" t="s">
        <v>84</v>
      </c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</row>
    <row r="28" spans="2:38" ht="17" thickBot="1" x14ac:dyDescent="0.25">
      <c r="B28" s="58" t="s">
        <v>16</v>
      </c>
      <c r="C28" s="42" t="e">
        <f ca="1">'Summary (Full)'!E80</f>
        <v>#NUM!</v>
      </c>
      <c r="D28" s="42" t="e">
        <f ca="1">'Summary (Full)'!F80</f>
        <v>#DIV/0!</v>
      </c>
      <c r="E28" s="42" t="e">
        <f ca="1">'Summary (Full)'!G80</f>
        <v>#NUM!</v>
      </c>
      <c r="F28" s="42" t="e">
        <f ca="1">'Summary (Full)'!H80</f>
        <v>#DIV/0!</v>
      </c>
      <c r="G28" s="42" t="e">
        <f ca="1">'Summary (Full)'!I80</f>
        <v>#DIV/0!</v>
      </c>
      <c r="H28" s="42" t="e">
        <f ca="1">'Summary (Full)'!J80</f>
        <v>#DIV/0!</v>
      </c>
      <c r="I28" s="42" t="e">
        <f ca="1">'Summary (Full)'!K80</f>
        <v>#DIV/0!</v>
      </c>
      <c r="J28" s="42" t="e">
        <f ca="1">'Summary (Full)'!L80</f>
        <v>#DIV/0!</v>
      </c>
      <c r="K28" s="42" t="e">
        <f ca="1">'Summary (Full)'!M80</f>
        <v>#DIV/0!</v>
      </c>
      <c r="L28" s="42" t="e">
        <f ca="1">'Summary (Full)'!N80</f>
        <v>#DIV/0!</v>
      </c>
      <c r="M28" s="42" t="e">
        <f ca="1">'Summary (Full)'!O80</f>
        <v>#DIV/0!</v>
      </c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</row>
    <row r="29" spans="2:38" x14ac:dyDescent="0.2"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</row>
    <row r="30" spans="2:38" x14ac:dyDescent="0.2"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</row>
    <row r="31" spans="2:38" ht="17" thickBot="1" x14ac:dyDescent="0.25"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</row>
    <row r="32" spans="2:38" x14ac:dyDescent="0.2">
      <c r="B32" s="182" t="s">
        <v>97</v>
      </c>
      <c r="C32" s="197" t="str">
        <f>'Summary (Full)'!F84</f>
        <v>BD-rates</v>
      </c>
      <c r="D32" s="198"/>
      <c r="E32" s="198"/>
      <c r="F32" s="198"/>
      <c r="G32" s="198"/>
      <c r="H32" s="198"/>
      <c r="I32" s="198"/>
      <c r="J32" s="198"/>
      <c r="K32" s="198"/>
      <c r="L32" s="198"/>
      <c r="M32" s="198"/>
      <c r="N32" s="198"/>
      <c r="O32" s="198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</row>
    <row r="33" spans="2:38" x14ac:dyDescent="0.2">
      <c r="B33" s="183"/>
      <c r="C33" s="189" t="str">
        <f>'Summary (Full)'!F85</f>
        <v>PSNR</v>
      </c>
      <c r="D33" s="190">
        <f>'Summary (Full)'!G85</f>
        <v>0</v>
      </c>
      <c r="E33" s="190">
        <f>'Summary (Full)'!H85</f>
        <v>0</v>
      </c>
      <c r="F33" s="190">
        <f>'Summary (Full)'!I85</f>
        <v>0</v>
      </c>
      <c r="G33" s="191">
        <f>'Summary (Full)'!J85</f>
        <v>0</v>
      </c>
      <c r="H33" s="189" t="str">
        <f>'Summary (Full)'!K85</f>
        <v>SSIM</v>
      </c>
      <c r="I33" s="191">
        <f>'Summary (Full)'!L85</f>
        <v>0</v>
      </c>
      <c r="J33" s="189" t="str">
        <f>'Summary (Full)'!M85</f>
        <v>MS-SSIM</v>
      </c>
      <c r="K33" s="191">
        <f>'Summary (Full)'!N85</f>
        <v>0</v>
      </c>
      <c r="L33" s="189" t="str">
        <f>'Summary (Full)'!O85</f>
        <v>VMAF</v>
      </c>
      <c r="M33" s="191">
        <f>'Summary (Full)'!P85</f>
        <v>0</v>
      </c>
      <c r="N33" s="189" t="str">
        <f>'Summary (Full)'!Q85</f>
        <v>VMAF Validity</v>
      </c>
      <c r="O33" s="191">
        <f>'Summary (Full)'!R85</f>
        <v>0</v>
      </c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</row>
    <row r="34" spans="2:38" x14ac:dyDescent="0.2">
      <c r="B34" s="183"/>
      <c r="C34" s="27"/>
      <c r="D34" s="27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</row>
    <row r="35" spans="2:38" ht="17" thickBot="1" x14ac:dyDescent="0.25">
      <c r="B35" s="183"/>
      <c r="C35" s="192" t="str">
        <f>'Summary (Full)'!F87</f>
        <v>Range</v>
      </c>
      <c r="D35" s="193">
        <f>'Summary (Full)'!G87</f>
        <v>0</v>
      </c>
      <c r="E35" s="28" t="str">
        <f>'Summary (Full)'!H87</f>
        <v>Y</v>
      </c>
      <c r="F35" s="28" t="str">
        <f>'Summary (Full)'!I87</f>
        <v>U</v>
      </c>
      <c r="G35" s="28" t="str">
        <f>'Summary (Full)'!J87</f>
        <v>V</v>
      </c>
      <c r="H35" s="28" t="str">
        <f>'Summary (Full)'!K87</f>
        <v>Range</v>
      </c>
      <c r="I35" s="28" t="str">
        <f>'Summary (Full)'!L87</f>
        <v>Y</v>
      </c>
      <c r="J35" s="28" t="str">
        <f>'Summary (Full)'!M87</f>
        <v>Range</v>
      </c>
      <c r="K35" s="28" t="str">
        <f>'Summary (Full)'!N87</f>
        <v>Y</v>
      </c>
      <c r="L35" s="28" t="str">
        <f>'Summary (Full)'!O87</f>
        <v>Range</v>
      </c>
      <c r="M35" s="28" t="str">
        <f>'Summary (Full)'!P87</f>
        <v>Y</v>
      </c>
      <c r="N35" s="28" t="str">
        <f>'Summary (Full)'!Q87</f>
        <v>Range</v>
      </c>
      <c r="O35" s="28" t="str">
        <f>'Summary (Full)'!R87</f>
        <v>Y</v>
      </c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</row>
    <row r="36" spans="2:38" x14ac:dyDescent="0.2">
      <c r="B36" s="207" t="str">
        <f>'Summary (Full)'!D88</f>
        <v>3840x2160</v>
      </c>
      <c r="C36" s="84" t="str">
        <f>'Summary (Full)'!F112</f>
        <v>High</v>
      </c>
      <c r="D36" s="44" t="e">
        <f ca="1">'Summary (Full)'!G112</f>
        <v>#VALUE!</v>
      </c>
      <c r="E36" s="171" t="e">
        <f ca="1">'Summary (Full)'!H112</f>
        <v>#VALUE!</v>
      </c>
      <c r="F36" s="171" t="e">
        <f ca="1">'Summary (Full)'!I112</f>
        <v>#VALUE!</v>
      </c>
      <c r="G36" s="171" t="e">
        <f ca="1">'Summary (Full)'!J112</f>
        <v>#VALUE!</v>
      </c>
      <c r="H36" s="56" t="e">
        <f ca="1">'Summary (Full)'!K112</f>
        <v>#VALUE!</v>
      </c>
      <c r="I36" s="171" t="e">
        <f ca="1">'Summary (Full)'!L112</f>
        <v>#VALUE!</v>
      </c>
      <c r="J36" s="56" t="e">
        <f ca="1">'Summary (Full)'!M112</f>
        <v>#VALUE!</v>
      </c>
      <c r="K36" s="171" t="e">
        <f ca="1">'Summary (Full)'!N112</f>
        <v>#VALUE!</v>
      </c>
      <c r="L36" s="56" t="e">
        <f ca="1">'Summary (Full)'!O112</f>
        <v>#VALUE!</v>
      </c>
      <c r="M36" s="174" t="e">
        <f ca="1">'Summary (Full)'!P112</f>
        <v>#VALUE!</v>
      </c>
      <c r="N36" s="120">
        <f ca="1">'Summary (Full)'!Q112</f>
        <v>0</v>
      </c>
      <c r="O36" s="211">
        <f ca="1">'Summary (Full)'!R112</f>
        <v>0</v>
      </c>
      <c r="AL36" s="23"/>
    </row>
    <row r="37" spans="2:38" x14ac:dyDescent="0.2">
      <c r="B37" s="202"/>
      <c r="C37" s="85" t="str">
        <f>'Summary (Full)'!F113</f>
        <v>Med</v>
      </c>
      <c r="D37" s="17" t="e">
        <f ca="1">'Summary (Full)'!G113</f>
        <v>#VALUE!</v>
      </c>
      <c r="E37" s="172"/>
      <c r="F37" s="172"/>
      <c r="G37" s="172"/>
      <c r="H37" s="42" t="e">
        <f ca="1">'Summary (Full)'!K113</f>
        <v>#VALUE!</v>
      </c>
      <c r="I37" s="172"/>
      <c r="J37" s="42" t="e">
        <f ca="1">'Summary (Full)'!M113</f>
        <v>#VALUE!</v>
      </c>
      <c r="K37" s="172"/>
      <c r="L37" s="42" t="e">
        <f ca="1">'Summary (Full)'!O113</f>
        <v>#VALUE!</v>
      </c>
      <c r="M37" s="175"/>
      <c r="N37" s="121">
        <f ca="1">'Summary (Full)'!Q113</f>
        <v>0</v>
      </c>
      <c r="O37" s="212"/>
      <c r="AL37" s="23"/>
    </row>
    <row r="38" spans="2:38" x14ac:dyDescent="0.2">
      <c r="B38" s="202"/>
      <c r="C38" s="85" t="str">
        <f>'Summary (Full)'!F114</f>
        <v>Low</v>
      </c>
      <c r="D38" s="17" t="e">
        <f ca="1">'Summary (Full)'!G114</f>
        <v>#VALUE!</v>
      </c>
      <c r="E38" s="172"/>
      <c r="F38" s="172"/>
      <c r="G38" s="172"/>
      <c r="H38" s="42" t="e">
        <f ca="1">'Summary (Full)'!K114</f>
        <v>#VALUE!</v>
      </c>
      <c r="I38" s="172"/>
      <c r="J38" s="42" t="e">
        <f ca="1">'Summary (Full)'!M114</f>
        <v>#VALUE!</v>
      </c>
      <c r="K38" s="172"/>
      <c r="L38" s="42" t="e">
        <f ca="1">'Summary (Full)'!O114</f>
        <v>#VALUE!</v>
      </c>
      <c r="M38" s="175"/>
      <c r="N38" s="121">
        <f ca="1">'Summary (Full)'!Q114</f>
        <v>0</v>
      </c>
      <c r="O38" s="212"/>
      <c r="AL38" s="23"/>
    </row>
    <row r="39" spans="2:38" x14ac:dyDescent="0.2">
      <c r="B39" s="202" t="str">
        <f>'Summary (Full)'!D116</f>
        <v>2560x1440</v>
      </c>
      <c r="C39" s="85" t="str">
        <f>'Summary (Full)'!F140</f>
        <v>High</v>
      </c>
      <c r="D39" s="17" t="e">
        <f ca="1">'Summary (Full)'!G140</f>
        <v>#VALUE!</v>
      </c>
      <c r="E39" s="172" t="e">
        <f ca="1">'Summary (Full)'!H140</f>
        <v>#VALUE!</v>
      </c>
      <c r="F39" s="172" t="e">
        <f ca="1">'Summary (Full)'!I140</f>
        <v>#VALUE!</v>
      </c>
      <c r="G39" s="172" t="e">
        <f ca="1">'Summary (Full)'!J140</f>
        <v>#VALUE!</v>
      </c>
      <c r="H39" s="42" t="e">
        <f ca="1">'Summary (Full)'!K140</f>
        <v>#VALUE!</v>
      </c>
      <c r="I39" s="172" t="e">
        <f ca="1">'Summary (Full)'!L140</f>
        <v>#VALUE!</v>
      </c>
      <c r="J39" s="42" t="e">
        <f ca="1">'Summary (Full)'!M140</f>
        <v>#VALUE!</v>
      </c>
      <c r="K39" s="172" t="e">
        <f ca="1">'Summary (Full)'!N140</f>
        <v>#VALUE!</v>
      </c>
      <c r="L39" s="42" t="e">
        <f ca="1">'Summary (Full)'!O140</f>
        <v>#VALUE!</v>
      </c>
      <c r="M39" s="175" t="e">
        <f ca="1">'Summary (Full)'!P140</f>
        <v>#VALUE!</v>
      </c>
      <c r="N39" s="121">
        <f ca="1">'Summary (Full)'!Q140</f>
        <v>0</v>
      </c>
      <c r="O39" s="212">
        <f ca="1">'Summary (Full)'!R140</f>
        <v>0</v>
      </c>
      <c r="AL39" s="23"/>
    </row>
    <row r="40" spans="2:38" x14ac:dyDescent="0.2">
      <c r="B40" s="202"/>
      <c r="C40" s="85" t="str">
        <f>'Summary (Full)'!F141</f>
        <v>Med</v>
      </c>
      <c r="D40" s="17" t="e">
        <f ca="1">'Summary (Full)'!G141</f>
        <v>#VALUE!</v>
      </c>
      <c r="E40" s="172"/>
      <c r="F40" s="172"/>
      <c r="G40" s="172"/>
      <c r="H40" s="42" t="e">
        <f ca="1">'Summary (Full)'!K141</f>
        <v>#VALUE!</v>
      </c>
      <c r="I40" s="172"/>
      <c r="J40" s="42" t="e">
        <f ca="1">'Summary (Full)'!M141</f>
        <v>#VALUE!</v>
      </c>
      <c r="K40" s="172"/>
      <c r="L40" s="42" t="e">
        <f ca="1">'Summary (Full)'!O141</f>
        <v>#VALUE!</v>
      </c>
      <c r="M40" s="175"/>
      <c r="N40" s="121">
        <f ca="1">'Summary (Full)'!Q141</f>
        <v>0</v>
      </c>
      <c r="O40" s="212"/>
      <c r="AL40" s="23"/>
    </row>
    <row r="41" spans="2:38" x14ac:dyDescent="0.2">
      <c r="B41" s="202"/>
      <c r="C41" s="85" t="str">
        <f>'Summary (Full)'!F142</f>
        <v>Low</v>
      </c>
      <c r="D41" s="17" t="e">
        <f ca="1">'Summary (Full)'!G142</f>
        <v>#VALUE!</v>
      </c>
      <c r="E41" s="172"/>
      <c r="F41" s="172"/>
      <c r="G41" s="172"/>
      <c r="H41" s="42" t="e">
        <f ca="1">'Summary (Full)'!K142</f>
        <v>#VALUE!</v>
      </c>
      <c r="I41" s="172"/>
      <c r="J41" s="42" t="e">
        <f ca="1">'Summary (Full)'!M142</f>
        <v>#VALUE!</v>
      </c>
      <c r="K41" s="172"/>
      <c r="L41" s="42" t="e">
        <f ca="1">'Summary (Full)'!O142</f>
        <v>#VALUE!</v>
      </c>
      <c r="M41" s="175"/>
      <c r="N41" s="121">
        <f ca="1">'Summary (Full)'!Q142</f>
        <v>0</v>
      </c>
      <c r="O41" s="212"/>
      <c r="AL41" s="23"/>
    </row>
    <row r="42" spans="2:38" x14ac:dyDescent="0.2">
      <c r="B42" s="202" t="str">
        <f>'Summary (Full)'!D144</f>
        <v>1920x1080</v>
      </c>
      <c r="C42" s="85" t="str">
        <f>'Summary (Full)'!F168</f>
        <v>High</v>
      </c>
      <c r="D42" s="17" t="e">
        <f ca="1">'Summary (Full)'!G168</f>
        <v>#VALUE!</v>
      </c>
      <c r="E42" s="172" t="e">
        <f ca="1">'Summary (Full)'!H168</f>
        <v>#VALUE!</v>
      </c>
      <c r="F42" s="172" t="e">
        <f ca="1">'Summary (Full)'!I168</f>
        <v>#VALUE!</v>
      </c>
      <c r="G42" s="172" t="e">
        <f ca="1">'Summary (Full)'!J168</f>
        <v>#VALUE!</v>
      </c>
      <c r="H42" s="42" t="e">
        <f ca="1">'Summary (Full)'!K168</f>
        <v>#VALUE!</v>
      </c>
      <c r="I42" s="172" t="e">
        <f ca="1">'Summary (Full)'!L168</f>
        <v>#VALUE!</v>
      </c>
      <c r="J42" s="42" t="e">
        <f ca="1">'Summary (Full)'!M168</f>
        <v>#VALUE!</v>
      </c>
      <c r="K42" s="172" t="e">
        <f ca="1">'Summary (Full)'!N168</f>
        <v>#VALUE!</v>
      </c>
      <c r="L42" s="42" t="e">
        <f ca="1">'Summary (Full)'!O168</f>
        <v>#VALUE!</v>
      </c>
      <c r="M42" s="175" t="e">
        <f ca="1">'Summary (Full)'!P168</f>
        <v>#VALUE!</v>
      </c>
      <c r="N42" s="121">
        <f ca="1">'Summary (Full)'!Q168</f>
        <v>0</v>
      </c>
      <c r="O42" s="212">
        <f ca="1">'Summary (Full)'!R168</f>
        <v>0</v>
      </c>
      <c r="AL42" s="23"/>
    </row>
    <row r="43" spans="2:38" x14ac:dyDescent="0.2">
      <c r="B43" s="202"/>
      <c r="C43" s="85" t="str">
        <f>'Summary (Full)'!F169</f>
        <v>Med</v>
      </c>
      <c r="D43" s="17" t="e">
        <f ca="1">'Summary (Full)'!G169</f>
        <v>#VALUE!</v>
      </c>
      <c r="E43" s="172"/>
      <c r="F43" s="172"/>
      <c r="G43" s="172"/>
      <c r="H43" s="42" t="e">
        <f ca="1">'Summary (Full)'!K169</f>
        <v>#VALUE!</v>
      </c>
      <c r="I43" s="172"/>
      <c r="J43" s="42" t="e">
        <f ca="1">'Summary (Full)'!M169</f>
        <v>#VALUE!</v>
      </c>
      <c r="K43" s="172"/>
      <c r="L43" s="42" t="e">
        <f ca="1">'Summary (Full)'!O169</f>
        <v>#VALUE!</v>
      </c>
      <c r="M43" s="175"/>
      <c r="N43" s="121">
        <f ca="1">'Summary (Full)'!Q169</f>
        <v>0</v>
      </c>
      <c r="O43" s="212"/>
      <c r="AL43" s="23"/>
    </row>
    <row r="44" spans="2:38" x14ac:dyDescent="0.2">
      <c r="B44" s="202"/>
      <c r="C44" s="85" t="str">
        <f>'Summary (Full)'!F170</f>
        <v>Low</v>
      </c>
      <c r="D44" s="17" t="e">
        <f ca="1">'Summary (Full)'!G170</f>
        <v>#VALUE!</v>
      </c>
      <c r="E44" s="172"/>
      <c r="F44" s="172"/>
      <c r="G44" s="172"/>
      <c r="H44" s="42" t="e">
        <f ca="1">'Summary (Full)'!K170</f>
        <v>#VALUE!</v>
      </c>
      <c r="I44" s="172"/>
      <c r="J44" s="42" t="e">
        <f ca="1">'Summary (Full)'!M170</f>
        <v>#VALUE!</v>
      </c>
      <c r="K44" s="172"/>
      <c r="L44" s="42" t="e">
        <f ca="1">'Summary (Full)'!O170</f>
        <v>#VALUE!</v>
      </c>
      <c r="M44" s="175"/>
      <c r="N44" s="121">
        <f ca="1">'Summary (Full)'!Q170</f>
        <v>0</v>
      </c>
      <c r="O44" s="212"/>
      <c r="AL44" s="23"/>
    </row>
    <row r="45" spans="2:38" x14ac:dyDescent="0.2">
      <c r="B45" s="202" t="str">
        <f>'Summary (Full)'!D172</f>
        <v>1280x720</v>
      </c>
      <c r="C45" s="85" t="str">
        <f>'Summary (Full)'!F196</f>
        <v>High</v>
      </c>
      <c r="D45" s="17" t="e">
        <f ca="1">'Summary (Full)'!G196</f>
        <v>#VALUE!</v>
      </c>
      <c r="E45" s="172" t="e">
        <f ca="1">'Summary (Full)'!H196</f>
        <v>#VALUE!</v>
      </c>
      <c r="F45" s="172" t="e">
        <f ca="1">'Summary (Full)'!I196</f>
        <v>#VALUE!</v>
      </c>
      <c r="G45" s="172" t="e">
        <f ca="1">'Summary (Full)'!J196</f>
        <v>#VALUE!</v>
      </c>
      <c r="H45" s="42" t="e">
        <f ca="1">'Summary (Full)'!K196</f>
        <v>#VALUE!</v>
      </c>
      <c r="I45" s="172" t="e">
        <f ca="1">'Summary (Full)'!L196</f>
        <v>#VALUE!</v>
      </c>
      <c r="J45" s="42" t="e">
        <f ca="1">'Summary (Full)'!M196</f>
        <v>#VALUE!</v>
      </c>
      <c r="K45" s="172" t="e">
        <f ca="1">'Summary (Full)'!N196</f>
        <v>#VALUE!</v>
      </c>
      <c r="L45" s="42" t="e">
        <f ca="1">'Summary (Full)'!O196</f>
        <v>#VALUE!</v>
      </c>
      <c r="M45" s="175" t="e">
        <f ca="1">'Summary (Full)'!P196</f>
        <v>#VALUE!</v>
      </c>
      <c r="N45" s="121">
        <f ca="1">'Summary (Full)'!Q196</f>
        <v>0</v>
      </c>
      <c r="O45" s="212">
        <f ca="1">'Summary (Full)'!R196</f>
        <v>0</v>
      </c>
      <c r="AL45" s="23"/>
    </row>
    <row r="46" spans="2:38" x14ac:dyDescent="0.2">
      <c r="B46" s="202"/>
      <c r="C46" s="85" t="str">
        <f>'Summary (Full)'!F197</f>
        <v>Med</v>
      </c>
      <c r="D46" s="17" t="e">
        <f ca="1">'Summary (Full)'!G197</f>
        <v>#VALUE!</v>
      </c>
      <c r="E46" s="172"/>
      <c r="F46" s="172"/>
      <c r="G46" s="172"/>
      <c r="H46" s="42" t="e">
        <f ca="1">'Summary (Full)'!K197</f>
        <v>#VALUE!</v>
      </c>
      <c r="I46" s="172"/>
      <c r="J46" s="42" t="e">
        <f ca="1">'Summary (Full)'!M197</f>
        <v>#VALUE!</v>
      </c>
      <c r="K46" s="172"/>
      <c r="L46" s="42" t="e">
        <f ca="1">'Summary (Full)'!O197</f>
        <v>#VALUE!</v>
      </c>
      <c r="M46" s="175"/>
      <c r="N46" s="121">
        <f ca="1">'Summary (Full)'!Q197</f>
        <v>0</v>
      </c>
      <c r="O46" s="212"/>
      <c r="AL46" s="23"/>
    </row>
    <row r="47" spans="2:38" x14ac:dyDescent="0.2">
      <c r="B47" s="202"/>
      <c r="C47" s="85" t="str">
        <f>'Summary (Full)'!F198</f>
        <v>Low</v>
      </c>
      <c r="D47" s="17" t="e">
        <f ca="1">'Summary (Full)'!G198</f>
        <v>#VALUE!</v>
      </c>
      <c r="E47" s="172"/>
      <c r="F47" s="172"/>
      <c r="G47" s="172"/>
      <c r="H47" s="42" t="e">
        <f ca="1">'Summary (Full)'!K198</f>
        <v>#VALUE!</v>
      </c>
      <c r="I47" s="172"/>
      <c r="J47" s="42" t="e">
        <f ca="1">'Summary (Full)'!M198</f>
        <v>#VALUE!</v>
      </c>
      <c r="K47" s="172"/>
      <c r="L47" s="42" t="e">
        <f ca="1">'Summary (Full)'!O198</f>
        <v>#VALUE!</v>
      </c>
      <c r="M47" s="175"/>
      <c r="N47" s="121">
        <f ca="1">'Summary (Full)'!Q198</f>
        <v>0</v>
      </c>
      <c r="O47" s="212"/>
      <c r="AL47" s="23"/>
    </row>
    <row r="48" spans="2:38" x14ac:dyDescent="0.2">
      <c r="B48" s="202" t="str">
        <f>'Summary (Full)'!D200</f>
        <v>960x540</v>
      </c>
      <c r="C48" s="85" t="str">
        <f>'Summary (Full)'!F224</f>
        <v>High</v>
      </c>
      <c r="D48" s="17" t="e">
        <f ca="1">'Summary (Full)'!G224</f>
        <v>#VALUE!</v>
      </c>
      <c r="E48" s="172" t="e">
        <f ca="1">'Summary (Full)'!H224</f>
        <v>#VALUE!</v>
      </c>
      <c r="F48" s="172" t="e">
        <f ca="1">'Summary (Full)'!I224</f>
        <v>#VALUE!</v>
      </c>
      <c r="G48" s="172" t="e">
        <f ca="1">'Summary (Full)'!J224</f>
        <v>#VALUE!</v>
      </c>
      <c r="H48" s="42" t="e">
        <f ca="1">'Summary (Full)'!K224</f>
        <v>#VALUE!</v>
      </c>
      <c r="I48" s="172" t="e">
        <f ca="1">'Summary (Full)'!L224</f>
        <v>#VALUE!</v>
      </c>
      <c r="J48" s="42" t="e">
        <f ca="1">'Summary (Full)'!M224</f>
        <v>#VALUE!</v>
      </c>
      <c r="K48" s="172" t="e">
        <f ca="1">'Summary (Full)'!N224</f>
        <v>#VALUE!</v>
      </c>
      <c r="L48" s="42" t="e">
        <f ca="1">'Summary (Full)'!O224</f>
        <v>#VALUE!</v>
      </c>
      <c r="M48" s="175" t="e">
        <f ca="1">'Summary (Full)'!P224</f>
        <v>#VALUE!</v>
      </c>
      <c r="N48" s="121">
        <f ca="1">'Summary (Full)'!Q224</f>
        <v>0</v>
      </c>
      <c r="O48" s="212">
        <f ca="1">'Summary (Full)'!R224</f>
        <v>0</v>
      </c>
      <c r="AL48" s="23"/>
    </row>
    <row r="49" spans="2:38" x14ac:dyDescent="0.2">
      <c r="B49" s="202"/>
      <c r="C49" s="85" t="str">
        <f>'Summary (Full)'!F225</f>
        <v>Med</v>
      </c>
      <c r="D49" s="17" t="e">
        <f ca="1">'Summary (Full)'!G225</f>
        <v>#VALUE!</v>
      </c>
      <c r="E49" s="172"/>
      <c r="F49" s="172"/>
      <c r="G49" s="172"/>
      <c r="H49" s="42" t="e">
        <f ca="1">'Summary (Full)'!K225</f>
        <v>#VALUE!</v>
      </c>
      <c r="I49" s="172"/>
      <c r="J49" s="42" t="e">
        <f ca="1">'Summary (Full)'!M225</f>
        <v>#VALUE!</v>
      </c>
      <c r="K49" s="172"/>
      <c r="L49" s="42" t="e">
        <f ca="1">'Summary (Full)'!O225</f>
        <v>#VALUE!</v>
      </c>
      <c r="M49" s="175"/>
      <c r="N49" s="121">
        <f ca="1">'Summary (Full)'!Q225</f>
        <v>0</v>
      </c>
      <c r="O49" s="212"/>
      <c r="AL49" s="23"/>
    </row>
    <row r="50" spans="2:38" x14ac:dyDescent="0.2">
      <c r="B50" s="202"/>
      <c r="C50" s="85" t="str">
        <f>'Summary (Full)'!F226</f>
        <v>Low</v>
      </c>
      <c r="D50" s="17" t="e">
        <f ca="1">'Summary (Full)'!G226</f>
        <v>#VALUE!</v>
      </c>
      <c r="E50" s="172"/>
      <c r="F50" s="172"/>
      <c r="G50" s="172"/>
      <c r="H50" s="42" t="e">
        <f ca="1">'Summary (Full)'!K226</f>
        <v>#VALUE!</v>
      </c>
      <c r="I50" s="172"/>
      <c r="J50" s="42" t="e">
        <f ca="1">'Summary (Full)'!M226</f>
        <v>#VALUE!</v>
      </c>
      <c r="K50" s="172"/>
      <c r="L50" s="42" t="e">
        <f ca="1">'Summary (Full)'!O226</f>
        <v>#VALUE!</v>
      </c>
      <c r="M50" s="175"/>
      <c r="N50" s="121">
        <f ca="1">'Summary (Full)'!Q226</f>
        <v>0</v>
      </c>
      <c r="O50" s="212"/>
      <c r="AL50" s="23"/>
    </row>
    <row r="51" spans="2:38" x14ac:dyDescent="0.2">
      <c r="B51" s="202" t="str">
        <f>'Summary (Full)'!D228</f>
        <v>640x360</v>
      </c>
      <c r="C51" s="85" t="str">
        <f>'Summary (Full)'!F252</f>
        <v>High</v>
      </c>
      <c r="D51" s="17" t="e">
        <f ca="1">'Summary (Full)'!G252</f>
        <v>#VALUE!</v>
      </c>
      <c r="E51" s="172" t="e">
        <f ca="1">'Summary (Full)'!H252</f>
        <v>#VALUE!</v>
      </c>
      <c r="F51" s="172" t="e">
        <f ca="1">'Summary (Full)'!I252</f>
        <v>#VALUE!</v>
      </c>
      <c r="G51" s="172" t="e">
        <f ca="1">'Summary (Full)'!J252</f>
        <v>#VALUE!</v>
      </c>
      <c r="H51" s="42" t="e">
        <f ca="1">'Summary (Full)'!K252</f>
        <v>#VALUE!</v>
      </c>
      <c r="I51" s="172" t="e">
        <f ca="1">'Summary (Full)'!L252</f>
        <v>#VALUE!</v>
      </c>
      <c r="J51" s="42" t="e">
        <f ca="1">'Summary (Full)'!M252</f>
        <v>#VALUE!</v>
      </c>
      <c r="K51" s="172" t="e">
        <f ca="1">'Summary (Full)'!N252</f>
        <v>#VALUE!</v>
      </c>
      <c r="L51" s="42" t="e">
        <f ca="1">'Summary (Full)'!O252</f>
        <v>#VALUE!</v>
      </c>
      <c r="M51" s="175" t="e">
        <f ca="1">'Summary (Full)'!P252</f>
        <v>#VALUE!</v>
      </c>
      <c r="N51" s="121">
        <f ca="1">'Summary (Full)'!Q252</f>
        <v>0</v>
      </c>
      <c r="O51" s="212">
        <f ca="1">'Summary (Full)'!R252</f>
        <v>0</v>
      </c>
      <c r="AL51" s="23"/>
    </row>
    <row r="52" spans="2:38" x14ac:dyDescent="0.2">
      <c r="B52" s="202"/>
      <c r="C52" s="85" t="str">
        <f>'Summary (Full)'!F253</f>
        <v>Med</v>
      </c>
      <c r="D52" s="17" t="e">
        <f ca="1">'Summary (Full)'!G253</f>
        <v>#VALUE!</v>
      </c>
      <c r="E52" s="172"/>
      <c r="F52" s="172"/>
      <c r="G52" s="172"/>
      <c r="H52" s="42" t="e">
        <f ca="1">'Summary (Full)'!K253</f>
        <v>#VALUE!</v>
      </c>
      <c r="I52" s="172"/>
      <c r="J52" s="42" t="e">
        <f ca="1">'Summary (Full)'!M253</f>
        <v>#VALUE!</v>
      </c>
      <c r="K52" s="172"/>
      <c r="L52" s="42" t="e">
        <f ca="1">'Summary (Full)'!O253</f>
        <v>#VALUE!</v>
      </c>
      <c r="M52" s="175"/>
      <c r="N52" s="121">
        <f ca="1">'Summary (Full)'!Q253</f>
        <v>0</v>
      </c>
      <c r="O52" s="212"/>
      <c r="AL52" s="23"/>
    </row>
    <row r="53" spans="2:38" ht="17" thickBot="1" x14ac:dyDescent="0.25">
      <c r="B53" s="203"/>
      <c r="C53" s="105" t="str">
        <f>'Summary (Full)'!F254</f>
        <v>Low</v>
      </c>
      <c r="D53" s="49" t="e">
        <f ca="1">'Summary (Full)'!G254</f>
        <v>#VALUE!</v>
      </c>
      <c r="E53" s="208"/>
      <c r="F53" s="208"/>
      <c r="G53" s="208"/>
      <c r="H53" s="101" t="e">
        <f ca="1">'Summary (Full)'!K254</f>
        <v>#VALUE!</v>
      </c>
      <c r="I53" s="208"/>
      <c r="J53" s="101" t="e">
        <f ca="1">'Summary (Full)'!M254</f>
        <v>#VALUE!</v>
      </c>
      <c r="K53" s="208"/>
      <c r="L53" s="101" t="e">
        <f ca="1">'Summary (Full)'!O254</f>
        <v>#VALUE!</v>
      </c>
      <c r="M53" s="218"/>
      <c r="N53" s="126">
        <f ca="1">'Summary (Full)'!Q254</f>
        <v>0</v>
      </c>
      <c r="O53" s="213"/>
      <c r="AL53" s="23"/>
    </row>
    <row r="54" spans="2:38" ht="17" thickTop="1" x14ac:dyDescent="0.2">
      <c r="B54" s="204" t="s">
        <v>99</v>
      </c>
      <c r="C54" s="109" t="s">
        <v>100</v>
      </c>
      <c r="D54" s="110" t="e">
        <f ca="1">AVERAGE(D36,D39,D42,D45,D48,D51)</f>
        <v>#VALUE!</v>
      </c>
      <c r="E54" s="209" t="e">
        <f ca="1">AVERAGE(E36:E53)</f>
        <v>#VALUE!</v>
      </c>
      <c r="F54" s="209" t="e">
        <f ca="1">AVERAGE(F36:F53)</f>
        <v>#VALUE!</v>
      </c>
      <c r="G54" s="209" t="e">
        <f ca="1">AVERAGE(G36:G53)</f>
        <v>#VALUE!</v>
      </c>
      <c r="H54" s="111" t="e">
        <f ca="1">AVERAGE(H36,H39,H42,H45,H48,H51)</f>
        <v>#VALUE!</v>
      </c>
      <c r="I54" s="209" t="e">
        <f ca="1">AVERAGE(I36:I53)</f>
        <v>#VALUE!</v>
      </c>
      <c r="J54" s="111" t="e">
        <f ca="1">AVERAGE(J36,J39,J42,J45,J48,J51)</f>
        <v>#VALUE!</v>
      </c>
      <c r="K54" s="209" t="e">
        <f ca="1">AVERAGE(K36:K53)</f>
        <v>#VALUE!</v>
      </c>
      <c r="L54" s="111" t="e">
        <f ca="1">AVERAGE(L36,L39,L42,L45,L48,L51)</f>
        <v>#VALUE!</v>
      </c>
      <c r="M54" s="216" t="e">
        <f ca="1">AVERAGE(M36:M53)</f>
        <v>#VALUE!</v>
      </c>
      <c r="N54" s="127">
        <f ca="1">SUM(N36,N39,N42,N45,N48,N51)</f>
        <v>0</v>
      </c>
      <c r="O54" s="214">
        <f ca="1">SUM(O36:O53)</f>
        <v>0</v>
      </c>
      <c r="AL54" s="23"/>
    </row>
    <row r="55" spans="2:38" x14ac:dyDescent="0.2">
      <c r="B55" s="205"/>
      <c r="C55" s="87" t="s">
        <v>101</v>
      </c>
      <c r="D55" s="17" t="e">
        <f ca="1">AVERAGE(D37,D40,D43,D46,D49,D52)</f>
        <v>#VALUE!</v>
      </c>
      <c r="E55" s="172"/>
      <c r="F55" s="172"/>
      <c r="G55" s="172"/>
      <c r="H55" s="42" t="e">
        <f ca="1">AVERAGE(H37,H40,H43,H46,H49,H52)</f>
        <v>#VALUE!</v>
      </c>
      <c r="I55" s="172"/>
      <c r="J55" s="42" t="e">
        <f ca="1">AVERAGE(J37,J40,J43,J46,J49,J52)</f>
        <v>#VALUE!</v>
      </c>
      <c r="K55" s="172"/>
      <c r="L55" s="42" t="e">
        <f ca="1">AVERAGE(L37,L40,L43,L46,L49,L52)</f>
        <v>#VALUE!</v>
      </c>
      <c r="M55" s="175"/>
      <c r="N55" s="121">
        <f ca="1">SUM(N37,N40,N43,N46,N49,N52)</f>
        <v>0</v>
      </c>
      <c r="O55" s="212"/>
      <c r="AL55" s="23"/>
    </row>
    <row r="56" spans="2:38" ht="17" thickBot="1" x14ac:dyDescent="0.25">
      <c r="B56" s="206"/>
      <c r="C56" s="106" t="s">
        <v>102</v>
      </c>
      <c r="D56" s="107" t="e">
        <f ca="1">AVERAGE(D38,D41,D44,D47,D50,D53)</f>
        <v>#VALUE!</v>
      </c>
      <c r="E56" s="210"/>
      <c r="F56" s="210"/>
      <c r="G56" s="210"/>
      <c r="H56" s="108" t="e">
        <f ca="1">AVERAGE(H38,H41,H44,H47,H50,H53)</f>
        <v>#VALUE!</v>
      </c>
      <c r="I56" s="210"/>
      <c r="J56" s="108" t="e">
        <f ca="1">AVERAGE(J38,J41,J44,J47,J50,J53)</f>
        <v>#VALUE!</v>
      </c>
      <c r="K56" s="210"/>
      <c r="L56" s="108" t="e">
        <f ca="1">AVERAGE(L38,L41,L44,L47,L50,L53)</f>
        <v>#VALUE!</v>
      </c>
      <c r="M56" s="217"/>
      <c r="N56" s="128">
        <f ca="1">SUM(N38,N41,N44,N47,N50,N53)</f>
        <v>0</v>
      </c>
      <c r="O56" s="215"/>
      <c r="AL56" s="23"/>
    </row>
    <row r="57" spans="2:38" ht="17" thickTop="1" x14ac:dyDescent="0.2">
      <c r="AL57" s="23"/>
    </row>
  </sheetData>
  <mergeCells count="126">
    <mergeCell ref="O36:O38"/>
    <mergeCell ref="O39:O41"/>
    <mergeCell ref="O42:O44"/>
    <mergeCell ref="O45:O47"/>
    <mergeCell ref="O48:O50"/>
    <mergeCell ref="O51:O53"/>
    <mergeCell ref="O54:O56"/>
    <mergeCell ref="C32:O32"/>
    <mergeCell ref="G45:G47"/>
    <mergeCell ref="I45:I47"/>
    <mergeCell ref="K45:K47"/>
    <mergeCell ref="M45:M47"/>
    <mergeCell ref="G54:G56"/>
    <mergeCell ref="I54:I56"/>
    <mergeCell ref="K54:K56"/>
    <mergeCell ref="M54:M56"/>
    <mergeCell ref="G51:G53"/>
    <mergeCell ref="I51:I53"/>
    <mergeCell ref="K51:K53"/>
    <mergeCell ref="M51:M53"/>
    <mergeCell ref="K48:K50"/>
    <mergeCell ref="M48:M50"/>
    <mergeCell ref="G48:G50"/>
    <mergeCell ref="I48:I50"/>
    <mergeCell ref="B51:B53"/>
    <mergeCell ref="B48:B50"/>
    <mergeCell ref="B45:B47"/>
    <mergeCell ref="B42:B44"/>
    <mergeCell ref="B54:B56"/>
    <mergeCell ref="B39:B41"/>
    <mergeCell ref="B36:B38"/>
    <mergeCell ref="E51:E53"/>
    <mergeCell ref="F51:F53"/>
    <mergeCell ref="E45:E47"/>
    <mergeCell ref="F45:F47"/>
    <mergeCell ref="E54:E56"/>
    <mergeCell ref="F54:F56"/>
    <mergeCell ref="E48:E50"/>
    <mergeCell ref="F48:F50"/>
    <mergeCell ref="D17:E17"/>
    <mergeCell ref="F17:G17"/>
    <mergeCell ref="H17:I17"/>
    <mergeCell ref="K42:K44"/>
    <mergeCell ref="M42:M44"/>
    <mergeCell ref="E42:E44"/>
    <mergeCell ref="F42:F44"/>
    <mergeCell ref="G42:G44"/>
    <mergeCell ref="I42:I44"/>
    <mergeCell ref="E39:E41"/>
    <mergeCell ref="F39:F41"/>
    <mergeCell ref="G39:G41"/>
    <mergeCell ref="I39:I41"/>
    <mergeCell ref="K39:K41"/>
    <mergeCell ref="M39:M41"/>
    <mergeCell ref="S9:S11"/>
    <mergeCell ref="T9:T11"/>
    <mergeCell ref="B32:B35"/>
    <mergeCell ref="C33:G33"/>
    <mergeCell ref="H33:I33"/>
    <mergeCell ref="J33:K33"/>
    <mergeCell ref="L33:M33"/>
    <mergeCell ref="C35:D35"/>
    <mergeCell ref="N9:N11"/>
    <mergeCell ref="O9:O11"/>
    <mergeCell ref="B9:B11"/>
    <mergeCell ref="E9:E11"/>
    <mergeCell ref="F9:F11"/>
    <mergeCell ref="G9:G11"/>
    <mergeCell ref="K26:L26"/>
    <mergeCell ref="H9:H11"/>
    <mergeCell ref="I9:I11"/>
    <mergeCell ref="J9:J11"/>
    <mergeCell ref="C15:Y15"/>
    <mergeCell ref="B25:B27"/>
    <mergeCell ref="B19:B21"/>
    <mergeCell ref="T19:T21"/>
    <mergeCell ref="Q19:Q21"/>
    <mergeCell ref="N33:O33"/>
    <mergeCell ref="R19:R21"/>
    <mergeCell ref="S19:S21"/>
    <mergeCell ref="E7:I7"/>
    <mergeCell ref="P7:T7"/>
    <mergeCell ref="B15:B18"/>
    <mergeCell ref="D16:E16"/>
    <mergeCell ref="F16:G16"/>
    <mergeCell ref="H16:I16"/>
    <mergeCell ref="J16:K16"/>
    <mergeCell ref="L16:M16"/>
    <mergeCell ref="N16:O16"/>
    <mergeCell ref="Q9:Q11"/>
    <mergeCell ref="R9:R11"/>
    <mergeCell ref="K9:K11"/>
    <mergeCell ref="L9:L11"/>
    <mergeCell ref="M9:M11"/>
    <mergeCell ref="J17:K17"/>
    <mergeCell ref="L17:M17"/>
    <mergeCell ref="N17:O17"/>
    <mergeCell ref="P17:U17"/>
    <mergeCell ref="B5:B8"/>
    <mergeCell ref="C6:T6"/>
    <mergeCell ref="P9:P11"/>
    <mergeCell ref="C5:T5"/>
    <mergeCell ref="V16:W16"/>
    <mergeCell ref="V17:W17"/>
    <mergeCell ref="W19:W21"/>
    <mergeCell ref="X16:Y16"/>
    <mergeCell ref="X17:Y17"/>
    <mergeCell ref="Y19:Y21"/>
    <mergeCell ref="K36:K38"/>
    <mergeCell ref="M36:M38"/>
    <mergeCell ref="E36:E38"/>
    <mergeCell ref="F36:F38"/>
    <mergeCell ref="G36:G38"/>
    <mergeCell ref="I36:I38"/>
    <mergeCell ref="P16:U16"/>
    <mergeCell ref="C25:L25"/>
    <mergeCell ref="C26:F26"/>
    <mergeCell ref="G26:H26"/>
    <mergeCell ref="I26:J26"/>
    <mergeCell ref="U19:U21"/>
    <mergeCell ref="E19:E21"/>
    <mergeCell ref="G19:G21"/>
    <mergeCell ref="I19:I21"/>
    <mergeCell ref="K19:K21"/>
    <mergeCell ref="M19:M21"/>
    <mergeCell ref="O19:O21"/>
  </mergeCells>
  <conditionalFormatting sqref="D9:D10">
    <cfRule type="cellIs" dxfId="4888" priority="323" stopIfTrue="1" operator="greaterThan">
      <formula>0.03</formula>
    </cfRule>
    <cfRule type="cellIs" dxfId="4887" priority="324" stopIfTrue="1" operator="lessThan">
      <formula>-0.03</formula>
    </cfRule>
  </conditionalFormatting>
  <conditionalFormatting sqref="M28">
    <cfRule type="cellIs" dxfId="4886" priority="2277" stopIfTrue="1" operator="lessThan">
      <formula>1</formula>
    </cfRule>
  </conditionalFormatting>
  <conditionalFormatting sqref="C28:M28">
    <cfRule type="cellIs" dxfId="4885" priority="335" stopIfTrue="1" operator="greaterThan">
      <formula>2</formula>
    </cfRule>
    <cfRule type="cellIs" dxfId="4884" priority="336" stopIfTrue="1" operator="lessThan">
      <formula>0.5</formula>
    </cfRule>
  </conditionalFormatting>
  <conditionalFormatting sqref="D9">
    <cfRule type="cellIs" dxfId="4883" priority="2279" stopIfTrue="1" operator="greaterThan">
      <formula>0</formula>
    </cfRule>
    <cfRule type="cellIs" dxfId="4882" priority="2280" stopIfTrue="1" operator="lessThan">
      <formula>0</formula>
    </cfRule>
  </conditionalFormatting>
  <conditionalFormatting sqref="D10">
    <cfRule type="cellIs" dxfId="4881" priority="325" stopIfTrue="1" operator="lessThan">
      <formula>0</formula>
    </cfRule>
    <cfRule type="cellIs" dxfId="4880" priority="326" stopIfTrue="1" operator="greaterThan">
      <formula>0</formula>
    </cfRule>
  </conditionalFormatting>
  <conditionalFormatting sqref="D12">
    <cfRule type="cellIs" dxfId="4879" priority="317" stopIfTrue="1" operator="greaterThan">
      <formula>0.03</formula>
    </cfRule>
    <cfRule type="cellIs" dxfId="4878" priority="318" stopIfTrue="1" operator="lessThan">
      <formula>-0.03</formula>
    </cfRule>
  </conditionalFormatting>
  <conditionalFormatting sqref="D12">
    <cfRule type="cellIs" dxfId="4877" priority="319" stopIfTrue="1" operator="greaterThan">
      <formula>0</formula>
    </cfRule>
    <cfRule type="cellIs" dxfId="4876" priority="320" stopIfTrue="1" operator="lessThan">
      <formula>0</formula>
    </cfRule>
  </conditionalFormatting>
  <conditionalFormatting sqref="D12">
    <cfRule type="cellIs" dxfId="4875" priority="315" stopIfTrue="1" operator="lessThan">
      <formula>0</formula>
    </cfRule>
    <cfRule type="cellIs" dxfId="4874" priority="316" stopIfTrue="1" operator="greaterThan">
      <formula>0</formula>
    </cfRule>
  </conditionalFormatting>
  <conditionalFormatting sqref="D11">
    <cfRule type="cellIs" dxfId="4873" priority="310" stopIfTrue="1" operator="greaterThan">
      <formula>0.03</formula>
    </cfRule>
    <cfRule type="cellIs" dxfId="4872" priority="311" stopIfTrue="1" operator="lessThan">
      <formula>-0.03</formula>
    </cfRule>
  </conditionalFormatting>
  <conditionalFormatting sqref="D11">
    <cfRule type="cellIs" dxfId="4871" priority="313" stopIfTrue="1" operator="greaterThan">
      <formula>0</formula>
    </cfRule>
  </conditionalFormatting>
  <conditionalFormatting sqref="D11">
    <cfRule type="cellIs" dxfId="4870" priority="312" stopIfTrue="1" operator="lessThan">
      <formula>0</formula>
    </cfRule>
  </conditionalFormatting>
  <conditionalFormatting sqref="E9">
    <cfRule type="cellIs" dxfId="4869" priority="305" stopIfTrue="1" operator="greaterThan">
      <formula>0.03</formula>
    </cfRule>
    <cfRule type="cellIs" dxfId="4868" priority="306" stopIfTrue="1" operator="lessThan">
      <formula>-0.03</formula>
    </cfRule>
  </conditionalFormatting>
  <conditionalFormatting sqref="E9">
    <cfRule type="cellIs" dxfId="4867" priority="308" stopIfTrue="1" operator="greaterThan">
      <formula>0</formula>
    </cfRule>
  </conditionalFormatting>
  <conditionalFormatting sqref="E9">
    <cfRule type="cellIs" dxfId="4866" priority="307" stopIfTrue="1" operator="lessThan">
      <formula>0</formula>
    </cfRule>
  </conditionalFormatting>
  <conditionalFormatting sqref="F9:T9">
    <cfRule type="cellIs" dxfId="4865" priority="301" stopIfTrue="1" operator="greaterThan">
      <formula>0.03</formula>
    </cfRule>
    <cfRule type="cellIs" dxfId="4864" priority="302" stopIfTrue="1" operator="lessThan">
      <formula>-0.03</formula>
    </cfRule>
  </conditionalFormatting>
  <conditionalFormatting sqref="F9:T9">
    <cfRule type="cellIs" dxfId="4863" priority="304" stopIfTrue="1" operator="greaterThan">
      <formula>0</formula>
    </cfRule>
  </conditionalFormatting>
  <conditionalFormatting sqref="F9:T9">
    <cfRule type="cellIs" dxfId="4862" priority="303" stopIfTrue="1" operator="lessThan">
      <formula>0</formula>
    </cfRule>
  </conditionalFormatting>
  <conditionalFormatting sqref="Q19">
    <cfRule type="cellIs" dxfId="4861" priority="63" stopIfTrue="1" operator="greaterThan">
      <formula>0.03</formula>
    </cfRule>
    <cfRule type="cellIs" dxfId="4860" priority="64" stopIfTrue="1" operator="lessThan">
      <formula>-0.03</formula>
    </cfRule>
  </conditionalFormatting>
  <conditionalFormatting sqref="Q19">
    <cfRule type="cellIs" dxfId="4859" priority="66" stopIfTrue="1" operator="greaterThan">
      <formula>0</formula>
    </cfRule>
  </conditionalFormatting>
  <conditionalFormatting sqref="Q19">
    <cfRule type="cellIs" dxfId="4858" priority="65" stopIfTrue="1" operator="lessThan">
      <formula>0</formula>
    </cfRule>
  </conditionalFormatting>
  <conditionalFormatting sqref="K19">
    <cfRule type="cellIs" dxfId="4857" priority="75" stopIfTrue="1" operator="greaterThan">
      <formula>0.03</formula>
    </cfRule>
    <cfRule type="cellIs" dxfId="4856" priority="76" stopIfTrue="1" operator="lessThan">
      <formula>-0.03</formula>
    </cfRule>
  </conditionalFormatting>
  <conditionalFormatting sqref="G19">
    <cfRule type="cellIs" dxfId="4855" priority="83" stopIfTrue="1" operator="greaterThan">
      <formula>0.03</formula>
    </cfRule>
    <cfRule type="cellIs" dxfId="4854" priority="84" stopIfTrue="1" operator="lessThan">
      <formula>-0.03</formula>
    </cfRule>
  </conditionalFormatting>
  <conditionalFormatting sqref="S19">
    <cfRule type="cellIs" dxfId="4853" priority="55" stopIfTrue="1" operator="greaterThan">
      <formula>0.03</formula>
    </cfRule>
    <cfRule type="cellIs" dxfId="4852" priority="56" stopIfTrue="1" operator="lessThan">
      <formula>-0.03</formula>
    </cfRule>
  </conditionalFormatting>
  <conditionalFormatting sqref="S19">
    <cfRule type="cellIs" dxfId="4851" priority="58" stopIfTrue="1" operator="greaterThan">
      <formula>0</formula>
    </cfRule>
  </conditionalFormatting>
  <conditionalFormatting sqref="S19">
    <cfRule type="cellIs" dxfId="4850" priority="57" stopIfTrue="1" operator="lessThan">
      <formula>0</formula>
    </cfRule>
  </conditionalFormatting>
  <conditionalFormatting sqref="D19:D20">
    <cfRule type="cellIs" dxfId="4849" priority="235" stopIfTrue="1" operator="greaterThan">
      <formula>0.03</formula>
    </cfRule>
    <cfRule type="cellIs" dxfId="4848" priority="236" stopIfTrue="1" operator="lessThan">
      <formula>-0.03</formula>
    </cfRule>
  </conditionalFormatting>
  <conditionalFormatting sqref="D19">
    <cfRule type="cellIs" dxfId="4847" priority="239" stopIfTrue="1" operator="greaterThan">
      <formula>0</formula>
    </cfRule>
    <cfRule type="cellIs" dxfId="4846" priority="240" stopIfTrue="1" operator="lessThan">
      <formula>0</formula>
    </cfRule>
  </conditionalFormatting>
  <conditionalFormatting sqref="D20">
    <cfRule type="cellIs" dxfId="4845" priority="237" stopIfTrue="1" operator="lessThan">
      <formula>0</formula>
    </cfRule>
    <cfRule type="cellIs" dxfId="4844" priority="238" stopIfTrue="1" operator="greaterThan">
      <formula>0</formula>
    </cfRule>
  </conditionalFormatting>
  <conditionalFormatting sqref="D21">
    <cfRule type="cellIs" dxfId="4843" priority="231" stopIfTrue="1" operator="greaterThan">
      <formula>0.03</formula>
    </cfRule>
    <cfRule type="cellIs" dxfId="4842" priority="232" stopIfTrue="1" operator="lessThan">
      <formula>-0.03</formula>
    </cfRule>
  </conditionalFormatting>
  <conditionalFormatting sqref="D21">
    <cfRule type="cellIs" dxfId="4841" priority="234" stopIfTrue="1" operator="greaterThan">
      <formula>0</formula>
    </cfRule>
  </conditionalFormatting>
  <conditionalFormatting sqref="D21">
    <cfRule type="cellIs" dxfId="4840" priority="233" stopIfTrue="1" operator="lessThan">
      <formula>0</formula>
    </cfRule>
  </conditionalFormatting>
  <conditionalFormatting sqref="K36 K39 K42 K45 K48 K51 K54">
    <cfRule type="cellIs" dxfId="4839" priority="19" stopIfTrue="1" operator="greaterThan">
      <formula>0.03</formula>
    </cfRule>
    <cfRule type="cellIs" dxfId="4838" priority="20" stopIfTrue="1" operator="lessThan">
      <formula>-0.03</formula>
    </cfRule>
  </conditionalFormatting>
  <conditionalFormatting sqref="M36 M39 M42 M45 M48 M51 M54">
    <cfRule type="cellIs" dxfId="4837" priority="15" stopIfTrue="1" operator="greaterThan">
      <formula>0.03</formula>
    </cfRule>
    <cfRule type="cellIs" dxfId="4836" priority="16" stopIfTrue="1" operator="lessThan">
      <formula>-0.03</formula>
    </cfRule>
  </conditionalFormatting>
  <conditionalFormatting sqref="M36 M39 M42 M45 M48 M51 M54">
    <cfRule type="cellIs" dxfId="4835" priority="18" stopIfTrue="1" operator="greaterThan">
      <formula>0</formula>
    </cfRule>
  </conditionalFormatting>
  <conditionalFormatting sqref="M36 M39 M42 M45 M48 M51 M54">
    <cfRule type="cellIs" dxfId="4834" priority="17" stopIfTrue="1" operator="lessThan">
      <formula>0</formula>
    </cfRule>
  </conditionalFormatting>
  <conditionalFormatting sqref="D36:D37 D39:D40 D42:D43 D45:D46 D48:D49 D51:D52 D54:D55">
    <cfRule type="cellIs" dxfId="4833" priority="215" stopIfTrue="1" operator="greaterThan">
      <formula>0.03</formula>
    </cfRule>
    <cfRule type="cellIs" dxfId="4832" priority="216" stopIfTrue="1" operator="lessThan">
      <formula>-0.03</formula>
    </cfRule>
  </conditionalFormatting>
  <conditionalFormatting sqref="D36 D39 D42 D45 D48 D51 D54">
    <cfRule type="cellIs" dxfId="4831" priority="219" stopIfTrue="1" operator="greaterThan">
      <formula>0</formula>
    </cfRule>
    <cfRule type="cellIs" dxfId="4830" priority="220" stopIfTrue="1" operator="lessThan">
      <formula>0</formula>
    </cfRule>
  </conditionalFormatting>
  <conditionalFormatting sqref="D37 D40 D43 D46 D49 D52 D55">
    <cfRule type="cellIs" dxfId="4829" priority="217" stopIfTrue="1" operator="lessThan">
      <formula>0</formula>
    </cfRule>
    <cfRule type="cellIs" dxfId="4828" priority="218" stopIfTrue="1" operator="greaterThan">
      <formula>0</formula>
    </cfRule>
  </conditionalFormatting>
  <conditionalFormatting sqref="D38 D41 D44 D47 D50 D53 D56">
    <cfRule type="cellIs" dxfId="4827" priority="211" stopIfTrue="1" operator="greaterThan">
      <formula>0.03</formula>
    </cfRule>
    <cfRule type="cellIs" dxfId="4826" priority="212" stopIfTrue="1" operator="lessThan">
      <formula>-0.03</formula>
    </cfRule>
  </conditionalFormatting>
  <conditionalFormatting sqref="D38 D41 D44 D47 D50 D53 D56">
    <cfRule type="cellIs" dxfId="4825" priority="214" stopIfTrue="1" operator="greaterThan">
      <formula>0</formula>
    </cfRule>
  </conditionalFormatting>
  <conditionalFormatting sqref="D38 D41 D44 D47 D50 D53 D56">
    <cfRule type="cellIs" dxfId="4824" priority="213" stopIfTrue="1" operator="lessThan">
      <formula>0</formula>
    </cfRule>
  </conditionalFormatting>
  <conditionalFormatting sqref="H36:H37 H39:H40 H42:H43 H45:H46 H48:H49 H51:H52 H54:H55">
    <cfRule type="cellIs" dxfId="4823" priority="205" stopIfTrue="1" operator="greaterThan">
      <formula>0.03</formula>
    </cfRule>
    <cfRule type="cellIs" dxfId="4822" priority="206" stopIfTrue="1" operator="lessThan">
      <formula>-0.03</formula>
    </cfRule>
  </conditionalFormatting>
  <conditionalFormatting sqref="H36 H39 H42 H45 H48 H51 H54">
    <cfRule type="cellIs" dxfId="4821" priority="209" stopIfTrue="1" operator="greaterThan">
      <formula>0</formula>
    </cfRule>
    <cfRule type="cellIs" dxfId="4820" priority="210" stopIfTrue="1" operator="lessThan">
      <formula>0</formula>
    </cfRule>
  </conditionalFormatting>
  <conditionalFormatting sqref="H37 H40 H43 H46 H49 H52 H55">
    <cfRule type="cellIs" dxfId="4819" priority="207" stopIfTrue="1" operator="lessThan">
      <formula>0</formula>
    </cfRule>
    <cfRule type="cellIs" dxfId="4818" priority="208" stopIfTrue="1" operator="greaterThan">
      <formula>0</formula>
    </cfRule>
  </conditionalFormatting>
  <conditionalFormatting sqref="H38 H41 H44 H47 H50 H53 H56">
    <cfRule type="cellIs" dxfId="4817" priority="201" stopIfTrue="1" operator="greaterThan">
      <formula>0.03</formula>
    </cfRule>
    <cfRule type="cellIs" dxfId="4816" priority="202" stopIfTrue="1" operator="lessThan">
      <formula>-0.03</formula>
    </cfRule>
  </conditionalFormatting>
  <conditionalFormatting sqref="H38 H41 H44 H47 H50 H53 H56">
    <cfRule type="cellIs" dxfId="4815" priority="204" stopIfTrue="1" operator="greaterThan">
      <formula>0</formula>
    </cfRule>
  </conditionalFormatting>
  <conditionalFormatting sqref="H38 H41 H44 H47 H50 H53 H56">
    <cfRule type="cellIs" dxfId="4814" priority="203" stopIfTrue="1" operator="lessThan">
      <formula>0</formula>
    </cfRule>
  </conditionalFormatting>
  <conditionalFormatting sqref="L36:L37 L39:L40 L42:L43 L45:L46 L48:L49 L51:L52 L54:L55">
    <cfRule type="cellIs" dxfId="4813" priority="195" stopIfTrue="1" operator="greaterThan">
      <formula>0.03</formula>
    </cfRule>
    <cfRule type="cellIs" dxfId="4812" priority="196" stopIfTrue="1" operator="lessThan">
      <formula>-0.03</formula>
    </cfRule>
  </conditionalFormatting>
  <conditionalFormatting sqref="L36 L39 L42 L45 L48 L51 L54">
    <cfRule type="cellIs" dxfId="4811" priority="199" stopIfTrue="1" operator="greaterThan">
      <formula>0</formula>
    </cfRule>
    <cfRule type="cellIs" dxfId="4810" priority="200" stopIfTrue="1" operator="lessThan">
      <formula>0</formula>
    </cfRule>
  </conditionalFormatting>
  <conditionalFormatting sqref="L37 L40 L43 L46 L49 L52 L55">
    <cfRule type="cellIs" dxfId="4809" priority="197" stopIfTrue="1" operator="lessThan">
      <formula>0</formula>
    </cfRule>
    <cfRule type="cellIs" dxfId="4808" priority="198" stopIfTrue="1" operator="greaterThan">
      <formula>0</formula>
    </cfRule>
  </conditionalFormatting>
  <conditionalFormatting sqref="L38 L41 L44 L47 L50 L53 L56">
    <cfRule type="cellIs" dxfId="4807" priority="191" stopIfTrue="1" operator="greaterThan">
      <formula>0.03</formula>
    </cfRule>
    <cfRule type="cellIs" dxfId="4806" priority="192" stopIfTrue="1" operator="lessThan">
      <formula>-0.03</formula>
    </cfRule>
  </conditionalFormatting>
  <conditionalFormatting sqref="L38 L41 L44 L47 L50 L53 L56">
    <cfRule type="cellIs" dxfId="4805" priority="194" stopIfTrue="1" operator="greaterThan">
      <formula>0</formula>
    </cfRule>
  </conditionalFormatting>
  <conditionalFormatting sqref="L38 L41 L44 L47 L50 L53 L56">
    <cfRule type="cellIs" dxfId="4804" priority="193" stopIfTrue="1" operator="lessThan">
      <formula>0</formula>
    </cfRule>
  </conditionalFormatting>
  <conditionalFormatting sqref="J36:J37 J39:J40 J42:J43 J45:J46 J48:J49 J51:J52 J54:J55">
    <cfRule type="cellIs" dxfId="4803" priority="185" stopIfTrue="1" operator="greaterThan">
      <formula>0.03</formula>
    </cfRule>
    <cfRule type="cellIs" dxfId="4802" priority="186" stopIfTrue="1" operator="lessThan">
      <formula>-0.03</formula>
    </cfRule>
  </conditionalFormatting>
  <conditionalFormatting sqref="J36 J39 J42 J45 J48 J51 J54">
    <cfRule type="cellIs" dxfId="4801" priority="189" stopIfTrue="1" operator="greaterThan">
      <formula>0</formula>
    </cfRule>
    <cfRule type="cellIs" dxfId="4800" priority="190" stopIfTrue="1" operator="lessThan">
      <formula>0</formula>
    </cfRule>
  </conditionalFormatting>
  <conditionalFormatting sqref="J37 J40 J43 J46 J49 J52 J55">
    <cfRule type="cellIs" dxfId="4799" priority="187" stopIfTrue="1" operator="lessThan">
      <formula>0</formula>
    </cfRule>
    <cfRule type="cellIs" dxfId="4798" priority="188" stopIfTrue="1" operator="greaterThan">
      <formula>0</formula>
    </cfRule>
  </conditionalFormatting>
  <conditionalFormatting sqref="J38 J41 J44 J47 J50 J53 J56">
    <cfRule type="cellIs" dxfId="4797" priority="181" stopIfTrue="1" operator="greaterThan">
      <formula>0.03</formula>
    </cfRule>
    <cfRule type="cellIs" dxfId="4796" priority="182" stopIfTrue="1" operator="lessThan">
      <formula>-0.03</formula>
    </cfRule>
  </conditionalFormatting>
  <conditionalFormatting sqref="J38 J41 J44 J47 J50 J53 J56">
    <cfRule type="cellIs" dxfId="4795" priority="184" stopIfTrue="1" operator="greaterThan">
      <formula>0</formula>
    </cfRule>
  </conditionalFormatting>
  <conditionalFormatting sqref="J38 J41 J44 J47 J50 J53 J56">
    <cfRule type="cellIs" dxfId="4794" priority="183" stopIfTrue="1" operator="lessThan">
      <formula>0</formula>
    </cfRule>
  </conditionalFormatting>
  <conditionalFormatting sqref="F19:F20">
    <cfRule type="cellIs" dxfId="4793" priority="175" stopIfTrue="1" operator="greaterThan">
      <formula>0.03</formula>
    </cfRule>
    <cfRule type="cellIs" dxfId="4792" priority="176" stopIfTrue="1" operator="lessThan">
      <formula>-0.03</formula>
    </cfRule>
  </conditionalFormatting>
  <conditionalFormatting sqref="F19">
    <cfRule type="cellIs" dxfId="4791" priority="179" stopIfTrue="1" operator="greaterThan">
      <formula>0</formula>
    </cfRule>
    <cfRule type="cellIs" dxfId="4790" priority="180" stopIfTrue="1" operator="lessThan">
      <formula>0</formula>
    </cfRule>
  </conditionalFormatting>
  <conditionalFormatting sqref="F20">
    <cfRule type="cellIs" dxfId="4789" priority="177" stopIfTrue="1" operator="lessThan">
      <formula>0</formula>
    </cfRule>
    <cfRule type="cellIs" dxfId="4788" priority="178" stopIfTrue="1" operator="greaterThan">
      <formula>0</formula>
    </cfRule>
  </conditionalFormatting>
  <conditionalFormatting sqref="F21">
    <cfRule type="cellIs" dxfId="4787" priority="171" stopIfTrue="1" operator="greaterThan">
      <formula>0.03</formula>
    </cfRule>
    <cfRule type="cellIs" dxfId="4786" priority="172" stopIfTrue="1" operator="lessThan">
      <formula>-0.03</formula>
    </cfRule>
  </conditionalFormatting>
  <conditionalFormatting sqref="F21">
    <cfRule type="cellIs" dxfId="4785" priority="174" stopIfTrue="1" operator="greaterThan">
      <formula>0</formula>
    </cfRule>
  </conditionalFormatting>
  <conditionalFormatting sqref="F21">
    <cfRule type="cellIs" dxfId="4784" priority="173" stopIfTrue="1" operator="lessThan">
      <formula>0</formula>
    </cfRule>
  </conditionalFormatting>
  <conditionalFormatting sqref="H19:H20">
    <cfRule type="cellIs" dxfId="4783" priority="165" stopIfTrue="1" operator="greaterThan">
      <formula>0.03</formula>
    </cfRule>
    <cfRule type="cellIs" dxfId="4782" priority="166" stopIfTrue="1" operator="lessThan">
      <formula>-0.03</formula>
    </cfRule>
  </conditionalFormatting>
  <conditionalFormatting sqref="H19">
    <cfRule type="cellIs" dxfId="4781" priority="169" stopIfTrue="1" operator="greaterThan">
      <formula>0</formula>
    </cfRule>
    <cfRule type="cellIs" dxfId="4780" priority="170" stopIfTrue="1" operator="lessThan">
      <formula>0</formula>
    </cfRule>
  </conditionalFormatting>
  <conditionalFormatting sqref="H20">
    <cfRule type="cellIs" dxfId="4779" priority="167" stopIfTrue="1" operator="lessThan">
      <formula>0</formula>
    </cfRule>
    <cfRule type="cellIs" dxfId="4778" priority="168" stopIfTrue="1" operator="greaterThan">
      <formula>0</formula>
    </cfRule>
  </conditionalFormatting>
  <conditionalFormatting sqref="H21">
    <cfRule type="cellIs" dxfId="4777" priority="161" stopIfTrue="1" operator="greaterThan">
      <formula>0.03</formula>
    </cfRule>
    <cfRule type="cellIs" dxfId="4776" priority="162" stopIfTrue="1" operator="lessThan">
      <formula>-0.03</formula>
    </cfRule>
  </conditionalFormatting>
  <conditionalFormatting sqref="H21">
    <cfRule type="cellIs" dxfId="4775" priority="164" stopIfTrue="1" operator="greaterThan">
      <formula>0</formula>
    </cfRule>
  </conditionalFormatting>
  <conditionalFormatting sqref="H21">
    <cfRule type="cellIs" dxfId="4774" priority="163" stopIfTrue="1" operator="lessThan">
      <formula>0</formula>
    </cfRule>
  </conditionalFormatting>
  <conditionalFormatting sqref="J19:J20">
    <cfRule type="cellIs" dxfId="4773" priority="155" stopIfTrue="1" operator="greaterThan">
      <formula>0.03</formula>
    </cfRule>
    <cfRule type="cellIs" dxfId="4772" priority="156" stopIfTrue="1" operator="lessThan">
      <formula>-0.03</formula>
    </cfRule>
  </conditionalFormatting>
  <conditionalFormatting sqref="J19">
    <cfRule type="cellIs" dxfId="4771" priority="159" stopIfTrue="1" operator="greaterThan">
      <formula>0</formula>
    </cfRule>
    <cfRule type="cellIs" dxfId="4770" priority="160" stopIfTrue="1" operator="lessThan">
      <formula>0</formula>
    </cfRule>
  </conditionalFormatting>
  <conditionalFormatting sqref="J20">
    <cfRule type="cellIs" dxfId="4769" priority="157" stopIfTrue="1" operator="lessThan">
      <formula>0</formula>
    </cfRule>
    <cfRule type="cellIs" dxfId="4768" priority="158" stopIfTrue="1" operator="greaterThan">
      <formula>0</formula>
    </cfRule>
  </conditionalFormatting>
  <conditionalFormatting sqref="J21">
    <cfRule type="cellIs" dxfId="4767" priority="151" stopIfTrue="1" operator="greaterThan">
      <formula>0.03</formula>
    </cfRule>
    <cfRule type="cellIs" dxfId="4766" priority="152" stopIfTrue="1" operator="lessThan">
      <formula>-0.03</formula>
    </cfRule>
  </conditionalFormatting>
  <conditionalFormatting sqref="J21">
    <cfRule type="cellIs" dxfId="4765" priority="154" stopIfTrue="1" operator="greaterThan">
      <formula>0</formula>
    </cfRule>
  </conditionalFormatting>
  <conditionalFormatting sqref="J21">
    <cfRule type="cellIs" dxfId="4764" priority="153" stopIfTrue="1" operator="lessThan">
      <formula>0</formula>
    </cfRule>
  </conditionalFormatting>
  <conditionalFormatting sqref="L19:L20">
    <cfRule type="cellIs" dxfId="4763" priority="145" stopIfTrue="1" operator="greaterThan">
      <formula>0.03</formula>
    </cfRule>
    <cfRule type="cellIs" dxfId="4762" priority="146" stopIfTrue="1" operator="lessThan">
      <formula>-0.03</formula>
    </cfRule>
  </conditionalFormatting>
  <conditionalFormatting sqref="L19">
    <cfRule type="cellIs" dxfId="4761" priority="149" stopIfTrue="1" operator="greaterThan">
      <formula>0</formula>
    </cfRule>
    <cfRule type="cellIs" dxfId="4760" priority="150" stopIfTrue="1" operator="lessThan">
      <formula>0</formula>
    </cfRule>
  </conditionalFormatting>
  <conditionalFormatting sqref="L20">
    <cfRule type="cellIs" dxfId="4759" priority="147" stopIfTrue="1" operator="lessThan">
      <formula>0</formula>
    </cfRule>
    <cfRule type="cellIs" dxfId="4758" priority="148" stopIfTrue="1" operator="greaterThan">
      <formula>0</formula>
    </cfRule>
  </conditionalFormatting>
  <conditionalFormatting sqref="L21">
    <cfRule type="cellIs" dxfId="4757" priority="141" stopIfTrue="1" operator="greaterThan">
      <formula>0.03</formula>
    </cfRule>
    <cfRule type="cellIs" dxfId="4756" priority="142" stopIfTrue="1" operator="lessThan">
      <formula>-0.03</formula>
    </cfRule>
  </conditionalFormatting>
  <conditionalFormatting sqref="L21">
    <cfRule type="cellIs" dxfId="4755" priority="144" stopIfTrue="1" operator="greaterThan">
      <formula>0</formula>
    </cfRule>
  </conditionalFormatting>
  <conditionalFormatting sqref="L21">
    <cfRule type="cellIs" dxfId="4754" priority="143" stopIfTrue="1" operator="lessThan">
      <formula>0</formula>
    </cfRule>
  </conditionalFormatting>
  <conditionalFormatting sqref="N19:N20">
    <cfRule type="cellIs" dxfId="4753" priority="135" stopIfTrue="1" operator="greaterThan">
      <formula>0.03</formula>
    </cfRule>
    <cfRule type="cellIs" dxfId="4752" priority="136" stopIfTrue="1" operator="lessThan">
      <formula>-0.03</formula>
    </cfRule>
  </conditionalFormatting>
  <conditionalFormatting sqref="N19">
    <cfRule type="cellIs" dxfId="4751" priority="139" stopIfTrue="1" operator="greaterThan">
      <formula>0</formula>
    </cfRule>
    <cfRule type="cellIs" dxfId="4750" priority="140" stopIfTrue="1" operator="lessThan">
      <formula>0</formula>
    </cfRule>
  </conditionalFormatting>
  <conditionalFormatting sqref="N20">
    <cfRule type="cellIs" dxfId="4749" priority="137" stopIfTrue="1" operator="lessThan">
      <formula>0</formula>
    </cfRule>
    <cfRule type="cellIs" dxfId="4748" priority="138" stopIfTrue="1" operator="greaterThan">
      <formula>0</formula>
    </cfRule>
  </conditionalFormatting>
  <conditionalFormatting sqref="N21">
    <cfRule type="cellIs" dxfId="4747" priority="131" stopIfTrue="1" operator="greaterThan">
      <formula>0.03</formula>
    </cfRule>
    <cfRule type="cellIs" dxfId="4746" priority="132" stopIfTrue="1" operator="lessThan">
      <formula>-0.03</formula>
    </cfRule>
  </conditionalFormatting>
  <conditionalFormatting sqref="N21">
    <cfRule type="cellIs" dxfId="4745" priority="134" stopIfTrue="1" operator="greaterThan">
      <formula>0</formula>
    </cfRule>
  </conditionalFormatting>
  <conditionalFormatting sqref="N21">
    <cfRule type="cellIs" dxfId="4744" priority="133" stopIfTrue="1" operator="lessThan">
      <formula>0</formula>
    </cfRule>
  </conditionalFormatting>
  <conditionalFormatting sqref="P19:P20">
    <cfRule type="cellIs" dxfId="4743" priority="115" stopIfTrue="1" operator="greaterThan">
      <formula>0.03</formula>
    </cfRule>
    <cfRule type="cellIs" dxfId="4742" priority="116" stopIfTrue="1" operator="lessThan">
      <formula>-0.03</formula>
    </cfRule>
  </conditionalFormatting>
  <conditionalFormatting sqref="P19">
    <cfRule type="cellIs" dxfId="4741" priority="119" stopIfTrue="1" operator="greaterThan">
      <formula>0</formula>
    </cfRule>
    <cfRule type="cellIs" dxfId="4740" priority="120" stopIfTrue="1" operator="lessThan">
      <formula>0</formula>
    </cfRule>
  </conditionalFormatting>
  <conditionalFormatting sqref="P20">
    <cfRule type="cellIs" dxfId="4739" priority="117" stopIfTrue="1" operator="lessThan">
      <formula>0</formula>
    </cfRule>
    <cfRule type="cellIs" dxfId="4738" priority="118" stopIfTrue="1" operator="greaterThan">
      <formula>0</formula>
    </cfRule>
  </conditionalFormatting>
  <conditionalFormatting sqref="P21">
    <cfRule type="cellIs" dxfId="4737" priority="111" stopIfTrue="1" operator="greaterThan">
      <formula>0.03</formula>
    </cfRule>
    <cfRule type="cellIs" dxfId="4736" priority="112" stopIfTrue="1" operator="lessThan">
      <formula>-0.03</formula>
    </cfRule>
  </conditionalFormatting>
  <conditionalFormatting sqref="P21">
    <cfRule type="cellIs" dxfId="4735" priority="114" stopIfTrue="1" operator="greaterThan">
      <formula>0</formula>
    </cfRule>
  </conditionalFormatting>
  <conditionalFormatting sqref="P21">
    <cfRule type="cellIs" dxfId="4734" priority="113" stopIfTrue="1" operator="lessThan">
      <formula>0</formula>
    </cfRule>
  </conditionalFormatting>
  <conditionalFormatting sqref="V19:V20">
    <cfRule type="cellIs" dxfId="4733" priority="105" stopIfTrue="1" operator="greaterThan">
      <formula>0.03</formula>
    </cfRule>
    <cfRule type="cellIs" dxfId="4732" priority="106" stopIfTrue="1" operator="lessThan">
      <formula>-0.03</formula>
    </cfRule>
  </conditionalFormatting>
  <conditionalFormatting sqref="V19">
    <cfRule type="cellIs" dxfId="4731" priority="109" stopIfTrue="1" operator="greaterThan">
      <formula>0</formula>
    </cfRule>
    <cfRule type="cellIs" dxfId="4730" priority="110" stopIfTrue="1" operator="lessThan">
      <formula>0</formula>
    </cfRule>
  </conditionalFormatting>
  <conditionalFormatting sqref="V20">
    <cfRule type="cellIs" dxfId="4729" priority="107" stopIfTrue="1" operator="lessThan">
      <formula>0</formula>
    </cfRule>
    <cfRule type="cellIs" dxfId="4728" priority="108" stopIfTrue="1" operator="greaterThan">
      <formula>0</formula>
    </cfRule>
  </conditionalFormatting>
  <conditionalFormatting sqref="V21">
    <cfRule type="cellIs" dxfId="4727" priority="101" stopIfTrue="1" operator="greaterThan">
      <formula>0.03</formula>
    </cfRule>
    <cfRule type="cellIs" dxfId="4726" priority="102" stopIfTrue="1" operator="lessThan">
      <formula>-0.03</formula>
    </cfRule>
  </conditionalFormatting>
  <conditionalFormatting sqref="V21">
    <cfRule type="cellIs" dxfId="4725" priority="104" stopIfTrue="1" operator="greaterThan">
      <formula>0</formula>
    </cfRule>
  </conditionalFormatting>
  <conditionalFormatting sqref="V21">
    <cfRule type="cellIs" dxfId="4724" priority="103" stopIfTrue="1" operator="lessThan">
      <formula>0</formula>
    </cfRule>
  </conditionalFormatting>
  <conditionalFormatting sqref="X19:X20">
    <cfRule type="cellIs" dxfId="4723" priority="95" stopIfTrue="1" operator="greaterThan">
      <formula>0.03</formula>
    </cfRule>
    <cfRule type="cellIs" dxfId="4722" priority="96" stopIfTrue="1" operator="lessThan">
      <formula>-0.03</formula>
    </cfRule>
  </conditionalFormatting>
  <conditionalFormatting sqref="X19">
    <cfRule type="cellIs" dxfId="4721" priority="99" stopIfTrue="1" operator="greaterThan">
      <formula>0</formula>
    </cfRule>
    <cfRule type="cellIs" dxfId="4720" priority="100" stopIfTrue="1" operator="lessThan">
      <formula>0</formula>
    </cfRule>
  </conditionalFormatting>
  <conditionalFormatting sqref="X20">
    <cfRule type="cellIs" dxfId="4719" priority="97" stopIfTrue="1" operator="lessThan">
      <formula>0</formula>
    </cfRule>
    <cfRule type="cellIs" dxfId="4718" priority="98" stopIfTrue="1" operator="greaterThan">
      <formula>0</formula>
    </cfRule>
  </conditionalFormatting>
  <conditionalFormatting sqref="X21">
    <cfRule type="cellIs" dxfId="4717" priority="91" stopIfTrue="1" operator="greaterThan">
      <formula>0.03</formula>
    </cfRule>
    <cfRule type="cellIs" dxfId="4716" priority="92" stopIfTrue="1" operator="lessThan">
      <formula>-0.03</formula>
    </cfRule>
  </conditionalFormatting>
  <conditionalFormatting sqref="X21">
    <cfRule type="cellIs" dxfId="4715" priority="94" stopIfTrue="1" operator="greaterThan">
      <formula>0</formula>
    </cfRule>
  </conditionalFormatting>
  <conditionalFormatting sqref="X21">
    <cfRule type="cellIs" dxfId="4714" priority="93" stopIfTrue="1" operator="lessThan">
      <formula>0</formula>
    </cfRule>
  </conditionalFormatting>
  <conditionalFormatting sqref="E19">
    <cfRule type="cellIs" dxfId="4713" priority="87" stopIfTrue="1" operator="greaterThan">
      <formula>0.03</formula>
    </cfRule>
    <cfRule type="cellIs" dxfId="4712" priority="88" stopIfTrue="1" operator="lessThan">
      <formula>-0.03</formula>
    </cfRule>
  </conditionalFormatting>
  <conditionalFormatting sqref="E19">
    <cfRule type="cellIs" dxfId="4711" priority="90" stopIfTrue="1" operator="greaterThan">
      <formula>0</formula>
    </cfRule>
  </conditionalFormatting>
  <conditionalFormatting sqref="E19">
    <cfRule type="cellIs" dxfId="4710" priority="89" stopIfTrue="1" operator="lessThan">
      <formula>0</formula>
    </cfRule>
  </conditionalFormatting>
  <conditionalFormatting sqref="G19">
    <cfRule type="cellIs" dxfId="4709" priority="86" stopIfTrue="1" operator="greaterThan">
      <formula>0</formula>
    </cfRule>
  </conditionalFormatting>
  <conditionalFormatting sqref="G19">
    <cfRule type="cellIs" dxfId="4708" priority="85" stopIfTrue="1" operator="lessThan">
      <formula>0</formula>
    </cfRule>
  </conditionalFormatting>
  <conditionalFormatting sqref="I19">
    <cfRule type="cellIs" dxfId="4707" priority="79" stopIfTrue="1" operator="greaterThan">
      <formula>0.03</formula>
    </cfRule>
    <cfRule type="cellIs" dxfId="4706" priority="80" stopIfTrue="1" operator="lessThan">
      <formula>-0.03</formula>
    </cfRule>
  </conditionalFormatting>
  <conditionalFormatting sqref="I19">
    <cfRule type="cellIs" dxfId="4705" priority="82" stopIfTrue="1" operator="greaterThan">
      <formula>0</formula>
    </cfRule>
  </conditionalFormatting>
  <conditionalFormatting sqref="I19">
    <cfRule type="cellIs" dxfId="4704" priority="81" stopIfTrue="1" operator="lessThan">
      <formula>0</formula>
    </cfRule>
  </conditionalFormatting>
  <conditionalFormatting sqref="K19">
    <cfRule type="cellIs" dxfId="4703" priority="78" stopIfTrue="1" operator="greaterThan">
      <formula>0</formula>
    </cfRule>
  </conditionalFormatting>
  <conditionalFormatting sqref="K19">
    <cfRule type="cellIs" dxfId="4702" priority="77" stopIfTrue="1" operator="lessThan">
      <formula>0</formula>
    </cfRule>
  </conditionalFormatting>
  <conditionalFormatting sqref="M19">
    <cfRule type="cellIs" dxfId="4701" priority="71" stopIfTrue="1" operator="greaterThan">
      <formula>0.03</formula>
    </cfRule>
    <cfRule type="cellIs" dxfId="4700" priority="72" stopIfTrue="1" operator="lessThan">
      <formula>-0.03</formula>
    </cfRule>
  </conditionalFormatting>
  <conditionalFormatting sqref="M19">
    <cfRule type="cellIs" dxfId="4699" priority="74" stopIfTrue="1" operator="greaterThan">
      <formula>0</formula>
    </cfRule>
  </conditionalFormatting>
  <conditionalFormatting sqref="M19">
    <cfRule type="cellIs" dxfId="4698" priority="73" stopIfTrue="1" operator="lessThan">
      <formula>0</formula>
    </cfRule>
  </conditionalFormatting>
  <conditionalFormatting sqref="O19">
    <cfRule type="cellIs" dxfId="4697" priority="67" stopIfTrue="1" operator="greaterThan">
      <formula>0.03</formula>
    </cfRule>
    <cfRule type="cellIs" dxfId="4696" priority="68" stopIfTrue="1" operator="lessThan">
      <formula>-0.03</formula>
    </cfRule>
  </conditionalFormatting>
  <conditionalFormatting sqref="O19">
    <cfRule type="cellIs" dxfId="4695" priority="70" stopIfTrue="1" operator="greaterThan">
      <formula>0</formula>
    </cfRule>
  </conditionalFormatting>
  <conditionalFormatting sqref="O19">
    <cfRule type="cellIs" dxfId="4694" priority="69" stopIfTrue="1" operator="lessThan">
      <formula>0</formula>
    </cfRule>
  </conditionalFormatting>
  <conditionalFormatting sqref="R19">
    <cfRule type="cellIs" dxfId="4693" priority="59" stopIfTrue="1" operator="greaterThan">
      <formula>0.03</formula>
    </cfRule>
    <cfRule type="cellIs" dxfId="4692" priority="60" stopIfTrue="1" operator="lessThan">
      <formula>-0.03</formula>
    </cfRule>
  </conditionalFormatting>
  <conditionalFormatting sqref="R19">
    <cfRule type="cellIs" dxfId="4691" priority="62" stopIfTrue="1" operator="greaterThan">
      <formula>0</formula>
    </cfRule>
  </conditionalFormatting>
  <conditionalFormatting sqref="R19">
    <cfRule type="cellIs" dxfId="4690" priority="61" stopIfTrue="1" operator="lessThan">
      <formula>0</formula>
    </cfRule>
  </conditionalFormatting>
  <conditionalFormatting sqref="T19">
    <cfRule type="cellIs" dxfId="4689" priority="51" stopIfTrue="1" operator="greaterThan">
      <formula>0.03</formula>
    </cfRule>
    <cfRule type="cellIs" dxfId="4688" priority="52" stopIfTrue="1" operator="lessThan">
      <formula>-0.03</formula>
    </cfRule>
  </conditionalFormatting>
  <conditionalFormatting sqref="T19">
    <cfRule type="cellIs" dxfId="4687" priority="54" stopIfTrue="1" operator="greaterThan">
      <formula>0</formula>
    </cfRule>
  </conditionalFormatting>
  <conditionalFormatting sqref="T19">
    <cfRule type="cellIs" dxfId="4686" priority="53" stopIfTrue="1" operator="lessThan">
      <formula>0</formula>
    </cfRule>
  </conditionalFormatting>
  <conditionalFormatting sqref="U19">
    <cfRule type="cellIs" dxfId="4685" priority="47" stopIfTrue="1" operator="greaterThan">
      <formula>0.03</formula>
    </cfRule>
    <cfRule type="cellIs" dxfId="4684" priority="48" stopIfTrue="1" operator="lessThan">
      <formula>-0.03</formula>
    </cfRule>
  </conditionalFormatting>
  <conditionalFormatting sqref="U19">
    <cfRule type="cellIs" dxfId="4683" priority="50" stopIfTrue="1" operator="greaterThan">
      <formula>0</formula>
    </cfRule>
  </conditionalFormatting>
  <conditionalFormatting sqref="U19">
    <cfRule type="cellIs" dxfId="4682" priority="49" stopIfTrue="1" operator="lessThan">
      <formula>0</formula>
    </cfRule>
  </conditionalFormatting>
  <conditionalFormatting sqref="W19">
    <cfRule type="cellIs" dxfId="4681" priority="43" stopIfTrue="1" operator="greaterThan">
      <formula>0.03</formula>
    </cfRule>
    <cfRule type="cellIs" dxfId="4680" priority="44" stopIfTrue="1" operator="lessThan">
      <formula>-0.03</formula>
    </cfRule>
  </conditionalFormatting>
  <conditionalFormatting sqref="W19">
    <cfRule type="cellIs" dxfId="4679" priority="46" stopIfTrue="1" operator="greaterThan">
      <formula>0</formula>
    </cfRule>
  </conditionalFormatting>
  <conditionalFormatting sqref="W19">
    <cfRule type="cellIs" dxfId="4678" priority="45" stopIfTrue="1" operator="lessThan">
      <formula>0</formula>
    </cfRule>
  </conditionalFormatting>
  <conditionalFormatting sqref="Y19">
    <cfRule type="cellIs" dxfId="4677" priority="39" stopIfTrue="1" operator="greaterThan">
      <formula>0.03</formula>
    </cfRule>
    <cfRule type="cellIs" dxfId="4676" priority="40" stopIfTrue="1" operator="lessThan">
      <formula>-0.03</formula>
    </cfRule>
  </conditionalFormatting>
  <conditionalFormatting sqref="Y19">
    <cfRule type="cellIs" dxfId="4675" priority="42" stopIfTrue="1" operator="greaterThan">
      <formula>0</formula>
    </cfRule>
  </conditionalFormatting>
  <conditionalFormatting sqref="Y19">
    <cfRule type="cellIs" dxfId="4674" priority="41" stopIfTrue="1" operator="lessThan">
      <formula>0</formula>
    </cfRule>
  </conditionalFormatting>
  <conditionalFormatting sqref="E36 E39 E42 E45 E48 E51 E54">
    <cfRule type="cellIs" dxfId="4673" priority="35" stopIfTrue="1" operator="greaterThan">
      <formula>0.03</formula>
    </cfRule>
    <cfRule type="cellIs" dxfId="4672" priority="36" stopIfTrue="1" operator="lessThan">
      <formula>-0.03</formula>
    </cfRule>
  </conditionalFormatting>
  <conditionalFormatting sqref="E36 E39 E42 E45 E48 E51 E54">
    <cfRule type="cellIs" dxfId="4671" priority="38" stopIfTrue="1" operator="greaterThan">
      <formula>0</formula>
    </cfRule>
  </conditionalFormatting>
  <conditionalFormatting sqref="E36 E39 E42 E45 E48 E51 E54">
    <cfRule type="cellIs" dxfId="4670" priority="37" stopIfTrue="1" operator="lessThan">
      <formula>0</formula>
    </cfRule>
  </conditionalFormatting>
  <conditionalFormatting sqref="F36 F39 F42 F45 F48 F51 F54">
    <cfRule type="cellIs" dxfId="4669" priority="31" stopIfTrue="1" operator="greaterThan">
      <formula>0.03</formula>
    </cfRule>
    <cfRule type="cellIs" dxfId="4668" priority="32" stopIfTrue="1" operator="lessThan">
      <formula>-0.03</formula>
    </cfRule>
  </conditionalFormatting>
  <conditionalFormatting sqref="F36 F39 F42 F45 F48 F51 F54">
    <cfRule type="cellIs" dxfId="4667" priority="34" stopIfTrue="1" operator="greaterThan">
      <formula>0</formula>
    </cfRule>
  </conditionalFormatting>
  <conditionalFormatting sqref="F36 F39 F42 F45 F48 F51 F54">
    <cfRule type="cellIs" dxfId="4666" priority="33" stopIfTrue="1" operator="lessThan">
      <formula>0</formula>
    </cfRule>
  </conditionalFormatting>
  <conditionalFormatting sqref="G36 G39 G42 G45 G48 G51 G54">
    <cfRule type="cellIs" dxfId="4665" priority="27" stopIfTrue="1" operator="greaterThan">
      <formula>0.03</formula>
    </cfRule>
    <cfRule type="cellIs" dxfId="4664" priority="28" stopIfTrue="1" operator="lessThan">
      <formula>-0.03</formula>
    </cfRule>
  </conditionalFormatting>
  <conditionalFormatting sqref="G36 G39 G42 G45 G48 G51 G54">
    <cfRule type="cellIs" dxfId="4663" priority="30" stopIfTrue="1" operator="greaterThan">
      <formula>0</formula>
    </cfRule>
  </conditionalFormatting>
  <conditionalFormatting sqref="G36 G39 G42 G45 G48 G51 G54">
    <cfRule type="cellIs" dxfId="4662" priority="29" stopIfTrue="1" operator="lessThan">
      <formula>0</formula>
    </cfRule>
  </conditionalFormatting>
  <conditionalFormatting sqref="I36 I39 I42 I45 I48 I51 I54">
    <cfRule type="cellIs" dxfId="4661" priority="23" stopIfTrue="1" operator="greaterThan">
      <formula>0.03</formula>
    </cfRule>
    <cfRule type="cellIs" dxfId="4660" priority="24" stopIfTrue="1" operator="lessThan">
      <formula>-0.03</formula>
    </cfRule>
  </conditionalFormatting>
  <conditionalFormatting sqref="I36 I39 I42 I45 I48 I51 I54">
    <cfRule type="cellIs" dxfId="4659" priority="26" stopIfTrue="1" operator="greaterThan">
      <formula>0</formula>
    </cfRule>
  </conditionalFormatting>
  <conditionalFormatting sqref="I36 I39 I42 I45 I48 I51 I54">
    <cfRule type="cellIs" dxfId="4658" priority="25" stopIfTrue="1" operator="lessThan">
      <formula>0</formula>
    </cfRule>
  </conditionalFormatting>
  <conditionalFormatting sqref="K36 K39 K42 K45 K48 K51 K54">
    <cfRule type="cellIs" dxfId="4657" priority="22" stopIfTrue="1" operator="greaterThan">
      <formula>0</formula>
    </cfRule>
  </conditionalFormatting>
  <conditionalFormatting sqref="K36 K39 K42 K45 K48 K51 K54">
    <cfRule type="cellIs" dxfId="4656" priority="21" stopIfTrue="1" operator="lessThan">
      <formula>0</formula>
    </cfRule>
  </conditionalFormatting>
  <conditionalFormatting sqref="O36 O39 O42 O45 O48 O51 O54">
    <cfRule type="cellIs" dxfId="4655" priority="1" stopIfTrue="1" operator="greaterThan">
      <formula>0.03</formula>
    </cfRule>
    <cfRule type="cellIs" dxfId="4654" priority="2" stopIfTrue="1" operator="lessThan">
      <formula>-0.03</formula>
    </cfRule>
  </conditionalFormatting>
  <conditionalFormatting sqref="O36 O39 O42 O45 O48 O51 O54">
    <cfRule type="cellIs" dxfId="4653" priority="4" stopIfTrue="1" operator="greaterThan">
      <formula>0</formula>
    </cfRule>
  </conditionalFormatting>
  <conditionalFormatting sqref="O36 O39 O42 O45 O48 O51 O54">
    <cfRule type="cellIs" dxfId="4652" priority="3" stopIfTrue="1" operator="lessThan">
      <formula>0</formula>
    </cfRule>
  </conditionalFormatting>
  <conditionalFormatting sqref="N36:N37 N39:N40 N42:N43 N45:N46 N48:N49 N51:N52 N54:N55">
    <cfRule type="cellIs" dxfId="4651" priority="9" stopIfTrue="1" operator="greaterThan">
      <formula>0.03</formula>
    </cfRule>
    <cfRule type="cellIs" dxfId="4650" priority="10" stopIfTrue="1" operator="lessThan">
      <formula>-0.03</formula>
    </cfRule>
  </conditionalFormatting>
  <conditionalFormatting sqref="N36 N39 N42 N45 N48 N51 N54">
    <cfRule type="cellIs" dxfId="4649" priority="13" stopIfTrue="1" operator="greaterThan">
      <formula>0</formula>
    </cfRule>
    <cfRule type="cellIs" dxfId="4648" priority="14" stopIfTrue="1" operator="lessThan">
      <formula>0</formula>
    </cfRule>
  </conditionalFormatting>
  <conditionalFormatting sqref="N37 N40 N43 N46 N49 N52 N55">
    <cfRule type="cellIs" dxfId="4647" priority="11" stopIfTrue="1" operator="lessThan">
      <formula>0</formula>
    </cfRule>
    <cfRule type="cellIs" dxfId="4646" priority="12" stopIfTrue="1" operator="greaterThan">
      <formula>0</formula>
    </cfRule>
  </conditionalFormatting>
  <conditionalFormatting sqref="N38 N41 N44 N47 N50 N53 N56">
    <cfRule type="cellIs" dxfId="4645" priority="5" stopIfTrue="1" operator="greaterThan">
      <formula>0.03</formula>
    </cfRule>
    <cfRule type="cellIs" dxfId="4644" priority="6" stopIfTrue="1" operator="lessThan">
      <formula>-0.03</formula>
    </cfRule>
  </conditionalFormatting>
  <conditionalFormatting sqref="N38 N41 N44 N47 N50 N53 N56">
    <cfRule type="cellIs" dxfId="4643" priority="8" stopIfTrue="1" operator="greaterThan">
      <formula>0</formula>
    </cfRule>
  </conditionalFormatting>
  <conditionalFormatting sqref="N38 N41 N44 N47 N50 N53 N56">
    <cfRule type="cellIs" dxfId="4642" priority="7" stopIfTrue="1" operator="lessThan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91B5C5-E164-5846-A2EF-98D672B426C8}">
  <sheetPr codeName="Sheet1"/>
  <dimension ref="A1:AO254"/>
  <sheetViews>
    <sheetView zoomScaleNormal="100" workbookViewId="0">
      <selection activeCell="C47" sqref="C47:C52"/>
    </sheetView>
  </sheetViews>
  <sheetFormatPr baseColWidth="10" defaultColWidth="10.83203125" defaultRowHeight="16" x14ac:dyDescent="0.2"/>
  <cols>
    <col min="1" max="1" width="17.5" style="23" customWidth="1"/>
    <col min="2" max="3" width="10.83203125" style="23"/>
    <col min="4" max="4" width="15.1640625" style="26" customWidth="1"/>
    <col min="5" max="5" width="13" style="24" bestFit="1" customWidth="1"/>
    <col min="6" max="15" width="12.6640625" style="24" bestFit="1" customWidth="1"/>
    <col min="16" max="40" width="10.83203125" style="24"/>
    <col min="41" max="16384" width="10.83203125" style="23"/>
  </cols>
  <sheetData>
    <row r="1" spans="1:40" x14ac:dyDescent="0.2">
      <c r="A1" s="22"/>
      <c r="B1" s="22"/>
      <c r="C1" s="22"/>
      <c r="D1" s="182" t="s">
        <v>61</v>
      </c>
      <c r="E1" s="185" t="s">
        <v>54</v>
      </c>
      <c r="F1" s="186"/>
      <c r="G1" s="186"/>
      <c r="H1" s="186"/>
      <c r="I1" s="186"/>
      <c r="J1" s="186"/>
      <c r="K1" s="186"/>
      <c r="L1" s="186"/>
      <c r="M1" s="186"/>
      <c r="N1" s="186"/>
      <c r="O1" s="186"/>
      <c r="P1" s="186"/>
      <c r="Q1" s="186"/>
      <c r="R1" s="186"/>
      <c r="S1" s="186"/>
      <c r="T1" s="186"/>
      <c r="U1" s="186"/>
      <c r="V1" s="187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</row>
    <row r="2" spans="1:40" x14ac:dyDescent="0.2">
      <c r="A2" s="22"/>
      <c r="B2" s="22"/>
      <c r="C2" s="22"/>
      <c r="D2" s="183"/>
      <c r="E2" s="176" t="s">
        <v>55</v>
      </c>
      <c r="F2" s="177"/>
      <c r="G2" s="177"/>
      <c r="H2" s="177"/>
      <c r="I2" s="177"/>
      <c r="J2" s="177"/>
      <c r="K2" s="177"/>
      <c r="L2" s="177"/>
      <c r="M2" s="177"/>
      <c r="N2" s="177"/>
      <c r="O2" s="177"/>
      <c r="P2" s="177"/>
      <c r="Q2" s="177"/>
      <c r="R2" s="177"/>
      <c r="S2" s="177"/>
      <c r="T2" s="177"/>
      <c r="U2" s="177"/>
      <c r="V2" s="178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23"/>
    </row>
    <row r="3" spans="1:40" x14ac:dyDescent="0.2">
      <c r="B3" s="24"/>
      <c r="C3" s="24"/>
      <c r="D3" s="183"/>
      <c r="E3" s="27"/>
      <c r="F3" s="27"/>
      <c r="G3" s="176" t="s">
        <v>13</v>
      </c>
      <c r="H3" s="177"/>
      <c r="I3" s="177"/>
      <c r="J3" s="177"/>
      <c r="K3" s="181"/>
      <c r="L3" s="27"/>
      <c r="M3" s="27"/>
      <c r="N3" s="27"/>
      <c r="O3" s="27"/>
      <c r="P3" s="27"/>
      <c r="Q3" s="27"/>
      <c r="R3" s="176" t="s">
        <v>42</v>
      </c>
      <c r="S3" s="177"/>
      <c r="T3" s="177"/>
      <c r="U3" s="177"/>
      <c r="V3" s="178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</row>
    <row r="4" spans="1:40" ht="17" thickBot="1" x14ac:dyDescent="0.25">
      <c r="B4" s="25"/>
      <c r="C4" s="25"/>
      <c r="D4" s="183"/>
      <c r="E4" s="28"/>
      <c r="F4" s="28" t="s">
        <v>24</v>
      </c>
      <c r="G4" s="28" t="str">
        <f>BoxingPractice!C46</f>
        <v>Y</v>
      </c>
      <c r="H4" s="28" t="str">
        <f>BoxingPractice!D46</f>
        <v>U</v>
      </c>
      <c r="I4" s="28" t="str">
        <f>BoxingPractice!E46</f>
        <v>V</v>
      </c>
      <c r="J4" s="28" t="str">
        <f>BoxingPractice!F46</f>
        <v>YUV</v>
      </c>
      <c r="K4" s="28" t="s">
        <v>75</v>
      </c>
      <c r="L4" s="28" t="str">
        <f>BoxingPractice!G46</f>
        <v>SSIM_Y</v>
      </c>
      <c r="M4" s="28" t="str">
        <f>BoxingPractice!H46</f>
        <v>MS-SSIM</v>
      </c>
      <c r="N4" s="28" t="str">
        <f>BoxingPractice!I46</f>
        <v>VMAF</v>
      </c>
      <c r="O4" s="28" t="str">
        <f>BoxingPractice!J46</f>
        <v>nVMAF</v>
      </c>
      <c r="P4" s="28" t="str">
        <f>BoxingPractice!K46</f>
        <v>PSNR-HVS</v>
      </c>
      <c r="Q4" s="28" t="str">
        <f>BoxingPractice!L46</f>
        <v>DE-2K</v>
      </c>
      <c r="R4" s="28" t="str">
        <f>BoxingPractice!M46</f>
        <v>Y</v>
      </c>
      <c r="S4" s="28" t="str">
        <f>BoxingPractice!N46</f>
        <v>U</v>
      </c>
      <c r="T4" s="28" t="str">
        <f>BoxingPractice!O46</f>
        <v>V</v>
      </c>
      <c r="U4" s="28" t="str">
        <f>BoxingPractice!P46</f>
        <v>YUV</v>
      </c>
      <c r="V4" s="63" t="s">
        <v>75</v>
      </c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</row>
    <row r="5" spans="1:40" x14ac:dyDescent="0.2">
      <c r="D5" s="233" t="s">
        <v>50</v>
      </c>
      <c r="E5" s="54" t="str" cm="1">
        <f t="array" aca="1" ref="E5" ca="1">INDIRECT(""&amp;$D5 &amp; "!A47")</f>
        <v>High</v>
      </c>
      <c r="F5" s="44" t="e" cm="1">
        <f t="array" aca="1" ref="F5" ca="1">INDIRECT(""&amp;$D5 &amp; "!B47")</f>
        <v>#VALUE!</v>
      </c>
      <c r="G5" s="171" t="e" cm="1">
        <f t="array" aca="1" ref="G5" ca="1">INDIRECT(""&amp;$D5 &amp; "!C47")</f>
        <v>#VALUE!</v>
      </c>
      <c r="H5" s="171" t="e" cm="1">
        <f t="array" aca="1" ref="H5" ca="1">INDIRECT(""&amp;$D5 &amp; "!D47")</f>
        <v>#VALUE!</v>
      </c>
      <c r="I5" s="171" t="e" cm="1">
        <f t="array" aca="1" ref="I5" ca="1">INDIRECT(""&amp;$D5 &amp; "!E47")</f>
        <v>#VALUE!</v>
      </c>
      <c r="J5" s="171" t="e" cm="1">
        <f t="array" aca="1" ref="J5" ca="1">INDIRECT(""&amp;$D5 &amp; "!F47")</f>
        <v>#VALUE!</v>
      </c>
      <c r="K5" s="171" t="e">
        <f ca="1">('Summary (Full)'!$B$50*G5+'Summary (Full)'!$B$51*H5+'Summary (Full)'!$B$52*I5)/'Summary (Full)'!$B$53</f>
        <v>#VALUE!</v>
      </c>
      <c r="L5" s="171" t="e" cm="1">
        <f t="array" aca="1" ref="L5" ca="1">INDIRECT(""&amp;$D5 &amp; "!G47")</f>
        <v>#VALUE!</v>
      </c>
      <c r="M5" s="171" t="e" cm="1">
        <f t="array" aca="1" ref="M5" ca="1">INDIRECT(""&amp;$D5 &amp; "!H47")</f>
        <v>#VALUE!</v>
      </c>
      <c r="N5" s="171" t="e" cm="1">
        <f t="array" aca="1" ref="N5" ca="1">INDIRECT(""&amp;$D5 &amp; "!I47")</f>
        <v>#VALUE!</v>
      </c>
      <c r="O5" s="171" t="e" cm="1">
        <f t="array" aca="1" ref="O5" ca="1">INDIRECT(""&amp;$D5 &amp; "!J47")</f>
        <v>#VALUE!</v>
      </c>
      <c r="P5" s="171" t="e" cm="1">
        <f t="array" aca="1" ref="P5" ca="1">INDIRECT(""&amp;$D5 &amp; "!K47")</f>
        <v>#VALUE!</v>
      </c>
      <c r="Q5" s="171" t="e" cm="1">
        <f t="array" aca="1" ref="Q5" ca="1">INDIRECT(""&amp;$D5 &amp; "!L47")</f>
        <v>#VALUE!</v>
      </c>
      <c r="R5" s="171" t="e" cm="1">
        <f t="array" aca="1" ref="R5" ca="1">INDIRECT(""&amp;$D5 &amp; "!M47")</f>
        <v>#VALUE!</v>
      </c>
      <c r="S5" s="171" t="e" cm="1">
        <f t="array" aca="1" ref="S5" ca="1">INDIRECT(""&amp;$D5 &amp; "!N47")</f>
        <v>#VALUE!</v>
      </c>
      <c r="T5" s="171" t="e" cm="1">
        <f t="array" aca="1" ref="T5" ca="1">INDIRECT(""&amp;$D5 &amp; "!O47")</f>
        <v>#VALUE!</v>
      </c>
      <c r="U5" s="171" t="e" cm="1">
        <f t="array" aca="1" ref="U5" ca="1">INDIRECT(""&amp;$D5 &amp; "!P47")</f>
        <v>#VALUE!</v>
      </c>
      <c r="V5" s="174" t="e">
        <f ca="1">('Summary (Full)'!$B$58*R5+'Summary (Full)'!$B$59*S5+'Summary (Full)'!$B$60*T5)/'Summary (Full)'!$B$61</f>
        <v>#VALUE!</v>
      </c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</row>
    <row r="6" spans="1:40" x14ac:dyDescent="0.2">
      <c r="D6" s="225"/>
      <c r="E6" s="43" t="str" cm="1">
        <f t="array" aca="1" ref="E6" ca="1">INDIRECT(""&amp;$D5 &amp; "!A49")</f>
        <v>Med</v>
      </c>
      <c r="F6" s="17" t="e" cm="1">
        <f t="array" aca="1" ref="F6" ca="1">INDIRECT(""&amp;$D5 &amp; "!B49")</f>
        <v>#VALUE!</v>
      </c>
      <c r="G6" s="172"/>
      <c r="H6" s="172"/>
      <c r="I6" s="172"/>
      <c r="J6" s="172"/>
      <c r="K6" s="172"/>
      <c r="L6" s="172"/>
      <c r="M6" s="172"/>
      <c r="N6" s="172"/>
      <c r="O6" s="172"/>
      <c r="P6" s="172"/>
      <c r="Q6" s="172"/>
      <c r="R6" s="172"/>
      <c r="S6" s="172"/>
      <c r="T6" s="172"/>
      <c r="U6" s="172"/>
      <c r="V6" s="175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</row>
    <row r="7" spans="1:40" x14ac:dyDescent="0.2">
      <c r="D7" s="225"/>
      <c r="E7" s="43" t="str" cm="1">
        <f t="array" aca="1" ref="E7" ca="1">INDIRECT(""&amp;$D5 &amp; "!A51")</f>
        <v>Low</v>
      </c>
      <c r="F7" s="17" t="e" cm="1">
        <f t="array" aca="1" ref="F7" ca="1">INDIRECT(""&amp;$D5 &amp; "!B51")</f>
        <v>#VALUE!</v>
      </c>
      <c r="G7" s="172"/>
      <c r="H7" s="172"/>
      <c r="I7" s="172"/>
      <c r="J7" s="172"/>
      <c r="K7" s="172"/>
      <c r="L7" s="172"/>
      <c r="M7" s="172"/>
      <c r="N7" s="172"/>
      <c r="O7" s="172"/>
      <c r="P7" s="172"/>
      <c r="Q7" s="172"/>
      <c r="R7" s="172"/>
      <c r="S7" s="172"/>
      <c r="T7" s="172"/>
      <c r="U7" s="172"/>
      <c r="V7" s="175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</row>
    <row r="8" spans="1:40" x14ac:dyDescent="0.2">
      <c r="D8" s="225" t="s">
        <v>62</v>
      </c>
      <c r="E8" s="43" t="str" cm="1">
        <f t="array" aca="1" ref="E8" ca="1">INDIRECT(""&amp;$D8 &amp; "!A47")</f>
        <v>High</v>
      </c>
      <c r="F8" s="17" t="e" cm="1">
        <f t="array" aca="1" ref="F8" ca="1">INDIRECT(""&amp;$D8 &amp; "!B47")</f>
        <v>#VALUE!</v>
      </c>
      <c r="G8" s="172" t="e" cm="1">
        <f t="array" aca="1" ref="G8" ca="1">INDIRECT(""&amp;$D8 &amp; "!C47")</f>
        <v>#VALUE!</v>
      </c>
      <c r="H8" s="172" t="e" cm="1">
        <f t="array" aca="1" ref="H8" ca="1">INDIRECT(""&amp;$D8 &amp; "!D47")</f>
        <v>#VALUE!</v>
      </c>
      <c r="I8" s="172" t="e" cm="1">
        <f t="array" aca="1" ref="I8" ca="1">INDIRECT(""&amp;$D8 &amp; "!E47")</f>
        <v>#VALUE!</v>
      </c>
      <c r="J8" s="172" t="e" cm="1">
        <f t="array" aca="1" ref="J8" ca="1">INDIRECT(""&amp;$D8 &amp; "!F47")</f>
        <v>#VALUE!</v>
      </c>
      <c r="K8" s="172" t="e">
        <f ca="1">('Summary (Full)'!$B$50*G8+'Summary (Full)'!$B$51*H8+'Summary (Full)'!$B$52*I8)/'Summary (Full)'!$B$53</f>
        <v>#VALUE!</v>
      </c>
      <c r="L8" s="172" t="e" cm="1">
        <f t="array" aca="1" ref="L8" ca="1">INDIRECT(""&amp;$D8 &amp; "!G47")</f>
        <v>#VALUE!</v>
      </c>
      <c r="M8" s="172" t="e" cm="1">
        <f t="array" aca="1" ref="M8" ca="1">INDIRECT(""&amp;$D8 &amp; "!H47")</f>
        <v>#VALUE!</v>
      </c>
      <c r="N8" s="172" t="e" cm="1">
        <f t="array" aca="1" ref="N8" ca="1">INDIRECT(""&amp;$D8 &amp; "!I47")</f>
        <v>#VALUE!</v>
      </c>
      <c r="O8" s="172" t="e" cm="1">
        <f t="array" aca="1" ref="O8" ca="1">INDIRECT(""&amp;$D8 &amp; "!J47")</f>
        <v>#VALUE!</v>
      </c>
      <c r="P8" s="172" t="e" cm="1">
        <f t="array" aca="1" ref="P8" ca="1">INDIRECT(""&amp;$D8 &amp; "!K47")</f>
        <v>#VALUE!</v>
      </c>
      <c r="Q8" s="172" t="e" cm="1">
        <f t="array" aca="1" ref="Q8" ca="1">INDIRECT(""&amp;$D8 &amp; "!L47")</f>
        <v>#VALUE!</v>
      </c>
      <c r="R8" s="172" t="e" cm="1">
        <f t="array" aca="1" ref="R8" ca="1">INDIRECT(""&amp;$D8 &amp; "!M47")</f>
        <v>#VALUE!</v>
      </c>
      <c r="S8" s="172" t="e" cm="1">
        <f t="array" aca="1" ref="S8" ca="1">INDIRECT(""&amp;$D8 &amp; "!N47")</f>
        <v>#VALUE!</v>
      </c>
      <c r="T8" s="172" t="e" cm="1">
        <f t="array" aca="1" ref="T8" ca="1">INDIRECT(""&amp;$D8 &amp; "!O47")</f>
        <v>#VALUE!</v>
      </c>
      <c r="U8" s="172" t="e" cm="1">
        <f t="array" aca="1" ref="U8" ca="1">INDIRECT(""&amp;$D8 &amp; "!P47")</f>
        <v>#VALUE!</v>
      </c>
      <c r="V8" s="175" t="e">
        <f ca="1">('Summary (Full)'!$B$58*R8+'Summary (Full)'!$B$59*S8+'Summary (Full)'!$B$60*T8)/'Summary (Full)'!$B$61</f>
        <v>#VALUE!</v>
      </c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</row>
    <row r="9" spans="1:40" x14ac:dyDescent="0.2">
      <c r="D9" s="225"/>
      <c r="E9" s="43" t="str" cm="1">
        <f t="array" aca="1" ref="E9" ca="1">INDIRECT(""&amp;$D8 &amp; "!A49")</f>
        <v>Med</v>
      </c>
      <c r="F9" s="17" t="e" cm="1">
        <f t="array" aca="1" ref="F9" ca="1">INDIRECT(""&amp;$D8 &amp; "!B49")</f>
        <v>#VALUE!</v>
      </c>
      <c r="G9" s="172"/>
      <c r="H9" s="172"/>
      <c r="I9" s="172"/>
      <c r="J9" s="172"/>
      <c r="K9" s="172"/>
      <c r="L9" s="172"/>
      <c r="M9" s="172"/>
      <c r="N9" s="172"/>
      <c r="O9" s="172"/>
      <c r="P9" s="172"/>
      <c r="Q9" s="172"/>
      <c r="R9" s="172"/>
      <c r="S9" s="172"/>
      <c r="T9" s="172"/>
      <c r="U9" s="172"/>
      <c r="V9" s="175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</row>
    <row r="10" spans="1:40" x14ac:dyDescent="0.2">
      <c r="D10" s="225"/>
      <c r="E10" s="43" t="str" cm="1">
        <f t="array" aca="1" ref="E10" ca="1">INDIRECT(""&amp;$D8 &amp; "!A51")</f>
        <v>Low</v>
      </c>
      <c r="F10" s="17" t="e" cm="1">
        <f t="array" aca="1" ref="F10" ca="1">INDIRECT(""&amp;$D8 &amp; "!B51")</f>
        <v>#VALUE!</v>
      </c>
      <c r="G10" s="172"/>
      <c r="H10" s="172"/>
      <c r="I10" s="172"/>
      <c r="J10" s="172"/>
      <c r="K10" s="172"/>
      <c r="L10" s="172"/>
      <c r="M10" s="172"/>
      <c r="N10" s="172"/>
      <c r="O10" s="172"/>
      <c r="P10" s="172"/>
      <c r="Q10" s="172"/>
      <c r="R10" s="172"/>
      <c r="S10" s="172"/>
      <c r="T10" s="172"/>
      <c r="U10" s="172"/>
      <c r="V10" s="175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</row>
    <row r="11" spans="1:40" x14ac:dyDescent="0.2">
      <c r="D11" s="225" t="s">
        <v>63</v>
      </c>
      <c r="E11" s="43" t="str" cm="1">
        <f t="array" aca="1" ref="E11" ca="1">INDIRECT(""&amp;$D11 &amp; "!A47")</f>
        <v>High</v>
      </c>
      <c r="F11" s="17" t="e" cm="1">
        <f t="array" aca="1" ref="F11" ca="1">INDIRECT(""&amp;$D11 &amp; "!B47")</f>
        <v>#VALUE!</v>
      </c>
      <c r="G11" s="172" t="e" cm="1">
        <f t="array" aca="1" ref="G11" ca="1">INDIRECT(""&amp;$D11 &amp; "!C47")</f>
        <v>#VALUE!</v>
      </c>
      <c r="H11" s="172" t="e" cm="1">
        <f t="array" aca="1" ref="H11" ca="1">INDIRECT(""&amp;$D11 &amp; "!D47")</f>
        <v>#VALUE!</v>
      </c>
      <c r="I11" s="172" t="e" cm="1">
        <f t="array" aca="1" ref="I11" ca="1">INDIRECT(""&amp;$D11 &amp; "!E47")</f>
        <v>#VALUE!</v>
      </c>
      <c r="J11" s="172" t="e" cm="1">
        <f t="array" aca="1" ref="J11" ca="1">INDIRECT(""&amp;$D11 &amp; "!F47")</f>
        <v>#VALUE!</v>
      </c>
      <c r="K11" s="172" t="e">
        <f ca="1">('Summary (Full)'!$B$50*G11+'Summary (Full)'!$B$51*H11+'Summary (Full)'!$B$52*I11)/'Summary (Full)'!$B$53</f>
        <v>#VALUE!</v>
      </c>
      <c r="L11" s="172" t="e" cm="1">
        <f t="array" aca="1" ref="L11" ca="1">INDIRECT(""&amp;$D11 &amp; "!G47")</f>
        <v>#VALUE!</v>
      </c>
      <c r="M11" s="172" t="e" cm="1">
        <f t="array" aca="1" ref="M11" ca="1">INDIRECT(""&amp;$D11 &amp; "!H47")</f>
        <v>#VALUE!</v>
      </c>
      <c r="N11" s="172" t="e" cm="1">
        <f t="array" aca="1" ref="N11" ca="1">INDIRECT(""&amp;$D11 &amp; "!I47")</f>
        <v>#VALUE!</v>
      </c>
      <c r="O11" s="172" t="e" cm="1">
        <f t="array" aca="1" ref="O11" ca="1">INDIRECT(""&amp;$D11 &amp; "!J47")</f>
        <v>#VALUE!</v>
      </c>
      <c r="P11" s="172" t="e" cm="1">
        <f t="array" aca="1" ref="P11" ca="1">INDIRECT(""&amp;$D11 &amp; "!K47")</f>
        <v>#VALUE!</v>
      </c>
      <c r="Q11" s="172" t="e" cm="1">
        <f t="array" aca="1" ref="Q11" ca="1">INDIRECT(""&amp;$D11 &amp; "!L47")</f>
        <v>#VALUE!</v>
      </c>
      <c r="R11" s="172" t="e" cm="1">
        <f t="array" aca="1" ref="R11" ca="1">INDIRECT(""&amp;$D11 &amp; "!M47")</f>
        <v>#VALUE!</v>
      </c>
      <c r="S11" s="172" t="e" cm="1">
        <f t="array" aca="1" ref="S11" ca="1">INDIRECT(""&amp;$D11 &amp; "!N47")</f>
        <v>#VALUE!</v>
      </c>
      <c r="T11" s="172" t="e" cm="1">
        <f t="array" aca="1" ref="T11" ca="1">INDIRECT(""&amp;$D11 &amp; "!O47")</f>
        <v>#VALUE!</v>
      </c>
      <c r="U11" s="172" t="e" cm="1">
        <f t="array" aca="1" ref="U11" ca="1">INDIRECT(""&amp;$D11 &amp; "!P47")</f>
        <v>#VALUE!</v>
      </c>
      <c r="V11" s="175" t="e">
        <f ca="1">('Summary (Full)'!$B$58*R11+'Summary (Full)'!$B$59*S11+'Summary (Full)'!$B$60*T11)/'Summary (Full)'!$B$61</f>
        <v>#VALUE!</v>
      </c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</row>
    <row r="12" spans="1:40" x14ac:dyDescent="0.2">
      <c r="D12" s="225"/>
      <c r="E12" s="43" t="str" cm="1">
        <f t="array" aca="1" ref="E12" ca="1">INDIRECT(""&amp;$D11 &amp; "!A49")</f>
        <v>Med</v>
      </c>
      <c r="F12" s="17" t="e" cm="1">
        <f t="array" aca="1" ref="F12" ca="1">INDIRECT(""&amp;$D11 &amp; "!B49")</f>
        <v>#VALUE!</v>
      </c>
      <c r="G12" s="172"/>
      <c r="H12" s="172"/>
      <c r="I12" s="172"/>
      <c r="J12" s="172"/>
      <c r="K12" s="172"/>
      <c r="L12" s="172"/>
      <c r="M12" s="172"/>
      <c r="N12" s="172"/>
      <c r="O12" s="172"/>
      <c r="P12" s="172"/>
      <c r="Q12" s="172"/>
      <c r="R12" s="172"/>
      <c r="S12" s="172"/>
      <c r="T12" s="172"/>
      <c r="U12" s="172"/>
      <c r="V12" s="175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</row>
    <row r="13" spans="1:40" x14ac:dyDescent="0.2">
      <c r="D13" s="225"/>
      <c r="E13" s="43" t="str" cm="1">
        <f t="array" aca="1" ref="E13" ca="1">INDIRECT(""&amp;$D11 &amp; "!A51")</f>
        <v>Low</v>
      </c>
      <c r="F13" s="17" t="e" cm="1">
        <f t="array" aca="1" ref="F13" ca="1">INDIRECT(""&amp;$D11 &amp; "!B51")</f>
        <v>#VALUE!</v>
      </c>
      <c r="G13" s="172"/>
      <c r="H13" s="172"/>
      <c r="I13" s="172"/>
      <c r="J13" s="172"/>
      <c r="K13" s="172"/>
      <c r="L13" s="172"/>
      <c r="M13" s="172"/>
      <c r="N13" s="172"/>
      <c r="O13" s="172"/>
      <c r="P13" s="172"/>
      <c r="Q13" s="172"/>
      <c r="R13" s="172"/>
      <c r="S13" s="172"/>
      <c r="T13" s="172"/>
      <c r="U13" s="172"/>
      <c r="V13" s="175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</row>
    <row r="14" spans="1:40" x14ac:dyDescent="0.2">
      <c r="D14" s="225" t="s">
        <v>68</v>
      </c>
      <c r="E14" s="43" t="str" cm="1">
        <f t="array" aca="1" ref="E14" ca="1">INDIRECT(""&amp;$D14 &amp; "!A47")</f>
        <v>High</v>
      </c>
      <c r="F14" s="17" t="e" cm="1">
        <f t="array" aca="1" ref="F14" ca="1">INDIRECT(""&amp;$D14 &amp; "!B47")</f>
        <v>#VALUE!</v>
      </c>
      <c r="G14" s="172" t="e" cm="1">
        <f t="array" aca="1" ref="G14" ca="1">INDIRECT(""&amp;$D14 &amp; "!C47")</f>
        <v>#VALUE!</v>
      </c>
      <c r="H14" s="172" t="e" cm="1">
        <f t="array" aca="1" ref="H14" ca="1">INDIRECT(""&amp;$D14 &amp; "!D47")</f>
        <v>#VALUE!</v>
      </c>
      <c r="I14" s="172" t="e" cm="1">
        <f t="array" aca="1" ref="I14" ca="1">INDIRECT(""&amp;$D14 &amp; "!E47")</f>
        <v>#VALUE!</v>
      </c>
      <c r="J14" s="172" t="e" cm="1">
        <f t="array" aca="1" ref="J14" ca="1">INDIRECT(""&amp;$D14 &amp; "!F47")</f>
        <v>#VALUE!</v>
      </c>
      <c r="K14" s="172" t="e">
        <f ca="1">('Summary (Full)'!$B$50*G14+'Summary (Full)'!$B$51*H14+'Summary (Full)'!$B$52*I14)/'Summary (Full)'!$B$53</f>
        <v>#VALUE!</v>
      </c>
      <c r="L14" s="172" t="e" cm="1">
        <f t="array" aca="1" ref="L14" ca="1">INDIRECT(""&amp;$D14 &amp; "!G47")</f>
        <v>#VALUE!</v>
      </c>
      <c r="M14" s="172" t="e" cm="1">
        <f t="array" aca="1" ref="M14" ca="1">INDIRECT(""&amp;$D14 &amp; "!H47")</f>
        <v>#VALUE!</v>
      </c>
      <c r="N14" s="172" t="e" cm="1">
        <f t="array" aca="1" ref="N14" ca="1">INDIRECT(""&amp;$D14 &amp; "!I47")</f>
        <v>#VALUE!</v>
      </c>
      <c r="O14" s="172" t="e" cm="1">
        <f t="array" aca="1" ref="O14" ca="1">INDIRECT(""&amp;$D14 &amp; "!J47")</f>
        <v>#VALUE!</v>
      </c>
      <c r="P14" s="172" t="e" cm="1">
        <f t="array" aca="1" ref="P14" ca="1">INDIRECT(""&amp;$D14 &amp; "!K47")</f>
        <v>#VALUE!</v>
      </c>
      <c r="Q14" s="172" t="e" cm="1">
        <f t="array" aca="1" ref="Q14" ca="1">INDIRECT(""&amp;$D14 &amp; "!L47")</f>
        <v>#VALUE!</v>
      </c>
      <c r="R14" s="172" t="e" cm="1">
        <f t="array" aca="1" ref="R14" ca="1">INDIRECT(""&amp;$D14 &amp; "!M47")</f>
        <v>#VALUE!</v>
      </c>
      <c r="S14" s="172" t="e" cm="1">
        <f t="array" aca="1" ref="S14" ca="1">INDIRECT(""&amp;$D14 &amp; "!N47")</f>
        <v>#VALUE!</v>
      </c>
      <c r="T14" s="172" t="e" cm="1">
        <f t="array" aca="1" ref="T14" ca="1">INDIRECT(""&amp;$D14 &amp; "!O47")</f>
        <v>#VALUE!</v>
      </c>
      <c r="U14" s="172" t="e" cm="1">
        <f t="array" aca="1" ref="U14" ca="1">INDIRECT(""&amp;$D14 &amp; "!P47")</f>
        <v>#VALUE!</v>
      </c>
      <c r="V14" s="175" t="e">
        <f ca="1">('Summary (Full)'!$B$58*R14+'Summary (Full)'!$B$59*S14+'Summary (Full)'!$B$60*T14)/'Summary (Full)'!$B$61</f>
        <v>#VALUE!</v>
      </c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</row>
    <row r="15" spans="1:40" x14ac:dyDescent="0.2">
      <c r="D15" s="225"/>
      <c r="E15" s="43" t="str" cm="1">
        <f t="array" aca="1" ref="E15" ca="1">INDIRECT(""&amp;$D14 &amp; "!A49")</f>
        <v>Med</v>
      </c>
      <c r="F15" s="17" t="e" cm="1">
        <f t="array" aca="1" ref="F15" ca="1">INDIRECT(""&amp;$D14 &amp; "!B49")</f>
        <v>#VALUE!</v>
      </c>
      <c r="G15" s="172"/>
      <c r="H15" s="172"/>
      <c r="I15" s="172"/>
      <c r="J15" s="172"/>
      <c r="K15" s="172"/>
      <c r="L15" s="172"/>
      <c r="M15" s="172"/>
      <c r="N15" s="172"/>
      <c r="O15" s="172"/>
      <c r="P15" s="172"/>
      <c r="Q15" s="172"/>
      <c r="R15" s="172"/>
      <c r="S15" s="172"/>
      <c r="T15" s="172"/>
      <c r="U15" s="172"/>
      <c r="V15" s="175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</row>
    <row r="16" spans="1:40" x14ac:dyDescent="0.2">
      <c r="D16" s="225"/>
      <c r="E16" s="43" t="str" cm="1">
        <f t="array" aca="1" ref="E16" ca="1">INDIRECT(""&amp;$D14 &amp; "!A51")</f>
        <v>Low</v>
      </c>
      <c r="F16" s="17" t="e" cm="1">
        <f t="array" aca="1" ref="F16" ca="1">INDIRECT(""&amp;$D14 &amp; "!B51")</f>
        <v>#VALUE!</v>
      </c>
      <c r="G16" s="172"/>
      <c r="H16" s="172"/>
      <c r="I16" s="172"/>
      <c r="J16" s="172"/>
      <c r="K16" s="172"/>
      <c r="L16" s="172"/>
      <c r="M16" s="172"/>
      <c r="N16" s="172"/>
      <c r="O16" s="172"/>
      <c r="P16" s="172"/>
      <c r="Q16" s="172"/>
      <c r="R16" s="172"/>
      <c r="S16" s="172"/>
      <c r="T16" s="172"/>
      <c r="U16" s="172"/>
      <c r="V16" s="175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</row>
    <row r="17" spans="1:40" x14ac:dyDescent="0.2">
      <c r="D17" s="225" t="s">
        <v>64</v>
      </c>
      <c r="E17" s="43" t="str" cm="1">
        <f t="array" aca="1" ref="E17" ca="1">INDIRECT(""&amp;$D17 &amp; "!A47")</f>
        <v>High</v>
      </c>
      <c r="F17" s="17" t="e" cm="1">
        <f t="array" aca="1" ref="F17" ca="1">INDIRECT(""&amp;$D17 &amp; "!B47")</f>
        <v>#VALUE!</v>
      </c>
      <c r="G17" s="172" t="e" cm="1">
        <f t="array" aca="1" ref="G17" ca="1">INDIRECT(""&amp;$D17 &amp; "!C47")</f>
        <v>#VALUE!</v>
      </c>
      <c r="H17" s="172" t="e" cm="1">
        <f t="array" aca="1" ref="H17" ca="1">INDIRECT(""&amp;$D17 &amp; "!D47")</f>
        <v>#VALUE!</v>
      </c>
      <c r="I17" s="172" t="e" cm="1">
        <f t="array" aca="1" ref="I17" ca="1">INDIRECT(""&amp;$D17 &amp; "!E47")</f>
        <v>#VALUE!</v>
      </c>
      <c r="J17" s="172" t="e" cm="1">
        <f t="array" aca="1" ref="J17" ca="1">INDIRECT(""&amp;$D17 &amp; "!F47")</f>
        <v>#VALUE!</v>
      </c>
      <c r="K17" s="172" t="e">
        <f ca="1">('Summary (Full)'!$B$50*G17+'Summary (Full)'!$B$51*H17+'Summary (Full)'!$B$52*I17)/'Summary (Full)'!$B$53</f>
        <v>#VALUE!</v>
      </c>
      <c r="L17" s="172" t="e" cm="1">
        <f t="array" aca="1" ref="L17" ca="1">INDIRECT(""&amp;$D17 &amp; "!G47")</f>
        <v>#VALUE!</v>
      </c>
      <c r="M17" s="172" t="e" cm="1">
        <f t="array" aca="1" ref="M17" ca="1">INDIRECT(""&amp;$D17 &amp; "!H47")</f>
        <v>#VALUE!</v>
      </c>
      <c r="N17" s="172" t="e" cm="1">
        <f t="array" aca="1" ref="N17" ca="1">INDIRECT(""&amp;$D17 &amp; "!I47")</f>
        <v>#VALUE!</v>
      </c>
      <c r="O17" s="172" t="e" cm="1">
        <f t="array" aca="1" ref="O17" ca="1">INDIRECT(""&amp;$D17 &amp; "!J47")</f>
        <v>#VALUE!</v>
      </c>
      <c r="P17" s="172" t="e" cm="1">
        <f t="array" aca="1" ref="P17" ca="1">INDIRECT(""&amp;$D17 &amp; "!K47")</f>
        <v>#VALUE!</v>
      </c>
      <c r="Q17" s="172" t="e" cm="1">
        <f t="array" aca="1" ref="Q17" ca="1">INDIRECT(""&amp;$D17 &amp; "!L47")</f>
        <v>#VALUE!</v>
      </c>
      <c r="R17" s="172" t="e" cm="1">
        <f t="array" aca="1" ref="R17" ca="1">INDIRECT(""&amp;$D17 &amp; "!M47")</f>
        <v>#VALUE!</v>
      </c>
      <c r="S17" s="172" t="e" cm="1">
        <f t="array" aca="1" ref="S17" ca="1">INDIRECT(""&amp;$D17 &amp; "!N47")</f>
        <v>#VALUE!</v>
      </c>
      <c r="T17" s="172" t="e" cm="1">
        <f t="array" aca="1" ref="T17" ca="1">INDIRECT(""&amp;$D17 &amp; "!O47")</f>
        <v>#VALUE!</v>
      </c>
      <c r="U17" s="172" t="e" cm="1">
        <f t="array" aca="1" ref="U17" ca="1">INDIRECT(""&amp;$D17 &amp; "!P47")</f>
        <v>#VALUE!</v>
      </c>
      <c r="V17" s="175" t="e">
        <f ca="1">('Summary (Full)'!$B$58*R17+'Summary (Full)'!$B$59*S17+'Summary (Full)'!$B$60*T17)/'Summary (Full)'!$B$61</f>
        <v>#VALUE!</v>
      </c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</row>
    <row r="18" spans="1:40" x14ac:dyDescent="0.2">
      <c r="D18" s="225"/>
      <c r="E18" s="43" t="str" cm="1">
        <f t="array" aca="1" ref="E18" ca="1">INDIRECT(""&amp;$D17 &amp; "!A49")</f>
        <v>Med</v>
      </c>
      <c r="F18" s="17" t="e" cm="1">
        <f t="array" aca="1" ref="F18" ca="1">INDIRECT(""&amp;$D17 &amp; "!B49")</f>
        <v>#VALUE!</v>
      </c>
      <c r="G18" s="172"/>
      <c r="H18" s="172"/>
      <c r="I18" s="172"/>
      <c r="J18" s="172"/>
      <c r="K18" s="172"/>
      <c r="L18" s="172"/>
      <c r="M18" s="172"/>
      <c r="N18" s="172"/>
      <c r="O18" s="172"/>
      <c r="P18" s="172"/>
      <c r="Q18" s="172"/>
      <c r="R18" s="172"/>
      <c r="S18" s="172"/>
      <c r="T18" s="172"/>
      <c r="U18" s="172"/>
      <c r="V18" s="175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</row>
    <row r="19" spans="1:40" x14ac:dyDescent="0.2">
      <c r="D19" s="225"/>
      <c r="E19" s="43" t="str" cm="1">
        <f t="array" aca="1" ref="E19" ca="1">INDIRECT(""&amp;$D17 &amp; "!A51")</f>
        <v>Low</v>
      </c>
      <c r="F19" s="17" t="e" cm="1">
        <f t="array" aca="1" ref="F19" ca="1">INDIRECT(""&amp;$D17 &amp; "!B51")</f>
        <v>#VALUE!</v>
      </c>
      <c r="G19" s="172"/>
      <c r="H19" s="172"/>
      <c r="I19" s="172"/>
      <c r="J19" s="172"/>
      <c r="K19" s="172"/>
      <c r="L19" s="172"/>
      <c r="M19" s="172"/>
      <c r="N19" s="172"/>
      <c r="O19" s="172"/>
      <c r="P19" s="172"/>
      <c r="Q19" s="172"/>
      <c r="R19" s="172"/>
      <c r="S19" s="172"/>
      <c r="T19" s="172"/>
      <c r="U19" s="172"/>
      <c r="V19" s="175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</row>
    <row r="20" spans="1:40" x14ac:dyDescent="0.2">
      <c r="D20" s="225" t="s">
        <v>65</v>
      </c>
      <c r="E20" s="43" t="str" cm="1">
        <f t="array" aca="1" ref="E20" ca="1">INDIRECT(""&amp;$D20 &amp; "!A47")</f>
        <v>High</v>
      </c>
      <c r="F20" s="17" t="e" cm="1">
        <f t="array" aca="1" ref="F20" ca="1">INDIRECT(""&amp;$D20 &amp; "!B47")</f>
        <v>#VALUE!</v>
      </c>
      <c r="G20" s="172" t="e" cm="1">
        <f t="array" aca="1" ref="G20" ca="1">INDIRECT(""&amp;$D20 &amp; "!C47")</f>
        <v>#VALUE!</v>
      </c>
      <c r="H20" s="172" t="e" cm="1">
        <f t="array" aca="1" ref="H20" ca="1">INDIRECT(""&amp;$D20 &amp; "!D47")</f>
        <v>#VALUE!</v>
      </c>
      <c r="I20" s="172" t="e" cm="1">
        <f t="array" aca="1" ref="I20" ca="1">INDIRECT(""&amp;$D20 &amp; "!E47")</f>
        <v>#VALUE!</v>
      </c>
      <c r="J20" s="172" t="e" cm="1">
        <f t="array" aca="1" ref="J20" ca="1">INDIRECT(""&amp;$D20 &amp; "!F47")</f>
        <v>#VALUE!</v>
      </c>
      <c r="K20" s="172" t="e">
        <f ca="1">('Summary (Full)'!$B$50*G20+'Summary (Full)'!$B$51*H20+'Summary (Full)'!$B$52*I20)/'Summary (Full)'!$B$53</f>
        <v>#VALUE!</v>
      </c>
      <c r="L20" s="172" t="e" cm="1">
        <f t="array" aca="1" ref="L20" ca="1">INDIRECT(""&amp;$D20 &amp; "!G47")</f>
        <v>#VALUE!</v>
      </c>
      <c r="M20" s="172" t="e" cm="1">
        <f t="array" aca="1" ref="M20" ca="1">INDIRECT(""&amp;$D20 &amp; "!H47")</f>
        <v>#VALUE!</v>
      </c>
      <c r="N20" s="172" t="e" cm="1">
        <f t="array" aca="1" ref="N20" ca="1">INDIRECT(""&amp;$D20 &amp; "!I47")</f>
        <v>#VALUE!</v>
      </c>
      <c r="O20" s="172" t="e" cm="1">
        <f t="array" aca="1" ref="O20" ca="1">INDIRECT(""&amp;$D20 &amp; "!J47")</f>
        <v>#VALUE!</v>
      </c>
      <c r="P20" s="172" t="e" cm="1">
        <f t="array" aca="1" ref="P20" ca="1">INDIRECT(""&amp;$D20 &amp; "!K47")</f>
        <v>#VALUE!</v>
      </c>
      <c r="Q20" s="172" t="e" cm="1">
        <f t="array" aca="1" ref="Q20" ca="1">INDIRECT(""&amp;$D20 &amp; "!L47")</f>
        <v>#VALUE!</v>
      </c>
      <c r="R20" s="172" t="e" cm="1">
        <f t="array" aca="1" ref="R20" ca="1">INDIRECT(""&amp;$D20 &amp; "!M47")</f>
        <v>#VALUE!</v>
      </c>
      <c r="S20" s="172" t="e" cm="1">
        <f t="array" aca="1" ref="S20" ca="1">INDIRECT(""&amp;$D20 &amp; "!N47")</f>
        <v>#VALUE!</v>
      </c>
      <c r="T20" s="172" t="e" cm="1">
        <f t="array" aca="1" ref="T20" ca="1">INDIRECT(""&amp;$D20 &amp; "!O47")</f>
        <v>#VALUE!</v>
      </c>
      <c r="U20" s="172" t="e" cm="1">
        <f t="array" aca="1" ref="U20" ca="1">INDIRECT(""&amp;$D20 &amp; "!P47")</f>
        <v>#VALUE!</v>
      </c>
      <c r="V20" s="175" t="e">
        <f ca="1">('Summary (Full)'!$B$58*R20+'Summary (Full)'!$B$59*S20+'Summary (Full)'!$B$60*T20)/'Summary (Full)'!$B$61</f>
        <v>#VALUE!</v>
      </c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</row>
    <row r="21" spans="1:40" x14ac:dyDescent="0.2">
      <c r="D21" s="225"/>
      <c r="E21" s="43" t="str" cm="1">
        <f t="array" aca="1" ref="E21" ca="1">INDIRECT(""&amp;$D20 &amp; "!A49")</f>
        <v>Med</v>
      </c>
      <c r="F21" s="17" t="e" cm="1">
        <f t="array" aca="1" ref="F21" ca="1">INDIRECT(""&amp;$D20 &amp; "!B49")</f>
        <v>#VALUE!</v>
      </c>
      <c r="G21" s="172"/>
      <c r="H21" s="172"/>
      <c r="I21" s="172"/>
      <c r="J21" s="172"/>
      <c r="K21" s="172"/>
      <c r="L21" s="172"/>
      <c r="M21" s="172"/>
      <c r="N21" s="172"/>
      <c r="O21" s="172"/>
      <c r="P21" s="172"/>
      <c r="Q21" s="172"/>
      <c r="R21" s="172"/>
      <c r="S21" s="172"/>
      <c r="T21" s="172"/>
      <c r="U21" s="172"/>
      <c r="V21" s="175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</row>
    <row r="22" spans="1:40" x14ac:dyDescent="0.2">
      <c r="D22" s="225"/>
      <c r="E22" s="43" t="str" cm="1">
        <f t="array" aca="1" ref="E22" ca="1">INDIRECT(""&amp;$D20 &amp; "!A51")</f>
        <v>Low</v>
      </c>
      <c r="F22" s="17" t="e" cm="1">
        <f t="array" aca="1" ref="F22" ca="1">INDIRECT(""&amp;$D20 &amp; "!B51")</f>
        <v>#VALUE!</v>
      </c>
      <c r="G22" s="172"/>
      <c r="H22" s="172"/>
      <c r="I22" s="172"/>
      <c r="J22" s="172"/>
      <c r="K22" s="172"/>
      <c r="L22" s="172"/>
      <c r="M22" s="172"/>
      <c r="N22" s="172"/>
      <c r="O22" s="172"/>
      <c r="P22" s="172"/>
      <c r="Q22" s="172"/>
      <c r="R22" s="172"/>
      <c r="S22" s="172"/>
      <c r="T22" s="172"/>
      <c r="U22" s="172"/>
      <c r="V22" s="175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</row>
    <row r="23" spans="1:40" x14ac:dyDescent="0.2">
      <c r="D23" s="225" t="s">
        <v>66</v>
      </c>
      <c r="E23" s="43" t="str" cm="1">
        <f t="array" aca="1" ref="E23" ca="1">INDIRECT(""&amp;$D23 &amp; "!A47")</f>
        <v>High</v>
      </c>
      <c r="F23" s="17" t="e" cm="1">
        <f t="array" aca="1" ref="F23" ca="1">INDIRECT(""&amp;$D23 &amp; "!B47")</f>
        <v>#VALUE!</v>
      </c>
      <c r="G23" s="172" t="e" cm="1">
        <f t="array" aca="1" ref="G23" ca="1">INDIRECT(""&amp;$D23 &amp; "!C47")</f>
        <v>#VALUE!</v>
      </c>
      <c r="H23" s="172" t="e" cm="1">
        <f t="array" aca="1" ref="H23" ca="1">INDIRECT(""&amp;$D23 &amp; "!D47")</f>
        <v>#VALUE!</v>
      </c>
      <c r="I23" s="172" t="e" cm="1">
        <f t="array" aca="1" ref="I23" ca="1">INDIRECT(""&amp;$D23 &amp; "!E47")</f>
        <v>#VALUE!</v>
      </c>
      <c r="J23" s="172" t="e" cm="1">
        <f t="array" aca="1" ref="J23" ca="1">INDIRECT(""&amp;$D23 &amp; "!F47")</f>
        <v>#VALUE!</v>
      </c>
      <c r="K23" s="172" t="e">
        <f ca="1">('Summary (Full)'!$B$50*G23+'Summary (Full)'!$B$51*H23+'Summary (Full)'!$B$52*I23)/'Summary (Full)'!$B$53</f>
        <v>#VALUE!</v>
      </c>
      <c r="L23" s="172" t="e" cm="1">
        <f t="array" aca="1" ref="L23" ca="1">INDIRECT(""&amp;$D23 &amp; "!G47")</f>
        <v>#VALUE!</v>
      </c>
      <c r="M23" s="172" t="e" cm="1">
        <f t="array" aca="1" ref="M23" ca="1">INDIRECT(""&amp;$D23 &amp; "!H47")</f>
        <v>#VALUE!</v>
      </c>
      <c r="N23" s="172" t="e" cm="1">
        <f t="array" aca="1" ref="N23" ca="1">INDIRECT(""&amp;$D23 &amp; "!I47")</f>
        <v>#VALUE!</v>
      </c>
      <c r="O23" s="172" t="e" cm="1">
        <f t="array" aca="1" ref="O23" ca="1">INDIRECT(""&amp;$D23 &amp; "!J47")</f>
        <v>#VALUE!</v>
      </c>
      <c r="P23" s="172" t="e" cm="1">
        <f t="array" aca="1" ref="P23" ca="1">INDIRECT(""&amp;$D23 &amp; "!K47")</f>
        <v>#VALUE!</v>
      </c>
      <c r="Q23" s="172" t="e" cm="1">
        <f t="array" aca="1" ref="Q23" ca="1">INDIRECT(""&amp;$D23 &amp; "!L47")</f>
        <v>#VALUE!</v>
      </c>
      <c r="R23" s="172" t="e" cm="1">
        <f t="array" aca="1" ref="R23" ca="1">INDIRECT(""&amp;$D23 &amp; "!M47")</f>
        <v>#VALUE!</v>
      </c>
      <c r="S23" s="172" t="e" cm="1">
        <f t="array" aca="1" ref="S23" ca="1">INDIRECT(""&amp;$D23 &amp; "!N47")</f>
        <v>#VALUE!</v>
      </c>
      <c r="T23" s="172" t="e" cm="1">
        <f t="array" aca="1" ref="T23" ca="1">INDIRECT(""&amp;$D23 &amp; "!O47")</f>
        <v>#VALUE!</v>
      </c>
      <c r="U23" s="172" t="e" cm="1">
        <f t="array" aca="1" ref="U23" ca="1">INDIRECT(""&amp;$D23 &amp; "!P47")</f>
        <v>#VALUE!</v>
      </c>
      <c r="V23" s="175" t="e">
        <f ca="1">('Summary (Full)'!$B$58*R23+'Summary (Full)'!$B$59*S23+'Summary (Full)'!$B$60*T23)/'Summary (Full)'!$B$61</f>
        <v>#VALUE!</v>
      </c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</row>
    <row r="24" spans="1:40" x14ac:dyDescent="0.2">
      <c r="D24" s="225"/>
      <c r="E24" s="43" t="str" cm="1">
        <f t="array" aca="1" ref="E24" ca="1">INDIRECT(""&amp;$D23 &amp; "!A49")</f>
        <v>Med</v>
      </c>
      <c r="F24" s="17" t="e" cm="1">
        <f t="array" aca="1" ref="F24" ca="1">INDIRECT(""&amp;$D23 &amp; "!B49")</f>
        <v>#VALUE!</v>
      </c>
      <c r="G24" s="172"/>
      <c r="H24" s="172"/>
      <c r="I24" s="172"/>
      <c r="J24" s="172"/>
      <c r="K24" s="172"/>
      <c r="L24" s="172"/>
      <c r="M24" s="172"/>
      <c r="N24" s="172"/>
      <c r="O24" s="172"/>
      <c r="P24" s="172"/>
      <c r="Q24" s="172"/>
      <c r="R24" s="172"/>
      <c r="S24" s="172"/>
      <c r="T24" s="172"/>
      <c r="U24" s="172"/>
      <c r="V24" s="175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</row>
    <row r="25" spans="1:40" x14ac:dyDescent="0.2">
      <c r="D25" s="225"/>
      <c r="E25" s="43" t="str" cm="1">
        <f t="array" aca="1" ref="E25" ca="1">INDIRECT(""&amp;$D23 &amp; "!A51")</f>
        <v>Low</v>
      </c>
      <c r="F25" s="17" t="e" cm="1">
        <f t="array" aca="1" ref="F25" ca="1">INDIRECT(""&amp;$D23 &amp; "!B51")</f>
        <v>#VALUE!</v>
      </c>
      <c r="G25" s="172"/>
      <c r="H25" s="172"/>
      <c r="I25" s="172"/>
      <c r="J25" s="172"/>
      <c r="K25" s="172"/>
      <c r="L25" s="172"/>
      <c r="M25" s="172"/>
      <c r="N25" s="172"/>
      <c r="O25" s="172"/>
      <c r="P25" s="172"/>
      <c r="Q25" s="172"/>
      <c r="R25" s="172"/>
      <c r="S25" s="172"/>
      <c r="T25" s="172"/>
      <c r="U25" s="172"/>
      <c r="V25" s="175"/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</row>
    <row r="26" spans="1:40" x14ac:dyDescent="0.2">
      <c r="D26" s="225" t="s">
        <v>67</v>
      </c>
      <c r="E26" s="43" t="str" cm="1">
        <f t="array" aca="1" ref="E26" ca="1">INDIRECT(""&amp;$D26 &amp; "!A47")</f>
        <v>High</v>
      </c>
      <c r="F26" s="17" t="e" cm="1">
        <f t="array" aca="1" ref="F26" ca="1">INDIRECT(""&amp;$D26 &amp; "!B47")</f>
        <v>#VALUE!</v>
      </c>
      <c r="G26" s="172" t="e" cm="1">
        <f t="array" aca="1" ref="G26" ca="1">INDIRECT(""&amp;$D26 &amp; "!C47")</f>
        <v>#VALUE!</v>
      </c>
      <c r="H26" s="172" t="e" cm="1">
        <f t="array" aca="1" ref="H26" ca="1">INDIRECT(""&amp;$D26 &amp; "!D47")</f>
        <v>#VALUE!</v>
      </c>
      <c r="I26" s="172" t="e" cm="1">
        <f t="array" aca="1" ref="I26" ca="1">INDIRECT(""&amp;$D26 &amp; "!E47")</f>
        <v>#VALUE!</v>
      </c>
      <c r="J26" s="172" t="e" cm="1">
        <f t="array" aca="1" ref="J26" ca="1">INDIRECT(""&amp;$D26 &amp; "!F47")</f>
        <v>#VALUE!</v>
      </c>
      <c r="K26" s="172" t="e">
        <f ca="1">('Summary (Full)'!$B$50*G26+'Summary (Full)'!$B$51*H26+'Summary (Full)'!$B$52*I26)/'Summary (Full)'!$B$53</f>
        <v>#VALUE!</v>
      </c>
      <c r="L26" s="172" t="e" cm="1">
        <f t="array" aca="1" ref="L26" ca="1">INDIRECT(""&amp;$D26 &amp; "!G47")</f>
        <v>#VALUE!</v>
      </c>
      <c r="M26" s="172" t="e" cm="1">
        <f t="array" aca="1" ref="M26" ca="1">INDIRECT(""&amp;$D26 &amp; "!H47")</f>
        <v>#VALUE!</v>
      </c>
      <c r="N26" s="172" t="e" cm="1">
        <f t="array" aca="1" ref="N26" ca="1">INDIRECT(""&amp;$D26 &amp; "!I47")</f>
        <v>#VALUE!</v>
      </c>
      <c r="O26" s="172" t="e" cm="1">
        <f t="array" aca="1" ref="O26" ca="1">INDIRECT(""&amp;$D26 &amp; "!J47")</f>
        <v>#VALUE!</v>
      </c>
      <c r="P26" s="172" t="e" cm="1">
        <f t="array" aca="1" ref="P26" ca="1">INDIRECT(""&amp;$D26 &amp; "!K47")</f>
        <v>#VALUE!</v>
      </c>
      <c r="Q26" s="172" t="e" cm="1">
        <f t="array" aca="1" ref="Q26" ca="1">INDIRECT(""&amp;$D26 &amp; "!L47")</f>
        <v>#VALUE!</v>
      </c>
      <c r="R26" s="172" t="e" cm="1">
        <f t="array" aca="1" ref="R26" ca="1">INDIRECT(""&amp;$D26 &amp; "!M47")</f>
        <v>#VALUE!</v>
      </c>
      <c r="S26" s="172" t="e" cm="1">
        <f t="array" aca="1" ref="S26" ca="1">INDIRECT(""&amp;$D26 &amp; "!N47")</f>
        <v>#VALUE!</v>
      </c>
      <c r="T26" s="172" t="e" cm="1">
        <f t="array" aca="1" ref="T26" ca="1">INDIRECT(""&amp;$D26 &amp; "!O47")</f>
        <v>#VALUE!</v>
      </c>
      <c r="U26" s="172" t="e" cm="1">
        <f t="array" aca="1" ref="U26" ca="1">INDIRECT(""&amp;$D26 &amp; "!P47")</f>
        <v>#VALUE!</v>
      </c>
      <c r="V26" s="175" t="e">
        <f ca="1">('Summary (Full)'!$B$58*R26+'Summary (Full)'!$B$59*S26+'Summary (Full)'!$B$60*T26)/'Summary (Full)'!$B$61</f>
        <v>#VALUE!</v>
      </c>
      <c r="W26" s="23"/>
      <c r="X26" s="23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3"/>
    </row>
    <row r="27" spans="1:40" x14ac:dyDescent="0.2">
      <c r="D27" s="225"/>
      <c r="E27" s="43" t="str" cm="1">
        <f t="array" aca="1" ref="E27" ca="1">INDIRECT(""&amp;$D26 &amp; "!A49")</f>
        <v>Med</v>
      </c>
      <c r="F27" s="17" t="e" cm="1">
        <f t="array" aca="1" ref="F27" ca="1">INDIRECT(""&amp;$D26 &amp; "!B49")</f>
        <v>#VALUE!</v>
      </c>
      <c r="G27" s="172"/>
      <c r="H27" s="172"/>
      <c r="I27" s="172"/>
      <c r="J27" s="172"/>
      <c r="K27" s="172"/>
      <c r="L27" s="172"/>
      <c r="M27" s="172"/>
      <c r="N27" s="172"/>
      <c r="O27" s="172"/>
      <c r="P27" s="172"/>
      <c r="Q27" s="172"/>
      <c r="R27" s="172"/>
      <c r="S27" s="172"/>
      <c r="T27" s="172"/>
      <c r="U27" s="172"/>
      <c r="V27" s="175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</row>
    <row r="28" spans="1:40" ht="17" thickBot="1" x14ac:dyDescent="0.25">
      <c r="D28" s="232"/>
      <c r="E28" s="55" t="str" cm="1">
        <f t="array" aca="1" ref="E28" ca="1">INDIRECT(""&amp;$D26 &amp; "!A51")</f>
        <v>Low</v>
      </c>
      <c r="F28" s="49" t="e" cm="1">
        <f t="array" aca="1" ref="F28" ca="1">INDIRECT(""&amp;$D26 &amp; "!B51")</f>
        <v>#VALUE!</v>
      </c>
      <c r="G28" s="208"/>
      <c r="H28" s="208"/>
      <c r="I28" s="208"/>
      <c r="J28" s="208"/>
      <c r="K28" s="208"/>
      <c r="L28" s="208"/>
      <c r="M28" s="208"/>
      <c r="N28" s="208"/>
      <c r="O28" s="208"/>
      <c r="P28" s="208"/>
      <c r="Q28" s="208"/>
      <c r="R28" s="208"/>
      <c r="S28" s="208"/>
      <c r="T28" s="208"/>
      <c r="U28" s="208"/>
      <c r="V28" s="218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3"/>
    </row>
    <row r="29" spans="1:40" x14ac:dyDescent="0.2">
      <c r="A29" s="226" t="s">
        <v>141</v>
      </c>
      <c r="B29" s="227"/>
      <c r="D29" s="223" t="s">
        <v>16</v>
      </c>
      <c r="E29" s="52" t="s">
        <v>27</v>
      </c>
      <c r="F29" s="44" t="e">
        <f ca="1">AVERAGE(F5,F8,F11,F14,F17,F20,F23,F26)</f>
        <v>#VALUE!</v>
      </c>
      <c r="G29" s="171" t="e">
        <f t="shared" ref="G29:V29" ca="1" si="0">AVERAGE(G5:G28)</f>
        <v>#VALUE!</v>
      </c>
      <c r="H29" s="171" t="e">
        <f t="shared" ca="1" si="0"/>
        <v>#VALUE!</v>
      </c>
      <c r="I29" s="171" t="e">
        <f t="shared" ca="1" si="0"/>
        <v>#VALUE!</v>
      </c>
      <c r="J29" s="171" t="e">
        <f t="shared" ca="1" si="0"/>
        <v>#VALUE!</v>
      </c>
      <c r="K29" s="171" t="e">
        <f t="shared" ca="1" si="0"/>
        <v>#VALUE!</v>
      </c>
      <c r="L29" s="171" t="e">
        <f t="shared" ca="1" si="0"/>
        <v>#VALUE!</v>
      </c>
      <c r="M29" s="171" t="e">
        <f t="shared" ca="1" si="0"/>
        <v>#VALUE!</v>
      </c>
      <c r="N29" s="171" t="e">
        <f t="shared" ca="1" si="0"/>
        <v>#VALUE!</v>
      </c>
      <c r="O29" s="171" t="e">
        <f t="shared" ca="1" si="0"/>
        <v>#VALUE!</v>
      </c>
      <c r="P29" s="171" t="e">
        <f t="shared" ca="1" si="0"/>
        <v>#VALUE!</v>
      </c>
      <c r="Q29" s="171" t="e">
        <f t="shared" ca="1" si="0"/>
        <v>#VALUE!</v>
      </c>
      <c r="R29" s="171" t="e">
        <f t="shared" ca="1" si="0"/>
        <v>#VALUE!</v>
      </c>
      <c r="S29" s="171" t="e">
        <f t="shared" ca="1" si="0"/>
        <v>#VALUE!</v>
      </c>
      <c r="T29" s="171" t="e">
        <f t="shared" ca="1" si="0"/>
        <v>#VALUE!</v>
      </c>
      <c r="U29" s="171" t="e">
        <f t="shared" ca="1" si="0"/>
        <v>#VALUE!</v>
      </c>
      <c r="V29" s="174" t="e">
        <f t="shared" ca="1" si="0"/>
        <v>#VALUE!</v>
      </c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3"/>
    </row>
    <row r="30" spans="1:40" x14ac:dyDescent="0.2">
      <c r="A30" s="29" t="s">
        <v>142</v>
      </c>
      <c r="B30" s="30">
        <v>7</v>
      </c>
      <c r="D30" s="223"/>
      <c r="E30" s="50" t="s">
        <v>28</v>
      </c>
      <c r="F30" s="17" t="e">
        <f ca="1">AVERAGE(F6,F9,F12,F15,F18,F21,F24,F27)</f>
        <v>#VALUE!</v>
      </c>
      <c r="G30" s="172"/>
      <c r="H30" s="172"/>
      <c r="I30" s="172"/>
      <c r="J30" s="172"/>
      <c r="K30" s="172"/>
      <c r="L30" s="172"/>
      <c r="M30" s="172"/>
      <c r="N30" s="172"/>
      <c r="O30" s="172"/>
      <c r="P30" s="172"/>
      <c r="Q30" s="172"/>
      <c r="R30" s="172"/>
      <c r="S30" s="172"/>
      <c r="T30" s="172"/>
      <c r="U30" s="172"/>
      <c r="V30" s="175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</row>
    <row r="31" spans="1:40" ht="17" thickBot="1" x14ac:dyDescent="0.25">
      <c r="D31" s="224"/>
      <c r="E31" s="51" t="s">
        <v>29</v>
      </c>
      <c r="F31" s="47" t="e">
        <f ca="1">AVERAGE(F7,F10,F13,F16,F19,F22,F25,F28)</f>
        <v>#VALUE!</v>
      </c>
      <c r="G31" s="173"/>
      <c r="H31" s="173"/>
      <c r="I31" s="173"/>
      <c r="J31" s="173"/>
      <c r="K31" s="173"/>
      <c r="L31" s="173"/>
      <c r="M31" s="173"/>
      <c r="N31" s="173"/>
      <c r="O31" s="173"/>
      <c r="P31" s="173"/>
      <c r="Q31" s="173"/>
      <c r="R31" s="173"/>
      <c r="S31" s="173"/>
      <c r="T31" s="173"/>
      <c r="U31" s="173"/>
      <c r="V31" s="188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3"/>
    </row>
    <row r="32" spans="1:40" x14ac:dyDescent="0.2">
      <c r="F32" s="80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</row>
    <row r="33" spans="1:40" x14ac:dyDescent="0.2">
      <c r="A33" s="226" t="s">
        <v>69</v>
      </c>
      <c r="B33" s="227"/>
      <c r="C33" s="33"/>
    </row>
    <row r="34" spans="1:40" ht="17" thickBot="1" x14ac:dyDescent="0.25">
      <c r="A34" s="29" t="s">
        <v>70</v>
      </c>
      <c r="B34" s="30">
        <v>14</v>
      </c>
      <c r="C34" s="34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</row>
    <row r="35" spans="1:40" x14ac:dyDescent="0.2">
      <c r="A35" s="29" t="s">
        <v>25</v>
      </c>
      <c r="B35" s="30">
        <v>1</v>
      </c>
      <c r="C35" s="34"/>
      <c r="D35" s="182" t="s">
        <v>61</v>
      </c>
      <c r="E35" s="185" t="s">
        <v>54</v>
      </c>
      <c r="F35" s="186"/>
      <c r="G35" s="186"/>
      <c r="H35" s="186"/>
      <c r="I35" s="186"/>
      <c r="J35" s="186"/>
      <c r="K35" s="186"/>
      <c r="L35" s="186"/>
      <c r="M35" s="186"/>
      <c r="N35" s="186"/>
      <c r="O35" s="186"/>
      <c r="P35" s="186"/>
      <c r="Q35" s="186"/>
      <c r="R35" s="186"/>
      <c r="S35" s="186"/>
      <c r="T35" s="186"/>
      <c r="U35" s="186"/>
      <c r="V35" s="186"/>
      <c r="W35" s="186"/>
      <c r="X35" s="186"/>
      <c r="Y35" s="186"/>
      <c r="Z35" s="186"/>
      <c r="AA35" s="186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</row>
    <row r="36" spans="1:40" x14ac:dyDescent="0.2">
      <c r="A36" s="29" t="s">
        <v>26</v>
      </c>
      <c r="B36" s="30">
        <v>1</v>
      </c>
      <c r="C36" s="34"/>
      <c r="D36" s="183"/>
      <c r="E36" s="40"/>
      <c r="F36" s="170" t="s">
        <v>52</v>
      </c>
      <c r="G36" s="170"/>
      <c r="H36" s="170" t="s">
        <v>53</v>
      </c>
      <c r="I36" s="170"/>
      <c r="J36" s="170" t="s">
        <v>57</v>
      </c>
      <c r="K36" s="170"/>
      <c r="L36" s="170" t="s">
        <v>58</v>
      </c>
      <c r="M36" s="170"/>
      <c r="N36" s="170" t="s">
        <v>59</v>
      </c>
      <c r="O36" s="170"/>
      <c r="P36" s="170" t="s">
        <v>56</v>
      </c>
      <c r="Q36" s="170"/>
      <c r="R36" s="176" t="s">
        <v>60</v>
      </c>
      <c r="S36" s="177"/>
      <c r="T36" s="177"/>
      <c r="U36" s="177"/>
      <c r="V36" s="177"/>
      <c r="W36" s="178"/>
      <c r="X36" s="170" t="s">
        <v>110</v>
      </c>
      <c r="Y36" s="170"/>
      <c r="Z36" s="170" t="s">
        <v>111</v>
      </c>
      <c r="AA36" s="170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</row>
    <row r="37" spans="1:40" x14ac:dyDescent="0.2">
      <c r="A37" s="29" t="s">
        <v>71</v>
      </c>
      <c r="B37" s="30">
        <f>SUM(B34:B36)</f>
        <v>16</v>
      </c>
      <c r="C37" s="34"/>
      <c r="D37" s="183"/>
      <c r="E37" s="27"/>
      <c r="F37" s="170" t="s">
        <v>1</v>
      </c>
      <c r="G37" s="170"/>
      <c r="H37" s="170" t="s">
        <v>22</v>
      </c>
      <c r="I37" s="170"/>
      <c r="J37" s="170" t="s">
        <v>0</v>
      </c>
      <c r="K37" s="170"/>
      <c r="L37" s="170" t="s">
        <v>49</v>
      </c>
      <c r="M37" s="170"/>
      <c r="N37" s="170" t="s">
        <v>47</v>
      </c>
      <c r="O37" s="170"/>
      <c r="P37" s="170" t="s">
        <v>51</v>
      </c>
      <c r="Q37" s="170"/>
      <c r="R37" s="176" t="s">
        <v>42</v>
      </c>
      <c r="S37" s="177"/>
      <c r="T37" s="177"/>
      <c r="U37" s="177"/>
      <c r="V37" s="177"/>
      <c r="W37" s="178"/>
      <c r="X37" s="170" t="s">
        <v>109</v>
      </c>
      <c r="Y37" s="170"/>
      <c r="Z37" s="170" t="s">
        <v>112</v>
      </c>
      <c r="AA37" s="170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</row>
    <row r="38" spans="1:40" ht="17" thickBot="1" x14ac:dyDescent="0.25">
      <c r="A38" s="31"/>
      <c r="B38" s="32"/>
      <c r="C38" s="32"/>
      <c r="D38" s="184"/>
      <c r="E38" s="28"/>
      <c r="F38" s="28" t="s">
        <v>23</v>
      </c>
      <c r="G38" s="28" t="s">
        <v>24</v>
      </c>
      <c r="H38" s="28" t="s">
        <v>23</v>
      </c>
      <c r="I38" s="28" t="s">
        <v>24</v>
      </c>
      <c r="J38" s="28" t="s">
        <v>23</v>
      </c>
      <c r="K38" s="28" t="s">
        <v>24</v>
      </c>
      <c r="L38" s="28" t="s">
        <v>23</v>
      </c>
      <c r="M38" s="28" t="s">
        <v>24</v>
      </c>
      <c r="N38" s="28" t="s">
        <v>23</v>
      </c>
      <c r="O38" s="28" t="s">
        <v>24</v>
      </c>
      <c r="P38" s="28" t="s">
        <v>23</v>
      </c>
      <c r="Q38" s="28" t="s">
        <v>24</v>
      </c>
      <c r="R38" s="28" t="s">
        <v>23</v>
      </c>
      <c r="S38" s="28" t="s">
        <v>24</v>
      </c>
      <c r="T38" s="28" t="s">
        <v>25</v>
      </c>
      <c r="U38" s="28" t="s">
        <v>26</v>
      </c>
      <c r="V38" s="28" t="s">
        <v>38</v>
      </c>
      <c r="W38" s="63" t="s">
        <v>75</v>
      </c>
      <c r="X38" s="28" t="s">
        <v>23</v>
      </c>
      <c r="Y38" s="28" t="s">
        <v>38</v>
      </c>
      <c r="Z38" s="28" t="s">
        <v>23</v>
      </c>
      <c r="AA38" s="28" t="s">
        <v>38</v>
      </c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</row>
    <row r="39" spans="1:40" x14ac:dyDescent="0.2">
      <c r="A39" s="31"/>
      <c r="B39" s="32"/>
      <c r="C39" s="32"/>
      <c r="D39" s="225" t="str">
        <f>D5</f>
        <v>BoxingPractice</v>
      </c>
      <c r="E39" s="43" t="str" cm="1">
        <f t="array" aca="1" ref="E39" ca="1">INDIRECT(""&amp;$D39 &amp; "!A47")</f>
        <v>High</v>
      </c>
      <c r="F39" s="44" t="e" cm="1">
        <f t="array" aca="1" ref="F39" ca="1">INDIRECT(""&amp;$D39 &amp; "!Q47")</f>
        <v>#VALUE!</v>
      </c>
      <c r="G39" s="171" t="e" cm="1">
        <f t="array" aca="1" ref="G39" ca="1">INDIRECT(""&amp;$D39 &amp; "!R47")</f>
        <v>#VALUE!</v>
      </c>
      <c r="H39" s="56" t="e" cm="1">
        <f t="array" aca="1" ref="H39" ca="1">INDIRECT(""&amp;$D39 &amp; "!S47")</f>
        <v>#VALUE!</v>
      </c>
      <c r="I39" s="171" t="e" cm="1">
        <f t="array" aca="1" ref="I39" ca="1">INDIRECT(""&amp;$D39 &amp; "!T47")</f>
        <v>#VALUE!</v>
      </c>
      <c r="J39" s="56" t="e" cm="1">
        <f t="array" aca="1" ref="J39" ca="1">INDIRECT(""&amp;$D39 &amp; "!U47")</f>
        <v>#VALUE!</v>
      </c>
      <c r="K39" s="171" t="e" cm="1">
        <f t="array" aca="1" ref="K39" ca="1">INDIRECT(""&amp;$D39 &amp; "!V47")</f>
        <v>#VALUE!</v>
      </c>
      <c r="L39" s="56" t="e" cm="1">
        <f t="array" aca="1" ref="L39" ca="1">INDIRECT(""&amp;$D39 &amp; "!W47")</f>
        <v>#VALUE!</v>
      </c>
      <c r="M39" s="171" t="e" cm="1">
        <f t="array" aca="1" ref="M39" ca="1">INDIRECT(""&amp;$D39 &amp; "!X47")</f>
        <v>#VALUE!</v>
      </c>
      <c r="N39" s="56" t="e" cm="1">
        <f t="array" aca="1" ref="N39" ca="1">INDIRECT(""&amp;$D39 &amp; "!Y47")</f>
        <v>#VALUE!</v>
      </c>
      <c r="O39" s="171" t="e" cm="1">
        <f t="array" aca="1" ref="O39" ca="1">INDIRECT(""&amp;$D39 &amp; "!Z47")</f>
        <v>#VALUE!</v>
      </c>
      <c r="P39" s="56" t="e" cm="1">
        <f t="array" aca="1" ref="P39" ca="1">INDIRECT(""&amp;$D39 &amp; "!AA47")</f>
        <v>#VALUE!</v>
      </c>
      <c r="Q39" s="171" t="e" cm="1">
        <f t="array" aca="1" ref="Q39" ca="1">INDIRECT(""&amp;$D39 &amp; "!AB47")</f>
        <v>#VALUE!</v>
      </c>
      <c r="R39" s="56" t="e" cm="1">
        <f t="array" aca="1" ref="R39" ca="1">INDIRECT(""&amp;$D39 &amp; "!AC47")</f>
        <v>#VALUE!</v>
      </c>
      <c r="S39" s="171" t="e" cm="1">
        <f t="array" aca="1" ref="S39" ca="1">INDIRECT(""&amp;$D39 &amp; "!AE47")</f>
        <v>#VALUE!</v>
      </c>
      <c r="T39" s="171" t="e" cm="1">
        <f t="array" aca="1" ref="T39" ca="1">INDIRECT(""&amp;$D39 &amp; "!AF47")</f>
        <v>#VALUE!</v>
      </c>
      <c r="U39" s="171" t="e" cm="1">
        <f t="array" aca="1" ref="U39" ca="1">INDIRECT(""&amp;$D39 &amp; "!AG47")</f>
        <v>#VALUE!</v>
      </c>
      <c r="V39" s="171" t="e" cm="1">
        <f t="array" aca="1" ref="V39" ca="1">INDIRECT(""&amp;$D39 &amp; "!AH47")</f>
        <v>#VALUE!</v>
      </c>
      <c r="W39" s="171" t="e">
        <f ca="1">('Summary (Full)'!$B$58*S39+'Summary (Full)'!$B$59*T39+'Summary (Full)'!$B$60*U39)/'Summary (Full)'!$B$61</f>
        <v>#VALUE!</v>
      </c>
      <c r="X39" s="56" t="e" cm="1">
        <f t="array" aca="1" ref="X39" ca="1">INDIRECT(""&amp;$D39 &amp; "!AI47")</f>
        <v>#VALUE!</v>
      </c>
      <c r="Y39" s="171" t="e" cm="1">
        <f t="array" aca="1" ref="Y39" ca="1">INDIRECT(""&amp;$D39 &amp; "!AJ47")</f>
        <v>#VALUE!</v>
      </c>
      <c r="Z39" s="56" t="e" cm="1">
        <f t="array" aca="1" ref="Z39" ca="1">INDIRECT(""&amp;$D39 &amp; "!AK47")</f>
        <v>#VALUE!</v>
      </c>
      <c r="AA39" s="174" t="e" cm="1">
        <f t="array" aca="1" ref="AA39" ca="1">INDIRECT(""&amp;$D39 &amp; "!AL47")</f>
        <v>#VALUE!</v>
      </c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</row>
    <row r="40" spans="1:40" x14ac:dyDescent="0.2">
      <c r="A40" s="226" t="s">
        <v>72</v>
      </c>
      <c r="B40" s="227"/>
      <c r="C40" s="33"/>
      <c r="D40" s="225"/>
      <c r="E40" s="43" t="str" cm="1">
        <f t="array" aca="1" ref="E40" ca="1">INDIRECT(""&amp;$D39 &amp; "!A49")</f>
        <v>Med</v>
      </c>
      <c r="F40" s="17" t="e" cm="1">
        <f t="array" aca="1" ref="F40" ca="1">INDIRECT(""&amp;$D39 &amp; "!Q49")</f>
        <v>#VALUE!</v>
      </c>
      <c r="G40" s="172"/>
      <c r="H40" s="42" t="e" cm="1">
        <f t="array" aca="1" ref="H40" ca="1">INDIRECT(""&amp;$D39 &amp; "!S49")</f>
        <v>#VALUE!</v>
      </c>
      <c r="I40" s="172"/>
      <c r="J40" s="42" t="e" cm="1">
        <f t="array" aca="1" ref="J40" ca="1">INDIRECT(""&amp;$D39 &amp; "!U49")</f>
        <v>#VALUE!</v>
      </c>
      <c r="K40" s="172"/>
      <c r="L40" s="42" t="e" cm="1">
        <f t="array" aca="1" ref="L40" ca="1">INDIRECT(""&amp;$D39 &amp; "!W49")</f>
        <v>#VALUE!</v>
      </c>
      <c r="M40" s="172"/>
      <c r="N40" s="42" t="e" cm="1">
        <f t="array" aca="1" ref="N40" ca="1">INDIRECT(""&amp;$D39 &amp; "!Y49")</f>
        <v>#VALUE!</v>
      </c>
      <c r="O40" s="172"/>
      <c r="P40" s="42" t="e" cm="1">
        <f t="array" aca="1" ref="P40" ca="1">INDIRECT(""&amp;$D39 &amp; "!AA49")</f>
        <v>#VALUE!</v>
      </c>
      <c r="Q40" s="172"/>
      <c r="R40" s="42" t="e" cm="1">
        <f t="array" aca="1" ref="R40" ca="1">INDIRECT(""&amp;$D39 &amp; "!AC49")</f>
        <v>#VALUE!</v>
      </c>
      <c r="S40" s="172"/>
      <c r="T40" s="172"/>
      <c r="U40" s="172"/>
      <c r="V40" s="172"/>
      <c r="W40" s="172"/>
      <c r="X40" s="42" t="e" cm="1">
        <f t="array" aca="1" ref="X40" ca="1">INDIRECT(""&amp;$D39 &amp; "!AI49")</f>
        <v>#VALUE!</v>
      </c>
      <c r="Y40" s="172"/>
      <c r="Z40" s="42" t="e" cm="1">
        <f t="array" aca="1" ref="Z40" ca="1">INDIRECT(""&amp;$D39 &amp; "!AK49")</f>
        <v>#VALUE!</v>
      </c>
      <c r="AA40" s="175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</row>
    <row r="41" spans="1:40" x14ac:dyDescent="0.2">
      <c r="A41" s="29" t="s">
        <v>70</v>
      </c>
      <c r="B41" s="30">
        <v>4</v>
      </c>
      <c r="C41" s="34"/>
      <c r="D41" s="225"/>
      <c r="E41" s="43" t="str" cm="1">
        <f t="array" aca="1" ref="E41" ca="1">INDIRECT(""&amp;$D39 &amp; "!A51")</f>
        <v>Low</v>
      </c>
      <c r="F41" s="17" t="e" cm="1">
        <f t="array" aca="1" ref="F41" ca="1">INDIRECT(""&amp;$D39 &amp; "!Q51")</f>
        <v>#VALUE!</v>
      </c>
      <c r="G41" s="172"/>
      <c r="H41" s="42" t="e" cm="1">
        <f t="array" aca="1" ref="H41" ca="1">INDIRECT(""&amp;$D39 &amp; "!S51")</f>
        <v>#VALUE!</v>
      </c>
      <c r="I41" s="172"/>
      <c r="J41" s="42" t="e" cm="1">
        <f t="array" aca="1" ref="J41" ca="1">INDIRECT(""&amp;$D39 &amp; "!U51")</f>
        <v>#VALUE!</v>
      </c>
      <c r="K41" s="172"/>
      <c r="L41" s="42" t="e" cm="1">
        <f t="array" aca="1" ref="L41" ca="1">INDIRECT(""&amp;$D39 &amp; "!W51")</f>
        <v>#VALUE!</v>
      </c>
      <c r="M41" s="172"/>
      <c r="N41" s="42" t="e" cm="1">
        <f t="array" aca="1" ref="N41" ca="1">INDIRECT(""&amp;$D39 &amp; "!Y51")</f>
        <v>#VALUE!</v>
      </c>
      <c r="O41" s="172"/>
      <c r="P41" s="42" t="e" cm="1">
        <f t="array" aca="1" ref="P41" ca="1">INDIRECT(""&amp;$D39 &amp; "!AA51")</f>
        <v>#VALUE!</v>
      </c>
      <c r="Q41" s="172"/>
      <c r="R41" s="42" t="e" cm="1">
        <f t="array" aca="1" ref="R41" ca="1">INDIRECT(""&amp;$D39 &amp; "!AC51")</f>
        <v>#VALUE!</v>
      </c>
      <c r="S41" s="172"/>
      <c r="T41" s="172"/>
      <c r="U41" s="172"/>
      <c r="V41" s="172"/>
      <c r="W41" s="172"/>
      <c r="X41" s="42" t="e" cm="1">
        <f t="array" aca="1" ref="X41" ca="1">INDIRECT(""&amp;$D39 &amp; "!AI51")</f>
        <v>#VALUE!</v>
      </c>
      <c r="Y41" s="172"/>
      <c r="Z41" s="42" t="e" cm="1">
        <f t="array" aca="1" ref="Z41" ca="1">INDIRECT(""&amp;$D39 &amp; "!AK51")</f>
        <v>#VALUE!</v>
      </c>
      <c r="AA41" s="175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</row>
    <row r="42" spans="1:40" x14ac:dyDescent="0.2">
      <c r="A42" s="29" t="s">
        <v>25</v>
      </c>
      <c r="B42" s="30">
        <v>1</v>
      </c>
      <c r="C42" s="34"/>
      <c r="D42" s="225" t="str">
        <f>D8</f>
        <v>CrossWalk</v>
      </c>
      <c r="E42" s="43" t="str" cm="1">
        <f t="array" aca="1" ref="E42" ca="1">INDIRECT(""&amp;$D42 &amp; "!A47")</f>
        <v>High</v>
      </c>
      <c r="F42" s="17" t="e" cm="1">
        <f t="array" aca="1" ref="F42" ca="1">INDIRECT(""&amp;$D42 &amp; "!Q47")</f>
        <v>#VALUE!</v>
      </c>
      <c r="G42" s="172" t="e" cm="1">
        <f t="array" aca="1" ref="G42" ca="1">INDIRECT(""&amp;$D42 &amp; "!R47")</f>
        <v>#VALUE!</v>
      </c>
      <c r="H42" s="42" t="e" cm="1">
        <f t="array" aca="1" ref="H42" ca="1">INDIRECT(""&amp;$D42 &amp; "!S47")</f>
        <v>#VALUE!</v>
      </c>
      <c r="I42" s="172" t="e" cm="1">
        <f t="array" aca="1" ref="I42" ca="1">INDIRECT(""&amp;$D42 &amp; "!T47")</f>
        <v>#VALUE!</v>
      </c>
      <c r="J42" s="42" t="e" cm="1">
        <f t="array" aca="1" ref="J42" ca="1">INDIRECT(""&amp;$D42 &amp; "!U47")</f>
        <v>#VALUE!</v>
      </c>
      <c r="K42" s="172" t="e" cm="1">
        <f t="array" aca="1" ref="K42" ca="1">INDIRECT(""&amp;$D42 &amp; "!V47")</f>
        <v>#VALUE!</v>
      </c>
      <c r="L42" s="42" t="e" cm="1">
        <f t="array" aca="1" ref="L42" ca="1">INDIRECT(""&amp;$D42 &amp; "!W47")</f>
        <v>#VALUE!</v>
      </c>
      <c r="M42" s="172" t="e" cm="1">
        <f t="array" aca="1" ref="M42" ca="1">INDIRECT(""&amp;$D42 &amp; "!X47")</f>
        <v>#VALUE!</v>
      </c>
      <c r="N42" s="42" t="e" cm="1">
        <f t="array" aca="1" ref="N42" ca="1">INDIRECT(""&amp;$D42 &amp; "!Y47")</f>
        <v>#VALUE!</v>
      </c>
      <c r="O42" s="172" t="e" cm="1">
        <f t="array" aca="1" ref="O42" ca="1">INDIRECT(""&amp;$D42 &amp; "!Z47")</f>
        <v>#VALUE!</v>
      </c>
      <c r="P42" s="42" t="e" cm="1">
        <f t="array" aca="1" ref="P42" ca="1">INDIRECT(""&amp;$D42 &amp; "!AA47")</f>
        <v>#VALUE!</v>
      </c>
      <c r="Q42" s="172" t="e" cm="1">
        <f t="array" aca="1" ref="Q42" ca="1">INDIRECT(""&amp;$D42 &amp; "!AB47")</f>
        <v>#VALUE!</v>
      </c>
      <c r="R42" s="42" t="e" cm="1">
        <f t="array" aca="1" ref="R42" ca="1">INDIRECT(""&amp;$D42 &amp; "!AC47")</f>
        <v>#VALUE!</v>
      </c>
      <c r="S42" s="172" t="e" cm="1">
        <f t="array" aca="1" ref="S42" ca="1">INDIRECT(""&amp;$D42 &amp; "!AE47")</f>
        <v>#VALUE!</v>
      </c>
      <c r="T42" s="172" t="e" cm="1">
        <f t="array" aca="1" ref="T42" ca="1">INDIRECT(""&amp;$D42 &amp; "!AF47")</f>
        <v>#VALUE!</v>
      </c>
      <c r="U42" s="172" t="e" cm="1">
        <f t="array" aca="1" ref="U42" ca="1">INDIRECT(""&amp;$D42 &amp; "!AG47")</f>
        <v>#VALUE!</v>
      </c>
      <c r="V42" s="172" t="e" cm="1">
        <f t="array" aca="1" ref="V42" ca="1">INDIRECT(""&amp;$D42 &amp; "!AH47")</f>
        <v>#VALUE!</v>
      </c>
      <c r="W42" s="172" t="e">
        <f ca="1">('Summary (Full)'!$B$58*S42+'Summary (Full)'!$B$59*T42+'Summary (Full)'!$B$60*U42)/'Summary (Full)'!$B$61</f>
        <v>#VALUE!</v>
      </c>
      <c r="X42" s="42" t="e" cm="1">
        <f t="array" aca="1" ref="X42" ca="1">INDIRECT(""&amp;$D42 &amp; "!AI47")</f>
        <v>#VALUE!</v>
      </c>
      <c r="Y42" s="172" t="e" cm="1">
        <f t="array" aca="1" ref="Y42" ca="1">INDIRECT(""&amp;$D42 &amp; "!AJ47")</f>
        <v>#VALUE!</v>
      </c>
      <c r="Z42" s="42" t="e" cm="1">
        <f t="array" aca="1" ref="Z42" ca="1">INDIRECT(""&amp;$D42 &amp; "!AK47")</f>
        <v>#VALUE!</v>
      </c>
      <c r="AA42" s="175" t="e" cm="1">
        <f t="array" aca="1" ref="AA42" ca="1">INDIRECT(""&amp;$D42 &amp; "!AL47")</f>
        <v>#VALUE!</v>
      </c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</row>
    <row r="43" spans="1:40" x14ac:dyDescent="0.2">
      <c r="A43" s="29" t="s">
        <v>26</v>
      </c>
      <c r="B43" s="30">
        <v>1</v>
      </c>
      <c r="C43" s="34"/>
      <c r="D43" s="225"/>
      <c r="E43" s="43" t="str" cm="1">
        <f t="array" aca="1" ref="E43" ca="1">INDIRECT(""&amp;$D42 &amp; "!A49")</f>
        <v>Med</v>
      </c>
      <c r="F43" s="17" t="e" cm="1">
        <f t="array" aca="1" ref="F43" ca="1">INDIRECT(""&amp;$D42 &amp; "!Q49")</f>
        <v>#VALUE!</v>
      </c>
      <c r="G43" s="172"/>
      <c r="H43" s="42" t="e" cm="1">
        <f t="array" aca="1" ref="H43" ca="1">INDIRECT(""&amp;$D42 &amp; "!S49")</f>
        <v>#VALUE!</v>
      </c>
      <c r="I43" s="172"/>
      <c r="J43" s="42" t="e" cm="1">
        <f t="array" aca="1" ref="J43" ca="1">INDIRECT(""&amp;$D42 &amp; "!U49")</f>
        <v>#VALUE!</v>
      </c>
      <c r="K43" s="172"/>
      <c r="L43" s="42" t="e" cm="1">
        <f t="array" aca="1" ref="L43" ca="1">INDIRECT(""&amp;$D42 &amp; "!W49")</f>
        <v>#VALUE!</v>
      </c>
      <c r="M43" s="172"/>
      <c r="N43" s="42" t="e" cm="1">
        <f t="array" aca="1" ref="N43" ca="1">INDIRECT(""&amp;$D42 &amp; "!Y49")</f>
        <v>#VALUE!</v>
      </c>
      <c r="O43" s="172"/>
      <c r="P43" s="42" t="e" cm="1">
        <f t="array" aca="1" ref="P43" ca="1">INDIRECT(""&amp;$D42 &amp; "!AA49")</f>
        <v>#VALUE!</v>
      </c>
      <c r="Q43" s="172"/>
      <c r="R43" s="42" t="e" cm="1">
        <f t="array" aca="1" ref="R43" ca="1">INDIRECT(""&amp;$D42 &amp; "!AC49")</f>
        <v>#VALUE!</v>
      </c>
      <c r="S43" s="172"/>
      <c r="T43" s="172"/>
      <c r="U43" s="172"/>
      <c r="V43" s="172"/>
      <c r="W43" s="172"/>
      <c r="X43" s="42" t="e" cm="1">
        <f t="array" aca="1" ref="X43" ca="1">INDIRECT(""&amp;$D42 &amp; "!AI49")</f>
        <v>#VALUE!</v>
      </c>
      <c r="Y43" s="172"/>
      <c r="Z43" s="42" t="e" cm="1">
        <f t="array" aca="1" ref="Z43" ca="1">INDIRECT(""&amp;$D42 &amp; "!AK49")</f>
        <v>#VALUE!</v>
      </c>
      <c r="AA43" s="175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</row>
    <row r="44" spans="1:40" x14ac:dyDescent="0.2">
      <c r="A44" s="29" t="s">
        <v>71</v>
      </c>
      <c r="B44" s="30">
        <f>SUM(B41:B43)</f>
        <v>6</v>
      </c>
      <c r="C44" s="34"/>
      <c r="D44" s="225"/>
      <c r="E44" s="43" t="str" cm="1">
        <f t="array" aca="1" ref="E44" ca="1">INDIRECT(""&amp;$D42 &amp; "!A51")</f>
        <v>Low</v>
      </c>
      <c r="F44" s="17" t="e" cm="1">
        <f t="array" aca="1" ref="F44" ca="1">INDIRECT(""&amp;$D42 &amp; "!Q51")</f>
        <v>#VALUE!</v>
      </c>
      <c r="G44" s="172"/>
      <c r="H44" s="42" t="e" cm="1">
        <f t="array" aca="1" ref="H44" ca="1">INDIRECT(""&amp;$D42 &amp; "!S51")</f>
        <v>#VALUE!</v>
      </c>
      <c r="I44" s="172"/>
      <c r="J44" s="42" t="e" cm="1">
        <f t="array" aca="1" ref="J44" ca="1">INDIRECT(""&amp;$D42 &amp; "!U51")</f>
        <v>#VALUE!</v>
      </c>
      <c r="K44" s="172"/>
      <c r="L44" s="42" t="e" cm="1">
        <f t="array" aca="1" ref="L44" ca="1">INDIRECT(""&amp;$D42 &amp; "!W51")</f>
        <v>#VALUE!</v>
      </c>
      <c r="M44" s="172"/>
      <c r="N44" s="42" t="e" cm="1">
        <f t="array" aca="1" ref="N44" ca="1">INDIRECT(""&amp;$D42 &amp; "!Y51")</f>
        <v>#VALUE!</v>
      </c>
      <c r="O44" s="172"/>
      <c r="P44" s="42" t="e" cm="1">
        <f t="array" aca="1" ref="P44" ca="1">INDIRECT(""&amp;$D42 &amp; "!AA51")</f>
        <v>#VALUE!</v>
      </c>
      <c r="Q44" s="172"/>
      <c r="R44" s="42" t="e" cm="1">
        <f t="array" aca="1" ref="R44" ca="1">INDIRECT(""&amp;$D42 &amp; "!AC51")</f>
        <v>#VALUE!</v>
      </c>
      <c r="S44" s="172"/>
      <c r="T44" s="172"/>
      <c r="U44" s="172"/>
      <c r="V44" s="172"/>
      <c r="W44" s="172"/>
      <c r="X44" s="42" t="e" cm="1">
        <f t="array" aca="1" ref="X44" ca="1">INDIRECT(""&amp;$D42 &amp; "!AI51")</f>
        <v>#VALUE!</v>
      </c>
      <c r="Y44" s="172"/>
      <c r="Z44" s="42" t="e" cm="1">
        <f t="array" aca="1" ref="Z44" ca="1">INDIRECT(""&amp;$D42 &amp; "!AK51")</f>
        <v>#VALUE!</v>
      </c>
      <c r="AA44" s="175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</row>
    <row r="45" spans="1:40" x14ac:dyDescent="0.2">
      <c r="A45" s="31"/>
      <c r="B45" s="32"/>
      <c r="C45" s="32"/>
      <c r="D45" s="225" t="str">
        <f>D11</f>
        <v>FoodMarket2</v>
      </c>
      <c r="E45" s="43" t="str" cm="1">
        <f t="array" aca="1" ref="E45" ca="1">INDIRECT(""&amp;$D45 &amp; "!A47")</f>
        <v>High</v>
      </c>
      <c r="F45" s="17" t="e" cm="1">
        <f t="array" aca="1" ref="F45" ca="1">INDIRECT(""&amp;$D45 &amp; "!Q47")</f>
        <v>#VALUE!</v>
      </c>
      <c r="G45" s="172" t="e" cm="1">
        <f t="array" aca="1" ref="G45" ca="1">INDIRECT(""&amp;$D45 &amp; "!R47")</f>
        <v>#VALUE!</v>
      </c>
      <c r="H45" s="42" t="e" cm="1">
        <f t="array" aca="1" ref="H45" ca="1">INDIRECT(""&amp;$D45 &amp; "!S47")</f>
        <v>#VALUE!</v>
      </c>
      <c r="I45" s="172" t="e" cm="1">
        <f t="array" aca="1" ref="I45" ca="1">INDIRECT(""&amp;$D45 &amp; "!T47")</f>
        <v>#VALUE!</v>
      </c>
      <c r="J45" s="42" t="e" cm="1">
        <f t="array" aca="1" ref="J45" ca="1">INDIRECT(""&amp;$D45 &amp; "!U47")</f>
        <v>#VALUE!</v>
      </c>
      <c r="K45" s="172" t="e" cm="1">
        <f t="array" aca="1" ref="K45" ca="1">INDIRECT(""&amp;$D45 &amp; "!V47")</f>
        <v>#VALUE!</v>
      </c>
      <c r="L45" s="42" t="e" cm="1">
        <f t="array" aca="1" ref="L45" ca="1">INDIRECT(""&amp;$D45 &amp; "!W47")</f>
        <v>#VALUE!</v>
      </c>
      <c r="M45" s="172" t="e" cm="1">
        <f t="array" aca="1" ref="M45" ca="1">INDIRECT(""&amp;$D45 &amp; "!X47")</f>
        <v>#VALUE!</v>
      </c>
      <c r="N45" s="42" t="e" cm="1">
        <f t="array" aca="1" ref="N45" ca="1">INDIRECT(""&amp;$D45 &amp; "!Y47")</f>
        <v>#VALUE!</v>
      </c>
      <c r="O45" s="172" t="e" cm="1">
        <f t="array" aca="1" ref="O45" ca="1">INDIRECT(""&amp;$D45 &amp; "!Z47")</f>
        <v>#VALUE!</v>
      </c>
      <c r="P45" s="42" t="e" cm="1">
        <f t="array" aca="1" ref="P45" ca="1">INDIRECT(""&amp;$D45 &amp; "!AA47")</f>
        <v>#VALUE!</v>
      </c>
      <c r="Q45" s="172" t="e" cm="1">
        <f t="array" aca="1" ref="Q45" ca="1">INDIRECT(""&amp;$D45 &amp; "!AB47")</f>
        <v>#VALUE!</v>
      </c>
      <c r="R45" s="42" t="e" cm="1">
        <f t="array" aca="1" ref="R45" ca="1">INDIRECT(""&amp;$D45 &amp; "!AC47")</f>
        <v>#VALUE!</v>
      </c>
      <c r="S45" s="172" t="e" cm="1">
        <f t="array" aca="1" ref="S45" ca="1">INDIRECT(""&amp;$D45 &amp; "!AE47")</f>
        <v>#VALUE!</v>
      </c>
      <c r="T45" s="172" t="e" cm="1">
        <f t="array" aca="1" ref="T45" ca="1">INDIRECT(""&amp;$D45 &amp; "!AF47")</f>
        <v>#VALUE!</v>
      </c>
      <c r="U45" s="172" t="e" cm="1">
        <f t="array" aca="1" ref="U45" ca="1">INDIRECT(""&amp;$D45 &amp; "!AG47")</f>
        <v>#VALUE!</v>
      </c>
      <c r="V45" s="172" t="e" cm="1">
        <f t="array" aca="1" ref="V45" ca="1">INDIRECT(""&amp;$D45 &amp; "!AH47")</f>
        <v>#VALUE!</v>
      </c>
      <c r="W45" s="172" t="e">
        <f ca="1">('Summary (Full)'!$B$58*S45+'Summary (Full)'!$B$59*T45+'Summary (Full)'!$B$60*U45)/'Summary (Full)'!$B$61</f>
        <v>#VALUE!</v>
      </c>
      <c r="X45" s="42" t="e" cm="1">
        <f t="array" aca="1" ref="X45" ca="1">INDIRECT(""&amp;$D45 &amp; "!AI47")</f>
        <v>#VALUE!</v>
      </c>
      <c r="Y45" s="172" t="e" cm="1">
        <f t="array" aca="1" ref="Y45" ca="1">INDIRECT(""&amp;$D45 &amp; "!AJ47")</f>
        <v>#VALUE!</v>
      </c>
      <c r="Z45" s="42" t="e" cm="1">
        <f t="array" aca="1" ref="Z45" ca="1">INDIRECT(""&amp;$D45 &amp; "!AK47")</f>
        <v>#VALUE!</v>
      </c>
      <c r="AA45" s="175" t="e" cm="1">
        <f t="array" aca="1" ref="AA45" ca="1">INDIRECT(""&amp;$D45 &amp; "!AL47")</f>
        <v>#VALUE!</v>
      </c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</row>
    <row r="46" spans="1:40" x14ac:dyDescent="0.2">
      <c r="A46" s="31"/>
      <c r="B46" s="32"/>
      <c r="C46" s="32"/>
      <c r="D46" s="225"/>
      <c r="E46" s="43" t="str" cm="1">
        <f t="array" aca="1" ref="E46" ca="1">INDIRECT(""&amp;$D45 &amp; "!A49")</f>
        <v>Med</v>
      </c>
      <c r="F46" s="17" t="e" cm="1">
        <f t="array" aca="1" ref="F46" ca="1">INDIRECT(""&amp;$D45 &amp; "!Q49")</f>
        <v>#VALUE!</v>
      </c>
      <c r="G46" s="172"/>
      <c r="H46" s="42" t="e" cm="1">
        <f t="array" aca="1" ref="H46" ca="1">INDIRECT(""&amp;$D45 &amp; "!S49")</f>
        <v>#VALUE!</v>
      </c>
      <c r="I46" s="172"/>
      <c r="J46" s="42" t="e" cm="1">
        <f t="array" aca="1" ref="J46" ca="1">INDIRECT(""&amp;$D45 &amp; "!U49")</f>
        <v>#VALUE!</v>
      </c>
      <c r="K46" s="172"/>
      <c r="L46" s="42" t="e" cm="1">
        <f t="array" aca="1" ref="L46" ca="1">INDIRECT(""&amp;$D45 &amp; "!W49")</f>
        <v>#VALUE!</v>
      </c>
      <c r="M46" s="172"/>
      <c r="N46" s="42" t="e" cm="1">
        <f t="array" aca="1" ref="N46" ca="1">INDIRECT(""&amp;$D45 &amp; "!Y49")</f>
        <v>#VALUE!</v>
      </c>
      <c r="O46" s="172"/>
      <c r="P46" s="42" t="e" cm="1">
        <f t="array" aca="1" ref="P46" ca="1">INDIRECT(""&amp;$D45 &amp; "!AA49")</f>
        <v>#VALUE!</v>
      </c>
      <c r="Q46" s="172"/>
      <c r="R46" s="42" t="e" cm="1">
        <f t="array" aca="1" ref="R46" ca="1">INDIRECT(""&amp;$D45 &amp; "!AC49")</f>
        <v>#VALUE!</v>
      </c>
      <c r="S46" s="172"/>
      <c r="T46" s="172"/>
      <c r="U46" s="172"/>
      <c r="V46" s="172"/>
      <c r="W46" s="172"/>
      <c r="X46" s="42" t="e" cm="1">
        <f t="array" aca="1" ref="X46" ca="1">INDIRECT(""&amp;$D45 &amp; "!AI49")</f>
        <v>#VALUE!</v>
      </c>
      <c r="Y46" s="172"/>
      <c r="Z46" s="42" t="e" cm="1">
        <f t="array" aca="1" ref="Z46" ca="1">INDIRECT(""&amp;$D45 &amp; "!AK49")</f>
        <v>#VALUE!</v>
      </c>
      <c r="AA46" s="175"/>
      <c r="AB46" s="23"/>
      <c r="AC46" s="23"/>
      <c r="AD46" s="23"/>
      <c r="AE46" s="23"/>
      <c r="AF46" s="23"/>
      <c r="AG46" s="23"/>
      <c r="AH46" s="23"/>
      <c r="AI46" s="23"/>
      <c r="AJ46" s="23"/>
      <c r="AK46" s="23"/>
      <c r="AL46" s="23"/>
      <c r="AM46" s="23"/>
      <c r="AN46" s="23"/>
    </row>
    <row r="47" spans="1:40" x14ac:dyDescent="0.2">
      <c r="A47" s="31"/>
      <c r="B47" s="32"/>
      <c r="C47" s="32"/>
      <c r="D47" s="225"/>
      <c r="E47" s="43" t="str" cm="1">
        <f t="array" aca="1" ref="E47" ca="1">INDIRECT(""&amp;$D45 &amp; "!A51")</f>
        <v>Low</v>
      </c>
      <c r="F47" s="17" t="e" cm="1">
        <f t="array" aca="1" ref="F47" ca="1">INDIRECT(""&amp;$D45 &amp; "!Q51")</f>
        <v>#VALUE!</v>
      </c>
      <c r="G47" s="172"/>
      <c r="H47" s="42" t="e" cm="1">
        <f t="array" aca="1" ref="H47" ca="1">INDIRECT(""&amp;$D45 &amp; "!S51")</f>
        <v>#VALUE!</v>
      </c>
      <c r="I47" s="172"/>
      <c r="J47" s="42" t="e" cm="1">
        <f t="array" aca="1" ref="J47" ca="1">INDIRECT(""&amp;$D45 &amp; "!U51")</f>
        <v>#VALUE!</v>
      </c>
      <c r="K47" s="172"/>
      <c r="L47" s="42" t="e" cm="1">
        <f t="array" aca="1" ref="L47" ca="1">INDIRECT(""&amp;$D45 &amp; "!W51")</f>
        <v>#VALUE!</v>
      </c>
      <c r="M47" s="172"/>
      <c r="N47" s="42" t="e" cm="1">
        <f t="array" aca="1" ref="N47" ca="1">INDIRECT(""&amp;$D45 &amp; "!Y51")</f>
        <v>#VALUE!</v>
      </c>
      <c r="O47" s="172"/>
      <c r="P47" s="42" t="e" cm="1">
        <f t="array" aca="1" ref="P47" ca="1">INDIRECT(""&amp;$D45 &amp; "!AA51")</f>
        <v>#VALUE!</v>
      </c>
      <c r="Q47" s="172"/>
      <c r="R47" s="42" t="e" cm="1">
        <f t="array" aca="1" ref="R47" ca="1">INDIRECT(""&amp;$D45 &amp; "!AC51")</f>
        <v>#VALUE!</v>
      </c>
      <c r="S47" s="172"/>
      <c r="T47" s="172"/>
      <c r="U47" s="172"/>
      <c r="V47" s="172"/>
      <c r="W47" s="172"/>
      <c r="X47" s="42" t="e" cm="1">
        <f t="array" aca="1" ref="X47" ca="1">INDIRECT(""&amp;$D45 &amp; "!AI51")</f>
        <v>#VALUE!</v>
      </c>
      <c r="Y47" s="172"/>
      <c r="Z47" s="42" t="e" cm="1">
        <f t="array" aca="1" ref="Z47" ca="1">INDIRECT(""&amp;$D45 &amp; "!AK51")</f>
        <v>#VALUE!</v>
      </c>
      <c r="AA47" s="175"/>
      <c r="AB47" s="23"/>
      <c r="AC47" s="23"/>
      <c r="AD47" s="23"/>
      <c r="AE47" s="23"/>
      <c r="AF47" s="23"/>
      <c r="AG47" s="23"/>
      <c r="AH47" s="23"/>
      <c r="AI47" s="23"/>
      <c r="AJ47" s="23"/>
      <c r="AK47" s="23"/>
      <c r="AL47" s="23"/>
      <c r="AM47" s="23"/>
      <c r="AN47" s="23"/>
    </row>
    <row r="48" spans="1:40" x14ac:dyDescent="0.2">
      <c r="A48" s="228" t="s">
        <v>73</v>
      </c>
      <c r="B48" s="229"/>
      <c r="C48" s="33"/>
      <c r="D48" s="225" t="str">
        <f>D14</f>
        <v>Neon1224</v>
      </c>
      <c r="E48" s="43" t="str" cm="1">
        <f t="array" aca="1" ref="E48" ca="1">INDIRECT(""&amp;$D48 &amp; "!A47")</f>
        <v>High</v>
      </c>
      <c r="F48" s="17" t="e" cm="1">
        <f t="array" aca="1" ref="F48" ca="1">INDIRECT(""&amp;$D48 &amp; "!Q47")</f>
        <v>#VALUE!</v>
      </c>
      <c r="G48" s="172" t="e" cm="1">
        <f t="array" aca="1" ref="G48" ca="1">INDIRECT(""&amp;$D48 &amp; "!R47")</f>
        <v>#VALUE!</v>
      </c>
      <c r="H48" s="42" t="e" cm="1">
        <f t="array" aca="1" ref="H48" ca="1">INDIRECT(""&amp;$D48 &amp; "!S47")</f>
        <v>#VALUE!</v>
      </c>
      <c r="I48" s="172" t="e" cm="1">
        <f t="array" aca="1" ref="I48" ca="1">INDIRECT(""&amp;$D48 &amp; "!T47")</f>
        <v>#VALUE!</v>
      </c>
      <c r="J48" s="42" t="e" cm="1">
        <f t="array" aca="1" ref="J48" ca="1">INDIRECT(""&amp;$D48 &amp; "!U47")</f>
        <v>#VALUE!</v>
      </c>
      <c r="K48" s="172" t="e" cm="1">
        <f t="array" aca="1" ref="K48" ca="1">INDIRECT(""&amp;$D48 &amp; "!V47")</f>
        <v>#VALUE!</v>
      </c>
      <c r="L48" s="42" t="e" cm="1">
        <f t="array" aca="1" ref="L48" ca="1">INDIRECT(""&amp;$D48 &amp; "!W47")</f>
        <v>#VALUE!</v>
      </c>
      <c r="M48" s="172" t="e" cm="1">
        <f t="array" aca="1" ref="M48" ca="1">INDIRECT(""&amp;$D48 &amp; "!X47")</f>
        <v>#VALUE!</v>
      </c>
      <c r="N48" s="42" t="e" cm="1">
        <f t="array" aca="1" ref="N48" ca="1">INDIRECT(""&amp;$D48 &amp; "!Y47")</f>
        <v>#VALUE!</v>
      </c>
      <c r="O48" s="172" t="e" cm="1">
        <f t="array" aca="1" ref="O48" ca="1">INDIRECT(""&amp;$D48 &amp; "!Z47")</f>
        <v>#VALUE!</v>
      </c>
      <c r="P48" s="42" t="e" cm="1">
        <f t="array" aca="1" ref="P48" ca="1">INDIRECT(""&amp;$D48 &amp; "!AA47")</f>
        <v>#VALUE!</v>
      </c>
      <c r="Q48" s="172" t="e" cm="1">
        <f t="array" aca="1" ref="Q48" ca="1">INDIRECT(""&amp;$D48 &amp; "!AB47")</f>
        <v>#VALUE!</v>
      </c>
      <c r="R48" s="42" t="e" cm="1">
        <f t="array" aca="1" ref="R48" ca="1">INDIRECT(""&amp;$D48 &amp; "!AC47")</f>
        <v>#VALUE!</v>
      </c>
      <c r="S48" s="172" t="e" cm="1">
        <f t="array" aca="1" ref="S48" ca="1">INDIRECT(""&amp;$D48 &amp; "!AE47")</f>
        <v>#VALUE!</v>
      </c>
      <c r="T48" s="172" t="e" cm="1">
        <f t="array" aca="1" ref="T48" ca="1">INDIRECT(""&amp;$D48 &amp; "!AF47")</f>
        <v>#VALUE!</v>
      </c>
      <c r="U48" s="172" t="e" cm="1">
        <f t="array" aca="1" ref="U48" ca="1">INDIRECT(""&amp;$D48 &amp; "!AG47")</f>
        <v>#VALUE!</v>
      </c>
      <c r="V48" s="172" t="e" cm="1">
        <f t="array" aca="1" ref="V48" ca="1">INDIRECT(""&amp;$D48 &amp; "!AH47")</f>
        <v>#VALUE!</v>
      </c>
      <c r="W48" s="172" t="e">
        <f ca="1">('Summary (Full)'!$B$58*S48+'Summary (Full)'!$B$59*T48+'Summary (Full)'!$B$60*U48)/'Summary (Full)'!$B$61</f>
        <v>#VALUE!</v>
      </c>
      <c r="X48" s="42" t="e" cm="1">
        <f t="array" aca="1" ref="X48" ca="1">INDIRECT(""&amp;$D48 &amp; "!AI47")</f>
        <v>#VALUE!</v>
      </c>
      <c r="Y48" s="172" t="e" cm="1">
        <f t="array" aca="1" ref="Y48" ca="1">INDIRECT(""&amp;$D48 &amp; "!AJ47")</f>
        <v>#VALUE!</v>
      </c>
      <c r="Z48" s="42" t="e" cm="1">
        <f t="array" aca="1" ref="Z48" ca="1">INDIRECT(""&amp;$D48 &amp; "!AK47")</f>
        <v>#VALUE!</v>
      </c>
      <c r="AA48" s="175" t="e" cm="1">
        <f t="array" aca="1" ref="AA48" ca="1">INDIRECT(""&amp;$D48 &amp; "!AL47")</f>
        <v>#VALUE!</v>
      </c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</row>
    <row r="49" spans="1:40" x14ac:dyDescent="0.2">
      <c r="A49" s="230"/>
      <c r="B49" s="231"/>
      <c r="C49" s="33"/>
      <c r="D49" s="225"/>
      <c r="E49" s="43" t="str" cm="1">
        <f t="array" aca="1" ref="E49" ca="1">INDIRECT(""&amp;$D48 &amp; "!A49")</f>
        <v>Med</v>
      </c>
      <c r="F49" s="17" t="e" cm="1">
        <f t="array" aca="1" ref="F49" ca="1">INDIRECT(""&amp;$D48 &amp; "!Q49")</f>
        <v>#VALUE!</v>
      </c>
      <c r="G49" s="172"/>
      <c r="H49" s="42" t="e" cm="1">
        <f t="array" aca="1" ref="H49" ca="1">INDIRECT(""&amp;$D48 &amp; "!S49")</f>
        <v>#VALUE!</v>
      </c>
      <c r="I49" s="172"/>
      <c r="J49" s="42" t="e" cm="1">
        <f t="array" aca="1" ref="J49" ca="1">INDIRECT(""&amp;$D48 &amp; "!U49")</f>
        <v>#VALUE!</v>
      </c>
      <c r="K49" s="172"/>
      <c r="L49" s="42" t="e" cm="1">
        <f t="array" aca="1" ref="L49" ca="1">INDIRECT(""&amp;$D48 &amp; "!W49")</f>
        <v>#VALUE!</v>
      </c>
      <c r="M49" s="172"/>
      <c r="N49" s="42" t="e" cm="1">
        <f t="array" aca="1" ref="N49" ca="1">INDIRECT(""&amp;$D48 &amp; "!Y49")</f>
        <v>#VALUE!</v>
      </c>
      <c r="O49" s="172"/>
      <c r="P49" s="42" t="e" cm="1">
        <f t="array" aca="1" ref="P49" ca="1">INDIRECT(""&amp;$D48 &amp; "!AA49")</f>
        <v>#VALUE!</v>
      </c>
      <c r="Q49" s="172"/>
      <c r="R49" s="42" t="e" cm="1">
        <f t="array" aca="1" ref="R49" ca="1">INDIRECT(""&amp;$D48 &amp; "!AC49")</f>
        <v>#VALUE!</v>
      </c>
      <c r="S49" s="172"/>
      <c r="T49" s="172"/>
      <c r="U49" s="172"/>
      <c r="V49" s="172"/>
      <c r="W49" s="172"/>
      <c r="X49" s="42" t="e" cm="1">
        <f t="array" aca="1" ref="X49" ca="1">INDIRECT(""&amp;$D48 &amp; "!AI49")</f>
        <v>#VALUE!</v>
      </c>
      <c r="Y49" s="172"/>
      <c r="Z49" s="42" t="e" cm="1">
        <f t="array" aca="1" ref="Z49" ca="1">INDIRECT(""&amp;$D48 &amp; "!AK49")</f>
        <v>#VALUE!</v>
      </c>
      <c r="AA49" s="175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  <c r="AN49" s="23"/>
    </row>
    <row r="50" spans="1:40" x14ac:dyDescent="0.2">
      <c r="A50" s="29" t="s">
        <v>70</v>
      </c>
      <c r="B50" s="30">
        <v>23</v>
      </c>
      <c r="C50" s="34"/>
      <c r="D50" s="225"/>
      <c r="E50" s="43" t="str" cm="1">
        <f t="array" aca="1" ref="E50" ca="1">INDIRECT(""&amp;$D48 &amp; "!A51")</f>
        <v>Low</v>
      </c>
      <c r="F50" s="17" t="e" cm="1">
        <f t="array" aca="1" ref="F50" ca="1">INDIRECT(""&amp;$D48 &amp; "!Q51")</f>
        <v>#VALUE!</v>
      </c>
      <c r="G50" s="172"/>
      <c r="H50" s="42" t="e" cm="1">
        <f t="array" aca="1" ref="H50" ca="1">INDIRECT(""&amp;$D48 &amp; "!S51")</f>
        <v>#VALUE!</v>
      </c>
      <c r="I50" s="172"/>
      <c r="J50" s="42" t="e" cm="1">
        <f t="array" aca="1" ref="J50" ca="1">INDIRECT(""&amp;$D48 &amp; "!U51")</f>
        <v>#VALUE!</v>
      </c>
      <c r="K50" s="172"/>
      <c r="L50" s="42" t="e" cm="1">
        <f t="array" aca="1" ref="L50" ca="1">INDIRECT(""&amp;$D48 &amp; "!W51")</f>
        <v>#VALUE!</v>
      </c>
      <c r="M50" s="172"/>
      <c r="N50" s="42" t="e" cm="1">
        <f t="array" aca="1" ref="N50" ca="1">INDIRECT(""&amp;$D48 &amp; "!Y51")</f>
        <v>#VALUE!</v>
      </c>
      <c r="O50" s="172"/>
      <c r="P50" s="42" t="e" cm="1">
        <f t="array" aca="1" ref="P50" ca="1">INDIRECT(""&amp;$D48 &amp; "!AA51")</f>
        <v>#VALUE!</v>
      </c>
      <c r="Q50" s="172"/>
      <c r="R50" s="42" t="e" cm="1">
        <f t="array" aca="1" ref="R50" ca="1">INDIRECT(""&amp;$D48 &amp; "!AC51")</f>
        <v>#VALUE!</v>
      </c>
      <c r="S50" s="172"/>
      <c r="T50" s="172"/>
      <c r="U50" s="172"/>
      <c r="V50" s="172"/>
      <c r="W50" s="172"/>
      <c r="X50" s="42" t="e" cm="1">
        <f t="array" aca="1" ref="X50" ca="1">INDIRECT(""&amp;$D48 &amp; "!AI51")</f>
        <v>#VALUE!</v>
      </c>
      <c r="Y50" s="172"/>
      <c r="Z50" s="42" t="e" cm="1">
        <f t="array" aca="1" ref="Z50" ca="1">INDIRECT(""&amp;$D48 &amp; "!AK51")</f>
        <v>#VALUE!</v>
      </c>
      <c r="AA50" s="175"/>
      <c r="AB50" s="23"/>
      <c r="AC50" s="23"/>
      <c r="AD50" s="23"/>
      <c r="AE50" s="23"/>
      <c r="AF50" s="23"/>
      <c r="AG50" s="23"/>
      <c r="AH50" s="23"/>
      <c r="AI50" s="23"/>
      <c r="AJ50" s="23"/>
      <c r="AK50" s="23"/>
      <c r="AL50" s="23"/>
      <c r="AM50" s="23"/>
      <c r="AN50" s="23"/>
    </row>
    <row r="51" spans="1:40" x14ac:dyDescent="0.2">
      <c r="A51" s="29" t="s">
        <v>25</v>
      </c>
      <c r="B51" s="30">
        <v>1</v>
      </c>
      <c r="C51" s="34"/>
      <c r="D51" s="225" t="str">
        <f>D17</f>
        <v>NocturneDance</v>
      </c>
      <c r="E51" s="43" t="str" cm="1">
        <f t="array" aca="1" ref="E51" ca="1">INDIRECT(""&amp;$D51 &amp; "!A47")</f>
        <v>High</v>
      </c>
      <c r="F51" s="17" t="e" cm="1">
        <f t="array" aca="1" ref="F51" ca="1">INDIRECT(""&amp;$D51 &amp; "!Q47")</f>
        <v>#VALUE!</v>
      </c>
      <c r="G51" s="172" t="e" cm="1">
        <f t="array" aca="1" ref="G51" ca="1">INDIRECT(""&amp;$D51 &amp; "!R47")</f>
        <v>#VALUE!</v>
      </c>
      <c r="H51" s="42" t="e" cm="1">
        <f t="array" aca="1" ref="H51" ca="1">INDIRECT(""&amp;$D51 &amp; "!S47")</f>
        <v>#VALUE!</v>
      </c>
      <c r="I51" s="172" t="e" cm="1">
        <f t="array" aca="1" ref="I51" ca="1">INDIRECT(""&amp;$D51 &amp; "!T47")</f>
        <v>#VALUE!</v>
      </c>
      <c r="J51" s="42" t="e" cm="1">
        <f t="array" aca="1" ref="J51" ca="1">INDIRECT(""&amp;$D51 &amp; "!U47")</f>
        <v>#VALUE!</v>
      </c>
      <c r="K51" s="172" t="e" cm="1">
        <f t="array" aca="1" ref="K51" ca="1">INDIRECT(""&amp;$D51 &amp; "!V47")</f>
        <v>#VALUE!</v>
      </c>
      <c r="L51" s="42" t="e" cm="1">
        <f t="array" aca="1" ref="L51" ca="1">INDIRECT(""&amp;$D51 &amp; "!W47")</f>
        <v>#VALUE!</v>
      </c>
      <c r="M51" s="172" t="e" cm="1">
        <f t="array" aca="1" ref="M51" ca="1">INDIRECT(""&amp;$D51 &amp; "!X47")</f>
        <v>#VALUE!</v>
      </c>
      <c r="N51" s="42" t="e" cm="1">
        <f t="array" aca="1" ref="N51" ca="1">INDIRECT(""&amp;$D51 &amp; "!Y47")</f>
        <v>#VALUE!</v>
      </c>
      <c r="O51" s="172" t="e" cm="1">
        <f t="array" aca="1" ref="O51" ca="1">INDIRECT(""&amp;$D51 &amp; "!Z47")</f>
        <v>#VALUE!</v>
      </c>
      <c r="P51" s="42" t="e" cm="1">
        <f t="array" aca="1" ref="P51" ca="1">INDIRECT(""&amp;$D51 &amp; "!AA47")</f>
        <v>#VALUE!</v>
      </c>
      <c r="Q51" s="172" t="e" cm="1">
        <f t="array" aca="1" ref="Q51" ca="1">INDIRECT(""&amp;$D51 &amp; "!AB47")</f>
        <v>#VALUE!</v>
      </c>
      <c r="R51" s="42" t="e" cm="1">
        <f t="array" aca="1" ref="R51" ca="1">INDIRECT(""&amp;$D51 &amp; "!AC47")</f>
        <v>#VALUE!</v>
      </c>
      <c r="S51" s="172" t="e" cm="1">
        <f t="array" aca="1" ref="S51" ca="1">INDIRECT(""&amp;$D51 &amp; "!AE47")</f>
        <v>#VALUE!</v>
      </c>
      <c r="T51" s="172" t="e" cm="1">
        <f t="array" aca="1" ref="T51" ca="1">INDIRECT(""&amp;$D51 &amp; "!AF47")</f>
        <v>#VALUE!</v>
      </c>
      <c r="U51" s="172" t="e" cm="1">
        <f t="array" aca="1" ref="U51" ca="1">INDIRECT(""&amp;$D51 &amp; "!AG47")</f>
        <v>#VALUE!</v>
      </c>
      <c r="V51" s="172" t="e" cm="1">
        <f t="array" aca="1" ref="V51" ca="1">INDIRECT(""&amp;$D51 &amp; "!AH47")</f>
        <v>#VALUE!</v>
      </c>
      <c r="W51" s="172" t="e">
        <f ca="1">('Summary (Full)'!$B$58*S51+'Summary (Full)'!$B$59*T51+'Summary (Full)'!$B$60*U51)/'Summary (Full)'!$B$61</f>
        <v>#VALUE!</v>
      </c>
      <c r="X51" s="42" t="e" cm="1">
        <f t="array" aca="1" ref="X51" ca="1">INDIRECT(""&amp;$D51 &amp; "!AI47")</f>
        <v>#VALUE!</v>
      </c>
      <c r="Y51" s="172" t="e" cm="1">
        <f t="array" aca="1" ref="Y51" ca="1">INDIRECT(""&amp;$D51 &amp; "!AJ47")</f>
        <v>#VALUE!</v>
      </c>
      <c r="Z51" s="42" t="e" cm="1">
        <f t="array" aca="1" ref="Z51" ca="1">INDIRECT(""&amp;$D51 &amp; "!AK47")</f>
        <v>#VALUE!</v>
      </c>
      <c r="AA51" s="175" t="e" cm="1">
        <f t="array" aca="1" ref="AA51" ca="1">INDIRECT(""&amp;$D51 &amp; "!AL47")</f>
        <v>#VALUE!</v>
      </c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</row>
    <row r="52" spans="1:40" x14ac:dyDescent="0.2">
      <c r="A52" s="29" t="s">
        <v>26</v>
      </c>
      <c r="B52" s="30">
        <v>1</v>
      </c>
      <c r="C52" s="34"/>
      <c r="D52" s="225"/>
      <c r="E52" s="43" t="str" cm="1">
        <f t="array" aca="1" ref="E52" ca="1">INDIRECT(""&amp;$D51 &amp; "!A49")</f>
        <v>Med</v>
      </c>
      <c r="F52" s="17" t="e" cm="1">
        <f t="array" aca="1" ref="F52" ca="1">INDIRECT(""&amp;$D51 &amp; "!Q49")</f>
        <v>#VALUE!</v>
      </c>
      <c r="G52" s="172"/>
      <c r="H52" s="42" t="e" cm="1">
        <f t="array" aca="1" ref="H52" ca="1">INDIRECT(""&amp;$D51 &amp; "!S49")</f>
        <v>#VALUE!</v>
      </c>
      <c r="I52" s="172"/>
      <c r="J52" s="42" t="e" cm="1">
        <f t="array" aca="1" ref="J52" ca="1">INDIRECT(""&amp;$D51 &amp; "!U49")</f>
        <v>#VALUE!</v>
      </c>
      <c r="K52" s="172"/>
      <c r="L52" s="42" t="e" cm="1">
        <f t="array" aca="1" ref="L52" ca="1">INDIRECT(""&amp;$D51 &amp; "!W49")</f>
        <v>#VALUE!</v>
      </c>
      <c r="M52" s="172"/>
      <c r="N52" s="42" t="e" cm="1">
        <f t="array" aca="1" ref="N52" ca="1">INDIRECT(""&amp;$D51 &amp; "!Y49")</f>
        <v>#VALUE!</v>
      </c>
      <c r="O52" s="172"/>
      <c r="P52" s="42" t="e" cm="1">
        <f t="array" aca="1" ref="P52" ca="1">INDIRECT(""&amp;$D51 &amp; "!AA49")</f>
        <v>#VALUE!</v>
      </c>
      <c r="Q52" s="172"/>
      <c r="R52" s="42" t="e" cm="1">
        <f t="array" aca="1" ref="R52" ca="1">INDIRECT(""&amp;$D51 &amp; "!AC49")</f>
        <v>#VALUE!</v>
      </c>
      <c r="S52" s="172"/>
      <c r="T52" s="172"/>
      <c r="U52" s="172"/>
      <c r="V52" s="172"/>
      <c r="W52" s="172"/>
      <c r="X52" s="42" t="e" cm="1">
        <f t="array" aca="1" ref="X52" ca="1">INDIRECT(""&amp;$D51 &amp; "!AI49")</f>
        <v>#VALUE!</v>
      </c>
      <c r="Y52" s="172"/>
      <c r="Z52" s="42" t="e" cm="1">
        <f t="array" aca="1" ref="Z52" ca="1">INDIRECT(""&amp;$D51 &amp; "!AK49")</f>
        <v>#VALUE!</v>
      </c>
      <c r="AA52" s="175"/>
      <c r="AB52" s="23"/>
      <c r="AC52" s="23"/>
      <c r="AD52" s="23"/>
      <c r="AE52" s="23"/>
      <c r="AF52" s="23"/>
      <c r="AG52" s="23"/>
      <c r="AH52" s="23"/>
      <c r="AI52" s="23"/>
      <c r="AJ52" s="23"/>
      <c r="AK52" s="23"/>
      <c r="AL52" s="23"/>
      <c r="AM52" s="23"/>
      <c r="AN52" s="23"/>
    </row>
    <row r="53" spans="1:40" x14ac:dyDescent="0.2">
      <c r="A53" s="29" t="s">
        <v>71</v>
      </c>
      <c r="B53" s="30">
        <f>SUM(B50:B52)</f>
        <v>25</v>
      </c>
      <c r="C53" s="34"/>
      <c r="D53" s="225"/>
      <c r="E53" s="43" t="str" cm="1">
        <f t="array" aca="1" ref="E53" ca="1">INDIRECT(""&amp;$D51 &amp; "!A51")</f>
        <v>Low</v>
      </c>
      <c r="F53" s="17" t="e" cm="1">
        <f t="array" aca="1" ref="F53" ca="1">INDIRECT(""&amp;$D51 &amp; "!Q51")</f>
        <v>#VALUE!</v>
      </c>
      <c r="G53" s="172"/>
      <c r="H53" s="42" t="e" cm="1">
        <f t="array" aca="1" ref="H53" ca="1">INDIRECT(""&amp;$D51 &amp; "!S51")</f>
        <v>#VALUE!</v>
      </c>
      <c r="I53" s="172"/>
      <c r="J53" s="42" t="e" cm="1">
        <f t="array" aca="1" ref="J53" ca="1">INDIRECT(""&amp;$D51 &amp; "!U51")</f>
        <v>#VALUE!</v>
      </c>
      <c r="K53" s="172"/>
      <c r="L53" s="42" t="e" cm="1">
        <f t="array" aca="1" ref="L53" ca="1">INDIRECT(""&amp;$D51 &amp; "!W51")</f>
        <v>#VALUE!</v>
      </c>
      <c r="M53" s="172"/>
      <c r="N53" s="42" t="e" cm="1">
        <f t="array" aca="1" ref="N53" ca="1">INDIRECT(""&amp;$D51 &amp; "!Y51")</f>
        <v>#VALUE!</v>
      </c>
      <c r="O53" s="172"/>
      <c r="P53" s="42" t="e" cm="1">
        <f t="array" aca="1" ref="P53" ca="1">INDIRECT(""&amp;$D51 &amp; "!AA51")</f>
        <v>#VALUE!</v>
      </c>
      <c r="Q53" s="172"/>
      <c r="R53" s="42" t="e" cm="1">
        <f t="array" aca="1" ref="R53" ca="1">INDIRECT(""&amp;$D51 &amp; "!AC51")</f>
        <v>#VALUE!</v>
      </c>
      <c r="S53" s="172"/>
      <c r="T53" s="172"/>
      <c r="U53" s="172"/>
      <c r="V53" s="172"/>
      <c r="W53" s="172"/>
      <c r="X53" s="42" t="e" cm="1">
        <f t="array" aca="1" ref="X53" ca="1">INDIRECT(""&amp;$D51 &amp; "!AI51")</f>
        <v>#VALUE!</v>
      </c>
      <c r="Y53" s="172"/>
      <c r="Z53" s="42" t="e" cm="1">
        <f t="array" aca="1" ref="Z53" ca="1">INDIRECT(""&amp;$D51 &amp; "!AK51")</f>
        <v>#VALUE!</v>
      </c>
      <c r="AA53" s="175"/>
      <c r="AB53" s="23"/>
      <c r="AC53" s="23"/>
      <c r="AD53" s="23"/>
      <c r="AE53" s="23"/>
      <c r="AF53" s="23"/>
      <c r="AG53" s="23"/>
      <c r="AH53" s="23"/>
      <c r="AI53" s="23"/>
      <c r="AJ53" s="23"/>
      <c r="AK53" s="23"/>
      <c r="AL53" s="23"/>
      <c r="AM53" s="23"/>
      <c r="AN53" s="23"/>
    </row>
    <row r="54" spans="1:40" x14ac:dyDescent="0.2">
      <c r="A54" s="31"/>
      <c r="B54" s="32"/>
      <c r="C54" s="32"/>
      <c r="D54" s="225" t="str">
        <f>D20</f>
        <v>PierSeaside</v>
      </c>
      <c r="E54" s="43" t="str" cm="1">
        <f t="array" aca="1" ref="E54" ca="1">INDIRECT(""&amp;$D54 &amp; "!A47")</f>
        <v>High</v>
      </c>
      <c r="F54" s="17" t="e" cm="1">
        <f t="array" aca="1" ref="F54" ca="1">INDIRECT(""&amp;$D54 &amp; "!Q47")</f>
        <v>#VALUE!</v>
      </c>
      <c r="G54" s="172" t="e" cm="1">
        <f t="array" aca="1" ref="G54" ca="1">INDIRECT(""&amp;$D54 &amp; "!R47")</f>
        <v>#VALUE!</v>
      </c>
      <c r="H54" s="42" t="e" cm="1">
        <f t="array" aca="1" ref="H54" ca="1">INDIRECT(""&amp;$D54 &amp; "!S47")</f>
        <v>#VALUE!</v>
      </c>
      <c r="I54" s="172" t="e" cm="1">
        <f t="array" aca="1" ref="I54" ca="1">INDIRECT(""&amp;$D54 &amp; "!T47")</f>
        <v>#VALUE!</v>
      </c>
      <c r="J54" s="42" t="e" cm="1">
        <f t="array" aca="1" ref="J54" ca="1">INDIRECT(""&amp;$D54 &amp; "!U47")</f>
        <v>#VALUE!</v>
      </c>
      <c r="K54" s="172" t="e" cm="1">
        <f t="array" aca="1" ref="K54" ca="1">INDIRECT(""&amp;$D54 &amp; "!V47")</f>
        <v>#VALUE!</v>
      </c>
      <c r="L54" s="42" t="e" cm="1">
        <f t="array" aca="1" ref="L54" ca="1">INDIRECT(""&amp;$D54 &amp; "!W47")</f>
        <v>#VALUE!</v>
      </c>
      <c r="M54" s="172" t="e" cm="1">
        <f t="array" aca="1" ref="M54" ca="1">INDIRECT(""&amp;$D54 &amp; "!X47")</f>
        <v>#VALUE!</v>
      </c>
      <c r="N54" s="42" t="e" cm="1">
        <f t="array" aca="1" ref="N54" ca="1">INDIRECT(""&amp;$D54 &amp; "!Y47")</f>
        <v>#VALUE!</v>
      </c>
      <c r="O54" s="172" t="e" cm="1">
        <f t="array" aca="1" ref="O54" ca="1">INDIRECT(""&amp;$D54 &amp; "!Z47")</f>
        <v>#VALUE!</v>
      </c>
      <c r="P54" s="42" t="e" cm="1">
        <f t="array" aca="1" ref="P54" ca="1">INDIRECT(""&amp;$D54 &amp; "!AA47")</f>
        <v>#VALUE!</v>
      </c>
      <c r="Q54" s="172" t="e" cm="1">
        <f t="array" aca="1" ref="Q54" ca="1">INDIRECT(""&amp;$D54 &amp; "!AB47")</f>
        <v>#VALUE!</v>
      </c>
      <c r="R54" s="42" t="e" cm="1">
        <f t="array" aca="1" ref="R54" ca="1">INDIRECT(""&amp;$D54 &amp; "!AC47")</f>
        <v>#VALUE!</v>
      </c>
      <c r="S54" s="172" t="e" cm="1">
        <f t="array" aca="1" ref="S54" ca="1">INDIRECT(""&amp;$D54 &amp; "!AE47")</f>
        <v>#VALUE!</v>
      </c>
      <c r="T54" s="172" t="e" cm="1">
        <f t="array" aca="1" ref="T54" ca="1">INDIRECT(""&amp;$D54 &amp; "!AF47")</f>
        <v>#VALUE!</v>
      </c>
      <c r="U54" s="172" t="e" cm="1">
        <f t="array" aca="1" ref="U54" ca="1">INDIRECT(""&amp;$D54 &amp; "!AG47")</f>
        <v>#VALUE!</v>
      </c>
      <c r="V54" s="172" t="e" cm="1">
        <f t="array" aca="1" ref="V54" ca="1">INDIRECT(""&amp;$D54 &amp; "!AH47")</f>
        <v>#VALUE!</v>
      </c>
      <c r="W54" s="172" t="e">
        <f ca="1">('Summary (Full)'!$B$58*S54+'Summary (Full)'!$B$59*T54+'Summary (Full)'!$B$60*U54)/'Summary (Full)'!$B$61</f>
        <v>#VALUE!</v>
      </c>
      <c r="X54" s="42" t="e" cm="1">
        <f t="array" aca="1" ref="X54" ca="1">INDIRECT(""&amp;$D54 &amp; "!AI47")</f>
        <v>#VALUE!</v>
      </c>
      <c r="Y54" s="172" t="e" cm="1">
        <f t="array" aca="1" ref="Y54" ca="1">INDIRECT(""&amp;$D54 &amp; "!AJ47")</f>
        <v>#VALUE!</v>
      </c>
      <c r="Z54" s="42" t="e" cm="1">
        <f t="array" aca="1" ref="Z54" ca="1">INDIRECT(""&amp;$D54 &amp; "!AK47")</f>
        <v>#VALUE!</v>
      </c>
      <c r="AA54" s="175" t="e" cm="1">
        <f t="array" aca="1" ref="AA54" ca="1">INDIRECT(""&amp;$D54 &amp; "!AL47")</f>
        <v>#VALUE!</v>
      </c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</row>
    <row r="55" spans="1:40" x14ac:dyDescent="0.2">
      <c r="A55" s="31"/>
      <c r="B55" s="32"/>
      <c r="C55" s="32"/>
      <c r="D55" s="225"/>
      <c r="E55" s="43" t="str" cm="1">
        <f t="array" aca="1" ref="E55" ca="1">INDIRECT(""&amp;$D54 &amp; "!A49")</f>
        <v>Med</v>
      </c>
      <c r="F55" s="17" t="e" cm="1">
        <f t="array" aca="1" ref="F55" ca="1">INDIRECT(""&amp;$D54 &amp; "!Q49")</f>
        <v>#VALUE!</v>
      </c>
      <c r="G55" s="172"/>
      <c r="H55" s="42" t="e" cm="1">
        <f t="array" aca="1" ref="H55" ca="1">INDIRECT(""&amp;$D54 &amp; "!S49")</f>
        <v>#VALUE!</v>
      </c>
      <c r="I55" s="172"/>
      <c r="J55" s="42" t="e" cm="1">
        <f t="array" aca="1" ref="J55" ca="1">INDIRECT(""&amp;$D54 &amp; "!U49")</f>
        <v>#VALUE!</v>
      </c>
      <c r="K55" s="172"/>
      <c r="L55" s="42" t="e" cm="1">
        <f t="array" aca="1" ref="L55" ca="1">INDIRECT(""&amp;$D54 &amp; "!W49")</f>
        <v>#VALUE!</v>
      </c>
      <c r="M55" s="172"/>
      <c r="N55" s="42" t="e" cm="1">
        <f t="array" aca="1" ref="N55" ca="1">INDIRECT(""&amp;$D54 &amp; "!Y49")</f>
        <v>#VALUE!</v>
      </c>
      <c r="O55" s="172"/>
      <c r="P55" s="42" t="e" cm="1">
        <f t="array" aca="1" ref="P55" ca="1">INDIRECT(""&amp;$D54 &amp; "!AA49")</f>
        <v>#VALUE!</v>
      </c>
      <c r="Q55" s="172"/>
      <c r="R55" s="42" t="e" cm="1">
        <f t="array" aca="1" ref="R55" ca="1">INDIRECT(""&amp;$D54 &amp; "!AC49")</f>
        <v>#VALUE!</v>
      </c>
      <c r="S55" s="172"/>
      <c r="T55" s="172"/>
      <c r="U55" s="172"/>
      <c r="V55" s="172"/>
      <c r="W55" s="172"/>
      <c r="X55" s="42" t="e" cm="1">
        <f t="array" aca="1" ref="X55" ca="1">INDIRECT(""&amp;$D54 &amp; "!AI49")</f>
        <v>#VALUE!</v>
      </c>
      <c r="Y55" s="172"/>
      <c r="Z55" s="42" t="e" cm="1">
        <f t="array" aca="1" ref="Z55" ca="1">INDIRECT(""&amp;$D54 &amp; "!AK49")</f>
        <v>#VALUE!</v>
      </c>
      <c r="AA55" s="175"/>
      <c r="AB55" s="23"/>
      <c r="AC55" s="23"/>
      <c r="AD55" s="23"/>
      <c r="AE55" s="23"/>
      <c r="AF55" s="23"/>
      <c r="AG55" s="23"/>
      <c r="AH55" s="23"/>
      <c r="AI55" s="23"/>
      <c r="AJ55" s="23"/>
      <c r="AK55" s="23"/>
      <c r="AL55" s="23"/>
      <c r="AM55" s="23"/>
      <c r="AN55" s="23"/>
    </row>
    <row r="56" spans="1:40" x14ac:dyDescent="0.2">
      <c r="A56" s="228" t="s">
        <v>74</v>
      </c>
      <c r="B56" s="229"/>
      <c r="C56" s="33"/>
      <c r="D56" s="225"/>
      <c r="E56" s="43" t="str" cm="1">
        <f t="array" aca="1" ref="E56" ca="1">INDIRECT(""&amp;$D54 &amp; "!A51")</f>
        <v>Low</v>
      </c>
      <c r="F56" s="17" t="e" cm="1">
        <f t="array" aca="1" ref="F56" ca="1">INDIRECT(""&amp;$D54 &amp; "!Q51")</f>
        <v>#VALUE!</v>
      </c>
      <c r="G56" s="172"/>
      <c r="H56" s="42" t="e" cm="1">
        <f t="array" aca="1" ref="H56" ca="1">INDIRECT(""&amp;$D54 &amp; "!S51")</f>
        <v>#VALUE!</v>
      </c>
      <c r="I56" s="172"/>
      <c r="J56" s="42" t="e" cm="1">
        <f t="array" aca="1" ref="J56" ca="1">INDIRECT(""&amp;$D54 &amp; "!U51")</f>
        <v>#VALUE!</v>
      </c>
      <c r="K56" s="172"/>
      <c r="L56" s="42" t="e" cm="1">
        <f t="array" aca="1" ref="L56" ca="1">INDIRECT(""&amp;$D54 &amp; "!W51")</f>
        <v>#VALUE!</v>
      </c>
      <c r="M56" s="172"/>
      <c r="N56" s="42" t="e" cm="1">
        <f t="array" aca="1" ref="N56" ca="1">INDIRECT(""&amp;$D54 &amp; "!Y51")</f>
        <v>#VALUE!</v>
      </c>
      <c r="O56" s="172"/>
      <c r="P56" s="42" t="e" cm="1">
        <f t="array" aca="1" ref="P56" ca="1">INDIRECT(""&amp;$D54 &amp; "!AA51")</f>
        <v>#VALUE!</v>
      </c>
      <c r="Q56" s="172"/>
      <c r="R56" s="42" t="e" cm="1">
        <f t="array" aca="1" ref="R56" ca="1">INDIRECT(""&amp;$D54 &amp; "!AC51")</f>
        <v>#VALUE!</v>
      </c>
      <c r="S56" s="172"/>
      <c r="T56" s="172"/>
      <c r="U56" s="172"/>
      <c r="V56" s="172"/>
      <c r="W56" s="172"/>
      <c r="X56" s="42" t="e" cm="1">
        <f t="array" aca="1" ref="X56" ca="1">INDIRECT(""&amp;$D54 &amp; "!AI51")</f>
        <v>#VALUE!</v>
      </c>
      <c r="Y56" s="172"/>
      <c r="Z56" s="42" t="e" cm="1">
        <f t="array" aca="1" ref="Z56" ca="1">INDIRECT(""&amp;$D54 &amp; "!AK51")</f>
        <v>#VALUE!</v>
      </c>
      <c r="AA56" s="175"/>
      <c r="AB56" s="23"/>
      <c r="AC56" s="23"/>
      <c r="AD56" s="23"/>
      <c r="AE56" s="23"/>
      <c r="AF56" s="23"/>
      <c r="AG56" s="23"/>
      <c r="AH56" s="23"/>
      <c r="AI56" s="23"/>
      <c r="AJ56" s="23"/>
      <c r="AK56" s="23"/>
      <c r="AL56" s="23"/>
      <c r="AM56" s="23"/>
      <c r="AN56" s="23"/>
    </row>
    <row r="57" spans="1:40" x14ac:dyDescent="0.2">
      <c r="A57" s="230"/>
      <c r="B57" s="231"/>
      <c r="C57" s="33"/>
      <c r="D57" s="225" t="str">
        <f>D23</f>
        <v>Tango</v>
      </c>
      <c r="E57" s="43" t="str" cm="1">
        <f t="array" aca="1" ref="E57" ca="1">INDIRECT(""&amp;$D57 &amp; "!A47")</f>
        <v>High</v>
      </c>
      <c r="F57" s="17" t="e" cm="1">
        <f t="array" aca="1" ref="F57" ca="1">INDIRECT(""&amp;$D57 &amp; "!Q47")</f>
        <v>#VALUE!</v>
      </c>
      <c r="G57" s="172" t="e" cm="1">
        <f t="array" aca="1" ref="G57" ca="1">INDIRECT(""&amp;$D57 &amp; "!R47")</f>
        <v>#VALUE!</v>
      </c>
      <c r="H57" s="42" t="e" cm="1">
        <f t="array" aca="1" ref="H57" ca="1">INDIRECT(""&amp;$D57 &amp; "!S47")</f>
        <v>#VALUE!</v>
      </c>
      <c r="I57" s="172" t="e" cm="1">
        <f t="array" aca="1" ref="I57" ca="1">INDIRECT(""&amp;$D57 &amp; "!T47")</f>
        <v>#VALUE!</v>
      </c>
      <c r="J57" s="42" t="e" cm="1">
        <f t="array" aca="1" ref="J57" ca="1">INDIRECT(""&amp;$D57 &amp; "!U47")</f>
        <v>#VALUE!</v>
      </c>
      <c r="K57" s="172" t="e" cm="1">
        <f t="array" aca="1" ref="K57" ca="1">INDIRECT(""&amp;$D57 &amp; "!V47")</f>
        <v>#VALUE!</v>
      </c>
      <c r="L57" s="42" t="e" cm="1">
        <f t="array" aca="1" ref="L57" ca="1">INDIRECT(""&amp;$D57 &amp; "!W47")</f>
        <v>#VALUE!</v>
      </c>
      <c r="M57" s="172" t="e" cm="1">
        <f t="array" aca="1" ref="M57" ca="1">INDIRECT(""&amp;$D57 &amp; "!X47")</f>
        <v>#VALUE!</v>
      </c>
      <c r="N57" s="42" t="e" cm="1">
        <f t="array" aca="1" ref="N57" ca="1">INDIRECT(""&amp;$D57 &amp; "!Y47")</f>
        <v>#VALUE!</v>
      </c>
      <c r="O57" s="172" t="e" cm="1">
        <f t="array" aca="1" ref="O57" ca="1">INDIRECT(""&amp;$D57 &amp; "!Z47")</f>
        <v>#VALUE!</v>
      </c>
      <c r="P57" s="42" t="e" cm="1">
        <f t="array" aca="1" ref="P57" ca="1">INDIRECT(""&amp;$D57 &amp; "!AA47")</f>
        <v>#VALUE!</v>
      </c>
      <c r="Q57" s="172" t="e" cm="1">
        <f t="array" aca="1" ref="Q57" ca="1">INDIRECT(""&amp;$D57 &amp; "!AB47")</f>
        <v>#VALUE!</v>
      </c>
      <c r="R57" s="42" t="e" cm="1">
        <f t="array" aca="1" ref="R57" ca="1">INDIRECT(""&amp;$D57 &amp; "!AC47")</f>
        <v>#VALUE!</v>
      </c>
      <c r="S57" s="172" t="e" cm="1">
        <f t="array" aca="1" ref="S57" ca="1">INDIRECT(""&amp;$D57 &amp; "!AE47")</f>
        <v>#VALUE!</v>
      </c>
      <c r="T57" s="172" t="e" cm="1">
        <f t="array" aca="1" ref="T57" ca="1">INDIRECT(""&amp;$D57 &amp; "!AF47")</f>
        <v>#VALUE!</v>
      </c>
      <c r="U57" s="172" t="e" cm="1">
        <f t="array" aca="1" ref="U57" ca="1">INDIRECT(""&amp;$D57 &amp; "!AG47")</f>
        <v>#VALUE!</v>
      </c>
      <c r="V57" s="172" t="e" cm="1">
        <f t="array" aca="1" ref="V57" ca="1">INDIRECT(""&amp;$D57 &amp; "!AH47")</f>
        <v>#VALUE!</v>
      </c>
      <c r="W57" s="172" t="e">
        <f ca="1">('Summary (Full)'!$B$58*S57+'Summary (Full)'!$B$59*T57+'Summary (Full)'!$B$60*U57)/'Summary (Full)'!$B$61</f>
        <v>#VALUE!</v>
      </c>
      <c r="X57" s="42" t="e" cm="1">
        <f t="array" aca="1" ref="X57" ca="1">INDIRECT(""&amp;$D57 &amp; "!AI47")</f>
        <v>#VALUE!</v>
      </c>
      <c r="Y57" s="172" t="e" cm="1">
        <f t="array" aca="1" ref="Y57" ca="1">INDIRECT(""&amp;$D57 &amp; "!AJ47")</f>
        <v>#VALUE!</v>
      </c>
      <c r="Z57" s="42" t="e" cm="1">
        <f t="array" aca="1" ref="Z57" ca="1">INDIRECT(""&amp;$D57 &amp; "!AK47")</f>
        <v>#VALUE!</v>
      </c>
      <c r="AA57" s="175" t="e" cm="1">
        <f t="array" aca="1" ref="AA57" ca="1">INDIRECT(""&amp;$D57 &amp; "!AL47")</f>
        <v>#VALUE!</v>
      </c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</row>
    <row r="58" spans="1:40" x14ac:dyDescent="0.2">
      <c r="A58" s="29" t="s">
        <v>70</v>
      </c>
      <c r="B58" s="30">
        <v>23</v>
      </c>
      <c r="C58" s="34"/>
      <c r="D58" s="225"/>
      <c r="E58" s="43" t="str" cm="1">
        <f t="array" aca="1" ref="E58" ca="1">INDIRECT(""&amp;$D57 &amp; "!A49")</f>
        <v>Med</v>
      </c>
      <c r="F58" s="17" t="e" cm="1">
        <f t="array" aca="1" ref="F58" ca="1">INDIRECT(""&amp;$D57 &amp; "!Q49")</f>
        <v>#VALUE!</v>
      </c>
      <c r="G58" s="172"/>
      <c r="H58" s="42" t="e" cm="1">
        <f t="array" aca="1" ref="H58" ca="1">INDIRECT(""&amp;$D57 &amp; "!S49")</f>
        <v>#VALUE!</v>
      </c>
      <c r="I58" s="172"/>
      <c r="J58" s="42" t="e" cm="1">
        <f t="array" aca="1" ref="J58" ca="1">INDIRECT(""&amp;$D57 &amp; "!U49")</f>
        <v>#VALUE!</v>
      </c>
      <c r="K58" s="172"/>
      <c r="L58" s="42" t="e" cm="1">
        <f t="array" aca="1" ref="L58" ca="1">INDIRECT(""&amp;$D57 &amp; "!W49")</f>
        <v>#VALUE!</v>
      </c>
      <c r="M58" s="172"/>
      <c r="N58" s="42" t="e" cm="1">
        <f t="array" aca="1" ref="N58" ca="1">INDIRECT(""&amp;$D57 &amp; "!Y49")</f>
        <v>#VALUE!</v>
      </c>
      <c r="O58" s="172"/>
      <c r="P58" s="42" t="e" cm="1">
        <f t="array" aca="1" ref="P58" ca="1">INDIRECT(""&amp;$D57 &amp; "!AA49")</f>
        <v>#VALUE!</v>
      </c>
      <c r="Q58" s="172"/>
      <c r="R58" s="42" t="e" cm="1">
        <f t="array" aca="1" ref="R58" ca="1">INDIRECT(""&amp;$D57 &amp; "!AC49")</f>
        <v>#VALUE!</v>
      </c>
      <c r="S58" s="172"/>
      <c r="T58" s="172"/>
      <c r="U58" s="172"/>
      <c r="V58" s="172"/>
      <c r="W58" s="172"/>
      <c r="X58" s="42" t="e" cm="1">
        <f t="array" aca="1" ref="X58" ca="1">INDIRECT(""&amp;$D57 &amp; "!AI49")</f>
        <v>#VALUE!</v>
      </c>
      <c r="Y58" s="172"/>
      <c r="Z58" s="42" t="e" cm="1">
        <f t="array" aca="1" ref="Z58" ca="1">INDIRECT(""&amp;$D57 &amp; "!AK49")</f>
        <v>#VALUE!</v>
      </c>
      <c r="AA58" s="175"/>
      <c r="AB58" s="23"/>
      <c r="AC58" s="23"/>
      <c r="AD58" s="23"/>
      <c r="AE58" s="23"/>
      <c r="AF58" s="23"/>
      <c r="AG58" s="23"/>
      <c r="AH58" s="23"/>
      <c r="AI58" s="23"/>
      <c r="AJ58" s="23"/>
      <c r="AK58" s="23"/>
      <c r="AL58" s="23"/>
      <c r="AM58" s="23"/>
      <c r="AN58" s="23"/>
    </row>
    <row r="59" spans="1:40" x14ac:dyDescent="0.2">
      <c r="A59" s="29" t="s">
        <v>25</v>
      </c>
      <c r="B59" s="30">
        <v>1</v>
      </c>
      <c r="C59" s="34"/>
      <c r="D59" s="225"/>
      <c r="E59" s="43" t="str" cm="1">
        <f t="array" aca="1" ref="E59" ca="1">INDIRECT(""&amp;$D57 &amp; "!A51")</f>
        <v>Low</v>
      </c>
      <c r="F59" s="17" t="e" cm="1">
        <f t="array" aca="1" ref="F59" ca="1">INDIRECT(""&amp;$D57 &amp; "!Q51")</f>
        <v>#VALUE!</v>
      </c>
      <c r="G59" s="172"/>
      <c r="H59" s="42" t="e" cm="1">
        <f t="array" aca="1" ref="H59" ca="1">INDIRECT(""&amp;$D57 &amp; "!S51")</f>
        <v>#VALUE!</v>
      </c>
      <c r="I59" s="172"/>
      <c r="J59" s="42" t="e" cm="1">
        <f t="array" aca="1" ref="J59" ca="1">INDIRECT(""&amp;$D57 &amp; "!U51")</f>
        <v>#VALUE!</v>
      </c>
      <c r="K59" s="172"/>
      <c r="L59" s="42" t="e" cm="1">
        <f t="array" aca="1" ref="L59" ca="1">INDIRECT(""&amp;$D57 &amp; "!W51")</f>
        <v>#VALUE!</v>
      </c>
      <c r="M59" s="172"/>
      <c r="N59" s="42" t="e" cm="1">
        <f t="array" aca="1" ref="N59" ca="1">INDIRECT(""&amp;$D57 &amp; "!Y51")</f>
        <v>#VALUE!</v>
      </c>
      <c r="O59" s="172"/>
      <c r="P59" s="42" t="e" cm="1">
        <f t="array" aca="1" ref="P59" ca="1">INDIRECT(""&amp;$D57 &amp; "!AA51")</f>
        <v>#VALUE!</v>
      </c>
      <c r="Q59" s="172"/>
      <c r="R59" s="42" t="e" cm="1">
        <f t="array" aca="1" ref="R59" ca="1">INDIRECT(""&amp;$D57 &amp; "!AC51")</f>
        <v>#VALUE!</v>
      </c>
      <c r="S59" s="172"/>
      <c r="T59" s="172"/>
      <c r="U59" s="172"/>
      <c r="V59" s="172"/>
      <c r="W59" s="172"/>
      <c r="X59" s="42" t="e" cm="1">
        <f t="array" aca="1" ref="X59" ca="1">INDIRECT(""&amp;$D57 &amp; "!AI51")</f>
        <v>#VALUE!</v>
      </c>
      <c r="Y59" s="172"/>
      <c r="Z59" s="42" t="e" cm="1">
        <f t="array" aca="1" ref="Z59" ca="1">INDIRECT(""&amp;$D57 &amp; "!AK51")</f>
        <v>#VALUE!</v>
      </c>
      <c r="AA59" s="175"/>
      <c r="AB59" s="23"/>
      <c r="AC59" s="23"/>
      <c r="AD59" s="23"/>
      <c r="AE59" s="23"/>
      <c r="AF59" s="23"/>
      <c r="AG59" s="23"/>
      <c r="AH59" s="23"/>
      <c r="AI59" s="23"/>
      <c r="AJ59" s="23"/>
      <c r="AK59" s="23"/>
      <c r="AL59" s="23"/>
      <c r="AM59" s="23"/>
      <c r="AN59" s="23"/>
    </row>
    <row r="60" spans="1:40" x14ac:dyDescent="0.2">
      <c r="A60" s="29" t="s">
        <v>26</v>
      </c>
      <c r="B60" s="30">
        <v>1</v>
      </c>
      <c r="C60" s="34"/>
      <c r="D60" s="225" t="str">
        <f>D26</f>
        <v>Timelapse</v>
      </c>
      <c r="E60" s="43" t="str" cm="1">
        <f t="array" aca="1" ref="E60" ca="1">INDIRECT(""&amp;$D60 &amp; "!A47")</f>
        <v>High</v>
      </c>
      <c r="F60" s="17" t="e" cm="1">
        <f t="array" aca="1" ref="F60" ca="1">INDIRECT(""&amp;$D60 &amp; "!Q47")</f>
        <v>#VALUE!</v>
      </c>
      <c r="G60" s="172" t="e" cm="1">
        <f t="array" aca="1" ref="G60" ca="1">INDIRECT(""&amp;$D60 &amp; "!R47")</f>
        <v>#VALUE!</v>
      </c>
      <c r="H60" s="42" t="e" cm="1">
        <f t="array" aca="1" ref="H60" ca="1">INDIRECT(""&amp;$D60 &amp; "!S47")</f>
        <v>#VALUE!</v>
      </c>
      <c r="I60" s="172" t="e" cm="1">
        <f t="array" aca="1" ref="I60" ca="1">INDIRECT(""&amp;$D60 &amp; "!T47")</f>
        <v>#VALUE!</v>
      </c>
      <c r="J60" s="42" t="e" cm="1">
        <f t="array" aca="1" ref="J60" ca="1">INDIRECT(""&amp;$D60 &amp; "!U47")</f>
        <v>#VALUE!</v>
      </c>
      <c r="K60" s="172" t="e" cm="1">
        <f t="array" aca="1" ref="K60" ca="1">INDIRECT(""&amp;$D60 &amp; "!V47")</f>
        <v>#VALUE!</v>
      </c>
      <c r="L60" s="42" t="e" cm="1">
        <f t="array" aca="1" ref="L60" ca="1">INDIRECT(""&amp;$D60 &amp; "!W47")</f>
        <v>#VALUE!</v>
      </c>
      <c r="M60" s="172" t="e" cm="1">
        <f t="array" aca="1" ref="M60" ca="1">INDIRECT(""&amp;$D60 &amp; "!X47")</f>
        <v>#VALUE!</v>
      </c>
      <c r="N60" s="42" t="e" cm="1">
        <f t="array" aca="1" ref="N60" ca="1">INDIRECT(""&amp;$D60 &amp; "!Y47")</f>
        <v>#VALUE!</v>
      </c>
      <c r="O60" s="172" t="e" cm="1">
        <f t="array" aca="1" ref="O60" ca="1">INDIRECT(""&amp;$D60 &amp; "!Z47")</f>
        <v>#VALUE!</v>
      </c>
      <c r="P60" s="42" t="e" cm="1">
        <f t="array" aca="1" ref="P60" ca="1">INDIRECT(""&amp;$D60 &amp; "!AA47")</f>
        <v>#VALUE!</v>
      </c>
      <c r="Q60" s="172" t="e" cm="1">
        <f t="array" aca="1" ref="Q60" ca="1">INDIRECT(""&amp;$D60 &amp; "!AB47")</f>
        <v>#VALUE!</v>
      </c>
      <c r="R60" s="42" t="e" cm="1">
        <f t="array" aca="1" ref="R60" ca="1">INDIRECT(""&amp;$D60 &amp; "!AC47")</f>
        <v>#VALUE!</v>
      </c>
      <c r="S60" s="172" t="e" cm="1">
        <f t="array" aca="1" ref="S60" ca="1">INDIRECT(""&amp;$D60 &amp; "!AE47")</f>
        <v>#VALUE!</v>
      </c>
      <c r="T60" s="172" t="e" cm="1">
        <f t="array" aca="1" ref="T60" ca="1">INDIRECT(""&amp;$D60 &amp; "!AF47")</f>
        <v>#VALUE!</v>
      </c>
      <c r="U60" s="172" t="e" cm="1">
        <f t="array" aca="1" ref="U60" ca="1">INDIRECT(""&amp;$D60 &amp; "!AG47")</f>
        <v>#VALUE!</v>
      </c>
      <c r="V60" s="172" t="e" cm="1">
        <f t="array" aca="1" ref="V60" ca="1">INDIRECT(""&amp;$D60 &amp; "!AH47")</f>
        <v>#VALUE!</v>
      </c>
      <c r="W60" s="172" t="e">
        <f ca="1">('Summary (Full)'!$B$58*S60+'Summary (Full)'!$B$59*T60+'Summary (Full)'!$B$60*U60)/'Summary (Full)'!$B$61</f>
        <v>#VALUE!</v>
      </c>
      <c r="X60" s="42" t="e" cm="1">
        <f t="array" aca="1" ref="X60" ca="1">INDIRECT(""&amp;$D60 &amp; "!AI47")</f>
        <v>#VALUE!</v>
      </c>
      <c r="Y60" s="172" t="e" cm="1">
        <f t="array" aca="1" ref="Y60" ca="1">INDIRECT(""&amp;$D60 &amp; "!AJ47")</f>
        <v>#VALUE!</v>
      </c>
      <c r="Z60" s="42" t="e" cm="1">
        <f t="array" aca="1" ref="Z60" ca="1">INDIRECT(""&amp;$D60 &amp; "!AK47")</f>
        <v>#VALUE!</v>
      </c>
      <c r="AA60" s="175" t="e" cm="1">
        <f t="array" aca="1" ref="AA60" ca="1">INDIRECT(""&amp;$D60 &amp; "!AL47")</f>
        <v>#VALUE!</v>
      </c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</row>
    <row r="61" spans="1:40" x14ac:dyDescent="0.2">
      <c r="A61" s="29" t="s">
        <v>71</v>
      </c>
      <c r="B61" s="30">
        <f>SUM(B58:B60)</f>
        <v>25</v>
      </c>
      <c r="C61" s="34"/>
      <c r="D61" s="225"/>
      <c r="E61" s="43" t="str" cm="1">
        <f t="array" aca="1" ref="E61" ca="1">INDIRECT(""&amp;$D60 &amp; "!A49")</f>
        <v>Med</v>
      </c>
      <c r="F61" s="17" t="e" cm="1">
        <f t="array" aca="1" ref="F61" ca="1">INDIRECT(""&amp;$D60 &amp; "!Q49")</f>
        <v>#VALUE!</v>
      </c>
      <c r="G61" s="172"/>
      <c r="H61" s="42" t="e" cm="1">
        <f t="array" aca="1" ref="H61" ca="1">INDIRECT(""&amp;$D60 &amp; "!S49")</f>
        <v>#VALUE!</v>
      </c>
      <c r="I61" s="172"/>
      <c r="J61" s="42" t="e" cm="1">
        <f t="array" aca="1" ref="J61" ca="1">INDIRECT(""&amp;$D60 &amp; "!U49")</f>
        <v>#VALUE!</v>
      </c>
      <c r="K61" s="172"/>
      <c r="L61" s="42" t="e" cm="1">
        <f t="array" aca="1" ref="L61" ca="1">INDIRECT(""&amp;$D60 &amp; "!W49")</f>
        <v>#VALUE!</v>
      </c>
      <c r="M61" s="172"/>
      <c r="N61" s="42" t="e" cm="1">
        <f t="array" aca="1" ref="N61" ca="1">INDIRECT(""&amp;$D60 &amp; "!Y49")</f>
        <v>#VALUE!</v>
      </c>
      <c r="O61" s="172"/>
      <c r="P61" s="42" t="e" cm="1">
        <f t="array" aca="1" ref="P61" ca="1">INDIRECT(""&amp;$D60 &amp; "!AA49")</f>
        <v>#VALUE!</v>
      </c>
      <c r="Q61" s="172"/>
      <c r="R61" s="42" t="e" cm="1">
        <f t="array" aca="1" ref="R61" ca="1">INDIRECT(""&amp;$D60 &amp; "!AC49")</f>
        <v>#VALUE!</v>
      </c>
      <c r="S61" s="172"/>
      <c r="T61" s="172"/>
      <c r="U61" s="172"/>
      <c r="V61" s="172"/>
      <c r="W61" s="172"/>
      <c r="X61" s="42" t="e" cm="1">
        <f t="array" aca="1" ref="X61" ca="1">INDIRECT(""&amp;$D60 &amp; "!AI49")</f>
        <v>#VALUE!</v>
      </c>
      <c r="Y61" s="172"/>
      <c r="Z61" s="42" t="e" cm="1">
        <f t="array" aca="1" ref="Z61" ca="1">INDIRECT(""&amp;$D60 &amp; "!AK49")</f>
        <v>#VALUE!</v>
      </c>
      <c r="AA61" s="175"/>
      <c r="AB61" s="23"/>
      <c r="AC61" s="23"/>
      <c r="AD61" s="23"/>
      <c r="AE61" s="23"/>
      <c r="AF61" s="23"/>
      <c r="AG61" s="23"/>
      <c r="AH61" s="23"/>
      <c r="AI61" s="23"/>
      <c r="AJ61" s="23"/>
      <c r="AK61" s="23"/>
      <c r="AL61" s="23"/>
      <c r="AM61" s="23"/>
      <c r="AN61" s="23"/>
    </row>
    <row r="62" spans="1:40" ht="17" thickBot="1" x14ac:dyDescent="0.25">
      <c r="D62" s="225"/>
      <c r="E62" s="81" t="str" cm="1">
        <f t="array" aca="1" ref="E62" ca="1">INDIRECT(""&amp;$D60 &amp; "!A51")</f>
        <v>Low</v>
      </c>
      <c r="F62" s="49" t="e" cm="1">
        <f t="array" aca="1" ref="F62" ca="1">INDIRECT(""&amp;$D60 &amp; "!Q51")</f>
        <v>#VALUE!</v>
      </c>
      <c r="G62" s="208"/>
      <c r="H62" s="101" t="e" cm="1">
        <f t="array" aca="1" ref="H62" ca="1">INDIRECT(""&amp;$D60 &amp; "!S51")</f>
        <v>#VALUE!</v>
      </c>
      <c r="I62" s="208"/>
      <c r="J62" s="101" t="e" cm="1">
        <f t="array" aca="1" ref="J62" ca="1">INDIRECT(""&amp;$D60 &amp; "!U51")</f>
        <v>#VALUE!</v>
      </c>
      <c r="K62" s="208"/>
      <c r="L62" s="101" t="e" cm="1">
        <f t="array" aca="1" ref="L62" ca="1">INDIRECT(""&amp;$D60 &amp; "!W51")</f>
        <v>#VALUE!</v>
      </c>
      <c r="M62" s="208"/>
      <c r="N62" s="101" t="e" cm="1">
        <f t="array" aca="1" ref="N62" ca="1">INDIRECT(""&amp;$D60 &amp; "!Y51")</f>
        <v>#VALUE!</v>
      </c>
      <c r="O62" s="208"/>
      <c r="P62" s="101" t="e" cm="1">
        <f t="array" aca="1" ref="P62" ca="1">INDIRECT(""&amp;$D60 &amp; "!AA51")</f>
        <v>#VALUE!</v>
      </c>
      <c r="Q62" s="208"/>
      <c r="R62" s="101" t="e" cm="1">
        <f t="array" aca="1" ref="R62" ca="1">INDIRECT(""&amp;$D60 &amp; "!AC51")</f>
        <v>#VALUE!</v>
      </c>
      <c r="S62" s="208"/>
      <c r="T62" s="208"/>
      <c r="U62" s="208"/>
      <c r="V62" s="208"/>
      <c r="W62" s="208"/>
      <c r="X62" s="101" t="e" cm="1">
        <f t="array" aca="1" ref="X62" ca="1">INDIRECT(""&amp;$D60 &amp; "!AI51")</f>
        <v>#VALUE!</v>
      </c>
      <c r="Y62" s="208"/>
      <c r="Z62" s="101" t="e" cm="1">
        <f t="array" aca="1" ref="Z62" ca="1">INDIRECT(""&amp;$D60 &amp; "!AK51")</f>
        <v>#VALUE!</v>
      </c>
      <c r="AA62" s="218"/>
      <c r="AB62" s="23"/>
      <c r="AC62" s="23"/>
      <c r="AD62" s="23"/>
      <c r="AE62" s="23"/>
      <c r="AF62" s="23"/>
      <c r="AG62" s="23"/>
      <c r="AH62" s="23"/>
      <c r="AI62" s="23"/>
      <c r="AJ62" s="23"/>
      <c r="AK62" s="23"/>
      <c r="AL62" s="23"/>
      <c r="AM62" s="23"/>
      <c r="AN62" s="23"/>
    </row>
    <row r="63" spans="1:40" x14ac:dyDescent="0.2">
      <c r="D63" s="222" t="s">
        <v>16</v>
      </c>
      <c r="E63" s="82" t="s">
        <v>27</v>
      </c>
      <c r="F63" s="44" t="e">
        <f ca="1">AVERAGE(F39,F42,F45,F48,F51,F54,F57,F60)</f>
        <v>#VALUE!</v>
      </c>
      <c r="G63" s="171" t="e">
        <f ca="1">AVERAGE(G39:G62)</f>
        <v>#VALUE!</v>
      </c>
      <c r="H63" s="56" t="e">
        <f ca="1">AVERAGE(H39,H42,H45,H48,H51,H54,H57,H60)</f>
        <v>#VALUE!</v>
      </c>
      <c r="I63" s="171" t="e">
        <f ca="1">AVERAGE(I39:I62)</f>
        <v>#VALUE!</v>
      </c>
      <c r="J63" s="56" t="e">
        <f ca="1">AVERAGE(J39,J42,J45,J48,J51,J54,J57,J60)</f>
        <v>#VALUE!</v>
      </c>
      <c r="K63" s="171" t="e">
        <f ca="1">AVERAGE(K39:K62)</f>
        <v>#VALUE!</v>
      </c>
      <c r="L63" s="56" t="e">
        <f ca="1">AVERAGE(L39,L42,L45,L48,L51,L54,L57,L60)</f>
        <v>#VALUE!</v>
      </c>
      <c r="M63" s="171" t="e">
        <f ca="1">AVERAGE(M39:M62)</f>
        <v>#VALUE!</v>
      </c>
      <c r="N63" s="56" t="e">
        <f ca="1">AVERAGE(N39,N42,N45,N48,N51,N54,N57,N60)</f>
        <v>#VALUE!</v>
      </c>
      <c r="O63" s="171" t="e">
        <f ca="1">AVERAGE(O39:O62)</f>
        <v>#VALUE!</v>
      </c>
      <c r="P63" s="56" t="e">
        <f ca="1">AVERAGE(P39,P42,P45,P48,P51,P54,P57,P60)</f>
        <v>#VALUE!</v>
      </c>
      <c r="Q63" s="171" t="e">
        <f ca="1">AVERAGE(Q39:Q62)</f>
        <v>#VALUE!</v>
      </c>
      <c r="R63" s="56" t="e">
        <f ca="1">AVERAGE(R39,R42,R45,R48,R51,R54,R57,R60)</f>
        <v>#VALUE!</v>
      </c>
      <c r="S63" s="171" t="e">
        <f ca="1">AVERAGE(S39:S62)</f>
        <v>#VALUE!</v>
      </c>
      <c r="T63" s="171" t="e">
        <f ca="1">AVERAGE(T39:T62)</f>
        <v>#VALUE!</v>
      </c>
      <c r="U63" s="171" t="e">
        <f ca="1">AVERAGE(U39:U62)</f>
        <v>#VALUE!</v>
      </c>
      <c r="V63" s="171" t="e">
        <f ca="1">AVERAGE(V39:V62)</f>
        <v>#VALUE!</v>
      </c>
      <c r="W63" s="171" t="e">
        <f ca="1">AVERAGE(W39:W62)</f>
        <v>#VALUE!</v>
      </c>
      <c r="X63" s="56" t="e">
        <f ca="1">AVERAGE(X39,X42,X45,X48,X51,X54,X57,X60)</f>
        <v>#VALUE!</v>
      </c>
      <c r="Y63" s="171" t="e">
        <f ca="1">AVERAGE(Y39:Y62)</f>
        <v>#VALUE!</v>
      </c>
      <c r="Z63" s="56" t="e">
        <f ca="1">AVERAGE(Z39,Z42,Z45,Z48,Z51,Z54,Z57,Z60)</f>
        <v>#VALUE!</v>
      </c>
      <c r="AA63" s="174" t="e">
        <f ca="1">AVERAGE(AA39:AA62)</f>
        <v>#VALUE!</v>
      </c>
      <c r="AB63" s="23"/>
      <c r="AC63" s="23"/>
      <c r="AD63" s="23"/>
      <c r="AE63" s="23"/>
      <c r="AF63" s="23"/>
      <c r="AG63" s="23"/>
      <c r="AH63" s="23"/>
      <c r="AI63" s="23"/>
      <c r="AJ63" s="23"/>
      <c r="AK63" s="23"/>
      <c r="AL63" s="23"/>
      <c r="AM63" s="23"/>
      <c r="AN63" s="23"/>
    </row>
    <row r="64" spans="1:40" x14ac:dyDescent="0.2">
      <c r="D64" s="223"/>
      <c r="E64" s="50" t="s">
        <v>28</v>
      </c>
      <c r="F64" s="17" t="e">
        <f ca="1">AVERAGE(F40,F43,F46,F49,F52,F55,F58,F61)</f>
        <v>#VALUE!</v>
      </c>
      <c r="G64" s="172"/>
      <c r="H64" s="42" t="e">
        <f ca="1">AVERAGE(H40,H43,H46,H49,H52,H55,H58,H61)</f>
        <v>#VALUE!</v>
      </c>
      <c r="I64" s="172"/>
      <c r="J64" s="42" t="e">
        <f ca="1">AVERAGE(J40,J43,J46,J49,J52,J55,J58,J61)</f>
        <v>#VALUE!</v>
      </c>
      <c r="K64" s="172"/>
      <c r="L64" s="42" t="e">
        <f ca="1">AVERAGE(L40,L43,L46,L49,L52,L55,L58,L61)</f>
        <v>#VALUE!</v>
      </c>
      <c r="M64" s="172"/>
      <c r="N64" s="42" t="e">
        <f ca="1">AVERAGE(N40,N43,N46,N49,N52,N55,N58,N61)</f>
        <v>#VALUE!</v>
      </c>
      <c r="O64" s="172"/>
      <c r="P64" s="42" t="e">
        <f ca="1">AVERAGE(P40,P43,P46,P49,P52,P55,P58,P61)</f>
        <v>#VALUE!</v>
      </c>
      <c r="Q64" s="172"/>
      <c r="R64" s="42" t="e">
        <f ca="1">AVERAGE(R40,R43,R46,R49,R52,R55,R58,R61)</f>
        <v>#VALUE!</v>
      </c>
      <c r="S64" s="172"/>
      <c r="T64" s="172"/>
      <c r="U64" s="172"/>
      <c r="V64" s="172"/>
      <c r="W64" s="172"/>
      <c r="X64" s="42" t="e">
        <f ca="1">AVERAGE(X40,X43,X46,X49,X52,X55,X58,X61)</f>
        <v>#VALUE!</v>
      </c>
      <c r="Y64" s="172"/>
      <c r="Z64" s="42" t="e">
        <f ca="1">AVERAGE(Z40,Z43,Z46,Z49,Z52,Z55,Z58,Z61)</f>
        <v>#VALUE!</v>
      </c>
      <c r="AA64" s="175"/>
      <c r="AB64" s="23"/>
      <c r="AC64" s="23"/>
      <c r="AD64" s="23"/>
      <c r="AE64" s="23"/>
      <c r="AF64" s="23"/>
      <c r="AG64" s="23"/>
      <c r="AH64" s="23"/>
      <c r="AI64" s="23"/>
      <c r="AJ64" s="23"/>
      <c r="AK64" s="23"/>
      <c r="AL64" s="23"/>
      <c r="AM64" s="23"/>
      <c r="AN64" s="23"/>
    </row>
    <row r="65" spans="4:40" ht="17" thickBot="1" x14ac:dyDescent="0.25">
      <c r="D65" s="224"/>
      <c r="E65" s="51" t="s">
        <v>29</v>
      </c>
      <c r="F65" s="47" t="e">
        <f ca="1">AVERAGE(F41,F44,F47,F50,F53,F56,F59,F62)</f>
        <v>#VALUE!</v>
      </c>
      <c r="G65" s="173"/>
      <c r="H65" s="57" t="e">
        <f ca="1">AVERAGE(H41,H44,H47,H50,H53,H56,H59,H62)</f>
        <v>#VALUE!</v>
      </c>
      <c r="I65" s="173"/>
      <c r="J65" s="57" t="e">
        <f ca="1">AVERAGE(J41,J44,J47,J50,J53,J56,J59,J62)</f>
        <v>#VALUE!</v>
      </c>
      <c r="K65" s="173"/>
      <c r="L65" s="57" t="e">
        <f ca="1">AVERAGE(L41,L44,L47,L50,L53,L56,L59,L62)</f>
        <v>#VALUE!</v>
      </c>
      <c r="M65" s="173"/>
      <c r="N65" s="57" t="e">
        <f ca="1">AVERAGE(N41,N44,N47,N50,N53,N56,N59,N62)</f>
        <v>#VALUE!</v>
      </c>
      <c r="O65" s="173"/>
      <c r="P65" s="57" t="e">
        <f ca="1">AVERAGE(P41,P44,P47,P50,P53,P56,P59,P62)</f>
        <v>#VALUE!</v>
      </c>
      <c r="Q65" s="173"/>
      <c r="R65" s="57" t="e">
        <f ca="1">AVERAGE(R41,R44,R47,R50,R53,R56,R59,R62)</f>
        <v>#VALUE!</v>
      </c>
      <c r="S65" s="173"/>
      <c r="T65" s="173"/>
      <c r="U65" s="173"/>
      <c r="V65" s="173"/>
      <c r="W65" s="173"/>
      <c r="X65" s="57" t="e">
        <f ca="1">AVERAGE(X41,X44,X47,X50,X53,X56,X59,X62)</f>
        <v>#VALUE!</v>
      </c>
      <c r="Y65" s="173"/>
      <c r="Z65" s="57" t="e">
        <f ca="1">AVERAGE(Z41,Z44,Z47,Z50,Z53,Z56,Z59,Z62)</f>
        <v>#VALUE!</v>
      </c>
      <c r="AA65" s="188"/>
      <c r="AB65" s="23"/>
      <c r="AC65" s="23"/>
      <c r="AD65" s="23"/>
      <c r="AE65" s="23"/>
      <c r="AF65" s="23"/>
      <c r="AG65" s="23"/>
      <c r="AH65" s="23"/>
      <c r="AI65" s="23"/>
      <c r="AJ65" s="23"/>
      <c r="AK65" s="23"/>
      <c r="AL65" s="23"/>
      <c r="AM65" s="23"/>
      <c r="AN65" s="23"/>
    </row>
    <row r="68" spans="4:40" ht="17" thickBot="1" x14ac:dyDescent="0.25"/>
    <row r="69" spans="4:40" x14ac:dyDescent="0.2">
      <c r="D69" s="219" t="s">
        <v>61</v>
      </c>
      <c r="E69" s="179" t="s">
        <v>79</v>
      </c>
      <c r="F69" s="179"/>
      <c r="G69" s="179"/>
      <c r="H69" s="179"/>
      <c r="I69" s="179"/>
      <c r="J69" s="179"/>
      <c r="K69" s="179"/>
      <c r="L69" s="179"/>
      <c r="M69" s="179"/>
      <c r="N69" s="179"/>
      <c r="O69" s="60"/>
    </row>
    <row r="70" spans="4:40" x14ac:dyDescent="0.2">
      <c r="D70" s="220"/>
      <c r="E70" s="180" t="s">
        <v>82</v>
      </c>
      <c r="F70" s="180"/>
      <c r="G70" s="180"/>
      <c r="H70" s="180"/>
      <c r="I70" s="170" t="s">
        <v>83</v>
      </c>
      <c r="J70" s="170"/>
      <c r="K70" s="170" t="s">
        <v>32</v>
      </c>
      <c r="L70" s="170"/>
      <c r="M70" s="170" t="s">
        <v>31</v>
      </c>
      <c r="N70" s="170"/>
      <c r="O70" s="61"/>
    </row>
    <row r="71" spans="4:40" ht="17" thickBot="1" x14ac:dyDescent="0.25">
      <c r="D71" s="221"/>
      <c r="E71" s="59" t="s">
        <v>80</v>
      </c>
      <c r="F71" s="59" t="s">
        <v>77</v>
      </c>
      <c r="G71" s="59" t="s">
        <v>81</v>
      </c>
      <c r="H71" s="59" t="s">
        <v>78</v>
      </c>
      <c r="I71" s="41" t="s">
        <v>77</v>
      </c>
      <c r="J71" s="41" t="s">
        <v>78</v>
      </c>
      <c r="K71" s="41" t="s">
        <v>77</v>
      </c>
      <c r="L71" s="41" t="s">
        <v>80</v>
      </c>
      <c r="M71" s="41" t="s">
        <v>77</v>
      </c>
      <c r="N71" s="41" t="s">
        <v>80</v>
      </c>
      <c r="O71" s="62" t="s">
        <v>84</v>
      </c>
    </row>
    <row r="72" spans="4:40" x14ac:dyDescent="0.2">
      <c r="D72" s="65" t="str">
        <f>D5</f>
        <v>BoxingPractice</v>
      </c>
      <c r="E72" s="44" t="e" cm="1">
        <f t="array" aca="1" ref="E72" ca="1">INDIRECT(""&amp;$D72 &amp; "!AJ61")</f>
        <v>#NUM!</v>
      </c>
      <c r="F72" s="56" t="e" cm="1">
        <f t="array" aca="1" ref="F72" ca="1">INDIRECT(""&amp;$D72 &amp; "!AL57")</f>
        <v>#DIV/0!</v>
      </c>
      <c r="G72" s="56" t="e" cm="1">
        <f t="array" aca="1" ref="G72" ca="1">INDIRECT(""&amp;$D72 &amp; "!AK61")</f>
        <v>#NUM!</v>
      </c>
      <c r="H72" s="56" t="e" cm="1">
        <f t="array" aca="1" ref="H72" ca="1">INDIRECT(""&amp;$D72 &amp; "!AM57")</f>
        <v>#DIV/0!</v>
      </c>
      <c r="I72" s="56" t="e" cm="1">
        <f t="array" aca="1" ref="I72" ca="1">INDIRECT(""&amp;$D72 &amp; "!AL58")</f>
        <v>#DIV/0!</v>
      </c>
      <c r="J72" s="56" t="e" cm="1">
        <f t="array" aca="1" ref="J72" ca="1">INDIRECT(""&amp;$D72 &amp; "!AM58")</f>
        <v>#DIV/0!</v>
      </c>
      <c r="K72" s="56" t="e" cm="1">
        <f t="array" aca="1" ref="K72" ca="1">INDIRECT(""&amp;$D72 &amp; "!AL59")</f>
        <v>#DIV/0!</v>
      </c>
      <c r="L72" s="56" t="e" cm="1">
        <f t="array" aca="1" ref="L72" ca="1">INDIRECT(""&amp;$D72 &amp; "!AM59")</f>
        <v>#DIV/0!</v>
      </c>
      <c r="M72" s="56" t="e" cm="1">
        <f t="array" aca="1" ref="M72" ca="1">INDIRECT(""&amp;$D72 &amp; "!AL60")</f>
        <v>#DIV/0!</v>
      </c>
      <c r="N72" s="56" t="e" cm="1">
        <f t="array" aca="1" ref="N72" ca="1">INDIRECT(""&amp;$D72 &amp; "!AM60")</f>
        <v>#DIV/0!</v>
      </c>
      <c r="O72" s="45" t="e" cm="1">
        <f t="array" aca="1" ref="O72" ca="1">INDIRECT(""&amp;$D72 &amp; "!AM56")</f>
        <v>#DIV/0!</v>
      </c>
    </row>
    <row r="73" spans="4:40" x14ac:dyDescent="0.2">
      <c r="D73" s="65" t="str">
        <f>D8</f>
        <v>CrossWalk</v>
      </c>
      <c r="E73" s="17" t="e" cm="1">
        <f t="array" aca="1" ref="E73" ca="1">INDIRECT(""&amp;$D73 &amp; "!AJ61")</f>
        <v>#NUM!</v>
      </c>
      <c r="F73" s="42" t="e" cm="1">
        <f t="array" aca="1" ref="F73" ca="1">INDIRECT(""&amp;$D73 &amp; "!AL57")</f>
        <v>#DIV/0!</v>
      </c>
      <c r="G73" s="42" t="e" cm="1">
        <f t="array" aca="1" ref="G73" ca="1">INDIRECT(""&amp;$D73 &amp; "!AK61")</f>
        <v>#NUM!</v>
      </c>
      <c r="H73" s="42" t="e" cm="1">
        <f t="array" aca="1" ref="H73" ca="1">INDIRECT(""&amp;$D73 &amp; "!AM57")</f>
        <v>#DIV/0!</v>
      </c>
      <c r="I73" s="42" t="e" cm="1">
        <f t="array" aca="1" ref="I73" ca="1">INDIRECT(""&amp;$D73 &amp; "!AL58")</f>
        <v>#DIV/0!</v>
      </c>
      <c r="J73" s="42" t="e" cm="1">
        <f t="array" aca="1" ref="J73" ca="1">INDIRECT(""&amp;$D73 &amp; "!AM58")</f>
        <v>#DIV/0!</v>
      </c>
      <c r="K73" s="42" t="e" cm="1">
        <f t="array" aca="1" ref="K73" ca="1">INDIRECT(""&amp;$D73 &amp; "!AL59")</f>
        <v>#DIV/0!</v>
      </c>
      <c r="L73" s="42" t="e" cm="1">
        <f t="array" aca="1" ref="L73" ca="1">INDIRECT(""&amp;$D73 &amp; "!AM59")</f>
        <v>#DIV/0!</v>
      </c>
      <c r="M73" s="42" t="e" cm="1">
        <f t="array" aca="1" ref="M73" ca="1">INDIRECT(""&amp;$D73 &amp; "!AL60")</f>
        <v>#DIV/0!</v>
      </c>
      <c r="N73" s="42" t="e" cm="1">
        <f t="array" aca="1" ref="N73" ca="1">INDIRECT(""&amp;$D73 &amp; "!AM60")</f>
        <v>#DIV/0!</v>
      </c>
      <c r="O73" s="46" t="e" cm="1">
        <f t="array" aca="1" ref="O73" ca="1">INDIRECT(""&amp;$D73 &amp; "!AM56")</f>
        <v>#DIV/0!</v>
      </c>
    </row>
    <row r="74" spans="4:40" x14ac:dyDescent="0.2">
      <c r="D74" s="65" t="str">
        <f>D11</f>
        <v>FoodMarket2</v>
      </c>
      <c r="E74" s="17" t="e" cm="1">
        <f t="array" aca="1" ref="E74" ca="1">INDIRECT(""&amp;$D74 &amp; "!AJ61")</f>
        <v>#NUM!</v>
      </c>
      <c r="F74" s="42" t="e" cm="1">
        <f t="array" aca="1" ref="F74" ca="1">INDIRECT(""&amp;$D74 &amp; "!AL57")</f>
        <v>#DIV/0!</v>
      </c>
      <c r="G74" s="42" t="e" cm="1">
        <f t="array" aca="1" ref="G74" ca="1">INDIRECT(""&amp;$D74 &amp; "!AK61")</f>
        <v>#NUM!</v>
      </c>
      <c r="H74" s="42" t="e" cm="1">
        <f t="array" aca="1" ref="H74" ca="1">INDIRECT(""&amp;$D74 &amp; "!AM57")</f>
        <v>#DIV/0!</v>
      </c>
      <c r="I74" s="42" t="e" cm="1">
        <f t="array" aca="1" ref="I74" ca="1">INDIRECT(""&amp;$D74 &amp; "!AL58")</f>
        <v>#DIV/0!</v>
      </c>
      <c r="J74" s="42" t="e" cm="1">
        <f t="array" aca="1" ref="J74" ca="1">INDIRECT(""&amp;$D74 &amp; "!AM58")</f>
        <v>#DIV/0!</v>
      </c>
      <c r="K74" s="42" t="e" cm="1">
        <f t="array" aca="1" ref="K74" ca="1">INDIRECT(""&amp;$D74 &amp; "!AL59")</f>
        <v>#DIV/0!</v>
      </c>
      <c r="L74" s="42" t="e" cm="1">
        <f t="array" aca="1" ref="L74" ca="1">INDIRECT(""&amp;$D74 &amp; "!AM59")</f>
        <v>#DIV/0!</v>
      </c>
      <c r="M74" s="42" t="e" cm="1">
        <f t="array" aca="1" ref="M74" ca="1">INDIRECT(""&amp;$D74 &amp; "!AL60")</f>
        <v>#DIV/0!</v>
      </c>
      <c r="N74" s="42" t="e" cm="1">
        <f t="array" aca="1" ref="N74" ca="1">INDIRECT(""&amp;$D74 &amp; "!AM60")</f>
        <v>#DIV/0!</v>
      </c>
      <c r="O74" s="46" t="e" cm="1">
        <f t="array" aca="1" ref="O74" ca="1">INDIRECT(""&amp;$D74 &amp; "!AM56")</f>
        <v>#DIV/0!</v>
      </c>
    </row>
    <row r="75" spans="4:40" x14ac:dyDescent="0.2">
      <c r="D75" s="65" t="str">
        <f>D14</f>
        <v>Neon1224</v>
      </c>
      <c r="E75" s="17" t="e" cm="1">
        <f t="array" aca="1" ref="E75" ca="1">INDIRECT(""&amp;$D75 &amp; "!AJ61")</f>
        <v>#NUM!</v>
      </c>
      <c r="F75" s="42" t="e" cm="1">
        <f t="array" aca="1" ref="F75" ca="1">INDIRECT(""&amp;$D75 &amp; "!AL57")</f>
        <v>#DIV/0!</v>
      </c>
      <c r="G75" s="42" t="e" cm="1">
        <f t="array" aca="1" ref="G75" ca="1">INDIRECT(""&amp;$D75 &amp; "!AK61")</f>
        <v>#NUM!</v>
      </c>
      <c r="H75" s="42" t="e" cm="1">
        <f t="array" aca="1" ref="H75" ca="1">INDIRECT(""&amp;$D75 &amp; "!AM57")</f>
        <v>#DIV/0!</v>
      </c>
      <c r="I75" s="42" t="e" cm="1">
        <f t="array" aca="1" ref="I75" ca="1">INDIRECT(""&amp;$D75 &amp; "!AL58")</f>
        <v>#DIV/0!</v>
      </c>
      <c r="J75" s="42" t="e" cm="1">
        <f t="array" aca="1" ref="J75" ca="1">INDIRECT(""&amp;$D75 &amp; "!AM58")</f>
        <v>#DIV/0!</v>
      </c>
      <c r="K75" s="42" t="e" cm="1">
        <f t="array" aca="1" ref="K75" ca="1">INDIRECT(""&amp;$D75 &amp; "!AL59")</f>
        <v>#DIV/0!</v>
      </c>
      <c r="L75" s="42" t="e" cm="1">
        <f t="array" aca="1" ref="L75" ca="1">INDIRECT(""&amp;$D75 &amp; "!AM59")</f>
        <v>#DIV/0!</v>
      </c>
      <c r="M75" s="42" t="e" cm="1">
        <f t="array" aca="1" ref="M75" ca="1">INDIRECT(""&amp;$D75 &amp; "!AL60")</f>
        <v>#DIV/0!</v>
      </c>
      <c r="N75" s="42" t="e" cm="1">
        <f t="array" aca="1" ref="N75" ca="1">INDIRECT(""&amp;$D75 &amp; "!AM60")</f>
        <v>#DIV/0!</v>
      </c>
      <c r="O75" s="46" t="e" cm="1">
        <f t="array" aca="1" ref="O75" ca="1">INDIRECT(""&amp;$D75 &amp; "!AM56")</f>
        <v>#DIV/0!</v>
      </c>
    </row>
    <row r="76" spans="4:40" x14ac:dyDescent="0.2">
      <c r="D76" s="65" t="str">
        <f>D17</f>
        <v>NocturneDance</v>
      </c>
      <c r="E76" s="17" t="e" cm="1">
        <f t="array" aca="1" ref="E76" ca="1">INDIRECT(""&amp;$D76 &amp; "!AJ61")</f>
        <v>#NUM!</v>
      </c>
      <c r="F76" s="42" t="e" cm="1">
        <f t="array" aca="1" ref="F76" ca="1">INDIRECT(""&amp;$D76 &amp; "!AL57")</f>
        <v>#DIV/0!</v>
      </c>
      <c r="G76" s="42" t="e" cm="1">
        <f t="array" aca="1" ref="G76" ca="1">INDIRECT(""&amp;$D76 &amp; "!AK61")</f>
        <v>#NUM!</v>
      </c>
      <c r="H76" s="42" t="e" cm="1">
        <f t="array" aca="1" ref="H76" ca="1">INDIRECT(""&amp;$D76 &amp; "!AM57")</f>
        <v>#DIV/0!</v>
      </c>
      <c r="I76" s="42" t="e" cm="1">
        <f t="array" aca="1" ref="I76" ca="1">INDIRECT(""&amp;$D76 &amp; "!AL58")</f>
        <v>#DIV/0!</v>
      </c>
      <c r="J76" s="42" t="e" cm="1">
        <f t="array" aca="1" ref="J76" ca="1">INDIRECT(""&amp;$D76 &amp; "!AM58")</f>
        <v>#DIV/0!</v>
      </c>
      <c r="K76" s="42" t="e" cm="1">
        <f t="array" aca="1" ref="K76" ca="1">INDIRECT(""&amp;$D76 &amp; "!AL59")</f>
        <v>#DIV/0!</v>
      </c>
      <c r="L76" s="42" t="e" cm="1">
        <f t="array" aca="1" ref="L76" ca="1">INDIRECT(""&amp;$D76 &amp; "!AM59")</f>
        <v>#DIV/0!</v>
      </c>
      <c r="M76" s="42" t="e" cm="1">
        <f t="array" aca="1" ref="M76" ca="1">INDIRECT(""&amp;$D76 &amp; "!AL60")</f>
        <v>#DIV/0!</v>
      </c>
      <c r="N76" s="42" t="e" cm="1">
        <f t="array" aca="1" ref="N76" ca="1">INDIRECT(""&amp;$D76 &amp; "!AM60")</f>
        <v>#DIV/0!</v>
      </c>
      <c r="O76" s="46" t="e" cm="1">
        <f t="array" aca="1" ref="O76" ca="1">INDIRECT(""&amp;$D76 &amp; "!AM56")</f>
        <v>#DIV/0!</v>
      </c>
    </row>
    <row r="77" spans="4:40" x14ac:dyDescent="0.2">
      <c r="D77" s="65" t="str">
        <f>D20</f>
        <v>PierSeaside</v>
      </c>
      <c r="E77" s="17" t="e" cm="1">
        <f t="array" aca="1" ref="E77" ca="1">INDIRECT(""&amp;$D77 &amp; "!AJ61")</f>
        <v>#NUM!</v>
      </c>
      <c r="F77" s="42" t="e" cm="1">
        <f t="array" aca="1" ref="F77" ca="1">INDIRECT(""&amp;$D77 &amp; "!AL57")</f>
        <v>#DIV/0!</v>
      </c>
      <c r="G77" s="42" t="e" cm="1">
        <f t="array" aca="1" ref="G77" ca="1">INDIRECT(""&amp;$D77 &amp; "!AK61")</f>
        <v>#NUM!</v>
      </c>
      <c r="H77" s="42" t="e" cm="1">
        <f t="array" aca="1" ref="H77" ca="1">INDIRECT(""&amp;$D77 &amp; "!AM57")</f>
        <v>#DIV/0!</v>
      </c>
      <c r="I77" s="42" t="e" cm="1">
        <f t="array" aca="1" ref="I77" ca="1">INDIRECT(""&amp;$D77 &amp; "!AL58")</f>
        <v>#DIV/0!</v>
      </c>
      <c r="J77" s="42" t="e" cm="1">
        <f t="array" aca="1" ref="J77" ca="1">INDIRECT(""&amp;$D77 &amp; "!AM58")</f>
        <v>#DIV/0!</v>
      </c>
      <c r="K77" s="42" t="e" cm="1">
        <f t="array" aca="1" ref="K77" ca="1">INDIRECT(""&amp;$D77 &amp; "!AL59")</f>
        <v>#DIV/0!</v>
      </c>
      <c r="L77" s="42" t="e" cm="1">
        <f t="array" aca="1" ref="L77" ca="1">INDIRECT(""&amp;$D77 &amp; "!AM59")</f>
        <v>#DIV/0!</v>
      </c>
      <c r="M77" s="42" t="e" cm="1">
        <f t="array" aca="1" ref="M77" ca="1">INDIRECT(""&amp;$D77 &amp; "!AL60")</f>
        <v>#DIV/0!</v>
      </c>
      <c r="N77" s="42" t="e" cm="1">
        <f t="array" aca="1" ref="N77" ca="1">INDIRECT(""&amp;$D77 &amp; "!AM60")</f>
        <v>#DIV/0!</v>
      </c>
      <c r="O77" s="46" t="e" cm="1">
        <f t="array" aca="1" ref="O77" ca="1">INDIRECT(""&amp;$D77 &amp; "!AM56")</f>
        <v>#DIV/0!</v>
      </c>
    </row>
    <row r="78" spans="4:40" x14ac:dyDescent="0.2">
      <c r="D78" s="65" t="str">
        <f>D23</f>
        <v>Tango</v>
      </c>
      <c r="E78" s="17" t="e" cm="1">
        <f t="array" aca="1" ref="E78" ca="1">INDIRECT(""&amp;$D78 &amp; "!AJ61")</f>
        <v>#NUM!</v>
      </c>
      <c r="F78" s="42" t="e" cm="1">
        <f t="array" aca="1" ref="F78" ca="1">INDIRECT(""&amp;$D78 &amp; "!AL57")</f>
        <v>#DIV/0!</v>
      </c>
      <c r="G78" s="42" t="e" cm="1">
        <f t="array" aca="1" ref="G78" ca="1">INDIRECT(""&amp;$D78 &amp; "!AK61")</f>
        <v>#NUM!</v>
      </c>
      <c r="H78" s="42" t="e" cm="1">
        <f t="array" aca="1" ref="H78" ca="1">INDIRECT(""&amp;$D78 &amp; "!AM57")</f>
        <v>#DIV/0!</v>
      </c>
      <c r="I78" s="42" t="e" cm="1">
        <f t="array" aca="1" ref="I78" ca="1">INDIRECT(""&amp;$D78 &amp; "!AL58")</f>
        <v>#DIV/0!</v>
      </c>
      <c r="J78" s="42" t="e" cm="1">
        <f t="array" aca="1" ref="J78" ca="1">INDIRECT(""&amp;$D78 &amp; "!AM58")</f>
        <v>#DIV/0!</v>
      </c>
      <c r="K78" s="42" t="e" cm="1">
        <f t="array" aca="1" ref="K78" ca="1">INDIRECT(""&amp;$D78 &amp; "!AL59")</f>
        <v>#DIV/0!</v>
      </c>
      <c r="L78" s="42" t="e" cm="1">
        <f t="array" aca="1" ref="L78" ca="1">INDIRECT(""&amp;$D78 &amp; "!AM59")</f>
        <v>#DIV/0!</v>
      </c>
      <c r="M78" s="42" t="e" cm="1">
        <f t="array" aca="1" ref="M78" ca="1">INDIRECT(""&amp;$D78 &amp; "!AL60")</f>
        <v>#DIV/0!</v>
      </c>
      <c r="N78" s="42" t="e" cm="1">
        <f t="array" aca="1" ref="N78" ca="1">INDIRECT(""&amp;$D78 &amp; "!AM60")</f>
        <v>#DIV/0!</v>
      </c>
      <c r="O78" s="46" t="e" cm="1">
        <f t="array" aca="1" ref="O78" ca="1">INDIRECT(""&amp;$D78 &amp; "!AM56")</f>
        <v>#DIV/0!</v>
      </c>
    </row>
    <row r="79" spans="4:40" ht="17" thickBot="1" x14ac:dyDescent="0.25">
      <c r="D79" s="66" t="str">
        <f>D26</f>
        <v>Timelapse</v>
      </c>
      <c r="E79" s="47" t="e" cm="1">
        <f t="array" aca="1" ref="E79" ca="1">INDIRECT(""&amp;$D79 &amp; "!AJ61")</f>
        <v>#NUM!</v>
      </c>
      <c r="F79" s="57" t="e" cm="1">
        <f t="array" aca="1" ref="F79" ca="1">INDIRECT(""&amp;$D79 &amp; "!AL57")</f>
        <v>#DIV/0!</v>
      </c>
      <c r="G79" s="57" t="e" cm="1">
        <f t="array" aca="1" ref="G79" ca="1">INDIRECT(""&amp;$D79 &amp; "!AK61")</f>
        <v>#NUM!</v>
      </c>
      <c r="H79" s="57" t="e" cm="1">
        <f t="array" aca="1" ref="H79" ca="1">INDIRECT(""&amp;$D79 &amp; "!AM57")</f>
        <v>#DIV/0!</v>
      </c>
      <c r="I79" s="57" t="e" cm="1">
        <f t="array" aca="1" ref="I79" ca="1">INDIRECT(""&amp;$D79 &amp; "!AL58")</f>
        <v>#DIV/0!</v>
      </c>
      <c r="J79" s="57" t="e" cm="1">
        <f t="array" aca="1" ref="J79" ca="1">INDIRECT(""&amp;$D79 &amp; "!AM58")</f>
        <v>#DIV/0!</v>
      </c>
      <c r="K79" s="57" t="e" cm="1">
        <f t="array" aca="1" ref="K79" ca="1">INDIRECT(""&amp;$D79 &amp; "!AL59")</f>
        <v>#DIV/0!</v>
      </c>
      <c r="L79" s="57" t="e" cm="1">
        <f t="array" aca="1" ref="L79" ca="1">INDIRECT(""&amp;$D79 &amp; "!AM59")</f>
        <v>#DIV/0!</v>
      </c>
      <c r="M79" s="57" t="e" cm="1">
        <f t="array" aca="1" ref="M79" ca="1">INDIRECT(""&amp;$D79 &amp; "!AL60")</f>
        <v>#DIV/0!</v>
      </c>
      <c r="N79" s="57" t="e" cm="1">
        <f t="array" aca="1" ref="N79" ca="1">INDIRECT(""&amp;$D79 &amp; "!AM60")</f>
        <v>#DIV/0!</v>
      </c>
      <c r="O79" s="48" t="e" cm="1">
        <f t="array" aca="1" ref="O79" ca="1">INDIRECT(""&amp;$D79 &amp; "!AM56")</f>
        <v>#DIV/0!</v>
      </c>
    </row>
    <row r="80" spans="4:40" ht="17" thickBot="1" x14ac:dyDescent="0.25">
      <c r="D80" s="58" t="s">
        <v>16</v>
      </c>
      <c r="E80" s="53" t="e">
        <f ca="1">GEOMEAN(E72:E79)</f>
        <v>#NUM!</v>
      </c>
      <c r="F80" s="53" t="e">
        <f ca="1">GEOMEAN(F72:F79)</f>
        <v>#DIV/0!</v>
      </c>
      <c r="G80" s="53" t="e">
        <f ca="1">GEOMEAN(G72:G79)</f>
        <v>#NUM!</v>
      </c>
      <c r="H80" s="53" t="e">
        <f ca="1">GEOMEAN(H72:H79)</f>
        <v>#DIV/0!</v>
      </c>
      <c r="I80" s="53" t="e">
        <f ca="1">AVERAGE(I72:I79)</f>
        <v>#DIV/0!</v>
      </c>
      <c r="J80" s="53" t="e">
        <f ca="1">AVERAGE(J72:J79)</f>
        <v>#DIV/0!</v>
      </c>
      <c r="K80" s="53" t="e">
        <f ca="1">MAX(K72:K79)</f>
        <v>#DIV/0!</v>
      </c>
      <c r="L80" s="53" t="e">
        <f ca="1">MAX(L72:L79)</f>
        <v>#DIV/0!</v>
      </c>
      <c r="M80" s="53" t="e">
        <f ca="1">MIN(M72:M79)</f>
        <v>#DIV/0!</v>
      </c>
      <c r="N80" s="53" t="e">
        <f ca="1">MIN(N72:N79)</f>
        <v>#DIV/0!</v>
      </c>
      <c r="O80" s="53" t="e">
        <f ca="1">AVERAGE(O72:O79)</f>
        <v>#DIV/0!</v>
      </c>
    </row>
    <row r="82" spans="4:41" x14ac:dyDescent="0.2">
      <c r="AG82" s="23"/>
      <c r="AH82" s="23"/>
      <c r="AI82" s="23"/>
      <c r="AJ82" s="23"/>
      <c r="AK82" s="23"/>
      <c r="AL82" s="23"/>
      <c r="AM82" s="23"/>
      <c r="AN82" s="23"/>
    </row>
    <row r="83" spans="4:41" ht="17" thickBot="1" x14ac:dyDescent="0.25">
      <c r="AG83" s="23"/>
      <c r="AH83" s="23"/>
      <c r="AI83" s="23"/>
      <c r="AJ83" s="23"/>
      <c r="AK83" s="23"/>
      <c r="AL83" s="23"/>
      <c r="AM83" s="23"/>
      <c r="AN83" s="23"/>
    </row>
    <row r="84" spans="4:41" x14ac:dyDescent="0.2">
      <c r="D84" s="182" t="s">
        <v>97</v>
      </c>
      <c r="E84" s="182" t="s">
        <v>61</v>
      </c>
      <c r="F84" s="197" t="s">
        <v>54</v>
      </c>
      <c r="G84" s="198"/>
      <c r="H84" s="198"/>
      <c r="I84" s="198"/>
      <c r="J84" s="198"/>
      <c r="K84" s="198"/>
      <c r="L84" s="198"/>
      <c r="M84" s="198"/>
      <c r="N84" s="198"/>
      <c r="O84" s="198"/>
      <c r="P84" s="198"/>
      <c r="Q84" s="198"/>
      <c r="R84" s="241"/>
      <c r="AH84" s="23"/>
      <c r="AI84" s="23"/>
      <c r="AJ84" s="23"/>
      <c r="AK84" s="23"/>
      <c r="AL84" s="23"/>
      <c r="AM84" s="23"/>
      <c r="AN84" s="23"/>
    </row>
    <row r="85" spans="4:41" x14ac:dyDescent="0.2">
      <c r="D85" s="183"/>
      <c r="E85" s="183"/>
      <c r="F85" s="189" t="str">
        <f>BoxingPractice!AO2</f>
        <v>PSNR</v>
      </c>
      <c r="G85" s="190"/>
      <c r="H85" s="190"/>
      <c r="I85" s="190"/>
      <c r="J85" s="191"/>
      <c r="K85" s="189" t="str">
        <f>BoxingPractice!AT2</f>
        <v>SSIM</v>
      </c>
      <c r="L85" s="191"/>
      <c r="M85" s="189" t="str">
        <f>BoxingPractice!AV2</f>
        <v>MS-SSIM</v>
      </c>
      <c r="N85" s="191"/>
      <c r="O85" s="189" t="str">
        <f>BoxingPractice!AX2</f>
        <v>VMAF</v>
      </c>
      <c r="P85" s="191"/>
      <c r="Q85" s="189" t="s">
        <v>140</v>
      </c>
      <c r="R85" s="191"/>
      <c r="AH85" s="23"/>
      <c r="AI85" s="23"/>
      <c r="AJ85" s="23"/>
      <c r="AK85" s="23"/>
      <c r="AL85" s="23"/>
      <c r="AM85" s="23"/>
      <c r="AN85" s="23"/>
    </row>
    <row r="86" spans="4:41" x14ac:dyDescent="0.2">
      <c r="D86" s="183"/>
      <c r="E86" s="183"/>
      <c r="F86" s="27"/>
      <c r="G86" s="27"/>
      <c r="H86" s="28"/>
      <c r="I86" s="28"/>
      <c r="J86" s="28"/>
      <c r="K86" s="28"/>
      <c r="L86" s="28"/>
      <c r="M86" s="28"/>
      <c r="N86" s="28"/>
      <c r="O86" s="28"/>
      <c r="P86" s="28"/>
      <c r="Q86" s="28"/>
      <c r="R86" s="28"/>
      <c r="AH86" s="23"/>
      <c r="AI86" s="23"/>
      <c r="AJ86" s="23"/>
      <c r="AK86" s="23"/>
      <c r="AL86" s="23"/>
      <c r="AM86" s="23"/>
      <c r="AN86" s="23"/>
    </row>
    <row r="87" spans="4:41" ht="17" thickBot="1" x14ac:dyDescent="0.25">
      <c r="D87" s="183"/>
      <c r="E87" s="183"/>
      <c r="F87" s="192" t="str">
        <f>BoxingPractice!AO4</f>
        <v>Range</v>
      </c>
      <c r="G87" s="193"/>
      <c r="H87" s="28" t="str">
        <f>BoxingPractice!AQ4</f>
        <v>Y</v>
      </c>
      <c r="I87" s="28" t="str">
        <f>BoxingPractice!AR4</f>
        <v>U</v>
      </c>
      <c r="J87" s="28" t="str">
        <f>BoxingPractice!AS4</f>
        <v>V</v>
      </c>
      <c r="K87" s="28" t="str">
        <f>BoxingPractice!AT4</f>
        <v>Range</v>
      </c>
      <c r="L87" s="28" t="str">
        <f>BoxingPractice!AU4</f>
        <v>Y</v>
      </c>
      <c r="M87" s="28" t="str">
        <f>BoxingPractice!AV4</f>
        <v>Range</v>
      </c>
      <c r="N87" s="28" t="str">
        <f>BoxingPractice!AW4</f>
        <v>Y</v>
      </c>
      <c r="O87" s="28" t="str">
        <f>BoxingPractice!AX4</f>
        <v>Range</v>
      </c>
      <c r="P87" s="28" t="str">
        <f>BoxingPractice!AY4</f>
        <v>Y</v>
      </c>
      <c r="Q87" s="28" t="s">
        <v>23</v>
      </c>
      <c r="R87" s="28" t="s">
        <v>24</v>
      </c>
      <c r="AH87" s="23"/>
      <c r="AI87" s="23"/>
      <c r="AJ87" s="23"/>
      <c r="AK87" s="23"/>
      <c r="AL87" s="23"/>
      <c r="AM87" s="23"/>
      <c r="AN87" s="23"/>
    </row>
    <row r="88" spans="4:41" x14ac:dyDescent="0.2">
      <c r="D88" s="237" t="str">
        <f>BoxingPractice!A5</f>
        <v>3840x2160</v>
      </c>
      <c r="E88" s="234" t="str">
        <f>D5</f>
        <v>BoxingPractice</v>
      </c>
      <c r="F88" s="84" t="str" cm="1">
        <f t="array" aca="1" ref="F88" ca="1">INDIRECT(""&amp;$E88 &amp; "!AO5")</f>
        <v>High</v>
      </c>
      <c r="G88" s="44" t="e" cm="1">
        <f t="array" aca="1" ref="G88" ca="1">INDIRECT(""&amp;$E88 &amp; "!AP5")</f>
        <v>#VALUE!</v>
      </c>
      <c r="H88" s="171" t="e" cm="1">
        <f t="array" aca="1" ref="H88" ca="1">INDIRECT(""&amp;$E88 &amp; "!AQ5")</f>
        <v>#VALUE!</v>
      </c>
      <c r="I88" s="171" t="e" cm="1">
        <f t="array" aca="1" ref="I88" ca="1">INDIRECT(""&amp;$E88 &amp; "!AR5")</f>
        <v>#VALUE!</v>
      </c>
      <c r="J88" s="171" t="e" cm="1">
        <f t="array" aca="1" ref="J88" ca="1">INDIRECT(""&amp;$E88 &amp; "!AS5")</f>
        <v>#VALUE!</v>
      </c>
      <c r="K88" s="56" t="e" cm="1">
        <f t="array" aca="1" ref="K88" ca="1">INDIRECT(""&amp;$E88 &amp; "!AT5")</f>
        <v>#VALUE!</v>
      </c>
      <c r="L88" s="171" t="e" cm="1">
        <f t="array" aca="1" ref="L88" ca="1">INDIRECT(""&amp;$E88 &amp; "!AU5")</f>
        <v>#VALUE!</v>
      </c>
      <c r="M88" s="56" t="e" cm="1">
        <f t="array" aca="1" ref="M88" ca="1">INDIRECT(""&amp;$E88 &amp; "!AV5")</f>
        <v>#VALUE!</v>
      </c>
      <c r="N88" s="171" t="e" cm="1">
        <f t="array" aca="1" ref="N88" ca="1">INDIRECT(""&amp;$E88 &amp; "!AW5")</f>
        <v>#VALUE!</v>
      </c>
      <c r="O88" s="56" t="e" cm="1">
        <f t="array" aca="1" ref="O88" ca="1">INDIRECT(""&amp;$E88 &amp; "!AX5")</f>
        <v>#VALUE!</v>
      </c>
      <c r="P88" s="174" t="e" cm="1">
        <f t="array" aca="1" ref="P88" ca="1">INDIRECT(""&amp;$E88 &amp; "!AY5")</f>
        <v>#VALUE!</v>
      </c>
      <c r="Q88" s="124" cm="1">
        <f t="array" aca="1" ref="Q88" ca="1">INDIRECT(""&amp;$E88 &amp; "!AZ5")</f>
        <v>0</v>
      </c>
      <c r="R88" s="242" cm="1">
        <f t="array" aca="1" ref="R88" ca="1">INDIRECT(""&amp;$E88 &amp; "!BA5")</f>
        <v>0</v>
      </c>
      <c r="AH88" s="23"/>
      <c r="AI88" s="23"/>
      <c r="AJ88" s="23"/>
      <c r="AK88" s="23"/>
      <c r="AL88" s="23"/>
      <c r="AM88" s="23"/>
      <c r="AN88" s="23"/>
    </row>
    <row r="89" spans="4:41" x14ac:dyDescent="0.2">
      <c r="D89" s="238"/>
      <c r="E89" s="235"/>
      <c r="F89" s="85" t="str" cm="1">
        <f t="array" aca="1" ref="F89" ca="1">INDIRECT(""&amp;$E88 &amp; "!AO7")</f>
        <v>Med</v>
      </c>
      <c r="G89" s="17" t="e" cm="1">
        <f t="array" aca="1" ref="G89" ca="1">INDIRECT(""&amp;$E88 &amp; "!AP7")</f>
        <v>#VALUE!</v>
      </c>
      <c r="H89" s="172"/>
      <c r="I89" s="172"/>
      <c r="J89" s="172"/>
      <c r="K89" s="42" t="e" cm="1">
        <f t="array" aca="1" ref="K89" ca="1">INDIRECT(""&amp;$E88 &amp; "!AT7")</f>
        <v>#VALUE!</v>
      </c>
      <c r="L89" s="172"/>
      <c r="M89" s="42" t="e" cm="1">
        <f t="array" aca="1" ref="M89" ca="1">INDIRECT(""&amp;$E88 &amp; "!AV7")</f>
        <v>#VALUE!</v>
      </c>
      <c r="N89" s="172"/>
      <c r="O89" s="42" t="e" cm="1">
        <f t="array" aca="1" ref="O89" ca="1">INDIRECT(""&amp;$E88 &amp; "!AX7")</f>
        <v>#VALUE!</v>
      </c>
      <c r="P89" s="175"/>
      <c r="Q89" s="125" cm="1">
        <f t="array" aca="1" ref="Q89" ca="1">INDIRECT(""&amp;$E88 &amp; "!AZ7")</f>
        <v>0</v>
      </c>
      <c r="R89" s="243"/>
      <c r="AH89" s="23"/>
      <c r="AI89" s="23"/>
      <c r="AJ89" s="23"/>
      <c r="AK89" s="23"/>
      <c r="AL89" s="23"/>
      <c r="AM89" s="23"/>
      <c r="AN89" s="23"/>
    </row>
    <row r="90" spans="4:41" ht="17" thickBot="1" x14ac:dyDescent="0.25">
      <c r="D90" s="238"/>
      <c r="E90" s="236"/>
      <c r="F90" s="86" t="str" cm="1">
        <f t="array" aca="1" ref="F90" ca="1">INDIRECT(""&amp;$E88 &amp; "!AO9")</f>
        <v>Low</v>
      </c>
      <c r="G90" s="17" t="e" cm="1">
        <f t="array" aca="1" ref="G90" ca="1">INDIRECT(""&amp;$E88 &amp; "!AP9")</f>
        <v>#VALUE!</v>
      </c>
      <c r="H90" s="172"/>
      <c r="I90" s="172"/>
      <c r="J90" s="172"/>
      <c r="K90" s="42" t="e" cm="1">
        <f t="array" aca="1" ref="K90" ca="1">INDIRECT(""&amp;$E88 &amp; "!AT9")</f>
        <v>#VALUE!</v>
      </c>
      <c r="L90" s="172"/>
      <c r="M90" s="42" t="e" cm="1">
        <f t="array" aca="1" ref="M90" ca="1">INDIRECT(""&amp;$E88 &amp; "!AV9")</f>
        <v>#VALUE!</v>
      </c>
      <c r="N90" s="172"/>
      <c r="O90" s="42" t="e" cm="1">
        <f t="array" aca="1" ref="O90" ca="1">INDIRECT(""&amp;$E88 &amp; "!Ax9")</f>
        <v>#VALUE!</v>
      </c>
      <c r="P90" s="175"/>
      <c r="Q90" s="125" cm="1">
        <f t="array" aca="1" ref="Q90" ca="1">INDIRECT(""&amp;$E88 &amp; "!Az9")</f>
        <v>0</v>
      </c>
      <c r="R90" s="243"/>
      <c r="AH90" s="23"/>
      <c r="AI90" s="23"/>
      <c r="AJ90" s="23"/>
      <c r="AK90" s="23"/>
      <c r="AL90" s="23"/>
      <c r="AM90" s="23"/>
      <c r="AN90" s="23"/>
    </row>
    <row r="91" spans="4:41" x14ac:dyDescent="0.2">
      <c r="D91" s="238"/>
      <c r="E91" s="234" t="str">
        <f>D8</f>
        <v>CrossWalk</v>
      </c>
      <c r="F91" s="84" t="str" cm="1">
        <f t="array" aca="1" ref="F91" ca="1">INDIRECT(""&amp;$E91 &amp; "!AO5")</f>
        <v>High</v>
      </c>
      <c r="G91" s="17" t="e" cm="1">
        <f t="array" aca="1" ref="G91" ca="1">INDIRECT(""&amp;$E91 &amp; "!AP5")</f>
        <v>#VALUE!</v>
      </c>
      <c r="H91" s="172" t="e" cm="1">
        <f t="array" aca="1" ref="H91" ca="1">INDIRECT(""&amp;$E91 &amp; "!AQ5")</f>
        <v>#VALUE!</v>
      </c>
      <c r="I91" s="172" t="e" cm="1">
        <f t="array" aca="1" ref="I91" ca="1">INDIRECT(""&amp;$E91 &amp; "!AR5")</f>
        <v>#VALUE!</v>
      </c>
      <c r="J91" s="172" t="e" cm="1">
        <f t="array" aca="1" ref="J91" ca="1">INDIRECT(""&amp;$E91 &amp; "!AS5")</f>
        <v>#VALUE!</v>
      </c>
      <c r="K91" s="42" t="e" cm="1">
        <f t="array" aca="1" ref="K91" ca="1">INDIRECT(""&amp;$E91 &amp; "!AT5")</f>
        <v>#VALUE!</v>
      </c>
      <c r="L91" s="172" t="e" cm="1">
        <f t="array" aca="1" ref="L91" ca="1">INDIRECT(""&amp;$E91 &amp; "!AU5")</f>
        <v>#VALUE!</v>
      </c>
      <c r="M91" s="42" t="e" cm="1">
        <f t="array" aca="1" ref="M91" ca="1">INDIRECT(""&amp;$E91 &amp; "!AV5")</f>
        <v>#VALUE!</v>
      </c>
      <c r="N91" s="172" t="e" cm="1">
        <f t="array" aca="1" ref="N91" ca="1">INDIRECT(""&amp;$E91 &amp; "!AW5")</f>
        <v>#VALUE!</v>
      </c>
      <c r="O91" s="42" t="e" cm="1">
        <f t="array" aca="1" ref="O91" ca="1">INDIRECT(""&amp;$E91 &amp; "!AX5")</f>
        <v>#VALUE!</v>
      </c>
      <c r="P91" s="175" t="e" cm="1">
        <f t="array" aca="1" ref="P91" ca="1">INDIRECT(""&amp;$E91 &amp; "!AY5")</f>
        <v>#VALUE!</v>
      </c>
      <c r="Q91" s="124" cm="1">
        <f t="array" aca="1" ref="Q91" ca="1">INDIRECT(""&amp;$E91 &amp; "!AZ5")</f>
        <v>0</v>
      </c>
      <c r="R91" s="242" cm="1">
        <f t="array" aca="1" ref="R91" ca="1">INDIRECT(""&amp;$E91 &amp; "!BA5")</f>
        <v>0</v>
      </c>
      <c r="AO91" s="24"/>
    </row>
    <row r="92" spans="4:41" x14ac:dyDescent="0.2">
      <c r="D92" s="238"/>
      <c r="E92" s="235"/>
      <c r="F92" s="85" t="str" cm="1">
        <f t="array" aca="1" ref="F92" ca="1">INDIRECT(""&amp;$E91 &amp; "!AO7")</f>
        <v>Med</v>
      </c>
      <c r="G92" s="17" t="e" cm="1">
        <f t="array" aca="1" ref="G92" ca="1">INDIRECT(""&amp;$E91 &amp; "!AP7")</f>
        <v>#VALUE!</v>
      </c>
      <c r="H92" s="172"/>
      <c r="I92" s="172"/>
      <c r="J92" s="172"/>
      <c r="K92" s="42" t="e" cm="1">
        <f t="array" aca="1" ref="K92" ca="1">INDIRECT(""&amp;$E91 &amp; "!AT7")</f>
        <v>#VALUE!</v>
      </c>
      <c r="L92" s="172"/>
      <c r="M92" s="42" t="e" cm="1">
        <f t="array" aca="1" ref="M92" ca="1">INDIRECT(""&amp;$E91 &amp; "!AV7")</f>
        <v>#VALUE!</v>
      </c>
      <c r="N92" s="172"/>
      <c r="O92" s="42" t="e" cm="1">
        <f t="array" aca="1" ref="O92" ca="1">INDIRECT(""&amp;$E91 &amp; "!AX7")</f>
        <v>#VALUE!</v>
      </c>
      <c r="P92" s="175"/>
      <c r="Q92" s="125" cm="1">
        <f t="array" aca="1" ref="Q92" ca="1">INDIRECT(""&amp;$E91 &amp; "!AZ7")</f>
        <v>0</v>
      </c>
      <c r="R92" s="243"/>
    </row>
    <row r="93" spans="4:41" ht="17" thickBot="1" x14ac:dyDescent="0.25">
      <c r="D93" s="238"/>
      <c r="E93" s="236"/>
      <c r="F93" s="86" t="str" cm="1">
        <f t="array" aca="1" ref="F93" ca="1">INDIRECT(""&amp;$E91 &amp; "!AO9")</f>
        <v>Low</v>
      </c>
      <c r="G93" s="17" t="e" cm="1">
        <f t="array" aca="1" ref="G93" ca="1">INDIRECT(""&amp;$E91 &amp; "!AP9")</f>
        <v>#VALUE!</v>
      </c>
      <c r="H93" s="172"/>
      <c r="I93" s="172"/>
      <c r="J93" s="172"/>
      <c r="K93" s="42" t="e" cm="1">
        <f t="array" aca="1" ref="K93" ca="1">INDIRECT(""&amp;$E91 &amp; "!AT9")</f>
        <v>#VALUE!</v>
      </c>
      <c r="L93" s="172"/>
      <c r="M93" s="42" t="e" cm="1">
        <f t="array" aca="1" ref="M93" ca="1">INDIRECT(""&amp;$E91 &amp; "!AV9")</f>
        <v>#VALUE!</v>
      </c>
      <c r="N93" s="172"/>
      <c r="O93" s="42" t="e" cm="1">
        <f t="array" aca="1" ref="O93" ca="1">INDIRECT(""&amp;$E91 &amp; "!Ax9")</f>
        <v>#VALUE!</v>
      </c>
      <c r="P93" s="175"/>
      <c r="Q93" s="125" cm="1">
        <f t="array" aca="1" ref="Q93" ca="1">INDIRECT(""&amp;$E91 &amp; "!Az9")</f>
        <v>0</v>
      </c>
      <c r="R93" s="243"/>
    </row>
    <row r="94" spans="4:41" x14ac:dyDescent="0.2">
      <c r="D94" s="238"/>
      <c r="E94" s="234" t="str">
        <f>D11</f>
        <v>FoodMarket2</v>
      </c>
      <c r="F94" s="84" t="str" cm="1">
        <f t="array" aca="1" ref="F94" ca="1">INDIRECT(""&amp;$E94 &amp; "!AO5")</f>
        <v>High</v>
      </c>
      <c r="G94" s="17" t="e" cm="1">
        <f t="array" aca="1" ref="G94" ca="1">INDIRECT(""&amp;$E94 &amp; "!AP5")</f>
        <v>#VALUE!</v>
      </c>
      <c r="H94" s="172" t="e" cm="1">
        <f t="array" aca="1" ref="H94" ca="1">INDIRECT(""&amp;$E94 &amp; "!AQ5")</f>
        <v>#VALUE!</v>
      </c>
      <c r="I94" s="172" t="e" cm="1">
        <f t="array" aca="1" ref="I94" ca="1">INDIRECT(""&amp;$E94 &amp; "!AR5")</f>
        <v>#VALUE!</v>
      </c>
      <c r="J94" s="172" t="e" cm="1">
        <f t="array" aca="1" ref="J94" ca="1">INDIRECT(""&amp;$E94 &amp; "!AS5")</f>
        <v>#VALUE!</v>
      </c>
      <c r="K94" s="42" t="e" cm="1">
        <f t="array" aca="1" ref="K94" ca="1">INDIRECT(""&amp;$E94 &amp; "!AT5")</f>
        <v>#VALUE!</v>
      </c>
      <c r="L94" s="172" t="e" cm="1">
        <f t="array" aca="1" ref="L94" ca="1">INDIRECT(""&amp;$E94 &amp; "!AU5")</f>
        <v>#VALUE!</v>
      </c>
      <c r="M94" s="42" t="e" cm="1">
        <f t="array" aca="1" ref="M94" ca="1">INDIRECT(""&amp;$E94 &amp; "!AV5")</f>
        <v>#VALUE!</v>
      </c>
      <c r="N94" s="172" t="e" cm="1">
        <f t="array" aca="1" ref="N94" ca="1">INDIRECT(""&amp;$E94 &amp; "!AW5")</f>
        <v>#VALUE!</v>
      </c>
      <c r="O94" s="42" t="e" cm="1">
        <f t="array" aca="1" ref="O94" ca="1">INDIRECT(""&amp;$E94 &amp; "!AX5")</f>
        <v>#VALUE!</v>
      </c>
      <c r="P94" s="175" t="e" cm="1">
        <f t="array" aca="1" ref="P94" ca="1">INDIRECT(""&amp;$E94 &amp; "!AY5")</f>
        <v>#VALUE!</v>
      </c>
      <c r="Q94" s="124" cm="1">
        <f t="array" aca="1" ref="Q94" ca="1">INDIRECT(""&amp;$E94 &amp; "!AZ5")</f>
        <v>0</v>
      </c>
      <c r="R94" s="242" cm="1">
        <f t="array" aca="1" ref="R94" ca="1">INDIRECT(""&amp;$E94 &amp; "!BA5")</f>
        <v>0</v>
      </c>
    </row>
    <row r="95" spans="4:41" x14ac:dyDescent="0.2">
      <c r="D95" s="238"/>
      <c r="E95" s="235"/>
      <c r="F95" s="85" t="str" cm="1">
        <f t="array" aca="1" ref="F95" ca="1">INDIRECT(""&amp;$E94 &amp; "!AO7")</f>
        <v>Med</v>
      </c>
      <c r="G95" s="17" t="e" cm="1">
        <f t="array" aca="1" ref="G95" ca="1">INDIRECT(""&amp;$E94 &amp; "!AP7")</f>
        <v>#VALUE!</v>
      </c>
      <c r="H95" s="172"/>
      <c r="I95" s="172"/>
      <c r="J95" s="172"/>
      <c r="K95" s="42" t="e" cm="1">
        <f t="array" aca="1" ref="K95" ca="1">INDIRECT(""&amp;$E94 &amp; "!AT7")</f>
        <v>#VALUE!</v>
      </c>
      <c r="L95" s="172"/>
      <c r="M95" s="42" t="e" cm="1">
        <f t="array" aca="1" ref="M95" ca="1">INDIRECT(""&amp;$E94 &amp; "!AV7")</f>
        <v>#VALUE!</v>
      </c>
      <c r="N95" s="172"/>
      <c r="O95" s="42" t="e" cm="1">
        <f t="array" aca="1" ref="O95" ca="1">INDIRECT(""&amp;$E94 &amp; "!AX7")</f>
        <v>#VALUE!</v>
      </c>
      <c r="P95" s="175"/>
      <c r="Q95" s="125" cm="1">
        <f t="array" aca="1" ref="Q95" ca="1">INDIRECT(""&amp;$E94 &amp; "!AZ7")</f>
        <v>0</v>
      </c>
      <c r="R95" s="243"/>
    </row>
    <row r="96" spans="4:41" ht="17" thickBot="1" x14ac:dyDescent="0.25">
      <c r="D96" s="238"/>
      <c r="E96" s="236"/>
      <c r="F96" s="86" t="str" cm="1">
        <f t="array" aca="1" ref="F96" ca="1">INDIRECT(""&amp;$E94 &amp; "!AO9")</f>
        <v>Low</v>
      </c>
      <c r="G96" s="17" t="e" cm="1">
        <f t="array" aca="1" ref="G96" ca="1">INDIRECT(""&amp;$E94 &amp; "!AP9")</f>
        <v>#VALUE!</v>
      </c>
      <c r="H96" s="172"/>
      <c r="I96" s="172"/>
      <c r="J96" s="172"/>
      <c r="K96" s="42" t="e" cm="1">
        <f t="array" aca="1" ref="K96" ca="1">INDIRECT(""&amp;$E94 &amp; "!AT9")</f>
        <v>#VALUE!</v>
      </c>
      <c r="L96" s="172"/>
      <c r="M96" s="42" t="e" cm="1">
        <f t="array" aca="1" ref="M96" ca="1">INDIRECT(""&amp;$E94 &amp; "!AV9")</f>
        <v>#VALUE!</v>
      </c>
      <c r="N96" s="172"/>
      <c r="O96" s="42" t="e" cm="1">
        <f t="array" aca="1" ref="O96" ca="1">INDIRECT(""&amp;$E94 &amp; "!Ax9")</f>
        <v>#VALUE!</v>
      </c>
      <c r="P96" s="175"/>
      <c r="Q96" s="125" cm="1">
        <f t="array" aca="1" ref="Q96" ca="1">INDIRECT(""&amp;$E94 &amp; "!Az9")</f>
        <v>0</v>
      </c>
      <c r="R96" s="243"/>
    </row>
    <row r="97" spans="4:18" x14ac:dyDescent="0.2">
      <c r="D97" s="238"/>
      <c r="E97" s="234" t="str">
        <f>D14</f>
        <v>Neon1224</v>
      </c>
      <c r="F97" s="84" t="str" cm="1">
        <f t="array" aca="1" ref="F97" ca="1">INDIRECT(""&amp;$E97 &amp; "!AO5")</f>
        <v>High</v>
      </c>
      <c r="G97" s="17" t="e" cm="1">
        <f t="array" aca="1" ref="G97" ca="1">INDIRECT(""&amp;$E97 &amp; "!AP5")</f>
        <v>#VALUE!</v>
      </c>
      <c r="H97" s="172" t="e" cm="1">
        <f t="array" aca="1" ref="H97" ca="1">INDIRECT(""&amp;$E97 &amp; "!AQ5")</f>
        <v>#VALUE!</v>
      </c>
      <c r="I97" s="172" t="e" cm="1">
        <f t="array" aca="1" ref="I97" ca="1">INDIRECT(""&amp;$E97 &amp; "!AR5")</f>
        <v>#VALUE!</v>
      </c>
      <c r="J97" s="172" t="e" cm="1">
        <f t="array" aca="1" ref="J97" ca="1">INDIRECT(""&amp;$E97 &amp; "!AS5")</f>
        <v>#VALUE!</v>
      </c>
      <c r="K97" s="42" t="e" cm="1">
        <f t="array" aca="1" ref="K97" ca="1">INDIRECT(""&amp;$E97 &amp; "!AT5")</f>
        <v>#VALUE!</v>
      </c>
      <c r="L97" s="172" t="e" cm="1">
        <f t="array" aca="1" ref="L97" ca="1">INDIRECT(""&amp;$E97 &amp; "!AU5")</f>
        <v>#VALUE!</v>
      </c>
      <c r="M97" s="42" t="e" cm="1">
        <f t="array" aca="1" ref="M97" ca="1">INDIRECT(""&amp;$E97 &amp; "!AV5")</f>
        <v>#VALUE!</v>
      </c>
      <c r="N97" s="172" t="e" cm="1">
        <f t="array" aca="1" ref="N97" ca="1">INDIRECT(""&amp;$E97 &amp; "!AW5")</f>
        <v>#VALUE!</v>
      </c>
      <c r="O97" s="42" t="e" cm="1">
        <f t="array" aca="1" ref="O97" ca="1">INDIRECT(""&amp;$E97 &amp; "!AX5")</f>
        <v>#VALUE!</v>
      </c>
      <c r="P97" s="175" t="e" cm="1">
        <f t="array" aca="1" ref="P97" ca="1">INDIRECT(""&amp;$E97 &amp; "!AY5")</f>
        <v>#VALUE!</v>
      </c>
      <c r="Q97" s="124" cm="1">
        <f t="array" aca="1" ref="Q97" ca="1">INDIRECT(""&amp;$E97 &amp; "!AZ5")</f>
        <v>0</v>
      </c>
      <c r="R97" s="242" cm="1">
        <f t="array" aca="1" ref="R97" ca="1">INDIRECT(""&amp;$E97 &amp; "!BA5")</f>
        <v>0</v>
      </c>
    </row>
    <row r="98" spans="4:18" x14ac:dyDescent="0.2">
      <c r="D98" s="238"/>
      <c r="E98" s="235"/>
      <c r="F98" s="85" t="str" cm="1">
        <f t="array" aca="1" ref="F98" ca="1">INDIRECT(""&amp;$E97 &amp; "!AO7")</f>
        <v>Med</v>
      </c>
      <c r="G98" s="17" t="e" cm="1">
        <f t="array" aca="1" ref="G98" ca="1">INDIRECT(""&amp;$E97 &amp; "!AP7")</f>
        <v>#VALUE!</v>
      </c>
      <c r="H98" s="172"/>
      <c r="I98" s="172"/>
      <c r="J98" s="172"/>
      <c r="K98" s="42" t="e" cm="1">
        <f t="array" aca="1" ref="K98" ca="1">INDIRECT(""&amp;$E97 &amp; "!AT7")</f>
        <v>#VALUE!</v>
      </c>
      <c r="L98" s="172"/>
      <c r="M98" s="42" t="e" cm="1">
        <f t="array" aca="1" ref="M98" ca="1">INDIRECT(""&amp;$E97 &amp; "!AV7")</f>
        <v>#VALUE!</v>
      </c>
      <c r="N98" s="172"/>
      <c r="O98" s="42" t="e" cm="1">
        <f t="array" aca="1" ref="O98" ca="1">INDIRECT(""&amp;$E97 &amp; "!AX7")</f>
        <v>#VALUE!</v>
      </c>
      <c r="P98" s="175"/>
      <c r="Q98" s="125" cm="1">
        <f t="array" aca="1" ref="Q98" ca="1">INDIRECT(""&amp;$E97 &amp; "!AZ7")</f>
        <v>0</v>
      </c>
      <c r="R98" s="243"/>
    </row>
    <row r="99" spans="4:18" ht="17" thickBot="1" x14ac:dyDescent="0.25">
      <c r="D99" s="238"/>
      <c r="E99" s="236"/>
      <c r="F99" s="86" t="str" cm="1">
        <f t="array" aca="1" ref="F99" ca="1">INDIRECT(""&amp;$E97 &amp; "!AO9")</f>
        <v>Low</v>
      </c>
      <c r="G99" s="17" t="e" cm="1">
        <f t="array" aca="1" ref="G99" ca="1">INDIRECT(""&amp;$E97 &amp; "!AP9")</f>
        <v>#VALUE!</v>
      </c>
      <c r="H99" s="172"/>
      <c r="I99" s="172"/>
      <c r="J99" s="172"/>
      <c r="K99" s="42" t="e" cm="1">
        <f t="array" aca="1" ref="K99" ca="1">INDIRECT(""&amp;$E97 &amp; "!AT9")</f>
        <v>#VALUE!</v>
      </c>
      <c r="L99" s="172"/>
      <c r="M99" s="42" t="e" cm="1">
        <f t="array" aca="1" ref="M99" ca="1">INDIRECT(""&amp;$E97 &amp; "!AV9")</f>
        <v>#VALUE!</v>
      </c>
      <c r="N99" s="172"/>
      <c r="O99" s="42" t="e" cm="1">
        <f t="array" aca="1" ref="O99" ca="1">INDIRECT(""&amp;$E97 &amp; "!Ax9")</f>
        <v>#VALUE!</v>
      </c>
      <c r="P99" s="175"/>
      <c r="Q99" s="125" cm="1">
        <f t="array" aca="1" ref="Q99" ca="1">INDIRECT(""&amp;$E97 &amp; "!Az9")</f>
        <v>0</v>
      </c>
      <c r="R99" s="243"/>
    </row>
    <row r="100" spans="4:18" x14ac:dyDescent="0.2">
      <c r="D100" s="238"/>
      <c r="E100" s="234" t="str">
        <f>D17</f>
        <v>NocturneDance</v>
      </c>
      <c r="F100" s="84" t="str" cm="1">
        <f t="array" aca="1" ref="F100" ca="1">INDIRECT(""&amp;$E100 &amp; "!AO5")</f>
        <v>High</v>
      </c>
      <c r="G100" s="17" t="e" cm="1">
        <f t="array" aca="1" ref="G100" ca="1">INDIRECT(""&amp;$E100 &amp; "!AP5")</f>
        <v>#VALUE!</v>
      </c>
      <c r="H100" s="172" t="e" cm="1">
        <f t="array" aca="1" ref="H100" ca="1">INDIRECT(""&amp;$E100 &amp; "!AQ5")</f>
        <v>#VALUE!</v>
      </c>
      <c r="I100" s="172" t="e" cm="1">
        <f t="array" aca="1" ref="I100" ca="1">INDIRECT(""&amp;$E100 &amp; "!AR5")</f>
        <v>#VALUE!</v>
      </c>
      <c r="J100" s="172" t="e" cm="1">
        <f t="array" aca="1" ref="J100" ca="1">INDIRECT(""&amp;$E100 &amp; "!AS5")</f>
        <v>#VALUE!</v>
      </c>
      <c r="K100" s="42" t="e" cm="1">
        <f t="array" aca="1" ref="K100" ca="1">INDIRECT(""&amp;$E100 &amp; "!AT5")</f>
        <v>#VALUE!</v>
      </c>
      <c r="L100" s="172" t="e" cm="1">
        <f t="array" aca="1" ref="L100" ca="1">INDIRECT(""&amp;$E100 &amp; "!AU5")</f>
        <v>#VALUE!</v>
      </c>
      <c r="M100" s="42" t="e" cm="1">
        <f t="array" aca="1" ref="M100" ca="1">INDIRECT(""&amp;$E100 &amp; "!AV5")</f>
        <v>#VALUE!</v>
      </c>
      <c r="N100" s="172" t="e" cm="1">
        <f t="array" aca="1" ref="N100" ca="1">INDIRECT(""&amp;$E100 &amp; "!AW5")</f>
        <v>#VALUE!</v>
      </c>
      <c r="O100" s="42" t="e" cm="1">
        <f t="array" aca="1" ref="O100" ca="1">INDIRECT(""&amp;$E100 &amp; "!AX5")</f>
        <v>#VALUE!</v>
      </c>
      <c r="P100" s="175" t="e" cm="1">
        <f t="array" aca="1" ref="P100" ca="1">INDIRECT(""&amp;$E100 &amp; "!AY5")</f>
        <v>#VALUE!</v>
      </c>
      <c r="Q100" s="124" cm="1">
        <f t="array" aca="1" ref="Q100" ca="1">INDIRECT(""&amp;$E100 &amp; "!AZ5")</f>
        <v>0</v>
      </c>
      <c r="R100" s="242" cm="1">
        <f t="array" aca="1" ref="R100" ca="1">INDIRECT(""&amp;$E100 &amp; "!BA5")</f>
        <v>0</v>
      </c>
    </row>
    <row r="101" spans="4:18" x14ac:dyDescent="0.2">
      <c r="D101" s="238"/>
      <c r="E101" s="235"/>
      <c r="F101" s="85" t="str" cm="1">
        <f t="array" aca="1" ref="F101" ca="1">INDIRECT(""&amp;$E100 &amp; "!AO7")</f>
        <v>Med</v>
      </c>
      <c r="G101" s="17" t="e" cm="1">
        <f t="array" aca="1" ref="G101" ca="1">INDIRECT(""&amp;$E100 &amp; "!AP7")</f>
        <v>#VALUE!</v>
      </c>
      <c r="H101" s="172"/>
      <c r="I101" s="172"/>
      <c r="J101" s="172"/>
      <c r="K101" s="42" t="e" cm="1">
        <f t="array" aca="1" ref="K101" ca="1">INDIRECT(""&amp;$E100 &amp; "!AT7")</f>
        <v>#VALUE!</v>
      </c>
      <c r="L101" s="172"/>
      <c r="M101" s="42" t="e" cm="1">
        <f t="array" aca="1" ref="M101" ca="1">INDIRECT(""&amp;$E100 &amp; "!AV7")</f>
        <v>#VALUE!</v>
      </c>
      <c r="N101" s="172"/>
      <c r="O101" s="42" t="e" cm="1">
        <f t="array" aca="1" ref="O101" ca="1">INDIRECT(""&amp;$E100 &amp; "!AX7")</f>
        <v>#VALUE!</v>
      </c>
      <c r="P101" s="175"/>
      <c r="Q101" s="125" cm="1">
        <f t="array" aca="1" ref="Q101" ca="1">INDIRECT(""&amp;$E100 &amp; "!AZ7")</f>
        <v>0</v>
      </c>
      <c r="R101" s="243"/>
    </row>
    <row r="102" spans="4:18" ht="17" thickBot="1" x14ac:dyDescent="0.25">
      <c r="D102" s="238"/>
      <c r="E102" s="236"/>
      <c r="F102" s="86" t="str" cm="1">
        <f t="array" aca="1" ref="F102" ca="1">INDIRECT(""&amp;$E100 &amp; "!AO9")</f>
        <v>Low</v>
      </c>
      <c r="G102" s="17" t="e" cm="1">
        <f t="array" aca="1" ref="G102" ca="1">INDIRECT(""&amp;$E100 &amp; "!AP9")</f>
        <v>#VALUE!</v>
      </c>
      <c r="H102" s="172"/>
      <c r="I102" s="172"/>
      <c r="J102" s="172"/>
      <c r="K102" s="42" t="e" cm="1">
        <f t="array" aca="1" ref="K102" ca="1">INDIRECT(""&amp;$E100 &amp; "!AT9")</f>
        <v>#VALUE!</v>
      </c>
      <c r="L102" s="172"/>
      <c r="M102" s="42" t="e" cm="1">
        <f t="array" aca="1" ref="M102" ca="1">INDIRECT(""&amp;$E100 &amp; "!AV9")</f>
        <v>#VALUE!</v>
      </c>
      <c r="N102" s="172"/>
      <c r="O102" s="42" t="e" cm="1">
        <f t="array" aca="1" ref="O102" ca="1">INDIRECT(""&amp;$E100 &amp; "!Ax9")</f>
        <v>#VALUE!</v>
      </c>
      <c r="P102" s="175"/>
      <c r="Q102" s="125" cm="1">
        <f t="array" aca="1" ref="Q102" ca="1">INDIRECT(""&amp;$E100 &amp; "!Az9")</f>
        <v>0</v>
      </c>
      <c r="R102" s="243"/>
    </row>
    <row r="103" spans="4:18" x14ac:dyDescent="0.2">
      <c r="D103" s="238"/>
      <c r="E103" s="234" t="str">
        <f>D20</f>
        <v>PierSeaside</v>
      </c>
      <c r="F103" s="84" t="str" cm="1">
        <f t="array" aca="1" ref="F103" ca="1">INDIRECT(""&amp;$E103 &amp; "!AO5")</f>
        <v>High</v>
      </c>
      <c r="G103" s="17" t="e" cm="1">
        <f t="array" aca="1" ref="G103" ca="1">INDIRECT(""&amp;$E103 &amp; "!AP5")</f>
        <v>#VALUE!</v>
      </c>
      <c r="H103" s="172" t="e" cm="1">
        <f t="array" aca="1" ref="H103" ca="1">INDIRECT(""&amp;$E103 &amp; "!AQ5")</f>
        <v>#VALUE!</v>
      </c>
      <c r="I103" s="172" t="e" cm="1">
        <f t="array" aca="1" ref="I103" ca="1">INDIRECT(""&amp;$E103 &amp; "!AR5")</f>
        <v>#VALUE!</v>
      </c>
      <c r="J103" s="172" t="e" cm="1">
        <f t="array" aca="1" ref="J103" ca="1">INDIRECT(""&amp;$E103 &amp; "!AS5")</f>
        <v>#VALUE!</v>
      </c>
      <c r="K103" s="42" t="e" cm="1">
        <f t="array" aca="1" ref="K103" ca="1">INDIRECT(""&amp;$E103 &amp; "!AT5")</f>
        <v>#VALUE!</v>
      </c>
      <c r="L103" s="172" t="e" cm="1">
        <f t="array" aca="1" ref="L103" ca="1">INDIRECT(""&amp;$E103 &amp; "!AU5")</f>
        <v>#VALUE!</v>
      </c>
      <c r="M103" s="42" t="e" cm="1">
        <f t="array" aca="1" ref="M103" ca="1">INDIRECT(""&amp;$E103 &amp; "!AV5")</f>
        <v>#VALUE!</v>
      </c>
      <c r="N103" s="172" t="e" cm="1">
        <f t="array" aca="1" ref="N103" ca="1">INDIRECT(""&amp;$E103 &amp; "!AW5")</f>
        <v>#VALUE!</v>
      </c>
      <c r="O103" s="42" t="e" cm="1">
        <f t="array" aca="1" ref="O103" ca="1">INDIRECT(""&amp;$E103 &amp; "!AX5")</f>
        <v>#VALUE!</v>
      </c>
      <c r="P103" s="175" t="e" cm="1">
        <f t="array" aca="1" ref="P103" ca="1">INDIRECT(""&amp;$E103 &amp; "!AY5")</f>
        <v>#VALUE!</v>
      </c>
      <c r="Q103" s="124" cm="1">
        <f t="array" aca="1" ref="Q103" ca="1">INDIRECT(""&amp;$E103 &amp; "!AZ5")</f>
        <v>0</v>
      </c>
      <c r="R103" s="242" cm="1">
        <f t="array" aca="1" ref="R103" ca="1">INDIRECT(""&amp;$E103 &amp; "!BA5")</f>
        <v>0</v>
      </c>
    </row>
    <row r="104" spans="4:18" x14ac:dyDescent="0.2">
      <c r="D104" s="238"/>
      <c r="E104" s="235"/>
      <c r="F104" s="85" t="str" cm="1">
        <f t="array" aca="1" ref="F104" ca="1">INDIRECT(""&amp;$E103 &amp; "!AO7")</f>
        <v>Med</v>
      </c>
      <c r="G104" s="17" t="e" cm="1">
        <f t="array" aca="1" ref="G104" ca="1">INDIRECT(""&amp;$E103 &amp; "!AP7")</f>
        <v>#VALUE!</v>
      </c>
      <c r="H104" s="172"/>
      <c r="I104" s="172"/>
      <c r="J104" s="172"/>
      <c r="K104" s="42" t="e" cm="1">
        <f t="array" aca="1" ref="K104" ca="1">INDIRECT(""&amp;$E103 &amp; "!AT7")</f>
        <v>#VALUE!</v>
      </c>
      <c r="L104" s="172"/>
      <c r="M104" s="42" t="e" cm="1">
        <f t="array" aca="1" ref="M104" ca="1">INDIRECT(""&amp;$E103 &amp; "!AV7")</f>
        <v>#VALUE!</v>
      </c>
      <c r="N104" s="172"/>
      <c r="O104" s="42" t="e" cm="1">
        <f t="array" aca="1" ref="O104" ca="1">INDIRECT(""&amp;$E103 &amp; "!AX7")</f>
        <v>#VALUE!</v>
      </c>
      <c r="P104" s="175"/>
      <c r="Q104" s="125" cm="1">
        <f t="array" aca="1" ref="Q104" ca="1">INDIRECT(""&amp;$E103 &amp; "!AZ7")</f>
        <v>0</v>
      </c>
      <c r="R104" s="243"/>
    </row>
    <row r="105" spans="4:18" ht="17" thickBot="1" x14ac:dyDescent="0.25">
      <c r="D105" s="238"/>
      <c r="E105" s="236"/>
      <c r="F105" s="86" t="str" cm="1">
        <f t="array" aca="1" ref="F105" ca="1">INDIRECT(""&amp;$E103 &amp; "!AO9")</f>
        <v>Low</v>
      </c>
      <c r="G105" s="17" t="e" cm="1">
        <f t="array" aca="1" ref="G105" ca="1">INDIRECT(""&amp;$E103 &amp; "!AP9")</f>
        <v>#VALUE!</v>
      </c>
      <c r="H105" s="172"/>
      <c r="I105" s="172"/>
      <c r="J105" s="172"/>
      <c r="K105" s="42" t="e" cm="1">
        <f t="array" aca="1" ref="K105" ca="1">INDIRECT(""&amp;$E103 &amp; "!AT9")</f>
        <v>#VALUE!</v>
      </c>
      <c r="L105" s="172"/>
      <c r="M105" s="42" t="e" cm="1">
        <f t="array" aca="1" ref="M105" ca="1">INDIRECT(""&amp;$E103 &amp; "!AV9")</f>
        <v>#VALUE!</v>
      </c>
      <c r="N105" s="172"/>
      <c r="O105" s="42" t="e" cm="1">
        <f t="array" aca="1" ref="O105" ca="1">INDIRECT(""&amp;$E103 &amp; "!Ax9")</f>
        <v>#VALUE!</v>
      </c>
      <c r="P105" s="175"/>
      <c r="Q105" s="125" cm="1">
        <f t="array" aca="1" ref="Q105" ca="1">INDIRECT(""&amp;$E103 &amp; "!Az9")</f>
        <v>0</v>
      </c>
      <c r="R105" s="243"/>
    </row>
    <row r="106" spans="4:18" x14ac:dyDescent="0.2">
      <c r="D106" s="238"/>
      <c r="E106" s="234" t="str">
        <f>D23</f>
        <v>Tango</v>
      </c>
      <c r="F106" s="84" t="str" cm="1">
        <f t="array" aca="1" ref="F106" ca="1">INDIRECT(""&amp;$E106 &amp; "!AO5")</f>
        <v>High</v>
      </c>
      <c r="G106" s="17" t="e" cm="1">
        <f t="array" aca="1" ref="G106" ca="1">INDIRECT(""&amp;$E106 &amp; "!AP5")</f>
        <v>#VALUE!</v>
      </c>
      <c r="H106" s="172" t="e" cm="1">
        <f t="array" aca="1" ref="H106" ca="1">INDIRECT(""&amp;$E106 &amp; "!AQ5")</f>
        <v>#VALUE!</v>
      </c>
      <c r="I106" s="172" t="e" cm="1">
        <f t="array" aca="1" ref="I106" ca="1">INDIRECT(""&amp;$E106 &amp; "!AR5")</f>
        <v>#VALUE!</v>
      </c>
      <c r="J106" s="172" t="e" cm="1">
        <f t="array" aca="1" ref="J106" ca="1">INDIRECT(""&amp;$E106 &amp; "!AS5")</f>
        <v>#VALUE!</v>
      </c>
      <c r="K106" s="42" t="e" cm="1">
        <f t="array" aca="1" ref="K106" ca="1">INDIRECT(""&amp;$E106 &amp; "!AT5")</f>
        <v>#VALUE!</v>
      </c>
      <c r="L106" s="172" t="e" cm="1">
        <f t="array" aca="1" ref="L106" ca="1">INDIRECT(""&amp;$E106 &amp; "!AU5")</f>
        <v>#VALUE!</v>
      </c>
      <c r="M106" s="42" t="e" cm="1">
        <f t="array" aca="1" ref="M106" ca="1">INDIRECT(""&amp;$E106 &amp; "!AV5")</f>
        <v>#VALUE!</v>
      </c>
      <c r="N106" s="172" t="e" cm="1">
        <f t="array" aca="1" ref="N106" ca="1">INDIRECT(""&amp;$E106 &amp; "!AW5")</f>
        <v>#VALUE!</v>
      </c>
      <c r="O106" s="42" t="e" cm="1">
        <f t="array" aca="1" ref="O106" ca="1">INDIRECT(""&amp;$E106 &amp; "!AX5")</f>
        <v>#VALUE!</v>
      </c>
      <c r="P106" s="175" t="e" cm="1">
        <f t="array" aca="1" ref="P106" ca="1">INDIRECT(""&amp;$E106 &amp; "!AY5")</f>
        <v>#VALUE!</v>
      </c>
      <c r="Q106" s="124" cm="1">
        <f t="array" aca="1" ref="Q106" ca="1">INDIRECT(""&amp;$E106 &amp; "!AZ5")</f>
        <v>0</v>
      </c>
      <c r="R106" s="242" cm="1">
        <f t="array" aca="1" ref="R106" ca="1">INDIRECT(""&amp;$E106 &amp; "!BA5")</f>
        <v>0</v>
      </c>
    </row>
    <row r="107" spans="4:18" x14ac:dyDescent="0.2">
      <c r="D107" s="238"/>
      <c r="E107" s="235"/>
      <c r="F107" s="85" t="str" cm="1">
        <f t="array" aca="1" ref="F107" ca="1">INDIRECT(""&amp;$E106 &amp; "!AO7")</f>
        <v>Med</v>
      </c>
      <c r="G107" s="17" t="e" cm="1">
        <f t="array" aca="1" ref="G107" ca="1">INDIRECT(""&amp;$E106 &amp; "!AP7")</f>
        <v>#VALUE!</v>
      </c>
      <c r="H107" s="172"/>
      <c r="I107" s="172"/>
      <c r="J107" s="172"/>
      <c r="K107" s="42" t="e" cm="1">
        <f t="array" aca="1" ref="K107" ca="1">INDIRECT(""&amp;$E106 &amp; "!AT7")</f>
        <v>#VALUE!</v>
      </c>
      <c r="L107" s="172"/>
      <c r="M107" s="42" t="e" cm="1">
        <f t="array" aca="1" ref="M107" ca="1">INDIRECT(""&amp;$E106 &amp; "!AV7")</f>
        <v>#VALUE!</v>
      </c>
      <c r="N107" s="172"/>
      <c r="O107" s="42" t="e" cm="1">
        <f t="array" aca="1" ref="O107" ca="1">INDIRECT(""&amp;$E106 &amp; "!AX7")</f>
        <v>#VALUE!</v>
      </c>
      <c r="P107" s="175"/>
      <c r="Q107" s="125" cm="1">
        <f t="array" aca="1" ref="Q107" ca="1">INDIRECT(""&amp;$E106 &amp; "!AZ7")</f>
        <v>0</v>
      </c>
      <c r="R107" s="243"/>
    </row>
    <row r="108" spans="4:18" ht="17" thickBot="1" x14ac:dyDescent="0.25">
      <c r="D108" s="238"/>
      <c r="E108" s="236"/>
      <c r="F108" s="86" t="str" cm="1">
        <f t="array" aca="1" ref="F108" ca="1">INDIRECT(""&amp;$E106 &amp; "!AO9")</f>
        <v>Low</v>
      </c>
      <c r="G108" s="17" t="e" cm="1">
        <f t="array" aca="1" ref="G108" ca="1">INDIRECT(""&amp;$E106 &amp; "!AP9")</f>
        <v>#VALUE!</v>
      </c>
      <c r="H108" s="172"/>
      <c r="I108" s="172"/>
      <c r="J108" s="172"/>
      <c r="K108" s="42" t="e" cm="1">
        <f t="array" aca="1" ref="K108" ca="1">INDIRECT(""&amp;$E106 &amp; "!AT9")</f>
        <v>#VALUE!</v>
      </c>
      <c r="L108" s="172"/>
      <c r="M108" s="42" t="e" cm="1">
        <f t="array" aca="1" ref="M108" ca="1">INDIRECT(""&amp;$E106 &amp; "!AV9")</f>
        <v>#VALUE!</v>
      </c>
      <c r="N108" s="172"/>
      <c r="O108" s="42" t="e" cm="1">
        <f t="array" aca="1" ref="O108" ca="1">INDIRECT(""&amp;$E106 &amp; "!Ax9")</f>
        <v>#VALUE!</v>
      </c>
      <c r="P108" s="175"/>
      <c r="Q108" s="125" cm="1">
        <f t="array" aca="1" ref="Q108" ca="1">INDIRECT(""&amp;$E106 &amp; "!Az9")</f>
        <v>0</v>
      </c>
      <c r="R108" s="243"/>
    </row>
    <row r="109" spans="4:18" x14ac:dyDescent="0.2">
      <c r="D109" s="238"/>
      <c r="E109" s="234" t="str">
        <f>D26</f>
        <v>Timelapse</v>
      </c>
      <c r="F109" s="84" t="str" cm="1">
        <f t="array" aca="1" ref="F109" ca="1">INDIRECT(""&amp;$E109 &amp; "!AO5")</f>
        <v>High</v>
      </c>
      <c r="G109" s="17" t="e" cm="1">
        <f t="array" aca="1" ref="G109" ca="1">INDIRECT(""&amp;$E109 &amp; "!AP5")</f>
        <v>#VALUE!</v>
      </c>
      <c r="H109" s="172" t="e" cm="1">
        <f t="array" aca="1" ref="H109" ca="1">INDIRECT(""&amp;$E109 &amp; "!AQ5")</f>
        <v>#VALUE!</v>
      </c>
      <c r="I109" s="172" t="e" cm="1">
        <f t="array" aca="1" ref="I109" ca="1">INDIRECT(""&amp;$E109 &amp; "!AR5")</f>
        <v>#VALUE!</v>
      </c>
      <c r="J109" s="172" t="e" cm="1">
        <f t="array" aca="1" ref="J109" ca="1">INDIRECT(""&amp;$E109 &amp; "!AS5")</f>
        <v>#VALUE!</v>
      </c>
      <c r="K109" s="42" t="e" cm="1">
        <f t="array" aca="1" ref="K109" ca="1">INDIRECT(""&amp;$E109 &amp; "!AT5")</f>
        <v>#VALUE!</v>
      </c>
      <c r="L109" s="172" t="e" cm="1">
        <f t="array" aca="1" ref="L109" ca="1">INDIRECT(""&amp;$E109 &amp; "!AU5")</f>
        <v>#VALUE!</v>
      </c>
      <c r="M109" s="42" t="e" cm="1">
        <f t="array" aca="1" ref="M109" ca="1">INDIRECT(""&amp;$E109 &amp; "!AV5")</f>
        <v>#VALUE!</v>
      </c>
      <c r="N109" s="172" t="e" cm="1">
        <f t="array" aca="1" ref="N109" ca="1">INDIRECT(""&amp;$E109 &amp; "!AW5")</f>
        <v>#VALUE!</v>
      </c>
      <c r="O109" s="42" t="e" cm="1">
        <f t="array" aca="1" ref="O109" ca="1">INDIRECT(""&amp;$E109 &amp; "!AX5")</f>
        <v>#VALUE!</v>
      </c>
      <c r="P109" s="175" t="e" cm="1">
        <f t="array" aca="1" ref="P109" ca="1">INDIRECT(""&amp;$E109 &amp; "!AY5")</f>
        <v>#VALUE!</v>
      </c>
      <c r="Q109" s="124" cm="1">
        <f t="array" aca="1" ref="Q109" ca="1">INDIRECT(""&amp;$E109 &amp; "!AZ5")</f>
        <v>0</v>
      </c>
      <c r="R109" s="242" cm="1">
        <f t="array" aca="1" ref="R109" ca="1">INDIRECT(""&amp;$E109 &amp; "!BA5")</f>
        <v>0</v>
      </c>
    </row>
    <row r="110" spans="4:18" x14ac:dyDescent="0.2">
      <c r="D110" s="238"/>
      <c r="E110" s="235"/>
      <c r="F110" s="85" t="str" cm="1">
        <f t="array" aca="1" ref="F110" ca="1">INDIRECT(""&amp;$E109 &amp; "!AO7")</f>
        <v>Med</v>
      </c>
      <c r="G110" s="17" t="e" cm="1">
        <f t="array" aca="1" ref="G110" ca="1">INDIRECT(""&amp;$E109 &amp; "!AP7")</f>
        <v>#VALUE!</v>
      </c>
      <c r="H110" s="172"/>
      <c r="I110" s="172"/>
      <c r="J110" s="172"/>
      <c r="K110" s="42" t="e" cm="1">
        <f t="array" aca="1" ref="K110" ca="1">INDIRECT(""&amp;$E109 &amp; "!AT7")</f>
        <v>#VALUE!</v>
      </c>
      <c r="L110" s="172"/>
      <c r="M110" s="42" t="e" cm="1">
        <f t="array" aca="1" ref="M110" ca="1">INDIRECT(""&amp;$E109 &amp; "!AV7")</f>
        <v>#VALUE!</v>
      </c>
      <c r="N110" s="172"/>
      <c r="O110" s="42" t="e" cm="1">
        <f t="array" aca="1" ref="O110" ca="1">INDIRECT(""&amp;$E109 &amp; "!AX7")</f>
        <v>#VALUE!</v>
      </c>
      <c r="P110" s="175"/>
      <c r="Q110" s="125" cm="1">
        <f t="array" aca="1" ref="Q110" ca="1">INDIRECT(""&amp;$E109 &amp; "!AZ7")</f>
        <v>0</v>
      </c>
      <c r="R110" s="243"/>
    </row>
    <row r="111" spans="4:18" ht="17" thickBot="1" x14ac:dyDescent="0.25">
      <c r="D111" s="238"/>
      <c r="E111" s="235"/>
      <c r="F111" s="105" t="str" cm="1">
        <f t="array" aca="1" ref="F111" ca="1">INDIRECT(""&amp;$E109 &amp; "!AO9")</f>
        <v>Low</v>
      </c>
      <c r="G111" s="49" t="e" cm="1">
        <f t="array" aca="1" ref="G111" ca="1">INDIRECT(""&amp;$E109 &amp; "!AP9")</f>
        <v>#VALUE!</v>
      </c>
      <c r="H111" s="208"/>
      <c r="I111" s="208"/>
      <c r="J111" s="208"/>
      <c r="K111" s="101" t="e" cm="1">
        <f t="array" aca="1" ref="K111" ca="1">INDIRECT(""&amp;$E109 &amp; "!AT9")</f>
        <v>#VALUE!</v>
      </c>
      <c r="L111" s="208"/>
      <c r="M111" s="101" t="e" cm="1">
        <f t="array" aca="1" ref="M111" ca="1">INDIRECT(""&amp;$E109 &amp; "!AV9")</f>
        <v>#VALUE!</v>
      </c>
      <c r="N111" s="208"/>
      <c r="O111" s="101" t="e" cm="1">
        <f t="array" aca="1" ref="O111" ca="1">INDIRECT(""&amp;$E109 &amp; "!Ax9")</f>
        <v>#VALUE!</v>
      </c>
      <c r="P111" s="218"/>
      <c r="Q111" s="125" cm="1">
        <f t="array" aca="1" ref="Q111" ca="1">INDIRECT(""&amp;$E109 &amp; "!Az9")</f>
        <v>0</v>
      </c>
      <c r="R111" s="243"/>
    </row>
    <row r="112" spans="4:18" x14ac:dyDescent="0.2">
      <c r="D112" s="238"/>
      <c r="E112" s="234" t="s">
        <v>98</v>
      </c>
      <c r="F112" s="84" t="s">
        <v>27</v>
      </c>
      <c r="G112" s="44" t="e">
        <f ca="1">AVERAGE(G88,G91,G94,G97,G100,G103,G106,G109)</f>
        <v>#VALUE!</v>
      </c>
      <c r="H112" s="171" t="e">
        <f ca="1">AVERAGE(H88:H111)</f>
        <v>#VALUE!</v>
      </c>
      <c r="I112" s="171" t="e">
        <f ca="1">AVERAGE(I88:I111)</f>
        <v>#VALUE!</v>
      </c>
      <c r="J112" s="171" t="e">
        <f ca="1">AVERAGE(J88:J111)</f>
        <v>#VALUE!</v>
      </c>
      <c r="K112" s="56" t="e">
        <f ca="1">AVERAGE(K88,K91,K94,K97,K100,K103,K106,K109)</f>
        <v>#VALUE!</v>
      </c>
      <c r="L112" s="171" t="e">
        <f ca="1">AVERAGE(L88:L111)</f>
        <v>#VALUE!</v>
      </c>
      <c r="M112" s="56" t="e">
        <f ca="1">AVERAGE(M88,M91,M94,M97,M100,M103,M106,M109)</f>
        <v>#VALUE!</v>
      </c>
      <c r="N112" s="171" t="e">
        <f ca="1">AVERAGE(N88:N111)</f>
        <v>#VALUE!</v>
      </c>
      <c r="O112" s="56" t="e">
        <f ca="1">AVERAGE(O88,O91,O94,O97,O100,O103,O106,O109)</f>
        <v>#VALUE!</v>
      </c>
      <c r="P112" s="174" t="e">
        <f ca="1">AVERAGE(P88:P111)</f>
        <v>#VALUE!</v>
      </c>
      <c r="Q112" s="120">
        <f ca="1">SUM(Q88,Q91,Q94,Q97,Q100,Q103,Q106,Q109)</f>
        <v>0</v>
      </c>
      <c r="R112" s="211">
        <f ca="1">SUM(R88:R111)</f>
        <v>0</v>
      </c>
    </row>
    <row r="113" spans="4:18" x14ac:dyDescent="0.2">
      <c r="D113" s="238"/>
      <c r="E113" s="235"/>
      <c r="F113" s="85" t="s">
        <v>28</v>
      </c>
      <c r="G113" s="17" t="e">
        <f ca="1">AVERAGE(G89,G92,G95,G98,G101,G104,G107,G110)</f>
        <v>#VALUE!</v>
      </c>
      <c r="H113" s="172"/>
      <c r="I113" s="172"/>
      <c r="J113" s="172"/>
      <c r="K113" s="42" t="e">
        <f ca="1">AVERAGE(K89,K92,K95,K98,K101,K104,K107,K110)</f>
        <v>#VALUE!</v>
      </c>
      <c r="L113" s="172"/>
      <c r="M113" s="42" t="e">
        <f ca="1">AVERAGE(M89,M92,M95,M98,M101,M104,M107,M110)</f>
        <v>#VALUE!</v>
      </c>
      <c r="N113" s="172"/>
      <c r="O113" s="42" t="e">
        <f ca="1">AVERAGE(O89,O92,O95,O98,O101,O104,O107,O110)</f>
        <v>#VALUE!</v>
      </c>
      <c r="P113" s="175"/>
      <c r="Q113" s="121">
        <f ca="1">SUM(Q89,Q92,Q95,Q98,Q101,Q104,Q107,Q110)</f>
        <v>0</v>
      </c>
      <c r="R113" s="212"/>
    </row>
    <row r="114" spans="4:18" ht="17" thickBot="1" x14ac:dyDescent="0.25">
      <c r="D114" s="239"/>
      <c r="E114" s="236"/>
      <c r="F114" s="86" t="s">
        <v>29</v>
      </c>
      <c r="G114" s="47" t="e">
        <f ca="1">AVERAGE(G90,G93,G96,G99,G102,G105,G108,G111)</f>
        <v>#VALUE!</v>
      </c>
      <c r="H114" s="173"/>
      <c r="I114" s="173"/>
      <c r="J114" s="173"/>
      <c r="K114" s="57" t="e">
        <f ca="1">AVERAGE(K90,K93,K96,K99,K102,K105,K108,K111)</f>
        <v>#VALUE!</v>
      </c>
      <c r="L114" s="173"/>
      <c r="M114" s="57" t="e">
        <f ca="1">AVERAGE(M90,M93,M96,M99,M102,M105,M108,M111)</f>
        <v>#VALUE!</v>
      </c>
      <c r="N114" s="173"/>
      <c r="O114" s="57" t="e">
        <f ca="1">AVERAGE(O90,O93,O96,O99,O102,O105,O108,O111)</f>
        <v>#VALUE!</v>
      </c>
      <c r="P114" s="188"/>
      <c r="Q114" s="122">
        <f ca="1">SUM(Q90,Q93,Q96,Q99,Q102,Q105,Q108,Q111)</f>
        <v>0</v>
      </c>
      <c r="R114" s="240"/>
    </row>
    <row r="115" spans="4:18" ht="17" thickBot="1" x14ac:dyDescent="0.25">
      <c r="D115" s="88"/>
      <c r="E115" s="89"/>
      <c r="F115" s="112"/>
      <c r="G115" s="102"/>
      <c r="H115" s="83"/>
      <c r="I115" s="83"/>
      <c r="J115" s="83"/>
      <c r="K115" s="100"/>
      <c r="L115" s="83"/>
      <c r="M115" s="100"/>
      <c r="N115" s="83"/>
      <c r="O115" s="100"/>
      <c r="P115" s="113"/>
    </row>
    <row r="116" spans="4:18" x14ac:dyDescent="0.2">
      <c r="D116" s="237" t="str">
        <f>BoxingPractice!A11</f>
        <v>2560x1440</v>
      </c>
      <c r="E116" s="234" t="str">
        <f>E88</f>
        <v>BoxingPractice</v>
      </c>
      <c r="F116" s="84" t="str" cm="1">
        <f t="array" aca="1" ref="F116" ca="1">INDIRECT(""&amp;$E116 &amp; "!AO11")</f>
        <v>High</v>
      </c>
      <c r="G116" s="44" t="e" cm="1">
        <f t="array" aca="1" ref="G116" ca="1">INDIRECT(""&amp;$E116 &amp; "!AP11")</f>
        <v>#VALUE!</v>
      </c>
      <c r="H116" s="171" t="e" cm="1">
        <f t="array" aca="1" ref="H116" ca="1">INDIRECT(""&amp;$E116 &amp; "!AQ11")</f>
        <v>#VALUE!</v>
      </c>
      <c r="I116" s="171" t="e" cm="1">
        <f t="array" aca="1" ref="I116" ca="1">INDIRECT(""&amp;$E116 &amp; "!AR11")</f>
        <v>#VALUE!</v>
      </c>
      <c r="J116" s="171" t="e" cm="1">
        <f t="array" aca="1" ref="J116" ca="1">INDIRECT(""&amp;$E116 &amp; "!AS11")</f>
        <v>#VALUE!</v>
      </c>
      <c r="K116" s="56" t="e" cm="1">
        <f t="array" aca="1" ref="K116" ca="1">INDIRECT(""&amp;$E116 &amp; "!AT11")</f>
        <v>#VALUE!</v>
      </c>
      <c r="L116" s="171" t="e" cm="1">
        <f t="array" aca="1" ref="L116" ca="1">INDIRECT(""&amp;$E116 &amp; "!AU11")</f>
        <v>#VALUE!</v>
      </c>
      <c r="M116" s="56" t="e" cm="1">
        <f t="array" aca="1" ref="M116" ca="1">INDIRECT(""&amp;$E116 &amp; "!AV11")</f>
        <v>#VALUE!</v>
      </c>
      <c r="N116" s="171" t="e" cm="1">
        <f t="array" aca="1" ref="N116" ca="1">INDIRECT(""&amp;$E116 &amp; "!AW11")</f>
        <v>#VALUE!</v>
      </c>
      <c r="O116" s="56" t="e" cm="1">
        <f t="array" aca="1" ref="O116" ca="1">INDIRECT(""&amp;$E116 &amp; "!AX11")</f>
        <v>#VALUE!</v>
      </c>
      <c r="P116" s="175" t="e" cm="1">
        <f t="array" aca="1" ref="P116" ca="1">INDIRECT(""&amp;$E116 &amp; "!AY11")</f>
        <v>#VALUE!</v>
      </c>
      <c r="Q116" s="120" cm="1">
        <f t="array" aca="1" ref="Q116" ca="1">INDIRECT(""&amp;$E116 &amp; "!AZ11")</f>
        <v>0</v>
      </c>
      <c r="R116" s="212" cm="1">
        <f t="array" aca="1" ref="R116" ca="1">INDIRECT(""&amp;$E116 &amp; "!BA11")</f>
        <v>0</v>
      </c>
    </row>
    <row r="117" spans="4:18" x14ac:dyDescent="0.2">
      <c r="D117" s="238"/>
      <c r="E117" s="235"/>
      <c r="F117" s="85" t="str" cm="1">
        <f t="array" aca="1" ref="F117" ca="1">INDIRECT(""&amp;$E116 &amp; "!AO13")</f>
        <v>Med</v>
      </c>
      <c r="G117" s="17" t="e" cm="1">
        <f t="array" aca="1" ref="G117" ca="1">INDIRECT(""&amp;$E116 &amp; "!AP13")</f>
        <v>#VALUE!</v>
      </c>
      <c r="H117" s="172"/>
      <c r="I117" s="172"/>
      <c r="J117" s="172"/>
      <c r="K117" s="42" t="e" cm="1">
        <f t="array" aca="1" ref="K117" ca="1">INDIRECT(""&amp;$E116 &amp; "!AT13")</f>
        <v>#VALUE!</v>
      </c>
      <c r="L117" s="172"/>
      <c r="M117" s="42" t="e" cm="1">
        <f t="array" aca="1" ref="M117" ca="1">INDIRECT(""&amp;$E116 &amp; "!AV13")</f>
        <v>#VALUE!</v>
      </c>
      <c r="N117" s="172"/>
      <c r="O117" s="42" t="e" cm="1">
        <f t="array" aca="1" ref="O117" ca="1">INDIRECT(""&amp;$E116 &amp; "!AX13")</f>
        <v>#VALUE!</v>
      </c>
      <c r="P117" s="175"/>
      <c r="Q117" s="121" cm="1">
        <f t="array" aca="1" ref="Q117" ca="1">INDIRECT(""&amp;$E116 &amp; "!AZ13")</f>
        <v>0</v>
      </c>
      <c r="R117" s="212"/>
    </row>
    <row r="118" spans="4:18" ht="17" thickBot="1" x14ac:dyDescent="0.25">
      <c r="D118" s="238"/>
      <c r="E118" s="236"/>
      <c r="F118" s="86" t="str" cm="1">
        <f t="array" aca="1" ref="F118" ca="1">INDIRECT(""&amp;$E116 &amp; "!AO15")</f>
        <v>Low</v>
      </c>
      <c r="G118" s="17" t="e" cm="1">
        <f t="array" aca="1" ref="G118" ca="1">INDIRECT(""&amp;$E116 &amp; "!AP15")</f>
        <v>#VALUE!</v>
      </c>
      <c r="H118" s="172"/>
      <c r="I118" s="172"/>
      <c r="J118" s="172"/>
      <c r="K118" s="42" t="e" cm="1">
        <f t="array" aca="1" ref="K118" ca="1">INDIRECT(""&amp;$E116 &amp; "!AT15")</f>
        <v>#VALUE!</v>
      </c>
      <c r="L118" s="172"/>
      <c r="M118" s="42" t="e" cm="1">
        <f t="array" aca="1" ref="M118" ca="1">INDIRECT(""&amp;$E116 &amp; "!AV15")</f>
        <v>#VALUE!</v>
      </c>
      <c r="N118" s="172"/>
      <c r="O118" s="42" t="e" cm="1">
        <f t="array" aca="1" ref="O118" ca="1">INDIRECT(""&amp;$E116 &amp; "!Ax15")</f>
        <v>#VALUE!</v>
      </c>
      <c r="P118" s="175"/>
      <c r="Q118" s="121" cm="1">
        <f t="array" aca="1" ref="Q118" ca="1">INDIRECT(""&amp;$E116 &amp; "!Az15")</f>
        <v>0</v>
      </c>
      <c r="R118" s="212"/>
    </row>
    <row r="119" spans="4:18" x14ac:dyDescent="0.2">
      <c r="D119" s="238"/>
      <c r="E119" s="234" t="str">
        <f>E91</f>
        <v>CrossWalk</v>
      </c>
      <c r="F119" s="84" t="str" cm="1">
        <f t="array" aca="1" ref="F119" ca="1">INDIRECT(""&amp;$E119 &amp; "!AO11")</f>
        <v>High</v>
      </c>
      <c r="G119" s="17" t="e" cm="1">
        <f t="array" aca="1" ref="G119" ca="1">INDIRECT(""&amp;$E119 &amp; "!AP11")</f>
        <v>#VALUE!</v>
      </c>
      <c r="H119" s="172" t="e" cm="1">
        <f t="array" aca="1" ref="H119" ca="1">INDIRECT(""&amp;$E119 &amp; "!AQ11")</f>
        <v>#VALUE!</v>
      </c>
      <c r="I119" s="172" t="e" cm="1">
        <f t="array" aca="1" ref="I119" ca="1">INDIRECT(""&amp;$E119 &amp; "!AR11")</f>
        <v>#VALUE!</v>
      </c>
      <c r="J119" s="172" t="e" cm="1">
        <f t="array" aca="1" ref="J119" ca="1">INDIRECT(""&amp;$E119 &amp; "!AS11")</f>
        <v>#VALUE!</v>
      </c>
      <c r="K119" s="42" t="e" cm="1">
        <f t="array" aca="1" ref="K119" ca="1">INDIRECT(""&amp;$E119 &amp; "!AT11")</f>
        <v>#VALUE!</v>
      </c>
      <c r="L119" s="172" t="e" cm="1">
        <f t="array" aca="1" ref="L119" ca="1">INDIRECT(""&amp;$E119 &amp; "!AU11")</f>
        <v>#VALUE!</v>
      </c>
      <c r="M119" s="42" t="e" cm="1">
        <f t="array" aca="1" ref="M119" ca="1">INDIRECT(""&amp;$E119 &amp; "!AV11")</f>
        <v>#VALUE!</v>
      </c>
      <c r="N119" s="172" t="e" cm="1">
        <f t="array" aca="1" ref="N119" ca="1">INDIRECT(""&amp;$E119 &amp; "!AW11")</f>
        <v>#VALUE!</v>
      </c>
      <c r="O119" s="42" t="e" cm="1">
        <f t="array" aca="1" ref="O119" ca="1">INDIRECT(""&amp;$E119 &amp; "!AX11")</f>
        <v>#VALUE!</v>
      </c>
      <c r="P119" s="175" t="e" cm="1">
        <f t="array" aca="1" ref="P119" ca="1">INDIRECT(""&amp;$E119 &amp; "!AY11")</f>
        <v>#VALUE!</v>
      </c>
      <c r="Q119" s="120" cm="1">
        <f t="array" aca="1" ref="Q119" ca="1">INDIRECT(""&amp;$E119 &amp; "!AZ11")</f>
        <v>0</v>
      </c>
      <c r="R119" s="212" cm="1">
        <f t="array" aca="1" ref="R119" ca="1">INDIRECT(""&amp;$E119 &amp; "!BA11")</f>
        <v>0</v>
      </c>
    </row>
    <row r="120" spans="4:18" x14ac:dyDescent="0.2">
      <c r="D120" s="238"/>
      <c r="E120" s="235"/>
      <c r="F120" s="85" t="str" cm="1">
        <f t="array" aca="1" ref="F120" ca="1">INDIRECT(""&amp;$E119 &amp; "!AO13")</f>
        <v>Med</v>
      </c>
      <c r="G120" s="17" t="e" cm="1">
        <f t="array" aca="1" ref="G120" ca="1">INDIRECT(""&amp;$E119 &amp; "!AP13")</f>
        <v>#VALUE!</v>
      </c>
      <c r="H120" s="172"/>
      <c r="I120" s="172"/>
      <c r="J120" s="172"/>
      <c r="K120" s="42" t="e" cm="1">
        <f t="array" aca="1" ref="K120" ca="1">INDIRECT(""&amp;$E119 &amp; "!AT13")</f>
        <v>#VALUE!</v>
      </c>
      <c r="L120" s="172"/>
      <c r="M120" s="42" t="e" cm="1">
        <f t="array" aca="1" ref="M120" ca="1">INDIRECT(""&amp;$E119 &amp; "!AV13")</f>
        <v>#VALUE!</v>
      </c>
      <c r="N120" s="172"/>
      <c r="O120" s="42" t="e" cm="1">
        <f t="array" aca="1" ref="O120" ca="1">INDIRECT(""&amp;$E119 &amp; "!AX13")</f>
        <v>#VALUE!</v>
      </c>
      <c r="P120" s="175"/>
      <c r="Q120" s="121" cm="1">
        <f t="array" aca="1" ref="Q120" ca="1">INDIRECT(""&amp;$E119 &amp; "!AZ13")</f>
        <v>0</v>
      </c>
      <c r="R120" s="212"/>
    </row>
    <row r="121" spans="4:18" ht="17" thickBot="1" x14ac:dyDescent="0.25">
      <c r="D121" s="238"/>
      <c r="E121" s="236"/>
      <c r="F121" s="86" t="str" cm="1">
        <f t="array" aca="1" ref="F121" ca="1">INDIRECT(""&amp;$E119 &amp; "!AO15")</f>
        <v>Low</v>
      </c>
      <c r="G121" s="17" t="e" cm="1">
        <f t="array" aca="1" ref="G121" ca="1">INDIRECT(""&amp;$E119 &amp; "!AP15")</f>
        <v>#VALUE!</v>
      </c>
      <c r="H121" s="172"/>
      <c r="I121" s="172"/>
      <c r="J121" s="172"/>
      <c r="K121" s="42" t="e" cm="1">
        <f t="array" aca="1" ref="K121" ca="1">INDIRECT(""&amp;$E119 &amp; "!AT15")</f>
        <v>#VALUE!</v>
      </c>
      <c r="L121" s="172"/>
      <c r="M121" s="42" t="e" cm="1">
        <f t="array" aca="1" ref="M121" ca="1">INDIRECT(""&amp;$E119 &amp; "!AV15")</f>
        <v>#VALUE!</v>
      </c>
      <c r="N121" s="172"/>
      <c r="O121" s="42" t="e" cm="1">
        <f t="array" aca="1" ref="O121" ca="1">INDIRECT(""&amp;$E119 &amp; "!Ax15")</f>
        <v>#VALUE!</v>
      </c>
      <c r="P121" s="175"/>
      <c r="Q121" s="121" cm="1">
        <f t="array" aca="1" ref="Q121" ca="1">INDIRECT(""&amp;$E119 &amp; "!Az15")</f>
        <v>0</v>
      </c>
      <c r="R121" s="212"/>
    </row>
    <row r="122" spans="4:18" x14ac:dyDescent="0.2">
      <c r="D122" s="238"/>
      <c r="E122" s="234" t="str">
        <f>E94</f>
        <v>FoodMarket2</v>
      </c>
      <c r="F122" s="84" t="str" cm="1">
        <f t="array" aca="1" ref="F122" ca="1">INDIRECT(""&amp;$E122 &amp; "!AO11")</f>
        <v>High</v>
      </c>
      <c r="G122" s="17" t="e" cm="1">
        <f t="array" aca="1" ref="G122" ca="1">INDIRECT(""&amp;$E122 &amp; "!AP11")</f>
        <v>#VALUE!</v>
      </c>
      <c r="H122" s="172" t="e" cm="1">
        <f t="array" aca="1" ref="H122" ca="1">INDIRECT(""&amp;$E122 &amp; "!AQ11")</f>
        <v>#VALUE!</v>
      </c>
      <c r="I122" s="172" t="e" cm="1">
        <f t="array" aca="1" ref="I122" ca="1">INDIRECT(""&amp;$E122 &amp; "!AR11")</f>
        <v>#VALUE!</v>
      </c>
      <c r="J122" s="172" t="e" cm="1">
        <f t="array" aca="1" ref="J122" ca="1">INDIRECT(""&amp;$E122 &amp; "!AS11")</f>
        <v>#VALUE!</v>
      </c>
      <c r="K122" s="42" t="e" cm="1">
        <f t="array" aca="1" ref="K122" ca="1">INDIRECT(""&amp;$E122 &amp; "!AT11")</f>
        <v>#VALUE!</v>
      </c>
      <c r="L122" s="172" t="e" cm="1">
        <f t="array" aca="1" ref="L122" ca="1">INDIRECT(""&amp;$E122 &amp; "!AU11")</f>
        <v>#VALUE!</v>
      </c>
      <c r="M122" s="42" t="e" cm="1">
        <f t="array" aca="1" ref="M122" ca="1">INDIRECT(""&amp;$E122 &amp; "!AV11")</f>
        <v>#VALUE!</v>
      </c>
      <c r="N122" s="172" t="e" cm="1">
        <f t="array" aca="1" ref="N122" ca="1">INDIRECT(""&amp;$E122 &amp; "!AW11")</f>
        <v>#VALUE!</v>
      </c>
      <c r="O122" s="42" t="e" cm="1">
        <f t="array" aca="1" ref="O122" ca="1">INDIRECT(""&amp;$E122 &amp; "!AX11")</f>
        <v>#VALUE!</v>
      </c>
      <c r="P122" s="175" t="e" cm="1">
        <f t="array" aca="1" ref="P122" ca="1">INDIRECT(""&amp;$E122 &amp; "!AY11")</f>
        <v>#VALUE!</v>
      </c>
      <c r="Q122" s="120" cm="1">
        <f t="array" aca="1" ref="Q122" ca="1">INDIRECT(""&amp;$E122 &amp; "!AZ11")</f>
        <v>0</v>
      </c>
      <c r="R122" s="212" cm="1">
        <f t="array" aca="1" ref="R122" ca="1">INDIRECT(""&amp;$E122 &amp; "!BA11")</f>
        <v>0</v>
      </c>
    </row>
    <row r="123" spans="4:18" x14ac:dyDescent="0.2">
      <c r="D123" s="238"/>
      <c r="E123" s="235"/>
      <c r="F123" s="85" t="str" cm="1">
        <f t="array" aca="1" ref="F123" ca="1">INDIRECT(""&amp;$E122 &amp; "!AO13")</f>
        <v>Med</v>
      </c>
      <c r="G123" s="17" t="e" cm="1">
        <f t="array" aca="1" ref="G123" ca="1">INDIRECT(""&amp;$E122 &amp; "!AP13")</f>
        <v>#VALUE!</v>
      </c>
      <c r="H123" s="172"/>
      <c r="I123" s="172"/>
      <c r="J123" s="172"/>
      <c r="K123" s="42" t="e" cm="1">
        <f t="array" aca="1" ref="K123" ca="1">INDIRECT(""&amp;$E122 &amp; "!AT13")</f>
        <v>#VALUE!</v>
      </c>
      <c r="L123" s="172"/>
      <c r="M123" s="42" t="e" cm="1">
        <f t="array" aca="1" ref="M123" ca="1">INDIRECT(""&amp;$E122 &amp; "!AV13")</f>
        <v>#VALUE!</v>
      </c>
      <c r="N123" s="172"/>
      <c r="O123" s="42" t="e" cm="1">
        <f t="array" aca="1" ref="O123" ca="1">INDIRECT(""&amp;$E122 &amp; "!AX13")</f>
        <v>#VALUE!</v>
      </c>
      <c r="P123" s="175"/>
      <c r="Q123" s="121" cm="1">
        <f t="array" aca="1" ref="Q123" ca="1">INDIRECT(""&amp;$E122 &amp; "!AZ13")</f>
        <v>0</v>
      </c>
      <c r="R123" s="212"/>
    </row>
    <row r="124" spans="4:18" ht="17" thickBot="1" x14ac:dyDescent="0.25">
      <c r="D124" s="238"/>
      <c r="E124" s="236"/>
      <c r="F124" s="86" t="str" cm="1">
        <f t="array" aca="1" ref="F124" ca="1">INDIRECT(""&amp;$E122 &amp; "!AO15")</f>
        <v>Low</v>
      </c>
      <c r="G124" s="17" t="e" cm="1">
        <f t="array" aca="1" ref="G124" ca="1">INDIRECT(""&amp;$E122 &amp; "!AP15")</f>
        <v>#VALUE!</v>
      </c>
      <c r="H124" s="172"/>
      <c r="I124" s="172"/>
      <c r="J124" s="172"/>
      <c r="K124" s="42" t="e" cm="1">
        <f t="array" aca="1" ref="K124" ca="1">INDIRECT(""&amp;$E122 &amp; "!AT15")</f>
        <v>#VALUE!</v>
      </c>
      <c r="L124" s="172"/>
      <c r="M124" s="42" t="e" cm="1">
        <f t="array" aca="1" ref="M124" ca="1">INDIRECT(""&amp;$E122 &amp; "!AV15")</f>
        <v>#VALUE!</v>
      </c>
      <c r="N124" s="172"/>
      <c r="O124" s="42" t="e" cm="1">
        <f t="array" aca="1" ref="O124" ca="1">INDIRECT(""&amp;$E122 &amp; "!Ax15")</f>
        <v>#VALUE!</v>
      </c>
      <c r="P124" s="175"/>
      <c r="Q124" s="121" cm="1">
        <f t="array" aca="1" ref="Q124" ca="1">INDIRECT(""&amp;$E122 &amp; "!Az15")</f>
        <v>0</v>
      </c>
      <c r="R124" s="212"/>
    </row>
    <row r="125" spans="4:18" x14ac:dyDescent="0.2">
      <c r="D125" s="238"/>
      <c r="E125" s="234" t="str">
        <f>E97</f>
        <v>Neon1224</v>
      </c>
      <c r="F125" s="84" t="str" cm="1">
        <f t="array" aca="1" ref="F125" ca="1">INDIRECT(""&amp;$E125 &amp; "!AO11")</f>
        <v>High</v>
      </c>
      <c r="G125" s="17" t="e" cm="1">
        <f t="array" aca="1" ref="G125" ca="1">INDIRECT(""&amp;$E125 &amp; "!AP11")</f>
        <v>#VALUE!</v>
      </c>
      <c r="H125" s="172" t="e" cm="1">
        <f t="array" aca="1" ref="H125" ca="1">INDIRECT(""&amp;$E125 &amp; "!AQ11")</f>
        <v>#VALUE!</v>
      </c>
      <c r="I125" s="172" t="e" cm="1">
        <f t="array" aca="1" ref="I125" ca="1">INDIRECT(""&amp;$E125 &amp; "!AR11")</f>
        <v>#VALUE!</v>
      </c>
      <c r="J125" s="172" t="e" cm="1">
        <f t="array" aca="1" ref="J125" ca="1">INDIRECT(""&amp;$E125 &amp; "!AS11")</f>
        <v>#VALUE!</v>
      </c>
      <c r="K125" s="42" t="e" cm="1">
        <f t="array" aca="1" ref="K125" ca="1">INDIRECT(""&amp;$E125 &amp; "!AT11")</f>
        <v>#VALUE!</v>
      </c>
      <c r="L125" s="172" t="e" cm="1">
        <f t="array" aca="1" ref="L125" ca="1">INDIRECT(""&amp;$E125 &amp; "!AU11")</f>
        <v>#VALUE!</v>
      </c>
      <c r="M125" s="42" t="e" cm="1">
        <f t="array" aca="1" ref="M125" ca="1">INDIRECT(""&amp;$E125 &amp; "!AV11")</f>
        <v>#VALUE!</v>
      </c>
      <c r="N125" s="172" t="e" cm="1">
        <f t="array" aca="1" ref="N125" ca="1">INDIRECT(""&amp;$E125 &amp; "!AW11")</f>
        <v>#VALUE!</v>
      </c>
      <c r="O125" s="42" t="e" cm="1">
        <f t="array" aca="1" ref="O125" ca="1">INDIRECT(""&amp;$E125 &amp; "!AX11")</f>
        <v>#VALUE!</v>
      </c>
      <c r="P125" s="175" t="e" cm="1">
        <f t="array" aca="1" ref="P125" ca="1">INDIRECT(""&amp;$E125 &amp; "!AY11")</f>
        <v>#VALUE!</v>
      </c>
      <c r="Q125" s="120" cm="1">
        <f t="array" aca="1" ref="Q125" ca="1">INDIRECT(""&amp;$E125 &amp; "!AZ11")</f>
        <v>0</v>
      </c>
      <c r="R125" s="212" cm="1">
        <f t="array" aca="1" ref="R125" ca="1">INDIRECT(""&amp;$E125 &amp; "!BA11")</f>
        <v>0</v>
      </c>
    </row>
    <row r="126" spans="4:18" x14ac:dyDescent="0.2">
      <c r="D126" s="238"/>
      <c r="E126" s="235"/>
      <c r="F126" s="85" t="str" cm="1">
        <f t="array" aca="1" ref="F126" ca="1">INDIRECT(""&amp;$E125 &amp; "!AO13")</f>
        <v>Med</v>
      </c>
      <c r="G126" s="17" t="e" cm="1">
        <f t="array" aca="1" ref="G126" ca="1">INDIRECT(""&amp;$E125 &amp; "!AP13")</f>
        <v>#VALUE!</v>
      </c>
      <c r="H126" s="172"/>
      <c r="I126" s="172"/>
      <c r="J126" s="172"/>
      <c r="K126" s="42" t="e" cm="1">
        <f t="array" aca="1" ref="K126" ca="1">INDIRECT(""&amp;$E125 &amp; "!AT13")</f>
        <v>#VALUE!</v>
      </c>
      <c r="L126" s="172"/>
      <c r="M126" s="42" t="e" cm="1">
        <f t="array" aca="1" ref="M126" ca="1">INDIRECT(""&amp;$E125 &amp; "!AV13")</f>
        <v>#VALUE!</v>
      </c>
      <c r="N126" s="172"/>
      <c r="O126" s="42" t="e" cm="1">
        <f t="array" aca="1" ref="O126" ca="1">INDIRECT(""&amp;$E125 &amp; "!AX13")</f>
        <v>#VALUE!</v>
      </c>
      <c r="P126" s="175"/>
      <c r="Q126" s="121" cm="1">
        <f t="array" aca="1" ref="Q126" ca="1">INDIRECT(""&amp;$E125 &amp; "!AZ13")</f>
        <v>0</v>
      </c>
      <c r="R126" s="212"/>
    </row>
    <row r="127" spans="4:18" ht="17" thickBot="1" x14ac:dyDescent="0.25">
      <c r="D127" s="238"/>
      <c r="E127" s="236"/>
      <c r="F127" s="86" t="str" cm="1">
        <f t="array" aca="1" ref="F127" ca="1">INDIRECT(""&amp;$E125 &amp; "!AO15")</f>
        <v>Low</v>
      </c>
      <c r="G127" s="17" t="e" cm="1">
        <f t="array" aca="1" ref="G127" ca="1">INDIRECT(""&amp;$E125 &amp; "!AP15")</f>
        <v>#VALUE!</v>
      </c>
      <c r="H127" s="172"/>
      <c r="I127" s="172"/>
      <c r="J127" s="172"/>
      <c r="K127" s="42" t="e" cm="1">
        <f t="array" aca="1" ref="K127" ca="1">INDIRECT(""&amp;$E125 &amp; "!AT15")</f>
        <v>#VALUE!</v>
      </c>
      <c r="L127" s="172"/>
      <c r="M127" s="42" t="e" cm="1">
        <f t="array" aca="1" ref="M127" ca="1">INDIRECT(""&amp;$E125 &amp; "!AV15")</f>
        <v>#VALUE!</v>
      </c>
      <c r="N127" s="172"/>
      <c r="O127" s="42" t="e" cm="1">
        <f t="array" aca="1" ref="O127" ca="1">INDIRECT(""&amp;$E125 &amp; "!Ax15")</f>
        <v>#VALUE!</v>
      </c>
      <c r="P127" s="175"/>
      <c r="Q127" s="121" cm="1">
        <f t="array" aca="1" ref="Q127" ca="1">INDIRECT(""&amp;$E125 &amp; "!Az15")</f>
        <v>0</v>
      </c>
      <c r="R127" s="212"/>
    </row>
    <row r="128" spans="4:18" x14ac:dyDescent="0.2">
      <c r="D128" s="238"/>
      <c r="E128" s="234" t="str">
        <f>E100</f>
        <v>NocturneDance</v>
      </c>
      <c r="F128" s="84" t="str" cm="1">
        <f t="array" aca="1" ref="F128" ca="1">INDIRECT(""&amp;$E128 &amp; "!AO11")</f>
        <v>High</v>
      </c>
      <c r="G128" s="17" t="e" cm="1">
        <f t="array" aca="1" ref="G128" ca="1">INDIRECT(""&amp;$E128 &amp; "!AP11")</f>
        <v>#VALUE!</v>
      </c>
      <c r="H128" s="172" t="e" cm="1">
        <f t="array" aca="1" ref="H128" ca="1">INDIRECT(""&amp;$E128 &amp; "!AQ11")</f>
        <v>#VALUE!</v>
      </c>
      <c r="I128" s="172" t="e" cm="1">
        <f t="array" aca="1" ref="I128" ca="1">INDIRECT(""&amp;$E128 &amp; "!AR11")</f>
        <v>#VALUE!</v>
      </c>
      <c r="J128" s="172" t="e" cm="1">
        <f t="array" aca="1" ref="J128" ca="1">INDIRECT(""&amp;$E128 &amp; "!AS11")</f>
        <v>#VALUE!</v>
      </c>
      <c r="K128" s="42" t="e" cm="1">
        <f t="array" aca="1" ref="K128" ca="1">INDIRECT(""&amp;$E128 &amp; "!AT11")</f>
        <v>#VALUE!</v>
      </c>
      <c r="L128" s="172" t="e" cm="1">
        <f t="array" aca="1" ref="L128" ca="1">INDIRECT(""&amp;$E128 &amp; "!AU11")</f>
        <v>#VALUE!</v>
      </c>
      <c r="M128" s="42" t="e" cm="1">
        <f t="array" aca="1" ref="M128" ca="1">INDIRECT(""&amp;$E128 &amp; "!AV11")</f>
        <v>#VALUE!</v>
      </c>
      <c r="N128" s="172" t="e" cm="1">
        <f t="array" aca="1" ref="N128" ca="1">INDIRECT(""&amp;$E128 &amp; "!AW11")</f>
        <v>#VALUE!</v>
      </c>
      <c r="O128" s="42" t="e" cm="1">
        <f t="array" aca="1" ref="O128" ca="1">INDIRECT(""&amp;$E128 &amp; "!AX11")</f>
        <v>#VALUE!</v>
      </c>
      <c r="P128" s="175" t="e" cm="1">
        <f t="array" aca="1" ref="P128" ca="1">INDIRECT(""&amp;$E128 &amp; "!AY11")</f>
        <v>#VALUE!</v>
      </c>
      <c r="Q128" s="120" cm="1">
        <f t="array" aca="1" ref="Q128" ca="1">INDIRECT(""&amp;$E128 &amp; "!AZ11")</f>
        <v>0</v>
      </c>
      <c r="R128" s="212" cm="1">
        <f t="array" aca="1" ref="R128" ca="1">INDIRECT(""&amp;$E128 &amp; "!BA11")</f>
        <v>0</v>
      </c>
    </row>
    <row r="129" spans="4:18" x14ac:dyDescent="0.2">
      <c r="D129" s="238"/>
      <c r="E129" s="235"/>
      <c r="F129" s="85" t="str" cm="1">
        <f t="array" aca="1" ref="F129" ca="1">INDIRECT(""&amp;$E128 &amp; "!AO13")</f>
        <v>Med</v>
      </c>
      <c r="G129" s="17" t="e" cm="1">
        <f t="array" aca="1" ref="G129" ca="1">INDIRECT(""&amp;$E128 &amp; "!AP13")</f>
        <v>#VALUE!</v>
      </c>
      <c r="H129" s="172"/>
      <c r="I129" s="172"/>
      <c r="J129" s="172"/>
      <c r="K129" s="42" t="e" cm="1">
        <f t="array" aca="1" ref="K129" ca="1">INDIRECT(""&amp;$E128 &amp; "!AT13")</f>
        <v>#VALUE!</v>
      </c>
      <c r="L129" s="172"/>
      <c r="M129" s="42" t="e" cm="1">
        <f t="array" aca="1" ref="M129" ca="1">INDIRECT(""&amp;$E128 &amp; "!AV13")</f>
        <v>#VALUE!</v>
      </c>
      <c r="N129" s="172"/>
      <c r="O129" s="42" t="e" cm="1">
        <f t="array" aca="1" ref="O129" ca="1">INDIRECT(""&amp;$E128 &amp; "!AX13")</f>
        <v>#VALUE!</v>
      </c>
      <c r="P129" s="175"/>
      <c r="Q129" s="121" cm="1">
        <f t="array" aca="1" ref="Q129" ca="1">INDIRECT(""&amp;$E128 &amp; "!AZ13")</f>
        <v>0</v>
      </c>
      <c r="R129" s="212"/>
    </row>
    <row r="130" spans="4:18" ht="17" thickBot="1" x14ac:dyDescent="0.25">
      <c r="D130" s="238"/>
      <c r="E130" s="236"/>
      <c r="F130" s="86" t="str" cm="1">
        <f t="array" aca="1" ref="F130" ca="1">INDIRECT(""&amp;$E128 &amp; "!AO15")</f>
        <v>Low</v>
      </c>
      <c r="G130" s="17" t="e" cm="1">
        <f t="array" aca="1" ref="G130" ca="1">INDIRECT(""&amp;$E128 &amp; "!AP15")</f>
        <v>#VALUE!</v>
      </c>
      <c r="H130" s="172"/>
      <c r="I130" s="172"/>
      <c r="J130" s="172"/>
      <c r="K130" s="42" t="e" cm="1">
        <f t="array" aca="1" ref="K130" ca="1">INDIRECT(""&amp;$E128 &amp; "!AT15")</f>
        <v>#VALUE!</v>
      </c>
      <c r="L130" s="172"/>
      <c r="M130" s="42" t="e" cm="1">
        <f t="array" aca="1" ref="M130" ca="1">INDIRECT(""&amp;$E128 &amp; "!AV15")</f>
        <v>#VALUE!</v>
      </c>
      <c r="N130" s="172"/>
      <c r="O130" s="42" t="e" cm="1">
        <f t="array" aca="1" ref="O130" ca="1">INDIRECT(""&amp;$E128 &amp; "!Ax15")</f>
        <v>#VALUE!</v>
      </c>
      <c r="P130" s="175"/>
      <c r="Q130" s="121" cm="1">
        <f t="array" aca="1" ref="Q130" ca="1">INDIRECT(""&amp;$E128 &amp; "!Az15")</f>
        <v>0</v>
      </c>
      <c r="R130" s="212"/>
    </row>
    <row r="131" spans="4:18" x14ac:dyDescent="0.2">
      <c r="D131" s="238"/>
      <c r="E131" s="234" t="str">
        <f>E103</f>
        <v>PierSeaside</v>
      </c>
      <c r="F131" s="84" t="str" cm="1">
        <f t="array" aca="1" ref="F131" ca="1">INDIRECT(""&amp;$E131 &amp; "!AO11")</f>
        <v>High</v>
      </c>
      <c r="G131" s="17" t="e" cm="1">
        <f t="array" aca="1" ref="G131" ca="1">INDIRECT(""&amp;$E131 &amp; "!AP11")</f>
        <v>#VALUE!</v>
      </c>
      <c r="H131" s="172" t="e" cm="1">
        <f t="array" aca="1" ref="H131" ca="1">INDIRECT(""&amp;$E131 &amp; "!AQ11")</f>
        <v>#VALUE!</v>
      </c>
      <c r="I131" s="172" t="e" cm="1">
        <f t="array" aca="1" ref="I131" ca="1">INDIRECT(""&amp;$E131 &amp; "!AR11")</f>
        <v>#VALUE!</v>
      </c>
      <c r="J131" s="172" t="e" cm="1">
        <f t="array" aca="1" ref="J131" ca="1">INDIRECT(""&amp;$E131 &amp; "!AS11")</f>
        <v>#VALUE!</v>
      </c>
      <c r="K131" s="42" t="e" cm="1">
        <f t="array" aca="1" ref="K131" ca="1">INDIRECT(""&amp;$E131 &amp; "!AT11")</f>
        <v>#VALUE!</v>
      </c>
      <c r="L131" s="172" t="e" cm="1">
        <f t="array" aca="1" ref="L131" ca="1">INDIRECT(""&amp;$E131 &amp; "!AU11")</f>
        <v>#VALUE!</v>
      </c>
      <c r="M131" s="42" t="e" cm="1">
        <f t="array" aca="1" ref="M131" ca="1">INDIRECT(""&amp;$E131 &amp; "!AV11")</f>
        <v>#VALUE!</v>
      </c>
      <c r="N131" s="172" t="e" cm="1">
        <f t="array" aca="1" ref="N131" ca="1">INDIRECT(""&amp;$E131 &amp; "!AW11")</f>
        <v>#VALUE!</v>
      </c>
      <c r="O131" s="42" t="e" cm="1">
        <f t="array" aca="1" ref="O131" ca="1">INDIRECT(""&amp;$E131 &amp; "!AX11")</f>
        <v>#VALUE!</v>
      </c>
      <c r="P131" s="175" t="e" cm="1">
        <f t="array" aca="1" ref="P131" ca="1">INDIRECT(""&amp;$E131 &amp; "!AY11")</f>
        <v>#VALUE!</v>
      </c>
      <c r="Q131" s="120" cm="1">
        <f t="array" aca="1" ref="Q131" ca="1">INDIRECT(""&amp;$E131 &amp; "!AZ11")</f>
        <v>0</v>
      </c>
      <c r="R131" s="212" cm="1">
        <f t="array" aca="1" ref="R131" ca="1">INDIRECT(""&amp;$E131 &amp; "!BA11")</f>
        <v>0</v>
      </c>
    </row>
    <row r="132" spans="4:18" x14ac:dyDescent="0.2">
      <c r="D132" s="238"/>
      <c r="E132" s="235"/>
      <c r="F132" s="85" t="str" cm="1">
        <f t="array" aca="1" ref="F132" ca="1">INDIRECT(""&amp;$E131 &amp; "!AO13")</f>
        <v>Med</v>
      </c>
      <c r="G132" s="17" t="e" cm="1">
        <f t="array" aca="1" ref="G132" ca="1">INDIRECT(""&amp;$E131 &amp; "!AP13")</f>
        <v>#VALUE!</v>
      </c>
      <c r="H132" s="172"/>
      <c r="I132" s="172"/>
      <c r="J132" s="172"/>
      <c r="K132" s="42" t="e" cm="1">
        <f t="array" aca="1" ref="K132" ca="1">INDIRECT(""&amp;$E131 &amp; "!AT13")</f>
        <v>#VALUE!</v>
      </c>
      <c r="L132" s="172"/>
      <c r="M132" s="42" t="e" cm="1">
        <f t="array" aca="1" ref="M132" ca="1">INDIRECT(""&amp;$E131 &amp; "!AV13")</f>
        <v>#VALUE!</v>
      </c>
      <c r="N132" s="172"/>
      <c r="O132" s="42" t="e" cm="1">
        <f t="array" aca="1" ref="O132" ca="1">INDIRECT(""&amp;$E131 &amp; "!AX13")</f>
        <v>#VALUE!</v>
      </c>
      <c r="P132" s="175"/>
      <c r="Q132" s="121" cm="1">
        <f t="array" aca="1" ref="Q132" ca="1">INDIRECT(""&amp;$E131 &amp; "!AZ13")</f>
        <v>0</v>
      </c>
      <c r="R132" s="212"/>
    </row>
    <row r="133" spans="4:18" ht="17" thickBot="1" x14ac:dyDescent="0.25">
      <c r="D133" s="238"/>
      <c r="E133" s="236"/>
      <c r="F133" s="86" t="str" cm="1">
        <f t="array" aca="1" ref="F133" ca="1">INDIRECT(""&amp;$E131 &amp; "!AO15")</f>
        <v>Low</v>
      </c>
      <c r="G133" s="17" t="e" cm="1">
        <f t="array" aca="1" ref="G133" ca="1">INDIRECT(""&amp;$E131 &amp; "!AP15")</f>
        <v>#VALUE!</v>
      </c>
      <c r="H133" s="172"/>
      <c r="I133" s="172"/>
      <c r="J133" s="172"/>
      <c r="K133" s="42" t="e" cm="1">
        <f t="array" aca="1" ref="K133" ca="1">INDIRECT(""&amp;$E131 &amp; "!AT15")</f>
        <v>#VALUE!</v>
      </c>
      <c r="L133" s="172"/>
      <c r="M133" s="42" t="e" cm="1">
        <f t="array" aca="1" ref="M133" ca="1">INDIRECT(""&amp;$E131 &amp; "!AV15")</f>
        <v>#VALUE!</v>
      </c>
      <c r="N133" s="172"/>
      <c r="O133" s="42" t="e" cm="1">
        <f t="array" aca="1" ref="O133" ca="1">INDIRECT(""&amp;$E131 &amp; "!Ax15")</f>
        <v>#VALUE!</v>
      </c>
      <c r="P133" s="175"/>
      <c r="Q133" s="121" cm="1">
        <f t="array" aca="1" ref="Q133" ca="1">INDIRECT(""&amp;$E131 &amp; "!Az15")</f>
        <v>0</v>
      </c>
      <c r="R133" s="212"/>
    </row>
    <row r="134" spans="4:18" x14ac:dyDescent="0.2">
      <c r="D134" s="238"/>
      <c r="E134" s="234" t="str">
        <f>E106</f>
        <v>Tango</v>
      </c>
      <c r="F134" s="84" t="str" cm="1">
        <f t="array" aca="1" ref="F134" ca="1">INDIRECT(""&amp;$E134 &amp; "!AO11")</f>
        <v>High</v>
      </c>
      <c r="G134" s="17" t="e" cm="1">
        <f t="array" aca="1" ref="G134" ca="1">INDIRECT(""&amp;$E134 &amp; "!AP11")</f>
        <v>#VALUE!</v>
      </c>
      <c r="H134" s="172" t="e" cm="1">
        <f t="array" aca="1" ref="H134" ca="1">INDIRECT(""&amp;$E134 &amp; "!AQ11")</f>
        <v>#VALUE!</v>
      </c>
      <c r="I134" s="172" t="e" cm="1">
        <f t="array" aca="1" ref="I134" ca="1">INDIRECT(""&amp;$E134 &amp; "!AR11")</f>
        <v>#VALUE!</v>
      </c>
      <c r="J134" s="172" t="e" cm="1">
        <f t="array" aca="1" ref="J134" ca="1">INDIRECT(""&amp;$E134 &amp; "!AS11")</f>
        <v>#VALUE!</v>
      </c>
      <c r="K134" s="42" t="e" cm="1">
        <f t="array" aca="1" ref="K134" ca="1">INDIRECT(""&amp;$E134 &amp; "!AT11")</f>
        <v>#VALUE!</v>
      </c>
      <c r="L134" s="172" t="e" cm="1">
        <f t="array" aca="1" ref="L134" ca="1">INDIRECT(""&amp;$E134 &amp; "!AU11")</f>
        <v>#VALUE!</v>
      </c>
      <c r="M134" s="42" t="e" cm="1">
        <f t="array" aca="1" ref="M134" ca="1">INDIRECT(""&amp;$E134 &amp; "!AV11")</f>
        <v>#VALUE!</v>
      </c>
      <c r="N134" s="172" t="e" cm="1">
        <f t="array" aca="1" ref="N134" ca="1">INDIRECT(""&amp;$E134 &amp; "!AW11")</f>
        <v>#VALUE!</v>
      </c>
      <c r="O134" s="42" t="e" cm="1">
        <f t="array" aca="1" ref="O134" ca="1">INDIRECT(""&amp;$E134 &amp; "!AX11")</f>
        <v>#VALUE!</v>
      </c>
      <c r="P134" s="175" t="e" cm="1">
        <f t="array" aca="1" ref="P134" ca="1">INDIRECT(""&amp;$E134 &amp; "!AY11")</f>
        <v>#VALUE!</v>
      </c>
      <c r="Q134" s="120" cm="1">
        <f t="array" aca="1" ref="Q134" ca="1">INDIRECT(""&amp;$E134 &amp; "!AZ11")</f>
        <v>0</v>
      </c>
      <c r="R134" s="212" cm="1">
        <f t="array" aca="1" ref="R134" ca="1">INDIRECT(""&amp;$E134 &amp; "!BA11")</f>
        <v>0</v>
      </c>
    </row>
    <row r="135" spans="4:18" x14ac:dyDescent="0.2">
      <c r="D135" s="238"/>
      <c r="E135" s="235"/>
      <c r="F135" s="85" t="str" cm="1">
        <f t="array" aca="1" ref="F135" ca="1">INDIRECT(""&amp;$E134 &amp; "!AO13")</f>
        <v>Med</v>
      </c>
      <c r="G135" s="17" t="e" cm="1">
        <f t="array" aca="1" ref="G135" ca="1">INDIRECT(""&amp;$E134 &amp; "!AP13")</f>
        <v>#VALUE!</v>
      </c>
      <c r="H135" s="172"/>
      <c r="I135" s="172"/>
      <c r="J135" s="172"/>
      <c r="K135" s="42" t="e" cm="1">
        <f t="array" aca="1" ref="K135" ca="1">INDIRECT(""&amp;$E134 &amp; "!AT13")</f>
        <v>#VALUE!</v>
      </c>
      <c r="L135" s="172"/>
      <c r="M135" s="42" t="e" cm="1">
        <f t="array" aca="1" ref="M135" ca="1">INDIRECT(""&amp;$E134 &amp; "!AV13")</f>
        <v>#VALUE!</v>
      </c>
      <c r="N135" s="172"/>
      <c r="O135" s="42" t="e" cm="1">
        <f t="array" aca="1" ref="O135" ca="1">INDIRECT(""&amp;$E134 &amp; "!AX13")</f>
        <v>#VALUE!</v>
      </c>
      <c r="P135" s="175"/>
      <c r="Q135" s="121" cm="1">
        <f t="array" aca="1" ref="Q135" ca="1">INDIRECT(""&amp;$E134 &amp; "!AZ13")</f>
        <v>0</v>
      </c>
      <c r="R135" s="212"/>
    </row>
    <row r="136" spans="4:18" ht="17" thickBot="1" x14ac:dyDescent="0.25">
      <c r="D136" s="238"/>
      <c r="E136" s="236"/>
      <c r="F136" s="86" t="str" cm="1">
        <f t="array" aca="1" ref="F136" ca="1">INDIRECT(""&amp;$E134 &amp; "!AO15")</f>
        <v>Low</v>
      </c>
      <c r="G136" s="17" t="e" cm="1">
        <f t="array" aca="1" ref="G136" ca="1">INDIRECT(""&amp;$E134 &amp; "!AP15")</f>
        <v>#VALUE!</v>
      </c>
      <c r="H136" s="172"/>
      <c r="I136" s="172"/>
      <c r="J136" s="172"/>
      <c r="K136" s="42" t="e" cm="1">
        <f t="array" aca="1" ref="K136" ca="1">INDIRECT(""&amp;$E134 &amp; "!AT15")</f>
        <v>#VALUE!</v>
      </c>
      <c r="L136" s="172"/>
      <c r="M136" s="42" t="e" cm="1">
        <f t="array" aca="1" ref="M136" ca="1">INDIRECT(""&amp;$E134 &amp; "!AV15")</f>
        <v>#VALUE!</v>
      </c>
      <c r="N136" s="172"/>
      <c r="O136" s="42" t="e" cm="1">
        <f t="array" aca="1" ref="O136" ca="1">INDIRECT(""&amp;$E134 &amp; "!Ax15")</f>
        <v>#VALUE!</v>
      </c>
      <c r="P136" s="175"/>
      <c r="Q136" s="121" cm="1">
        <f t="array" aca="1" ref="Q136" ca="1">INDIRECT(""&amp;$E134 &amp; "!Az15")</f>
        <v>0</v>
      </c>
      <c r="R136" s="212"/>
    </row>
    <row r="137" spans="4:18" x14ac:dyDescent="0.2">
      <c r="D137" s="238"/>
      <c r="E137" s="234" t="str">
        <f>E109</f>
        <v>Timelapse</v>
      </c>
      <c r="F137" s="84" t="str" cm="1">
        <f t="array" aca="1" ref="F137" ca="1">INDIRECT(""&amp;$E137 &amp; "!AO11")</f>
        <v>High</v>
      </c>
      <c r="G137" s="17" t="e" cm="1">
        <f t="array" aca="1" ref="G137" ca="1">INDIRECT(""&amp;$E137 &amp; "!AP11")</f>
        <v>#VALUE!</v>
      </c>
      <c r="H137" s="172" t="e" cm="1">
        <f t="array" aca="1" ref="H137" ca="1">INDIRECT(""&amp;$E137 &amp; "!AQ11")</f>
        <v>#VALUE!</v>
      </c>
      <c r="I137" s="172" t="e" cm="1">
        <f t="array" aca="1" ref="I137" ca="1">INDIRECT(""&amp;$E137 &amp; "!AR11")</f>
        <v>#VALUE!</v>
      </c>
      <c r="J137" s="172" t="e" cm="1">
        <f t="array" aca="1" ref="J137" ca="1">INDIRECT(""&amp;$E137 &amp; "!AS11")</f>
        <v>#VALUE!</v>
      </c>
      <c r="K137" s="42" t="e" cm="1">
        <f t="array" aca="1" ref="K137" ca="1">INDIRECT(""&amp;$E137 &amp; "!AT11")</f>
        <v>#VALUE!</v>
      </c>
      <c r="L137" s="172" t="e" cm="1">
        <f t="array" aca="1" ref="L137" ca="1">INDIRECT(""&amp;$E137 &amp; "!AU11")</f>
        <v>#VALUE!</v>
      </c>
      <c r="M137" s="42" t="e" cm="1">
        <f t="array" aca="1" ref="M137" ca="1">INDIRECT(""&amp;$E137 &amp; "!AV11")</f>
        <v>#VALUE!</v>
      </c>
      <c r="N137" s="172" t="e" cm="1">
        <f t="array" aca="1" ref="N137" ca="1">INDIRECT(""&amp;$E137 &amp; "!AW11")</f>
        <v>#VALUE!</v>
      </c>
      <c r="O137" s="42" t="e" cm="1">
        <f t="array" aca="1" ref="O137" ca="1">INDIRECT(""&amp;$E137 &amp; "!AX11")</f>
        <v>#VALUE!</v>
      </c>
      <c r="P137" s="175" t="e" cm="1">
        <f t="array" aca="1" ref="P137" ca="1">INDIRECT(""&amp;$E137 &amp; "!AY11")</f>
        <v>#VALUE!</v>
      </c>
      <c r="Q137" s="120" cm="1">
        <f t="array" aca="1" ref="Q137" ca="1">INDIRECT(""&amp;$E137 &amp; "!AZ11")</f>
        <v>0</v>
      </c>
      <c r="R137" s="212" cm="1">
        <f t="array" aca="1" ref="R137" ca="1">INDIRECT(""&amp;$E137 &amp; "!BA11")</f>
        <v>0</v>
      </c>
    </row>
    <row r="138" spans="4:18" x14ac:dyDescent="0.2">
      <c r="D138" s="238"/>
      <c r="E138" s="235"/>
      <c r="F138" s="85" t="str" cm="1">
        <f t="array" aca="1" ref="F138" ca="1">INDIRECT(""&amp;$E137 &amp; "!AO13")</f>
        <v>Med</v>
      </c>
      <c r="G138" s="17" t="e" cm="1">
        <f t="array" aca="1" ref="G138" ca="1">INDIRECT(""&amp;$E137 &amp; "!AP13")</f>
        <v>#VALUE!</v>
      </c>
      <c r="H138" s="172"/>
      <c r="I138" s="172"/>
      <c r="J138" s="172"/>
      <c r="K138" s="42" t="e" cm="1">
        <f t="array" aca="1" ref="K138" ca="1">INDIRECT(""&amp;$E137 &amp; "!AT13")</f>
        <v>#VALUE!</v>
      </c>
      <c r="L138" s="172"/>
      <c r="M138" s="42" t="e" cm="1">
        <f t="array" aca="1" ref="M138" ca="1">INDIRECT(""&amp;$E137 &amp; "!AV13")</f>
        <v>#VALUE!</v>
      </c>
      <c r="N138" s="172"/>
      <c r="O138" s="42" t="e" cm="1">
        <f t="array" aca="1" ref="O138" ca="1">INDIRECT(""&amp;$E137 &amp; "!AX13")</f>
        <v>#VALUE!</v>
      </c>
      <c r="P138" s="175"/>
      <c r="Q138" s="121" cm="1">
        <f t="array" aca="1" ref="Q138" ca="1">INDIRECT(""&amp;$E137 &amp; "!AZ13")</f>
        <v>0</v>
      </c>
      <c r="R138" s="212"/>
    </row>
    <row r="139" spans="4:18" ht="17" thickBot="1" x14ac:dyDescent="0.25">
      <c r="D139" s="238"/>
      <c r="E139" s="235"/>
      <c r="F139" s="105" t="str" cm="1">
        <f t="array" aca="1" ref="F139" ca="1">INDIRECT(""&amp;$E137 &amp; "!AO15")</f>
        <v>Low</v>
      </c>
      <c r="G139" s="49" t="e" cm="1">
        <f t="array" aca="1" ref="G139" ca="1">INDIRECT(""&amp;$E137 &amp; "!AP15")</f>
        <v>#VALUE!</v>
      </c>
      <c r="H139" s="208"/>
      <c r="I139" s="208"/>
      <c r="J139" s="208"/>
      <c r="K139" s="101" t="e" cm="1">
        <f t="array" aca="1" ref="K139" ca="1">INDIRECT(""&amp;$E137 &amp; "!AT15")</f>
        <v>#VALUE!</v>
      </c>
      <c r="L139" s="208"/>
      <c r="M139" s="101" t="e" cm="1">
        <f t="array" aca="1" ref="M139" ca="1">INDIRECT(""&amp;$E137 &amp; "!AV15")</f>
        <v>#VALUE!</v>
      </c>
      <c r="N139" s="208"/>
      <c r="O139" s="101" t="e" cm="1">
        <f t="array" aca="1" ref="O139" ca="1">INDIRECT(""&amp;$E137 &amp; "!Ax15")</f>
        <v>#VALUE!</v>
      </c>
      <c r="P139" s="218"/>
      <c r="Q139" s="121" cm="1">
        <f t="array" aca="1" ref="Q139" ca="1">INDIRECT(""&amp;$E137 &amp; "!Az15")</f>
        <v>0</v>
      </c>
      <c r="R139" s="212"/>
    </row>
    <row r="140" spans="4:18" x14ac:dyDescent="0.2">
      <c r="D140" s="238"/>
      <c r="E140" s="234" t="s">
        <v>98</v>
      </c>
      <c r="F140" s="84" t="s">
        <v>27</v>
      </c>
      <c r="G140" s="44" t="e">
        <f ca="1">AVERAGE(G116,G119,G122,G125,G128,G131,G134,G137)</f>
        <v>#VALUE!</v>
      </c>
      <c r="H140" s="171" t="e">
        <f ca="1">AVERAGE(H116:H139)</f>
        <v>#VALUE!</v>
      </c>
      <c r="I140" s="171" t="e">
        <f ca="1">AVERAGE(I116:I139)</f>
        <v>#VALUE!</v>
      </c>
      <c r="J140" s="171" t="e">
        <f ca="1">AVERAGE(J116:J139)</f>
        <v>#VALUE!</v>
      </c>
      <c r="K140" s="56" t="e">
        <f ca="1">AVERAGE(K116,K119,K122,K125,K128,K131,K134,K137)</f>
        <v>#VALUE!</v>
      </c>
      <c r="L140" s="171" t="e">
        <f ca="1">AVERAGE(L116:L139)</f>
        <v>#VALUE!</v>
      </c>
      <c r="M140" s="56" t="e">
        <f ca="1">AVERAGE(M116,M119,M122,M125,M128,M131,M134,M137)</f>
        <v>#VALUE!</v>
      </c>
      <c r="N140" s="171" t="e">
        <f ca="1">AVERAGE(N116:N139)</f>
        <v>#VALUE!</v>
      </c>
      <c r="O140" s="56" t="e">
        <f ca="1">AVERAGE(O116,O119,O122,O125,O128,O131,O134,O137)</f>
        <v>#VALUE!</v>
      </c>
      <c r="P140" s="174" t="e">
        <f ca="1">AVERAGE(P116:P139)</f>
        <v>#VALUE!</v>
      </c>
      <c r="Q140" s="120">
        <f ca="1">SUM(Q116,Q119,Q122,Q125,Q128,Q131,Q134,Q137)</f>
        <v>0</v>
      </c>
      <c r="R140" s="211">
        <f ca="1">SUM(R116:R139)</f>
        <v>0</v>
      </c>
    </row>
    <row r="141" spans="4:18" x14ac:dyDescent="0.2">
      <c r="D141" s="238"/>
      <c r="E141" s="235"/>
      <c r="F141" s="85" t="s">
        <v>28</v>
      </c>
      <c r="G141" s="17" t="e">
        <f ca="1">AVERAGE(G117,G120,G123,G126,G129,G132,G135,G138)</f>
        <v>#VALUE!</v>
      </c>
      <c r="H141" s="172"/>
      <c r="I141" s="172"/>
      <c r="J141" s="172"/>
      <c r="K141" s="42" t="e">
        <f ca="1">AVERAGE(K117,K120,K123,K126,K129,K132,K135,K138)</f>
        <v>#VALUE!</v>
      </c>
      <c r="L141" s="172"/>
      <c r="M141" s="42" t="e">
        <f ca="1">AVERAGE(M117,M120,M123,M126,M129,M132,M135,M138)</f>
        <v>#VALUE!</v>
      </c>
      <c r="N141" s="172"/>
      <c r="O141" s="42" t="e">
        <f ca="1">AVERAGE(O117,O120,O123,O126,O129,O132,O135,O138)</f>
        <v>#VALUE!</v>
      </c>
      <c r="P141" s="175"/>
      <c r="Q141" s="121">
        <f ca="1">SUM(Q117,Q120,Q123,Q126,Q129,Q132,Q135,Q138)</f>
        <v>0</v>
      </c>
      <c r="R141" s="212"/>
    </row>
    <row r="142" spans="4:18" ht="17" thickBot="1" x14ac:dyDescent="0.25">
      <c r="D142" s="239"/>
      <c r="E142" s="236"/>
      <c r="F142" s="86" t="s">
        <v>29</v>
      </c>
      <c r="G142" s="47" t="e">
        <f ca="1">AVERAGE(G118,G121,G124,G127,G130,G133,G136,G139)</f>
        <v>#VALUE!</v>
      </c>
      <c r="H142" s="173"/>
      <c r="I142" s="173"/>
      <c r="J142" s="173"/>
      <c r="K142" s="57" t="e">
        <f ca="1">AVERAGE(K118,K121,K124,K127,K130,K133,K136,K139)</f>
        <v>#VALUE!</v>
      </c>
      <c r="L142" s="173"/>
      <c r="M142" s="57" t="e">
        <f ca="1">AVERAGE(M118,M121,M124,M127,M130,M133,M136,M139)</f>
        <v>#VALUE!</v>
      </c>
      <c r="N142" s="173"/>
      <c r="O142" s="57" t="e">
        <f ca="1">AVERAGE(O118,O121,O124,O127,O130,O133,O136,O139)</f>
        <v>#VALUE!</v>
      </c>
      <c r="P142" s="188"/>
      <c r="Q142" s="122">
        <f ca="1">SUM(Q118,Q121,Q124,Q127,Q130,Q133,Q136,Q139)</f>
        <v>0</v>
      </c>
      <c r="R142" s="240"/>
    </row>
    <row r="143" spans="4:18" ht="17" thickBot="1" x14ac:dyDescent="0.25">
      <c r="D143" s="88"/>
      <c r="E143" s="89"/>
      <c r="F143" s="112"/>
      <c r="G143" s="102"/>
      <c r="H143" s="83"/>
      <c r="I143" s="83"/>
      <c r="J143" s="83"/>
      <c r="K143" s="100"/>
      <c r="L143" s="83"/>
      <c r="M143" s="100"/>
      <c r="N143" s="83"/>
      <c r="O143" s="100"/>
      <c r="P143" s="113"/>
    </row>
    <row r="144" spans="4:18" x14ac:dyDescent="0.2">
      <c r="D144" s="237" t="str">
        <f>BoxingPractice!A17</f>
        <v>1920x1080</v>
      </c>
      <c r="E144" s="234" t="str">
        <f>D5</f>
        <v>BoxingPractice</v>
      </c>
      <c r="F144" s="84" t="str" cm="1">
        <f t="array" aca="1" ref="F144" ca="1">INDIRECT(""&amp;$E88 &amp; "!AO17")</f>
        <v>High</v>
      </c>
      <c r="G144" s="44" t="e" cm="1">
        <f t="array" aca="1" ref="G144" ca="1">INDIRECT(""&amp;$E88 &amp; "!AP17")</f>
        <v>#VALUE!</v>
      </c>
      <c r="H144" s="171" t="e" cm="1">
        <f t="array" aca="1" ref="H144" ca="1">INDIRECT(""&amp;$E88 &amp; "!AQ17")</f>
        <v>#VALUE!</v>
      </c>
      <c r="I144" s="171" t="e" cm="1">
        <f t="array" aca="1" ref="I144" ca="1">INDIRECT(""&amp;$E88 &amp; "!AR17")</f>
        <v>#VALUE!</v>
      </c>
      <c r="J144" s="171" t="e" cm="1">
        <f t="array" aca="1" ref="J144" ca="1">INDIRECT(""&amp;$E88 &amp; "!AS17")</f>
        <v>#VALUE!</v>
      </c>
      <c r="K144" s="56" t="e" cm="1">
        <f t="array" aca="1" ref="K144" ca="1">INDIRECT(""&amp;$E88 &amp; "!AT17")</f>
        <v>#VALUE!</v>
      </c>
      <c r="L144" s="171" t="e" cm="1">
        <f t="array" aca="1" ref="L144" ca="1">INDIRECT(""&amp;$E88 &amp; "!AU17")</f>
        <v>#VALUE!</v>
      </c>
      <c r="M144" s="56" t="e" cm="1">
        <f t="array" aca="1" ref="M144" ca="1">INDIRECT(""&amp;$E88 &amp; "!AV17")</f>
        <v>#VALUE!</v>
      </c>
      <c r="N144" s="171" t="e" cm="1">
        <f t="array" aca="1" ref="N144" ca="1">INDIRECT(""&amp;$E88 &amp; "!AW17")</f>
        <v>#VALUE!</v>
      </c>
      <c r="O144" s="56" t="e" cm="1">
        <f t="array" aca="1" ref="O144" ca="1">INDIRECT(""&amp;$E88 &amp; "!AX17")</f>
        <v>#VALUE!</v>
      </c>
      <c r="P144" s="174" t="e" cm="1">
        <f t="array" aca="1" ref="P144" ca="1">INDIRECT(""&amp;$E88 &amp; "!AY17")</f>
        <v>#VALUE!</v>
      </c>
      <c r="Q144" s="120" cm="1">
        <f t="array" aca="1" ref="Q144" ca="1">INDIRECT(""&amp;$E88 &amp; "!AZ17")</f>
        <v>0</v>
      </c>
      <c r="R144" s="211" cm="1">
        <f t="array" aca="1" ref="R144" ca="1">INDIRECT(""&amp;$E88 &amp; "!BA17")</f>
        <v>0</v>
      </c>
    </row>
    <row r="145" spans="4:18" x14ac:dyDescent="0.2">
      <c r="D145" s="238"/>
      <c r="E145" s="235"/>
      <c r="F145" s="85" t="str" cm="1">
        <f t="array" aca="1" ref="F145" ca="1">INDIRECT(""&amp;$E88 &amp; "!AO19")</f>
        <v>Med</v>
      </c>
      <c r="G145" s="17" t="e" cm="1">
        <f t="array" aca="1" ref="G145" ca="1">INDIRECT(""&amp;$E88 &amp; "!AP19")</f>
        <v>#VALUE!</v>
      </c>
      <c r="H145" s="172"/>
      <c r="I145" s="172"/>
      <c r="J145" s="172"/>
      <c r="K145" s="42" t="e" cm="1">
        <f t="array" aca="1" ref="K145" ca="1">INDIRECT(""&amp;$E88 &amp; "!AT19")</f>
        <v>#VALUE!</v>
      </c>
      <c r="L145" s="172"/>
      <c r="M145" s="42" t="e" cm="1">
        <f t="array" aca="1" ref="M145" ca="1">INDIRECT(""&amp;$E88 &amp; "!AV19")</f>
        <v>#VALUE!</v>
      </c>
      <c r="N145" s="172"/>
      <c r="O145" s="42" t="e" cm="1">
        <f t="array" aca="1" ref="O145" ca="1">INDIRECT(""&amp;$E88 &amp; "!AX19")</f>
        <v>#VALUE!</v>
      </c>
      <c r="P145" s="175"/>
      <c r="Q145" s="121" cm="1">
        <f t="array" aca="1" ref="Q145" ca="1">INDIRECT(""&amp;$E88 &amp; "!AZ19")</f>
        <v>0</v>
      </c>
      <c r="R145" s="212"/>
    </row>
    <row r="146" spans="4:18" ht="17" thickBot="1" x14ac:dyDescent="0.25">
      <c r="D146" s="238"/>
      <c r="E146" s="236"/>
      <c r="F146" s="86" t="str" cm="1">
        <f t="array" aca="1" ref="F146" ca="1">INDIRECT(""&amp;$E88 &amp; "!AO21")</f>
        <v>Low</v>
      </c>
      <c r="G146" s="17" t="e" cm="1">
        <f t="array" aca="1" ref="G146" ca="1">INDIRECT(""&amp;$E88 &amp; "!AP21")</f>
        <v>#VALUE!</v>
      </c>
      <c r="H146" s="172"/>
      <c r="I146" s="172"/>
      <c r="J146" s="172"/>
      <c r="K146" s="42" t="e" cm="1">
        <f t="array" aca="1" ref="K146" ca="1">INDIRECT(""&amp;$E88 &amp; "!AT21")</f>
        <v>#VALUE!</v>
      </c>
      <c r="L146" s="172"/>
      <c r="M146" s="42" t="e" cm="1">
        <f t="array" aca="1" ref="M146" ca="1">INDIRECT(""&amp;$E88 &amp; "!AV21")</f>
        <v>#VALUE!</v>
      </c>
      <c r="N146" s="172"/>
      <c r="O146" s="42" t="e" cm="1">
        <f t="array" aca="1" ref="O146" ca="1">INDIRECT(""&amp;$E88 &amp; "!Ax21")</f>
        <v>#VALUE!</v>
      </c>
      <c r="P146" s="175"/>
      <c r="Q146" s="121" cm="1">
        <f t="array" aca="1" ref="Q146" ca="1">INDIRECT(""&amp;$E88 &amp; "!AZ21")</f>
        <v>0</v>
      </c>
      <c r="R146" s="212"/>
    </row>
    <row r="147" spans="4:18" x14ac:dyDescent="0.2">
      <c r="D147" s="238"/>
      <c r="E147" s="234" t="str">
        <f>D8</f>
        <v>CrossWalk</v>
      </c>
      <c r="F147" s="84" t="str" cm="1">
        <f t="array" aca="1" ref="F147" ca="1">INDIRECT(""&amp;$E91 &amp; "!AO17")</f>
        <v>High</v>
      </c>
      <c r="G147" s="17" t="e" cm="1">
        <f t="array" aca="1" ref="G147" ca="1">INDIRECT(""&amp;$E91 &amp; "!AP17")</f>
        <v>#VALUE!</v>
      </c>
      <c r="H147" s="172" t="e" cm="1">
        <f t="array" aca="1" ref="H147" ca="1">INDIRECT(""&amp;$E91 &amp; "!AQ17")</f>
        <v>#VALUE!</v>
      </c>
      <c r="I147" s="172" t="e" cm="1">
        <f t="array" aca="1" ref="I147" ca="1">INDIRECT(""&amp;$E91 &amp; "!AR17")</f>
        <v>#VALUE!</v>
      </c>
      <c r="J147" s="172" t="e" cm="1">
        <f t="array" aca="1" ref="J147" ca="1">INDIRECT(""&amp;$E91 &amp; "!AS17")</f>
        <v>#VALUE!</v>
      </c>
      <c r="K147" s="42" t="e" cm="1">
        <f t="array" aca="1" ref="K147" ca="1">INDIRECT(""&amp;$E91 &amp; "!AT17")</f>
        <v>#VALUE!</v>
      </c>
      <c r="L147" s="172" t="e" cm="1">
        <f t="array" aca="1" ref="L147" ca="1">INDIRECT(""&amp;$E91 &amp; "!AU17")</f>
        <v>#VALUE!</v>
      </c>
      <c r="M147" s="42" t="e" cm="1">
        <f t="array" aca="1" ref="M147" ca="1">INDIRECT(""&amp;$E91 &amp; "!AV17")</f>
        <v>#VALUE!</v>
      </c>
      <c r="N147" s="172" t="e" cm="1">
        <f t="array" aca="1" ref="N147" ca="1">INDIRECT(""&amp;$E91 &amp; "!AW17")</f>
        <v>#VALUE!</v>
      </c>
      <c r="O147" s="42" t="e" cm="1">
        <f t="array" aca="1" ref="O147" ca="1">INDIRECT(""&amp;$E91 &amp; "!AX17")</f>
        <v>#VALUE!</v>
      </c>
      <c r="P147" s="175" t="e" cm="1">
        <f t="array" aca="1" ref="P147" ca="1">INDIRECT(""&amp;$E91 &amp; "!AY17")</f>
        <v>#VALUE!</v>
      </c>
      <c r="Q147" s="121" cm="1">
        <f t="array" aca="1" ref="Q147" ca="1">INDIRECT(""&amp;$E91 &amp; "!AZ17")</f>
        <v>0</v>
      </c>
      <c r="R147" s="212" cm="1">
        <f t="array" aca="1" ref="R147" ca="1">INDIRECT(""&amp;$E91 &amp; "!BA17")</f>
        <v>0</v>
      </c>
    </row>
    <row r="148" spans="4:18" x14ac:dyDescent="0.2">
      <c r="D148" s="238"/>
      <c r="E148" s="235"/>
      <c r="F148" s="85" t="str" cm="1">
        <f t="array" aca="1" ref="F148" ca="1">INDIRECT(""&amp;$E91 &amp; "!AO19")</f>
        <v>Med</v>
      </c>
      <c r="G148" s="17" t="e" cm="1">
        <f t="array" aca="1" ref="G148" ca="1">INDIRECT(""&amp;$E91 &amp; "!AP19")</f>
        <v>#VALUE!</v>
      </c>
      <c r="H148" s="172"/>
      <c r="I148" s="172"/>
      <c r="J148" s="172"/>
      <c r="K148" s="42" t="e" cm="1">
        <f t="array" aca="1" ref="K148" ca="1">INDIRECT(""&amp;$E91 &amp; "!AT19")</f>
        <v>#VALUE!</v>
      </c>
      <c r="L148" s="172"/>
      <c r="M148" s="42" t="e" cm="1">
        <f t="array" aca="1" ref="M148" ca="1">INDIRECT(""&amp;$E91 &amp; "!AV19")</f>
        <v>#VALUE!</v>
      </c>
      <c r="N148" s="172"/>
      <c r="O148" s="42" t="e" cm="1">
        <f t="array" aca="1" ref="O148" ca="1">INDIRECT(""&amp;$E91 &amp; "!AX19")</f>
        <v>#VALUE!</v>
      </c>
      <c r="P148" s="175"/>
      <c r="Q148" s="121" cm="1">
        <f t="array" aca="1" ref="Q148" ca="1">INDIRECT(""&amp;$E91 &amp; "!AZ19")</f>
        <v>0</v>
      </c>
      <c r="R148" s="212"/>
    </row>
    <row r="149" spans="4:18" ht="17" thickBot="1" x14ac:dyDescent="0.25">
      <c r="D149" s="238"/>
      <c r="E149" s="236"/>
      <c r="F149" s="86" t="str" cm="1">
        <f t="array" aca="1" ref="F149" ca="1">INDIRECT(""&amp;$E91 &amp; "!AO21")</f>
        <v>Low</v>
      </c>
      <c r="G149" s="17" t="e" cm="1">
        <f t="array" aca="1" ref="G149" ca="1">INDIRECT(""&amp;$E91 &amp; "!AP21")</f>
        <v>#VALUE!</v>
      </c>
      <c r="H149" s="172"/>
      <c r="I149" s="172"/>
      <c r="J149" s="172"/>
      <c r="K149" s="42" t="e" cm="1">
        <f t="array" aca="1" ref="K149" ca="1">INDIRECT(""&amp;$E91 &amp; "!AT21")</f>
        <v>#VALUE!</v>
      </c>
      <c r="L149" s="172"/>
      <c r="M149" s="42" t="e" cm="1">
        <f t="array" aca="1" ref="M149" ca="1">INDIRECT(""&amp;$E91 &amp; "!AV21")</f>
        <v>#VALUE!</v>
      </c>
      <c r="N149" s="172"/>
      <c r="O149" s="42" t="e" cm="1">
        <f t="array" aca="1" ref="O149" ca="1">INDIRECT(""&amp;$E91 &amp; "!Ax21")</f>
        <v>#VALUE!</v>
      </c>
      <c r="P149" s="175"/>
      <c r="Q149" s="121" cm="1">
        <f t="array" aca="1" ref="Q149" ca="1">INDIRECT(""&amp;$E91 &amp; "!AZ21")</f>
        <v>0</v>
      </c>
      <c r="R149" s="212"/>
    </row>
    <row r="150" spans="4:18" x14ac:dyDescent="0.2">
      <c r="D150" s="238"/>
      <c r="E150" s="234" t="str">
        <f>D11</f>
        <v>FoodMarket2</v>
      </c>
      <c r="F150" s="84" t="str" cm="1">
        <f t="array" aca="1" ref="F150" ca="1">INDIRECT(""&amp;$E94 &amp; "!AO17")</f>
        <v>High</v>
      </c>
      <c r="G150" s="17" t="e" cm="1">
        <f t="array" aca="1" ref="G150" ca="1">INDIRECT(""&amp;$E94 &amp; "!AP17")</f>
        <v>#VALUE!</v>
      </c>
      <c r="H150" s="172" t="e" cm="1">
        <f t="array" aca="1" ref="H150" ca="1">INDIRECT(""&amp;$E94 &amp; "!AQ17")</f>
        <v>#VALUE!</v>
      </c>
      <c r="I150" s="172" t="e" cm="1">
        <f t="array" aca="1" ref="I150" ca="1">INDIRECT(""&amp;$E94 &amp; "!AR17")</f>
        <v>#VALUE!</v>
      </c>
      <c r="J150" s="172" t="e" cm="1">
        <f t="array" aca="1" ref="J150" ca="1">INDIRECT(""&amp;$E94 &amp; "!AS17")</f>
        <v>#VALUE!</v>
      </c>
      <c r="K150" s="42" t="e" cm="1">
        <f t="array" aca="1" ref="K150" ca="1">INDIRECT(""&amp;$E94 &amp; "!AT17")</f>
        <v>#VALUE!</v>
      </c>
      <c r="L150" s="172" t="e" cm="1">
        <f t="array" aca="1" ref="L150" ca="1">INDIRECT(""&amp;$E94 &amp; "!AU17")</f>
        <v>#VALUE!</v>
      </c>
      <c r="M150" s="42" t="e" cm="1">
        <f t="array" aca="1" ref="M150" ca="1">INDIRECT(""&amp;$E94 &amp; "!AV17")</f>
        <v>#VALUE!</v>
      </c>
      <c r="N150" s="172" t="e" cm="1">
        <f t="array" aca="1" ref="N150" ca="1">INDIRECT(""&amp;$E94 &amp; "!AW17")</f>
        <v>#VALUE!</v>
      </c>
      <c r="O150" s="42" t="e" cm="1">
        <f t="array" aca="1" ref="O150" ca="1">INDIRECT(""&amp;$E94 &amp; "!AX17")</f>
        <v>#VALUE!</v>
      </c>
      <c r="P150" s="175" t="e" cm="1">
        <f t="array" aca="1" ref="P150" ca="1">INDIRECT(""&amp;$E94 &amp; "!AY17")</f>
        <v>#VALUE!</v>
      </c>
      <c r="Q150" s="121" cm="1">
        <f t="array" aca="1" ref="Q150" ca="1">INDIRECT(""&amp;$E94 &amp; "!AZ17")</f>
        <v>0</v>
      </c>
      <c r="R150" s="212" cm="1">
        <f t="array" aca="1" ref="R150" ca="1">INDIRECT(""&amp;$E94 &amp; "!BA17")</f>
        <v>0</v>
      </c>
    </row>
    <row r="151" spans="4:18" x14ac:dyDescent="0.2">
      <c r="D151" s="238"/>
      <c r="E151" s="235"/>
      <c r="F151" s="85" t="str" cm="1">
        <f t="array" aca="1" ref="F151" ca="1">INDIRECT(""&amp;$E94 &amp; "!AO19")</f>
        <v>Med</v>
      </c>
      <c r="G151" s="17" t="e" cm="1">
        <f t="array" aca="1" ref="G151" ca="1">INDIRECT(""&amp;$E94 &amp; "!AP19")</f>
        <v>#VALUE!</v>
      </c>
      <c r="H151" s="172"/>
      <c r="I151" s="172"/>
      <c r="J151" s="172"/>
      <c r="K151" s="42" t="e" cm="1">
        <f t="array" aca="1" ref="K151" ca="1">INDIRECT(""&amp;$E94 &amp; "!AT19")</f>
        <v>#VALUE!</v>
      </c>
      <c r="L151" s="172"/>
      <c r="M151" s="42" t="e" cm="1">
        <f t="array" aca="1" ref="M151" ca="1">INDIRECT(""&amp;$E94 &amp; "!AV19")</f>
        <v>#VALUE!</v>
      </c>
      <c r="N151" s="172"/>
      <c r="O151" s="42" t="e" cm="1">
        <f t="array" aca="1" ref="O151" ca="1">INDIRECT(""&amp;$E94 &amp; "!AX19")</f>
        <v>#VALUE!</v>
      </c>
      <c r="P151" s="175"/>
      <c r="Q151" s="121" cm="1">
        <f t="array" aca="1" ref="Q151" ca="1">INDIRECT(""&amp;$E94 &amp; "!AZ19")</f>
        <v>0</v>
      </c>
      <c r="R151" s="212"/>
    </row>
    <row r="152" spans="4:18" ht="17" thickBot="1" x14ac:dyDescent="0.25">
      <c r="D152" s="238"/>
      <c r="E152" s="236"/>
      <c r="F152" s="86" t="str" cm="1">
        <f t="array" aca="1" ref="F152" ca="1">INDIRECT(""&amp;$E94 &amp; "!AO21")</f>
        <v>Low</v>
      </c>
      <c r="G152" s="17" t="e" cm="1">
        <f t="array" aca="1" ref="G152" ca="1">INDIRECT(""&amp;$E94 &amp; "!AP21")</f>
        <v>#VALUE!</v>
      </c>
      <c r="H152" s="172"/>
      <c r="I152" s="172"/>
      <c r="J152" s="172"/>
      <c r="K152" s="42" t="e" cm="1">
        <f t="array" aca="1" ref="K152" ca="1">INDIRECT(""&amp;$E94 &amp; "!AT21")</f>
        <v>#VALUE!</v>
      </c>
      <c r="L152" s="172"/>
      <c r="M152" s="42" t="e" cm="1">
        <f t="array" aca="1" ref="M152" ca="1">INDIRECT(""&amp;$E94 &amp; "!AV21")</f>
        <v>#VALUE!</v>
      </c>
      <c r="N152" s="172"/>
      <c r="O152" s="42" t="e" cm="1">
        <f t="array" aca="1" ref="O152" ca="1">INDIRECT(""&amp;$E94 &amp; "!Ax21")</f>
        <v>#VALUE!</v>
      </c>
      <c r="P152" s="175"/>
      <c r="Q152" s="121" cm="1">
        <f t="array" aca="1" ref="Q152" ca="1">INDIRECT(""&amp;$E94 &amp; "!AZ21")</f>
        <v>0</v>
      </c>
      <c r="R152" s="212"/>
    </row>
    <row r="153" spans="4:18" x14ac:dyDescent="0.2">
      <c r="D153" s="238"/>
      <c r="E153" s="234" t="str">
        <f>D14</f>
        <v>Neon1224</v>
      </c>
      <c r="F153" s="84" t="str" cm="1">
        <f t="array" aca="1" ref="F153" ca="1">INDIRECT(""&amp;$E97 &amp; "!AO17")</f>
        <v>High</v>
      </c>
      <c r="G153" s="17" t="e" cm="1">
        <f t="array" aca="1" ref="G153" ca="1">INDIRECT(""&amp;$E97 &amp; "!AP17")</f>
        <v>#VALUE!</v>
      </c>
      <c r="H153" s="172" t="e" cm="1">
        <f t="array" aca="1" ref="H153" ca="1">INDIRECT(""&amp;$E97 &amp; "!AQ17")</f>
        <v>#VALUE!</v>
      </c>
      <c r="I153" s="172" t="e" cm="1">
        <f t="array" aca="1" ref="I153" ca="1">INDIRECT(""&amp;$E97 &amp; "!AR17")</f>
        <v>#VALUE!</v>
      </c>
      <c r="J153" s="172" t="e" cm="1">
        <f t="array" aca="1" ref="J153" ca="1">INDIRECT(""&amp;$E97 &amp; "!AS17")</f>
        <v>#VALUE!</v>
      </c>
      <c r="K153" s="42" t="e" cm="1">
        <f t="array" aca="1" ref="K153" ca="1">INDIRECT(""&amp;$E97 &amp; "!AT17")</f>
        <v>#VALUE!</v>
      </c>
      <c r="L153" s="172" t="e" cm="1">
        <f t="array" aca="1" ref="L153" ca="1">INDIRECT(""&amp;$E97 &amp; "!AU17")</f>
        <v>#VALUE!</v>
      </c>
      <c r="M153" s="42" t="e" cm="1">
        <f t="array" aca="1" ref="M153" ca="1">INDIRECT(""&amp;$E97 &amp; "!AV17")</f>
        <v>#VALUE!</v>
      </c>
      <c r="N153" s="172" t="e" cm="1">
        <f t="array" aca="1" ref="N153" ca="1">INDIRECT(""&amp;$E97 &amp; "!AW17")</f>
        <v>#VALUE!</v>
      </c>
      <c r="O153" s="42" t="e" cm="1">
        <f t="array" aca="1" ref="O153" ca="1">INDIRECT(""&amp;$E97 &amp; "!AX17")</f>
        <v>#VALUE!</v>
      </c>
      <c r="P153" s="175" t="e" cm="1">
        <f t="array" aca="1" ref="P153" ca="1">INDIRECT(""&amp;$E97 &amp; "!AY17")</f>
        <v>#VALUE!</v>
      </c>
      <c r="Q153" s="121" cm="1">
        <f t="array" aca="1" ref="Q153" ca="1">INDIRECT(""&amp;$E97 &amp; "!AZ17")</f>
        <v>0</v>
      </c>
      <c r="R153" s="212" cm="1">
        <f t="array" aca="1" ref="R153" ca="1">INDIRECT(""&amp;$E97 &amp; "!BA17")</f>
        <v>0</v>
      </c>
    </row>
    <row r="154" spans="4:18" x14ac:dyDescent="0.2">
      <c r="D154" s="238"/>
      <c r="E154" s="235"/>
      <c r="F154" s="85" t="str" cm="1">
        <f t="array" aca="1" ref="F154" ca="1">INDIRECT(""&amp;$E97 &amp; "!AO19")</f>
        <v>Med</v>
      </c>
      <c r="G154" s="17" t="e" cm="1">
        <f t="array" aca="1" ref="G154" ca="1">INDIRECT(""&amp;$E97 &amp; "!AP19")</f>
        <v>#VALUE!</v>
      </c>
      <c r="H154" s="172"/>
      <c r="I154" s="172"/>
      <c r="J154" s="172"/>
      <c r="K154" s="42" t="e" cm="1">
        <f t="array" aca="1" ref="K154" ca="1">INDIRECT(""&amp;$E97 &amp; "!AT19")</f>
        <v>#VALUE!</v>
      </c>
      <c r="L154" s="172"/>
      <c r="M154" s="42" t="e" cm="1">
        <f t="array" aca="1" ref="M154" ca="1">INDIRECT(""&amp;$E97 &amp; "!AV19")</f>
        <v>#VALUE!</v>
      </c>
      <c r="N154" s="172"/>
      <c r="O154" s="42" t="e" cm="1">
        <f t="array" aca="1" ref="O154" ca="1">INDIRECT(""&amp;$E97 &amp; "!AX19")</f>
        <v>#VALUE!</v>
      </c>
      <c r="P154" s="175"/>
      <c r="Q154" s="121" cm="1">
        <f t="array" aca="1" ref="Q154" ca="1">INDIRECT(""&amp;$E97 &amp; "!AZ19")</f>
        <v>0</v>
      </c>
      <c r="R154" s="212"/>
    </row>
    <row r="155" spans="4:18" ht="17" thickBot="1" x14ac:dyDescent="0.25">
      <c r="D155" s="238"/>
      <c r="E155" s="236"/>
      <c r="F155" s="86" t="str" cm="1">
        <f t="array" aca="1" ref="F155" ca="1">INDIRECT(""&amp;$E97 &amp; "!AO21")</f>
        <v>Low</v>
      </c>
      <c r="G155" s="17" t="e" cm="1">
        <f t="array" aca="1" ref="G155" ca="1">INDIRECT(""&amp;$E97 &amp; "!AP21")</f>
        <v>#VALUE!</v>
      </c>
      <c r="H155" s="172"/>
      <c r="I155" s="172"/>
      <c r="J155" s="172"/>
      <c r="K155" s="42" t="e" cm="1">
        <f t="array" aca="1" ref="K155" ca="1">INDIRECT(""&amp;$E97 &amp; "!AT21")</f>
        <v>#VALUE!</v>
      </c>
      <c r="L155" s="172"/>
      <c r="M155" s="42" t="e" cm="1">
        <f t="array" aca="1" ref="M155" ca="1">INDIRECT(""&amp;$E97 &amp; "!AV21")</f>
        <v>#VALUE!</v>
      </c>
      <c r="N155" s="172"/>
      <c r="O155" s="42" t="e" cm="1">
        <f t="array" aca="1" ref="O155" ca="1">INDIRECT(""&amp;$E97 &amp; "!Ax21")</f>
        <v>#VALUE!</v>
      </c>
      <c r="P155" s="175"/>
      <c r="Q155" s="121" cm="1">
        <f t="array" aca="1" ref="Q155" ca="1">INDIRECT(""&amp;$E97 &amp; "!AZ21")</f>
        <v>0</v>
      </c>
      <c r="R155" s="212"/>
    </row>
    <row r="156" spans="4:18" x14ac:dyDescent="0.2">
      <c r="D156" s="238"/>
      <c r="E156" s="234" t="str">
        <f>D17</f>
        <v>NocturneDance</v>
      </c>
      <c r="F156" s="84" t="str" cm="1">
        <f t="array" aca="1" ref="F156" ca="1">INDIRECT(""&amp;$E100 &amp; "!AO17")</f>
        <v>High</v>
      </c>
      <c r="G156" s="17" t="e" cm="1">
        <f t="array" aca="1" ref="G156" ca="1">INDIRECT(""&amp;$E100 &amp; "!AP17")</f>
        <v>#VALUE!</v>
      </c>
      <c r="H156" s="172" t="e" cm="1">
        <f t="array" aca="1" ref="H156" ca="1">INDIRECT(""&amp;$E100 &amp; "!AQ17")</f>
        <v>#VALUE!</v>
      </c>
      <c r="I156" s="172" t="e" cm="1">
        <f t="array" aca="1" ref="I156" ca="1">INDIRECT(""&amp;$E100 &amp; "!AR17")</f>
        <v>#VALUE!</v>
      </c>
      <c r="J156" s="172" t="e" cm="1">
        <f t="array" aca="1" ref="J156" ca="1">INDIRECT(""&amp;$E100 &amp; "!AS17")</f>
        <v>#VALUE!</v>
      </c>
      <c r="K156" s="42" t="e" cm="1">
        <f t="array" aca="1" ref="K156" ca="1">INDIRECT(""&amp;$E100 &amp; "!AT17")</f>
        <v>#VALUE!</v>
      </c>
      <c r="L156" s="172" t="e" cm="1">
        <f t="array" aca="1" ref="L156" ca="1">INDIRECT(""&amp;$E100 &amp; "!AU17")</f>
        <v>#VALUE!</v>
      </c>
      <c r="M156" s="42" t="e" cm="1">
        <f t="array" aca="1" ref="M156" ca="1">INDIRECT(""&amp;$E100 &amp; "!AV17")</f>
        <v>#VALUE!</v>
      </c>
      <c r="N156" s="172" t="e" cm="1">
        <f t="array" aca="1" ref="N156" ca="1">INDIRECT(""&amp;$E100 &amp; "!AW17")</f>
        <v>#VALUE!</v>
      </c>
      <c r="O156" s="42" t="e" cm="1">
        <f t="array" aca="1" ref="O156" ca="1">INDIRECT(""&amp;$E100 &amp; "!AX17")</f>
        <v>#VALUE!</v>
      </c>
      <c r="P156" s="175" t="e" cm="1">
        <f t="array" aca="1" ref="P156" ca="1">INDIRECT(""&amp;$E100 &amp; "!AY17")</f>
        <v>#VALUE!</v>
      </c>
      <c r="Q156" s="121" cm="1">
        <f t="array" aca="1" ref="Q156" ca="1">INDIRECT(""&amp;$E100 &amp; "!AZ17")</f>
        <v>0</v>
      </c>
      <c r="R156" s="212" cm="1">
        <f t="array" aca="1" ref="R156" ca="1">INDIRECT(""&amp;$E100 &amp; "!BA17")</f>
        <v>0</v>
      </c>
    </row>
    <row r="157" spans="4:18" x14ac:dyDescent="0.2">
      <c r="D157" s="238"/>
      <c r="E157" s="235"/>
      <c r="F157" s="85" t="str" cm="1">
        <f t="array" aca="1" ref="F157" ca="1">INDIRECT(""&amp;$E100 &amp; "!AO19")</f>
        <v>Med</v>
      </c>
      <c r="G157" s="17" t="e" cm="1">
        <f t="array" aca="1" ref="G157" ca="1">INDIRECT(""&amp;$E100 &amp; "!AP19")</f>
        <v>#VALUE!</v>
      </c>
      <c r="H157" s="172"/>
      <c r="I157" s="172"/>
      <c r="J157" s="172"/>
      <c r="K157" s="42" t="e" cm="1">
        <f t="array" aca="1" ref="K157" ca="1">INDIRECT(""&amp;$E100 &amp; "!AT19")</f>
        <v>#VALUE!</v>
      </c>
      <c r="L157" s="172"/>
      <c r="M157" s="42" t="e" cm="1">
        <f t="array" aca="1" ref="M157" ca="1">INDIRECT(""&amp;$E100 &amp; "!AV19")</f>
        <v>#VALUE!</v>
      </c>
      <c r="N157" s="172"/>
      <c r="O157" s="42" t="e" cm="1">
        <f t="array" aca="1" ref="O157" ca="1">INDIRECT(""&amp;$E100 &amp; "!AX19")</f>
        <v>#VALUE!</v>
      </c>
      <c r="P157" s="175"/>
      <c r="Q157" s="121" cm="1">
        <f t="array" aca="1" ref="Q157" ca="1">INDIRECT(""&amp;$E100 &amp; "!AZ19")</f>
        <v>0</v>
      </c>
      <c r="R157" s="212"/>
    </row>
    <row r="158" spans="4:18" ht="17" thickBot="1" x14ac:dyDescent="0.25">
      <c r="D158" s="238"/>
      <c r="E158" s="236"/>
      <c r="F158" s="86" t="str" cm="1">
        <f t="array" aca="1" ref="F158" ca="1">INDIRECT(""&amp;$E100 &amp; "!AO21")</f>
        <v>Low</v>
      </c>
      <c r="G158" s="17" t="e" cm="1">
        <f t="array" aca="1" ref="G158" ca="1">INDIRECT(""&amp;$E100 &amp; "!AP21")</f>
        <v>#VALUE!</v>
      </c>
      <c r="H158" s="172"/>
      <c r="I158" s="172"/>
      <c r="J158" s="172"/>
      <c r="K158" s="42" t="e" cm="1">
        <f t="array" aca="1" ref="K158" ca="1">INDIRECT(""&amp;$E100 &amp; "!AT21")</f>
        <v>#VALUE!</v>
      </c>
      <c r="L158" s="172"/>
      <c r="M158" s="42" t="e" cm="1">
        <f t="array" aca="1" ref="M158" ca="1">INDIRECT(""&amp;$E100 &amp; "!AV21")</f>
        <v>#VALUE!</v>
      </c>
      <c r="N158" s="172"/>
      <c r="O158" s="42" t="e" cm="1">
        <f t="array" aca="1" ref="O158" ca="1">INDIRECT(""&amp;$E100 &amp; "!Ax21")</f>
        <v>#VALUE!</v>
      </c>
      <c r="P158" s="175"/>
      <c r="Q158" s="121" cm="1">
        <f t="array" aca="1" ref="Q158" ca="1">INDIRECT(""&amp;$E100 &amp; "!AZ21")</f>
        <v>0</v>
      </c>
      <c r="R158" s="212"/>
    </row>
    <row r="159" spans="4:18" x14ac:dyDescent="0.2">
      <c r="D159" s="238"/>
      <c r="E159" s="234" t="str">
        <f>D20</f>
        <v>PierSeaside</v>
      </c>
      <c r="F159" s="84" t="str" cm="1">
        <f t="array" aca="1" ref="F159" ca="1">INDIRECT(""&amp;$E103 &amp; "!AO17")</f>
        <v>High</v>
      </c>
      <c r="G159" s="17" t="e" cm="1">
        <f t="array" aca="1" ref="G159" ca="1">INDIRECT(""&amp;$E103 &amp; "!AP17")</f>
        <v>#VALUE!</v>
      </c>
      <c r="H159" s="172" t="e" cm="1">
        <f t="array" aca="1" ref="H159" ca="1">INDIRECT(""&amp;$E103 &amp; "!AQ17")</f>
        <v>#VALUE!</v>
      </c>
      <c r="I159" s="172" t="e" cm="1">
        <f t="array" aca="1" ref="I159" ca="1">INDIRECT(""&amp;$E103 &amp; "!AR17")</f>
        <v>#VALUE!</v>
      </c>
      <c r="J159" s="172" t="e" cm="1">
        <f t="array" aca="1" ref="J159" ca="1">INDIRECT(""&amp;$E103 &amp; "!AS17")</f>
        <v>#VALUE!</v>
      </c>
      <c r="K159" s="42" t="e" cm="1">
        <f t="array" aca="1" ref="K159" ca="1">INDIRECT(""&amp;$E103 &amp; "!AT17")</f>
        <v>#VALUE!</v>
      </c>
      <c r="L159" s="172" t="e" cm="1">
        <f t="array" aca="1" ref="L159" ca="1">INDIRECT(""&amp;$E103 &amp; "!AU17")</f>
        <v>#VALUE!</v>
      </c>
      <c r="M159" s="42" t="e" cm="1">
        <f t="array" aca="1" ref="M159" ca="1">INDIRECT(""&amp;$E103 &amp; "!AV17")</f>
        <v>#VALUE!</v>
      </c>
      <c r="N159" s="172" t="e" cm="1">
        <f t="array" aca="1" ref="N159" ca="1">INDIRECT(""&amp;$E103 &amp; "!AW17")</f>
        <v>#VALUE!</v>
      </c>
      <c r="O159" s="42" t="e" cm="1">
        <f t="array" aca="1" ref="O159" ca="1">INDIRECT(""&amp;$E103 &amp; "!AX17")</f>
        <v>#VALUE!</v>
      </c>
      <c r="P159" s="175" t="e" cm="1">
        <f t="array" aca="1" ref="P159" ca="1">INDIRECT(""&amp;$E103 &amp; "!AY17")</f>
        <v>#VALUE!</v>
      </c>
      <c r="Q159" s="121" cm="1">
        <f t="array" aca="1" ref="Q159" ca="1">INDIRECT(""&amp;$E103 &amp; "!AZ17")</f>
        <v>0</v>
      </c>
      <c r="R159" s="212" cm="1">
        <f t="array" aca="1" ref="R159" ca="1">INDIRECT(""&amp;$E103 &amp; "!BA17")</f>
        <v>0</v>
      </c>
    </row>
    <row r="160" spans="4:18" x14ac:dyDescent="0.2">
      <c r="D160" s="238"/>
      <c r="E160" s="235"/>
      <c r="F160" s="85" t="str" cm="1">
        <f t="array" aca="1" ref="F160" ca="1">INDIRECT(""&amp;$E103 &amp; "!AO19")</f>
        <v>Med</v>
      </c>
      <c r="G160" s="17" t="e" cm="1">
        <f t="array" aca="1" ref="G160" ca="1">INDIRECT(""&amp;$E103 &amp; "!AP19")</f>
        <v>#VALUE!</v>
      </c>
      <c r="H160" s="172"/>
      <c r="I160" s="172"/>
      <c r="J160" s="172"/>
      <c r="K160" s="42" t="e" cm="1">
        <f t="array" aca="1" ref="K160" ca="1">INDIRECT(""&amp;$E103 &amp; "!AT19")</f>
        <v>#VALUE!</v>
      </c>
      <c r="L160" s="172"/>
      <c r="M160" s="42" t="e" cm="1">
        <f t="array" aca="1" ref="M160" ca="1">INDIRECT(""&amp;$E103 &amp; "!AV19")</f>
        <v>#VALUE!</v>
      </c>
      <c r="N160" s="172"/>
      <c r="O160" s="42" t="e" cm="1">
        <f t="array" aca="1" ref="O160" ca="1">INDIRECT(""&amp;$E103 &amp; "!AX19")</f>
        <v>#VALUE!</v>
      </c>
      <c r="P160" s="175"/>
      <c r="Q160" s="121" cm="1">
        <f t="array" aca="1" ref="Q160" ca="1">INDIRECT(""&amp;$E103 &amp; "!AZ19")</f>
        <v>0</v>
      </c>
      <c r="R160" s="212"/>
    </row>
    <row r="161" spans="4:18" ht="17" thickBot="1" x14ac:dyDescent="0.25">
      <c r="D161" s="238"/>
      <c r="E161" s="236"/>
      <c r="F161" s="86" t="str" cm="1">
        <f t="array" aca="1" ref="F161" ca="1">INDIRECT(""&amp;$E103 &amp; "!AO21")</f>
        <v>Low</v>
      </c>
      <c r="G161" s="17" t="e" cm="1">
        <f t="array" aca="1" ref="G161" ca="1">INDIRECT(""&amp;$E103 &amp; "!AP21")</f>
        <v>#VALUE!</v>
      </c>
      <c r="H161" s="172"/>
      <c r="I161" s="172"/>
      <c r="J161" s="172"/>
      <c r="K161" s="42" t="e" cm="1">
        <f t="array" aca="1" ref="K161" ca="1">INDIRECT(""&amp;$E103 &amp; "!AT21")</f>
        <v>#VALUE!</v>
      </c>
      <c r="L161" s="172"/>
      <c r="M161" s="42" t="e" cm="1">
        <f t="array" aca="1" ref="M161" ca="1">INDIRECT(""&amp;$E103 &amp; "!AV21")</f>
        <v>#VALUE!</v>
      </c>
      <c r="N161" s="172"/>
      <c r="O161" s="42" t="e" cm="1">
        <f t="array" aca="1" ref="O161" ca="1">INDIRECT(""&amp;$E103 &amp; "!Ax21")</f>
        <v>#VALUE!</v>
      </c>
      <c r="P161" s="175"/>
      <c r="Q161" s="121" cm="1">
        <f t="array" aca="1" ref="Q161" ca="1">INDIRECT(""&amp;$E103 &amp; "!AZ21")</f>
        <v>0</v>
      </c>
      <c r="R161" s="212"/>
    </row>
    <row r="162" spans="4:18" x14ac:dyDescent="0.2">
      <c r="D162" s="238"/>
      <c r="E162" s="234" t="str">
        <f>D23</f>
        <v>Tango</v>
      </c>
      <c r="F162" s="84" t="str" cm="1">
        <f t="array" aca="1" ref="F162" ca="1">INDIRECT(""&amp;$E106 &amp; "!AO17")</f>
        <v>High</v>
      </c>
      <c r="G162" s="17" t="e" cm="1">
        <f t="array" aca="1" ref="G162" ca="1">INDIRECT(""&amp;$E106 &amp; "!AP17")</f>
        <v>#VALUE!</v>
      </c>
      <c r="H162" s="172" t="e" cm="1">
        <f t="array" aca="1" ref="H162" ca="1">INDIRECT(""&amp;$E106 &amp; "!AQ17")</f>
        <v>#VALUE!</v>
      </c>
      <c r="I162" s="172" t="e" cm="1">
        <f t="array" aca="1" ref="I162" ca="1">INDIRECT(""&amp;$E106 &amp; "!AR17")</f>
        <v>#VALUE!</v>
      </c>
      <c r="J162" s="172" t="e" cm="1">
        <f t="array" aca="1" ref="J162" ca="1">INDIRECT(""&amp;$E106 &amp; "!AS17")</f>
        <v>#VALUE!</v>
      </c>
      <c r="K162" s="42" t="e" cm="1">
        <f t="array" aca="1" ref="K162" ca="1">INDIRECT(""&amp;$E106 &amp; "!AT17")</f>
        <v>#VALUE!</v>
      </c>
      <c r="L162" s="172" t="e" cm="1">
        <f t="array" aca="1" ref="L162" ca="1">INDIRECT(""&amp;$E106 &amp; "!AU17")</f>
        <v>#VALUE!</v>
      </c>
      <c r="M162" s="42" t="e" cm="1">
        <f t="array" aca="1" ref="M162" ca="1">INDIRECT(""&amp;$E106 &amp; "!AV17")</f>
        <v>#VALUE!</v>
      </c>
      <c r="N162" s="172" t="e" cm="1">
        <f t="array" aca="1" ref="N162" ca="1">INDIRECT(""&amp;$E106 &amp; "!AW17")</f>
        <v>#VALUE!</v>
      </c>
      <c r="O162" s="42" t="e" cm="1">
        <f t="array" aca="1" ref="O162" ca="1">INDIRECT(""&amp;$E106 &amp; "!AX17")</f>
        <v>#VALUE!</v>
      </c>
      <c r="P162" s="175" t="e" cm="1">
        <f t="array" aca="1" ref="P162" ca="1">INDIRECT(""&amp;$E106 &amp; "!AY17")</f>
        <v>#VALUE!</v>
      </c>
      <c r="Q162" s="121" cm="1">
        <f t="array" aca="1" ref="Q162" ca="1">INDIRECT(""&amp;$E106 &amp; "!AZ17")</f>
        <v>0</v>
      </c>
      <c r="R162" s="212" cm="1">
        <f t="array" aca="1" ref="R162" ca="1">INDIRECT(""&amp;$E106 &amp; "!BA17")</f>
        <v>0</v>
      </c>
    </row>
    <row r="163" spans="4:18" x14ac:dyDescent="0.2">
      <c r="D163" s="238"/>
      <c r="E163" s="235"/>
      <c r="F163" s="85" t="str" cm="1">
        <f t="array" aca="1" ref="F163" ca="1">INDIRECT(""&amp;$E106 &amp; "!AO19")</f>
        <v>Med</v>
      </c>
      <c r="G163" s="17" t="e" cm="1">
        <f t="array" aca="1" ref="G163" ca="1">INDIRECT(""&amp;$E106 &amp; "!AP19")</f>
        <v>#VALUE!</v>
      </c>
      <c r="H163" s="172"/>
      <c r="I163" s="172"/>
      <c r="J163" s="172"/>
      <c r="K163" s="42" t="e" cm="1">
        <f t="array" aca="1" ref="K163" ca="1">INDIRECT(""&amp;$E106 &amp; "!AT19")</f>
        <v>#VALUE!</v>
      </c>
      <c r="L163" s="172"/>
      <c r="M163" s="42" t="e" cm="1">
        <f t="array" aca="1" ref="M163" ca="1">INDIRECT(""&amp;$E106 &amp; "!AV19")</f>
        <v>#VALUE!</v>
      </c>
      <c r="N163" s="172"/>
      <c r="O163" s="42" t="e" cm="1">
        <f t="array" aca="1" ref="O163" ca="1">INDIRECT(""&amp;$E106 &amp; "!AX19")</f>
        <v>#VALUE!</v>
      </c>
      <c r="P163" s="175"/>
      <c r="Q163" s="121" cm="1">
        <f t="array" aca="1" ref="Q163" ca="1">INDIRECT(""&amp;$E106 &amp; "!AZ19")</f>
        <v>0</v>
      </c>
      <c r="R163" s="212"/>
    </row>
    <row r="164" spans="4:18" ht="17" thickBot="1" x14ac:dyDescent="0.25">
      <c r="D164" s="238"/>
      <c r="E164" s="236"/>
      <c r="F164" s="86" t="str" cm="1">
        <f t="array" aca="1" ref="F164" ca="1">INDIRECT(""&amp;$E106 &amp; "!AO21")</f>
        <v>Low</v>
      </c>
      <c r="G164" s="17" t="e" cm="1">
        <f t="array" aca="1" ref="G164" ca="1">INDIRECT(""&amp;$E106 &amp; "!AP21")</f>
        <v>#VALUE!</v>
      </c>
      <c r="H164" s="172"/>
      <c r="I164" s="172"/>
      <c r="J164" s="172"/>
      <c r="K164" s="42" t="e" cm="1">
        <f t="array" aca="1" ref="K164" ca="1">INDIRECT(""&amp;$E106 &amp; "!AT21")</f>
        <v>#VALUE!</v>
      </c>
      <c r="L164" s="172"/>
      <c r="M164" s="42" t="e" cm="1">
        <f t="array" aca="1" ref="M164" ca="1">INDIRECT(""&amp;$E106 &amp; "!AV21")</f>
        <v>#VALUE!</v>
      </c>
      <c r="N164" s="172"/>
      <c r="O164" s="42" t="e" cm="1">
        <f t="array" aca="1" ref="O164" ca="1">INDIRECT(""&amp;$E106 &amp; "!Ax21")</f>
        <v>#VALUE!</v>
      </c>
      <c r="P164" s="175"/>
      <c r="Q164" s="121" cm="1">
        <f t="array" aca="1" ref="Q164" ca="1">INDIRECT(""&amp;$E106 &amp; "!AZ21")</f>
        <v>0</v>
      </c>
      <c r="R164" s="212"/>
    </row>
    <row r="165" spans="4:18" x14ac:dyDescent="0.2">
      <c r="D165" s="238"/>
      <c r="E165" s="234" t="str">
        <f>D26</f>
        <v>Timelapse</v>
      </c>
      <c r="F165" s="84" t="str" cm="1">
        <f t="array" aca="1" ref="F165" ca="1">INDIRECT(""&amp;$E109 &amp; "!AO17")</f>
        <v>High</v>
      </c>
      <c r="G165" s="17" t="e" cm="1">
        <f t="array" aca="1" ref="G165" ca="1">INDIRECT(""&amp;$E109 &amp; "!AP17")</f>
        <v>#VALUE!</v>
      </c>
      <c r="H165" s="172" t="e" cm="1">
        <f t="array" aca="1" ref="H165" ca="1">INDIRECT(""&amp;$E109 &amp; "!AQ17")</f>
        <v>#VALUE!</v>
      </c>
      <c r="I165" s="172" t="e" cm="1">
        <f t="array" aca="1" ref="I165" ca="1">INDIRECT(""&amp;$E109 &amp; "!AR17")</f>
        <v>#VALUE!</v>
      </c>
      <c r="J165" s="172" t="e" cm="1">
        <f t="array" aca="1" ref="J165" ca="1">INDIRECT(""&amp;$E109 &amp; "!AS17")</f>
        <v>#VALUE!</v>
      </c>
      <c r="K165" s="42" t="e" cm="1">
        <f t="array" aca="1" ref="K165" ca="1">INDIRECT(""&amp;$E109 &amp; "!AT17")</f>
        <v>#VALUE!</v>
      </c>
      <c r="L165" s="172" t="e" cm="1">
        <f t="array" aca="1" ref="L165" ca="1">INDIRECT(""&amp;$E109 &amp; "!AU17")</f>
        <v>#VALUE!</v>
      </c>
      <c r="M165" s="42" t="e" cm="1">
        <f t="array" aca="1" ref="M165" ca="1">INDIRECT(""&amp;$E109 &amp; "!AV17")</f>
        <v>#VALUE!</v>
      </c>
      <c r="N165" s="172" t="e" cm="1">
        <f t="array" aca="1" ref="N165" ca="1">INDIRECT(""&amp;$E109 &amp; "!AW17")</f>
        <v>#VALUE!</v>
      </c>
      <c r="O165" s="42" t="e" cm="1">
        <f t="array" aca="1" ref="O165" ca="1">INDIRECT(""&amp;$E109 &amp; "!AX17")</f>
        <v>#VALUE!</v>
      </c>
      <c r="P165" s="175" t="e" cm="1">
        <f t="array" aca="1" ref="P165" ca="1">INDIRECT(""&amp;$E109 &amp; "!AY17")</f>
        <v>#VALUE!</v>
      </c>
      <c r="Q165" s="121" cm="1">
        <f t="array" aca="1" ref="Q165" ca="1">INDIRECT(""&amp;$E109 &amp; "!AZ17")</f>
        <v>0</v>
      </c>
      <c r="R165" s="212" cm="1">
        <f t="array" aca="1" ref="R165" ca="1">INDIRECT(""&amp;$E109 &amp; "!BA17")</f>
        <v>0</v>
      </c>
    </row>
    <row r="166" spans="4:18" x14ac:dyDescent="0.2">
      <c r="D166" s="238"/>
      <c r="E166" s="235"/>
      <c r="F166" s="85" t="str" cm="1">
        <f t="array" aca="1" ref="F166" ca="1">INDIRECT(""&amp;$E109 &amp; "!AO19")</f>
        <v>Med</v>
      </c>
      <c r="G166" s="17" t="e" cm="1">
        <f t="array" aca="1" ref="G166" ca="1">INDIRECT(""&amp;$E109 &amp; "!AP19")</f>
        <v>#VALUE!</v>
      </c>
      <c r="H166" s="172"/>
      <c r="I166" s="172"/>
      <c r="J166" s="172"/>
      <c r="K166" s="42" t="e" cm="1">
        <f t="array" aca="1" ref="K166" ca="1">INDIRECT(""&amp;$E109 &amp; "!AT19")</f>
        <v>#VALUE!</v>
      </c>
      <c r="L166" s="172"/>
      <c r="M166" s="42" t="e" cm="1">
        <f t="array" aca="1" ref="M166" ca="1">INDIRECT(""&amp;$E109 &amp; "!AV19")</f>
        <v>#VALUE!</v>
      </c>
      <c r="N166" s="172"/>
      <c r="O166" s="42" t="e" cm="1">
        <f t="array" aca="1" ref="O166" ca="1">INDIRECT(""&amp;$E109 &amp; "!AX19")</f>
        <v>#VALUE!</v>
      </c>
      <c r="P166" s="175"/>
      <c r="Q166" s="121" cm="1">
        <f t="array" aca="1" ref="Q166" ca="1">INDIRECT(""&amp;$E109 &amp; "!AZ19")</f>
        <v>0</v>
      </c>
      <c r="R166" s="212"/>
    </row>
    <row r="167" spans="4:18" ht="17" thickBot="1" x14ac:dyDescent="0.25">
      <c r="D167" s="238"/>
      <c r="E167" s="235"/>
      <c r="F167" s="105" t="str" cm="1">
        <f t="array" aca="1" ref="F167" ca="1">INDIRECT(""&amp;$E109 &amp; "!AO21")</f>
        <v>Low</v>
      </c>
      <c r="G167" s="49" t="e" cm="1">
        <f t="array" aca="1" ref="G167" ca="1">INDIRECT(""&amp;$E109 &amp; "!AP21")</f>
        <v>#VALUE!</v>
      </c>
      <c r="H167" s="208"/>
      <c r="I167" s="208"/>
      <c r="J167" s="208"/>
      <c r="K167" s="101" t="e" cm="1">
        <f t="array" aca="1" ref="K167" ca="1">INDIRECT(""&amp;$E109 &amp; "!AT21")</f>
        <v>#VALUE!</v>
      </c>
      <c r="L167" s="208"/>
      <c r="M167" s="101" t="e" cm="1">
        <f t="array" aca="1" ref="M167" ca="1">INDIRECT(""&amp;$E109 &amp; "!AV21")</f>
        <v>#VALUE!</v>
      </c>
      <c r="N167" s="208"/>
      <c r="O167" s="101" t="e" cm="1">
        <f t="array" aca="1" ref="O167" ca="1">INDIRECT(""&amp;$E109 &amp; "!Ax21")</f>
        <v>#VALUE!</v>
      </c>
      <c r="P167" s="218"/>
      <c r="Q167" s="126" cm="1">
        <f t="array" aca="1" ref="Q167" ca="1">INDIRECT(""&amp;$E109 &amp; "!AZ21")</f>
        <v>0</v>
      </c>
      <c r="R167" s="213"/>
    </row>
    <row r="168" spans="4:18" x14ac:dyDescent="0.2">
      <c r="D168" s="238"/>
      <c r="E168" s="234" t="s">
        <v>98</v>
      </c>
      <c r="F168" s="84" t="s">
        <v>27</v>
      </c>
      <c r="G168" s="44" t="e">
        <f ca="1">AVERAGE(G144,G147,G150,G153,G156,G159,G162,G165)</f>
        <v>#VALUE!</v>
      </c>
      <c r="H168" s="171" t="e">
        <f ca="1">AVERAGE(H144:H167)</f>
        <v>#VALUE!</v>
      </c>
      <c r="I168" s="171" t="e">
        <f ca="1">AVERAGE(I144:I167)</f>
        <v>#VALUE!</v>
      </c>
      <c r="J168" s="171" t="e">
        <f ca="1">AVERAGE(J144:J167)</f>
        <v>#VALUE!</v>
      </c>
      <c r="K168" s="56" t="e">
        <f ca="1">AVERAGE(K144,K147,K150,K153,K156,K159,K162,K165)</f>
        <v>#VALUE!</v>
      </c>
      <c r="L168" s="171" t="e">
        <f ca="1">AVERAGE(L144:L167)</f>
        <v>#VALUE!</v>
      </c>
      <c r="M168" s="56" t="e">
        <f ca="1">AVERAGE(M144,M147,M150,M153,M156,M159,M162,M165)</f>
        <v>#VALUE!</v>
      </c>
      <c r="N168" s="171" t="e">
        <f ca="1">AVERAGE(N144:N167)</f>
        <v>#VALUE!</v>
      </c>
      <c r="O168" s="56" t="e">
        <f ca="1">AVERAGE(O144,O147,O150,O153,O156,O159,O162,O165)</f>
        <v>#VALUE!</v>
      </c>
      <c r="P168" s="174" t="e">
        <f ca="1">AVERAGE(P144:P167)</f>
        <v>#VALUE!</v>
      </c>
      <c r="Q168" s="120">
        <f ca="1">SUM(Q144,Q147,Q150,Q153,Q156,Q159,Q162,Q165)</f>
        <v>0</v>
      </c>
      <c r="R168" s="211">
        <f ca="1">SUM(R144:R167)</f>
        <v>0</v>
      </c>
    </row>
    <row r="169" spans="4:18" x14ac:dyDescent="0.2">
      <c r="D169" s="238"/>
      <c r="E169" s="235"/>
      <c r="F169" s="85" t="s">
        <v>28</v>
      </c>
      <c r="G169" s="17" t="e">
        <f ca="1">AVERAGE(G145,G148,G151,G154,G157,G160,G163,G166)</f>
        <v>#VALUE!</v>
      </c>
      <c r="H169" s="172"/>
      <c r="I169" s="172"/>
      <c r="J169" s="172"/>
      <c r="K169" s="42" t="e">
        <f ca="1">AVERAGE(K145,K148,K151,K154,K157,K160,K163,K166)</f>
        <v>#VALUE!</v>
      </c>
      <c r="L169" s="172"/>
      <c r="M169" s="42" t="e">
        <f ca="1">AVERAGE(M145,M148,M151,M154,M157,M160,M163,M166)</f>
        <v>#VALUE!</v>
      </c>
      <c r="N169" s="172"/>
      <c r="O169" s="42" t="e">
        <f ca="1">AVERAGE(O145,O148,O151,O154,O157,O160,O163,O166)</f>
        <v>#VALUE!</v>
      </c>
      <c r="P169" s="175"/>
      <c r="Q169" s="121">
        <f ca="1">SUM(Q145,Q148,Q151,Q154,Q157,Q160,Q163,Q166)</f>
        <v>0</v>
      </c>
      <c r="R169" s="212"/>
    </row>
    <row r="170" spans="4:18" ht="17" thickBot="1" x14ac:dyDescent="0.25">
      <c r="D170" s="239"/>
      <c r="E170" s="236"/>
      <c r="F170" s="86" t="s">
        <v>29</v>
      </c>
      <c r="G170" s="47" t="e">
        <f ca="1">AVERAGE(G146,G149,G152,G155,G158,G161,G164,G167)</f>
        <v>#VALUE!</v>
      </c>
      <c r="H170" s="173"/>
      <c r="I170" s="173"/>
      <c r="J170" s="173"/>
      <c r="K170" s="57" t="e">
        <f ca="1">AVERAGE(K146,K149,K152,K155,K158,K161,K164,K167)</f>
        <v>#VALUE!</v>
      </c>
      <c r="L170" s="173"/>
      <c r="M170" s="57" t="e">
        <f ca="1">AVERAGE(M146,M149,M152,M155,M158,M161,M164,M167)</f>
        <v>#VALUE!</v>
      </c>
      <c r="N170" s="173"/>
      <c r="O170" s="57" t="e">
        <f ca="1">AVERAGE(O146,O149,O152,O155,O158,O161,O164,O167)</f>
        <v>#VALUE!</v>
      </c>
      <c r="P170" s="188"/>
      <c r="Q170" s="122">
        <f ca="1">SUM(Q146,Q149,Q152,Q155,Q158,Q161,Q164,Q167)</f>
        <v>0</v>
      </c>
      <c r="R170" s="240"/>
    </row>
    <row r="171" spans="4:18" ht="17" thickBot="1" x14ac:dyDescent="0.25">
      <c r="D171" s="88"/>
      <c r="E171" s="89"/>
      <c r="F171" s="112"/>
      <c r="G171" s="102"/>
      <c r="H171" s="83"/>
      <c r="I171" s="83"/>
      <c r="J171" s="83"/>
      <c r="K171" s="100"/>
      <c r="L171" s="83"/>
      <c r="M171" s="100"/>
      <c r="N171" s="83"/>
      <c r="O171" s="100"/>
      <c r="P171" s="113"/>
    </row>
    <row r="172" spans="4:18" x14ac:dyDescent="0.2">
      <c r="D172" s="237" t="str">
        <f>BoxingPractice!A23</f>
        <v>1280x720</v>
      </c>
      <c r="E172" s="234" t="str">
        <f>D5</f>
        <v>BoxingPractice</v>
      </c>
      <c r="F172" s="84" t="str" cm="1">
        <f t="array" aca="1" ref="F172" ca="1">INDIRECT(""&amp;$E88 &amp; "!AO23")</f>
        <v>High</v>
      </c>
      <c r="G172" s="44" t="e" cm="1">
        <f t="array" aca="1" ref="G172" ca="1">INDIRECT(""&amp;$E88 &amp; "!AP23")</f>
        <v>#VALUE!</v>
      </c>
      <c r="H172" s="171" t="e" cm="1">
        <f t="array" aca="1" ref="H172" ca="1">INDIRECT(""&amp;$E88 &amp; "!AQ23")</f>
        <v>#VALUE!</v>
      </c>
      <c r="I172" s="171" t="e" cm="1">
        <f t="array" aca="1" ref="I172" ca="1">INDIRECT(""&amp;$E88 &amp; "!AR23")</f>
        <v>#VALUE!</v>
      </c>
      <c r="J172" s="171" t="e" cm="1">
        <f t="array" aca="1" ref="J172" ca="1">INDIRECT(""&amp;$E88 &amp; "!AS23")</f>
        <v>#VALUE!</v>
      </c>
      <c r="K172" s="56" t="e" cm="1">
        <f t="array" aca="1" ref="K172" ca="1">INDIRECT(""&amp;$E88 &amp; "!AT23")</f>
        <v>#VALUE!</v>
      </c>
      <c r="L172" s="171" t="e" cm="1">
        <f t="array" aca="1" ref="L172" ca="1">INDIRECT(""&amp;$E88 &amp; "!AU23")</f>
        <v>#VALUE!</v>
      </c>
      <c r="M172" s="56" t="e" cm="1">
        <f t="array" aca="1" ref="M172" ca="1">INDIRECT(""&amp;$E88 &amp; "!AV23")</f>
        <v>#VALUE!</v>
      </c>
      <c r="N172" s="171" t="e" cm="1">
        <f t="array" aca="1" ref="N172" ca="1">INDIRECT(""&amp;$E88 &amp; "!AW23")</f>
        <v>#VALUE!</v>
      </c>
      <c r="O172" s="56" t="e" cm="1">
        <f t="array" aca="1" ref="O172" ca="1">INDIRECT(""&amp;$E88 &amp; "!AX23")</f>
        <v>#VALUE!</v>
      </c>
      <c r="P172" s="174" t="e" cm="1">
        <f t="array" aca="1" ref="P172" ca="1">INDIRECT(""&amp;$E88 &amp; "!AY23")</f>
        <v>#VALUE!</v>
      </c>
      <c r="Q172" s="120" cm="1">
        <f t="array" aca="1" ref="Q172" ca="1">INDIRECT(""&amp;$E88 &amp; "!AZ23")</f>
        <v>0</v>
      </c>
      <c r="R172" s="211" cm="1">
        <f t="array" aca="1" ref="R172" ca="1">INDIRECT(""&amp;$E88 &amp; "!BA23")</f>
        <v>0</v>
      </c>
    </row>
    <row r="173" spans="4:18" x14ac:dyDescent="0.2">
      <c r="D173" s="238"/>
      <c r="E173" s="235"/>
      <c r="F173" s="85" t="str" cm="1">
        <f t="array" aca="1" ref="F173" ca="1">INDIRECT(""&amp;$E88 &amp; "!AO25")</f>
        <v>Med</v>
      </c>
      <c r="G173" s="17" t="e" cm="1">
        <f t="array" aca="1" ref="G173" ca="1">INDIRECT(""&amp;$E88 &amp; "!AP25")</f>
        <v>#VALUE!</v>
      </c>
      <c r="H173" s="172"/>
      <c r="I173" s="172"/>
      <c r="J173" s="172"/>
      <c r="K173" s="42" t="e" cm="1">
        <f t="array" aca="1" ref="K173" ca="1">INDIRECT(""&amp;$E88 &amp; "!AT25")</f>
        <v>#VALUE!</v>
      </c>
      <c r="L173" s="172"/>
      <c r="M173" s="42" t="e" cm="1">
        <f t="array" aca="1" ref="M173" ca="1">INDIRECT(""&amp;$E88 &amp; "!AV25")</f>
        <v>#VALUE!</v>
      </c>
      <c r="N173" s="172"/>
      <c r="O173" s="42" t="e" cm="1">
        <f t="array" aca="1" ref="O173" ca="1">INDIRECT(""&amp;$E88 &amp; "!AX25")</f>
        <v>#VALUE!</v>
      </c>
      <c r="P173" s="175"/>
      <c r="Q173" s="121" cm="1">
        <f t="array" aca="1" ref="Q173" ca="1">INDIRECT(""&amp;$E88 &amp; "!AZ25")</f>
        <v>0</v>
      </c>
      <c r="R173" s="212"/>
    </row>
    <row r="174" spans="4:18" ht="17" thickBot="1" x14ac:dyDescent="0.25">
      <c r="D174" s="238"/>
      <c r="E174" s="236"/>
      <c r="F174" s="86" t="str" cm="1">
        <f t="array" aca="1" ref="F174" ca="1">INDIRECT(""&amp;$E88 &amp; "!AO27")</f>
        <v>Low</v>
      </c>
      <c r="G174" s="17" t="e" cm="1">
        <f t="array" aca="1" ref="G174" ca="1">INDIRECT(""&amp;$E88 &amp; "!AP27")</f>
        <v>#VALUE!</v>
      </c>
      <c r="H174" s="172"/>
      <c r="I174" s="172"/>
      <c r="J174" s="172"/>
      <c r="K174" s="42" t="e" cm="1">
        <f t="array" aca="1" ref="K174" ca="1">INDIRECT(""&amp;$E88 &amp; "!AT27")</f>
        <v>#VALUE!</v>
      </c>
      <c r="L174" s="172"/>
      <c r="M174" s="42" t="e" cm="1">
        <f t="array" aca="1" ref="M174" ca="1">INDIRECT(""&amp;$E88 &amp; "!AV27")</f>
        <v>#VALUE!</v>
      </c>
      <c r="N174" s="172"/>
      <c r="O174" s="42" t="e" cm="1">
        <f t="array" aca="1" ref="O174" ca="1">INDIRECT(""&amp;$E88 &amp; "!Ax27")</f>
        <v>#VALUE!</v>
      </c>
      <c r="P174" s="175"/>
      <c r="Q174" s="121" cm="1">
        <f t="array" aca="1" ref="Q174" ca="1">INDIRECT(""&amp;$E88 &amp; "!AZ27")</f>
        <v>0</v>
      </c>
      <c r="R174" s="212"/>
    </row>
    <row r="175" spans="4:18" x14ac:dyDescent="0.2">
      <c r="D175" s="238"/>
      <c r="E175" s="234" t="str">
        <f>D8</f>
        <v>CrossWalk</v>
      </c>
      <c r="F175" s="84" t="str" cm="1">
        <f t="array" aca="1" ref="F175" ca="1">INDIRECT(""&amp;$E91 &amp; "!AO23")</f>
        <v>High</v>
      </c>
      <c r="G175" s="17" t="e" cm="1">
        <f t="array" aca="1" ref="G175" ca="1">INDIRECT(""&amp;$E91 &amp; "!AP23")</f>
        <v>#VALUE!</v>
      </c>
      <c r="H175" s="172" t="e" cm="1">
        <f t="array" aca="1" ref="H175" ca="1">INDIRECT(""&amp;$E91 &amp; "!AQ23")</f>
        <v>#VALUE!</v>
      </c>
      <c r="I175" s="172" t="e" cm="1">
        <f t="array" aca="1" ref="I175" ca="1">INDIRECT(""&amp;$E91 &amp; "!AR23")</f>
        <v>#VALUE!</v>
      </c>
      <c r="J175" s="172" t="e" cm="1">
        <f t="array" aca="1" ref="J175" ca="1">INDIRECT(""&amp;$E91 &amp; "!AS23")</f>
        <v>#VALUE!</v>
      </c>
      <c r="K175" s="42" t="e" cm="1">
        <f t="array" aca="1" ref="K175" ca="1">INDIRECT(""&amp;$E91 &amp; "!AT23")</f>
        <v>#VALUE!</v>
      </c>
      <c r="L175" s="172" t="e" cm="1">
        <f t="array" aca="1" ref="L175" ca="1">INDIRECT(""&amp;$E91 &amp; "!AU23")</f>
        <v>#VALUE!</v>
      </c>
      <c r="M175" s="42" t="e" cm="1">
        <f t="array" aca="1" ref="M175" ca="1">INDIRECT(""&amp;$E91 &amp; "!AV23")</f>
        <v>#VALUE!</v>
      </c>
      <c r="N175" s="172" t="e" cm="1">
        <f t="array" aca="1" ref="N175" ca="1">INDIRECT(""&amp;$E91 &amp; "!AW23")</f>
        <v>#VALUE!</v>
      </c>
      <c r="O175" s="42" t="e" cm="1">
        <f t="array" aca="1" ref="O175" ca="1">INDIRECT(""&amp;$E91 &amp; "!AX23")</f>
        <v>#VALUE!</v>
      </c>
      <c r="P175" s="175" t="e" cm="1">
        <f t="array" aca="1" ref="P175" ca="1">INDIRECT(""&amp;$E91 &amp; "!AY23")</f>
        <v>#VALUE!</v>
      </c>
      <c r="Q175" s="121" cm="1">
        <f t="array" aca="1" ref="Q175" ca="1">INDIRECT(""&amp;$E91 &amp; "!AZ23")</f>
        <v>0</v>
      </c>
      <c r="R175" s="212" cm="1">
        <f t="array" aca="1" ref="R175" ca="1">INDIRECT(""&amp;$E91 &amp; "!BA23")</f>
        <v>0</v>
      </c>
    </row>
    <row r="176" spans="4:18" x14ac:dyDescent="0.2">
      <c r="D176" s="238"/>
      <c r="E176" s="235"/>
      <c r="F176" s="85" t="str" cm="1">
        <f t="array" aca="1" ref="F176" ca="1">INDIRECT(""&amp;$E91 &amp; "!AO25")</f>
        <v>Med</v>
      </c>
      <c r="G176" s="17" t="e" cm="1">
        <f t="array" aca="1" ref="G176" ca="1">INDIRECT(""&amp;$E91 &amp; "!AP25")</f>
        <v>#VALUE!</v>
      </c>
      <c r="H176" s="172"/>
      <c r="I176" s="172"/>
      <c r="J176" s="172"/>
      <c r="K176" s="42" t="e" cm="1">
        <f t="array" aca="1" ref="K176" ca="1">INDIRECT(""&amp;$E91 &amp; "!AT25")</f>
        <v>#VALUE!</v>
      </c>
      <c r="L176" s="172"/>
      <c r="M176" s="42" t="e" cm="1">
        <f t="array" aca="1" ref="M176" ca="1">INDIRECT(""&amp;$E91 &amp; "!AV25")</f>
        <v>#VALUE!</v>
      </c>
      <c r="N176" s="172"/>
      <c r="O176" s="42" t="e" cm="1">
        <f t="array" aca="1" ref="O176" ca="1">INDIRECT(""&amp;$E91 &amp; "!AX25")</f>
        <v>#VALUE!</v>
      </c>
      <c r="P176" s="175"/>
      <c r="Q176" s="121" cm="1">
        <f t="array" aca="1" ref="Q176" ca="1">INDIRECT(""&amp;$E91 &amp; "!AZ25")</f>
        <v>0</v>
      </c>
      <c r="R176" s="212"/>
    </row>
    <row r="177" spans="4:18" ht="17" thickBot="1" x14ac:dyDescent="0.25">
      <c r="D177" s="238"/>
      <c r="E177" s="236"/>
      <c r="F177" s="86" t="str" cm="1">
        <f t="array" aca="1" ref="F177" ca="1">INDIRECT(""&amp;$E91 &amp; "!AO27")</f>
        <v>Low</v>
      </c>
      <c r="G177" s="17" t="e" cm="1">
        <f t="array" aca="1" ref="G177" ca="1">INDIRECT(""&amp;$E91 &amp; "!AP27")</f>
        <v>#VALUE!</v>
      </c>
      <c r="H177" s="172"/>
      <c r="I177" s="172"/>
      <c r="J177" s="172"/>
      <c r="K177" s="42" t="e" cm="1">
        <f t="array" aca="1" ref="K177" ca="1">INDIRECT(""&amp;$E91 &amp; "!AT27")</f>
        <v>#VALUE!</v>
      </c>
      <c r="L177" s="172"/>
      <c r="M177" s="42" t="e" cm="1">
        <f t="array" aca="1" ref="M177" ca="1">INDIRECT(""&amp;$E91 &amp; "!AV27")</f>
        <v>#VALUE!</v>
      </c>
      <c r="N177" s="172"/>
      <c r="O177" s="42" t="e" cm="1">
        <f t="array" aca="1" ref="O177" ca="1">INDIRECT(""&amp;$E91 &amp; "!Ax27")</f>
        <v>#VALUE!</v>
      </c>
      <c r="P177" s="175"/>
      <c r="Q177" s="121" cm="1">
        <f t="array" aca="1" ref="Q177" ca="1">INDIRECT(""&amp;$E91 &amp; "!AZ27")</f>
        <v>0</v>
      </c>
      <c r="R177" s="212"/>
    </row>
    <row r="178" spans="4:18" x14ac:dyDescent="0.2">
      <c r="D178" s="238"/>
      <c r="E178" s="234" t="str">
        <f>D11</f>
        <v>FoodMarket2</v>
      </c>
      <c r="F178" s="84" t="str" cm="1">
        <f t="array" aca="1" ref="F178" ca="1">INDIRECT(""&amp;$E94 &amp; "!AO23")</f>
        <v>High</v>
      </c>
      <c r="G178" s="17" t="e" cm="1">
        <f t="array" aca="1" ref="G178" ca="1">INDIRECT(""&amp;$E94 &amp; "!AP23")</f>
        <v>#VALUE!</v>
      </c>
      <c r="H178" s="172" t="e" cm="1">
        <f t="array" aca="1" ref="H178" ca="1">INDIRECT(""&amp;$E94 &amp; "!AQ23")</f>
        <v>#VALUE!</v>
      </c>
      <c r="I178" s="172" t="e" cm="1">
        <f t="array" aca="1" ref="I178" ca="1">INDIRECT(""&amp;$E94 &amp; "!AR23")</f>
        <v>#VALUE!</v>
      </c>
      <c r="J178" s="172" t="e" cm="1">
        <f t="array" aca="1" ref="J178" ca="1">INDIRECT(""&amp;$E94 &amp; "!AS23")</f>
        <v>#VALUE!</v>
      </c>
      <c r="K178" s="42" t="e" cm="1">
        <f t="array" aca="1" ref="K178" ca="1">INDIRECT(""&amp;$E94 &amp; "!AT23")</f>
        <v>#VALUE!</v>
      </c>
      <c r="L178" s="172" t="e" cm="1">
        <f t="array" aca="1" ref="L178" ca="1">INDIRECT(""&amp;$E94 &amp; "!AU23")</f>
        <v>#VALUE!</v>
      </c>
      <c r="M178" s="42" t="e" cm="1">
        <f t="array" aca="1" ref="M178" ca="1">INDIRECT(""&amp;$E94 &amp; "!AV23")</f>
        <v>#VALUE!</v>
      </c>
      <c r="N178" s="172" t="e" cm="1">
        <f t="array" aca="1" ref="N178" ca="1">INDIRECT(""&amp;$E94 &amp; "!AW23")</f>
        <v>#VALUE!</v>
      </c>
      <c r="O178" s="42" t="e" cm="1">
        <f t="array" aca="1" ref="O178" ca="1">INDIRECT(""&amp;$E94 &amp; "!AX23")</f>
        <v>#VALUE!</v>
      </c>
      <c r="P178" s="175" t="e" cm="1">
        <f t="array" aca="1" ref="P178" ca="1">INDIRECT(""&amp;$E94 &amp; "!AY23")</f>
        <v>#VALUE!</v>
      </c>
      <c r="Q178" s="121" cm="1">
        <f t="array" aca="1" ref="Q178" ca="1">INDIRECT(""&amp;$E94 &amp; "!AZ23")</f>
        <v>0</v>
      </c>
      <c r="R178" s="212" cm="1">
        <f t="array" aca="1" ref="R178" ca="1">INDIRECT(""&amp;$E94 &amp; "!BA23")</f>
        <v>0</v>
      </c>
    </row>
    <row r="179" spans="4:18" x14ac:dyDescent="0.2">
      <c r="D179" s="238"/>
      <c r="E179" s="235"/>
      <c r="F179" s="85" t="str" cm="1">
        <f t="array" aca="1" ref="F179" ca="1">INDIRECT(""&amp;$E94 &amp; "!AO25")</f>
        <v>Med</v>
      </c>
      <c r="G179" s="17" t="e" cm="1">
        <f t="array" aca="1" ref="G179" ca="1">INDIRECT(""&amp;$E94 &amp; "!AP25")</f>
        <v>#VALUE!</v>
      </c>
      <c r="H179" s="172"/>
      <c r="I179" s="172"/>
      <c r="J179" s="172"/>
      <c r="K179" s="42" t="e" cm="1">
        <f t="array" aca="1" ref="K179" ca="1">INDIRECT(""&amp;$E94 &amp; "!AT25")</f>
        <v>#VALUE!</v>
      </c>
      <c r="L179" s="172"/>
      <c r="M179" s="42" t="e" cm="1">
        <f t="array" aca="1" ref="M179" ca="1">INDIRECT(""&amp;$E94 &amp; "!AV25")</f>
        <v>#VALUE!</v>
      </c>
      <c r="N179" s="172"/>
      <c r="O179" s="42" t="e" cm="1">
        <f t="array" aca="1" ref="O179" ca="1">INDIRECT(""&amp;$E94 &amp; "!AX25")</f>
        <v>#VALUE!</v>
      </c>
      <c r="P179" s="175"/>
      <c r="Q179" s="121" cm="1">
        <f t="array" aca="1" ref="Q179" ca="1">INDIRECT(""&amp;$E94 &amp; "!AZ25")</f>
        <v>0</v>
      </c>
      <c r="R179" s="212"/>
    </row>
    <row r="180" spans="4:18" ht="17" thickBot="1" x14ac:dyDescent="0.25">
      <c r="D180" s="238"/>
      <c r="E180" s="236"/>
      <c r="F180" s="86" t="str" cm="1">
        <f t="array" aca="1" ref="F180" ca="1">INDIRECT(""&amp;$E94 &amp; "!AO27")</f>
        <v>Low</v>
      </c>
      <c r="G180" s="17" t="e" cm="1">
        <f t="array" aca="1" ref="G180" ca="1">INDIRECT(""&amp;$E94 &amp; "!AP27")</f>
        <v>#VALUE!</v>
      </c>
      <c r="H180" s="172"/>
      <c r="I180" s="172"/>
      <c r="J180" s="172"/>
      <c r="K180" s="42" t="e" cm="1">
        <f t="array" aca="1" ref="K180" ca="1">INDIRECT(""&amp;$E94 &amp; "!AT27")</f>
        <v>#VALUE!</v>
      </c>
      <c r="L180" s="172"/>
      <c r="M180" s="42" t="e" cm="1">
        <f t="array" aca="1" ref="M180" ca="1">INDIRECT(""&amp;$E94 &amp; "!AV27")</f>
        <v>#VALUE!</v>
      </c>
      <c r="N180" s="172"/>
      <c r="O180" s="42" t="e" cm="1">
        <f t="array" aca="1" ref="O180" ca="1">INDIRECT(""&amp;$E94 &amp; "!Ax27")</f>
        <v>#VALUE!</v>
      </c>
      <c r="P180" s="175"/>
      <c r="Q180" s="121" cm="1">
        <f t="array" aca="1" ref="Q180" ca="1">INDIRECT(""&amp;$E94 &amp; "!AZ27")</f>
        <v>0</v>
      </c>
      <c r="R180" s="212"/>
    </row>
    <row r="181" spans="4:18" x14ac:dyDescent="0.2">
      <c r="D181" s="238"/>
      <c r="E181" s="234" t="str">
        <f>D14</f>
        <v>Neon1224</v>
      </c>
      <c r="F181" s="84" t="str" cm="1">
        <f t="array" aca="1" ref="F181" ca="1">INDIRECT(""&amp;$E97 &amp; "!AO23")</f>
        <v>High</v>
      </c>
      <c r="G181" s="17" t="e" cm="1">
        <f t="array" aca="1" ref="G181" ca="1">INDIRECT(""&amp;$E97 &amp; "!AP23")</f>
        <v>#VALUE!</v>
      </c>
      <c r="H181" s="172" t="e" cm="1">
        <f t="array" aca="1" ref="H181" ca="1">INDIRECT(""&amp;$E97 &amp; "!AQ23")</f>
        <v>#VALUE!</v>
      </c>
      <c r="I181" s="172" t="e" cm="1">
        <f t="array" aca="1" ref="I181" ca="1">INDIRECT(""&amp;$E97 &amp; "!AR23")</f>
        <v>#VALUE!</v>
      </c>
      <c r="J181" s="172" t="e" cm="1">
        <f t="array" aca="1" ref="J181" ca="1">INDIRECT(""&amp;$E97 &amp; "!AS23")</f>
        <v>#VALUE!</v>
      </c>
      <c r="K181" s="42" t="e" cm="1">
        <f t="array" aca="1" ref="K181" ca="1">INDIRECT(""&amp;$E97 &amp; "!AT23")</f>
        <v>#VALUE!</v>
      </c>
      <c r="L181" s="172" t="e" cm="1">
        <f t="array" aca="1" ref="L181" ca="1">INDIRECT(""&amp;$E97 &amp; "!AU23")</f>
        <v>#VALUE!</v>
      </c>
      <c r="M181" s="42" t="e" cm="1">
        <f t="array" aca="1" ref="M181" ca="1">INDIRECT(""&amp;$E97 &amp; "!AV23")</f>
        <v>#VALUE!</v>
      </c>
      <c r="N181" s="172" t="e" cm="1">
        <f t="array" aca="1" ref="N181" ca="1">INDIRECT(""&amp;$E97 &amp; "!AW23")</f>
        <v>#VALUE!</v>
      </c>
      <c r="O181" s="42" t="e" cm="1">
        <f t="array" aca="1" ref="O181" ca="1">INDIRECT(""&amp;$E97 &amp; "!AX23")</f>
        <v>#VALUE!</v>
      </c>
      <c r="P181" s="175" t="e" cm="1">
        <f t="array" aca="1" ref="P181" ca="1">INDIRECT(""&amp;$E97 &amp; "!AY23")</f>
        <v>#VALUE!</v>
      </c>
      <c r="Q181" s="121" cm="1">
        <f t="array" aca="1" ref="Q181" ca="1">INDIRECT(""&amp;$E97 &amp; "!AZ23")</f>
        <v>0</v>
      </c>
      <c r="R181" s="212" cm="1">
        <f t="array" aca="1" ref="R181" ca="1">INDIRECT(""&amp;$E97 &amp; "!BA23")</f>
        <v>0</v>
      </c>
    </row>
    <row r="182" spans="4:18" x14ac:dyDescent="0.2">
      <c r="D182" s="238"/>
      <c r="E182" s="235"/>
      <c r="F182" s="85" t="str" cm="1">
        <f t="array" aca="1" ref="F182" ca="1">INDIRECT(""&amp;$E97 &amp; "!AO25")</f>
        <v>Med</v>
      </c>
      <c r="G182" s="17" t="e" cm="1">
        <f t="array" aca="1" ref="G182" ca="1">INDIRECT(""&amp;$E97 &amp; "!AP25")</f>
        <v>#VALUE!</v>
      </c>
      <c r="H182" s="172"/>
      <c r="I182" s="172"/>
      <c r="J182" s="172"/>
      <c r="K182" s="42" t="e" cm="1">
        <f t="array" aca="1" ref="K182" ca="1">INDIRECT(""&amp;$E97 &amp; "!AT25")</f>
        <v>#VALUE!</v>
      </c>
      <c r="L182" s="172"/>
      <c r="M182" s="42" t="e" cm="1">
        <f t="array" aca="1" ref="M182" ca="1">INDIRECT(""&amp;$E97 &amp; "!AV25")</f>
        <v>#VALUE!</v>
      </c>
      <c r="N182" s="172"/>
      <c r="O182" s="42" t="e" cm="1">
        <f t="array" aca="1" ref="O182" ca="1">INDIRECT(""&amp;$E97 &amp; "!AX25")</f>
        <v>#VALUE!</v>
      </c>
      <c r="P182" s="175"/>
      <c r="Q182" s="121" cm="1">
        <f t="array" aca="1" ref="Q182" ca="1">INDIRECT(""&amp;$E97 &amp; "!AZ25")</f>
        <v>0</v>
      </c>
      <c r="R182" s="212"/>
    </row>
    <row r="183" spans="4:18" ht="17" thickBot="1" x14ac:dyDescent="0.25">
      <c r="D183" s="238"/>
      <c r="E183" s="236"/>
      <c r="F183" s="86" t="str" cm="1">
        <f t="array" aca="1" ref="F183" ca="1">INDIRECT(""&amp;$E97 &amp; "!AO27")</f>
        <v>Low</v>
      </c>
      <c r="G183" s="17" t="e" cm="1">
        <f t="array" aca="1" ref="G183" ca="1">INDIRECT(""&amp;$E97 &amp; "!AP27")</f>
        <v>#VALUE!</v>
      </c>
      <c r="H183" s="172"/>
      <c r="I183" s="172"/>
      <c r="J183" s="172"/>
      <c r="K183" s="42" t="e" cm="1">
        <f t="array" aca="1" ref="K183" ca="1">INDIRECT(""&amp;$E97 &amp; "!AT27")</f>
        <v>#VALUE!</v>
      </c>
      <c r="L183" s="172"/>
      <c r="M183" s="42" t="e" cm="1">
        <f t="array" aca="1" ref="M183" ca="1">INDIRECT(""&amp;$E97 &amp; "!AV27")</f>
        <v>#VALUE!</v>
      </c>
      <c r="N183" s="172"/>
      <c r="O183" s="42" t="e" cm="1">
        <f t="array" aca="1" ref="O183" ca="1">INDIRECT(""&amp;$E97 &amp; "!Ax27")</f>
        <v>#VALUE!</v>
      </c>
      <c r="P183" s="175"/>
      <c r="Q183" s="121" cm="1">
        <f t="array" aca="1" ref="Q183" ca="1">INDIRECT(""&amp;$E97 &amp; "!AZ27")</f>
        <v>0</v>
      </c>
      <c r="R183" s="212"/>
    </row>
    <row r="184" spans="4:18" x14ac:dyDescent="0.2">
      <c r="D184" s="238"/>
      <c r="E184" s="234" t="str">
        <f>D17</f>
        <v>NocturneDance</v>
      </c>
      <c r="F184" s="84" t="str" cm="1">
        <f t="array" aca="1" ref="F184" ca="1">INDIRECT(""&amp;$E100 &amp; "!AO23")</f>
        <v>High</v>
      </c>
      <c r="G184" s="17" t="e" cm="1">
        <f t="array" aca="1" ref="G184" ca="1">INDIRECT(""&amp;$E100 &amp; "!AP23")</f>
        <v>#VALUE!</v>
      </c>
      <c r="H184" s="172" t="e" cm="1">
        <f t="array" aca="1" ref="H184" ca="1">INDIRECT(""&amp;$E100 &amp; "!AQ23")</f>
        <v>#VALUE!</v>
      </c>
      <c r="I184" s="172" t="e" cm="1">
        <f t="array" aca="1" ref="I184" ca="1">INDIRECT(""&amp;$E100 &amp; "!AR23")</f>
        <v>#VALUE!</v>
      </c>
      <c r="J184" s="172" t="e" cm="1">
        <f t="array" aca="1" ref="J184" ca="1">INDIRECT(""&amp;$E100 &amp; "!AS23")</f>
        <v>#VALUE!</v>
      </c>
      <c r="K184" s="42" t="e" cm="1">
        <f t="array" aca="1" ref="K184" ca="1">INDIRECT(""&amp;$E100 &amp; "!AT23")</f>
        <v>#VALUE!</v>
      </c>
      <c r="L184" s="172" t="e" cm="1">
        <f t="array" aca="1" ref="L184" ca="1">INDIRECT(""&amp;$E100 &amp; "!AU23")</f>
        <v>#VALUE!</v>
      </c>
      <c r="M184" s="42" t="e" cm="1">
        <f t="array" aca="1" ref="M184" ca="1">INDIRECT(""&amp;$E100 &amp; "!AV23")</f>
        <v>#VALUE!</v>
      </c>
      <c r="N184" s="172" t="e" cm="1">
        <f t="array" aca="1" ref="N184" ca="1">INDIRECT(""&amp;$E100 &amp; "!AW23")</f>
        <v>#VALUE!</v>
      </c>
      <c r="O184" s="42" t="e" cm="1">
        <f t="array" aca="1" ref="O184" ca="1">INDIRECT(""&amp;$E100 &amp; "!AX23")</f>
        <v>#VALUE!</v>
      </c>
      <c r="P184" s="175" t="e" cm="1">
        <f t="array" aca="1" ref="P184" ca="1">INDIRECT(""&amp;$E100 &amp; "!AY23")</f>
        <v>#VALUE!</v>
      </c>
      <c r="Q184" s="121" cm="1">
        <f t="array" aca="1" ref="Q184" ca="1">INDIRECT(""&amp;$E100 &amp; "!AZ23")</f>
        <v>0</v>
      </c>
      <c r="R184" s="212" cm="1">
        <f t="array" aca="1" ref="R184" ca="1">INDIRECT(""&amp;$E100 &amp; "!BA23")</f>
        <v>0</v>
      </c>
    </row>
    <row r="185" spans="4:18" x14ac:dyDescent="0.2">
      <c r="D185" s="238"/>
      <c r="E185" s="235"/>
      <c r="F185" s="85" t="str" cm="1">
        <f t="array" aca="1" ref="F185" ca="1">INDIRECT(""&amp;$E100 &amp; "!AO25")</f>
        <v>Med</v>
      </c>
      <c r="G185" s="17" t="e" cm="1">
        <f t="array" aca="1" ref="G185" ca="1">INDIRECT(""&amp;$E100 &amp; "!AP25")</f>
        <v>#VALUE!</v>
      </c>
      <c r="H185" s="172"/>
      <c r="I185" s="172"/>
      <c r="J185" s="172"/>
      <c r="K185" s="42" t="e" cm="1">
        <f t="array" aca="1" ref="K185" ca="1">INDIRECT(""&amp;$E100 &amp; "!AT25")</f>
        <v>#VALUE!</v>
      </c>
      <c r="L185" s="172"/>
      <c r="M185" s="42" t="e" cm="1">
        <f t="array" aca="1" ref="M185" ca="1">INDIRECT(""&amp;$E100 &amp; "!AV25")</f>
        <v>#VALUE!</v>
      </c>
      <c r="N185" s="172"/>
      <c r="O185" s="42" t="e" cm="1">
        <f t="array" aca="1" ref="O185" ca="1">INDIRECT(""&amp;$E100 &amp; "!AX25")</f>
        <v>#VALUE!</v>
      </c>
      <c r="P185" s="175"/>
      <c r="Q185" s="121" cm="1">
        <f t="array" aca="1" ref="Q185" ca="1">INDIRECT(""&amp;$E100 &amp; "!AZ25")</f>
        <v>0</v>
      </c>
      <c r="R185" s="212"/>
    </row>
    <row r="186" spans="4:18" ht="17" thickBot="1" x14ac:dyDescent="0.25">
      <c r="D186" s="238"/>
      <c r="E186" s="236"/>
      <c r="F186" s="86" t="str" cm="1">
        <f t="array" aca="1" ref="F186" ca="1">INDIRECT(""&amp;$E100 &amp; "!AO27")</f>
        <v>Low</v>
      </c>
      <c r="G186" s="17" t="e" cm="1">
        <f t="array" aca="1" ref="G186" ca="1">INDIRECT(""&amp;$E100 &amp; "!AP27")</f>
        <v>#VALUE!</v>
      </c>
      <c r="H186" s="172"/>
      <c r="I186" s="172"/>
      <c r="J186" s="172"/>
      <c r="K186" s="42" t="e" cm="1">
        <f t="array" aca="1" ref="K186" ca="1">INDIRECT(""&amp;$E100 &amp; "!AT27")</f>
        <v>#VALUE!</v>
      </c>
      <c r="L186" s="172"/>
      <c r="M186" s="42" t="e" cm="1">
        <f t="array" aca="1" ref="M186" ca="1">INDIRECT(""&amp;$E100 &amp; "!AV27")</f>
        <v>#VALUE!</v>
      </c>
      <c r="N186" s="172"/>
      <c r="O186" s="42" t="e" cm="1">
        <f t="array" aca="1" ref="O186" ca="1">INDIRECT(""&amp;$E100 &amp; "!Ax27")</f>
        <v>#VALUE!</v>
      </c>
      <c r="P186" s="175"/>
      <c r="Q186" s="121" cm="1">
        <f t="array" aca="1" ref="Q186" ca="1">INDIRECT(""&amp;$E100 &amp; "!AZ27")</f>
        <v>0</v>
      </c>
      <c r="R186" s="212"/>
    </row>
    <row r="187" spans="4:18" x14ac:dyDescent="0.2">
      <c r="D187" s="238"/>
      <c r="E187" s="234" t="str">
        <f>D20</f>
        <v>PierSeaside</v>
      </c>
      <c r="F187" s="84" t="str" cm="1">
        <f t="array" aca="1" ref="F187" ca="1">INDIRECT(""&amp;$E103 &amp; "!AO23")</f>
        <v>High</v>
      </c>
      <c r="G187" s="17" t="e" cm="1">
        <f t="array" aca="1" ref="G187" ca="1">INDIRECT(""&amp;$E103 &amp; "!AP23")</f>
        <v>#VALUE!</v>
      </c>
      <c r="H187" s="172" t="e" cm="1">
        <f t="array" aca="1" ref="H187" ca="1">INDIRECT(""&amp;$E103 &amp; "!AQ23")</f>
        <v>#VALUE!</v>
      </c>
      <c r="I187" s="172" t="e" cm="1">
        <f t="array" aca="1" ref="I187" ca="1">INDIRECT(""&amp;$E103 &amp; "!AR23")</f>
        <v>#VALUE!</v>
      </c>
      <c r="J187" s="172" t="e" cm="1">
        <f t="array" aca="1" ref="J187" ca="1">INDIRECT(""&amp;$E103 &amp; "!AS23")</f>
        <v>#VALUE!</v>
      </c>
      <c r="K187" s="42" t="e" cm="1">
        <f t="array" aca="1" ref="K187" ca="1">INDIRECT(""&amp;$E103 &amp; "!AT23")</f>
        <v>#VALUE!</v>
      </c>
      <c r="L187" s="172" t="e" cm="1">
        <f t="array" aca="1" ref="L187" ca="1">INDIRECT(""&amp;$E103 &amp; "!AU23")</f>
        <v>#VALUE!</v>
      </c>
      <c r="M187" s="42" t="e" cm="1">
        <f t="array" aca="1" ref="M187" ca="1">INDIRECT(""&amp;$E103 &amp; "!AV23")</f>
        <v>#VALUE!</v>
      </c>
      <c r="N187" s="172" t="e" cm="1">
        <f t="array" aca="1" ref="N187" ca="1">INDIRECT(""&amp;$E103 &amp; "!AW23")</f>
        <v>#VALUE!</v>
      </c>
      <c r="O187" s="42" t="e" cm="1">
        <f t="array" aca="1" ref="O187" ca="1">INDIRECT(""&amp;$E103 &amp; "!AX23")</f>
        <v>#VALUE!</v>
      </c>
      <c r="P187" s="175" t="e" cm="1">
        <f t="array" aca="1" ref="P187" ca="1">INDIRECT(""&amp;$E103 &amp; "!AY23")</f>
        <v>#VALUE!</v>
      </c>
      <c r="Q187" s="121" cm="1">
        <f t="array" aca="1" ref="Q187" ca="1">INDIRECT(""&amp;$E103 &amp; "!AZ23")</f>
        <v>0</v>
      </c>
      <c r="R187" s="212" cm="1">
        <f t="array" aca="1" ref="R187" ca="1">INDIRECT(""&amp;$E103 &amp; "!BA23")</f>
        <v>0</v>
      </c>
    </row>
    <row r="188" spans="4:18" x14ac:dyDescent="0.2">
      <c r="D188" s="238"/>
      <c r="E188" s="235"/>
      <c r="F188" s="85" t="str" cm="1">
        <f t="array" aca="1" ref="F188" ca="1">INDIRECT(""&amp;$E103 &amp; "!AO25")</f>
        <v>Med</v>
      </c>
      <c r="G188" s="17" t="e" cm="1">
        <f t="array" aca="1" ref="G188" ca="1">INDIRECT(""&amp;$E103 &amp; "!AP25")</f>
        <v>#VALUE!</v>
      </c>
      <c r="H188" s="172"/>
      <c r="I188" s="172"/>
      <c r="J188" s="172"/>
      <c r="K188" s="42" t="e" cm="1">
        <f t="array" aca="1" ref="K188" ca="1">INDIRECT(""&amp;$E103 &amp; "!AT25")</f>
        <v>#VALUE!</v>
      </c>
      <c r="L188" s="172"/>
      <c r="M188" s="42" t="e" cm="1">
        <f t="array" aca="1" ref="M188" ca="1">INDIRECT(""&amp;$E103 &amp; "!AV25")</f>
        <v>#VALUE!</v>
      </c>
      <c r="N188" s="172"/>
      <c r="O188" s="42" t="e" cm="1">
        <f t="array" aca="1" ref="O188" ca="1">INDIRECT(""&amp;$E103 &amp; "!AX25")</f>
        <v>#VALUE!</v>
      </c>
      <c r="P188" s="175"/>
      <c r="Q188" s="121" cm="1">
        <f t="array" aca="1" ref="Q188" ca="1">INDIRECT(""&amp;$E103 &amp; "!AZ25")</f>
        <v>0</v>
      </c>
      <c r="R188" s="212"/>
    </row>
    <row r="189" spans="4:18" ht="17" thickBot="1" x14ac:dyDescent="0.25">
      <c r="D189" s="238"/>
      <c r="E189" s="236"/>
      <c r="F189" s="86" t="str" cm="1">
        <f t="array" aca="1" ref="F189" ca="1">INDIRECT(""&amp;$E103 &amp; "!AO27")</f>
        <v>Low</v>
      </c>
      <c r="G189" s="17" t="e" cm="1">
        <f t="array" aca="1" ref="G189" ca="1">INDIRECT(""&amp;$E103 &amp; "!AP27")</f>
        <v>#VALUE!</v>
      </c>
      <c r="H189" s="172"/>
      <c r="I189" s="172"/>
      <c r="J189" s="172"/>
      <c r="K189" s="42" t="e" cm="1">
        <f t="array" aca="1" ref="K189" ca="1">INDIRECT(""&amp;$E103 &amp; "!AT27")</f>
        <v>#VALUE!</v>
      </c>
      <c r="L189" s="172"/>
      <c r="M189" s="42" t="e" cm="1">
        <f t="array" aca="1" ref="M189" ca="1">INDIRECT(""&amp;$E103 &amp; "!AV27")</f>
        <v>#VALUE!</v>
      </c>
      <c r="N189" s="172"/>
      <c r="O189" s="42" t="e" cm="1">
        <f t="array" aca="1" ref="O189" ca="1">INDIRECT(""&amp;$E103 &amp; "!Ax27")</f>
        <v>#VALUE!</v>
      </c>
      <c r="P189" s="175"/>
      <c r="Q189" s="121" cm="1">
        <f t="array" aca="1" ref="Q189" ca="1">INDIRECT(""&amp;$E103 &amp; "!AZ27")</f>
        <v>0</v>
      </c>
      <c r="R189" s="212"/>
    </row>
    <row r="190" spans="4:18" x14ac:dyDescent="0.2">
      <c r="D190" s="238"/>
      <c r="E190" s="234" t="str">
        <f>D23</f>
        <v>Tango</v>
      </c>
      <c r="F190" s="84" t="str" cm="1">
        <f t="array" aca="1" ref="F190" ca="1">INDIRECT(""&amp;$E106 &amp; "!AO23")</f>
        <v>High</v>
      </c>
      <c r="G190" s="17" t="e" cm="1">
        <f t="array" aca="1" ref="G190" ca="1">INDIRECT(""&amp;$E106 &amp; "!AP23")</f>
        <v>#VALUE!</v>
      </c>
      <c r="H190" s="172" t="e" cm="1">
        <f t="array" aca="1" ref="H190" ca="1">INDIRECT(""&amp;$E106 &amp; "!AQ23")</f>
        <v>#VALUE!</v>
      </c>
      <c r="I190" s="172" t="e" cm="1">
        <f t="array" aca="1" ref="I190" ca="1">INDIRECT(""&amp;$E106 &amp; "!AR23")</f>
        <v>#VALUE!</v>
      </c>
      <c r="J190" s="172" t="e" cm="1">
        <f t="array" aca="1" ref="J190" ca="1">INDIRECT(""&amp;$E106 &amp; "!AS23")</f>
        <v>#VALUE!</v>
      </c>
      <c r="K190" s="42" t="e" cm="1">
        <f t="array" aca="1" ref="K190" ca="1">INDIRECT(""&amp;$E106 &amp; "!AT23")</f>
        <v>#VALUE!</v>
      </c>
      <c r="L190" s="172" t="e" cm="1">
        <f t="array" aca="1" ref="L190" ca="1">INDIRECT(""&amp;$E106 &amp; "!AU23")</f>
        <v>#VALUE!</v>
      </c>
      <c r="M190" s="42" t="e" cm="1">
        <f t="array" aca="1" ref="M190" ca="1">INDIRECT(""&amp;$E106 &amp; "!AV23")</f>
        <v>#VALUE!</v>
      </c>
      <c r="N190" s="172" t="e" cm="1">
        <f t="array" aca="1" ref="N190" ca="1">INDIRECT(""&amp;$E106 &amp; "!AW23")</f>
        <v>#VALUE!</v>
      </c>
      <c r="O190" s="42" t="e" cm="1">
        <f t="array" aca="1" ref="O190" ca="1">INDIRECT(""&amp;$E106 &amp; "!AX23")</f>
        <v>#VALUE!</v>
      </c>
      <c r="P190" s="175" t="e" cm="1">
        <f t="array" aca="1" ref="P190" ca="1">INDIRECT(""&amp;$E106 &amp; "!AY23")</f>
        <v>#VALUE!</v>
      </c>
      <c r="Q190" s="121" cm="1">
        <f t="array" aca="1" ref="Q190" ca="1">INDIRECT(""&amp;$E106 &amp; "!AZ23")</f>
        <v>0</v>
      </c>
      <c r="R190" s="212" cm="1">
        <f t="array" aca="1" ref="R190" ca="1">INDIRECT(""&amp;$E106 &amp; "!BA23")</f>
        <v>0</v>
      </c>
    </row>
    <row r="191" spans="4:18" x14ac:dyDescent="0.2">
      <c r="D191" s="238"/>
      <c r="E191" s="235"/>
      <c r="F191" s="85" t="str" cm="1">
        <f t="array" aca="1" ref="F191" ca="1">INDIRECT(""&amp;$E106 &amp; "!AO25")</f>
        <v>Med</v>
      </c>
      <c r="G191" s="17" t="e" cm="1">
        <f t="array" aca="1" ref="G191" ca="1">INDIRECT(""&amp;$E106 &amp; "!AP25")</f>
        <v>#VALUE!</v>
      </c>
      <c r="H191" s="172"/>
      <c r="I191" s="172"/>
      <c r="J191" s="172"/>
      <c r="K191" s="42" t="e" cm="1">
        <f t="array" aca="1" ref="K191" ca="1">INDIRECT(""&amp;$E106 &amp; "!AT25")</f>
        <v>#VALUE!</v>
      </c>
      <c r="L191" s="172"/>
      <c r="M191" s="42" t="e" cm="1">
        <f t="array" aca="1" ref="M191" ca="1">INDIRECT(""&amp;$E106 &amp; "!AV25")</f>
        <v>#VALUE!</v>
      </c>
      <c r="N191" s="172"/>
      <c r="O191" s="42" t="e" cm="1">
        <f t="array" aca="1" ref="O191" ca="1">INDIRECT(""&amp;$E106 &amp; "!AX25")</f>
        <v>#VALUE!</v>
      </c>
      <c r="P191" s="175"/>
      <c r="Q191" s="121" cm="1">
        <f t="array" aca="1" ref="Q191" ca="1">INDIRECT(""&amp;$E106 &amp; "!AZ25")</f>
        <v>0</v>
      </c>
      <c r="R191" s="212"/>
    </row>
    <row r="192" spans="4:18" ht="17" thickBot="1" x14ac:dyDescent="0.25">
      <c r="D192" s="238"/>
      <c r="E192" s="236"/>
      <c r="F192" s="86" t="str" cm="1">
        <f t="array" aca="1" ref="F192" ca="1">INDIRECT(""&amp;$E106 &amp; "!AO27")</f>
        <v>Low</v>
      </c>
      <c r="G192" s="17" t="e" cm="1">
        <f t="array" aca="1" ref="G192" ca="1">INDIRECT(""&amp;$E106 &amp; "!AP27")</f>
        <v>#VALUE!</v>
      </c>
      <c r="H192" s="172"/>
      <c r="I192" s="172"/>
      <c r="J192" s="172"/>
      <c r="K192" s="42" t="e" cm="1">
        <f t="array" aca="1" ref="K192" ca="1">INDIRECT(""&amp;$E106 &amp; "!AT27")</f>
        <v>#VALUE!</v>
      </c>
      <c r="L192" s="172"/>
      <c r="M192" s="42" t="e" cm="1">
        <f t="array" aca="1" ref="M192" ca="1">INDIRECT(""&amp;$E106 &amp; "!AV27")</f>
        <v>#VALUE!</v>
      </c>
      <c r="N192" s="172"/>
      <c r="O192" s="42" t="e" cm="1">
        <f t="array" aca="1" ref="O192" ca="1">INDIRECT(""&amp;$E106 &amp; "!Ax27")</f>
        <v>#VALUE!</v>
      </c>
      <c r="P192" s="175"/>
      <c r="Q192" s="121" cm="1">
        <f t="array" aca="1" ref="Q192" ca="1">INDIRECT(""&amp;$E106 &amp; "!AZ27")</f>
        <v>0</v>
      </c>
      <c r="R192" s="212"/>
    </row>
    <row r="193" spans="4:18" x14ac:dyDescent="0.2">
      <c r="D193" s="238"/>
      <c r="E193" s="234" t="str">
        <f>D26</f>
        <v>Timelapse</v>
      </c>
      <c r="F193" s="84" t="str" cm="1">
        <f t="array" aca="1" ref="F193" ca="1">INDIRECT(""&amp;$E109 &amp; "!AO23")</f>
        <v>High</v>
      </c>
      <c r="G193" s="17" t="e" cm="1">
        <f t="array" aca="1" ref="G193" ca="1">INDIRECT(""&amp;$E109 &amp; "!AP23")</f>
        <v>#VALUE!</v>
      </c>
      <c r="H193" s="172" t="e" cm="1">
        <f t="array" aca="1" ref="H193" ca="1">INDIRECT(""&amp;$E109 &amp; "!AQ23")</f>
        <v>#VALUE!</v>
      </c>
      <c r="I193" s="172" t="e" cm="1">
        <f t="array" aca="1" ref="I193" ca="1">INDIRECT(""&amp;$E109 &amp; "!AR23")</f>
        <v>#VALUE!</v>
      </c>
      <c r="J193" s="172" t="e" cm="1">
        <f t="array" aca="1" ref="J193" ca="1">INDIRECT(""&amp;$E109 &amp; "!AS23")</f>
        <v>#VALUE!</v>
      </c>
      <c r="K193" s="42" t="e" cm="1">
        <f t="array" aca="1" ref="K193" ca="1">INDIRECT(""&amp;$E109 &amp; "!AT23")</f>
        <v>#VALUE!</v>
      </c>
      <c r="L193" s="172" t="e" cm="1">
        <f t="array" aca="1" ref="L193" ca="1">INDIRECT(""&amp;$E109 &amp; "!AU23")</f>
        <v>#VALUE!</v>
      </c>
      <c r="M193" s="42" t="e" cm="1">
        <f t="array" aca="1" ref="M193" ca="1">INDIRECT(""&amp;$E109 &amp; "!AV23")</f>
        <v>#VALUE!</v>
      </c>
      <c r="N193" s="172" t="e" cm="1">
        <f t="array" aca="1" ref="N193" ca="1">INDIRECT(""&amp;$E109 &amp; "!AW23")</f>
        <v>#VALUE!</v>
      </c>
      <c r="O193" s="42" t="e" cm="1">
        <f t="array" aca="1" ref="O193" ca="1">INDIRECT(""&amp;$E109 &amp; "!AX23")</f>
        <v>#VALUE!</v>
      </c>
      <c r="P193" s="175" t="e" cm="1">
        <f t="array" aca="1" ref="P193" ca="1">INDIRECT(""&amp;$E109 &amp; "!AY23")</f>
        <v>#VALUE!</v>
      </c>
      <c r="Q193" s="121" cm="1">
        <f t="array" aca="1" ref="Q193" ca="1">INDIRECT(""&amp;$E109 &amp; "!AZ23")</f>
        <v>0</v>
      </c>
      <c r="R193" s="212" cm="1">
        <f t="array" aca="1" ref="R193" ca="1">INDIRECT(""&amp;$E109 &amp; "!BA23")</f>
        <v>0</v>
      </c>
    </row>
    <row r="194" spans="4:18" x14ac:dyDescent="0.2">
      <c r="D194" s="238"/>
      <c r="E194" s="235"/>
      <c r="F194" s="85" t="str" cm="1">
        <f t="array" aca="1" ref="F194" ca="1">INDIRECT(""&amp;$E109 &amp; "!AO25")</f>
        <v>Med</v>
      </c>
      <c r="G194" s="17" t="e" cm="1">
        <f t="array" aca="1" ref="G194" ca="1">INDIRECT(""&amp;$E109 &amp; "!AP25")</f>
        <v>#VALUE!</v>
      </c>
      <c r="H194" s="172"/>
      <c r="I194" s="172"/>
      <c r="J194" s="172"/>
      <c r="K194" s="42" t="e" cm="1">
        <f t="array" aca="1" ref="K194" ca="1">INDIRECT(""&amp;$E109 &amp; "!AT25")</f>
        <v>#VALUE!</v>
      </c>
      <c r="L194" s="172"/>
      <c r="M194" s="42" t="e" cm="1">
        <f t="array" aca="1" ref="M194" ca="1">INDIRECT(""&amp;$E109 &amp; "!AV25")</f>
        <v>#VALUE!</v>
      </c>
      <c r="N194" s="172"/>
      <c r="O194" s="42" t="e" cm="1">
        <f t="array" aca="1" ref="O194" ca="1">INDIRECT(""&amp;$E109 &amp; "!AX25")</f>
        <v>#VALUE!</v>
      </c>
      <c r="P194" s="175"/>
      <c r="Q194" s="121" cm="1">
        <f t="array" aca="1" ref="Q194" ca="1">INDIRECT(""&amp;$E109 &amp; "!AZ25")</f>
        <v>0</v>
      </c>
      <c r="R194" s="212"/>
    </row>
    <row r="195" spans="4:18" ht="17" thickBot="1" x14ac:dyDescent="0.25">
      <c r="D195" s="238"/>
      <c r="E195" s="235"/>
      <c r="F195" s="105" t="str" cm="1">
        <f t="array" aca="1" ref="F195" ca="1">INDIRECT(""&amp;$E109 &amp; "!AO27")</f>
        <v>Low</v>
      </c>
      <c r="G195" s="49" t="e" cm="1">
        <f t="array" aca="1" ref="G195" ca="1">INDIRECT(""&amp;$E109 &amp; "!AP27")</f>
        <v>#VALUE!</v>
      </c>
      <c r="H195" s="208"/>
      <c r="I195" s="208"/>
      <c r="J195" s="208"/>
      <c r="K195" s="101" t="e" cm="1">
        <f t="array" aca="1" ref="K195" ca="1">INDIRECT(""&amp;$E109 &amp; "!AT27")</f>
        <v>#VALUE!</v>
      </c>
      <c r="L195" s="208"/>
      <c r="M195" s="101" t="e" cm="1">
        <f t="array" aca="1" ref="M195" ca="1">INDIRECT(""&amp;$E109 &amp; "!AV27")</f>
        <v>#VALUE!</v>
      </c>
      <c r="N195" s="208"/>
      <c r="O195" s="101" t="e" cm="1">
        <f t="array" aca="1" ref="O195" ca="1">INDIRECT(""&amp;$E109 &amp; "!Ax27")</f>
        <v>#VALUE!</v>
      </c>
      <c r="P195" s="218"/>
      <c r="Q195" s="126" cm="1">
        <f t="array" aca="1" ref="Q195" ca="1">INDIRECT(""&amp;$E109 &amp; "!AZ27")</f>
        <v>0</v>
      </c>
      <c r="R195" s="213"/>
    </row>
    <row r="196" spans="4:18" x14ac:dyDescent="0.2">
      <c r="D196" s="238"/>
      <c r="E196" s="234" t="s">
        <v>98</v>
      </c>
      <c r="F196" s="84" t="s">
        <v>27</v>
      </c>
      <c r="G196" s="44" t="e">
        <f ca="1">AVERAGE(G172,G175,G178,G181,G184,G187,G190,G193)</f>
        <v>#VALUE!</v>
      </c>
      <c r="H196" s="171" t="e">
        <f ca="1">AVERAGE(H172:H195)</f>
        <v>#VALUE!</v>
      </c>
      <c r="I196" s="171" t="e">
        <f ca="1">AVERAGE(I172:I195)</f>
        <v>#VALUE!</v>
      </c>
      <c r="J196" s="171" t="e">
        <f ca="1">AVERAGE(J172:J195)</f>
        <v>#VALUE!</v>
      </c>
      <c r="K196" s="56" t="e">
        <f ca="1">AVERAGE(K172,K175,K178,K181,K184,K187,K190,K193)</f>
        <v>#VALUE!</v>
      </c>
      <c r="L196" s="171" t="e">
        <f ca="1">AVERAGE(L172:L195)</f>
        <v>#VALUE!</v>
      </c>
      <c r="M196" s="56" t="e">
        <f ca="1">AVERAGE(M172,M175,M178,M181,M184,M187,M190,M193)</f>
        <v>#VALUE!</v>
      </c>
      <c r="N196" s="171" t="e">
        <f ca="1">AVERAGE(N172:N195)</f>
        <v>#VALUE!</v>
      </c>
      <c r="O196" s="56" t="e">
        <f ca="1">AVERAGE(O172,O175,O178,O181,O184,O187,O190,O193)</f>
        <v>#VALUE!</v>
      </c>
      <c r="P196" s="174" t="e">
        <f ca="1">AVERAGE(P172:P195)</f>
        <v>#VALUE!</v>
      </c>
      <c r="Q196" s="120">
        <f ca="1">SUM(Q172,Q175,Q178,Q181,Q184,Q187,Q190,Q193)</f>
        <v>0</v>
      </c>
      <c r="R196" s="211">
        <f ca="1">SUM(R172:R195)</f>
        <v>0</v>
      </c>
    </row>
    <row r="197" spans="4:18" x14ac:dyDescent="0.2">
      <c r="D197" s="238"/>
      <c r="E197" s="235"/>
      <c r="F197" s="85" t="s">
        <v>28</v>
      </c>
      <c r="G197" s="17" t="e">
        <f ca="1">AVERAGE(G173,G176,G179,G182,G185,G188,G191,G194)</f>
        <v>#VALUE!</v>
      </c>
      <c r="H197" s="172"/>
      <c r="I197" s="172"/>
      <c r="J197" s="172"/>
      <c r="K197" s="42" t="e">
        <f ca="1">AVERAGE(K173,K176,K179,K182,K185,K188,K191,K194)</f>
        <v>#VALUE!</v>
      </c>
      <c r="L197" s="172"/>
      <c r="M197" s="42" t="e">
        <f ca="1">AVERAGE(M173,M176,M179,M182,M185,M188,M191,M194)</f>
        <v>#VALUE!</v>
      </c>
      <c r="N197" s="172"/>
      <c r="O197" s="42" t="e">
        <f ca="1">AVERAGE(O173,O176,O179,O182,O185,O188,O191,O194)</f>
        <v>#VALUE!</v>
      </c>
      <c r="P197" s="175"/>
      <c r="Q197" s="121">
        <f ca="1">SUM(Q173,Q176,Q179,Q182,Q185,Q188,Q191,Q194)</f>
        <v>0</v>
      </c>
      <c r="R197" s="212"/>
    </row>
    <row r="198" spans="4:18" ht="17" thickBot="1" x14ac:dyDescent="0.25">
      <c r="D198" s="239"/>
      <c r="E198" s="236"/>
      <c r="F198" s="86" t="s">
        <v>29</v>
      </c>
      <c r="G198" s="47" t="e">
        <f ca="1">AVERAGE(G174,G177,G180,G183,G186,G189,G192,G195)</f>
        <v>#VALUE!</v>
      </c>
      <c r="H198" s="173"/>
      <c r="I198" s="173"/>
      <c r="J198" s="173"/>
      <c r="K198" s="57" t="e">
        <f ca="1">AVERAGE(K174,K177,K180,K183,K186,K189,K192,K195)</f>
        <v>#VALUE!</v>
      </c>
      <c r="L198" s="173"/>
      <c r="M198" s="57" t="e">
        <f ca="1">AVERAGE(M174,M177,M180,M183,M186,M189,M192,M195)</f>
        <v>#VALUE!</v>
      </c>
      <c r="N198" s="173"/>
      <c r="O198" s="57" t="e">
        <f ca="1">AVERAGE(O174,O177,O180,O183,O186,O189,O192,O195)</f>
        <v>#VALUE!</v>
      </c>
      <c r="P198" s="188"/>
      <c r="Q198" s="122">
        <f ca="1">SUM(Q174,Q177,Q180,Q183,Q186,Q189,Q192,Q195)</f>
        <v>0</v>
      </c>
      <c r="R198" s="240"/>
    </row>
    <row r="199" spans="4:18" ht="17" thickBot="1" x14ac:dyDescent="0.25">
      <c r="D199" s="88"/>
      <c r="E199" s="89"/>
      <c r="F199" s="112"/>
      <c r="G199" s="102"/>
      <c r="H199" s="83"/>
      <c r="I199" s="83"/>
      <c r="J199" s="83"/>
      <c r="K199" s="100"/>
      <c r="L199" s="83"/>
      <c r="M199" s="100"/>
      <c r="N199" s="83"/>
      <c r="O199" s="100"/>
      <c r="P199" s="113"/>
    </row>
    <row r="200" spans="4:18" x14ac:dyDescent="0.2">
      <c r="D200" s="237" t="str">
        <f>BoxingPractice!A29</f>
        <v>960x540</v>
      </c>
      <c r="E200" s="234" t="str">
        <f>D5</f>
        <v>BoxingPractice</v>
      </c>
      <c r="F200" s="84" t="str" cm="1">
        <f t="array" aca="1" ref="F200" ca="1">INDIRECT(""&amp;$E88 &amp; "!AO29")</f>
        <v>High</v>
      </c>
      <c r="G200" s="44" t="e" cm="1">
        <f t="array" aca="1" ref="G200" ca="1">INDIRECT(""&amp;$E88 &amp; "!AP29")</f>
        <v>#VALUE!</v>
      </c>
      <c r="H200" s="171" t="e" cm="1">
        <f t="array" aca="1" ref="H200" ca="1">INDIRECT(""&amp;$E88 &amp; "!AQ29")</f>
        <v>#VALUE!</v>
      </c>
      <c r="I200" s="171" t="e" cm="1">
        <f t="array" aca="1" ref="I200" ca="1">INDIRECT(""&amp;$E88 &amp; "!AR29")</f>
        <v>#VALUE!</v>
      </c>
      <c r="J200" s="171" t="e" cm="1">
        <f t="array" aca="1" ref="J200" ca="1">INDIRECT(""&amp;$E88 &amp; "!AS29")</f>
        <v>#VALUE!</v>
      </c>
      <c r="K200" s="56" t="e" cm="1">
        <f t="array" aca="1" ref="K200" ca="1">INDIRECT(""&amp;$E88 &amp; "!AT29")</f>
        <v>#VALUE!</v>
      </c>
      <c r="L200" s="171" t="e" cm="1">
        <f t="array" aca="1" ref="L200" ca="1">INDIRECT(""&amp;$E88 &amp; "!AU29")</f>
        <v>#VALUE!</v>
      </c>
      <c r="M200" s="56" t="e" cm="1">
        <f t="array" aca="1" ref="M200" ca="1">INDIRECT(""&amp;$E88 &amp; "!AV29")</f>
        <v>#VALUE!</v>
      </c>
      <c r="N200" s="171" t="e" cm="1">
        <f t="array" aca="1" ref="N200" ca="1">INDIRECT(""&amp;$E88 &amp; "!AW29")</f>
        <v>#VALUE!</v>
      </c>
      <c r="O200" s="56" t="e" cm="1">
        <f t="array" aca="1" ref="O200" ca="1">INDIRECT(""&amp;$E88 &amp; "!AX29")</f>
        <v>#VALUE!</v>
      </c>
      <c r="P200" s="174" t="e" cm="1">
        <f t="array" aca="1" ref="P200" ca="1">INDIRECT(""&amp;$E88 &amp; "!AY29")</f>
        <v>#VALUE!</v>
      </c>
      <c r="Q200" s="120" cm="1">
        <f t="array" aca="1" ref="Q200" ca="1">INDIRECT(""&amp;$E88 &amp; "!AZ29")</f>
        <v>0</v>
      </c>
      <c r="R200" s="211" cm="1">
        <f t="array" aca="1" ref="R200" ca="1">INDIRECT(""&amp;$E88 &amp; "!BA29")</f>
        <v>0</v>
      </c>
    </row>
    <row r="201" spans="4:18" x14ac:dyDescent="0.2">
      <c r="D201" s="238"/>
      <c r="E201" s="235"/>
      <c r="F201" s="85" t="str" cm="1">
        <f t="array" aca="1" ref="F201" ca="1">INDIRECT(""&amp;$E88 &amp; "!AO31")</f>
        <v>Med</v>
      </c>
      <c r="G201" s="17" t="e" cm="1">
        <f t="array" aca="1" ref="G201" ca="1">INDIRECT(""&amp;$E88 &amp; "!AP31")</f>
        <v>#VALUE!</v>
      </c>
      <c r="H201" s="172"/>
      <c r="I201" s="172"/>
      <c r="J201" s="172"/>
      <c r="K201" s="42" t="e" cm="1">
        <f t="array" aca="1" ref="K201" ca="1">INDIRECT(""&amp;$E88 &amp; "!AT31")</f>
        <v>#VALUE!</v>
      </c>
      <c r="L201" s="172"/>
      <c r="M201" s="42" t="e" cm="1">
        <f t="array" aca="1" ref="M201" ca="1">INDIRECT(""&amp;$E88 &amp; "!AV31")</f>
        <v>#VALUE!</v>
      </c>
      <c r="N201" s="172"/>
      <c r="O201" s="42" t="e" cm="1">
        <f t="array" aca="1" ref="O201" ca="1">INDIRECT(""&amp;$E88 &amp; "!AX31")</f>
        <v>#VALUE!</v>
      </c>
      <c r="P201" s="175"/>
      <c r="Q201" s="121" cm="1">
        <f t="array" aca="1" ref="Q201" ca="1">INDIRECT(""&amp;$E88 &amp; "!AZ31")</f>
        <v>0</v>
      </c>
      <c r="R201" s="212"/>
    </row>
    <row r="202" spans="4:18" ht="17" thickBot="1" x14ac:dyDescent="0.25">
      <c r="D202" s="238"/>
      <c r="E202" s="236"/>
      <c r="F202" s="86" t="str" cm="1">
        <f t="array" aca="1" ref="F202" ca="1">INDIRECT(""&amp;$E88 &amp; "!AO33")</f>
        <v>Low</v>
      </c>
      <c r="G202" s="17" t="e" cm="1">
        <f t="array" aca="1" ref="G202" ca="1">INDIRECT(""&amp;$E88 &amp; "!AP33")</f>
        <v>#VALUE!</v>
      </c>
      <c r="H202" s="172"/>
      <c r="I202" s="172"/>
      <c r="J202" s="172"/>
      <c r="K202" s="42" t="e" cm="1">
        <f t="array" aca="1" ref="K202" ca="1">INDIRECT(""&amp;$E88 &amp; "!AT33")</f>
        <v>#VALUE!</v>
      </c>
      <c r="L202" s="172"/>
      <c r="M202" s="42" t="e" cm="1">
        <f t="array" aca="1" ref="M202" ca="1">INDIRECT(""&amp;$E88 &amp; "!AV33")</f>
        <v>#VALUE!</v>
      </c>
      <c r="N202" s="172"/>
      <c r="O202" s="42" t="e" cm="1">
        <f t="array" aca="1" ref="O202" ca="1">INDIRECT(""&amp;$E88 &amp; "!Ax33")</f>
        <v>#VALUE!</v>
      </c>
      <c r="P202" s="175"/>
      <c r="Q202" s="121" cm="1">
        <f t="array" aca="1" ref="Q202" ca="1">INDIRECT(""&amp;$E88 &amp; "!AZ33")</f>
        <v>0</v>
      </c>
      <c r="R202" s="212"/>
    </row>
    <row r="203" spans="4:18" x14ac:dyDescent="0.2">
      <c r="D203" s="238"/>
      <c r="E203" s="234" t="str">
        <f>D8</f>
        <v>CrossWalk</v>
      </c>
      <c r="F203" s="84" t="str" cm="1">
        <f t="array" aca="1" ref="F203" ca="1">INDIRECT(""&amp;$E91 &amp; "!AO29")</f>
        <v>High</v>
      </c>
      <c r="G203" s="17" t="e" cm="1">
        <f t="array" aca="1" ref="G203" ca="1">INDIRECT(""&amp;$E91 &amp; "!AP29")</f>
        <v>#VALUE!</v>
      </c>
      <c r="H203" s="172" t="e" cm="1">
        <f t="array" aca="1" ref="H203" ca="1">INDIRECT(""&amp;$E91 &amp; "!AQ29")</f>
        <v>#VALUE!</v>
      </c>
      <c r="I203" s="172" t="e" cm="1">
        <f t="array" aca="1" ref="I203" ca="1">INDIRECT(""&amp;$E91 &amp; "!AR29")</f>
        <v>#VALUE!</v>
      </c>
      <c r="J203" s="172" t="e" cm="1">
        <f t="array" aca="1" ref="J203" ca="1">INDIRECT(""&amp;$E91 &amp; "!AS29")</f>
        <v>#VALUE!</v>
      </c>
      <c r="K203" s="42" t="e" cm="1">
        <f t="array" aca="1" ref="K203" ca="1">INDIRECT(""&amp;$E91 &amp; "!AT29")</f>
        <v>#VALUE!</v>
      </c>
      <c r="L203" s="172" t="e" cm="1">
        <f t="array" aca="1" ref="L203" ca="1">INDIRECT(""&amp;$E91 &amp; "!AU29")</f>
        <v>#VALUE!</v>
      </c>
      <c r="M203" s="42" t="e" cm="1">
        <f t="array" aca="1" ref="M203" ca="1">INDIRECT(""&amp;$E91 &amp; "!AV29")</f>
        <v>#VALUE!</v>
      </c>
      <c r="N203" s="172" t="e" cm="1">
        <f t="array" aca="1" ref="N203" ca="1">INDIRECT(""&amp;$E91 &amp; "!AW29")</f>
        <v>#VALUE!</v>
      </c>
      <c r="O203" s="42" t="e" cm="1">
        <f t="array" aca="1" ref="O203" ca="1">INDIRECT(""&amp;$E91 &amp; "!AX29")</f>
        <v>#VALUE!</v>
      </c>
      <c r="P203" s="175" t="e" cm="1">
        <f t="array" aca="1" ref="P203" ca="1">INDIRECT(""&amp;$E91 &amp; "!AY29")</f>
        <v>#VALUE!</v>
      </c>
      <c r="Q203" s="121" cm="1">
        <f t="array" aca="1" ref="Q203" ca="1">INDIRECT(""&amp;$E91 &amp; "!AZ29")</f>
        <v>0</v>
      </c>
      <c r="R203" s="212" cm="1">
        <f t="array" aca="1" ref="R203" ca="1">INDIRECT(""&amp;$E91 &amp; "!BA29")</f>
        <v>0</v>
      </c>
    </row>
    <row r="204" spans="4:18" x14ac:dyDescent="0.2">
      <c r="D204" s="238"/>
      <c r="E204" s="235"/>
      <c r="F204" s="85" t="str" cm="1">
        <f t="array" aca="1" ref="F204" ca="1">INDIRECT(""&amp;$E91 &amp; "!AO31")</f>
        <v>Med</v>
      </c>
      <c r="G204" s="17" t="e" cm="1">
        <f t="array" aca="1" ref="G204" ca="1">INDIRECT(""&amp;$E91 &amp; "!AP31")</f>
        <v>#VALUE!</v>
      </c>
      <c r="H204" s="172"/>
      <c r="I204" s="172"/>
      <c r="J204" s="172"/>
      <c r="K204" s="42" t="e" cm="1">
        <f t="array" aca="1" ref="K204" ca="1">INDIRECT(""&amp;$E91 &amp; "!AT31")</f>
        <v>#VALUE!</v>
      </c>
      <c r="L204" s="172"/>
      <c r="M204" s="42" t="e" cm="1">
        <f t="array" aca="1" ref="M204" ca="1">INDIRECT(""&amp;$E91 &amp; "!AV31")</f>
        <v>#VALUE!</v>
      </c>
      <c r="N204" s="172"/>
      <c r="O204" s="42" t="e" cm="1">
        <f t="array" aca="1" ref="O204" ca="1">INDIRECT(""&amp;$E91 &amp; "!AX31")</f>
        <v>#VALUE!</v>
      </c>
      <c r="P204" s="175"/>
      <c r="Q204" s="121" cm="1">
        <f t="array" aca="1" ref="Q204" ca="1">INDIRECT(""&amp;$E91 &amp; "!AZ31")</f>
        <v>0</v>
      </c>
      <c r="R204" s="212"/>
    </row>
    <row r="205" spans="4:18" ht="17" thickBot="1" x14ac:dyDescent="0.25">
      <c r="D205" s="238"/>
      <c r="E205" s="236"/>
      <c r="F205" s="86" t="str" cm="1">
        <f t="array" aca="1" ref="F205" ca="1">INDIRECT(""&amp;$E91 &amp; "!AO33")</f>
        <v>Low</v>
      </c>
      <c r="G205" s="17" t="e" cm="1">
        <f t="array" aca="1" ref="G205" ca="1">INDIRECT(""&amp;$E91 &amp; "!AP33")</f>
        <v>#VALUE!</v>
      </c>
      <c r="H205" s="172"/>
      <c r="I205" s="172"/>
      <c r="J205" s="172"/>
      <c r="K205" s="42" t="e" cm="1">
        <f t="array" aca="1" ref="K205" ca="1">INDIRECT(""&amp;$E91 &amp; "!AT33")</f>
        <v>#VALUE!</v>
      </c>
      <c r="L205" s="172"/>
      <c r="M205" s="42" t="e" cm="1">
        <f t="array" aca="1" ref="M205" ca="1">INDIRECT(""&amp;$E91 &amp; "!AV33")</f>
        <v>#VALUE!</v>
      </c>
      <c r="N205" s="172"/>
      <c r="O205" s="42" t="e" cm="1">
        <f t="array" aca="1" ref="O205" ca="1">INDIRECT(""&amp;$E91 &amp; "!Ax33")</f>
        <v>#VALUE!</v>
      </c>
      <c r="P205" s="175"/>
      <c r="Q205" s="121" cm="1">
        <f t="array" aca="1" ref="Q205" ca="1">INDIRECT(""&amp;$E91 &amp; "!AZ33")</f>
        <v>0</v>
      </c>
      <c r="R205" s="212"/>
    </row>
    <row r="206" spans="4:18" x14ac:dyDescent="0.2">
      <c r="D206" s="238"/>
      <c r="E206" s="234" t="str">
        <f>D11</f>
        <v>FoodMarket2</v>
      </c>
      <c r="F206" s="84" t="str" cm="1">
        <f t="array" aca="1" ref="F206" ca="1">INDIRECT(""&amp;$E94 &amp; "!AO29")</f>
        <v>High</v>
      </c>
      <c r="G206" s="17" t="e" cm="1">
        <f t="array" aca="1" ref="G206" ca="1">INDIRECT(""&amp;$E94 &amp; "!AP29")</f>
        <v>#VALUE!</v>
      </c>
      <c r="H206" s="172" t="e" cm="1">
        <f t="array" aca="1" ref="H206" ca="1">INDIRECT(""&amp;$E94 &amp; "!AQ29")</f>
        <v>#VALUE!</v>
      </c>
      <c r="I206" s="172" t="e" cm="1">
        <f t="array" aca="1" ref="I206" ca="1">INDIRECT(""&amp;$E94 &amp; "!AR29")</f>
        <v>#VALUE!</v>
      </c>
      <c r="J206" s="172" t="e" cm="1">
        <f t="array" aca="1" ref="J206" ca="1">INDIRECT(""&amp;$E94 &amp; "!AS29")</f>
        <v>#VALUE!</v>
      </c>
      <c r="K206" s="42" t="e" cm="1">
        <f t="array" aca="1" ref="K206" ca="1">INDIRECT(""&amp;$E94 &amp; "!AT29")</f>
        <v>#VALUE!</v>
      </c>
      <c r="L206" s="172" t="e" cm="1">
        <f t="array" aca="1" ref="L206" ca="1">INDIRECT(""&amp;$E94 &amp; "!AU29")</f>
        <v>#VALUE!</v>
      </c>
      <c r="M206" s="42" t="e" cm="1">
        <f t="array" aca="1" ref="M206" ca="1">INDIRECT(""&amp;$E94 &amp; "!AV29")</f>
        <v>#VALUE!</v>
      </c>
      <c r="N206" s="172" t="e" cm="1">
        <f t="array" aca="1" ref="N206" ca="1">INDIRECT(""&amp;$E94 &amp; "!AW29")</f>
        <v>#VALUE!</v>
      </c>
      <c r="O206" s="42" t="e" cm="1">
        <f t="array" aca="1" ref="O206" ca="1">INDIRECT(""&amp;$E94 &amp; "!AX29")</f>
        <v>#VALUE!</v>
      </c>
      <c r="P206" s="175" t="e" cm="1">
        <f t="array" aca="1" ref="P206" ca="1">INDIRECT(""&amp;$E94 &amp; "!AY29")</f>
        <v>#VALUE!</v>
      </c>
      <c r="Q206" s="121" cm="1">
        <f t="array" aca="1" ref="Q206" ca="1">INDIRECT(""&amp;$E94 &amp; "!AZ29")</f>
        <v>0</v>
      </c>
      <c r="R206" s="212" cm="1">
        <f t="array" aca="1" ref="R206" ca="1">INDIRECT(""&amp;$E94 &amp; "!BA29")</f>
        <v>0</v>
      </c>
    </row>
    <row r="207" spans="4:18" x14ac:dyDescent="0.2">
      <c r="D207" s="238"/>
      <c r="E207" s="235"/>
      <c r="F207" s="85" t="str" cm="1">
        <f t="array" aca="1" ref="F207" ca="1">INDIRECT(""&amp;$E94 &amp; "!AO31")</f>
        <v>Med</v>
      </c>
      <c r="G207" s="17" t="e" cm="1">
        <f t="array" aca="1" ref="G207" ca="1">INDIRECT(""&amp;$E94 &amp; "!AP31")</f>
        <v>#VALUE!</v>
      </c>
      <c r="H207" s="172"/>
      <c r="I207" s="172"/>
      <c r="J207" s="172"/>
      <c r="K207" s="42" t="e" cm="1">
        <f t="array" aca="1" ref="K207" ca="1">INDIRECT(""&amp;$E94 &amp; "!AT31")</f>
        <v>#VALUE!</v>
      </c>
      <c r="L207" s="172"/>
      <c r="M207" s="42" t="e" cm="1">
        <f t="array" aca="1" ref="M207" ca="1">INDIRECT(""&amp;$E94 &amp; "!AV31")</f>
        <v>#VALUE!</v>
      </c>
      <c r="N207" s="172"/>
      <c r="O207" s="42" t="e" cm="1">
        <f t="array" aca="1" ref="O207" ca="1">INDIRECT(""&amp;$E94 &amp; "!AX31")</f>
        <v>#VALUE!</v>
      </c>
      <c r="P207" s="175"/>
      <c r="Q207" s="121" cm="1">
        <f t="array" aca="1" ref="Q207" ca="1">INDIRECT(""&amp;$E94 &amp; "!AZ31")</f>
        <v>0</v>
      </c>
      <c r="R207" s="212"/>
    </row>
    <row r="208" spans="4:18" ht="17" thickBot="1" x14ac:dyDescent="0.25">
      <c r="D208" s="238"/>
      <c r="E208" s="236"/>
      <c r="F208" s="86" t="str" cm="1">
        <f t="array" aca="1" ref="F208" ca="1">INDIRECT(""&amp;$E94 &amp; "!AO33")</f>
        <v>Low</v>
      </c>
      <c r="G208" s="17" t="e" cm="1">
        <f t="array" aca="1" ref="G208" ca="1">INDIRECT(""&amp;$E94 &amp; "!AP33")</f>
        <v>#VALUE!</v>
      </c>
      <c r="H208" s="172"/>
      <c r="I208" s="172"/>
      <c r="J208" s="172"/>
      <c r="K208" s="42" t="e" cm="1">
        <f t="array" aca="1" ref="K208" ca="1">INDIRECT(""&amp;$E94 &amp; "!AT33")</f>
        <v>#VALUE!</v>
      </c>
      <c r="L208" s="172"/>
      <c r="M208" s="42" t="e" cm="1">
        <f t="array" aca="1" ref="M208" ca="1">INDIRECT(""&amp;$E94 &amp; "!AV33")</f>
        <v>#VALUE!</v>
      </c>
      <c r="N208" s="172"/>
      <c r="O208" s="42" t="e" cm="1">
        <f t="array" aca="1" ref="O208" ca="1">INDIRECT(""&amp;$E94 &amp; "!Ax33")</f>
        <v>#VALUE!</v>
      </c>
      <c r="P208" s="175"/>
      <c r="Q208" s="121" cm="1">
        <f t="array" aca="1" ref="Q208" ca="1">INDIRECT(""&amp;$E94 &amp; "!AZ33")</f>
        <v>0</v>
      </c>
      <c r="R208" s="212"/>
    </row>
    <row r="209" spans="4:18" x14ac:dyDescent="0.2">
      <c r="D209" s="238"/>
      <c r="E209" s="234" t="str">
        <f>D14</f>
        <v>Neon1224</v>
      </c>
      <c r="F209" s="84" t="str" cm="1">
        <f t="array" aca="1" ref="F209" ca="1">INDIRECT(""&amp;$E97 &amp; "!AO29")</f>
        <v>High</v>
      </c>
      <c r="G209" s="17" t="e" cm="1">
        <f t="array" aca="1" ref="G209" ca="1">INDIRECT(""&amp;$E97 &amp; "!AP29")</f>
        <v>#VALUE!</v>
      </c>
      <c r="H209" s="172" t="e" cm="1">
        <f t="array" aca="1" ref="H209" ca="1">INDIRECT(""&amp;$E97 &amp; "!AQ29")</f>
        <v>#VALUE!</v>
      </c>
      <c r="I209" s="172" t="e" cm="1">
        <f t="array" aca="1" ref="I209" ca="1">INDIRECT(""&amp;$E97 &amp; "!AR29")</f>
        <v>#VALUE!</v>
      </c>
      <c r="J209" s="172" t="e" cm="1">
        <f t="array" aca="1" ref="J209" ca="1">INDIRECT(""&amp;$E97 &amp; "!AS29")</f>
        <v>#VALUE!</v>
      </c>
      <c r="K209" s="42" t="e" cm="1">
        <f t="array" aca="1" ref="K209" ca="1">INDIRECT(""&amp;$E97 &amp; "!AT29")</f>
        <v>#VALUE!</v>
      </c>
      <c r="L209" s="172" t="e" cm="1">
        <f t="array" aca="1" ref="L209" ca="1">INDIRECT(""&amp;$E97 &amp; "!AU29")</f>
        <v>#VALUE!</v>
      </c>
      <c r="M209" s="42" t="e" cm="1">
        <f t="array" aca="1" ref="M209" ca="1">INDIRECT(""&amp;$E97 &amp; "!AV29")</f>
        <v>#VALUE!</v>
      </c>
      <c r="N209" s="172" t="e" cm="1">
        <f t="array" aca="1" ref="N209" ca="1">INDIRECT(""&amp;$E97 &amp; "!AW29")</f>
        <v>#VALUE!</v>
      </c>
      <c r="O209" s="42" t="e" cm="1">
        <f t="array" aca="1" ref="O209" ca="1">INDIRECT(""&amp;$E97 &amp; "!AX29")</f>
        <v>#VALUE!</v>
      </c>
      <c r="P209" s="175" t="e" cm="1">
        <f t="array" aca="1" ref="P209" ca="1">INDIRECT(""&amp;$E97 &amp; "!AY29")</f>
        <v>#VALUE!</v>
      </c>
      <c r="Q209" s="121" cm="1">
        <f t="array" aca="1" ref="Q209" ca="1">INDIRECT(""&amp;$E97 &amp; "!AZ29")</f>
        <v>0</v>
      </c>
      <c r="R209" s="212" cm="1">
        <f t="array" aca="1" ref="R209" ca="1">INDIRECT(""&amp;$E97 &amp; "!BA29")</f>
        <v>0</v>
      </c>
    </row>
    <row r="210" spans="4:18" x14ac:dyDescent="0.2">
      <c r="D210" s="238"/>
      <c r="E210" s="235"/>
      <c r="F210" s="85" t="str" cm="1">
        <f t="array" aca="1" ref="F210" ca="1">INDIRECT(""&amp;$E97 &amp; "!AO31")</f>
        <v>Med</v>
      </c>
      <c r="G210" s="17" t="e" cm="1">
        <f t="array" aca="1" ref="G210" ca="1">INDIRECT(""&amp;$E97 &amp; "!AP31")</f>
        <v>#VALUE!</v>
      </c>
      <c r="H210" s="172"/>
      <c r="I210" s="172"/>
      <c r="J210" s="172"/>
      <c r="K210" s="42" t="e" cm="1">
        <f t="array" aca="1" ref="K210" ca="1">INDIRECT(""&amp;$E97 &amp; "!AT31")</f>
        <v>#VALUE!</v>
      </c>
      <c r="L210" s="172"/>
      <c r="M210" s="42" t="e" cm="1">
        <f t="array" aca="1" ref="M210" ca="1">INDIRECT(""&amp;$E97 &amp; "!AV31")</f>
        <v>#VALUE!</v>
      </c>
      <c r="N210" s="172"/>
      <c r="O210" s="42" t="e" cm="1">
        <f t="array" aca="1" ref="O210" ca="1">INDIRECT(""&amp;$E97 &amp; "!AX31")</f>
        <v>#VALUE!</v>
      </c>
      <c r="P210" s="175"/>
      <c r="Q210" s="121" cm="1">
        <f t="array" aca="1" ref="Q210" ca="1">INDIRECT(""&amp;$E97 &amp; "!AZ31")</f>
        <v>0</v>
      </c>
      <c r="R210" s="212"/>
    </row>
    <row r="211" spans="4:18" ht="17" thickBot="1" x14ac:dyDescent="0.25">
      <c r="D211" s="238"/>
      <c r="E211" s="236"/>
      <c r="F211" s="86" t="str" cm="1">
        <f t="array" aca="1" ref="F211" ca="1">INDIRECT(""&amp;$E97 &amp; "!AO33")</f>
        <v>Low</v>
      </c>
      <c r="G211" s="17" t="e" cm="1">
        <f t="array" aca="1" ref="G211" ca="1">INDIRECT(""&amp;$E97 &amp; "!AP33")</f>
        <v>#VALUE!</v>
      </c>
      <c r="H211" s="172"/>
      <c r="I211" s="172"/>
      <c r="J211" s="172"/>
      <c r="K211" s="42" t="e" cm="1">
        <f t="array" aca="1" ref="K211" ca="1">INDIRECT(""&amp;$E97 &amp; "!AT33")</f>
        <v>#VALUE!</v>
      </c>
      <c r="L211" s="172"/>
      <c r="M211" s="42" t="e" cm="1">
        <f t="array" aca="1" ref="M211" ca="1">INDIRECT(""&amp;$E97 &amp; "!AV33")</f>
        <v>#VALUE!</v>
      </c>
      <c r="N211" s="172"/>
      <c r="O211" s="42" t="e" cm="1">
        <f t="array" aca="1" ref="O211" ca="1">INDIRECT(""&amp;$E97 &amp; "!Ax33")</f>
        <v>#VALUE!</v>
      </c>
      <c r="P211" s="175"/>
      <c r="Q211" s="121" cm="1">
        <f t="array" aca="1" ref="Q211" ca="1">INDIRECT(""&amp;$E97 &amp; "!AZ33")</f>
        <v>0</v>
      </c>
      <c r="R211" s="212"/>
    </row>
    <row r="212" spans="4:18" x14ac:dyDescent="0.2">
      <c r="D212" s="238"/>
      <c r="E212" s="234" t="str">
        <f>D17</f>
        <v>NocturneDance</v>
      </c>
      <c r="F212" s="84" t="str" cm="1">
        <f t="array" aca="1" ref="F212" ca="1">INDIRECT(""&amp;$E100 &amp; "!AO29")</f>
        <v>High</v>
      </c>
      <c r="G212" s="17" t="e" cm="1">
        <f t="array" aca="1" ref="G212" ca="1">INDIRECT(""&amp;$E100 &amp; "!AP29")</f>
        <v>#VALUE!</v>
      </c>
      <c r="H212" s="172" t="e" cm="1">
        <f t="array" aca="1" ref="H212" ca="1">INDIRECT(""&amp;$E100 &amp; "!AQ29")</f>
        <v>#VALUE!</v>
      </c>
      <c r="I212" s="172" t="e" cm="1">
        <f t="array" aca="1" ref="I212" ca="1">INDIRECT(""&amp;$E100 &amp; "!AR29")</f>
        <v>#VALUE!</v>
      </c>
      <c r="J212" s="172" t="e" cm="1">
        <f t="array" aca="1" ref="J212" ca="1">INDIRECT(""&amp;$E100 &amp; "!AS29")</f>
        <v>#VALUE!</v>
      </c>
      <c r="K212" s="42" t="e" cm="1">
        <f t="array" aca="1" ref="K212" ca="1">INDIRECT(""&amp;$E100 &amp; "!AT29")</f>
        <v>#VALUE!</v>
      </c>
      <c r="L212" s="172" t="e" cm="1">
        <f t="array" aca="1" ref="L212" ca="1">INDIRECT(""&amp;$E100 &amp; "!AU29")</f>
        <v>#VALUE!</v>
      </c>
      <c r="M212" s="42" t="e" cm="1">
        <f t="array" aca="1" ref="M212" ca="1">INDIRECT(""&amp;$E100 &amp; "!AV29")</f>
        <v>#VALUE!</v>
      </c>
      <c r="N212" s="172" t="e" cm="1">
        <f t="array" aca="1" ref="N212" ca="1">INDIRECT(""&amp;$E100 &amp; "!AW29")</f>
        <v>#VALUE!</v>
      </c>
      <c r="O212" s="42" t="e" cm="1">
        <f t="array" aca="1" ref="O212" ca="1">INDIRECT(""&amp;$E100 &amp; "!AX29")</f>
        <v>#VALUE!</v>
      </c>
      <c r="P212" s="175" t="e" cm="1">
        <f t="array" aca="1" ref="P212" ca="1">INDIRECT(""&amp;$E100 &amp; "!AY29")</f>
        <v>#VALUE!</v>
      </c>
      <c r="Q212" s="121" cm="1">
        <f t="array" aca="1" ref="Q212" ca="1">INDIRECT(""&amp;$E100 &amp; "!AZ29")</f>
        <v>0</v>
      </c>
      <c r="R212" s="212" cm="1">
        <f t="array" aca="1" ref="R212" ca="1">INDIRECT(""&amp;$E100 &amp; "!BA29")</f>
        <v>0</v>
      </c>
    </row>
    <row r="213" spans="4:18" x14ac:dyDescent="0.2">
      <c r="D213" s="238"/>
      <c r="E213" s="235"/>
      <c r="F213" s="85" t="str" cm="1">
        <f t="array" aca="1" ref="F213" ca="1">INDIRECT(""&amp;$E100 &amp; "!AO31")</f>
        <v>Med</v>
      </c>
      <c r="G213" s="17" t="e" cm="1">
        <f t="array" aca="1" ref="G213" ca="1">INDIRECT(""&amp;$E100 &amp; "!AP31")</f>
        <v>#VALUE!</v>
      </c>
      <c r="H213" s="172"/>
      <c r="I213" s="172"/>
      <c r="J213" s="172"/>
      <c r="K213" s="42" t="e" cm="1">
        <f t="array" aca="1" ref="K213" ca="1">INDIRECT(""&amp;$E100 &amp; "!AT31")</f>
        <v>#VALUE!</v>
      </c>
      <c r="L213" s="172"/>
      <c r="M213" s="42" t="e" cm="1">
        <f t="array" aca="1" ref="M213" ca="1">INDIRECT(""&amp;$E100 &amp; "!AV31")</f>
        <v>#VALUE!</v>
      </c>
      <c r="N213" s="172"/>
      <c r="O213" s="42" t="e" cm="1">
        <f t="array" aca="1" ref="O213" ca="1">INDIRECT(""&amp;$E100 &amp; "!AX31")</f>
        <v>#VALUE!</v>
      </c>
      <c r="P213" s="175"/>
      <c r="Q213" s="121" cm="1">
        <f t="array" aca="1" ref="Q213" ca="1">INDIRECT(""&amp;$E100 &amp; "!AZ31")</f>
        <v>0</v>
      </c>
      <c r="R213" s="212"/>
    </row>
    <row r="214" spans="4:18" ht="17" thickBot="1" x14ac:dyDescent="0.25">
      <c r="D214" s="238"/>
      <c r="E214" s="236"/>
      <c r="F214" s="86" t="str" cm="1">
        <f t="array" aca="1" ref="F214" ca="1">INDIRECT(""&amp;$E100 &amp; "!AO33")</f>
        <v>Low</v>
      </c>
      <c r="G214" s="17" t="e" cm="1">
        <f t="array" aca="1" ref="G214" ca="1">INDIRECT(""&amp;$E100 &amp; "!AP33")</f>
        <v>#VALUE!</v>
      </c>
      <c r="H214" s="172"/>
      <c r="I214" s="172"/>
      <c r="J214" s="172"/>
      <c r="K214" s="42" t="e" cm="1">
        <f t="array" aca="1" ref="K214" ca="1">INDIRECT(""&amp;$E100 &amp; "!AT33")</f>
        <v>#VALUE!</v>
      </c>
      <c r="L214" s="172"/>
      <c r="M214" s="42" t="e" cm="1">
        <f t="array" aca="1" ref="M214" ca="1">INDIRECT(""&amp;$E100 &amp; "!AV33")</f>
        <v>#VALUE!</v>
      </c>
      <c r="N214" s="172"/>
      <c r="O214" s="42" t="e" cm="1">
        <f t="array" aca="1" ref="O214" ca="1">INDIRECT(""&amp;$E100 &amp; "!Ax33")</f>
        <v>#VALUE!</v>
      </c>
      <c r="P214" s="175"/>
      <c r="Q214" s="121" cm="1">
        <f t="array" aca="1" ref="Q214" ca="1">INDIRECT(""&amp;$E100 &amp; "!AZ33")</f>
        <v>0</v>
      </c>
      <c r="R214" s="212"/>
    </row>
    <row r="215" spans="4:18" x14ac:dyDescent="0.2">
      <c r="D215" s="238"/>
      <c r="E215" s="234" t="str">
        <f>D20</f>
        <v>PierSeaside</v>
      </c>
      <c r="F215" s="84" t="str" cm="1">
        <f t="array" aca="1" ref="F215" ca="1">INDIRECT(""&amp;$E103 &amp; "!AO29")</f>
        <v>High</v>
      </c>
      <c r="G215" s="17" t="e" cm="1">
        <f t="array" aca="1" ref="G215" ca="1">INDIRECT(""&amp;$E103 &amp; "!AP29")</f>
        <v>#VALUE!</v>
      </c>
      <c r="H215" s="172" t="e" cm="1">
        <f t="array" aca="1" ref="H215" ca="1">INDIRECT(""&amp;$E103 &amp; "!AQ29")</f>
        <v>#VALUE!</v>
      </c>
      <c r="I215" s="172" t="e" cm="1">
        <f t="array" aca="1" ref="I215" ca="1">INDIRECT(""&amp;$E103 &amp; "!AR29")</f>
        <v>#VALUE!</v>
      </c>
      <c r="J215" s="172" t="e" cm="1">
        <f t="array" aca="1" ref="J215" ca="1">INDIRECT(""&amp;$E103 &amp; "!AS29")</f>
        <v>#VALUE!</v>
      </c>
      <c r="K215" s="42" t="e" cm="1">
        <f t="array" aca="1" ref="K215" ca="1">INDIRECT(""&amp;$E103 &amp; "!AT29")</f>
        <v>#VALUE!</v>
      </c>
      <c r="L215" s="172" t="e" cm="1">
        <f t="array" aca="1" ref="L215" ca="1">INDIRECT(""&amp;$E103 &amp; "!AU29")</f>
        <v>#VALUE!</v>
      </c>
      <c r="M215" s="42" t="e" cm="1">
        <f t="array" aca="1" ref="M215" ca="1">INDIRECT(""&amp;$E103 &amp; "!AV29")</f>
        <v>#VALUE!</v>
      </c>
      <c r="N215" s="172" t="e" cm="1">
        <f t="array" aca="1" ref="N215" ca="1">INDIRECT(""&amp;$E103 &amp; "!AW29")</f>
        <v>#VALUE!</v>
      </c>
      <c r="O215" s="42" t="e" cm="1">
        <f t="array" aca="1" ref="O215" ca="1">INDIRECT(""&amp;$E103 &amp; "!AX29")</f>
        <v>#VALUE!</v>
      </c>
      <c r="P215" s="175" t="e" cm="1">
        <f t="array" aca="1" ref="P215" ca="1">INDIRECT(""&amp;$E103 &amp; "!AY29")</f>
        <v>#VALUE!</v>
      </c>
      <c r="Q215" s="121" cm="1">
        <f t="array" aca="1" ref="Q215" ca="1">INDIRECT(""&amp;$E103 &amp; "!AZ29")</f>
        <v>0</v>
      </c>
      <c r="R215" s="212" cm="1">
        <f t="array" aca="1" ref="R215" ca="1">INDIRECT(""&amp;$E103 &amp; "!BA29")</f>
        <v>0</v>
      </c>
    </row>
    <row r="216" spans="4:18" x14ac:dyDescent="0.2">
      <c r="D216" s="238"/>
      <c r="E216" s="235"/>
      <c r="F216" s="85" t="str" cm="1">
        <f t="array" aca="1" ref="F216" ca="1">INDIRECT(""&amp;$E103 &amp; "!AO31")</f>
        <v>Med</v>
      </c>
      <c r="G216" s="17" t="e" cm="1">
        <f t="array" aca="1" ref="G216" ca="1">INDIRECT(""&amp;$E103 &amp; "!AP31")</f>
        <v>#VALUE!</v>
      </c>
      <c r="H216" s="172"/>
      <c r="I216" s="172"/>
      <c r="J216" s="172"/>
      <c r="K216" s="42" t="e" cm="1">
        <f t="array" aca="1" ref="K216" ca="1">INDIRECT(""&amp;$E103 &amp; "!AT31")</f>
        <v>#VALUE!</v>
      </c>
      <c r="L216" s="172"/>
      <c r="M216" s="42" t="e" cm="1">
        <f t="array" aca="1" ref="M216" ca="1">INDIRECT(""&amp;$E103 &amp; "!AV31")</f>
        <v>#VALUE!</v>
      </c>
      <c r="N216" s="172"/>
      <c r="O216" s="42" t="e" cm="1">
        <f t="array" aca="1" ref="O216" ca="1">INDIRECT(""&amp;$E103 &amp; "!AX31")</f>
        <v>#VALUE!</v>
      </c>
      <c r="P216" s="175"/>
      <c r="Q216" s="121" cm="1">
        <f t="array" aca="1" ref="Q216" ca="1">INDIRECT(""&amp;$E103 &amp; "!AZ31")</f>
        <v>0</v>
      </c>
      <c r="R216" s="212"/>
    </row>
    <row r="217" spans="4:18" ht="17" thickBot="1" x14ac:dyDescent="0.25">
      <c r="D217" s="238"/>
      <c r="E217" s="236"/>
      <c r="F217" s="86" t="str" cm="1">
        <f t="array" aca="1" ref="F217" ca="1">INDIRECT(""&amp;$E103 &amp; "!AO33")</f>
        <v>Low</v>
      </c>
      <c r="G217" s="17" t="e" cm="1">
        <f t="array" aca="1" ref="G217" ca="1">INDIRECT(""&amp;$E103 &amp; "!AP33")</f>
        <v>#VALUE!</v>
      </c>
      <c r="H217" s="172"/>
      <c r="I217" s="172"/>
      <c r="J217" s="172"/>
      <c r="K217" s="42" t="e" cm="1">
        <f t="array" aca="1" ref="K217" ca="1">INDIRECT(""&amp;$E103 &amp; "!AT33")</f>
        <v>#VALUE!</v>
      </c>
      <c r="L217" s="172"/>
      <c r="M217" s="42" t="e" cm="1">
        <f t="array" aca="1" ref="M217" ca="1">INDIRECT(""&amp;$E103 &amp; "!AV33")</f>
        <v>#VALUE!</v>
      </c>
      <c r="N217" s="172"/>
      <c r="O217" s="42" t="e" cm="1">
        <f t="array" aca="1" ref="O217" ca="1">INDIRECT(""&amp;$E103 &amp; "!Ax33")</f>
        <v>#VALUE!</v>
      </c>
      <c r="P217" s="175"/>
      <c r="Q217" s="121" cm="1">
        <f t="array" aca="1" ref="Q217" ca="1">INDIRECT(""&amp;$E103 &amp; "!AZ33")</f>
        <v>0</v>
      </c>
      <c r="R217" s="212"/>
    </row>
    <row r="218" spans="4:18" x14ac:dyDescent="0.2">
      <c r="D218" s="238"/>
      <c r="E218" s="234" t="str">
        <f>D23</f>
        <v>Tango</v>
      </c>
      <c r="F218" s="84" t="str" cm="1">
        <f t="array" aca="1" ref="F218" ca="1">INDIRECT(""&amp;$E106 &amp; "!AO29")</f>
        <v>High</v>
      </c>
      <c r="G218" s="17" t="e" cm="1">
        <f t="array" aca="1" ref="G218" ca="1">INDIRECT(""&amp;$E106 &amp; "!AP29")</f>
        <v>#VALUE!</v>
      </c>
      <c r="H218" s="172" t="e" cm="1">
        <f t="array" aca="1" ref="H218" ca="1">INDIRECT(""&amp;$E106 &amp; "!AQ29")</f>
        <v>#VALUE!</v>
      </c>
      <c r="I218" s="172" t="e" cm="1">
        <f t="array" aca="1" ref="I218" ca="1">INDIRECT(""&amp;$E106 &amp; "!AR29")</f>
        <v>#VALUE!</v>
      </c>
      <c r="J218" s="172" t="e" cm="1">
        <f t="array" aca="1" ref="J218" ca="1">INDIRECT(""&amp;$E106 &amp; "!AS29")</f>
        <v>#VALUE!</v>
      </c>
      <c r="K218" s="42" t="e" cm="1">
        <f t="array" aca="1" ref="K218" ca="1">INDIRECT(""&amp;$E106 &amp; "!AT29")</f>
        <v>#VALUE!</v>
      </c>
      <c r="L218" s="172" t="e" cm="1">
        <f t="array" aca="1" ref="L218" ca="1">INDIRECT(""&amp;$E106 &amp; "!AU29")</f>
        <v>#VALUE!</v>
      </c>
      <c r="M218" s="42" t="e" cm="1">
        <f t="array" aca="1" ref="M218" ca="1">INDIRECT(""&amp;$E106 &amp; "!AV29")</f>
        <v>#VALUE!</v>
      </c>
      <c r="N218" s="172" t="e" cm="1">
        <f t="array" aca="1" ref="N218" ca="1">INDIRECT(""&amp;$E106 &amp; "!AW29")</f>
        <v>#VALUE!</v>
      </c>
      <c r="O218" s="42" t="e" cm="1">
        <f t="array" aca="1" ref="O218" ca="1">INDIRECT(""&amp;$E106 &amp; "!AX29")</f>
        <v>#VALUE!</v>
      </c>
      <c r="P218" s="175" t="e" cm="1">
        <f t="array" aca="1" ref="P218" ca="1">INDIRECT(""&amp;$E106 &amp; "!AY29")</f>
        <v>#VALUE!</v>
      </c>
      <c r="Q218" s="121" cm="1">
        <f t="array" aca="1" ref="Q218" ca="1">INDIRECT(""&amp;$E106 &amp; "!AZ29")</f>
        <v>0</v>
      </c>
      <c r="R218" s="212" cm="1">
        <f t="array" aca="1" ref="R218" ca="1">INDIRECT(""&amp;$E106 &amp; "!BA29")</f>
        <v>0</v>
      </c>
    </row>
    <row r="219" spans="4:18" x14ac:dyDescent="0.2">
      <c r="D219" s="238"/>
      <c r="E219" s="235"/>
      <c r="F219" s="85" t="str" cm="1">
        <f t="array" aca="1" ref="F219" ca="1">INDIRECT(""&amp;$E106 &amp; "!AO31")</f>
        <v>Med</v>
      </c>
      <c r="G219" s="17" t="e" cm="1">
        <f t="array" aca="1" ref="G219" ca="1">INDIRECT(""&amp;$E106 &amp; "!AP31")</f>
        <v>#VALUE!</v>
      </c>
      <c r="H219" s="172"/>
      <c r="I219" s="172"/>
      <c r="J219" s="172"/>
      <c r="K219" s="42" t="e" cm="1">
        <f t="array" aca="1" ref="K219" ca="1">INDIRECT(""&amp;$E106 &amp; "!AT31")</f>
        <v>#VALUE!</v>
      </c>
      <c r="L219" s="172"/>
      <c r="M219" s="42" t="e" cm="1">
        <f t="array" aca="1" ref="M219" ca="1">INDIRECT(""&amp;$E106 &amp; "!AV31")</f>
        <v>#VALUE!</v>
      </c>
      <c r="N219" s="172"/>
      <c r="O219" s="42" t="e" cm="1">
        <f t="array" aca="1" ref="O219" ca="1">INDIRECT(""&amp;$E106 &amp; "!AX31")</f>
        <v>#VALUE!</v>
      </c>
      <c r="P219" s="175"/>
      <c r="Q219" s="121" cm="1">
        <f t="array" aca="1" ref="Q219" ca="1">INDIRECT(""&amp;$E106 &amp; "!AZ31")</f>
        <v>0</v>
      </c>
      <c r="R219" s="212"/>
    </row>
    <row r="220" spans="4:18" ht="17" thickBot="1" x14ac:dyDescent="0.25">
      <c r="D220" s="238"/>
      <c r="E220" s="236"/>
      <c r="F220" s="86" t="str" cm="1">
        <f t="array" aca="1" ref="F220" ca="1">INDIRECT(""&amp;$E106 &amp; "!AO33")</f>
        <v>Low</v>
      </c>
      <c r="G220" s="17" t="e" cm="1">
        <f t="array" aca="1" ref="G220" ca="1">INDIRECT(""&amp;$E106 &amp; "!AP33")</f>
        <v>#VALUE!</v>
      </c>
      <c r="H220" s="172"/>
      <c r="I220" s="172"/>
      <c r="J220" s="172"/>
      <c r="K220" s="42" t="e" cm="1">
        <f t="array" aca="1" ref="K220" ca="1">INDIRECT(""&amp;$E106 &amp; "!AT33")</f>
        <v>#VALUE!</v>
      </c>
      <c r="L220" s="172"/>
      <c r="M220" s="42" t="e" cm="1">
        <f t="array" aca="1" ref="M220" ca="1">INDIRECT(""&amp;$E106 &amp; "!AV33")</f>
        <v>#VALUE!</v>
      </c>
      <c r="N220" s="172"/>
      <c r="O220" s="42" t="e" cm="1">
        <f t="array" aca="1" ref="O220" ca="1">INDIRECT(""&amp;$E106 &amp; "!Ax33")</f>
        <v>#VALUE!</v>
      </c>
      <c r="P220" s="175"/>
      <c r="Q220" s="121" cm="1">
        <f t="array" aca="1" ref="Q220" ca="1">INDIRECT(""&amp;$E106 &amp; "!AZ33")</f>
        <v>0</v>
      </c>
      <c r="R220" s="212"/>
    </row>
    <row r="221" spans="4:18" x14ac:dyDescent="0.2">
      <c r="D221" s="238"/>
      <c r="E221" s="234" t="str">
        <f>D26</f>
        <v>Timelapse</v>
      </c>
      <c r="F221" s="84" t="str" cm="1">
        <f t="array" aca="1" ref="F221" ca="1">INDIRECT(""&amp;$E109 &amp; "!AO29")</f>
        <v>High</v>
      </c>
      <c r="G221" s="17" t="e" cm="1">
        <f t="array" aca="1" ref="G221" ca="1">INDIRECT(""&amp;$E109 &amp; "!AP29")</f>
        <v>#VALUE!</v>
      </c>
      <c r="H221" s="172" t="e" cm="1">
        <f t="array" aca="1" ref="H221" ca="1">INDIRECT(""&amp;$E109 &amp; "!AQ29")</f>
        <v>#VALUE!</v>
      </c>
      <c r="I221" s="172" t="e" cm="1">
        <f t="array" aca="1" ref="I221" ca="1">INDIRECT(""&amp;$E109 &amp; "!AR29")</f>
        <v>#VALUE!</v>
      </c>
      <c r="J221" s="172" t="e" cm="1">
        <f t="array" aca="1" ref="J221" ca="1">INDIRECT(""&amp;$E109 &amp; "!AS29")</f>
        <v>#VALUE!</v>
      </c>
      <c r="K221" s="42" t="e" cm="1">
        <f t="array" aca="1" ref="K221" ca="1">INDIRECT(""&amp;$E109 &amp; "!AT29")</f>
        <v>#VALUE!</v>
      </c>
      <c r="L221" s="172" t="e" cm="1">
        <f t="array" aca="1" ref="L221" ca="1">INDIRECT(""&amp;$E109 &amp; "!AU29")</f>
        <v>#VALUE!</v>
      </c>
      <c r="M221" s="42" t="e" cm="1">
        <f t="array" aca="1" ref="M221" ca="1">INDIRECT(""&amp;$E109 &amp; "!AV29")</f>
        <v>#VALUE!</v>
      </c>
      <c r="N221" s="172" t="e" cm="1">
        <f t="array" aca="1" ref="N221" ca="1">INDIRECT(""&amp;$E109 &amp; "!AW29")</f>
        <v>#VALUE!</v>
      </c>
      <c r="O221" s="42" t="e" cm="1">
        <f t="array" aca="1" ref="O221" ca="1">INDIRECT(""&amp;$E109 &amp; "!AX29")</f>
        <v>#VALUE!</v>
      </c>
      <c r="P221" s="175" t="e" cm="1">
        <f t="array" aca="1" ref="P221" ca="1">INDIRECT(""&amp;$E109 &amp; "!AY29")</f>
        <v>#VALUE!</v>
      </c>
      <c r="Q221" s="121" cm="1">
        <f t="array" aca="1" ref="Q221" ca="1">INDIRECT(""&amp;$E109 &amp; "!AZ29")</f>
        <v>0</v>
      </c>
      <c r="R221" s="212" cm="1">
        <f t="array" aca="1" ref="R221" ca="1">INDIRECT(""&amp;$E109 &amp; "!BA29")</f>
        <v>0</v>
      </c>
    </row>
    <row r="222" spans="4:18" x14ac:dyDescent="0.2">
      <c r="D222" s="238"/>
      <c r="E222" s="235"/>
      <c r="F222" s="85" t="str" cm="1">
        <f t="array" aca="1" ref="F222" ca="1">INDIRECT(""&amp;$E109 &amp; "!AO31")</f>
        <v>Med</v>
      </c>
      <c r="G222" s="17" t="e" cm="1">
        <f t="array" aca="1" ref="G222" ca="1">INDIRECT(""&amp;$E109 &amp; "!AP31")</f>
        <v>#VALUE!</v>
      </c>
      <c r="H222" s="172"/>
      <c r="I222" s="172"/>
      <c r="J222" s="172"/>
      <c r="K222" s="42" t="e" cm="1">
        <f t="array" aca="1" ref="K222" ca="1">INDIRECT(""&amp;$E109 &amp; "!AT31")</f>
        <v>#VALUE!</v>
      </c>
      <c r="L222" s="172"/>
      <c r="M222" s="42" t="e" cm="1">
        <f t="array" aca="1" ref="M222" ca="1">INDIRECT(""&amp;$E109 &amp; "!AV31")</f>
        <v>#VALUE!</v>
      </c>
      <c r="N222" s="172"/>
      <c r="O222" s="42" t="e" cm="1">
        <f t="array" aca="1" ref="O222" ca="1">INDIRECT(""&amp;$E109 &amp; "!AX31")</f>
        <v>#VALUE!</v>
      </c>
      <c r="P222" s="175"/>
      <c r="Q222" s="121" cm="1">
        <f t="array" aca="1" ref="Q222" ca="1">INDIRECT(""&amp;$E109 &amp; "!AZ31")</f>
        <v>0</v>
      </c>
      <c r="R222" s="212"/>
    </row>
    <row r="223" spans="4:18" ht="17" thickBot="1" x14ac:dyDescent="0.25">
      <c r="D223" s="238"/>
      <c r="E223" s="235"/>
      <c r="F223" s="105" t="str" cm="1">
        <f t="array" aca="1" ref="F223" ca="1">INDIRECT(""&amp;$E109 &amp; "!AO33")</f>
        <v>Low</v>
      </c>
      <c r="G223" s="49" t="e" cm="1">
        <f t="array" aca="1" ref="G223" ca="1">INDIRECT(""&amp;$E109 &amp; "!AP33")</f>
        <v>#VALUE!</v>
      </c>
      <c r="H223" s="208"/>
      <c r="I223" s="208"/>
      <c r="J223" s="208"/>
      <c r="K223" s="101" t="e" cm="1">
        <f t="array" aca="1" ref="K223" ca="1">INDIRECT(""&amp;$E109 &amp; "!AT33")</f>
        <v>#VALUE!</v>
      </c>
      <c r="L223" s="208"/>
      <c r="M223" s="101" t="e" cm="1">
        <f t="array" aca="1" ref="M223" ca="1">INDIRECT(""&amp;$E109 &amp; "!AV33")</f>
        <v>#VALUE!</v>
      </c>
      <c r="N223" s="208"/>
      <c r="O223" s="101" t="e" cm="1">
        <f t="array" aca="1" ref="O223" ca="1">INDIRECT(""&amp;$E109 &amp; "!Ax33")</f>
        <v>#VALUE!</v>
      </c>
      <c r="P223" s="218"/>
      <c r="Q223" s="126" cm="1">
        <f t="array" aca="1" ref="Q223" ca="1">INDIRECT(""&amp;$E109 &amp; "!AZ33")</f>
        <v>0</v>
      </c>
      <c r="R223" s="213"/>
    </row>
    <row r="224" spans="4:18" x14ac:dyDescent="0.2">
      <c r="D224" s="238"/>
      <c r="E224" s="234" t="s">
        <v>98</v>
      </c>
      <c r="F224" s="84" t="s">
        <v>27</v>
      </c>
      <c r="G224" s="44" t="e">
        <f ca="1">AVERAGE(G200,G203,G206,G209,G212,G215,G218,G221)</f>
        <v>#VALUE!</v>
      </c>
      <c r="H224" s="171" t="e">
        <f ca="1">AVERAGE(H200:H223)</f>
        <v>#VALUE!</v>
      </c>
      <c r="I224" s="171" t="e">
        <f ca="1">AVERAGE(I200:I223)</f>
        <v>#VALUE!</v>
      </c>
      <c r="J224" s="171" t="e">
        <f ca="1">AVERAGE(J200:J223)</f>
        <v>#VALUE!</v>
      </c>
      <c r="K224" s="56" t="e">
        <f ca="1">AVERAGE(K200,K203,K206,K209,K212,K215,K218,K221)</f>
        <v>#VALUE!</v>
      </c>
      <c r="L224" s="171" t="e">
        <f ca="1">AVERAGE(L200:L223)</f>
        <v>#VALUE!</v>
      </c>
      <c r="M224" s="56" t="e">
        <f ca="1">AVERAGE(M200,M203,M206,M209,M212,M215,M218,M221)</f>
        <v>#VALUE!</v>
      </c>
      <c r="N224" s="171" t="e">
        <f ca="1">AVERAGE(N200:N223)</f>
        <v>#VALUE!</v>
      </c>
      <c r="O224" s="56" t="e">
        <f ca="1">AVERAGE(O200,O203,O206,O209,O212,O215,O218,O221)</f>
        <v>#VALUE!</v>
      </c>
      <c r="P224" s="174" t="e">
        <f ca="1">AVERAGE(P200:P223)</f>
        <v>#VALUE!</v>
      </c>
      <c r="Q224" s="120">
        <f ca="1">SUM(Q200,Q203,Q206,Q209,Q212,Q215,Q218,Q221)</f>
        <v>0</v>
      </c>
      <c r="R224" s="211">
        <f ca="1">SUM(R200:R223)</f>
        <v>0</v>
      </c>
    </row>
    <row r="225" spans="4:18" x14ac:dyDescent="0.2">
      <c r="D225" s="238"/>
      <c r="E225" s="235"/>
      <c r="F225" s="85" t="s">
        <v>28</v>
      </c>
      <c r="G225" s="17" t="e">
        <f ca="1">AVERAGE(G201,G204,G207,G210,G213,G216,G219,G222)</f>
        <v>#VALUE!</v>
      </c>
      <c r="H225" s="172"/>
      <c r="I225" s="172"/>
      <c r="J225" s="172"/>
      <c r="K225" s="42" t="e">
        <f ca="1">AVERAGE(K201,K204,K207,K210,K213,K216,K219,K222)</f>
        <v>#VALUE!</v>
      </c>
      <c r="L225" s="172"/>
      <c r="M225" s="42" t="e">
        <f ca="1">AVERAGE(M201,M204,M207,M210,M213,M216,M219,M222)</f>
        <v>#VALUE!</v>
      </c>
      <c r="N225" s="172"/>
      <c r="O225" s="42" t="e">
        <f ca="1">AVERAGE(O201,O204,O207,O210,O213,O216,O219,O222)</f>
        <v>#VALUE!</v>
      </c>
      <c r="P225" s="175"/>
      <c r="Q225" s="121">
        <f ca="1">SUM(Q201,Q204,Q207,Q210,Q213,Q216,Q219,Q222)</f>
        <v>0</v>
      </c>
      <c r="R225" s="212"/>
    </row>
    <row r="226" spans="4:18" ht="17" thickBot="1" x14ac:dyDescent="0.25">
      <c r="D226" s="239"/>
      <c r="E226" s="236"/>
      <c r="F226" s="86" t="s">
        <v>29</v>
      </c>
      <c r="G226" s="47" t="e">
        <f ca="1">AVERAGE(G202,G205,G208,G211,G214,G217,G220,G223)</f>
        <v>#VALUE!</v>
      </c>
      <c r="H226" s="173"/>
      <c r="I226" s="173"/>
      <c r="J226" s="173"/>
      <c r="K226" s="57" t="e">
        <f ca="1">AVERAGE(K202,K205,K208,K211,K214,K217,K220,K223)</f>
        <v>#VALUE!</v>
      </c>
      <c r="L226" s="173"/>
      <c r="M226" s="57" t="e">
        <f ca="1">AVERAGE(M202,M205,M208,M211,M214,M217,M220,M223)</f>
        <v>#VALUE!</v>
      </c>
      <c r="N226" s="173"/>
      <c r="O226" s="57" t="e">
        <f ca="1">AVERAGE(O202,O205,O208,O211,O214,O217,O220,O223)</f>
        <v>#VALUE!</v>
      </c>
      <c r="P226" s="188"/>
      <c r="Q226" s="122">
        <f ca="1">SUM(Q202,Q205,Q208,Q211,Q214,Q217,Q220,Q223)</f>
        <v>0</v>
      </c>
      <c r="R226" s="240"/>
    </row>
    <row r="227" spans="4:18" ht="17" thickBot="1" x14ac:dyDescent="0.25">
      <c r="D227" s="88"/>
      <c r="E227" s="89"/>
      <c r="F227" s="112"/>
      <c r="G227" s="102"/>
      <c r="H227" s="83"/>
      <c r="I227" s="83"/>
      <c r="J227" s="83"/>
      <c r="K227" s="100"/>
      <c r="L227" s="83"/>
      <c r="M227" s="100"/>
      <c r="N227" s="83"/>
      <c r="O227" s="100"/>
      <c r="P227" s="113"/>
    </row>
    <row r="228" spans="4:18" x14ac:dyDescent="0.2">
      <c r="D228" s="237" t="str">
        <f>BoxingPractice!A35</f>
        <v>640x360</v>
      </c>
      <c r="E228" s="234" t="str">
        <f>D5</f>
        <v>BoxingPractice</v>
      </c>
      <c r="F228" s="84" t="str" cm="1">
        <f t="array" aca="1" ref="F228" ca="1">INDIRECT(""&amp;$E88 &amp; "!AO35")</f>
        <v>High</v>
      </c>
      <c r="G228" s="44" t="e" cm="1">
        <f t="array" aca="1" ref="G228" ca="1">INDIRECT(""&amp;$E88 &amp; "!AP35")</f>
        <v>#VALUE!</v>
      </c>
      <c r="H228" s="171" t="e" cm="1">
        <f t="array" aca="1" ref="H228" ca="1">INDIRECT(""&amp;$E88 &amp; "!AQ35")</f>
        <v>#VALUE!</v>
      </c>
      <c r="I228" s="171" t="e" cm="1">
        <f t="array" aca="1" ref="I228" ca="1">INDIRECT(""&amp;$E88 &amp; "!AR35")</f>
        <v>#VALUE!</v>
      </c>
      <c r="J228" s="171" t="e" cm="1">
        <f t="array" aca="1" ref="J228" ca="1">INDIRECT(""&amp;$E88 &amp; "!AS35")</f>
        <v>#VALUE!</v>
      </c>
      <c r="K228" s="56" t="e" cm="1">
        <f t="array" aca="1" ref="K228" ca="1">INDIRECT(""&amp;$E88 &amp; "!AT35")</f>
        <v>#VALUE!</v>
      </c>
      <c r="L228" s="171" t="e" cm="1">
        <f t="array" aca="1" ref="L228" ca="1">INDIRECT(""&amp;$E88 &amp; "!AU35")</f>
        <v>#VALUE!</v>
      </c>
      <c r="M228" s="56" t="e" cm="1">
        <f t="array" aca="1" ref="M228" ca="1">INDIRECT(""&amp;$E88 &amp; "!AV35")</f>
        <v>#VALUE!</v>
      </c>
      <c r="N228" s="171" t="e" cm="1">
        <f t="array" aca="1" ref="N228" ca="1">INDIRECT(""&amp;$E88 &amp; "!AW35")</f>
        <v>#VALUE!</v>
      </c>
      <c r="O228" s="56" t="e" cm="1">
        <f t="array" aca="1" ref="O228" ca="1">INDIRECT(""&amp;$E88 &amp; "!AX35")</f>
        <v>#VALUE!</v>
      </c>
      <c r="P228" s="174" t="e" cm="1">
        <f t="array" aca="1" ref="P228" ca="1">INDIRECT(""&amp;$E88 &amp; "!AY35")</f>
        <v>#VALUE!</v>
      </c>
      <c r="Q228" s="120" cm="1">
        <f t="array" aca="1" ref="Q228" ca="1">INDIRECT(""&amp;$E88 &amp; "!AZ35")</f>
        <v>0</v>
      </c>
      <c r="R228" s="211" cm="1">
        <f t="array" aca="1" ref="R228" ca="1">INDIRECT(""&amp;$E88 &amp; "!BA35")</f>
        <v>0</v>
      </c>
    </row>
    <row r="229" spans="4:18" x14ac:dyDescent="0.2">
      <c r="D229" s="238"/>
      <c r="E229" s="235"/>
      <c r="F229" s="85" t="str" cm="1">
        <f t="array" aca="1" ref="F229" ca="1">INDIRECT(""&amp;$E88 &amp; "!AO37")</f>
        <v>Med</v>
      </c>
      <c r="G229" s="17" t="e" cm="1">
        <f t="array" aca="1" ref="G229" ca="1">INDIRECT(""&amp;$E88 &amp; "!AP37")</f>
        <v>#VALUE!</v>
      </c>
      <c r="H229" s="172"/>
      <c r="I229" s="172"/>
      <c r="J229" s="172"/>
      <c r="K229" s="42" t="e" cm="1">
        <f t="array" aca="1" ref="K229" ca="1">INDIRECT(""&amp;$E88 &amp; "!AT37")</f>
        <v>#VALUE!</v>
      </c>
      <c r="L229" s="172"/>
      <c r="M229" s="42" t="e" cm="1">
        <f t="array" aca="1" ref="M229" ca="1">INDIRECT(""&amp;$E88 &amp; "!AV37")</f>
        <v>#VALUE!</v>
      </c>
      <c r="N229" s="172"/>
      <c r="O229" s="42" t="e" cm="1">
        <f t="array" aca="1" ref="O229" ca="1">INDIRECT(""&amp;$E88 &amp; "!AX37")</f>
        <v>#VALUE!</v>
      </c>
      <c r="P229" s="175"/>
      <c r="Q229" s="121" cm="1">
        <f t="array" aca="1" ref="Q229" ca="1">INDIRECT(""&amp;$E88 &amp; "!AZ37")</f>
        <v>0</v>
      </c>
      <c r="R229" s="212"/>
    </row>
    <row r="230" spans="4:18" ht="17" thickBot="1" x14ac:dyDescent="0.25">
      <c r="D230" s="238"/>
      <c r="E230" s="236"/>
      <c r="F230" s="86" t="str" cm="1">
        <f t="array" aca="1" ref="F230" ca="1">INDIRECT(""&amp;$E88 &amp; "!AO39")</f>
        <v>Low</v>
      </c>
      <c r="G230" s="17" t="e" cm="1">
        <f t="array" aca="1" ref="G230" ca="1">INDIRECT(""&amp;$E88 &amp; "!AP39")</f>
        <v>#VALUE!</v>
      </c>
      <c r="H230" s="172"/>
      <c r="I230" s="172"/>
      <c r="J230" s="172"/>
      <c r="K230" s="42" t="e" cm="1">
        <f t="array" aca="1" ref="K230" ca="1">INDIRECT(""&amp;$E88 &amp; "!AT39")</f>
        <v>#VALUE!</v>
      </c>
      <c r="L230" s="172"/>
      <c r="M230" s="42" t="e" cm="1">
        <f t="array" aca="1" ref="M230" ca="1">INDIRECT(""&amp;$E88 &amp; "!AV39")</f>
        <v>#VALUE!</v>
      </c>
      <c r="N230" s="172"/>
      <c r="O230" s="42" t="e" cm="1">
        <f t="array" aca="1" ref="O230" ca="1">INDIRECT(""&amp;$E88 &amp; "!Ax39")</f>
        <v>#VALUE!</v>
      </c>
      <c r="P230" s="175"/>
      <c r="Q230" s="121" cm="1">
        <f t="array" aca="1" ref="Q230" ca="1">INDIRECT(""&amp;$E88 &amp; "!AZ39")</f>
        <v>0</v>
      </c>
      <c r="R230" s="212"/>
    </row>
    <row r="231" spans="4:18" x14ac:dyDescent="0.2">
      <c r="D231" s="238"/>
      <c r="E231" s="234" t="str">
        <f>D8</f>
        <v>CrossWalk</v>
      </c>
      <c r="F231" s="84" t="str" cm="1">
        <f t="array" aca="1" ref="F231" ca="1">INDIRECT(""&amp;$E91 &amp; "!AO35")</f>
        <v>High</v>
      </c>
      <c r="G231" s="17" t="e" cm="1">
        <f t="array" aca="1" ref="G231" ca="1">INDIRECT(""&amp;$E91 &amp; "!AP35")</f>
        <v>#VALUE!</v>
      </c>
      <c r="H231" s="172" t="e" cm="1">
        <f t="array" aca="1" ref="H231" ca="1">INDIRECT(""&amp;$E91 &amp; "!AQ35")</f>
        <v>#VALUE!</v>
      </c>
      <c r="I231" s="172" t="e" cm="1">
        <f t="array" aca="1" ref="I231" ca="1">INDIRECT(""&amp;$E91 &amp; "!AR35")</f>
        <v>#VALUE!</v>
      </c>
      <c r="J231" s="172" t="e" cm="1">
        <f t="array" aca="1" ref="J231" ca="1">INDIRECT(""&amp;$E91 &amp; "!AS35")</f>
        <v>#VALUE!</v>
      </c>
      <c r="K231" s="42" t="e" cm="1">
        <f t="array" aca="1" ref="K231" ca="1">INDIRECT(""&amp;$E91 &amp; "!AT35")</f>
        <v>#VALUE!</v>
      </c>
      <c r="L231" s="172" t="e" cm="1">
        <f t="array" aca="1" ref="L231" ca="1">INDIRECT(""&amp;$E91 &amp; "!AU35")</f>
        <v>#VALUE!</v>
      </c>
      <c r="M231" s="42" t="e" cm="1">
        <f t="array" aca="1" ref="M231" ca="1">INDIRECT(""&amp;$E91 &amp; "!AV35")</f>
        <v>#VALUE!</v>
      </c>
      <c r="N231" s="172" t="e" cm="1">
        <f t="array" aca="1" ref="N231" ca="1">INDIRECT(""&amp;$E91 &amp; "!AW35")</f>
        <v>#VALUE!</v>
      </c>
      <c r="O231" s="42" t="e" cm="1">
        <f t="array" aca="1" ref="O231" ca="1">INDIRECT(""&amp;$E91 &amp; "!AX35")</f>
        <v>#VALUE!</v>
      </c>
      <c r="P231" s="175" t="e" cm="1">
        <f t="array" aca="1" ref="P231" ca="1">INDIRECT(""&amp;$E91 &amp; "!AY35")</f>
        <v>#VALUE!</v>
      </c>
      <c r="Q231" s="121" cm="1">
        <f t="array" aca="1" ref="Q231" ca="1">INDIRECT(""&amp;$E91 &amp; "!AZ35")</f>
        <v>0</v>
      </c>
      <c r="R231" s="212" cm="1">
        <f t="array" aca="1" ref="R231" ca="1">INDIRECT(""&amp;$E91 &amp; "!BA35")</f>
        <v>0</v>
      </c>
    </row>
    <row r="232" spans="4:18" x14ac:dyDescent="0.2">
      <c r="D232" s="238"/>
      <c r="E232" s="235"/>
      <c r="F232" s="85" t="str" cm="1">
        <f t="array" aca="1" ref="F232" ca="1">INDIRECT(""&amp;$E91 &amp; "!AO37")</f>
        <v>Med</v>
      </c>
      <c r="G232" s="17" t="e" cm="1">
        <f t="array" aca="1" ref="G232" ca="1">INDIRECT(""&amp;$E91 &amp; "!AP37")</f>
        <v>#VALUE!</v>
      </c>
      <c r="H232" s="172"/>
      <c r="I232" s="172"/>
      <c r="J232" s="172"/>
      <c r="K232" s="42" t="e" cm="1">
        <f t="array" aca="1" ref="K232" ca="1">INDIRECT(""&amp;$E91 &amp; "!AT37")</f>
        <v>#VALUE!</v>
      </c>
      <c r="L232" s="172"/>
      <c r="M232" s="42" t="e" cm="1">
        <f t="array" aca="1" ref="M232" ca="1">INDIRECT(""&amp;$E91 &amp; "!AV37")</f>
        <v>#VALUE!</v>
      </c>
      <c r="N232" s="172"/>
      <c r="O232" s="42" t="e" cm="1">
        <f t="array" aca="1" ref="O232" ca="1">INDIRECT(""&amp;$E91 &amp; "!AX37")</f>
        <v>#VALUE!</v>
      </c>
      <c r="P232" s="175"/>
      <c r="Q232" s="121" cm="1">
        <f t="array" aca="1" ref="Q232" ca="1">INDIRECT(""&amp;$E91 &amp; "!AZ37")</f>
        <v>0</v>
      </c>
      <c r="R232" s="212"/>
    </row>
    <row r="233" spans="4:18" ht="17" thickBot="1" x14ac:dyDescent="0.25">
      <c r="D233" s="238"/>
      <c r="E233" s="236"/>
      <c r="F233" s="86" t="str" cm="1">
        <f t="array" aca="1" ref="F233" ca="1">INDIRECT(""&amp;$E91 &amp; "!AO39")</f>
        <v>Low</v>
      </c>
      <c r="G233" s="17" t="e" cm="1">
        <f t="array" aca="1" ref="G233" ca="1">INDIRECT(""&amp;$E91 &amp; "!AP39")</f>
        <v>#VALUE!</v>
      </c>
      <c r="H233" s="172"/>
      <c r="I233" s="172"/>
      <c r="J233" s="172"/>
      <c r="K233" s="42" t="e" cm="1">
        <f t="array" aca="1" ref="K233" ca="1">INDIRECT(""&amp;$E91 &amp; "!AT39")</f>
        <v>#VALUE!</v>
      </c>
      <c r="L233" s="172"/>
      <c r="M233" s="42" t="e" cm="1">
        <f t="array" aca="1" ref="M233" ca="1">INDIRECT(""&amp;$E91 &amp; "!AV39")</f>
        <v>#VALUE!</v>
      </c>
      <c r="N233" s="172"/>
      <c r="O233" s="42" t="e" cm="1">
        <f t="array" aca="1" ref="O233" ca="1">INDIRECT(""&amp;$E91 &amp; "!Ax39")</f>
        <v>#VALUE!</v>
      </c>
      <c r="P233" s="175"/>
      <c r="Q233" s="121" cm="1">
        <f t="array" aca="1" ref="Q233" ca="1">INDIRECT(""&amp;$E91 &amp; "!AZ39")</f>
        <v>0</v>
      </c>
      <c r="R233" s="212"/>
    </row>
    <row r="234" spans="4:18" x14ac:dyDescent="0.2">
      <c r="D234" s="238"/>
      <c r="E234" s="234" t="str">
        <f>D11</f>
        <v>FoodMarket2</v>
      </c>
      <c r="F234" s="84" t="str" cm="1">
        <f t="array" aca="1" ref="F234" ca="1">INDIRECT(""&amp;$E94 &amp; "!AO35")</f>
        <v>High</v>
      </c>
      <c r="G234" s="17" t="e" cm="1">
        <f t="array" aca="1" ref="G234" ca="1">INDIRECT(""&amp;$E94 &amp; "!AP35")</f>
        <v>#VALUE!</v>
      </c>
      <c r="H234" s="172" t="e" cm="1">
        <f t="array" aca="1" ref="H234" ca="1">INDIRECT(""&amp;$E94 &amp; "!AQ35")</f>
        <v>#VALUE!</v>
      </c>
      <c r="I234" s="172" t="e" cm="1">
        <f t="array" aca="1" ref="I234" ca="1">INDIRECT(""&amp;$E94 &amp; "!AR35")</f>
        <v>#VALUE!</v>
      </c>
      <c r="J234" s="172" t="e" cm="1">
        <f t="array" aca="1" ref="J234" ca="1">INDIRECT(""&amp;$E94 &amp; "!AS35")</f>
        <v>#VALUE!</v>
      </c>
      <c r="K234" s="42" t="e" cm="1">
        <f t="array" aca="1" ref="K234" ca="1">INDIRECT(""&amp;$E94 &amp; "!AT35")</f>
        <v>#VALUE!</v>
      </c>
      <c r="L234" s="172" t="e" cm="1">
        <f t="array" aca="1" ref="L234" ca="1">INDIRECT(""&amp;$E94 &amp; "!AU35")</f>
        <v>#VALUE!</v>
      </c>
      <c r="M234" s="42" t="e" cm="1">
        <f t="array" aca="1" ref="M234" ca="1">INDIRECT(""&amp;$E94 &amp; "!AV35")</f>
        <v>#VALUE!</v>
      </c>
      <c r="N234" s="172" t="e" cm="1">
        <f t="array" aca="1" ref="N234" ca="1">INDIRECT(""&amp;$E94 &amp; "!AW35")</f>
        <v>#VALUE!</v>
      </c>
      <c r="O234" s="42" t="e" cm="1">
        <f t="array" aca="1" ref="O234" ca="1">INDIRECT(""&amp;$E94 &amp; "!AX35")</f>
        <v>#VALUE!</v>
      </c>
      <c r="P234" s="175" t="e" cm="1">
        <f t="array" aca="1" ref="P234" ca="1">INDIRECT(""&amp;$E94 &amp; "!AY35")</f>
        <v>#VALUE!</v>
      </c>
      <c r="Q234" s="121" cm="1">
        <f t="array" aca="1" ref="Q234" ca="1">INDIRECT(""&amp;$E94 &amp; "!AZ35")</f>
        <v>0</v>
      </c>
      <c r="R234" s="212" cm="1">
        <f t="array" aca="1" ref="R234" ca="1">INDIRECT(""&amp;$E94 &amp; "!BA35")</f>
        <v>0</v>
      </c>
    </row>
    <row r="235" spans="4:18" x14ac:dyDescent="0.2">
      <c r="D235" s="238"/>
      <c r="E235" s="235"/>
      <c r="F235" s="85" t="str" cm="1">
        <f t="array" aca="1" ref="F235" ca="1">INDIRECT(""&amp;$E94 &amp; "!AO37")</f>
        <v>Med</v>
      </c>
      <c r="G235" s="17" t="e" cm="1">
        <f t="array" aca="1" ref="G235" ca="1">INDIRECT(""&amp;$E94 &amp; "!AP37")</f>
        <v>#VALUE!</v>
      </c>
      <c r="H235" s="172"/>
      <c r="I235" s="172"/>
      <c r="J235" s="172"/>
      <c r="K235" s="42" t="e" cm="1">
        <f t="array" aca="1" ref="K235" ca="1">INDIRECT(""&amp;$E94 &amp; "!AT37")</f>
        <v>#VALUE!</v>
      </c>
      <c r="L235" s="172"/>
      <c r="M235" s="42" t="e" cm="1">
        <f t="array" aca="1" ref="M235" ca="1">INDIRECT(""&amp;$E94 &amp; "!AV37")</f>
        <v>#VALUE!</v>
      </c>
      <c r="N235" s="172"/>
      <c r="O235" s="42" t="e" cm="1">
        <f t="array" aca="1" ref="O235" ca="1">INDIRECT(""&amp;$E94 &amp; "!AX37")</f>
        <v>#VALUE!</v>
      </c>
      <c r="P235" s="175"/>
      <c r="Q235" s="121" cm="1">
        <f t="array" aca="1" ref="Q235" ca="1">INDIRECT(""&amp;$E94 &amp; "!AZ37")</f>
        <v>0</v>
      </c>
      <c r="R235" s="212"/>
    </row>
    <row r="236" spans="4:18" ht="17" thickBot="1" x14ac:dyDescent="0.25">
      <c r="D236" s="238"/>
      <c r="E236" s="236"/>
      <c r="F236" s="86" t="str" cm="1">
        <f t="array" aca="1" ref="F236" ca="1">INDIRECT(""&amp;$E94 &amp; "!AO39")</f>
        <v>Low</v>
      </c>
      <c r="G236" s="17" t="e" cm="1">
        <f t="array" aca="1" ref="G236" ca="1">INDIRECT(""&amp;$E94 &amp; "!AP39")</f>
        <v>#VALUE!</v>
      </c>
      <c r="H236" s="172"/>
      <c r="I236" s="172"/>
      <c r="J236" s="172"/>
      <c r="K236" s="42" t="e" cm="1">
        <f t="array" aca="1" ref="K236" ca="1">INDIRECT(""&amp;$E94 &amp; "!AT39")</f>
        <v>#VALUE!</v>
      </c>
      <c r="L236" s="172"/>
      <c r="M236" s="42" t="e" cm="1">
        <f t="array" aca="1" ref="M236" ca="1">INDIRECT(""&amp;$E94 &amp; "!AV39")</f>
        <v>#VALUE!</v>
      </c>
      <c r="N236" s="172"/>
      <c r="O236" s="42" t="e" cm="1">
        <f t="array" aca="1" ref="O236" ca="1">INDIRECT(""&amp;$E94 &amp; "!Ax39")</f>
        <v>#VALUE!</v>
      </c>
      <c r="P236" s="175"/>
      <c r="Q236" s="121" cm="1">
        <f t="array" aca="1" ref="Q236" ca="1">INDIRECT(""&amp;$E94 &amp; "!AZ39")</f>
        <v>0</v>
      </c>
      <c r="R236" s="212"/>
    </row>
    <row r="237" spans="4:18" x14ac:dyDescent="0.2">
      <c r="D237" s="238"/>
      <c r="E237" s="234" t="str">
        <f>D14</f>
        <v>Neon1224</v>
      </c>
      <c r="F237" s="84" t="str" cm="1">
        <f t="array" aca="1" ref="F237" ca="1">INDIRECT(""&amp;$E97 &amp; "!AO35")</f>
        <v>High</v>
      </c>
      <c r="G237" s="17" t="e" cm="1">
        <f t="array" aca="1" ref="G237" ca="1">INDIRECT(""&amp;$E97 &amp; "!AP35")</f>
        <v>#VALUE!</v>
      </c>
      <c r="H237" s="172" t="e" cm="1">
        <f t="array" aca="1" ref="H237" ca="1">INDIRECT(""&amp;$E97 &amp; "!AQ35")</f>
        <v>#VALUE!</v>
      </c>
      <c r="I237" s="172" t="e" cm="1">
        <f t="array" aca="1" ref="I237" ca="1">INDIRECT(""&amp;$E97 &amp; "!AR35")</f>
        <v>#VALUE!</v>
      </c>
      <c r="J237" s="172" t="e" cm="1">
        <f t="array" aca="1" ref="J237" ca="1">INDIRECT(""&amp;$E97 &amp; "!AS35")</f>
        <v>#VALUE!</v>
      </c>
      <c r="K237" s="42" t="e" cm="1">
        <f t="array" aca="1" ref="K237" ca="1">INDIRECT(""&amp;$E97 &amp; "!AT35")</f>
        <v>#VALUE!</v>
      </c>
      <c r="L237" s="172" t="e" cm="1">
        <f t="array" aca="1" ref="L237" ca="1">INDIRECT(""&amp;$E97 &amp; "!AU35")</f>
        <v>#VALUE!</v>
      </c>
      <c r="M237" s="42" t="e" cm="1">
        <f t="array" aca="1" ref="M237" ca="1">INDIRECT(""&amp;$E97 &amp; "!AV35")</f>
        <v>#VALUE!</v>
      </c>
      <c r="N237" s="172" t="e" cm="1">
        <f t="array" aca="1" ref="N237" ca="1">INDIRECT(""&amp;$E97 &amp; "!AW35")</f>
        <v>#VALUE!</v>
      </c>
      <c r="O237" s="42" t="e" cm="1">
        <f t="array" aca="1" ref="O237" ca="1">INDIRECT(""&amp;$E97 &amp; "!AX35")</f>
        <v>#VALUE!</v>
      </c>
      <c r="P237" s="175" t="e" cm="1">
        <f t="array" aca="1" ref="P237" ca="1">INDIRECT(""&amp;$E97 &amp; "!AY35")</f>
        <v>#VALUE!</v>
      </c>
      <c r="Q237" s="121" cm="1">
        <f t="array" aca="1" ref="Q237" ca="1">INDIRECT(""&amp;$E97 &amp; "!AZ35")</f>
        <v>0</v>
      </c>
      <c r="R237" s="212" cm="1">
        <f t="array" aca="1" ref="R237" ca="1">INDIRECT(""&amp;$E97 &amp; "!BA35")</f>
        <v>0</v>
      </c>
    </row>
    <row r="238" spans="4:18" x14ac:dyDescent="0.2">
      <c r="D238" s="238"/>
      <c r="E238" s="235"/>
      <c r="F238" s="85" t="str" cm="1">
        <f t="array" aca="1" ref="F238" ca="1">INDIRECT(""&amp;$E97 &amp; "!AO37")</f>
        <v>Med</v>
      </c>
      <c r="G238" s="17" t="e" cm="1">
        <f t="array" aca="1" ref="G238" ca="1">INDIRECT(""&amp;$E97 &amp; "!AP37")</f>
        <v>#VALUE!</v>
      </c>
      <c r="H238" s="172"/>
      <c r="I238" s="172"/>
      <c r="J238" s="172"/>
      <c r="K238" s="42" t="e" cm="1">
        <f t="array" aca="1" ref="K238" ca="1">INDIRECT(""&amp;$E97 &amp; "!AT37")</f>
        <v>#VALUE!</v>
      </c>
      <c r="L238" s="172"/>
      <c r="M238" s="42" t="e" cm="1">
        <f t="array" aca="1" ref="M238" ca="1">INDIRECT(""&amp;$E97 &amp; "!AV37")</f>
        <v>#VALUE!</v>
      </c>
      <c r="N238" s="172"/>
      <c r="O238" s="42" t="e" cm="1">
        <f t="array" aca="1" ref="O238" ca="1">INDIRECT(""&amp;$E97 &amp; "!AX37")</f>
        <v>#VALUE!</v>
      </c>
      <c r="P238" s="175"/>
      <c r="Q238" s="121" cm="1">
        <f t="array" aca="1" ref="Q238" ca="1">INDIRECT(""&amp;$E97 &amp; "!AZ37")</f>
        <v>0</v>
      </c>
      <c r="R238" s="212"/>
    </row>
    <row r="239" spans="4:18" ht="17" thickBot="1" x14ac:dyDescent="0.25">
      <c r="D239" s="238"/>
      <c r="E239" s="236"/>
      <c r="F239" s="86" t="str" cm="1">
        <f t="array" aca="1" ref="F239" ca="1">INDIRECT(""&amp;$E97 &amp; "!AO39")</f>
        <v>Low</v>
      </c>
      <c r="G239" s="17" t="e" cm="1">
        <f t="array" aca="1" ref="G239" ca="1">INDIRECT(""&amp;$E97 &amp; "!AP39")</f>
        <v>#VALUE!</v>
      </c>
      <c r="H239" s="172"/>
      <c r="I239" s="172"/>
      <c r="J239" s="172"/>
      <c r="K239" s="42" t="e" cm="1">
        <f t="array" aca="1" ref="K239" ca="1">INDIRECT(""&amp;$E97 &amp; "!AT39")</f>
        <v>#VALUE!</v>
      </c>
      <c r="L239" s="172"/>
      <c r="M239" s="42" t="e" cm="1">
        <f t="array" aca="1" ref="M239" ca="1">INDIRECT(""&amp;$E97 &amp; "!AV39")</f>
        <v>#VALUE!</v>
      </c>
      <c r="N239" s="172"/>
      <c r="O239" s="42" t="e" cm="1">
        <f t="array" aca="1" ref="O239" ca="1">INDIRECT(""&amp;$E97 &amp; "!Ax39")</f>
        <v>#VALUE!</v>
      </c>
      <c r="P239" s="175"/>
      <c r="Q239" s="121" cm="1">
        <f t="array" aca="1" ref="Q239" ca="1">INDIRECT(""&amp;$E97 &amp; "!AZ39")</f>
        <v>0</v>
      </c>
      <c r="R239" s="212"/>
    </row>
    <row r="240" spans="4:18" x14ac:dyDescent="0.2">
      <c r="D240" s="238"/>
      <c r="E240" s="234" t="str">
        <f>D17</f>
        <v>NocturneDance</v>
      </c>
      <c r="F240" s="84" t="str" cm="1">
        <f t="array" aca="1" ref="F240" ca="1">INDIRECT(""&amp;$E100 &amp; "!AO35")</f>
        <v>High</v>
      </c>
      <c r="G240" s="17" t="e" cm="1">
        <f t="array" aca="1" ref="G240" ca="1">INDIRECT(""&amp;$E100 &amp; "!AP35")</f>
        <v>#VALUE!</v>
      </c>
      <c r="H240" s="172" t="e" cm="1">
        <f t="array" aca="1" ref="H240" ca="1">INDIRECT(""&amp;$E100 &amp; "!AQ35")</f>
        <v>#VALUE!</v>
      </c>
      <c r="I240" s="172" t="e" cm="1">
        <f t="array" aca="1" ref="I240" ca="1">INDIRECT(""&amp;$E100 &amp; "!AR35")</f>
        <v>#VALUE!</v>
      </c>
      <c r="J240" s="172" t="e" cm="1">
        <f t="array" aca="1" ref="J240" ca="1">INDIRECT(""&amp;$E100 &amp; "!AS35")</f>
        <v>#VALUE!</v>
      </c>
      <c r="K240" s="42" t="e" cm="1">
        <f t="array" aca="1" ref="K240" ca="1">INDIRECT(""&amp;$E100 &amp; "!AT35")</f>
        <v>#VALUE!</v>
      </c>
      <c r="L240" s="172" t="e" cm="1">
        <f t="array" aca="1" ref="L240" ca="1">INDIRECT(""&amp;$E100 &amp; "!AU35")</f>
        <v>#VALUE!</v>
      </c>
      <c r="M240" s="42" t="e" cm="1">
        <f t="array" aca="1" ref="M240" ca="1">INDIRECT(""&amp;$E100 &amp; "!AV35")</f>
        <v>#VALUE!</v>
      </c>
      <c r="N240" s="172" t="e" cm="1">
        <f t="array" aca="1" ref="N240" ca="1">INDIRECT(""&amp;$E100 &amp; "!AW35")</f>
        <v>#VALUE!</v>
      </c>
      <c r="O240" s="42" t="e" cm="1">
        <f t="array" aca="1" ref="O240" ca="1">INDIRECT(""&amp;$E100 &amp; "!AX35")</f>
        <v>#VALUE!</v>
      </c>
      <c r="P240" s="175" t="e" cm="1">
        <f t="array" aca="1" ref="P240" ca="1">INDIRECT(""&amp;$E100 &amp; "!AY35")</f>
        <v>#VALUE!</v>
      </c>
      <c r="Q240" s="121" cm="1">
        <f t="array" aca="1" ref="Q240" ca="1">INDIRECT(""&amp;$E100 &amp; "!AZ35")</f>
        <v>0</v>
      </c>
      <c r="R240" s="212" cm="1">
        <f t="array" aca="1" ref="R240" ca="1">INDIRECT(""&amp;$E100 &amp; "!BA35")</f>
        <v>0</v>
      </c>
    </row>
    <row r="241" spans="4:18" x14ac:dyDescent="0.2">
      <c r="D241" s="238"/>
      <c r="E241" s="235"/>
      <c r="F241" s="85" t="str" cm="1">
        <f t="array" aca="1" ref="F241" ca="1">INDIRECT(""&amp;$E100 &amp; "!AO37")</f>
        <v>Med</v>
      </c>
      <c r="G241" s="17" t="e" cm="1">
        <f t="array" aca="1" ref="G241" ca="1">INDIRECT(""&amp;$E100 &amp; "!AP37")</f>
        <v>#VALUE!</v>
      </c>
      <c r="H241" s="172"/>
      <c r="I241" s="172"/>
      <c r="J241" s="172"/>
      <c r="K241" s="42" t="e" cm="1">
        <f t="array" aca="1" ref="K241" ca="1">INDIRECT(""&amp;$E100 &amp; "!AT37")</f>
        <v>#VALUE!</v>
      </c>
      <c r="L241" s="172"/>
      <c r="M241" s="42" t="e" cm="1">
        <f t="array" aca="1" ref="M241" ca="1">INDIRECT(""&amp;$E100 &amp; "!AV37")</f>
        <v>#VALUE!</v>
      </c>
      <c r="N241" s="172"/>
      <c r="O241" s="42" t="e" cm="1">
        <f t="array" aca="1" ref="O241" ca="1">INDIRECT(""&amp;$E100 &amp; "!AX37")</f>
        <v>#VALUE!</v>
      </c>
      <c r="P241" s="175"/>
      <c r="Q241" s="121" cm="1">
        <f t="array" aca="1" ref="Q241" ca="1">INDIRECT(""&amp;$E100 &amp; "!AZ37")</f>
        <v>0</v>
      </c>
      <c r="R241" s="212"/>
    </row>
    <row r="242" spans="4:18" ht="17" thickBot="1" x14ac:dyDescent="0.25">
      <c r="D242" s="238"/>
      <c r="E242" s="236"/>
      <c r="F242" s="86" t="str" cm="1">
        <f t="array" aca="1" ref="F242" ca="1">INDIRECT(""&amp;$E100 &amp; "!AO39")</f>
        <v>Low</v>
      </c>
      <c r="G242" s="17" t="e" cm="1">
        <f t="array" aca="1" ref="G242" ca="1">INDIRECT(""&amp;$E100 &amp; "!AP39")</f>
        <v>#VALUE!</v>
      </c>
      <c r="H242" s="172"/>
      <c r="I242" s="172"/>
      <c r="J242" s="172"/>
      <c r="K242" s="42" t="e" cm="1">
        <f t="array" aca="1" ref="K242" ca="1">INDIRECT(""&amp;$E100 &amp; "!AT39")</f>
        <v>#VALUE!</v>
      </c>
      <c r="L242" s="172"/>
      <c r="M242" s="42" t="e" cm="1">
        <f t="array" aca="1" ref="M242" ca="1">INDIRECT(""&amp;$E100 &amp; "!AV39")</f>
        <v>#VALUE!</v>
      </c>
      <c r="N242" s="172"/>
      <c r="O242" s="42" t="e" cm="1">
        <f t="array" aca="1" ref="O242" ca="1">INDIRECT(""&amp;$E100 &amp; "!Ax39")</f>
        <v>#VALUE!</v>
      </c>
      <c r="P242" s="175"/>
      <c r="Q242" s="121" cm="1">
        <f t="array" aca="1" ref="Q242" ca="1">INDIRECT(""&amp;$E100 &amp; "!AZ39")</f>
        <v>0</v>
      </c>
      <c r="R242" s="212"/>
    </row>
    <row r="243" spans="4:18" x14ac:dyDescent="0.2">
      <c r="D243" s="238"/>
      <c r="E243" s="234" t="str">
        <f>D20</f>
        <v>PierSeaside</v>
      </c>
      <c r="F243" s="84" t="str" cm="1">
        <f t="array" aca="1" ref="F243" ca="1">INDIRECT(""&amp;$E103 &amp; "!AO35")</f>
        <v>High</v>
      </c>
      <c r="G243" s="17" t="e" cm="1">
        <f t="array" aca="1" ref="G243" ca="1">INDIRECT(""&amp;$E103 &amp; "!AP35")</f>
        <v>#VALUE!</v>
      </c>
      <c r="H243" s="172" t="e" cm="1">
        <f t="array" aca="1" ref="H243" ca="1">INDIRECT(""&amp;$E103 &amp; "!AQ35")</f>
        <v>#VALUE!</v>
      </c>
      <c r="I243" s="172" t="e" cm="1">
        <f t="array" aca="1" ref="I243" ca="1">INDIRECT(""&amp;$E103 &amp; "!AR35")</f>
        <v>#VALUE!</v>
      </c>
      <c r="J243" s="172" t="e" cm="1">
        <f t="array" aca="1" ref="J243" ca="1">INDIRECT(""&amp;$E103 &amp; "!AS35")</f>
        <v>#VALUE!</v>
      </c>
      <c r="K243" s="42" t="e" cm="1">
        <f t="array" aca="1" ref="K243" ca="1">INDIRECT(""&amp;$E103 &amp; "!AT35")</f>
        <v>#VALUE!</v>
      </c>
      <c r="L243" s="172" t="e" cm="1">
        <f t="array" aca="1" ref="L243" ca="1">INDIRECT(""&amp;$E103 &amp; "!AU35")</f>
        <v>#VALUE!</v>
      </c>
      <c r="M243" s="42" t="e" cm="1">
        <f t="array" aca="1" ref="M243" ca="1">INDIRECT(""&amp;$E103 &amp; "!AV35")</f>
        <v>#VALUE!</v>
      </c>
      <c r="N243" s="172" t="e" cm="1">
        <f t="array" aca="1" ref="N243" ca="1">INDIRECT(""&amp;$E103 &amp; "!AW35")</f>
        <v>#VALUE!</v>
      </c>
      <c r="O243" s="42" t="e" cm="1">
        <f t="array" aca="1" ref="O243" ca="1">INDIRECT(""&amp;$E103 &amp; "!AX35")</f>
        <v>#VALUE!</v>
      </c>
      <c r="P243" s="175" t="e" cm="1">
        <f t="array" aca="1" ref="P243" ca="1">INDIRECT(""&amp;$E103 &amp; "!AY35")</f>
        <v>#VALUE!</v>
      </c>
      <c r="Q243" s="121" cm="1">
        <f t="array" aca="1" ref="Q243" ca="1">INDIRECT(""&amp;$E103 &amp; "!AZ35")</f>
        <v>0</v>
      </c>
      <c r="R243" s="212" cm="1">
        <f t="array" aca="1" ref="R243" ca="1">INDIRECT(""&amp;$E103 &amp; "!BA35")</f>
        <v>0</v>
      </c>
    </row>
    <row r="244" spans="4:18" x14ac:dyDescent="0.2">
      <c r="D244" s="238"/>
      <c r="E244" s="235"/>
      <c r="F244" s="85" t="str" cm="1">
        <f t="array" aca="1" ref="F244" ca="1">INDIRECT(""&amp;$E103 &amp; "!AO37")</f>
        <v>Med</v>
      </c>
      <c r="G244" s="17" t="e" cm="1">
        <f t="array" aca="1" ref="G244" ca="1">INDIRECT(""&amp;$E103 &amp; "!AP37")</f>
        <v>#VALUE!</v>
      </c>
      <c r="H244" s="172"/>
      <c r="I244" s="172"/>
      <c r="J244" s="172"/>
      <c r="K244" s="42" t="e" cm="1">
        <f t="array" aca="1" ref="K244" ca="1">INDIRECT(""&amp;$E103 &amp; "!AT37")</f>
        <v>#VALUE!</v>
      </c>
      <c r="L244" s="172"/>
      <c r="M244" s="42" t="e" cm="1">
        <f t="array" aca="1" ref="M244" ca="1">INDIRECT(""&amp;$E103 &amp; "!AV37")</f>
        <v>#VALUE!</v>
      </c>
      <c r="N244" s="172"/>
      <c r="O244" s="42" t="e" cm="1">
        <f t="array" aca="1" ref="O244" ca="1">INDIRECT(""&amp;$E103 &amp; "!AX37")</f>
        <v>#VALUE!</v>
      </c>
      <c r="P244" s="175"/>
      <c r="Q244" s="121" cm="1">
        <f t="array" aca="1" ref="Q244" ca="1">INDIRECT(""&amp;$E103 &amp; "!AZ37")</f>
        <v>0</v>
      </c>
      <c r="R244" s="212"/>
    </row>
    <row r="245" spans="4:18" ht="17" thickBot="1" x14ac:dyDescent="0.25">
      <c r="D245" s="238"/>
      <c r="E245" s="236"/>
      <c r="F245" s="86" t="str" cm="1">
        <f t="array" aca="1" ref="F245" ca="1">INDIRECT(""&amp;$E103 &amp; "!AO39")</f>
        <v>Low</v>
      </c>
      <c r="G245" s="17" t="e" cm="1">
        <f t="array" aca="1" ref="G245" ca="1">INDIRECT(""&amp;$E103 &amp; "!AP39")</f>
        <v>#VALUE!</v>
      </c>
      <c r="H245" s="172"/>
      <c r="I245" s="172"/>
      <c r="J245" s="172"/>
      <c r="K245" s="42" t="e" cm="1">
        <f t="array" aca="1" ref="K245" ca="1">INDIRECT(""&amp;$E103 &amp; "!AT39")</f>
        <v>#VALUE!</v>
      </c>
      <c r="L245" s="172"/>
      <c r="M245" s="42" t="e" cm="1">
        <f t="array" aca="1" ref="M245" ca="1">INDIRECT(""&amp;$E103 &amp; "!AV39")</f>
        <v>#VALUE!</v>
      </c>
      <c r="N245" s="172"/>
      <c r="O245" s="42" t="e" cm="1">
        <f t="array" aca="1" ref="O245" ca="1">INDIRECT(""&amp;$E103 &amp; "!Ax39")</f>
        <v>#VALUE!</v>
      </c>
      <c r="P245" s="175"/>
      <c r="Q245" s="121" cm="1">
        <f t="array" aca="1" ref="Q245" ca="1">INDIRECT(""&amp;$E103 &amp; "!AZ39")</f>
        <v>0</v>
      </c>
      <c r="R245" s="212"/>
    </row>
    <row r="246" spans="4:18" x14ac:dyDescent="0.2">
      <c r="D246" s="238"/>
      <c r="E246" s="234" t="str">
        <f>D23</f>
        <v>Tango</v>
      </c>
      <c r="F246" s="84" t="str" cm="1">
        <f t="array" aca="1" ref="F246" ca="1">INDIRECT(""&amp;$E106 &amp; "!AO35")</f>
        <v>High</v>
      </c>
      <c r="G246" s="17" t="e" cm="1">
        <f t="array" aca="1" ref="G246" ca="1">INDIRECT(""&amp;$E106 &amp; "!AP35")</f>
        <v>#VALUE!</v>
      </c>
      <c r="H246" s="172" t="e" cm="1">
        <f t="array" aca="1" ref="H246" ca="1">INDIRECT(""&amp;$E106 &amp; "!AQ35")</f>
        <v>#VALUE!</v>
      </c>
      <c r="I246" s="172" t="e" cm="1">
        <f t="array" aca="1" ref="I246" ca="1">INDIRECT(""&amp;$E106 &amp; "!AR35")</f>
        <v>#VALUE!</v>
      </c>
      <c r="J246" s="172" t="e" cm="1">
        <f t="array" aca="1" ref="J246" ca="1">INDIRECT(""&amp;$E106 &amp; "!AS35")</f>
        <v>#VALUE!</v>
      </c>
      <c r="K246" s="42" t="e" cm="1">
        <f t="array" aca="1" ref="K246" ca="1">INDIRECT(""&amp;$E106 &amp; "!AT35")</f>
        <v>#VALUE!</v>
      </c>
      <c r="L246" s="172" t="e" cm="1">
        <f t="array" aca="1" ref="L246" ca="1">INDIRECT(""&amp;$E106 &amp; "!AU35")</f>
        <v>#VALUE!</v>
      </c>
      <c r="M246" s="42" t="e" cm="1">
        <f t="array" aca="1" ref="M246" ca="1">INDIRECT(""&amp;$E106 &amp; "!AV35")</f>
        <v>#VALUE!</v>
      </c>
      <c r="N246" s="172" t="e" cm="1">
        <f t="array" aca="1" ref="N246" ca="1">INDIRECT(""&amp;$E106 &amp; "!AW35")</f>
        <v>#VALUE!</v>
      </c>
      <c r="O246" s="42" t="e" cm="1">
        <f t="array" aca="1" ref="O246" ca="1">INDIRECT(""&amp;$E106 &amp; "!AX35")</f>
        <v>#VALUE!</v>
      </c>
      <c r="P246" s="175" t="e" cm="1">
        <f t="array" aca="1" ref="P246" ca="1">INDIRECT(""&amp;$E106 &amp; "!AY35")</f>
        <v>#VALUE!</v>
      </c>
      <c r="Q246" s="121" cm="1">
        <f t="array" aca="1" ref="Q246" ca="1">INDIRECT(""&amp;$E106 &amp; "!AZ35")</f>
        <v>0</v>
      </c>
      <c r="R246" s="212" cm="1">
        <f t="array" aca="1" ref="R246" ca="1">INDIRECT(""&amp;$E106 &amp; "!BA35")</f>
        <v>0</v>
      </c>
    </row>
    <row r="247" spans="4:18" x14ac:dyDescent="0.2">
      <c r="D247" s="238"/>
      <c r="E247" s="235"/>
      <c r="F247" s="85" t="str" cm="1">
        <f t="array" aca="1" ref="F247" ca="1">INDIRECT(""&amp;$E106 &amp; "!AO37")</f>
        <v>Med</v>
      </c>
      <c r="G247" s="17" t="e" cm="1">
        <f t="array" aca="1" ref="G247" ca="1">INDIRECT(""&amp;$E106 &amp; "!AP37")</f>
        <v>#VALUE!</v>
      </c>
      <c r="H247" s="172"/>
      <c r="I247" s="172"/>
      <c r="J247" s="172"/>
      <c r="K247" s="42" t="e" cm="1">
        <f t="array" aca="1" ref="K247" ca="1">INDIRECT(""&amp;$E106 &amp; "!AT37")</f>
        <v>#VALUE!</v>
      </c>
      <c r="L247" s="172"/>
      <c r="M247" s="42" t="e" cm="1">
        <f t="array" aca="1" ref="M247" ca="1">INDIRECT(""&amp;$E106 &amp; "!AV37")</f>
        <v>#VALUE!</v>
      </c>
      <c r="N247" s="172"/>
      <c r="O247" s="42" t="e" cm="1">
        <f t="array" aca="1" ref="O247" ca="1">INDIRECT(""&amp;$E106 &amp; "!AX37")</f>
        <v>#VALUE!</v>
      </c>
      <c r="P247" s="175"/>
      <c r="Q247" s="121" cm="1">
        <f t="array" aca="1" ref="Q247" ca="1">INDIRECT(""&amp;$E106 &amp; "!AZ37")</f>
        <v>0</v>
      </c>
      <c r="R247" s="212"/>
    </row>
    <row r="248" spans="4:18" ht="17" thickBot="1" x14ac:dyDescent="0.25">
      <c r="D248" s="238"/>
      <c r="E248" s="236"/>
      <c r="F248" s="86" t="str" cm="1">
        <f t="array" aca="1" ref="F248" ca="1">INDIRECT(""&amp;$E106 &amp; "!AO39")</f>
        <v>Low</v>
      </c>
      <c r="G248" s="17" t="e" cm="1">
        <f t="array" aca="1" ref="G248" ca="1">INDIRECT(""&amp;$E106 &amp; "!AP39")</f>
        <v>#VALUE!</v>
      </c>
      <c r="H248" s="172"/>
      <c r="I248" s="172"/>
      <c r="J248" s="172"/>
      <c r="K248" s="42" t="e" cm="1">
        <f t="array" aca="1" ref="K248" ca="1">INDIRECT(""&amp;$E106 &amp; "!AT39")</f>
        <v>#VALUE!</v>
      </c>
      <c r="L248" s="172"/>
      <c r="M248" s="42" t="e" cm="1">
        <f t="array" aca="1" ref="M248" ca="1">INDIRECT(""&amp;$E106 &amp; "!AV39")</f>
        <v>#VALUE!</v>
      </c>
      <c r="N248" s="172"/>
      <c r="O248" s="42" t="e" cm="1">
        <f t="array" aca="1" ref="O248" ca="1">INDIRECT(""&amp;$E106 &amp; "!Ax39")</f>
        <v>#VALUE!</v>
      </c>
      <c r="P248" s="175"/>
      <c r="Q248" s="121" cm="1">
        <f t="array" aca="1" ref="Q248" ca="1">INDIRECT(""&amp;$E106 &amp; "!AZ39")</f>
        <v>0</v>
      </c>
      <c r="R248" s="212"/>
    </row>
    <row r="249" spans="4:18" x14ac:dyDescent="0.2">
      <c r="D249" s="238"/>
      <c r="E249" s="234" t="str">
        <f>D26</f>
        <v>Timelapse</v>
      </c>
      <c r="F249" s="84" t="str" cm="1">
        <f t="array" aca="1" ref="F249" ca="1">INDIRECT(""&amp;$E109 &amp; "!AO35")</f>
        <v>High</v>
      </c>
      <c r="G249" s="17" t="e" cm="1">
        <f t="array" aca="1" ref="G249" ca="1">INDIRECT(""&amp;$E109 &amp; "!AP35")</f>
        <v>#VALUE!</v>
      </c>
      <c r="H249" s="172" t="e" cm="1">
        <f t="array" aca="1" ref="H249" ca="1">INDIRECT(""&amp;$E109 &amp; "!AQ35")</f>
        <v>#VALUE!</v>
      </c>
      <c r="I249" s="172" t="e" cm="1">
        <f t="array" aca="1" ref="I249" ca="1">INDIRECT(""&amp;$E109 &amp; "!AR35")</f>
        <v>#VALUE!</v>
      </c>
      <c r="J249" s="172" t="e" cm="1">
        <f t="array" aca="1" ref="J249" ca="1">INDIRECT(""&amp;$E109 &amp; "!AS35")</f>
        <v>#VALUE!</v>
      </c>
      <c r="K249" s="42" t="e" cm="1">
        <f t="array" aca="1" ref="K249" ca="1">INDIRECT(""&amp;$E109 &amp; "!AT35")</f>
        <v>#VALUE!</v>
      </c>
      <c r="L249" s="172" t="e" cm="1">
        <f t="array" aca="1" ref="L249" ca="1">INDIRECT(""&amp;$E109 &amp; "!AU35")</f>
        <v>#VALUE!</v>
      </c>
      <c r="M249" s="42" t="e" cm="1">
        <f t="array" aca="1" ref="M249" ca="1">INDIRECT(""&amp;$E109 &amp; "!AV35")</f>
        <v>#VALUE!</v>
      </c>
      <c r="N249" s="172" t="e" cm="1">
        <f t="array" aca="1" ref="N249" ca="1">INDIRECT(""&amp;$E109 &amp; "!AW35")</f>
        <v>#VALUE!</v>
      </c>
      <c r="O249" s="42" t="e" cm="1">
        <f t="array" aca="1" ref="O249" ca="1">INDIRECT(""&amp;$E109 &amp; "!AX35")</f>
        <v>#VALUE!</v>
      </c>
      <c r="P249" s="175" t="e" cm="1">
        <f t="array" aca="1" ref="P249" ca="1">INDIRECT(""&amp;$E109 &amp; "!AY35")</f>
        <v>#VALUE!</v>
      </c>
      <c r="Q249" s="121" cm="1">
        <f t="array" aca="1" ref="Q249" ca="1">INDIRECT(""&amp;$E109 &amp; "!AZ35")</f>
        <v>0</v>
      </c>
      <c r="R249" s="212" cm="1">
        <f t="array" aca="1" ref="R249" ca="1">INDIRECT(""&amp;$E109 &amp; "!BA35")</f>
        <v>0</v>
      </c>
    </row>
    <row r="250" spans="4:18" x14ac:dyDescent="0.2">
      <c r="D250" s="238"/>
      <c r="E250" s="235"/>
      <c r="F250" s="85" t="str" cm="1">
        <f t="array" aca="1" ref="F250" ca="1">INDIRECT(""&amp;$E109 &amp; "!AO37")</f>
        <v>Med</v>
      </c>
      <c r="G250" s="17" t="e" cm="1">
        <f t="array" aca="1" ref="G250" ca="1">INDIRECT(""&amp;$E109 &amp; "!AP37")</f>
        <v>#VALUE!</v>
      </c>
      <c r="H250" s="172"/>
      <c r="I250" s="172"/>
      <c r="J250" s="172"/>
      <c r="K250" s="42" t="e" cm="1">
        <f t="array" aca="1" ref="K250" ca="1">INDIRECT(""&amp;$E109 &amp; "!AT37")</f>
        <v>#VALUE!</v>
      </c>
      <c r="L250" s="172"/>
      <c r="M250" s="42" t="e" cm="1">
        <f t="array" aca="1" ref="M250" ca="1">INDIRECT(""&amp;$E109 &amp; "!AV37")</f>
        <v>#VALUE!</v>
      </c>
      <c r="N250" s="172"/>
      <c r="O250" s="42" t="e" cm="1">
        <f t="array" aca="1" ref="O250" ca="1">INDIRECT(""&amp;$E109 &amp; "!AX37")</f>
        <v>#VALUE!</v>
      </c>
      <c r="P250" s="175"/>
      <c r="Q250" s="121" cm="1">
        <f t="array" aca="1" ref="Q250" ca="1">INDIRECT(""&amp;$E109 &amp; "!AZ37")</f>
        <v>0</v>
      </c>
      <c r="R250" s="212"/>
    </row>
    <row r="251" spans="4:18" ht="17" thickBot="1" x14ac:dyDescent="0.25">
      <c r="D251" s="238"/>
      <c r="E251" s="235"/>
      <c r="F251" s="105" t="str" cm="1">
        <f t="array" aca="1" ref="F251" ca="1">INDIRECT(""&amp;$E109 &amp; "!AO39")</f>
        <v>Low</v>
      </c>
      <c r="G251" s="49" t="e" cm="1">
        <f t="array" aca="1" ref="G251" ca="1">INDIRECT(""&amp;$E109 &amp; "!AP39")</f>
        <v>#VALUE!</v>
      </c>
      <c r="H251" s="208"/>
      <c r="I251" s="208"/>
      <c r="J251" s="208"/>
      <c r="K251" s="101" t="e" cm="1">
        <f t="array" aca="1" ref="K251" ca="1">INDIRECT(""&amp;$E109 &amp; "!AT39")</f>
        <v>#VALUE!</v>
      </c>
      <c r="L251" s="208"/>
      <c r="M251" s="101" t="e" cm="1">
        <f t="array" aca="1" ref="M251" ca="1">INDIRECT(""&amp;$E109 &amp; "!AV39")</f>
        <v>#VALUE!</v>
      </c>
      <c r="N251" s="208"/>
      <c r="O251" s="101" t="e" cm="1">
        <f t="array" aca="1" ref="O251" ca="1">INDIRECT(""&amp;$E109 &amp; "!Ax39")</f>
        <v>#VALUE!</v>
      </c>
      <c r="P251" s="218"/>
      <c r="Q251" s="126" cm="1">
        <f t="array" aca="1" ref="Q251" ca="1">INDIRECT(""&amp;$E109 &amp; "!AZ39")</f>
        <v>0</v>
      </c>
      <c r="R251" s="213"/>
    </row>
    <row r="252" spans="4:18" x14ac:dyDescent="0.2">
      <c r="D252" s="238"/>
      <c r="E252" s="234" t="s">
        <v>98</v>
      </c>
      <c r="F252" s="84" t="s">
        <v>27</v>
      </c>
      <c r="G252" s="44" t="e">
        <f ca="1">AVERAGE(G228,G231,G234,G237,G240,G243,G246,G249)</f>
        <v>#VALUE!</v>
      </c>
      <c r="H252" s="171" t="e">
        <f ca="1">AVERAGE(H228:H251)</f>
        <v>#VALUE!</v>
      </c>
      <c r="I252" s="171" t="e">
        <f ca="1">AVERAGE(I228:I251)</f>
        <v>#VALUE!</v>
      </c>
      <c r="J252" s="171" t="e">
        <f ca="1">AVERAGE(J228:J251)</f>
        <v>#VALUE!</v>
      </c>
      <c r="K252" s="56" t="e">
        <f ca="1">AVERAGE(K228,K231,K234,K237,K240,K243,K246,K249)</f>
        <v>#VALUE!</v>
      </c>
      <c r="L252" s="171" t="e">
        <f ca="1">AVERAGE(L228:L251)</f>
        <v>#VALUE!</v>
      </c>
      <c r="M252" s="56" t="e">
        <f ca="1">AVERAGE(M228,M231,M234,M237,M240,M243,M246,M249)</f>
        <v>#VALUE!</v>
      </c>
      <c r="N252" s="171" t="e">
        <f ca="1">AVERAGE(N228:N251)</f>
        <v>#VALUE!</v>
      </c>
      <c r="O252" s="56" t="e">
        <f ca="1">AVERAGE(O228,O231,O234,O237,O240,O243,O246,O249)</f>
        <v>#VALUE!</v>
      </c>
      <c r="P252" s="174" t="e">
        <f ca="1">AVERAGE(P228:P251)</f>
        <v>#VALUE!</v>
      </c>
      <c r="Q252" s="120">
        <f ca="1">SUM(Q228,Q231,Q234,Q237,Q240,Q243,Q246,Q249)</f>
        <v>0</v>
      </c>
      <c r="R252" s="211">
        <f ca="1">SUM(R228:R251)</f>
        <v>0</v>
      </c>
    </row>
    <row r="253" spans="4:18" x14ac:dyDescent="0.2">
      <c r="D253" s="238"/>
      <c r="E253" s="235"/>
      <c r="F253" s="85" t="s">
        <v>28</v>
      </c>
      <c r="G253" s="17" t="e">
        <f ca="1">AVERAGE(G229,G232,G235,G238,G241,G244,G247,G250)</f>
        <v>#VALUE!</v>
      </c>
      <c r="H253" s="172"/>
      <c r="I253" s="172"/>
      <c r="J253" s="172"/>
      <c r="K253" s="42" t="e">
        <f ca="1">AVERAGE(K229,K232,K235,K238,K241,K244,K247,K250)</f>
        <v>#VALUE!</v>
      </c>
      <c r="L253" s="172"/>
      <c r="M253" s="42" t="e">
        <f ca="1">AVERAGE(M229,M232,M235,M238,M241,M244,M247,M250)</f>
        <v>#VALUE!</v>
      </c>
      <c r="N253" s="172"/>
      <c r="O253" s="42" t="e">
        <f ca="1">AVERAGE(O229,O232,O235,O238,O241,O244,O247,O250)</f>
        <v>#VALUE!</v>
      </c>
      <c r="P253" s="175"/>
      <c r="Q253" s="121">
        <f ca="1">SUM(Q229,Q232,Q235,Q238,Q241,Q244,Q247,Q250)</f>
        <v>0</v>
      </c>
      <c r="R253" s="212"/>
    </row>
    <row r="254" spans="4:18" ht="17" thickBot="1" x14ac:dyDescent="0.25">
      <c r="D254" s="239"/>
      <c r="E254" s="236"/>
      <c r="F254" s="86" t="s">
        <v>29</v>
      </c>
      <c r="G254" s="47" t="e">
        <f ca="1">AVERAGE(G230,G233,G236,G239,G242,G245,G248,G251)</f>
        <v>#VALUE!</v>
      </c>
      <c r="H254" s="173"/>
      <c r="I254" s="173"/>
      <c r="J254" s="173"/>
      <c r="K254" s="57" t="e">
        <f ca="1">AVERAGE(K230,K233,K236,K239,K242,K245,K248,K251)</f>
        <v>#VALUE!</v>
      </c>
      <c r="L254" s="173"/>
      <c r="M254" s="57" t="e">
        <f ca="1">AVERAGE(M230,M233,M236,M239,M242,M245,M248,M251)</f>
        <v>#VALUE!</v>
      </c>
      <c r="N254" s="173"/>
      <c r="O254" s="57" t="e">
        <f ca="1">AVERAGE(O230,O233,O236,O239,O242,O245,O248,O251)</f>
        <v>#VALUE!</v>
      </c>
      <c r="P254" s="188"/>
      <c r="Q254" s="122">
        <f ca="1">SUM(Q230,Q233,Q236,Q239,Q242,Q245,Q248,Q251)</f>
        <v>0</v>
      </c>
      <c r="R254" s="240"/>
    </row>
  </sheetData>
  <mergeCells count="762">
    <mergeCell ref="A29:B29"/>
    <mergeCell ref="R231:R233"/>
    <mergeCell ref="R234:R236"/>
    <mergeCell ref="R237:R239"/>
    <mergeCell ref="R240:R242"/>
    <mergeCell ref="R243:R245"/>
    <mergeCell ref="R246:R248"/>
    <mergeCell ref="R249:R251"/>
    <mergeCell ref="R200:R202"/>
    <mergeCell ref="R203:R205"/>
    <mergeCell ref="R206:R208"/>
    <mergeCell ref="R209:R211"/>
    <mergeCell ref="R212:R214"/>
    <mergeCell ref="R215:R217"/>
    <mergeCell ref="R218:R220"/>
    <mergeCell ref="R221:R223"/>
    <mergeCell ref="R228:R230"/>
    <mergeCell ref="R131:R133"/>
    <mergeCell ref="R134:R136"/>
    <mergeCell ref="R137:R139"/>
    <mergeCell ref="R140:R142"/>
    <mergeCell ref="R168:R170"/>
    <mergeCell ref="R196:R198"/>
    <mergeCell ref="R224:R226"/>
    <mergeCell ref="R252:R254"/>
    <mergeCell ref="R144:R146"/>
    <mergeCell ref="R147:R149"/>
    <mergeCell ref="R150:R152"/>
    <mergeCell ref="R153:R155"/>
    <mergeCell ref="R156:R158"/>
    <mergeCell ref="R159:R161"/>
    <mergeCell ref="R162:R164"/>
    <mergeCell ref="R165:R167"/>
    <mergeCell ref="R172:R174"/>
    <mergeCell ref="R175:R177"/>
    <mergeCell ref="R178:R180"/>
    <mergeCell ref="R181:R183"/>
    <mergeCell ref="R184:R186"/>
    <mergeCell ref="R187:R189"/>
    <mergeCell ref="R190:R192"/>
    <mergeCell ref="R193:R195"/>
    <mergeCell ref="R112:R114"/>
    <mergeCell ref="F84:R84"/>
    <mergeCell ref="R116:R118"/>
    <mergeCell ref="R119:R121"/>
    <mergeCell ref="R122:R124"/>
    <mergeCell ref="R125:R127"/>
    <mergeCell ref="R128:R130"/>
    <mergeCell ref="Q85:R85"/>
    <mergeCell ref="R88:R90"/>
    <mergeCell ref="R91:R93"/>
    <mergeCell ref="R94:R96"/>
    <mergeCell ref="R97:R99"/>
    <mergeCell ref="R100:R102"/>
    <mergeCell ref="R103:R105"/>
    <mergeCell ref="R106:R108"/>
    <mergeCell ref="R109:R111"/>
    <mergeCell ref="P112:P114"/>
    <mergeCell ref="N112:N114"/>
    <mergeCell ref="L112:L114"/>
    <mergeCell ref="J112:J114"/>
    <mergeCell ref="I112:I114"/>
    <mergeCell ref="H112:H114"/>
    <mergeCell ref="P128:P130"/>
    <mergeCell ref="L122:L124"/>
    <mergeCell ref="E249:E251"/>
    <mergeCell ref="H249:H251"/>
    <mergeCell ref="I249:I251"/>
    <mergeCell ref="J249:J251"/>
    <mergeCell ref="L249:L251"/>
    <mergeCell ref="N249:N251"/>
    <mergeCell ref="P249:P251"/>
    <mergeCell ref="E243:E245"/>
    <mergeCell ref="H243:H245"/>
    <mergeCell ref="I243:I245"/>
    <mergeCell ref="J243:J245"/>
    <mergeCell ref="L243:L245"/>
    <mergeCell ref="N243:N245"/>
    <mergeCell ref="P243:P245"/>
    <mergeCell ref="E246:E248"/>
    <mergeCell ref="H246:H248"/>
    <mergeCell ref="I246:I248"/>
    <mergeCell ref="J246:J248"/>
    <mergeCell ref="L246:L248"/>
    <mergeCell ref="N246:N248"/>
    <mergeCell ref="P246:P248"/>
    <mergeCell ref="E237:E239"/>
    <mergeCell ref="H237:H239"/>
    <mergeCell ref="I237:I239"/>
    <mergeCell ref="J237:J239"/>
    <mergeCell ref="L237:L239"/>
    <mergeCell ref="N237:N239"/>
    <mergeCell ref="P237:P239"/>
    <mergeCell ref="E240:E242"/>
    <mergeCell ref="H240:H242"/>
    <mergeCell ref="I240:I242"/>
    <mergeCell ref="J240:J242"/>
    <mergeCell ref="L240:L242"/>
    <mergeCell ref="N240:N242"/>
    <mergeCell ref="P240:P242"/>
    <mergeCell ref="N231:N233"/>
    <mergeCell ref="P231:P233"/>
    <mergeCell ref="E234:E236"/>
    <mergeCell ref="H234:H236"/>
    <mergeCell ref="I234:I236"/>
    <mergeCell ref="J234:J236"/>
    <mergeCell ref="L234:L236"/>
    <mergeCell ref="N234:N236"/>
    <mergeCell ref="P234:P236"/>
    <mergeCell ref="J218:J220"/>
    <mergeCell ref="L218:L220"/>
    <mergeCell ref="N218:N220"/>
    <mergeCell ref="P218:P220"/>
    <mergeCell ref="E221:E223"/>
    <mergeCell ref="H221:H223"/>
    <mergeCell ref="I221:I223"/>
    <mergeCell ref="J221:J223"/>
    <mergeCell ref="L221:L223"/>
    <mergeCell ref="N221:N223"/>
    <mergeCell ref="P221:P223"/>
    <mergeCell ref="J212:J214"/>
    <mergeCell ref="L212:L214"/>
    <mergeCell ref="N212:N214"/>
    <mergeCell ref="P212:P214"/>
    <mergeCell ref="E215:E217"/>
    <mergeCell ref="H215:H217"/>
    <mergeCell ref="I215:I217"/>
    <mergeCell ref="J215:J217"/>
    <mergeCell ref="L215:L217"/>
    <mergeCell ref="N215:N217"/>
    <mergeCell ref="P215:P217"/>
    <mergeCell ref="J206:J208"/>
    <mergeCell ref="L206:L208"/>
    <mergeCell ref="N206:N208"/>
    <mergeCell ref="P206:P208"/>
    <mergeCell ref="E209:E211"/>
    <mergeCell ref="H209:H211"/>
    <mergeCell ref="I209:I211"/>
    <mergeCell ref="J209:J211"/>
    <mergeCell ref="L209:L211"/>
    <mergeCell ref="N209:N211"/>
    <mergeCell ref="P209:P211"/>
    <mergeCell ref="J200:J202"/>
    <mergeCell ref="L200:L202"/>
    <mergeCell ref="N200:N202"/>
    <mergeCell ref="P200:P202"/>
    <mergeCell ref="E203:E205"/>
    <mergeCell ref="H203:H205"/>
    <mergeCell ref="I203:I205"/>
    <mergeCell ref="J203:J205"/>
    <mergeCell ref="L203:L205"/>
    <mergeCell ref="N203:N205"/>
    <mergeCell ref="P203:P205"/>
    <mergeCell ref="J224:J226"/>
    <mergeCell ref="L224:L226"/>
    <mergeCell ref="N224:N226"/>
    <mergeCell ref="P224:P226"/>
    <mergeCell ref="D228:D254"/>
    <mergeCell ref="E252:E254"/>
    <mergeCell ref="H252:H254"/>
    <mergeCell ref="I252:I254"/>
    <mergeCell ref="J252:J254"/>
    <mergeCell ref="L252:L254"/>
    <mergeCell ref="N252:N254"/>
    <mergeCell ref="P252:P254"/>
    <mergeCell ref="E228:E230"/>
    <mergeCell ref="H228:H230"/>
    <mergeCell ref="I228:I230"/>
    <mergeCell ref="J228:J230"/>
    <mergeCell ref="L228:L230"/>
    <mergeCell ref="N228:N230"/>
    <mergeCell ref="P228:P230"/>
    <mergeCell ref="E231:E233"/>
    <mergeCell ref="H231:H233"/>
    <mergeCell ref="I231:I233"/>
    <mergeCell ref="J231:J233"/>
    <mergeCell ref="L231:L233"/>
    <mergeCell ref="H196:H198"/>
    <mergeCell ref="I196:I198"/>
    <mergeCell ref="D200:D226"/>
    <mergeCell ref="E224:E226"/>
    <mergeCell ref="H224:H226"/>
    <mergeCell ref="I224:I226"/>
    <mergeCell ref="E200:E202"/>
    <mergeCell ref="H200:H202"/>
    <mergeCell ref="I200:I202"/>
    <mergeCell ref="E206:E208"/>
    <mergeCell ref="H206:H208"/>
    <mergeCell ref="I206:I208"/>
    <mergeCell ref="E212:E214"/>
    <mergeCell ref="H212:H214"/>
    <mergeCell ref="I212:I214"/>
    <mergeCell ref="E218:E220"/>
    <mergeCell ref="H218:H220"/>
    <mergeCell ref="I218:I220"/>
    <mergeCell ref="J193:J195"/>
    <mergeCell ref="L193:L195"/>
    <mergeCell ref="N193:N195"/>
    <mergeCell ref="P193:P195"/>
    <mergeCell ref="J196:J198"/>
    <mergeCell ref="L196:L198"/>
    <mergeCell ref="N196:N198"/>
    <mergeCell ref="P196:P198"/>
    <mergeCell ref="H172:H174"/>
    <mergeCell ref="I172:I174"/>
    <mergeCell ref="H175:H177"/>
    <mergeCell ref="I175:I177"/>
    <mergeCell ref="H178:H180"/>
    <mergeCell ref="I178:I180"/>
    <mergeCell ref="H181:H183"/>
    <mergeCell ref="I181:I183"/>
    <mergeCell ref="H184:H186"/>
    <mergeCell ref="I184:I186"/>
    <mergeCell ref="H187:H189"/>
    <mergeCell ref="I187:I189"/>
    <mergeCell ref="H190:H192"/>
    <mergeCell ref="I190:I192"/>
    <mergeCell ref="H193:H195"/>
    <mergeCell ref="I193:I195"/>
    <mergeCell ref="J184:J186"/>
    <mergeCell ref="L184:L186"/>
    <mergeCell ref="N184:N186"/>
    <mergeCell ref="P184:P186"/>
    <mergeCell ref="J187:J189"/>
    <mergeCell ref="L187:L189"/>
    <mergeCell ref="N187:N189"/>
    <mergeCell ref="P187:P189"/>
    <mergeCell ref="J190:J192"/>
    <mergeCell ref="L190:L192"/>
    <mergeCell ref="N190:N192"/>
    <mergeCell ref="P190:P192"/>
    <mergeCell ref="P175:P177"/>
    <mergeCell ref="J178:J180"/>
    <mergeCell ref="L178:L180"/>
    <mergeCell ref="N178:N180"/>
    <mergeCell ref="P178:P180"/>
    <mergeCell ref="J181:J183"/>
    <mergeCell ref="L181:L183"/>
    <mergeCell ref="N181:N183"/>
    <mergeCell ref="P181:P183"/>
    <mergeCell ref="E168:E170"/>
    <mergeCell ref="H168:H170"/>
    <mergeCell ref="I168:I170"/>
    <mergeCell ref="J168:J170"/>
    <mergeCell ref="L168:L170"/>
    <mergeCell ref="N168:N170"/>
    <mergeCell ref="P168:P170"/>
    <mergeCell ref="D172:D198"/>
    <mergeCell ref="E172:E174"/>
    <mergeCell ref="E175:E177"/>
    <mergeCell ref="E178:E180"/>
    <mergeCell ref="E181:E183"/>
    <mergeCell ref="E184:E186"/>
    <mergeCell ref="E187:E189"/>
    <mergeCell ref="E190:E192"/>
    <mergeCell ref="E193:E195"/>
    <mergeCell ref="E196:E198"/>
    <mergeCell ref="J172:J174"/>
    <mergeCell ref="L172:L174"/>
    <mergeCell ref="N172:N174"/>
    <mergeCell ref="P172:P174"/>
    <mergeCell ref="J175:J177"/>
    <mergeCell ref="L175:L177"/>
    <mergeCell ref="N175:N177"/>
    <mergeCell ref="E162:E164"/>
    <mergeCell ref="H162:H164"/>
    <mergeCell ref="I162:I164"/>
    <mergeCell ref="J162:J164"/>
    <mergeCell ref="L162:L164"/>
    <mergeCell ref="N162:N164"/>
    <mergeCell ref="P162:P164"/>
    <mergeCell ref="E165:E167"/>
    <mergeCell ref="H165:H167"/>
    <mergeCell ref="I165:I167"/>
    <mergeCell ref="J165:J167"/>
    <mergeCell ref="L165:L167"/>
    <mergeCell ref="N165:N167"/>
    <mergeCell ref="P165:P167"/>
    <mergeCell ref="E156:E158"/>
    <mergeCell ref="H156:H158"/>
    <mergeCell ref="I156:I158"/>
    <mergeCell ref="J156:J158"/>
    <mergeCell ref="L156:L158"/>
    <mergeCell ref="N156:N158"/>
    <mergeCell ref="P156:P158"/>
    <mergeCell ref="E159:E161"/>
    <mergeCell ref="H159:H161"/>
    <mergeCell ref="I159:I161"/>
    <mergeCell ref="J159:J161"/>
    <mergeCell ref="L159:L161"/>
    <mergeCell ref="N159:N161"/>
    <mergeCell ref="P159:P161"/>
    <mergeCell ref="I150:I152"/>
    <mergeCell ref="J150:J152"/>
    <mergeCell ref="L150:L152"/>
    <mergeCell ref="N150:N152"/>
    <mergeCell ref="P150:P152"/>
    <mergeCell ref="E153:E155"/>
    <mergeCell ref="H153:H155"/>
    <mergeCell ref="I153:I155"/>
    <mergeCell ref="J153:J155"/>
    <mergeCell ref="L153:L155"/>
    <mergeCell ref="N153:N155"/>
    <mergeCell ref="P153:P155"/>
    <mergeCell ref="E131:E133"/>
    <mergeCell ref="D144:D170"/>
    <mergeCell ref="E144:E146"/>
    <mergeCell ref="H144:H146"/>
    <mergeCell ref="I144:I146"/>
    <mergeCell ref="J144:J146"/>
    <mergeCell ref="L144:L146"/>
    <mergeCell ref="N144:N146"/>
    <mergeCell ref="P144:P146"/>
    <mergeCell ref="E147:E149"/>
    <mergeCell ref="H147:H149"/>
    <mergeCell ref="I147:I149"/>
    <mergeCell ref="J147:J149"/>
    <mergeCell ref="L147:L149"/>
    <mergeCell ref="N147:N149"/>
    <mergeCell ref="P147:P149"/>
    <mergeCell ref="E150:E152"/>
    <mergeCell ref="H150:H152"/>
    <mergeCell ref="E134:E136"/>
    <mergeCell ref="H134:H136"/>
    <mergeCell ref="I134:I136"/>
    <mergeCell ref="J134:J136"/>
    <mergeCell ref="L134:L136"/>
    <mergeCell ref="N134:N136"/>
    <mergeCell ref="P134:P136"/>
    <mergeCell ref="D88:D114"/>
    <mergeCell ref="D116:D142"/>
    <mergeCell ref="E140:E142"/>
    <mergeCell ref="H140:H142"/>
    <mergeCell ref="I140:I142"/>
    <mergeCell ref="J140:J142"/>
    <mergeCell ref="L140:L142"/>
    <mergeCell ref="N140:N142"/>
    <mergeCell ref="P140:P142"/>
    <mergeCell ref="E137:E139"/>
    <mergeCell ref="H137:H139"/>
    <mergeCell ref="I137:I139"/>
    <mergeCell ref="J137:J139"/>
    <mergeCell ref="L137:L139"/>
    <mergeCell ref="N137:N139"/>
    <mergeCell ref="P137:P139"/>
    <mergeCell ref="E112:E114"/>
    <mergeCell ref="E128:E130"/>
    <mergeCell ref="H128:H130"/>
    <mergeCell ref="I128:I130"/>
    <mergeCell ref="J128:J130"/>
    <mergeCell ref="L128:L130"/>
    <mergeCell ref="N128:N130"/>
    <mergeCell ref="H131:H133"/>
    <mergeCell ref="I131:I133"/>
    <mergeCell ref="J131:J133"/>
    <mergeCell ref="L131:L133"/>
    <mergeCell ref="N131:N133"/>
    <mergeCell ref="P131:P133"/>
    <mergeCell ref="E116:E118"/>
    <mergeCell ref="H116:H118"/>
    <mergeCell ref="I116:I118"/>
    <mergeCell ref="J116:J118"/>
    <mergeCell ref="L116:L118"/>
    <mergeCell ref="N116:N118"/>
    <mergeCell ref="P116:P118"/>
    <mergeCell ref="E119:E121"/>
    <mergeCell ref="H119:H121"/>
    <mergeCell ref="I119:I121"/>
    <mergeCell ref="J119:J121"/>
    <mergeCell ref="L119:L121"/>
    <mergeCell ref="N119:N121"/>
    <mergeCell ref="P119:P121"/>
    <mergeCell ref="E122:E124"/>
    <mergeCell ref="H122:H124"/>
    <mergeCell ref="I122:I124"/>
    <mergeCell ref="J122:J124"/>
    <mergeCell ref="N122:N124"/>
    <mergeCell ref="P122:P124"/>
    <mergeCell ref="E125:E127"/>
    <mergeCell ref="H125:H127"/>
    <mergeCell ref="I125:I127"/>
    <mergeCell ref="J125:J127"/>
    <mergeCell ref="L125:L127"/>
    <mergeCell ref="N125:N127"/>
    <mergeCell ref="P125:P127"/>
    <mergeCell ref="E109:E111"/>
    <mergeCell ref="H109:H111"/>
    <mergeCell ref="I109:I111"/>
    <mergeCell ref="J109:J111"/>
    <mergeCell ref="L109:L111"/>
    <mergeCell ref="N109:N111"/>
    <mergeCell ref="P109:P111"/>
    <mergeCell ref="K85:L85"/>
    <mergeCell ref="E103:E105"/>
    <mergeCell ref="H103:H105"/>
    <mergeCell ref="I103:I105"/>
    <mergeCell ref="J103:J105"/>
    <mergeCell ref="L103:L105"/>
    <mergeCell ref="N103:N105"/>
    <mergeCell ref="P103:P105"/>
    <mergeCell ref="E106:E108"/>
    <mergeCell ref="H106:H108"/>
    <mergeCell ref="I106:I108"/>
    <mergeCell ref="J106:J108"/>
    <mergeCell ref="L106:L108"/>
    <mergeCell ref="N106:N108"/>
    <mergeCell ref="P106:P108"/>
    <mergeCell ref="P94:P96"/>
    <mergeCell ref="E97:E99"/>
    <mergeCell ref="H97:H99"/>
    <mergeCell ref="I97:I99"/>
    <mergeCell ref="J97:J99"/>
    <mergeCell ref="L97:L99"/>
    <mergeCell ref="N97:N99"/>
    <mergeCell ref="P97:P99"/>
    <mergeCell ref="E100:E102"/>
    <mergeCell ref="H100:H102"/>
    <mergeCell ref="I100:I102"/>
    <mergeCell ref="J100:J102"/>
    <mergeCell ref="L100:L102"/>
    <mergeCell ref="N100:N102"/>
    <mergeCell ref="P100:P102"/>
    <mergeCell ref="H94:H96"/>
    <mergeCell ref="I94:I96"/>
    <mergeCell ref="E94:E96"/>
    <mergeCell ref="J94:J96"/>
    <mergeCell ref="L94:L96"/>
    <mergeCell ref="N94:N96"/>
    <mergeCell ref="H88:H90"/>
    <mergeCell ref="I88:I90"/>
    <mergeCell ref="J88:J90"/>
    <mergeCell ref="L88:L90"/>
    <mergeCell ref="N88:N90"/>
    <mergeCell ref="P88:P90"/>
    <mergeCell ref="E88:E90"/>
    <mergeCell ref="E91:E93"/>
    <mergeCell ref="H91:H93"/>
    <mergeCell ref="I91:I93"/>
    <mergeCell ref="J91:J93"/>
    <mergeCell ref="L91:L93"/>
    <mergeCell ref="N91:N93"/>
    <mergeCell ref="P91:P93"/>
    <mergeCell ref="E84:E87"/>
    <mergeCell ref="D84:D87"/>
    <mergeCell ref="F87:G87"/>
    <mergeCell ref="F85:J85"/>
    <mergeCell ref="M85:N85"/>
    <mergeCell ref="O85:P85"/>
    <mergeCell ref="V17:V19"/>
    <mergeCell ref="K17:K19"/>
    <mergeCell ref="O17:O19"/>
    <mergeCell ref="P17:P19"/>
    <mergeCell ref="Q17:Q19"/>
    <mergeCell ref="R17:R19"/>
    <mergeCell ref="S17:S19"/>
    <mergeCell ref="T17:T19"/>
    <mergeCell ref="U17:U19"/>
    <mergeCell ref="I20:I22"/>
    <mergeCell ref="J20:J22"/>
    <mergeCell ref="L20:L22"/>
    <mergeCell ref="M20:M22"/>
    <mergeCell ref="N20:N22"/>
    <mergeCell ref="G17:G19"/>
    <mergeCell ref="H17:H19"/>
    <mergeCell ref="I17:I19"/>
    <mergeCell ref="D20:D22"/>
    <mergeCell ref="D23:D25"/>
    <mergeCell ref="D26:D28"/>
    <mergeCell ref="G5:G7"/>
    <mergeCell ref="H5:H7"/>
    <mergeCell ref="G8:G10"/>
    <mergeCell ref="H8:H10"/>
    <mergeCell ref="G20:G22"/>
    <mergeCell ref="H20:H22"/>
    <mergeCell ref="G26:G28"/>
    <mergeCell ref="H26:H28"/>
    <mergeCell ref="D11:D13"/>
    <mergeCell ref="D5:D7"/>
    <mergeCell ref="D8:D10"/>
    <mergeCell ref="D14:D16"/>
    <mergeCell ref="D17:D19"/>
    <mergeCell ref="G11:G13"/>
    <mergeCell ref="H11:H13"/>
    <mergeCell ref="G14:G16"/>
    <mergeCell ref="H14:H16"/>
    <mergeCell ref="G23:G25"/>
    <mergeCell ref="H23:H25"/>
    <mergeCell ref="U5:U7"/>
    <mergeCell ref="O5:O7"/>
    <mergeCell ref="P5:P7"/>
    <mergeCell ref="Q5:Q7"/>
    <mergeCell ref="R5:R7"/>
    <mergeCell ref="S5:S7"/>
    <mergeCell ref="K14:K16"/>
    <mergeCell ref="V11:V13"/>
    <mergeCell ref="K11:K13"/>
    <mergeCell ref="V5:V7"/>
    <mergeCell ref="K5:K7"/>
    <mergeCell ref="L8:L10"/>
    <mergeCell ref="U11:U13"/>
    <mergeCell ref="U8:U10"/>
    <mergeCell ref="V8:V10"/>
    <mergeCell ref="N11:N13"/>
    <mergeCell ref="O11:O13"/>
    <mergeCell ref="P11:P13"/>
    <mergeCell ref="V14:V16"/>
    <mergeCell ref="S14:S16"/>
    <mergeCell ref="T14:T16"/>
    <mergeCell ref="U14:U16"/>
    <mergeCell ref="I5:I7"/>
    <mergeCell ref="J5:J7"/>
    <mergeCell ref="L5:L7"/>
    <mergeCell ref="M5:M7"/>
    <mergeCell ref="N5:N7"/>
    <mergeCell ref="Q11:Q13"/>
    <mergeCell ref="R11:R13"/>
    <mergeCell ref="S11:S13"/>
    <mergeCell ref="T11:T13"/>
    <mergeCell ref="M8:M10"/>
    <mergeCell ref="N8:N10"/>
    <mergeCell ref="T5:T7"/>
    <mergeCell ref="I8:I10"/>
    <mergeCell ref="J8:J10"/>
    <mergeCell ref="T8:T10"/>
    <mergeCell ref="O8:O10"/>
    <mergeCell ref="P8:P10"/>
    <mergeCell ref="Q8:Q10"/>
    <mergeCell ref="R8:R10"/>
    <mergeCell ref="S8:S10"/>
    <mergeCell ref="I11:I13"/>
    <mergeCell ref="J11:J13"/>
    <mergeCell ref="L11:L13"/>
    <mergeCell ref="M11:M13"/>
    <mergeCell ref="I14:I16"/>
    <mergeCell ref="J14:J16"/>
    <mergeCell ref="L14:L16"/>
    <mergeCell ref="M14:M16"/>
    <mergeCell ref="N14:N16"/>
    <mergeCell ref="O14:O16"/>
    <mergeCell ref="P14:P16"/>
    <mergeCell ref="Q14:Q16"/>
    <mergeCell ref="R14:R16"/>
    <mergeCell ref="J17:J19"/>
    <mergeCell ref="L17:L19"/>
    <mergeCell ref="M17:M19"/>
    <mergeCell ref="N17:N19"/>
    <mergeCell ref="K20:K22"/>
    <mergeCell ref="Q23:Q25"/>
    <mergeCell ref="R23:R25"/>
    <mergeCell ref="S23:S25"/>
    <mergeCell ref="T23:T25"/>
    <mergeCell ref="U23:U25"/>
    <mergeCell ref="T20:T22"/>
    <mergeCell ref="U20:U22"/>
    <mergeCell ref="V20:V22"/>
    <mergeCell ref="O20:O22"/>
    <mergeCell ref="P20:P22"/>
    <mergeCell ref="Q20:Q22"/>
    <mergeCell ref="R20:R22"/>
    <mergeCell ref="S20:S22"/>
    <mergeCell ref="V23:V25"/>
    <mergeCell ref="I23:I25"/>
    <mergeCell ref="J23:J25"/>
    <mergeCell ref="L23:L25"/>
    <mergeCell ref="M23:M25"/>
    <mergeCell ref="N23:N25"/>
    <mergeCell ref="O23:O25"/>
    <mergeCell ref="P23:P25"/>
    <mergeCell ref="K23:K25"/>
    <mergeCell ref="P26:P28"/>
    <mergeCell ref="Q26:Q28"/>
    <mergeCell ref="R26:R28"/>
    <mergeCell ref="S26:S28"/>
    <mergeCell ref="I26:I28"/>
    <mergeCell ref="J26:J28"/>
    <mergeCell ref="L26:L28"/>
    <mergeCell ref="M26:M28"/>
    <mergeCell ref="N26:N28"/>
    <mergeCell ref="K26:K28"/>
    <mergeCell ref="L29:L31"/>
    <mergeCell ref="M29:M31"/>
    <mergeCell ref="R3:V3"/>
    <mergeCell ref="G3:K3"/>
    <mergeCell ref="A40:B40"/>
    <mergeCell ref="A48:B49"/>
    <mergeCell ref="A56:B57"/>
    <mergeCell ref="K8:K10"/>
    <mergeCell ref="D45:D47"/>
    <mergeCell ref="D54:D56"/>
    <mergeCell ref="A33:B33"/>
    <mergeCell ref="V26:V28"/>
    <mergeCell ref="N29:N31"/>
    <mergeCell ref="O29:O31"/>
    <mergeCell ref="P29:P31"/>
    <mergeCell ref="Q29:Q31"/>
    <mergeCell ref="R29:R31"/>
    <mergeCell ref="S29:S31"/>
    <mergeCell ref="T29:T31"/>
    <mergeCell ref="U29:U31"/>
    <mergeCell ref="V29:V31"/>
    <mergeCell ref="T26:T28"/>
    <mergeCell ref="U26:U28"/>
    <mergeCell ref="O26:O28"/>
    <mergeCell ref="R37:W37"/>
    <mergeCell ref="D39:D41"/>
    <mergeCell ref="H37:I37"/>
    <mergeCell ref="J37:K37"/>
    <mergeCell ref="L37:M37"/>
    <mergeCell ref="N37:O37"/>
    <mergeCell ref="P37:Q37"/>
    <mergeCell ref="E2:V2"/>
    <mergeCell ref="D1:D4"/>
    <mergeCell ref="D35:D38"/>
    <mergeCell ref="F36:G36"/>
    <mergeCell ref="H36:I36"/>
    <mergeCell ref="J36:K36"/>
    <mergeCell ref="L36:M36"/>
    <mergeCell ref="N36:O36"/>
    <mergeCell ref="P36:Q36"/>
    <mergeCell ref="R36:W36"/>
    <mergeCell ref="F37:G37"/>
    <mergeCell ref="D29:D31"/>
    <mergeCell ref="G29:G31"/>
    <mergeCell ref="H29:H31"/>
    <mergeCell ref="I29:I31"/>
    <mergeCell ref="J29:J31"/>
    <mergeCell ref="K29:K31"/>
    <mergeCell ref="G42:G44"/>
    <mergeCell ref="U39:U41"/>
    <mergeCell ref="V39:V41"/>
    <mergeCell ref="W39:W41"/>
    <mergeCell ref="D42:D44"/>
    <mergeCell ref="M39:M41"/>
    <mergeCell ref="O39:O41"/>
    <mergeCell ref="Q39:Q41"/>
    <mergeCell ref="S39:S41"/>
    <mergeCell ref="T39:T41"/>
    <mergeCell ref="G39:G41"/>
    <mergeCell ref="I39:I41"/>
    <mergeCell ref="K39:K41"/>
    <mergeCell ref="S42:S44"/>
    <mergeCell ref="T42:T44"/>
    <mergeCell ref="U42:U44"/>
    <mergeCell ref="V42:V44"/>
    <mergeCell ref="W42:W44"/>
    <mergeCell ref="I42:I44"/>
    <mergeCell ref="K42:K44"/>
    <mergeCell ref="M42:M44"/>
    <mergeCell ref="O42:O44"/>
    <mergeCell ref="Q42:Q44"/>
    <mergeCell ref="V45:V47"/>
    <mergeCell ref="W45:W47"/>
    <mergeCell ref="D48:D50"/>
    <mergeCell ref="O45:O47"/>
    <mergeCell ref="Q45:Q47"/>
    <mergeCell ref="S45:S47"/>
    <mergeCell ref="T45:T47"/>
    <mergeCell ref="U45:U47"/>
    <mergeCell ref="G45:G47"/>
    <mergeCell ref="I45:I47"/>
    <mergeCell ref="K45:K47"/>
    <mergeCell ref="M45:M47"/>
    <mergeCell ref="W51:W53"/>
    <mergeCell ref="I51:I53"/>
    <mergeCell ref="K51:K53"/>
    <mergeCell ref="M51:M53"/>
    <mergeCell ref="O51:O53"/>
    <mergeCell ref="Q51:Q53"/>
    <mergeCell ref="G51:G53"/>
    <mergeCell ref="U48:U50"/>
    <mergeCell ref="V48:V50"/>
    <mergeCell ref="W48:W50"/>
    <mergeCell ref="K48:K50"/>
    <mergeCell ref="M48:M50"/>
    <mergeCell ref="O48:O50"/>
    <mergeCell ref="Q48:Q50"/>
    <mergeCell ref="S48:S50"/>
    <mergeCell ref="T48:T50"/>
    <mergeCell ref="G48:G50"/>
    <mergeCell ref="I48:I50"/>
    <mergeCell ref="W57:W59"/>
    <mergeCell ref="I57:I59"/>
    <mergeCell ref="K57:K59"/>
    <mergeCell ref="M57:M59"/>
    <mergeCell ref="O57:O59"/>
    <mergeCell ref="Q57:Q59"/>
    <mergeCell ref="G57:G59"/>
    <mergeCell ref="U54:U56"/>
    <mergeCell ref="V54:V56"/>
    <mergeCell ref="W54:W56"/>
    <mergeCell ref="M54:M56"/>
    <mergeCell ref="O54:O56"/>
    <mergeCell ref="Q54:Q56"/>
    <mergeCell ref="S54:S56"/>
    <mergeCell ref="T54:T56"/>
    <mergeCell ref="G54:G56"/>
    <mergeCell ref="I54:I56"/>
    <mergeCell ref="K54:K56"/>
    <mergeCell ref="K63:K65"/>
    <mergeCell ref="M63:M65"/>
    <mergeCell ref="O63:O65"/>
    <mergeCell ref="Q63:Q65"/>
    <mergeCell ref="G63:G65"/>
    <mergeCell ref="U60:U62"/>
    <mergeCell ref="V60:V62"/>
    <mergeCell ref="W60:W62"/>
    <mergeCell ref="M60:M62"/>
    <mergeCell ref="O60:O62"/>
    <mergeCell ref="Q60:Q62"/>
    <mergeCell ref="S60:S62"/>
    <mergeCell ref="T60:T62"/>
    <mergeCell ref="G60:G62"/>
    <mergeCell ref="I60:I62"/>
    <mergeCell ref="K60:K62"/>
    <mergeCell ref="E70:H70"/>
    <mergeCell ref="I70:J70"/>
    <mergeCell ref="K70:L70"/>
    <mergeCell ref="M70:N70"/>
    <mergeCell ref="E69:N69"/>
    <mergeCell ref="D69:D71"/>
    <mergeCell ref="E1:V1"/>
    <mergeCell ref="S63:S65"/>
    <mergeCell ref="T63:T65"/>
    <mergeCell ref="U63:U65"/>
    <mergeCell ref="V63:V65"/>
    <mergeCell ref="D63:D65"/>
    <mergeCell ref="D60:D62"/>
    <mergeCell ref="S57:S59"/>
    <mergeCell ref="T57:T59"/>
    <mergeCell ref="U57:U59"/>
    <mergeCell ref="V57:V59"/>
    <mergeCell ref="D57:D59"/>
    <mergeCell ref="S51:S53"/>
    <mergeCell ref="T51:T53"/>
    <mergeCell ref="U51:U53"/>
    <mergeCell ref="V51:V53"/>
    <mergeCell ref="D51:D53"/>
    <mergeCell ref="I63:I65"/>
    <mergeCell ref="E35:AA35"/>
    <mergeCell ref="Y60:Y62"/>
    <mergeCell ref="Y63:Y65"/>
    <mergeCell ref="Z36:AA36"/>
    <mergeCell ref="Z37:AA37"/>
    <mergeCell ref="AA39:AA41"/>
    <mergeCell ref="AA42:AA44"/>
    <mergeCell ref="AA45:AA47"/>
    <mergeCell ref="AA48:AA50"/>
    <mergeCell ref="AA51:AA53"/>
    <mergeCell ref="AA54:AA56"/>
    <mergeCell ref="AA57:AA59"/>
    <mergeCell ref="AA60:AA62"/>
    <mergeCell ref="AA63:AA65"/>
    <mergeCell ref="X36:Y36"/>
    <mergeCell ref="X37:Y37"/>
    <mergeCell ref="Y39:Y41"/>
    <mergeCell ref="Y42:Y44"/>
    <mergeCell ref="Y45:Y47"/>
    <mergeCell ref="Y48:Y50"/>
    <mergeCell ref="Y51:Y53"/>
    <mergeCell ref="Y54:Y56"/>
    <mergeCell ref="Y57:Y59"/>
    <mergeCell ref="W63:W65"/>
  </mergeCells>
  <conditionalFormatting sqref="G88">
    <cfRule type="cellIs" dxfId="4641" priority="1253" stopIfTrue="1" operator="greaterThan">
      <formula>0.03</formula>
    </cfRule>
    <cfRule type="cellIs" dxfId="4640" priority="1254" stopIfTrue="1" operator="lessThan">
      <formula>-0.03</formula>
    </cfRule>
  </conditionalFormatting>
  <conditionalFormatting sqref="Y45">
    <cfRule type="cellIs" dxfId="4639" priority="641" stopIfTrue="1" operator="greaterThan">
      <formula>0.03</formula>
    </cfRule>
    <cfRule type="cellIs" dxfId="4638" priority="642" stopIfTrue="1" operator="lessThan">
      <formula>-0.03</formula>
    </cfRule>
  </conditionalFormatting>
  <conditionalFormatting sqref="Y42">
    <cfRule type="cellIs" dxfId="4637" priority="653" stopIfTrue="1" operator="greaterThan">
      <formula>0.03</formula>
    </cfRule>
    <cfRule type="cellIs" dxfId="4636" priority="654" stopIfTrue="1" operator="lessThan">
      <formula>-0.03</formula>
    </cfRule>
  </conditionalFormatting>
  <conditionalFormatting sqref="Y51">
    <cfRule type="cellIs" dxfId="4635" priority="617" stopIfTrue="1" operator="greaterThan">
      <formula>0.03</formula>
    </cfRule>
    <cfRule type="cellIs" dxfId="4634" priority="618" stopIfTrue="1" operator="lessThan">
      <formula>-0.03</formula>
    </cfRule>
  </conditionalFormatting>
  <conditionalFormatting sqref="Y57">
    <cfRule type="cellIs" dxfId="4633" priority="593" stopIfTrue="1" operator="greaterThan">
      <formula>0.03</formula>
    </cfRule>
    <cfRule type="cellIs" dxfId="4632" priority="594" stopIfTrue="1" operator="lessThan">
      <formula>-0.03</formula>
    </cfRule>
  </conditionalFormatting>
  <conditionalFormatting sqref="Y60">
    <cfRule type="cellIs" dxfId="4631" priority="581" stopIfTrue="1" operator="greaterThan">
      <formula>0.03</formula>
    </cfRule>
    <cfRule type="cellIs" dxfId="4630" priority="582" stopIfTrue="1" operator="lessThan">
      <formula>-0.03</formula>
    </cfRule>
  </conditionalFormatting>
  <conditionalFormatting sqref="F7 F10 F13 F16 F19 F22 F25 F28 F31">
    <cfRule type="cellIs" dxfId="4629" priority="561" stopIfTrue="1" operator="greaterThan">
      <formula>0.03</formula>
    </cfRule>
    <cfRule type="cellIs" dxfId="4628" priority="562" stopIfTrue="1" operator="lessThan">
      <formula>-0.03</formula>
    </cfRule>
  </conditionalFormatting>
  <conditionalFormatting sqref="M88:M254">
    <cfRule type="cellIs" dxfId="4627" priority="539" stopIfTrue="1" operator="greaterThan">
      <formula>0.03</formula>
    </cfRule>
    <cfRule type="cellIs" dxfId="4626" priority="540" stopIfTrue="1" operator="lessThan">
      <formula>-0.03</formula>
    </cfRule>
  </conditionalFormatting>
  <conditionalFormatting sqref="H39:H40 H42:H43 H45:H46 H48:H49 H51:H52 H54:H55 H57:H58 H60:H61 H63:H64">
    <cfRule type="cellIs" dxfId="4625" priority="519" stopIfTrue="1" operator="greaterThan">
      <formula>0.03</formula>
    </cfRule>
    <cfRule type="cellIs" dxfId="4624" priority="520" stopIfTrue="1" operator="lessThan">
      <formula>-0.03</formula>
    </cfRule>
  </conditionalFormatting>
  <conditionalFormatting sqref="G255:G258">
    <cfRule type="cellIs" dxfId="4623" priority="731" stopIfTrue="1" operator="greaterThan">
      <formula>0.03</formula>
    </cfRule>
    <cfRule type="cellIs" dxfId="4622" priority="732" stopIfTrue="1" operator="lessThan">
      <formula>-0.03</formula>
    </cfRule>
  </conditionalFormatting>
  <conditionalFormatting sqref="L39:L40 L42:L43 L45:L46 L48:L49 L51:L52 L54:L55 L57:L58 L60:L61 L63:L64">
    <cfRule type="cellIs" dxfId="4621" priority="499" stopIfTrue="1" operator="greaterThan">
      <formula>0.03</formula>
    </cfRule>
    <cfRule type="cellIs" dxfId="4620" priority="500" stopIfTrue="1" operator="lessThan">
      <formula>-0.03</formula>
    </cfRule>
  </conditionalFormatting>
  <conditionalFormatting sqref="K255:K258">
    <cfRule type="cellIs" dxfId="4619" priority="729" stopIfTrue="1" operator="greaterThan">
      <formula>0.03</formula>
    </cfRule>
    <cfRule type="cellIs" dxfId="4618" priority="730" stopIfTrue="1" operator="lessThan">
      <formula>-0.03</formula>
    </cfRule>
  </conditionalFormatting>
  <conditionalFormatting sqref="M255:M258">
    <cfRule type="cellIs" dxfId="4617" priority="727" stopIfTrue="1" operator="greaterThan">
      <formula>0.03</formula>
    </cfRule>
    <cfRule type="cellIs" dxfId="4616" priority="728" stopIfTrue="1" operator="lessThan">
      <formula>-0.03</formula>
    </cfRule>
  </conditionalFormatting>
  <conditionalFormatting sqref="O255 O257:O258">
    <cfRule type="cellIs" dxfId="4615" priority="715" stopIfTrue="1" operator="greaterThan">
      <formula>0.03</formula>
    </cfRule>
    <cfRule type="cellIs" dxfId="4614" priority="716" stopIfTrue="1" operator="lessThan">
      <formula>-0.03</formula>
    </cfRule>
  </conditionalFormatting>
  <conditionalFormatting sqref="O80">
    <cfRule type="cellIs" dxfId="4613" priority="712" stopIfTrue="1" operator="lessThan">
      <formula>1</formula>
    </cfRule>
  </conditionalFormatting>
  <conditionalFormatting sqref="E80:O80">
    <cfRule type="cellIs" dxfId="4612" priority="710" stopIfTrue="1" operator="greaterThan">
      <formula>2</formula>
    </cfRule>
    <cfRule type="cellIs" dxfId="4611" priority="711" stopIfTrue="1" operator="lessThan">
      <formula>0.5</formula>
    </cfRule>
  </conditionalFormatting>
  <conditionalFormatting sqref="O72:O79">
    <cfRule type="cellIs" dxfId="4610" priority="709" stopIfTrue="1" operator="lessThan">
      <formula>1</formula>
    </cfRule>
  </conditionalFormatting>
  <conditionalFormatting sqref="E72:O79">
    <cfRule type="cellIs" dxfId="4609" priority="707" stopIfTrue="1" operator="greaterThan">
      <formula>2</formula>
    </cfRule>
    <cfRule type="cellIs" dxfId="4608" priority="708" stopIfTrue="1" operator="lessThan">
      <formula>0.5</formula>
    </cfRule>
  </conditionalFormatting>
  <conditionalFormatting sqref="H41 H44 H47 H50 H53 H56 H59 H62 H65">
    <cfRule type="cellIs" dxfId="4607" priority="515" stopIfTrue="1" operator="greaterThan">
      <formula>0.03</formula>
    </cfRule>
    <cfRule type="cellIs" dxfId="4606" priority="516" stopIfTrue="1" operator="lessThan">
      <formula>-0.03</formula>
    </cfRule>
  </conditionalFormatting>
  <conditionalFormatting sqref="Y39">
    <cfRule type="cellIs" dxfId="4605" priority="705" stopIfTrue="1" operator="greaterThan">
      <formula>0.03</formula>
    </cfRule>
    <cfRule type="cellIs" dxfId="4604" priority="706" stopIfTrue="1" operator="lessThan">
      <formula>-0.03</formula>
    </cfRule>
  </conditionalFormatting>
  <conditionalFormatting sqref="Y63">
    <cfRule type="cellIs" dxfId="4603" priority="689" stopIfTrue="1" operator="greaterThan">
      <formula>0.03</formula>
    </cfRule>
    <cfRule type="cellIs" dxfId="4602" priority="690" stopIfTrue="1" operator="lessThan">
      <formula>-0.03</formula>
    </cfRule>
  </conditionalFormatting>
  <conditionalFormatting sqref="N41 N44 N47 N50 N53 N56 N59 N62 N65">
    <cfRule type="cellIs" dxfId="4601" priority="485" stopIfTrue="1" operator="greaterThan">
      <formula>0.03</formula>
    </cfRule>
    <cfRule type="cellIs" dxfId="4600" priority="486" stopIfTrue="1" operator="lessThan">
      <formula>-0.03</formula>
    </cfRule>
  </conditionalFormatting>
  <conditionalFormatting sqref="G89:G254">
    <cfRule type="cellIs" dxfId="4599" priority="547" stopIfTrue="1" operator="greaterThan">
      <formula>0.03</formula>
    </cfRule>
    <cfRule type="cellIs" dxfId="4598" priority="548" stopIfTrue="1" operator="lessThan">
      <formula>-0.03</formula>
    </cfRule>
  </conditionalFormatting>
  <conditionalFormatting sqref="R39:R40 R42:R43 R45:R46 R48:R49 R51:R52 R54:R55 R57:R58 R60:R61 R63:R64">
    <cfRule type="cellIs" dxfId="4597" priority="469" stopIfTrue="1" operator="greaterThan">
      <formula>0.03</formula>
    </cfRule>
    <cfRule type="cellIs" dxfId="4596" priority="470" stopIfTrue="1" operator="lessThan">
      <formula>-0.03</formula>
    </cfRule>
  </conditionalFormatting>
  <conditionalFormatting sqref="P41 P44 P47 P50 P53 P56 P59 P62 P65">
    <cfRule type="cellIs" dxfId="4595" priority="475" stopIfTrue="1" operator="greaterThan">
      <formula>0.03</formula>
    </cfRule>
    <cfRule type="cellIs" dxfId="4594" priority="476" stopIfTrue="1" operator="lessThan">
      <formula>-0.03</formula>
    </cfRule>
  </conditionalFormatting>
  <conditionalFormatting sqref="O88:O254">
    <cfRule type="cellIs" dxfId="4593" priority="535" stopIfTrue="1" operator="greaterThan">
      <formula>0.03</formula>
    </cfRule>
    <cfRule type="cellIs" dxfId="4592" priority="536" stopIfTrue="1" operator="lessThan">
      <formula>-0.03</formula>
    </cfRule>
  </conditionalFormatting>
  <conditionalFormatting sqref="X39:X40 X42:X43 X45:X46 X48:X49 X51:X52 X54:X55 X57:X58 X60:X61 X63:X64">
    <cfRule type="cellIs" dxfId="4591" priority="459" stopIfTrue="1" operator="greaterThan">
      <formula>0.03</formula>
    </cfRule>
    <cfRule type="cellIs" dxfId="4590" priority="460" stopIfTrue="1" operator="lessThan">
      <formula>-0.03</formula>
    </cfRule>
  </conditionalFormatting>
  <conditionalFormatting sqref="Y48">
    <cfRule type="cellIs" dxfId="4589" priority="629" stopIfTrue="1" operator="greaterThan">
      <formula>0.03</formula>
    </cfRule>
    <cfRule type="cellIs" dxfId="4588" priority="630" stopIfTrue="1" operator="lessThan">
      <formula>-0.03</formula>
    </cfRule>
  </conditionalFormatting>
  <conditionalFormatting sqref="Z41 Z44 Z47 Z50 Z53 Z56 Z59 Z62 Z65">
    <cfRule type="cellIs" dxfId="4587" priority="445" stopIfTrue="1" operator="greaterThan">
      <formula>0.03</formula>
    </cfRule>
    <cfRule type="cellIs" dxfId="4586" priority="446" stopIfTrue="1" operator="lessThan">
      <formula>-0.03</formula>
    </cfRule>
  </conditionalFormatting>
  <conditionalFormatting sqref="Z39:Z40 Z42:Z43 Z45:Z46 Z48:Z49 Z51:Z52 Z54:Z55 Z57:Z58 Z60:Z61 Z63:Z64">
    <cfRule type="cellIs" dxfId="4585" priority="449" stopIfTrue="1" operator="greaterThan">
      <formula>0.03</formula>
    </cfRule>
    <cfRule type="cellIs" dxfId="4584" priority="450" stopIfTrue="1" operator="lessThan">
      <formula>-0.03</formula>
    </cfRule>
  </conditionalFormatting>
  <conditionalFormatting sqref="G8 G11 G14 G17 G20 G23 G26 G29">
    <cfRule type="cellIs" dxfId="4583" priority="433" stopIfTrue="1" operator="greaterThan">
      <formula>0.03</formula>
    </cfRule>
    <cfRule type="cellIs" dxfId="4582" priority="434" stopIfTrue="1" operator="lessThan">
      <formula>-0.03</formula>
    </cfRule>
  </conditionalFormatting>
  <conditionalFormatting sqref="Y54">
    <cfRule type="cellIs" dxfId="4581" priority="605" stopIfTrue="1" operator="greaterThan">
      <formula>0.03</formula>
    </cfRule>
    <cfRule type="cellIs" dxfId="4580" priority="606" stopIfTrue="1" operator="lessThan">
      <formula>-0.03</formula>
    </cfRule>
  </conditionalFormatting>
  <conditionalFormatting sqref="G39 G42 G45 G48 G51 G54 G57 G60 G63">
    <cfRule type="cellIs" dxfId="4579" priority="421" stopIfTrue="1" operator="greaterThan">
      <formula>0.03</formula>
    </cfRule>
    <cfRule type="cellIs" dxfId="4578" priority="422" stopIfTrue="1" operator="lessThan">
      <formula>-0.03</formula>
    </cfRule>
  </conditionalFormatting>
  <conditionalFormatting sqref="I5:V5 I8:V8 I11:V11 I14:V14 I17:V17 I20:V20 I23:V23 I26:V26 I29:V29">
    <cfRule type="cellIs" dxfId="4577" priority="425" stopIfTrue="1" operator="greaterThan">
      <formula>0.03</formula>
    </cfRule>
    <cfRule type="cellIs" dxfId="4576" priority="426" stopIfTrue="1" operator="lessThan">
      <formula>-0.03</formula>
    </cfRule>
  </conditionalFormatting>
  <conditionalFormatting sqref="M39 M42 M45 M48 M51 M54 M57 M60 M63">
    <cfRule type="cellIs" dxfId="4575" priority="409" stopIfTrue="1" operator="greaterThan">
      <formula>0.03</formula>
    </cfRule>
    <cfRule type="cellIs" dxfId="4574" priority="410" stopIfTrue="1" operator="lessThan">
      <formula>-0.03</formula>
    </cfRule>
  </conditionalFormatting>
  <conditionalFormatting sqref="K39 K42 K45 K48 K51 K54 K57 K60 K63">
    <cfRule type="cellIs" dxfId="4573" priority="413" stopIfTrue="1" operator="greaterThan">
      <formula>0.03</formula>
    </cfRule>
    <cfRule type="cellIs" dxfId="4572" priority="414" stopIfTrue="1" operator="lessThan">
      <formula>-0.03</formula>
    </cfRule>
  </conditionalFormatting>
  <conditionalFormatting sqref="F5:F6 F8:F9 F11:F12 F14:F15 F17:F18 F20:F21 F23:F24 F26:F27 F29:F30">
    <cfRule type="cellIs" dxfId="4571" priority="565" stopIfTrue="1" operator="greaterThan">
      <formula>0.03</formula>
    </cfRule>
    <cfRule type="cellIs" dxfId="4570" priority="566" stopIfTrue="1" operator="lessThan">
      <formula>-0.03</formula>
    </cfRule>
  </conditionalFormatting>
  <conditionalFormatting sqref="F5 F8 F11 F14 F17 F20 F23 F26 F29">
    <cfRule type="cellIs" dxfId="4569" priority="569" stopIfTrue="1" operator="greaterThan">
      <formula>0</formula>
    </cfRule>
    <cfRule type="cellIs" dxfId="4568" priority="570" stopIfTrue="1" operator="lessThan">
      <formula>0</formula>
    </cfRule>
  </conditionalFormatting>
  <conditionalFormatting sqref="F6 F9 F12 F15 F18 F21 F24 F27 F30">
    <cfRule type="cellIs" dxfId="4567" priority="567" stopIfTrue="1" operator="lessThan">
      <formula>0</formula>
    </cfRule>
    <cfRule type="cellIs" dxfId="4566" priority="568" stopIfTrue="1" operator="greaterThan">
      <formula>0</formula>
    </cfRule>
  </conditionalFormatting>
  <conditionalFormatting sqref="F7 F10 F13 F16 F19 F22 F25 F28 F31">
    <cfRule type="cellIs" dxfId="4565" priority="564" stopIfTrue="1" operator="greaterThan">
      <formula>0</formula>
    </cfRule>
  </conditionalFormatting>
  <conditionalFormatting sqref="F7 F10 F13 F16 F19 F22 F25 F28 F31">
    <cfRule type="cellIs" dxfId="4564" priority="563" stopIfTrue="1" operator="lessThan">
      <formula>0</formula>
    </cfRule>
  </conditionalFormatting>
  <conditionalFormatting sqref="N200 N203 N206 N209 N212 N215 N218 N221 N224">
    <cfRule type="cellIs" dxfId="4563" priority="317" stopIfTrue="1" operator="greaterThan">
      <formula>0.03</formula>
    </cfRule>
    <cfRule type="cellIs" dxfId="4562" priority="318" stopIfTrue="1" operator="lessThan">
      <formula>-0.03</formula>
    </cfRule>
  </conditionalFormatting>
  <conditionalFormatting sqref="P200 P203 P206 P209 P212 P215 P218 P221 P224">
    <cfRule type="cellIs" dxfId="4561" priority="313" stopIfTrue="1" operator="greaterThan">
      <formula>0.03</formula>
    </cfRule>
    <cfRule type="cellIs" dxfId="4560" priority="314" stopIfTrue="1" operator="lessThan">
      <formula>-0.03</formula>
    </cfRule>
  </conditionalFormatting>
  <conditionalFormatting sqref="P200 P203 P206 P209 P212 P215 P218 P221 P224">
    <cfRule type="cellIs" dxfId="4559" priority="316" stopIfTrue="1" operator="greaterThan">
      <formula>0</formula>
    </cfRule>
  </conditionalFormatting>
  <conditionalFormatting sqref="P200 P203 P206 P209 P212 P215 P218 P221 P224">
    <cfRule type="cellIs" dxfId="4558" priority="315" stopIfTrue="1" operator="lessThan">
      <formula>0</formula>
    </cfRule>
  </conditionalFormatting>
  <conditionalFormatting sqref="G89:G254">
    <cfRule type="cellIs" dxfId="4557" priority="549" stopIfTrue="1" operator="greaterThan">
      <formula>0</formula>
    </cfRule>
    <cfRule type="cellIs" dxfId="4556" priority="550" stopIfTrue="1" operator="lessThan">
      <formula>0</formula>
    </cfRule>
  </conditionalFormatting>
  <conditionalFormatting sqref="K88:K254">
    <cfRule type="cellIs" dxfId="4555" priority="543" stopIfTrue="1" operator="greaterThan">
      <formula>0.03</formula>
    </cfRule>
    <cfRule type="cellIs" dxfId="4554" priority="544" stopIfTrue="1" operator="lessThan">
      <formula>-0.03</formula>
    </cfRule>
  </conditionalFormatting>
  <conditionalFormatting sqref="K88:K254">
    <cfRule type="cellIs" dxfId="4553" priority="545" stopIfTrue="1" operator="greaterThan">
      <formula>0</formula>
    </cfRule>
    <cfRule type="cellIs" dxfId="4552" priority="546" stopIfTrue="1" operator="lessThan">
      <formula>0</formula>
    </cfRule>
  </conditionalFormatting>
  <conditionalFormatting sqref="M88:M254">
    <cfRule type="cellIs" dxfId="4551" priority="541" stopIfTrue="1" operator="greaterThan">
      <formula>0</formula>
    </cfRule>
    <cfRule type="cellIs" dxfId="4550" priority="542" stopIfTrue="1" operator="lessThan">
      <formula>0</formula>
    </cfRule>
  </conditionalFormatting>
  <conditionalFormatting sqref="O88:O254">
    <cfRule type="cellIs" dxfId="4549" priority="537" stopIfTrue="1" operator="greaterThan">
      <formula>0</formula>
    </cfRule>
    <cfRule type="cellIs" dxfId="4548" priority="538" stopIfTrue="1" operator="lessThan">
      <formula>0</formula>
    </cfRule>
  </conditionalFormatting>
  <conditionalFormatting sqref="F39:F40 F42:F43 F45:F46 F48:F49 F51:F52 F54:F55 F57:F58 F60:F61 F63:F64">
    <cfRule type="cellIs" dxfId="4547" priority="529" stopIfTrue="1" operator="greaterThan">
      <formula>0.03</formula>
    </cfRule>
    <cfRule type="cellIs" dxfId="4546" priority="530" stopIfTrue="1" operator="lessThan">
      <formula>-0.03</formula>
    </cfRule>
  </conditionalFormatting>
  <conditionalFormatting sqref="F39 F42 F45 F48 F51 F54 F57 F60 F63">
    <cfRule type="cellIs" dxfId="4545" priority="533" stopIfTrue="1" operator="greaterThan">
      <formula>0</formula>
    </cfRule>
    <cfRule type="cellIs" dxfId="4544" priority="534" stopIfTrue="1" operator="lessThan">
      <formula>0</formula>
    </cfRule>
  </conditionalFormatting>
  <conditionalFormatting sqref="F40 F43 F46 F49 F52 F55 F58 F61 F64">
    <cfRule type="cellIs" dxfId="4543" priority="531" stopIfTrue="1" operator="lessThan">
      <formula>0</formula>
    </cfRule>
    <cfRule type="cellIs" dxfId="4542" priority="532" stopIfTrue="1" operator="greaterThan">
      <formula>0</formula>
    </cfRule>
  </conditionalFormatting>
  <conditionalFormatting sqref="F41 F44 F47 F50 F53 F56 F59 F62 F65">
    <cfRule type="cellIs" dxfId="4541" priority="525" stopIfTrue="1" operator="greaterThan">
      <formula>0.03</formula>
    </cfRule>
    <cfRule type="cellIs" dxfId="4540" priority="526" stopIfTrue="1" operator="lessThan">
      <formula>-0.03</formula>
    </cfRule>
  </conditionalFormatting>
  <conditionalFormatting sqref="F41 F44 F47 F50 F53 F56 F59 F62 F65">
    <cfRule type="cellIs" dxfId="4539" priority="528" stopIfTrue="1" operator="greaterThan">
      <formula>0</formula>
    </cfRule>
  </conditionalFormatting>
  <conditionalFormatting sqref="F41 F44 F47 F50 F53 F56 F59 F62 F65">
    <cfRule type="cellIs" dxfId="4538" priority="527" stopIfTrue="1" operator="lessThan">
      <formula>0</formula>
    </cfRule>
  </conditionalFormatting>
  <conditionalFormatting sqref="H39 H42 H45 H48 H51 H54 H57 H60 H63">
    <cfRule type="cellIs" dxfId="4537" priority="523" stopIfTrue="1" operator="greaterThan">
      <formula>0</formula>
    </cfRule>
    <cfRule type="cellIs" dxfId="4536" priority="524" stopIfTrue="1" operator="lessThan">
      <formula>0</formula>
    </cfRule>
  </conditionalFormatting>
  <conditionalFormatting sqref="H40 H43 H46 H49 H52 H55 H58 H61 H64">
    <cfRule type="cellIs" dxfId="4535" priority="521" stopIfTrue="1" operator="lessThan">
      <formula>0</formula>
    </cfRule>
    <cfRule type="cellIs" dxfId="4534" priority="522" stopIfTrue="1" operator="greaterThan">
      <formula>0</formula>
    </cfRule>
  </conditionalFormatting>
  <conditionalFormatting sqref="H41 H44 H47 H50 H53 H56 H59 H62 H65">
    <cfRule type="cellIs" dxfId="4533" priority="518" stopIfTrue="1" operator="greaterThan">
      <formula>0</formula>
    </cfRule>
  </conditionalFormatting>
  <conditionalFormatting sqref="H41 H44 H47 H50 H53 H56 H59 H62 H65">
    <cfRule type="cellIs" dxfId="4532" priority="517" stopIfTrue="1" operator="lessThan">
      <formula>0</formula>
    </cfRule>
  </conditionalFormatting>
  <conditionalFormatting sqref="J39:J40 J42:J43 J45:J46 J48:J49 J51:J52 J54:J55 J57:J58 J60:J61 J63:J64">
    <cfRule type="cellIs" dxfId="4531" priority="509" stopIfTrue="1" operator="greaterThan">
      <formula>0.03</formula>
    </cfRule>
    <cfRule type="cellIs" dxfId="4530" priority="510" stopIfTrue="1" operator="lessThan">
      <formula>-0.03</formula>
    </cfRule>
  </conditionalFormatting>
  <conditionalFormatting sqref="J39 J42 J45 J48 J51 J54 J57 J60 J63">
    <cfRule type="cellIs" dxfId="4529" priority="513" stopIfTrue="1" operator="greaterThan">
      <formula>0</formula>
    </cfRule>
    <cfRule type="cellIs" dxfId="4528" priority="514" stopIfTrue="1" operator="lessThan">
      <formula>0</formula>
    </cfRule>
  </conditionalFormatting>
  <conditionalFormatting sqref="J40 J43 J46 J49 J52 J55 J58 J61 J64">
    <cfRule type="cellIs" dxfId="4527" priority="511" stopIfTrue="1" operator="lessThan">
      <formula>0</formula>
    </cfRule>
    <cfRule type="cellIs" dxfId="4526" priority="512" stopIfTrue="1" operator="greaterThan">
      <formula>0</formula>
    </cfRule>
  </conditionalFormatting>
  <conditionalFormatting sqref="J41 J44 J47 J50 J53 J56 J59 J62 J65">
    <cfRule type="cellIs" dxfId="4525" priority="505" stopIfTrue="1" operator="greaterThan">
      <formula>0.03</formula>
    </cfRule>
    <cfRule type="cellIs" dxfId="4524" priority="506" stopIfTrue="1" operator="lessThan">
      <formula>-0.03</formula>
    </cfRule>
  </conditionalFormatting>
  <conditionalFormatting sqref="J41 J44 J47 J50 J53 J56 J59 J62 J65">
    <cfRule type="cellIs" dxfId="4523" priority="508" stopIfTrue="1" operator="greaterThan">
      <formula>0</formula>
    </cfRule>
  </conditionalFormatting>
  <conditionalFormatting sqref="J41 J44 J47 J50 J53 J56 J59 J62 J65">
    <cfRule type="cellIs" dxfId="4522" priority="507" stopIfTrue="1" operator="lessThan">
      <formula>0</formula>
    </cfRule>
  </conditionalFormatting>
  <conditionalFormatting sqref="L39 L42 L45 L48 L51 L54 L57 L60 L63">
    <cfRule type="cellIs" dxfId="4521" priority="503" stopIfTrue="1" operator="greaterThan">
      <formula>0</formula>
    </cfRule>
    <cfRule type="cellIs" dxfId="4520" priority="504" stopIfTrue="1" operator="lessThan">
      <formula>0</formula>
    </cfRule>
  </conditionalFormatting>
  <conditionalFormatting sqref="L40 L43 L46 L49 L52 L55 L58 L61 L64">
    <cfRule type="cellIs" dxfId="4519" priority="501" stopIfTrue="1" operator="lessThan">
      <formula>0</formula>
    </cfRule>
    <cfRule type="cellIs" dxfId="4518" priority="502" stopIfTrue="1" operator="greaterThan">
      <formula>0</formula>
    </cfRule>
  </conditionalFormatting>
  <conditionalFormatting sqref="L41 L44 L47 L50 L53 L56 L59 L62 L65">
    <cfRule type="cellIs" dxfId="4517" priority="495" stopIfTrue="1" operator="greaterThan">
      <formula>0.03</formula>
    </cfRule>
    <cfRule type="cellIs" dxfId="4516" priority="496" stopIfTrue="1" operator="lessThan">
      <formula>-0.03</formula>
    </cfRule>
  </conditionalFormatting>
  <conditionalFormatting sqref="L41 L44 L47 L50 L53 L56 L59 L62 L65">
    <cfRule type="cellIs" dxfId="4515" priority="498" stopIfTrue="1" operator="greaterThan">
      <formula>0</formula>
    </cfRule>
  </conditionalFormatting>
  <conditionalFormatting sqref="L41 L44 L47 L50 L53 L56 L59 L62 L65">
    <cfRule type="cellIs" dxfId="4514" priority="497" stopIfTrue="1" operator="lessThan">
      <formula>0</formula>
    </cfRule>
  </conditionalFormatting>
  <conditionalFormatting sqref="N39:N40 N42:N43 N45:N46 N48:N49 N51:N52 N54:N55 N57:N58 N60:N61 N63:N64">
    <cfRule type="cellIs" dxfId="4513" priority="489" stopIfTrue="1" operator="greaterThan">
      <formula>0.03</formula>
    </cfRule>
    <cfRule type="cellIs" dxfId="4512" priority="490" stopIfTrue="1" operator="lessThan">
      <formula>-0.03</formula>
    </cfRule>
  </conditionalFormatting>
  <conditionalFormatting sqref="N39 N42 N45 N48 N51 N54 N57 N60 N63">
    <cfRule type="cellIs" dxfId="4511" priority="493" stopIfTrue="1" operator="greaterThan">
      <formula>0</formula>
    </cfRule>
    <cfRule type="cellIs" dxfId="4510" priority="494" stopIfTrue="1" operator="lessThan">
      <formula>0</formula>
    </cfRule>
  </conditionalFormatting>
  <conditionalFormatting sqref="N40 N43 N46 N49 N52 N55 N58 N61 N64">
    <cfRule type="cellIs" dxfId="4509" priority="491" stopIfTrue="1" operator="lessThan">
      <formula>0</formula>
    </cfRule>
    <cfRule type="cellIs" dxfId="4508" priority="492" stopIfTrue="1" operator="greaterThan">
      <formula>0</formula>
    </cfRule>
  </conditionalFormatting>
  <conditionalFormatting sqref="N41 N44 N47 N50 N53 N56 N59 N62 N65">
    <cfRule type="cellIs" dxfId="4507" priority="488" stopIfTrue="1" operator="greaterThan">
      <formula>0</formula>
    </cfRule>
  </conditionalFormatting>
  <conditionalFormatting sqref="N41 N44 N47 N50 N53 N56 N59 N62 N65">
    <cfRule type="cellIs" dxfId="4506" priority="487" stopIfTrue="1" operator="lessThan">
      <formula>0</formula>
    </cfRule>
  </conditionalFormatting>
  <conditionalFormatting sqref="P39:P40 P42:P43 P45:P46 P48:P49 P51:P52 P54:P55 P57:P58 P60:P61 P63:P64">
    <cfRule type="cellIs" dxfId="4505" priority="479" stopIfTrue="1" operator="greaterThan">
      <formula>0.03</formula>
    </cfRule>
    <cfRule type="cellIs" dxfId="4504" priority="480" stopIfTrue="1" operator="lessThan">
      <formula>-0.03</formula>
    </cfRule>
  </conditionalFormatting>
  <conditionalFormatting sqref="P39 P42 P45 P48 P51 P54 P57 P60 P63">
    <cfRule type="cellIs" dxfId="4503" priority="483" stopIfTrue="1" operator="greaterThan">
      <formula>0</formula>
    </cfRule>
    <cfRule type="cellIs" dxfId="4502" priority="484" stopIfTrue="1" operator="lessThan">
      <formula>0</formula>
    </cfRule>
  </conditionalFormatting>
  <conditionalFormatting sqref="P40 P43 P46 P49 P52 P55 P58 P61 P64">
    <cfRule type="cellIs" dxfId="4501" priority="481" stopIfTrue="1" operator="lessThan">
      <formula>0</formula>
    </cfRule>
    <cfRule type="cellIs" dxfId="4500" priority="482" stopIfTrue="1" operator="greaterThan">
      <formula>0</formula>
    </cfRule>
  </conditionalFormatting>
  <conditionalFormatting sqref="P41 P44 P47 P50 P53 P56 P59 P62 P65">
    <cfRule type="cellIs" dxfId="4499" priority="478" stopIfTrue="1" operator="greaterThan">
      <formula>0</formula>
    </cfRule>
  </conditionalFormatting>
  <conditionalFormatting sqref="P41 P44 P47 P50 P53 P56 P59 P62 P65">
    <cfRule type="cellIs" dxfId="4498" priority="477" stopIfTrue="1" operator="lessThan">
      <formula>0</formula>
    </cfRule>
  </conditionalFormatting>
  <conditionalFormatting sqref="R39 R42 R45 R48 R51 R54 R57 R60 R63">
    <cfRule type="cellIs" dxfId="4497" priority="473" stopIfTrue="1" operator="greaterThan">
      <formula>0</formula>
    </cfRule>
    <cfRule type="cellIs" dxfId="4496" priority="474" stopIfTrue="1" operator="lessThan">
      <formula>0</formula>
    </cfRule>
  </conditionalFormatting>
  <conditionalFormatting sqref="R40 R43 R46 R49 R52 R55 R58 R61 R64">
    <cfRule type="cellIs" dxfId="4495" priority="471" stopIfTrue="1" operator="lessThan">
      <formula>0</formula>
    </cfRule>
    <cfRule type="cellIs" dxfId="4494" priority="472" stopIfTrue="1" operator="greaterThan">
      <formula>0</formula>
    </cfRule>
  </conditionalFormatting>
  <conditionalFormatting sqref="R41 R44 R47 R50 R53 R56 R59 R62 R65">
    <cfRule type="cellIs" dxfId="4493" priority="465" stopIfTrue="1" operator="greaterThan">
      <formula>0.03</formula>
    </cfRule>
    <cfRule type="cellIs" dxfId="4492" priority="466" stopIfTrue="1" operator="lessThan">
      <formula>-0.03</formula>
    </cfRule>
  </conditionalFormatting>
  <conditionalFormatting sqref="R41 R44 R47 R50 R53 R56 R59 R62 R65">
    <cfRule type="cellIs" dxfId="4491" priority="468" stopIfTrue="1" operator="greaterThan">
      <formula>0</formula>
    </cfRule>
  </conditionalFormatting>
  <conditionalFormatting sqref="R41 R44 R47 R50 R53 R56 R59 R62 R65">
    <cfRule type="cellIs" dxfId="4490" priority="467" stopIfTrue="1" operator="lessThan">
      <formula>0</formula>
    </cfRule>
  </conditionalFormatting>
  <conditionalFormatting sqref="X39 X42 X45 X48 X51 X54 X57 X60 X63">
    <cfRule type="cellIs" dxfId="4489" priority="463" stopIfTrue="1" operator="greaterThan">
      <formula>0</formula>
    </cfRule>
    <cfRule type="cellIs" dxfId="4488" priority="464" stopIfTrue="1" operator="lessThan">
      <formula>0</formula>
    </cfRule>
  </conditionalFormatting>
  <conditionalFormatting sqref="X40 X43 X46 X49 X52 X55 X58 X61 X64">
    <cfRule type="cellIs" dxfId="4487" priority="461" stopIfTrue="1" operator="lessThan">
      <formula>0</formula>
    </cfRule>
    <cfRule type="cellIs" dxfId="4486" priority="462" stopIfTrue="1" operator="greaterThan">
      <formula>0</formula>
    </cfRule>
  </conditionalFormatting>
  <conditionalFormatting sqref="X41 X44 X47 X50 X53 X56 X59 X62 X65">
    <cfRule type="cellIs" dxfId="4485" priority="455" stopIfTrue="1" operator="greaterThan">
      <formula>0.03</formula>
    </cfRule>
    <cfRule type="cellIs" dxfId="4484" priority="456" stopIfTrue="1" operator="lessThan">
      <formula>-0.03</formula>
    </cfRule>
  </conditionalFormatting>
  <conditionalFormatting sqref="X41 X44 X47 X50 X53 X56 X59 X62 X65">
    <cfRule type="cellIs" dxfId="4483" priority="458" stopIfTrue="1" operator="greaterThan">
      <formula>0</formula>
    </cfRule>
  </conditionalFormatting>
  <conditionalFormatting sqref="X41 X44 X47 X50 X53 X56 X59 X62 X65">
    <cfRule type="cellIs" dxfId="4482" priority="457" stopIfTrue="1" operator="lessThan">
      <formula>0</formula>
    </cfRule>
  </conditionalFormatting>
  <conditionalFormatting sqref="Z39 Z42 Z45 Z48 Z51 Z54 Z57 Z60 Z63">
    <cfRule type="cellIs" dxfId="4481" priority="453" stopIfTrue="1" operator="greaterThan">
      <formula>0</formula>
    </cfRule>
    <cfRule type="cellIs" dxfId="4480" priority="454" stopIfTrue="1" operator="lessThan">
      <formula>0</formula>
    </cfRule>
  </conditionalFormatting>
  <conditionalFormatting sqref="Z40 Z43 Z46 Z49 Z52 Z55 Z58 Z61 Z64">
    <cfRule type="cellIs" dxfId="4479" priority="451" stopIfTrue="1" operator="lessThan">
      <formula>0</formula>
    </cfRule>
    <cfRule type="cellIs" dxfId="4478" priority="452" stopIfTrue="1" operator="greaterThan">
      <formula>0</formula>
    </cfRule>
  </conditionalFormatting>
  <conditionalFormatting sqref="Z41 Z44 Z47 Z50 Z53 Z56 Z59 Z62 Z65">
    <cfRule type="cellIs" dxfId="4477" priority="448" stopIfTrue="1" operator="greaterThan">
      <formula>0</formula>
    </cfRule>
  </conditionalFormatting>
  <conditionalFormatting sqref="Z41 Z44 Z47 Z50 Z53 Z56 Z59 Z62 Z65">
    <cfRule type="cellIs" dxfId="4476" priority="447" stopIfTrue="1" operator="lessThan">
      <formula>0</formula>
    </cfRule>
  </conditionalFormatting>
  <conditionalFormatting sqref="G5">
    <cfRule type="cellIs" dxfId="4475" priority="441" stopIfTrue="1" operator="greaterThan">
      <formula>0.03</formula>
    </cfRule>
    <cfRule type="cellIs" dxfId="4474" priority="442" stopIfTrue="1" operator="lessThan">
      <formula>-0.03</formula>
    </cfRule>
  </conditionalFormatting>
  <conditionalFormatting sqref="G5">
    <cfRule type="cellIs" dxfId="4473" priority="444" stopIfTrue="1" operator="greaterThan">
      <formula>0</formula>
    </cfRule>
  </conditionalFormatting>
  <conditionalFormatting sqref="G5">
    <cfRule type="cellIs" dxfId="4472" priority="443" stopIfTrue="1" operator="lessThan">
      <formula>0</formula>
    </cfRule>
  </conditionalFormatting>
  <conditionalFormatting sqref="L228 L231 L234 L237 L240 L243 L246 L249 L252">
    <cfRule type="cellIs" dxfId="4471" priority="305" stopIfTrue="1" operator="greaterThan">
      <formula>0.03</formula>
    </cfRule>
    <cfRule type="cellIs" dxfId="4470" priority="306" stopIfTrue="1" operator="lessThan">
      <formula>-0.03</formula>
    </cfRule>
  </conditionalFormatting>
  <conditionalFormatting sqref="L228 L231 L234 L237 L240 L243 L246 L249 L252">
    <cfRule type="cellIs" dxfId="4469" priority="308" stopIfTrue="1" operator="greaterThan">
      <formula>0</formula>
    </cfRule>
  </conditionalFormatting>
  <conditionalFormatting sqref="L228 L231 L234 L237 L240 L243 L246 L249 L252">
    <cfRule type="cellIs" dxfId="4468" priority="307" stopIfTrue="1" operator="lessThan">
      <formula>0</formula>
    </cfRule>
  </conditionalFormatting>
  <conditionalFormatting sqref="G8 G11 G14 G17 G20 G23 G26 G29">
    <cfRule type="cellIs" dxfId="4467" priority="436" stopIfTrue="1" operator="greaterThan">
      <formula>0</formula>
    </cfRule>
  </conditionalFormatting>
  <conditionalFormatting sqref="G8 G11 G14 G17 G20 G23 G26 G29">
    <cfRule type="cellIs" dxfId="4466" priority="435" stopIfTrue="1" operator="lessThan">
      <formula>0</formula>
    </cfRule>
  </conditionalFormatting>
  <conditionalFormatting sqref="H5 H8 H11 H14 H17 H20 H23 H26 H29">
    <cfRule type="cellIs" dxfId="4465" priority="429" stopIfTrue="1" operator="greaterThan">
      <formula>0.03</formula>
    </cfRule>
    <cfRule type="cellIs" dxfId="4464" priority="430" stopIfTrue="1" operator="lessThan">
      <formula>-0.03</formula>
    </cfRule>
  </conditionalFormatting>
  <conditionalFormatting sqref="H5 H8 H11 H14 H17 H20 H23 H26 H29">
    <cfRule type="cellIs" dxfId="4463" priority="432" stopIfTrue="1" operator="greaterThan">
      <formula>0</formula>
    </cfRule>
  </conditionalFormatting>
  <conditionalFormatting sqref="H5 H8 H11 H14 H17 H20 H23 H26 H29">
    <cfRule type="cellIs" dxfId="4462" priority="431" stopIfTrue="1" operator="lessThan">
      <formula>0</formula>
    </cfRule>
  </conditionalFormatting>
  <conditionalFormatting sqref="I5:V5 I8:V8 I11:V11 I14:V14 I17:V17 I20:V20 I23:V23 I26:V26 I29:V29">
    <cfRule type="cellIs" dxfId="4461" priority="428" stopIfTrue="1" operator="greaterThan">
      <formula>0</formula>
    </cfRule>
  </conditionalFormatting>
  <conditionalFormatting sqref="I5:V5 I8:V8 I11:V11 I14:V14 I17:V17 I20:V20 I23:V23 I26:V26 I29:V29">
    <cfRule type="cellIs" dxfId="4460" priority="427" stopIfTrue="1" operator="lessThan">
      <formula>0</formula>
    </cfRule>
  </conditionalFormatting>
  <conditionalFormatting sqref="G39 G42 G45 G48 G51 G54 G57 G60 G63">
    <cfRule type="cellIs" dxfId="4459" priority="424" stopIfTrue="1" operator="greaterThan">
      <formula>0</formula>
    </cfRule>
  </conditionalFormatting>
  <conditionalFormatting sqref="G39 G42 G45 G48 G51 G54 G57 G60 G63">
    <cfRule type="cellIs" dxfId="4458" priority="423" stopIfTrue="1" operator="lessThan">
      <formula>0</formula>
    </cfRule>
  </conditionalFormatting>
  <conditionalFormatting sqref="I39 I42 I45 I48 I51 I54 I57 I60 I63">
    <cfRule type="cellIs" dxfId="4457" priority="417" stopIfTrue="1" operator="greaterThan">
      <formula>0.03</formula>
    </cfRule>
    <cfRule type="cellIs" dxfId="4456" priority="418" stopIfTrue="1" operator="lessThan">
      <formula>-0.03</formula>
    </cfRule>
  </conditionalFormatting>
  <conditionalFormatting sqref="I39 I42 I45 I48 I51 I54 I57 I60 I63">
    <cfRule type="cellIs" dxfId="4455" priority="420" stopIfTrue="1" operator="greaterThan">
      <formula>0</formula>
    </cfRule>
  </conditionalFormatting>
  <conditionalFormatting sqref="I39 I42 I45 I48 I51 I54 I57 I60 I63">
    <cfRule type="cellIs" dxfId="4454" priority="419" stopIfTrue="1" operator="lessThan">
      <formula>0</formula>
    </cfRule>
  </conditionalFormatting>
  <conditionalFormatting sqref="K39 K42 K45 K48 K51 K54 K57 K60 K63">
    <cfRule type="cellIs" dxfId="4453" priority="416" stopIfTrue="1" operator="greaterThan">
      <formula>0</formula>
    </cfRule>
  </conditionalFormatting>
  <conditionalFormatting sqref="K39 K42 K45 K48 K51 K54 K57 K60 K63">
    <cfRule type="cellIs" dxfId="4452" priority="415" stopIfTrue="1" operator="lessThan">
      <formula>0</formula>
    </cfRule>
  </conditionalFormatting>
  <conditionalFormatting sqref="M39 M42 M45 M48 M51 M54 M57 M60 M63">
    <cfRule type="cellIs" dxfId="4451" priority="412" stopIfTrue="1" operator="greaterThan">
      <formula>0</formula>
    </cfRule>
  </conditionalFormatting>
  <conditionalFormatting sqref="M39 M42 M45 M48 M51 M54 M57 M60 M63">
    <cfRule type="cellIs" dxfId="4450" priority="411" stopIfTrue="1" operator="lessThan">
      <formula>0</formula>
    </cfRule>
  </conditionalFormatting>
  <conditionalFormatting sqref="O39 O42 O45 O48 O51 O54 O57 O60 O63">
    <cfRule type="cellIs" dxfId="4449" priority="405" stopIfTrue="1" operator="greaterThan">
      <formula>0.03</formula>
    </cfRule>
    <cfRule type="cellIs" dxfId="4448" priority="406" stopIfTrue="1" operator="lessThan">
      <formula>-0.03</formula>
    </cfRule>
  </conditionalFormatting>
  <conditionalFormatting sqref="O39 O42 O45 O48 O51 O54 O57 O60 O63">
    <cfRule type="cellIs" dxfId="4447" priority="408" stopIfTrue="1" operator="greaterThan">
      <formula>0</formula>
    </cfRule>
  </conditionalFormatting>
  <conditionalFormatting sqref="O39 O42 O45 O48 O51 O54 O57 O60 O63">
    <cfRule type="cellIs" dxfId="4446" priority="407" stopIfTrue="1" operator="lessThan">
      <formula>0</formula>
    </cfRule>
  </conditionalFormatting>
  <conditionalFormatting sqref="Q39 Q42 Q45 Q48 Q51 Q54 Q57 Q60 Q63">
    <cfRule type="cellIs" dxfId="4445" priority="401" stopIfTrue="1" operator="greaterThan">
      <formula>0.03</formula>
    </cfRule>
    <cfRule type="cellIs" dxfId="4444" priority="402" stopIfTrue="1" operator="lessThan">
      <formula>-0.03</formula>
    </cfRule>
  </conditionalFormatting>
  <conditionalFormatting sqref="Q39 Q42 Q45 Q48 Q51 Q54 Q57 Q60 Q63">
    <cfRule type="cellIs" dxfId="4443" priority="404" stopIfTrue="1" operator="greaterThan">
      <formula>0</formula>
    </cfRule>
  </conditionalFormatting>
  <conditionalFormatting sqref="Q39 Q42 Q45 Q48 Q51 Q54 Q57 Q60 Q63">
    <cfRule type="cellIs" dxfId="4442" priority="403" stopIfTrue="1" operator="lessThan">
      <formula>0</formula>
    </cfRule>
  </conditionalFormatting>
  <conditionalFormatting sqref="S39:W39 S42:W42 S45:W45 S48:W48 S51:W51 S54:W54 S57:W57 S60:W60 S63:W63">
    <cfRule type="cellIs" dxfId="4441" priority="397" stopIfTrue="1" operator="greaterThan">
      <formula>0.03</formula>
    </cfRule>
    <cfRule type="cellIs" dxfId="4440" priority="398" stopIfTrue="1" operator="lessThan">
      <formula>-0.03</formula>
    </cfRule>
  </conditionalFormatting>
  <conditionalFormatting sqref="S39:W39 S42:W42 S45:W45 S48:W48 S51:W51 S54:W54 S57:W57 S60:W60 S63:W63">
    <cfRule type="cellIs" dxfId="4439" priority="400" stopIfTrue="1" operator="greaterThan">
      <formula>0</formula>
    </cfRule>
  </conditionalFormatting>
  <conditionalFormatting sqref="S39:W39 S42:W42 S45:W45 S48:W48 S51:W51 S54:W54 S57:W57 S60:W60 S63:W63">
    <cfRule type="cellIs" dxfId="4438" priority="399" stopIfTrue="1" operator="lessThan">
      <formula>0</formula>
    </cfRule>
  </conditionalFormatting>
  <conditionalFormatting sqref="AA39 AA42 AA45 AA48 AA51 AA54 AA57 AA60 AA63">
    <cfRule type="cellIs" dxfId="4437" priority="393" stopIfTrue="1" operator="greaterThan">
      <formula>0.03</formula>
    </cfRule>
    <cfRule type="cellIs" dxfId="4436" priority="394" stopIfTrue="1" operator="lessThan">
      <formula>-0.03</formula>
    </cfRule>
  </conditionalFormatting>
  <conditionalFormatting sqref="AA39 AA42 AA45 AA48 AA51 AA54 AA57 AA60 AA63">
    <cfRule type="cellIs" dxfId="4435" priority="396" stopIfTrue="1" operator="greaterThan">
      <formula>0</formula>
    </cfRule>
  </conditionalFormatting>
  <conditionalFormatting sqref="AA39 AA42 AA45 AA48 AA51 AA54 AA57 AA60 AA63">
    <cfRule type="cellIs" dxfId="4434" priority="395" stopIfTrue="1" operator="lessThan">
      <formula>0</formula>
    </cfRule>
  </conditionalFormatting>
  <conditionalFormatting sqref="P228 P231 P234 P237 P240 P243 P246 P249 P252">
    <cfRule type="cellIs" dxfId="4433" priority="297" stopIfTrue="1" operator="greaterThan">
      <formula>0.03</formula>
    </cfRule>
    <cfRule type="cellIs" dxfId="4432" priority="298" stopIfTrue="1" operator="lessThan">
      <formula>-0.03</formula>
    </cfRule>
  </conditionalFormatting>
  <conditionalFormatting sqref="H88:J88 H91:J91 H94:J94 H97:J97 H100:J100 H103:J103 H106:J106 H109:J109 H112:J112">
    <cfRule type="cellIs" dxfId="4431" priority="389" stopIfTrue="1" operator="greaterThan">
      <formula>0.03</formula>
    </cfRule>
    <cfRule type="cellIs" dxfId="4430" priority="390" stopIfTrue="1" operator="lessThan">
      <formula>-0.03</formula>
    </cfRule>
  </conditionalFormatting>
  <conditionalFormatting sqref="H88:J88 H91:J91 H94:J94 H97:J97 H100:J100 H103:J103 H106:J106 H109:J109 H112:J112">
    <cfRule type="cellIs" dxfId="4429" priority="392" stopIfTrue="1" operator="greaterThan">
      <formula>0</formula>
    </cfRule>
  </conditionalFormatting>
  <conditionalFormatting sqref="H88:J88 H91:J91 H94:J94 H97:J97 H100:J100 H103:J103 H106:J106 H109:J109 H112:J112">
    <cfRule type="cellIs" dxfId="4428" priority="391" stopIfTrue="1" operator="lessThan">
      <formula>0</formula>
    </cfRule>
  </conditionalFormatting>
  <conditionalFormatting sqref="L88 L91 L94 L97 L100 L103 L106 L109 L112">
    <cfRule type="cellIs" dxfId="4427" priority="385" stopIfTrue="1" operator="greaterThan">
      <formula>0.03</formula>
    </cfRule>
    <cfRule type="cellIs" dxfId="4426" priority="386" stopIfTrue="1" operator="lessThan">
      <formula>-0.03</formula>
    </cfRule>
  </conditionalFormatting>
  <conditionalFormatting sqref="L88 L91 L94 L97 L100 L103 L106 L109 L112">
    <cfRule type="cellIs" dxfId="4425" priority="388" stopIfTrue="1" operator="greaterThan">
      <formula>0</formula>
    </cfRule>
  </conditionalFormatting>
  <conditionalFormatting sqref="L88 L91 L94 L97 L100 L103 L106 L109 L112">
    <cfRule type="cellIs" dxfId="4424" priority="387" stopIfTrue="1" operator="lessThan">
      <formula>0</formula>
    </cfRule>
  </conditionalFormatting>
  <conditionalFormatting sqref="N88 N91 N94 N97 N100 N103 N106 N109 N112">
    <cfRule type="cellIs" dxfId="4423" priority="381" stopIfTrue="1" operator="greaterThan">
      <formula>0.03</formula>
    </cfRule>
    <cfRule type="cellIs" dxfId="4422" priority="382" stopIfTrue="1" operator="lessThan">
      <formula>-0.03</formula>
    </cfRule>
  </conditionalFormatting>
  <conditionalFormatting sqref="N88 N91 N94 N97 N100 N103 N106 N109 N112">
    <cfRule type="cellIs" dxfId="4421" priority="384" stopIfTrue="1" operator="greaterThan">
      <formula>0</formula>
    </cfRule>
  </conditionalFormatting>
  <conditionalFormatting sqref="N88 N91 N94 N97 N100 N103 N106 N109 N112">
    <cfRule type="cellIs" dxfId="4420" priority="383" stopIfTrue="1" operator="lessThan">
      <formula>0</formula>
    </cfRule>
  </conditionalFormatting>
  <conditionalFormatting sqref="P88 P91 P94 P97 P100 P103 P106 P109 P112">
    <cfRule type="cellIs" dxfId="4419" priority="377" stopIfTrue="1" operator="greaterThan">
      <formula>0.03</formula>
    </cfRule>
    <cfRule type="cellIs" dxfId="4418" priority="378" stopIfTrue="1" operator="lessThan">
      <formula>-0.03</formula>
    </cfRule>
  </conditionalFormatting>
  <conditionalFormatting sqref="P88 P91 P94 P97 P100 P103 P106 P109 P112">
    <cfRule type="cellIs" dxfId="4417" priority="380" stopIfTrue="1" operator="greaterThan">
      <formula>0</formula>
    </cfRule>
  </conditionalFormatting>
  <conditionalFormatting sqref="P88 P91 P94 P97 P100 P103 P106 P109 P112">
    <cfRule type="cellIs" dxfId="4416" priority="379" stopIfTrue="1" operator="lessThan">
      <formula>0</formula>
    </cfRule>
  </conditionalFormatting>
  <conditionalFormatting sqref="H116:J116 H119:J119 H122:J122 H125:J125 H128:J128 H131:J131 H134:J134 H137:J137 H140:J140">
    <cfRule type="cellIs" dxfId="4415" priority="373" stopIfTrue="1" operator="greaterThan">
      <formula>0.03</formula>
    </cfRule>
    <cfRule type="cellIs" dxfId="4414" priority="374" stopIfTrue="1" operator="lessThan">
      <formula>-0.03</formula>
    </cfRule>
  </conditionalFormatting>
  <conditionalFormatting sqref="H116:J116 H119:J119 H122:J122 H125:J125 H128:J128 H131:J131 H134:J134 H137:J137 H140:J140">
    <cfRule type="cellIs" dxfId="4413" priority="376" stopIfTrue="1" operator="greaterThan">
      <formula>0</formula>
    </cfRule>
  </conditionalFormatting>
  <conditionalFormatting sqref="H116:J116 H119:J119 H122:J122 H125:J125 H128:J128 H131:J131 H134:J134 H137:J137 H140:J140">
    <cfRule type="cellIs" dxfId="4412" priority="375" stopIfTrue="1" operator="lessThan">
      <formula>0</formula>
    </cfRule>
  </conditionalFormatting>
  <conditionalFormatting sqref="L116 L119 L122 L125 L128 L131 L134 L137 L140">
    <cfRule type="cellIs" dxfId="4411" priority="369" stopIfTrue="1" operator="greaterThan">
      <formula>0.03</formula>
    </cfRule>
    <cfRule type="cellIs" dxfId="4410" priority="370" stopIfTrue="1" operator="lessThan">
      <formula>-0.03</formula>
    </cfRule>
  </conditionalFormatting>
  <conditionalFormatting sqref="L116 L119 L122 L125 L128 L131 L134 L137 L140">
    <cfRule type="cellIs" dxfId="4409" priority="372" stopIfTrue="1" operator="greaterThan">
      <formula>0</formula>
    </cfRule>
  </conditionalFormatting>
  <conditionalFormatting sqref="L116 L119 L122 L125 L128 L131 L134 L137 L140">
    <cfRule type="cellIs" dxfId="4408" priority="371" stopIfTrue="1" operator="lessThan">
      <formula>0</formula>
    </cfRule>
  </conditionalFormatting>
  <conditionalFormatting sqref="N116 N119 N122 N125 N128 N131 N134 N137 N140">
    <cfRule type="cellIs" dxfId="4407" priority="365" stopIfTrue="1" operator="greaterThan">
      <formula>0.03</formula>
    </cfRule>
    <cfRule type="cellIs" dxfId="4406" priority="366" stopIfTrue="1" operator="lessThan">
      <formula>-0.03</formula>
    </cfRule>
  </conditionalFormatting>
  <conditionalFormatting sqref="N116 N119 N122 N125 N128 N131 N134 N137 N140">
    <cfRule type="cellIs" dxfId="4405" priority="368" stopIfTrue="1" operator="greaterThan">
      <formula>0</formula>
    </cfRule>
  </conditionalFormatting>
  <conditionalFormatting sqref="N116 N119 N122 N125 N128 N131 N134 N137 N140">
    <cfRule type="cellIs" dxfId="4404" priority="367" stopIfTrue="1" operator="lessThan">
      <formula>0</formula>
    </cfRule>
  </conditionalFormatting>
  <conditionalFormatting sqref="P119 P122 P125 P128 P131 P134 P137 P140">
    <cfRule type="cellIs" dxfId="4403" priority="361" stopIfTrue="1" operator="greaterThan">
      <formula>0.03</formula>
    </cfRule>
    <cfRule type="cellIs" dxfId="4402" priority="362" stopIfTrue="1" operator="lessThan">
      <formula>-0.03</formula>
    </cfRule>
  </conditionalFormatting>
  <conditionalFormatting sqref="P119 P122 P125 P128 P131 P134 P137 P140">
    <cfRule type="cellIs" dxfId="4401" priority="364" stopIfTrue="1" operator="greaterThan">
      <formula>0</formula>
    </cfRule>
  </conditionalFormatting>
  <conditionalFormatting sqref="P119 P122 P125 P128 P131 P134 P137 P140">
    <cfRule type="cellIs" dxfId="4400" priority="363" stopIfTrue="1" operator="lessThan">
      <formula>0</formula>
    </cfRule>
  </conditionalFormatting>
  <conditionalFormatting sqref="H144:J144 H147:J147 H150:J150 H153:J153 H156:J156 H159:J159 H162:J162 H165:J165 H168:J168">
    <cfRule type="cellIs" dxfId="4399" priority="357" stopIfTrue="1" operator="greaterThan">
      <formula>0.03</formula>
    </cfRule>
    <cfRule type="cellIs" dxfId="4398" priority="358" stopIfTrue="1" operator="lessThan">
      <formula>-0.03</formula>
    </cfRule>
  </conditionalFormatting>
  <conditionalFormatting sqref="H144:J144 H147:J147 H150:J150 H153:J153 H156:J156 H159:J159 H162:J162 H165:J165 H168:J168">
    <cfRule type="cellIs" dxfId="4397" priority="360" stopIfTrue="1" operator="greaterThan">
      <formula>0</formula>
    </cfRule>
  </conditionalFormatting>
  <conditionalFormatting sqref="H144:J144 H147:J147 H150:J150 H153:J153 H156:J156 H159:J159 H162:J162 H165:J165 H168:J168">
    <cfRule type="cellIs" dxfId="4396" priority="359" stopIfTrue="1" operator="lessThan">
      <formula>0</formula>
    </cfRule>
  </conditionalFormatting>
  <conditionalFormatting sqref="L144 L147 L150 L153 L156 L159 L162 L165 L168">
    <cfRule type="cellIs" dxfId="4395" priority="353" stopIfTrue="1" operator="greaterThan">
      <formula>0.03</formula>
    </cfRule>
    <cfRule type="cellIs" dxfId="4394" priority="354" stopIfTrue="1" operator="lessThan">
      <formula>-0.03</formula>
    </cfRule>
  </conditionalFormatting>
  <conditionalFormatting sqref="L144 L147 L150 L153 L156 L159 L162 L165 L168">
    <cfRule type="cellIs" dxfId="4393" priority="356" stopIfTrue="1" operator="greaterThan">
      <formula>0</formula>
    </cfRule>
  </conditionalFormatting>
  <conditionalFormatting sqref="L144 L147 L150 L153 L156 L159 L162 L165 L168">
    <cfRule type="cellIs" dxfId="4392" priority="355" stopIfTrue="1" operator="lessThan">
      <formula>0</formula>
    </cfRule>
  </conditionalFormatting>
  <conditionalFormatting sqref="N144 N147 N150 N153 N156 N159 N162 N165 N168">
    <cfRule type="cellIs" dxfId="4391" priority="349" stopIfTrue="1" operator="greaterThan">
      <formula>0.03</formula>
    </cfRule>
    <cfRule type="cellIs" dxfId="4390" priority="350" stopIfTrue="1" operator="lessThan">
      <formula>-0.03</formula>
    </cfRule>
  </conditionalFormatting>
  <conditionalFormatting sqref="N144 N147 N150 N153 N156 N159 N162 N165 N168">
    <cfRule type="cellIs" dxfId="4389" priority="352" stopIfTrue="1" operator="greaterThan">
      <formula>0</formula>
    </cfRule>
  </conditionalFormatting>
  <conditionalFormatting sqref="N144 N147 N150 N153 N156 N159 N162 N165 N168">
    <cfRule type="cellIs" dxfId="4388" priority="351" stopIfTrue="1" operator="lessThan">
      <formula>0</formula>
    </cfRule>
  </conditionalFormatting>
  <conditionalFormatting sqref="P144 P147 P150 P153 P156 P159 P162 P165 P168">
    <cfRule type="cellIs" dxfId="4387" priority="345" stopIfTrue="1" operator="greaterThan">
      <formula>0.03</formula>
    </cfRule>
    <cfRule type="cellIs" dxfId="4386" priority="346" stopIfTrue="1" operator="lessThan">
      <formula>-0.03</formula>
    </cfRule>
  </conditionalFormatting>
  <conditionalFormatting sqref="P144 P147 P150 P153 P156 P159 P162 P165 P168">
    <cfRule type="cellIs" dxfId="4385" priority="348" stopIfTrue="1" operator="greaterThan">
      <formula>0</formula>
    </cfRule>
  </conditionalFormatting>
  <conditionalFormatting sqref="P144 P147 P150 P153 P156 P159 P162 P165 P168">
    <cfRule type="cellIs" dxfId="4384" priority="347" stopIfTrue="1" operator="lessThan">
      <formula>0</formula>
    </cfRule>
  </conditionalFormatting>
  <conditionalFormatting sqref="H172:J172 H175:J175 H178:J178 H181:J181 H184:J184 H187:J187 H190:J190 H193:J193 H196:J196">
    <cfRule type="cellIs" dxfId="4383" priority="341" stopIfTrue="1" operator="greaterThan">
      <formula>0.03</formula>
    </cfRule>
    <cfRule type="cellIs" dxfId="4382" priority="342" stopIfTrue="1" operator="lessThan">
      <formula>-0.03</formula>
    </cfRule>
  </conditionalFormatting>
  <conditionalFormatting sqref="H172:J172 H175:J175 H178:J178 H181:J181 H184:J184 H187:J187 H190:J190 H193:J193 H196:J196">
    <cfRule type="cellIs" dxfId="4381" priority="344" stopIfTrue="1" operator="greaterThan">
      <formula>0</formula>
    </cfRule>
  </conditionalFormatting>
  <conditionalFormatting sqref="H172:J172 H175:J175 H178:J178 H181:J181 H184:J184 H187:J187 H190:J190 H193:J193 H196:J196">
    <cfRule type="cellIs" dxfId="4380" priority="343" stopIfTrue="1" operator="lessThan">
      <formula>0</formula>
    </cfRule>
  </conditionalFormatting>
  <conditionalFormatting sqref="L172 L175 L178 L181 L184 L187 L190 L193 L196">
    <cfRule type="cellIs" dxfId="4379" priority="337" stopIfTrue="1" operator="greaterThan">
      <formula>0.03</formula>
    </cfRule>
    <cfRule type="cellIs" dxfId="4378" priority="338" stopIfTrue="1" operator="lessThan">
      <formula>-0.03</formula>
    </cfRule>
  </conditionalFormatting>
  <conditionalFormatting sqref="L172 L175 L178 L181 L184 L187 L190 L193 L196">
    <cfRule type="cellIs" dxfId="4377" priority="340" stopIfTrue="1" operator="greaterThan">
      <formula>0</formula>
    </cfRule>
  </conditionalFormatting>
  <conditionalFormatting sqref="L172 L175 L178 L181 L184 L187 L190 L193 L196">
    <cfRule type="cellIs" dxfId="4376" priority="339" stopIfTrue="1" operator="lessThan">
      <formula>0</formula>
    </cfRule>
  </conditionalFormatting>
  <conditionalFormatting sqref="N172 N175 N178 N181 N184 N187 N190 N193 N196">
    <cfRule type="cellIs" dxfId="4375" priority="333" stopIfTrue="1" operator="greaterThan">
      <formula>0.03</formula>
    </cfRule>
    <cfRule type="cellIs" dxfId="4374" priority="334" stopIfTrue="1" operator="lessThan">
      <formula>-0.03</formula>
    </cfRule>
  </conditionalFormatting>
  <conditionalFormatting sqref="N172 N175 N178 N181 N184 N187 N190 N193 N196">
    <cfRule type="cellIs" dxfId="4373" priority="336" stopIfTrue="1" operator="greaterThan">
      <formula>0</formula>
    </cfRule>
  </conditionalFormatting>
  <conditionalFormatting sqref="N172 N175 N178 N181 N184 N187 N190 N193 N196">
    <cfRule type="cellIs" dxfId="4372" priority="335" stopIfTrue="1" operator="lessThan">
      <formula>0</formula>
    </cfRule>
  </conditionalFormatting>
  <conditionalFormatting sqref="P172 P175 P178 P181 P184 P187 P190 P193 P196">
    <cfRule type="cellIs" dxfId="4371" priority="329" stopIfTrue="1" operator="greaterThan">
      <formula>0.03</formula>
    </cfRule>
    <cfRule type="cellIs" dxfId="4370" priority="330" stopIfTrue="1" operator="lessThan">
      <formula>-0.03</formula>
    </cfRule>
  </conditionalFormatting>
  <conditionalFormatting sqref="P172 P175 P178 P181 P184 P187 P190 P193 P196">
    <cfRule type="cellIs" dxfId="4369" priority="332" stopIfTrue="1" operator="greaterThan">
      <formula>0</formula>
    </cfRule>
  </conditionalFormatting>
  <conditionalFormatting sqref="P172 P175 P178 P181 P184 P187 P190 P193 P196">
    <cfRule type="cellIs" dxfId="4368" priority="331" stopIfTrue="1" operator="lessThan">
      <formula>0</formula>
    </cfRule>
  </conditionalFormatting>
  <conditionalFormatting sqref="H200:J200 H203:J203 H206:J206 H209:J209 H212:J212 H215:J215 H218:J218 H221:J221 H224:J224">
    <cfRule type="cellIs" dxfId="4367" priority="325" stopIfTrue="1" operator="greaterThan">
      <formula>0.03</formula>
    </cfRule>
    <cfRule type="cellIs" dxfId="4366" priority="326" stopIfTrue="1" operator="lessThan">
      <formula>-0.03</formula>
    </cfRule>
  </conditionalFormatting>
  <conditionalFormatting sqref="H200:J200 H203:J203 H206:J206 H209:J209 H212:J212 H215:J215 H218:J218 H221:J221 H224:J224">
    <cfRule type="cellIs" dxfId="4365" priority="328" stopIfTrue="1" operator="greaterThan">
      <formula>0</formula>
    </cfRule>
  </conditionalFormatting>
  <conditionalFormatting sqref="H200:J200 H203:J203 H206:J206 H209:J209 H212:J212 H215:J215 H218:J218 H221:J221 H224:J224">
    <cfRule type="cellIs" dxfId="4364" priority="327" stopIfTrue="1" operator="lessThan">
      <formula>0</formula>
    </cfRule>
  </conditionalFormatting>
  <conditionalFormatting sqref="L200 L203 L206 L209 L212 L215 L218 L221 L224">
    <cfRule type="cellIs" dxfId="4363" priority="321" stopIfTrue="1" operator="greaterThan">
      <formula>0.03</formula>
    </cfRule>
    <cfRule type="cellIs" dxfId="4362" priority="322" stopIfTrue="1" operator="lessThan">
      <formula>-0.03</formula>
    </cfRule>
  </conditionalFormatting>
  <conditionalFormatting sqref="L200 L203 L206 L209 L212 L215 L218 L221 L224">
    <cfRule type="cellIs" dxfId="4361" priority="324" stopIfTrue="1" operator="greaterThan">
      <formula>0</formula>
    </cfRule>
  </conditionalFormatting>
  <conditionalFormatting sqref="L200 L203 L206 L209 L212 L215 L218 L221 L224">
    <cfRule type="cellIs" dxfId="4360" priority="323" stopIfTrue="1" operator="lessThan">
      <formula>0</formula>
    </cfRule>
  </conditionalFormatting>
  <conditionalFormatting sqref="N200 N203 N206 N209 N212 N215 N218 N221 N224">
    <cfRule type="cellIs" dxfId="4359" priority="320" stopIfTrue="1" operator="greaterThan">
      <formula>0</formula>
    </cfRule>
  </conditionalFormatting>
  <conditionalFormatting sqref="N200 N203 N206 N209 N212 N215 N218 N221 N224">
    <cfRule type="cellIs" dxfId="4358" priority="319" stopIfTrue="1" operator="lessThan">
      <formula>0</formula>
    </cfRule>
  </conditionalFormatting>
  <conditionalFormatting sqref="H228:J228 H231:J231 H234:J234 H237:J237 H240:J240 H243:J243 H246:J246 H249:J249 H252:J252">
    <cfRule type="cellIs" dxfId="4357" priority="309" stopIfTrue="1" operator="greaterThan">
      <formula>0.03</formula>
    </cfRule>
    <cfRule type="cellIs" dxfId="4356" priority="310" stopIfTrue="1" operator="lessThan">
      <formula>-0.03</formula>
    </cfRule>
  </conditionalFormatting>
  <conditionalFormatting sqref="H228:J228 H231:J231 H234:J234 H237:J237 H240:J240 H243:J243 H246:J246 H249:J249 H252:J252">
    <cfRule type="cellIs" dxfId="4355" priority="312" stopIfTrue="1" operator="greaterThan">
      <formula>0</formula>
    </cfRule>
  </conditionalFormatting>
  <conditionalFormatting sqref="H228:J228 H231:J231 H234:J234 H237:J237 H240:J240 H243:J243 H246:J246 H249:J249 H252:J252">
    <cfRule type="cellIs" dxfId="4354" priority="311" stopIfTrue="1" operator="lessThan">
      <formula>0</formula>
    </cfRule>
  </conditionalFormatting>
  <conditionalFormatting sqref="N228 N231 N234 N237 N240 N243 N246 N249 N252">
    <cfRule type="cellIs" dxfId="4353" priority="301" stopIfTrue="1" operator="greaterThan">
      <formula>0.03</formula>
    </cfRule>
    <cfRule type="cellIs" dxfId="4352" priority="302" stopIfTrue="1" operator="lessThan">
      <formula>-0.03</formula>
    </cfRule>
  </conditionalFormatting>
  <conditionalFormatting sqref="N228 N231 N234 N237 N240 N243 N246 N249 N252">
    <cfRule type="cellIs" dxfId="4351" priority="304" stopIfTrue="1" operator="greaterThan">
      <formula>0</formula>
    </cfRule>
  </conditionalFormatting>
  <conditionalFormatting sqref="N228 N231 N234 N237 N240 N243 N246 N249 N252">
    <cfRule type="cellIs" dxfId="4350" priority="303" stopIfTrue="1" operator="lessThan">
      <formula>0</formula>
    </cfRule>
  </conditionalFormatting>
  <conditionalFormatting sqref="P228 P231 P234 P237 P240 P243 P246 P249 P252">
    <cfRule type="cellIs" dxfId="4349" priority="300" stopIfTrue="1" operator="greaterThan">
      <formula>0</formula>
    </cfRule>
  </conditionalFormatting>
  <conditionalFormatting sqref="P228 P231 P234 P237 P240 P243 P246 P249 P252">
    <cfRule type="cellIs" dxfId="4348" priority="299" stopIfTrue="1" operator="lessThan">
      <formula>0</formula>
    </cfRule>
  </conditionalFormatting>
  <conditionalFormatting sqref="Q88:Q90">
    <cfRule type="cellIs" dxfId="4347" priority="293" stopIfTrue="1" operator="greaterThan">
      <formula>0.03</formula>
    </cfRule>
    <cfRule type="cellIs" dxfId="4346" priority="294" stopIfTrue="1" operator="lessThan">
      <formula>-0.03</formula>
    </cfRule>
  </conditionalFormatting>
  <conditionalFormatting sqref="Q88:Q90">
    <cfRule type="cellIs" dxfId="4345" priority="295" stopIfTrue="1" operator="greaterThan">
      <formula>0</formula>
    </cfRule>
    <cfRule type="cellIs" dxfId="4344" priority="296" stopIfTrue="1" operator="lessThan">
      <formula>0</formula>
    </cfRule>
  </conditionalFormatting>
  <conditionalFormatting sqref="R88">
    <cfRule type="cellIs" dxfId="4343" priority="289" stopIfTrue="1" operator="greaterThan">
      <formula>0.03</formula>
    </cfRule>
    <cfRule type="cellIs" dxfId="4342" priority="290" stopIfTrue="1" operator="lessThan">
      <formula>-0.03</formula>
    </cfRule>
  </conditionalFormatting>
  <conditionalFormatting sqref="R88">
    <cfRule type="cellIs" dxfId="4341" priority="292" stopIfTrue="1" operator="greaterThan">
      <formula>0</formula>
    </cfRule>
  </conditionalFormatting>
  <conditionalFormatting sqref="R88">
    <cfRule type="cellIs" dxfId="4340" priority="291" stopIfTrue="1" operator="lessThan">
      <formula>0</formula>
    </cfRule>
  </conditionalFormatting>
  <conditionalFormatting sqref="Q91:Q93">
    <cfRule type="cellIs" dxfId="4339" priority="285" stopIfTrue="1" operator="greaterThan">
      <formula>0.03</formula>
    </cfRule>
    <cfRule type="cellIs" dxfId="4338" priority="286" stopIfTrue="1" operator="lessThan">
      <formula>-0.03</formula>
    </cfRule>
  </conditionalFormatting>
  <conditionalFormatting sqref="Q91:Q93">
    <cfRule type="cellIs" dxfId="4337" priority="287" stopIfTrue="1" operator="greaterThan">
      <formula>0</formula>
    </cfRule>
    <cfRule type="cellIs" dxfId="4336" priority="288" stopIfTrue="1" operator="lessThan">
      <formula>0</formula>
    </cfRule>
  </conditionalFormatting>
  <conditionalFormatting sqref="R91">
    <cfRule type="cellIs" dxfId="4335" priority="281" stopIfTrue="1" operator="greaterThan">
      <formula>0.03</formula>
    </cfRule>
    <cfRule type="cellIs" dxfId="4334" priority="282" stopIfTrue="1" operator="lessThan">
      <formula>-0.03</formula>
    </cfRule>
  </conditionalFormatting>
  <conditionalFormatting sqref="R91">
    <cfRule type="cellIs" dxfId="4333" priority="284" stopIfTrue="1" operator="greaterThan">
      <formula>0</formula>
    </cfRule>
  </conditionalFormatting>
  <conditionalFormatting sqref="R91">
    <cfRule type="cellIs" dxfId="4332" priority="283" stopIfTrue="1" operator="lessThan">
      <formula>0</formula>
    </cfRule>
  </conditionalFormatting>
  <conditionalFormatting sqref="Q94:Q96">
    <cfRule type="cellIs" dxfId="4331" priority="277" stopIfTrue="1" operator="greaterThan">
      <formula>0.03</formula>
    </cfRule>
    <cfRule type="cellIs" dxfId="4330" priority="278" stopIfTrue="1" operator="lessThan">
      <formula>-0.03</formula>
    </cfRule>
  </conditionalFormatting>
  <conditionalFormatting sqref="Q94:Q96">
    <cfRule type="cellIs" dxfId="4329" priority="279" stopIfTrue="1" operator="greaterThan">
      <formula>0</formula>
    </cfRule>
    <cfRule type="cellIs" dxfId="4328" priority="280" stopIfTrue="1" operator="lessThan">
      <formula>0</formula>
    </cfRule>
  </conditionalFormatting>
  <conditionalFormatting sqref="R94">
    <cfRule type="cellIs" dxfId="4327" priority="273" stopIfTrue="1" operator="greaterThan">
      <formula>0.03</formula>
    </cfRule>
    <cfRule type="cellIs" dxfId="4326" priority="274" stopIfTrue="1" operator="lessThan">
      <formula>-0.03</formula>
    </cfRule>
  </conditionalFormatting>
  <conditionalFormatting sqref="R94">
    <cfRule type="cellIs" dxfId="4325" priority="276" stopIfTrue="1" operator="greaterThan">
      <formula>0</formula>
    </cfRule>
  </conditionalFormatting>
  <conditionalFormatting sqref="R94">
    <cfRule type="cellIs" dxfId="4324" priority="275" stopIfTrue="1" operator="lessThan">
      <formula>0</formula>
    </cfRule>
  </conditionalFormatting>
  <conditionalFormatting sqref="Q97:Q99">
    <cfRule type="cellIs" dxfId="4323" priority="269" stopIfTrue="1" operator="greaterThan">
      <formula>0.03</formula>
    </cfRule>
    <cfRule type="cellIs" dxfId="4322" priority="270" stopIfTrue="1" operator="lessThan">
      <formula>-0.03</formula>
    </cfRule>
  </conditionalFormatting>
  <conditionalFormatting sqref="Q97:Q99">
    <cfRule type="cellIs" dxfId="4321" priority="271" stopIfTrue="1" operator="greaterThan">
      <formula>0</formula>
    </cfRule>
    <cfRule type="cellIs" dxfId="4320" priority="272" stopIfTrue="1" operator="lessThan">
      <formula>0</formula>
    </cfRule>
  </conditionalFormatting>
  <conditionalFormatting sqref="R97">
    <cfRule type="cellIs" dxfId="4319" priority="265" stopIfTrue="1" operator="greaterThan">
      <formula>0.03</formula>
    </cfRule>
    <cfRule type="cellIs" dxfId="4318" priority="266" stopIfTrue="1" operator="lessThan">
      <formula>-0.03</formula>
    </cfRule>
  </conditionalFormatting>
  <conditionalFormatting sqref="R97">
    <cfRule type="cellIs" dxfId="4317" priority="268" stopIfTrue="1" operator="greaterThan">
      <formula>0</formula>
    </cfRule>
  </conditionalFormatting>
  <conditionalFormatting sqref="R97">
    <cfRule type="cellIs" dxfId="4316" priority="267" stopIfTrue="1" operator="lessThan">
      <formula>0</formula>
    </cfRule>
  </conditionalFormatting>
  <conditionalFormatting sqref="Q100:Q102">
    <cfRule type="cellIs" dxfId="4315" priority="261" stopIfTrue="1" operator="greaterThan">
      <formula>0.03</formula>
    </cfRule>
    <cfRule type="cellIs" dxfId="4314" priority="262" stopIfTrue="1" operator="lessThan">
      <formula>-0.03</formula>
    </cfRule>
  </conditionalFormatting>
  <conditionalFormatting sqref="Q100:Q102">
    <cfRule type="cellIs" dxfId="4313" priority="263" stopIfTrue="1" operator="greaterThan">
      <formula>0</formula>
    </cfRule>
    <cfRule type="cellIs" dxfId="4312" priority="264" stopIfTrue="1" operator="lessThan">
      <formula>0</formula>
    </cfRule>
  </conditionalFormatting>
  <conditionalFormatting sqref="R100">
    <cfRule type="cellIs" dxfId="4311" priority="257" stopIfTrue="1" operator="greaterThan">
      <formula>0.03</formula>
    </cfRule>
    <cfRule type="cellIs" dxfId="4310" priority="258" stopIfTrue="1" operator="lessThan">
      <formula>-0.03</formula>
    </cfRule>
  </conditionalFormatting>
  <conditionalFormatting sqref="R100">
    <cfRule type="cellIs" dxfId="4309" priority="260" stopIfTrue="1" operator="greaterThan">
      <formula>0</formula>
    </cfRule>
  </conditionalFormatting>
  <conditionalFormatting sqref="R100">
    <cfRule type="cellIs" dxfId="4308" priority="259" stopIfTrue="1" operator="lessThan">
      <formula>0</formula>
    </cfRule>
  </conditionalFormatting>
  <conditionalFormatting sqref="Q103:Q105">
    <cfRule type="cellIs" dxfId="4307" priority="253" stopIfTrue="1" operator="greaterThan">
      <formula>0.03</formula>
    </cfRule>
    <cfRule type="cellIs" dxfId="4306" priority="254" stopIfTrue="1" operator="lessThan">
      <formula>-0.03</formula>
    </cfRule>
  </conditionalFormatting>
  <conditionalFormatting sqref="Q103:Q105">
    <cfRule type="cellIs" dxfId="4305" priority="255" stopIfTrue="1" operator="greaterThan">
      <formula>0</formula>
    </cfRule>
    <cfRule type="cellIs" dxfId="4304" priority="256" stopIfTrue="1" operator="lessThan">
      <formula>0</formula>
    </cfRule>
  </conditionalFormatting>
  <conditionalFormatting sqref="R103">
    <cfRule type="cellIs" dxfId="4303" priority="249" stopIfTrue="1" operator="greaterThan">
      <formula>0.03</formula>
    </cfRule>
    <cfRule type="cellIs" dxfId="4302" priority="250" stopIfTrue="1" operator="lessThan">
      <formula>-0.03</formula>
    </cfRule>
  </conditionalFormatting>
  <conditionalFormatting sqref="R103">
    <cfRule type="cellIs" dxfId="4301" priority="252" stopIfTrue="1" operator="greaterThan">
      <formula>0</formula>
    </cfRule>
  </conditionalFormatting>
  <conditionalFormatting sqref="R103">
    <cfRule type="cellIs" dxfId="4300" priority="251" stopIfTrue="1" operator="lessThan">
      <formula>0</formula>
    </cfRule>
  </conditionalFormatting>
  <conditionalFormatting sqref="Q106:Q108">
    <cfRule type="cellIs" dxfId="4299" priority="245" stopIfTrue="1" operator="greaterThan">
      <formula>0.03</formula>
    </cfRule>
    <cfRule type="cellIs" dxfId="4298" priority="246" stopIfTrue="1" operator="lessThan">
      <formula>-0.03</formula>
    </cfRule>
  </conditionalFormatting>
  <conditionalFormatting sqref="Q106:Q108">
    <cfRule type="cellIs" dxfId="4297" priority="247" stopIfTrue="1" operator="greaterThan">
      <formula>0</formula>
    </cfRule>
    <cfRule type="cellIs" dxfId="4296" priority="248" stopIfTrue="1" operator="lessThan">
      <formula>0</formula>
    </cfRule>
  </conditionalFormatting>
  <conditionalFormatting sqref="R106">
    <cfRule type="cellIs" dxfId="4295" priority="241" stopIfTrue="1" operator="greaterThan">
      <formula>0.03</formula>
    </cfRule>
    <cfRule type="cellIs" dxfId="4294" priority="242" stopIfTrue="1" operator="lessThan">
      <formula>-0.03</formula>
    </cfRule>
  </conditionalFormatting>
  <conditionalFormatting sqref="R106">
    <cfRule type="cellIs" dxfId="4293" priority="244" stopIfTrue="1" operator="greaterThan">
      <formula>0</formula>
    </cfRule>
  </conditionalFormatting>
  <conditionalFormatting sqref="R106">
    <cfRule type="cellIs" dxfId="4292" priority="243" stopIfTrue="1" operator="lessThan">
      <formula>0</formula>
    </cfRule>
  </conditionalFormatting>
  <conditionalFormatting sqref="Q109:Q111">
    <cfRule type="cellIs" dxfId="4291" priority="237" stopIfTrue="1" operator="greaterThan">
      <formula>0.03</formula>
    </cfRule>
    <cfRule type="cellIs" dxfId="4290" priority="238" stopIfTrue="1" operator="lessThan">
      <formula>-0.03</formula>
    </cfRule>
  </conditionalFormatting>
  <conditionalFormatting sqref="Q109:Q111">
    <cfRule type="cellIs" dxfId="4289" priority="239" stopIfTrue="1" operator="greaterThan">
      <formula>0</formula>
    </cfRule>
    <cfRule type="cellIs" dxfId="4288" priority="240" stopIfTrue="1" operator="lessThan">
      <formula>0</formula>
    </cfRule>
  </conditionalFormatting>
  <conditionalFormatting sqref="R109">
    <cfRule type="cellIs" dxfId="4287" priority="233" stopIfTrue="1" operator="greaterThan">
      <formula>0.03</formula>
    </cfRule>
    <cfRule type="cellIs" dxfId="4286" priority="234" stopIfTrue="1" operator="lessThan">
      <formula>-0.03</formula>
    </cfRule>
  </conditionalFormatting>
  <conditionalFormatting sqref="R109">
    <cfRule type="cellIs" dxfId="4285" priority="236" stopIfTrue="1" operator="greaterThan">
      <formula>0</formula>
    </cfRule>
  </conditionalFormatting>
  <conditionalFormatting sqref="R109">
    <cfRule type="cellIs" dxfId="4284" priority="235" stopIfTrue="1" operator="lessThan">
      <formula>0</formula>
    </cfRule>
  </conditionalFormatting>
  <conditionalFormatting sqref="Q112:Q114">
    <cfRule type="cellIs" dxfId="4283" priority="221" stopIfTrue="1" operator="greaterThan">
      <formula>0.03</formula>
    </cfRule>
    <cfRule type="cellIs" dxfId="4282" priority="222" stopIfTrue="1" operator="lessThan">
      <formula>-0.03</formula>
    </cfRule>
  </conditionalFormatting>
  <conditionalFormatting sqref="Q112:Q114">
    <cfRule type="cellIs" dxfId="4281" priority="223" stopIfTrue="1" operator="greaterThan">
      <formula>0</formula>
    </cfRule>
    <cfRule type="cellIs" dxfId="4280" priority="224" stopIfTrue="1" operator="lessThan">
      <formula>0</formula>
    </cfRule>
  </conditionalFormatting>
  <conditionalFormatting sqref="R112">
    <cfRule type="cellIs" dxfId="4279" priority="217" stopIfTrue="1" operator="greaterThan">
      <formula>0.03</formula>
    </cfRule>
    <cfRule type="cellIs" dxfId="4278" priority="218" stopIfTrue="1" operator="lessThan">
      <formula>-0.03</formula>
    </cfRule>
  </conditionalFormatting>
  <conditionalFormatting sqref="R112">
    <cfRule type="cellIs" dxfId="4277" priority="220" stopIfTrue="1" operator="greaterThan">
      <formula>0</formula>
    </cfRule>
  </conditionalFormatting>
  <conditionalFormatting sqref="R112">
    <cfRule type="cellIs" dxfId="4276" priority="219" stopIfTrue="1" operator="lessThan">
      <formula>0</formula>
    </cfRule>
  </conditionalFormatting>
  <conditionalFormatting sqref="Q140:Q142">
    <cfRule type="cellIs" dxfId="4275" priority="149" stopIfTrue="1" operator="greaterThan">
      <formula>0.03</formula>
    </cfRule>
    <cfRule type="cellIs" dxfId="4274" priority="150" stopIfTrue="1" operator="lessThan">
      <formula>-0.03</formula>
    </cfRule>
  </conditionalFormatting>
  <conditionalFormatting sqref="Q140:Q142">
    <cfRule type="cellIs" dxfId="4273" priority="151" stopIfTrue="1" operator="greaterThan">
      <formula>0</formula>
    </cfRule>
    <cfRule type="cellIs" dxfId="4272" priority="152" stopIfTrue="1" operator="lessThan">
      <formula>0</formula>
    </cfRule>
  </conditionalFormatting>
  <conditionalFormatting sqref="R140">
    <cfRule type="cellIs" dxfId="4271" priority="145" stopIfTrue="1" operator="greaterThan">
      <formula>0.03</formula>
    </cfRule>
    <cfRule type="cellIs" dxfId="4270" priority="146" stopIfTrue="1" operator="lessThan">
      <formula>-0.03</formula>
    </cfRule>
  </conditionalFormatting>
  <conditionalFormatting sqref="R140">
    <cfRule type="cellIs" dxfId="4269" priority="148" stopIfTrue="1" operator="greaterThan">
      <formula>0</formula>
    </cfRule>
  </conditionalFormatting>
  <conditionalFormatting sqref="R140">
    <cfRule type="cellIs" dxfId="4268" priority="147" stopIfTrue="1" operator="lessThan">
      <formula>0</formula>
    </cfRule>
  </conditionalFormatting>
  <conditionalFormatting sqref="Q116:Q118">
    <cfRule type="cellIs" dxfId="4267" priority="141" stopIfTrue="1" operator="greaterThan">
      <formula>0.03</formula>
    </cfRule>
    <cfRule type="cellIs" dxfId="4266" priority="142" stopIfTrue="1" operator="lessThan">
      <formula>-0.03</formula>
    </cfRule>
  </conditionalFormatting>
  <conditionalFormatting sqref="Q116:Q118">
    <cfRule type="cellIs" dxfId="4265" priority="143" stopIfTrue="1" operator="greaterThan">
      <formula>0</formula>
    </cfRule>
    <cfRule type="cellIs" dxfId="4264" priority="144" stopIfTrue="1" operator="lessThan">
      <formula>0</formula>
    </cfRule>
  </conditionalFormatting>
  <conditionalFormatting sqref="P116">
    <cfRule type="cellIs" dxfId="4263" priority="133" stopIfTrue="1" operator="greaterThan">
      <formula>0.03</formula>
    </cfRule>
    <cfRule type="cellIs" dxfId="4262" priority="134" stopIfTrue="1" operator="lessThan">
      <formula>-0.03</formula>
    </cfRule>
  </conditionalFormatting>
  <conditionalFormatting sqref="P116">
    <cfRule type="cellIs" dxfId="4261" priority="136" stopIfTrue="1" operator="greaterThan">
      <formula>0</formula>
    </cfRule>
  </conditionalFormatting>
  <conditionalFormatting sqref="P116">
    <cfRule type="cellIs" dxfId="4260" priority="135" stopIfTrue="1" operator="lessThan">
      <formula>0</formula>
    </cfRule>
  </conditionalFormatting>
  <conditionalFormatting sqref="R116">
    <cfRule type="cellIs" dxfId="4259" priority="129" stopIfTrue="1" operator="greaterThan">
      <formula>0.03</formula>
    </cfRule>
    <cfRule type="cellIs" dxfId="4258" priority="130" stopIfTrue="1" operator="lessThan">
      <formula>-0.03</formula>
    </cfRule>
  </conditionalFormatting>
  <conditionalFormatting sqref="R116">
    <cfRule type="cellIs" dxfId="4257" priority="132" stopIfTrue="1" operator="greaterThan">
      <formula>0</formula>
    </cfRule>
  </conditionalFormatting>
  <conditionalFormatting sqref="R116">
    <cfRule type="cellIs" dxfId="4256" priority="131" stopIfTrue="1" operator="lessThan">
      <formula>0</formula>
    </cfRule>
  </conditionalFormatting>
  <conditionalFormatting sqref="Q119:Q121">
    <cfRule type="cellIs" dxfId="4255" priority="125" stopIfTrue="1" operator="greaterThan">
      <formula>0.03</formula>
    </cfRule>
    <cfRule type="cellIs" dxfId="4254" priority="126" stopIfTrue="1" operator="lessThan">
      <formula>-0.03</formula>
    </cfRule>
  </conditionalFormatting>
  <conditionalFormatting sqref="Q119:Q121">
    <cfRule type="cellIs" dxfId="4253" priority="127" stopIfTrue="1" operator="greaterThan">
      <formula>0</formula>
    </cfRule>
    <cfRule type="cellIs" dxfId="4252" priority="128" stopIfTrue="1" operator="lessThan">
      <formula>0</formula>
    </cfRule>
  </conditionalFormatting>
  <conditionalFormatting sqref="R119">
    <cfRule type="cellIs" dxfId="4251" priority="121" stopIfTrue="1" operator="greaterThan">
      <formula>0.03</formula>
    </cfRule>
    <cfRule type="cellIs" dxfId="4250" priority="122" stopIfTrue="1" operator="lessThan">
      <formula>-0.03</formula>
    </cfRule>
  </conditionalFormatting>
  <conditionalFormatting sqref="R119">
    <cfRule type="cellIs" dxfId="4249" priority="124" stopIfTrue="1" operator="greaterThan">
      <formula>0</formula>
    </cfRule>
  </conditionalFormatting>
  <conditionalFormatting sqref="R119">
    <cfRule type="cellIs" dxfId="4248" priority="123" stopIfTrue="1" operator="lessThan">
      <formula>0</formula>
    </cfRule>
  </conditionalFormatting>
  <conditionalFormatting sqref="Q122:Q124">
    <cfRule type="cellIs" dxfId="4247" priority="117" stopIfTrue="1" operator="greaterThan">
      <formula>0.03</formula>
    </cfRule>
    <cfRule type="cellIs" dxfId="4246" priority="118" stopIfTrue="1" operator="lessThan">
      <formula>-0.03</formula>
    </cfRule>
  </conditionalFormatting>
  <conditionalFormatting sqref="Q122:Q124">
    <cfRule type="cellIs" dxfId="4245" priority="119" stopIfTrue="1" operator="greaterThan">
      <formula>0</formula>
    </cfRule>
    <cfRule type="cellIs" dxfId="4244" priority="120" stopIfTrue="1" operator="lessThan">
      <formula>0</formula>
    </cfRule>
  </conditionalFormatting>
  <conditionalFormatting sqref="R122">
    <cfRule type="cellIs" dxfId="4243" priority="113" stopIfTrue="1" operator="greaterThan">
      <formula>0.03</formula>
    </cfRule>
    <cfRule type="cellIs" dxfId="4242" priority="114" stopIfTrue="1" operator="lessThan">
      <formula>-0.03</formula>
    </cfRule>
  </conditionalFormatting>
  <conditionalFormatting sqref="R122">
    <cfRule type="cellIs" dxfId="4241" priority="116" stopIfTrue="1" operator="greaterThan">
      <formula>0</formula>
    </cfRule>
  </conditionalFormatting>
  <conditionalFormatting sqref="R122">
    <cfRule type="cellIs" dxfId="4240" priority="115" stopIfTrue="1" operator="lessThan">
      <formula>0</formula>
    </cfRule>
  </conditionalFormatting>
  <conditionalFormatting sqref="Q125:Q127">
    <cfRule type="cellIs" dxfId="4239" priority="109" stopIfTrue="1" operator="greaterThan">
      <formula>0.03</formula>
    </cfRule>
    <cfRule type="cellIs" dxfId="4238" priority="110" stopIfTrue="1" operator="lessThan">
      <formula>-0.03</formula>
    </cfRule>
  </conditionalFormatting>
  <conditionalFormatting sqref="Q125:Q127">
    <cfRule type="cellIs" dxfId="4237" priority="111" stopIfTrue="1" operator="greaterThan">
      <formula>0</formula>
    </cfRule>
    <cfRule type="cellIs" dxfId="4236" priority="112" stopIfTrue="1" operator="lessThan">
      <formula>0</formula>
    </cfRule>
  </conditionalFormatting>
  <conditionalFormatting sqref="R125">
    <cfRule type="cellIs" dxfId="4235" priority="105" stopIfTrue="1" operator="greaterThan">
      <formula>0.03</formula>
    </cfRule>
    <cfRule type="cellIs" dxfId="4234" priority="106" stopIfTrue="1" operator="lessThan">
      <formula>-0.03</formula>
    </cfRule>
  </conditionalFormatting>
  <conditionalFormatting sqref="R125">
    <cfRule type="cellIs" dxfId="4233" priority="108" stopIfTrue="1" operator="greaterThan">
      <formula>0</formula>
    </cfRule>
  </conditionalFormatting>
  <conditionalFormatting sqref="R125">
    <cfRule type="cellIs" dxfId="4232" priority="107" stopIfTrue="1" operator="lessThan">
      <formula>0</formula>
    </cfRule>
  </conditionalFormatting>
  <conditionalFormatting sqref="Q128:Q130">
    <cfRule type="cellIs" dxfId="4231" priority="101" stopIfTrue="1" operator="greaterThan">
      <formula>0.03</formula>
    </cfRule>
    <cfRule type="cellIs" dxfId="4230" priority="102" stopIfTrue="1" operator="lessThan">
      <formula>-0.03</formula>
    </cfRule>
  </conditionalFormatting>
  <conditionalFormatting sqref="Q128:Q130">
    <cfRule type="cellIs" dxfId="4229" priority="103" stopIfTrue="1" operator="greaterThan">
      <formula>0</formula>
    </cfRule>
    <cfRule type="cellIs" dxfId="4228" priority="104" stopIfTrue="1" operator="lessThan">
      <formula>0</formula>
    </cfRule>
  </conditionalFormatting>
  <conditionalFormatting sqref="R128">
    <cfRule type="cellIs" dxfId="4227" priority="97" stopIfTrue="1" operator="greaterThan">
      <formula>0.03</formula>
    </cfRule>
    <cfRule type="cellIs" dxfId="4226" priority="98" stopIfTrue="1" operator="lessThan">
      <formula>-0.03</formula>
    </cfRule>
  </conditionalFormatting>
  <conditionalFormatting sqref="R128">
    <cfRule type="cellIs" dxfId="4225" priority="100" stopIfTrue="1" operator="greaterThan">
      <formula>0</formula>
    </cfRule>
  </conditionalFormatting>
  <conditionalFormatting sqref="R128">
    <cfRule type="cellIs" dxfId="4224" priority="99" stopIfTrue="1" operator="lessThan">
      <formula>0</formula>
    </cfRule>
  </conditionalFormatting>
  <conditionalFormatting sqref="Q131:Q133">
    <cfRule type="cellIs" dxfId="4223" priority="93" stopIfTrue="1" operator="greaterThan">
      <formula>0.03</formula>
    </cfRule>
    <cfRule type="cellIs" dxfId="4222" priority="94" stopIfTrue="1" operator="lessThan">
      <formula>-0.03</formula>
    </cfRule>
  </conditionalFormatting>
  <conditionalFormatting sqref="Q131:Q133">
    <cfRule type="cellIs" dxfId="4221" priority="95" stopIfTrue="1" operator="greaterThan">
      <formula>0</formula>
    </cfRule>
    <cfRule type="cellIs" dxfId="4220" priority="96" stopIfTrue="1" operator="lessThan">
      <formula>0</formula>
    </cfRule>
  </conditionalFormatting>
  <conditionalFormatting sqref="R131">
    <cfRule type="cellIs" dxfId="4219" priority="89" stopIfTrue="1" operator="greaterThan">
      <formula>0.03</formula>
    </cfRule>
    <cfRule type="cellIs" dxfId="4218" priority="90" stopIfTrue="1" operator="lessThan">
      <formula>-0.03</formula>
    </cfRule>
  </conditionalFormatting>
  <conditionalFormatting sqref="R131">
    <cfRule type="cellIs" dxfId="4217" priority="92" stopIfTrue="1" operator="greaterThan">
      <formula>0</formula>
    </cfRule>
  </conditionalFormatting>
  <conditionalFormatting sqref="R131">
    <cfRule type="cellIs" dxfId="4216" priority="91" stopIfTrue="1" operator="lessThan">
      <formula>0</formula>
    </cfRule>
  </conditionalFormatting>
  <conditionalFormatting sqref="Q134:Q136">
    <cfRule type="cellIs" dxfId="4215" priority="85" stopIfTrue="1" operator="greaterThan">
      <formula>0.03</formula>
    </cfRule>
    <cfRule type="cellIs" dxfId="4214" priority="86" stopIfTrue="1" operator="lessThan">
      <formula>-0.03</formula>
    </cfRule>
  </conditionalFormatting>
  <conditionalFormatting sqref="Q134:Q136">
    <cfRule type="cellIs" dxfId="4213" priority="87" stopIfTrue="1" operator="greaterThan">
      <formula>0</formula>
    </cfRule>
    <cfRule type="cellIs" dxfId="4212" priority="88" stopIfTrue="1" operator="lessThan">
      <formula>0</formula>
    </cfRule>
  </conditionalFormatting>
  <conditionalFormatting sqref="R134">
    <cfRule type="cellIs" dxfId="4211" priority="81" stopIfTrue="1" operator="greaterThan">
      <formula>0.03</formula>
    </cfRule>
    <cfRule type="cellIs" dxfId="4210" priority="82" stopIfTrue="1" operator="lessThan">
      <formula>-0.03</formula>
    </cfRule>
  </conditionalFormatting>
  <conditionalFormatting sqref="R134">
    <cfRule type="cellIs" dxfId="4209" priority="84" stopIfTrue="1" operator="greaterThan">
      <formula>0</formula>
    </cfRule>
  </conditionalFormatting>
  <conditionalFormatting sqref="R134">
    <cfRule type="cellIs" dxfId="4208" priority="83" stopIfTrue="1" operator="lessThan">
      <formula>0</formula>
    </cfRule>
  </conditionalFormatting>
  <conditionalFormatting sqref="Q137:Q139">
    <cfRule type="cellIs" dxfId="4207" priority="77" stopIfTrue="1" operator="greaterThan">
      <formula>0.03</formula>
    </cfRule>
    <cfRule type="cellIs" dxfId="4206" priority="78" stopIfTrue="1" operator="lessThan">
      <formula>-0.03</formula>
    </cfRule>
  </conditionalFormatting>
  <conditionalFormatting sqref="Q137:Q139">
    <cfRule type="cellIs" dxfId="4205" priority="79" stopIfTrue="1" operator="greaterThan">
      <formula>0</formula>
    </cfRule>
    <cfRule type="cellIs" dxfId="4204" priority="80" stopIfTrue="1" operator="lessThan">
      <formula>0</formula>
    </cfRule>
  </conditionalFormatting>
  <conditionalFormatting sqref="R137">
    <cfRule type="cellIs" dxfId="4203" priority="73" stopIfTrue="1" operator="greaterThan">
      <formula>0.03</formula>
    </cfRule>
    <cfRule type="cellIs" dxfId="4202" priority="74" stopIfTrue="1" operator="lessThan">
      <formula>-0.03</formula>
    </cfRule>
  </conditionalFormatting>
  <conditionalFormatting sqref="R137">
    <cfRule type="cellIs" dxfId="4201" priority="76" stopIfTrue="1" operator="greaterThan">
      <formula>0</formula>
    </cfRule>
  </conditionalFormatting>
  <conditionalFormatting sqref="R137">
    <cfRule type="cellIs" dxfId="4200" priority="75" stopIfTrue="1" operator="lessThan">
      <formula>0</formula>
    </cfRule>
  </conditionalFormatting>
  <conditionalFormatting sqref="Q168:Q170">
    <cfRule type="cellIs" dxfId="4199" priority="69" stopIfTrue="1" operator="greaterThan">
      <formula>0.03</formula>
    </cfRule>
    <cfRule type="cellIs" dxfId="4198" priority="70" stopIfTrue="1" operator="lessThan">
      <formula>-0.03</formula>
    </cfRule>
  </conditionalFormatting>
  <conditionalFormatting sqref="Q168:Q170">
    <cfRule type="cellIs" dxfId="4197" priority="71" stopIfTrue="1" operator="greaterThan">
      <formula>0</formula>
    </cfRule>
    <cfRule type="cellIs" dxfId="4196" priority="72" stopIfTrue="1" operator="lessThan">
      <formula>0</formula>
    </cfRule>
  </conditionalFormatting>
  <conditionalFormatting sqref="R168">
    <cfRule type="cellIs" dxfId="4195" priority="65" stopIfTrue="1" operator="greaterThan">
      <formula>0.03</formula>
    </cfRule>
    <cfRule type="cellIs" dxfId="4194" priority="66" stopIfTrue="1" operator="lessThan">
      <formula>-0.03</formula>
    </cfRule>
  </conditionalFormatting>
  <conditionalFormatting sqref="R168">
    <cfRule type="cellIs" dxfId="4193" priority="68" stopIfTrue="1" operator="greaterThan">
      <formula>0</formula>
    </cfRule>
  </conditionalFormatting>
  <conditionalFormatting sqref="R168">
    <cfRule type="cellIs" dxfId="4192" priority="67" stopIfTrue="1" operator="lessThan">
      <formula>0</formula>
    </cfRule>
  </conditionalFormatting>
  <conditionalFormatting sqref="Q196:Q198">
    <cfRule type="cellIs" dxfId="4191" priority="61" stopIfTrue="1" operator="greaterThan">
      <formula>0.03</formula>
    </cfRule>
    <cfRule type="cellIs" dxfId="4190" priority="62" stopIfTrue="1" operator="lessThan">
      <formula>-0.03</formula>
    </cfRule>
  </conditionalFormatting>
  <conditionalFormatting sqref="Q196:Q198">
    <cfRule type="cellIs" dxfId="4189" priority="63" stopIfTrue="1" operator="greaterThan">
      <formula>0</formula>
    </cfRule>
    <cfRule type="cellIs" dxfId="4188" priority="64" stopIfTrue="1" operator="lessThan">
      <formula>0</formula>
    </cfRule>
  </conditionalFormatting>
  <conditionalFormatting sqref="R196">
    <cfRule type="cellIs" dxfId="4187" priority="57" stopIfTrue="1" operator="greaterThan">
      <formula>0.03</formula>
    </cfRule>
    <cfRule type="cellIs" dxfId="4186" priority="58" stopIfTrue="1" operator="lessThan">
      <formula>-0.03</formula>
    </cfRule>
  </conditionalFormatting>
  <conditionalFormatting sqref="R196">
    <cfRule type="cellIs" dxfId="4185" priority="60" stopIfTrue="1" operator="greaterThan">
      <formula>0</formula>
    </cfRule>
  </conditionalFormatting>
  <conditionalFormatting sqref="R196">
    <cfRule type="cellIs" dxfId="4184" priority="59" stopIfTrue="1" operator="lessThan">
      <formula>0</formula>
    </cfRule>
  </conditionalFormatting>
  <conditionalFormatting sqref="Q224:Q226">
    <cfRule type="cellIs" dxfId="4183" priority="53" stopIfTrue="1" operator="greaterThan">
      <formula>0.03</formula>
    </cfRule>
    <cfRule type="cellIs" dxfId="4182" priority="54" stopIfTrue="1" operator="lessThan">
      <formula>-0.03</formula>
    </cfRule>
  </conditionalFormatting>
  <conditionalFormatting sqref="Q224:Q226">
    <cfRule type="cellIs" dxfId="4181" priority="55" stopIfTrue="1" operator="greaterThan">
      <formula>0</formula>
    </cfRule>
    <cfRule type="cellIs" dxfId="4180" priority="56" stopIfTrue="1" operator="lessThan">
      <formula>0</formula>
    </cfRule>
  </conditionalFormatting>
  <conditionalFormatting sqref="R224">
    <cfRule type="cellIs" dxfId="4179" priority="49" stopIfTrue="1" operator="greaterThan">
      <formula>0.03</formula>
    </cfRule>
    <cfRule type="cellIs" dxfId="4178" priority="50" stopIfTrue="1" operator="lessThan">
      <formula>-0.03</formula>
    </cfRule>
  </conditionalFormatting>
  <conditionalFormatting sqref="R224">
    <cfRule type="cellIs" dxfId="4177" priority="52" stopIfTrue="1" operator="greaterThan">
      <formula>0</formula>
    </cfRule>
  </conditionalFormatting>
  <conditionalFormatting sqref="R224">
    <cfRule type="cellIs" dxfId="4176" priority="51" stopIfTrue="1" operator="lessThan">
      <formula>0</formula>
    </cfRule>
  </conditionalFormatting>
  <conditionalFormatting sqref="Q252:Q254">
    <cfRule type="cellIs" dxfId="4175" priority="45" stopIfTrue="1" operator="greaterThan">
      <formula>0.03</formula>
    </cfRule>
    <cfRule type="cellIs" dxfId="4174" priority="46" stopIfTrue="1" operator="lessThan">
      <formula>-0.03</formula>
    </cfRule>
  </conditionalFormatting>
  <conditionalFormatting sqref="Q252:Q254">
    <cfRule type="cellIs" dxfId="4173" priority="47" stopIfTrue="1" operator="greaterThan">
      <formula>0</formula>
    </cfRule>
    <cfRule type="cellIs" dxfId="4172" priority="48" stopIfTrue="1" operator="lessThan">
      <formula>0</formula>
    </cfRule>
  </conditionalFormatting>
  <conditionalFormatting sqref="R252">
    <cfRule type="cellIs" dxfId="4171" priority="41" stopIfTrue="1" operator="greaterThan">
      <formula>0.03</formula>
    </cfRule>
    <cfRule type="cellIs" dxfId="4170" priority="42" stopIfTrue="1" operator="lessThan">
      <formula>-0.03</formula>
    </cfRule>
  </conditionalFormatting>
  <conditionalFormatting sqref="R252">
    <cfRule type="cellIs" dxfId="4169" priority="44" stopIfTrue="1" operator="greaterThan">
      <formula>0</formula>
    </cfRule>
  </conditionalFormatting>
  <conditionalFormatting sqref="R252">
    <cfRule type="cellIs" dxfId="4168" priority="43" stopIfTrue="1" operator="lessThan">
      <formula>0</formula>
    </cfRule>
  </conditionalFormatting>
  <conditionalFormatting sqref="Q144:Q167">
    <cfRule type="cellIs" dxfId="4167" priority="29" stopIfTrue="1" operator="greaterThan">
      <formula>0.03</formula>
    </cfRule>
    <cfRule type="cellIs" dxfId="4166" priority="30" stopIfTrue="1" operator="lessThan">
      <formula>-0.03</formula>
    </cfRule>
  </conditionalFormatting>
  <conditionalFormatting sqref="Q144:Q167">
    <cfRule type="cellIs" dxfId="4165" priority="31" stopIfTrue="1" operator="greaterThan">
      <formula>0</formula>
    </cfRule>
    <cfRule type="cellIs" dxfId="4164" priority="32" stopIfTrue="1" operator="lessThan">
      <formula>0</formula>
    </cfRule>
  </conditionalFormatting>
  <conditionalFormatting sqref="R144 R147 R150 R153 R156 R159 R162 R165">
    <cfRule type="cellIs" dxfId="4163" priority="25" stopIfTrue="1" operator="greaterThan">
      <formula>0.03</formula>
    </cfRule>
    <cfRule type="cellIs" dxfId="4162" priority="26" stopIfTrue="1" operator="lessThan">
      <formula>-0.03</formula>
    </cfRule>
  </conditionalFormatting>
  <conditionalFormatting sqref="R144 R147 R150 R153 R156 R159 R162 R165">
    <cfRule type="cellIs" dxfId="4161" priority="28" stopIfTrue="1" operator="greaterThan">
      <formula>0</formula>
    </cfRule>
  </conditionalFormatting>
  <conditionalFormatting sqref="R144 R147 R150 R153 R156 R159 R162 R165">
    <cfRule type="cellIs" dxfId="4160" priority="27" stopIfTrue="1" operator="lessThan">
      <formula>0</formula>
    </cfRule>
  </conditionalFormatting>
  <conditionalFormatting sqref="Q172:Q195">
    <cfRule type="cellIs" dxfId="4159" priority="21" stopIfTrue="1" operator="greaterThan">
      <formula>0.03</formula>
    </cfRule>
    <cfRule type="cellIs" dxfId="4158" priority="22" stopIfTrue="1" operator="lessThan">
      <formula>-0.03</formula>
    </cfRule>
  </conditionalFormatting>
  <conditionalFormatting sqref="Q172:Q195">
    <cfRule type="cellIs" dxfId="4157" priority="23" stopIfTrue="1" operator="greaterThan">
      <formula>0</formula>
    </cfRule>
    <cfRule type="cellIs" dxfId="4156" priority="24" stopIfTrue="1" operator="lessThan">
      <formula>0</formula>
    </cfRule>
  </conditionalFormatting>
  <conditionalFormatting sqref="R172 R175 R178 R181 R184 R187 R190 R193">
    <cfRule type="cellIs" dxfId="4155" priority="17" stopIfTrue="1" operator="greaterThan">
      <formula>0.03</formula>
    </cfRule>
    <cfRule type="cellIs" dxfId="4154" priority="18" stopIfTrue="1" operator="lessThan">
      <formula>-0.03</formula>
    </cfRule>
  </conditionalFormatting>
  <conditionalFormatting sqref="R172 R175 R178 R181 R184 R187 R190 R193">
    <cfRule type="cellIs" dxfId="4153" priority="20" stopIfTrue="1" operator="greaterThan">
      <formula>0</formula>
    </cfRule>
  </conditionalFormatting>
  <conditionalFormatting sqref="R172 R175 R178 R181 R184 R187 R190 R193">
    <cfRule type="cellIs" dxfId="4152" priority="19" stopIfTrue="1" operator="lessThan">
      <formula>0</formula>
    </cfRule>
  </conditionalFormatting>
  <conditionalFormatting sqref="Q200:Q223">
    <cfRule type="cellIs" dxfId="4151" priority="13" stopIfTrue="1" operator="greaterThan">
      <formula>0.03</formula>
    </cfRule>
    <cfRule type="cellIs" dxfId="4150" priority="14" stopIfTrue="1" operator="lessThan">
      <formula>-0.03</formula>
    </cfRule>
  </conditionalFormatting>
  <conditionalFormatting sqref="R200 R203 R206 R209 R212 R215 R218 R221">
    <cfRule type="cellIs" dxfId="4149" priority="9" stopIfTrue="1" operator="greaterThan">
      <formula>0.03</formula>
    </cfRule>
    <cfRule type="cellIs" dxfId="4148" priority="10" stopIfTrue="1" operator="lessThan">
      <formula>-0.03</formula>
    </cfRule>
  </conditionalFormatting>
  <conditionalFormatting sqref="R200 R203 R206 R209 R212 R215 R218 R221">
    <cfRule type="cellIs" dxfId="4147" priority="12" stopIfTrue="1" operator="greaterThan">
      <formula>0</formula>
    </cfRule>
  </conditionalFormatting>
  <conditionalFormatting sqref="R200 R203 R206 R209 R212 R215 R218 R221">
    <cfRule type="cellIs" dxfId="4146" priority="11" stopIfTrue="1" operator="lessThan">
      <formula>0</formula>
    </cfRule>
  </conditionalFormatting>
  <conditionalFormatting sqref="Q200:Q223">
    <cfRule type="cellIs" dxfId="4145" priority="15" stopIfTrue="1" operator="greaterThan">
      <formula>0</formula>
    </cfRule>
    <cfRule type="cellIs" dxfId="4144" priority="16" stopIfTrue="1" operator="lessThan">
      <formula>0</formula>
    </cfRule>
  </conditionalFormatting>
  <conditionalFormatting sqref="Q228:Q251">
    <cfRule type="cellIs" dxfId="4143" priority="5" stopIfTrue="1" operator="greaterThan">
      <formula>0.03</formula>
    </cfRule>
    <cfRule type="cellIs" dxfId="4142" priority="6" stopIfTrue="1" operator="lessThan">
      <formula>-0.03</formula>
    </cfRule>
  </conditionalFormatting>
  <conditionalFormatting sqref="Q228:Q251">
    <cfRule type="cellIs" dxfId="4141" priority="7" stopIfTrue="1" operator="greaterThan">
      <formula>0</formula>
    </cfRule>
    <cfRule type="cellIs" dxfId="4140" priority="8" stopIfTrue="1" operator="lessThan">
      <formula>0</formula>
    </cfRule>
  </conditionalFormatting>
  <conditionalFormatting sqref="R228 R231 R234 R237 R240 R243 R246 R249">
    <cfRule type="cellIs" dxfId="4139" priority="1" stopIfTrue="1" operator="greaterThan">
      <formula>0.03</formula>
    </cfRule>
    <cfRule type="cellIs" dxfId="4138" priority="2" stopIfTrue="1" operator="lessThan">
      <formula>-0.03</formula>
    </cfRule>
  </conditionalFormatting>
  <conditionalFormatting sqref="R228 R231 R234 R237 R240 R243 R246 R249">
    <cfRule type="cellIs" dxfId="4137" priority="4" stopIfTrue="1" operator="greaterThan">
      <formula>0</formula>
    </cfRule>
  </conditionalFormatting>
  <conditionalFormatting sqref="R228 R231 R234 R237 R240 R243 R246 R249">
    <cfRule type="cellIs" dxfId="4136" priority="3" stopIfTrue="1" operator="less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276A4-4C05-E64D-8F41-4B41F1EE4BA5}">
  <sheetPr codeName="Sheet10"/>
  <dimension ref="A1:CQ156"/>
  <sheetViews>
    <sheetView topLeftCell="A2" workbookViewId="0">
      <selection activeCell="C47" sqref="C47:C52"/>
    </sheetView>
  </sheetViews>
  <sheetFormatPr baseColWidth="10" defaultColWidth="8.83203125" defaultRowHeight="16" x14ac:dyDescent="0.2"/>
  <cols>
    <col min="2" max="2" width="21.33203125" customWidth="1"/>
    <col min="25" max="26" width="9" customWidth="1"/>
    <col min="27" max="27" width="45.5" bestFit="1" customWidth="1"/>
    <col min="28" max="28" width="9" customWidth="1"/>
    <col min="29" max="29" width="18.6640625" bestFit="1" customWidth="1"/>
    <col min="30" max="30" width="9" customWidth="1"/>
    <col min="31" max="46" width="10.1640625" style="67" customWidth="1"/>
    <col min="47" max="47" width="13.83203125" style="67" bestFit="1" customWidth="1"/>
    <col min="48" max="61" width="10.1640625" style="67" customWidth="1"/>
  </cols>
  <sheetData>
    <row r="1" spans="1:95" ht="16.5" customHeight="1" x14ac:dyDescent="0.2">
      <c r="A1" t="s">
        <v>91</v>
      </c>
      <c r="AE1" s="67">
        <v>3</v>
      </c>
      <c r="AF1" s="67">
        <f>AE1+1</f>
        <v>4</v>
      </c>
      <c r="AG1" s="67">
        <f t="shared" ref="AG1:AR1" si="0">AF1+1</f>
        <v>5</v>
      </c>
      <c r="AH1" s="67">
        <f t="shared" si="0"/>
        <v>6</v>
      </c>
      <c r="AI1" s="67">
        <f t="shared" si="0"/>
        <v>7</v>
      </c>
      <c r="AJ1" s="67">
        <f>AI1+1</f>
        <v>8</v>
      </c>
      <c r="AK1" s="67">
        <f t="shared" si="0"/>
        <v>9</v>
      </c>
      <c r="AL1" s="67">
        <f t="shared" si="0"/>
        <v>10</v>
      </c>
      <c r="AM1" s="67">
        <f t="shared" si="0"/>
        <v>11</v>
      </c>
      <c r="AN1" s="67">
        <f t="shared" si="0"/>
        <v>12</v>
      </c>
      <c r="AO1" s="67">
        <f t="shared" si="0"/>
        <v>13</v>
      </c>
      <c r="AP1" s="67">
        <f t="shared" si="0"/>
        <v>14</v>
      </c>
      <c r="AQ1" s="67">
        <f t="shared" si="0"/>
        <v>15</v>
      </c>
      <c r="AR1" s="67">
        <f t="shared" si="0"/>
        <v>16</v>
      </c>
      <c r="AV1" s="67">
        <v>21</v>
      </c>
      <c r="AW1" s="67">
        <f>AV1+1</f>
        <v>22</v>
      </c>
      <c r="AX1" s="67">
        <f t="shared" ref="AX1:BI1" si="1">AW1+1</f>
        <v>23</v>
      </c>
      <c r="AY1" s="67">
        <f t="shared" si="1"/>
        <v>24</v>
      </c>
      <c r="AZ1" s="67">
        <f t="shared" si="1"/>
        <v>25</v>
      </c>
      <c r="BA1" s="67">
        <f>AZ1+1</f>
        <v>26</v>
      </c>
      <c r="BB1" s="67">
        <f t="shared" si="1"/>
        <v>27</v>
      </c>
      <c r="BC1" s="67">
        <f t="shared" si="1"/>
        <v>28</v>
      </c>
      <c r="BD1" s="67">
        <f t="shared" si="1"/>
        <v>29</v>
      </c>
      <c r="BE1" s="67">
        <f t="shared" si="1"/>
        <v>30</v>
      </c>
      <c r="BF1" s="67">
        <f t="shared" si="1"/>
        <v>31</v>
      </c>
      <c r="BG1" s="67">
        <f t="shared" si="1"/>
        <v>32</v>
      </c>
      <c r="BH1" s="67">
        <f t="shared" si="1"/>
        <v>33</v>
      </c>
      <c r="BI1" s="67">
        <f t="shared" si="1"/>
        <v>34</v>
      </c>
      <c r="BM1">
        <v>90</v>
      </c>
      <c r="BN1" s="67">
        <f>BM1+2</f>
        <v>92</v>
      </c>
      <c r="BO1" s="67">
        <f t="shared" ref="BO1" si="2">BN1+1</f>
        <v>93</v>
      </c>
      <c r="BP1" s="67">
        <f t="shared" ref="BP1" si="3">BO1+1</f>
        <v>94</v>
      </c>
      <c r="BQ1" s="67">
        <f t="shared" ref="BQ1" si="4">BP1+1</f>
        <v>95</v>
      </c>
      <c r="BR1" s="67">
        <f>BQ1+1</f>
        <v>96</v>
      </c>
      <c r="BS1" s="67">
        <f t="shared" ref="BS1" si="5">BR1+1</f>
        <v>97</v>
      </c>
      <c r="BT1" s="67">
        <f t="shared" ref="BT1" si="6">BS1+1</f>
        <v>98</v>
      </c>
      <c r="BU1" s="67">
        <f t="shared" ref="BU1" si="7">BT1+1</f>
        <v>99</v>
      </c>
      <c r="BV1" s="67">
        <f t="shared" ref="BV1" si="8">BU1+1</f>
        <v>100</v>
      </c>
      <c r="BW1" s="67">
        <f t="shared" ref="BW1" si="9">BV1+1</f>
        <v>101</v>
      </c>
      <c r="BX1" s="67">
        <f t="shared" ref="BX1" si="10">BW1+1</f>
        <v>102</v>
      </c>
      <c r="BY1" s="67">
        <f t="shared" ref="BY1" si="11">BX1+1</f>
        <v>103</v>
      </c>
      <c r="BZ1" s="67">
        <f t="shared" ref="BZ1" si="12">BY1+1</f>
        <v>104</v>
      </c>
      <c r="CD1">
        <v>130</v>
      </c>
      <c r="CE1" s="67">
        <f>CD1+2</f>
        <v>132</v>
      </c>
      <c r="CF1" s="67">
        <f t="shared" ref="CF1" si="13">CE1+1</f>
        <v>133</v>
      </c>
      <c r="CG1" s="67">
        <f t="shared" ref="CG1" si="14">CF1+1</f>
        <v>134</v>
      </c>
      <c r="CH1" s="67">
        <f t="shared" ref="CH1" si="15">CG1+1</f>
        <v>135</v>
      </c>
      <c r="CI1" s="67">
        <f>CH1+1</f>
        <v>136</v>
      </c>
      <c r="CJ1" s="67">
        <f t="shared" ref="CJ1" si="16">CI1+1</f>
        <v>137</v>
      </c>
      <c r="CK1" s="67">
        <f t="shared" ref="CK1" si="17">CJ1+1</f>
        <v>138</v>
      </c>
      <c r="CL1" s="67">
        <f t="shared" ref="CL1" si="18">CK1+1</f>
        <v>139</v>
      </c>
      <c r="CM1" s="67">
        <f t="shared" ref="CM1" si="19">CL1+1</f>
        <v>140</v>
      </c>
      <c r="CN1" s="67">
        <f t="shared" ref="CN1" si="20">CM1+1</f>
        <v>141</v>
      </c>
      <c r="CO1" s="67">
        <f t="shared" ref="CO1" si="21">CN1+1</f>
        <v>142</v>
      </c>
      <c r="CP1" s="67">
        <f t="shared" ref="CP1" si="22">CO1+1</f>
        <v>143</v>
      </c>
      <c r="CQ1" s="67">
        <f t="shared" ref="CQ1" si="23">CP1+1</f>
        <v>144</v>
      </c>
    </row>
    <row r="2" spans="1:95" ht="16.5" customHeight="1" x14ac:dyDescent="0.2">
      <c r="AE2" s="68" t="s">
        <v>95</v>
      </c>
      <c r="AF2" s="68"/>
      <c r="AG2" s="68"/>
      <c r="AH2" s="68"/>
      <c r="AI2" s="68"/>
      <c r="AJ2" s="68"/>
      <c r="AK2" s="68"/>
      <c r="AL2" s="68"/>
      <c r="AM2" s="68"/>
      <c r="AN2" s="68"/>
      <c r="AO2" s="68"/>
      <c r="AP2" s="68"/>
      <c r="AQ2" s="68"/>
      <c r="AR2" s="68"/>
      <c r="AS2" s="68"/>
      <c r="AT2" s="68"/>
      <c r="AU2" s="68"/>
      <c r="AV2" s="68" t="s">
        <v>96</v>
      </c>
      <c r="BM2" s="68" t="s">
        <v>85</v>
      </c>
      <c r="BN2" s="67"/>
      <c r="BO2" s="67"/>
      <c r="BP2" s="67"/>
      <c r="BQ2" s="67"/>
      <c r="BR2" s="67"/>
      <c r="BS2" s="67"/>
      <c r="BT2" s="67"/>
      <c r="BU2" s="67"/>
      <c r="BV2" s="67"/>
      <c r="BW2" s="67"/>
      <c r="BX2" s="67"/>
      <c r="BY2" s="67"/>
      <c r="BZ2" s="67"/>
      <c r="CD2" s="68" t="s">
        <v>85</v>
      </c>
      <c r="CE2" s="67"/>
      <c r="CF2" s="67"/>
      <c r="CG2" s="67"/>
      <c r="CH2" s="67"/>
      <c r="CI2" s="67"/>
      <c r="CJ2" s="67"/>
      <c r="CK2" s="67"/>
      <c r="CL2" s="67"/>
      <c r="CM2" s="67"/>
      <c r="CN2" s="67"/>
      <c r="CO2" s="67"/>
      <c r="CP2" s="67"/>
      <c r="CQ2" s="67"/>
    </row>
    <row r="3" spans="1:95" ht="16.5" customHeight="1" x14ac:dyDescent="0.2">
      <c r="B3" s="248" t="s">
        <v>68</v>
      </c>
      <c r="C3" s="248"/>
      <c r="D3" s="248"/>
      <c r="E3" s="248"/>
      <c r="F3" s="248"/>
      <c r="AE3" s="69" t="s">
        <v>93</v>
      </c>
      <c r="AF3" s="244" t="s">
        <v>13</v>
      </c>
      <c r="AG3" s="245"/>
      <c r="AH3" s="246"/>
      <c r="AI3" s="70"/>
      <c r="AJ3" s="69" t="s">
        <v>1</v>
      </c>
      <c r="AK3" s="69" t="s">
        <v>22</v>
      </c>
      <c r="AL3" s="69" t="s">
        <v>0</v>
      </c>
      <c r="AM3" s="69" t="s">
        <v>49</v>
      </c>
      <c r="AN3" s="69" t="s">
        <v>40</v>
      </c>
      <c r="AO3" s="69" t="s">
        <v>94</v>
      </c>
      <c r="AP3" s="244" t="s">
        <v>42</v>
      </c>
      <c r="AQ3" s="245"/>
      <c r="AR3" s="246"/>
      <c r="AS3" s="79"/>
      <c r="AT3" s="79"/>
      <c r="AU3" s="71"/>
      <c r="AV3" s="69" t="s">
        <v>93</v>
      </c>
      <c r="AW3" s="244" t="s">
        <v>13</v>
      </c>
      <c r="AX3" s="245"/>
      <c r="AY3" s="246"/>
      <c r="AZ3" s="70"/>
      <c r="BA3" s="69" t="s">
        <v>1</v>
      </c>
      <c r="BB3" s="69" t="s">
        <v>22</v>
      </c>
      <c r="BC3" s="69" t="s">
        <v>0</v>
      </c>
      <c r="BD3" s="69" t="s">
        <v>49</v>
      </c>
      <c r="BE3" s="69" t="s">
        <v>40</v>
      </c>
      <c r="BF3" s="69" t="s">
        <v>94</v>
      </c>
      <c r="BG3" s="244" t="s">
        <v>42</v>
      </c>
      <c r="BH3" s="245"/>
      <c r="BI3" s="246"/>
      <c r="BM3" s="69" t="s">
        <v>93</v>
      </c>
      <c r="BN3" s="244" t="s">
        <v>13</v>
      </c>
      <c r="BO3" s="245"/>
      <c r="BP3" s="246"/>
      <c r="BQ3" s="70"/>
      <c r="BR3" s="69" t="s">
        <v>1</v>
      </c>
      <c r="BS3" s="69" t="s">
        <v>22</v>
      </c>
      <c r="BT3" s="69" t="s">
        <v>0</v>
      </c>
      <c r="BU3" s="69" t="s">
        <v>49</v>
      </c>
      <c r="BV3" s="69" t="s">
        <v>40</v>
      </c>
      <c r="BW3" s="69" t="s">
        <v>94</v>
      </c>
      <c r="BX3" s="244" t="s">
        <v>42</v>
      </c>
      <c r="BY3" s="245"/>
      <c r="BZ3" s="246"/>
      <c r="CD3" s="69" t="s">
        <v>93</v>
      </c>
      <c r="CE3" s="244" t="s">
        <v>13</v>
      </c>
      <c r="CF3" s="245"/>
      <c r="CG3" s="246"/>
      <c r="CH3" s="70"/>
      <c r="CI3" s="69" t="s">
        <v>1</v>
      </c>
      <c r="CJ3" s="69" t="s">
        <v>22</v>
      </c>
      <c r="CK3" s="69" t="s">
        <v>0</v>
      </c>
      <c r="CL3" s="69" t="s">
        <v>49</v>
      </c>
      <c r="CM3" s="69" t="s">
        <v>40</v>
      </c>
      <c r="CN3" s="69" t="s">
        <v>94</v>
      </c>
      <c r="CO3" s="244" t="s">
        <v>42</v>
      </c>
      <c r="CP3" s="245"/>
      <c r="CQ3" s="246"/>
    </row>
    <row r="4" spans="1:95" x14ac:dyDescent="0.2">
      <c r="AA4" s="78" t="str">
        <f>'Summary (Full)'!D72</f>
        <v>BoxingPractice</v>
      </c>
      <c r="AE4" s="69" t="s">
        <v>92</v>
      </c>
      <c r="AF4" s="69" t="s">
        <v>24</v>
      </c>
      <c r="AG4" s="69" t="s">
        <v>25</v>
      </c>
      <c r="AH4" s="69" t="s">
        <v>26</v>
      </c>
      <c r="AI4" s="69" t="s">
        <v>38</v>
      </c>
      <c r="AJ4" s="69" t="s">
        <v>24</v>
      </c>
      <c r="AK4" s="69" t="s">
        <v>24</v>
      </c>
      <c r="AL4" s="69" t="s">
        <v>24</v>
      </c>
      <c r="AM4" s="69" t="s">
        <v>24</v>
      </c>
      <c r="AN4" s="69" t="s">
        <v>24</v>
      </c>
      <c r="AO4" s="69" t="s">
        <v>24</v>
      </c>
      <c r="AP4" s="69" t="s">
        <v>24</v>
      </c>
      <c r="AQ4" s="69" t="s">
        <v>25</v>
      </c>
      <c r="AR4" s="69" t="s">
        <v>26</v>
      </c>
      <c r="AS4" s="79"/>
      <c r="AT4" s="79"/>
      <c r="AV4" s="69" t="s">
        <v>92</v>
      </c>
      <c r="AW4" s="69" t="s">
        <v>24</v>
      </c>
      <c r="AX4" s="69" t="s">
        <v>25</v>
      </c>
      <c r="AY4" s="69" t="s">
        <v>26</v>
      </c>
      <c r="AZ4" s="69" t="s">
        <v>38</v>
      </c>
      <c r="BA4" s="69" t="s">
        <v>24</v>
      </c>
      <c r="BB4" s="69" t="s">
        <v>24</v>
      </c>
      <c r="BC4" s="69" t="s">
        <v>24</v>
      </c>
      <c r="BD4" s="69" t="s">
        <v>24</v>
      </c>
      <c r="BE4" s="69" t="s">
        <v>24</v>
      </c>
      <c r="BF4" s="69" t="s">
        <v>24</v>
      </c>
      <c r="BG4" s="69" t="s">
        <v>24</v>
      </c>
      <c r="BH4" s="69" t="s">
        <v>25</v>
      </c>
      <c r="BI4" s="69" t="s">
        <v>26</v>
      </c>
      <c r="BM4" s="69" t="s">
        <v>92</v>
      </c>
      <c r="BN4" s="69" t="s">
        <v>24</v>
      </c>
      <c r="BO4" s="69" t="s">
        <v>25</v>
      </c>
      <c r="BP4" s="69" t="s">
        <v>26</v>
      </c>
      <c r="BQ4" s="69" t="s">
        <v>38</v>
      </c>
      <c r="BR4" s="69" t="s">
        <v>24</v>
      </c>
      <c r="BS4" s="69" t="s">
        <v>24</v>
      </c>
      <c r="BT4" s="69" t="s">
        <v>24</v>
      </c>
      <c r="BU4" s="69" t="s">
        <v>24</v>
      </c>
      <c r="BV4" s="69" t="s">
        <v>24</v>
      </c>
      <c r="BW4" s="69" t="s">
        <v>24</v>
      </c>
      <c r="BX4" s="69" t="s">
        <v>24</v>
      </c>
      <c r="BY4" s="69" t="s">
        <v>25</v>
      </c>
      <c r="BZ4" s="69" t="s">
        <v>26</v>
      </c>
      <c r="CD4" s="69" t="s">
        <v>92</v>
      </c>
      <c r="CE4" s="69" t="s">
        <v>24</v>
      </c>
      <c r="CF4" s="69" t="s">
        <v>25</v>
      </c>
      <c r="CG4" s="69" t="s">
        <v>26</v>
      </c>
      <c r="CH4" s="69" t="s">
        <v>38</v>
      </c>
      <c r="CI4" s="69" t="s">
        <v>24</v>
      </c>
      <c r="CJ4" s="69" t="s">
        <v>24</v>
      </c>
      <c r="CK4" s="69" t="s">
        <v>24</v>
      </c>
      <c r="CL4" s="69" t="s">
        <v>24</v>
      </c>
      <c r="CM4" s="69" t="s">
        <v>24</v>
      </c>
      <c r="CN4" s="69" t="s">
        <v>24</v>
      </c>
      <c r="CO4" s="69" t="s">
        <v>24</v>
      </c>
      <c r="CP4" s="69" t="s">
        <v>25</v>
      </c>
      <c r="CQ4" s="69" t="s">
        <v>26</v>
      </c>
    </row>
    <row r="5" spans="1:95" x14ac:dyDescent="0.2">
      <c r="AA5" s="78" t="str">
        <f>'Summary (Full)'!D73</f>
        <v>CrossWalk</v>
      </c>
      <c r="AB5" s="249" t="s">
        <v>17</v>
      </c>
      <c r="AC5" s="247" t="str">
        <f>CONCATENATE(AB5," Reference")</f>
        <v>3840x2160 Reference</v>
      </c>
      <c r="AD5">
        <v>5</v>
      </c>
      <c r="AE5" s="73">
        <f t="shared" ref="AE5:AR14" ca="1" si="24">INDIRECT("'"&amp;$B$3&amp;"'!"&amp;ADDRESS($AD5,AE$1))</f>
        <v>0</v>
      </c>
      <c r="AF5" s="73">
        <f t="shared" ca="1" si="24"/>
        <v>0</v>
      </c>
      <c r="AG5" s="73">
        <f t="shared" ca="1" si="24"/>
        <v>0</v>
      </c>
      <c r="AH5" s="73">
        <f t="shared" ca="1" si="24"/>
        <v>0</v>
      </c>
      <c r="AI5" s="73">
        <f t="shared" ca="1" si="24"/>
        <v>0</v>
      </c>
      <c r="AJ5" s="73">
        <f t="shared" ca="1" si="24"/>
        <v>0</v>
      </c>
      <c r="AK5" s="73">
        <f t="shared" ca="1" si="24"/>
        <v>0</v>
      </c>
      <c r="AL5" s="73">
        <f t="shared" ca="1" si="24"/>
        <v>0</v>
      </c>
      <c r="AM5" s="73">
        <f t="shared" ca="1" si="24"/>
        <v>0</v>
      </c>
      <c r="AN5" s="73">
        <f t="shared" ca="1" si="24"/>
        <v>0</v>
      </c>
      <c r="AO5" s="73">
        <f t="shared" ca="1" si="24"/>
        <v>0</v>
      </c>
      <c r="AP5" s="73">
        <f t="shared" ca="1" si="24"/>
        <v>0</v>
      </c>
      <c r="AQ5" s="73">
        <f t="shared" ca="1" si="24"/>
        <v>0</v>
      </c>
      <c r="AR5" s="73">
        <f t="shared" ca="1" si="24"/>
        <v>0</v>
      </c>
      <c r="AU5" s="247" t="str">
        <f>CONCATENATE(AB5," Test")</f>
        <v>3840x2160 Test</v>
      </c>
      <c r="AV5" s="73">
        <f t="shared" ref="AV5:BI14" ca="1" si="25">INDIRECT("'"&amp;$B$3&amp;"'!"&amp;ADDRESS($AD5,AV$1))</f>
        <v>0</v>
      </c>
      <c r="AW5" s="73">
        <f t="shared" ca="1" si="25"/>
        <v>0</v>
      </c>
      <c r="AX5" s="73">
        <f t="shared" ca="1" si="25"/>
        <v>0</v>
      </c>
      <c r="AY5" s="73">
        <f t="shared" ca="1" si="25"/>
        <v>0</v>
      </c>
      <c r="AZ5" s="73">
        <f t="shared" ca="1" si="25"/>
        <v>0</v>
      </c>
      <c r="BA5" s="73">
        <f t="shared" ca="1" si="25"/>
        <v>0</v>
      </c>
      <c r="BB5" s="73">
        <f t="shared" ca="1" si="25"/>
        <v>0</v>
      </c>
      <c r="BC5" s="73">
        <f t="shared" ca="1" si="25"/>
        <v>0</v>
      </c>
      <c r="BD5" s="73">
        <f t="shared" ca="1" si="25"/>
        <v>0</v>
      </c>
      <c r="BE5" s="73">
        <f t="shared" ca="1" si="25"/>
        <v>0</v>
      </c>
      <c r="BF5" s="73">
        <f t="shared" ca="1" si="25"/>
        <v>0</v>
      </c>
      <c r="BG5" s="73">
        <f t="shared" ca="1" si="25"/>
        <v>0</v>
      </c>
      <c r="BH5" s="73">
        <f t="shared" ca="1" si="25"/>
        <v>0</v>
      </c>
      <c r="BI5" s="73">
        <f t="shared" ca="1" si="25"/>
        <v>0</v>
      </c>
      <c r="BM5" s="73" t="e">
        <f t="shared" ref="BM5:BZ5" ca="1" si="26">IF(INDIRECT("'"&amp;$B$3&amp;"'!"&amp;ADDRESS($AD5,BM$1)),INDIRECT("'"&amp;$B$3&amp;"'!"&amp;ADDRESS($AD5,BM$1)),"")</f>
        <v>#VALUE!</v>
      </c>
      <c r="BN5" s="73" t="str">
        <f t="shared" ca="1" si="26"/>
        <v/>
      </c>
      <c r="BO5" s="73" t="str">
        <f t="shared" ca="1" si="26"/>
        <v/>
      </c>
      <c r="BP5" s="73" t="str">
        <f t="shared" ca="1" si="26"/>
        <v/>
      </c>
      <c r="BQ5" s="73" t="str">
        <f t="shared" ca="1" si="26"/>
        <v/>
      </c>
      <c r="BR5" s="73" t="str">
        <f t="shared" ca="1" si="26"/>
        <v/>
      </c>
      <c r="BS5" s="73" t="str">
        <f t="shared" ca="1" si="26"/>
        <v/>
      </c>
      <c r="BT5" s="73" t="str">
        <f t="shared" ca="1" si="26"/>
        <v/>
      </c>
      <c r="BU5" s="73" t="str">
        <f t="shared" ca="1" si="26"/>
        <v/>
      </c>
      <c r="BV5" s="73" t="str">
        <f t="shared" ca="1" si="26"/>
        <v/>
      </c>
      <c r="BW5" s="73" t="str">
        <f t="shared" ca="1" si="26"/>
        <v/>
      </c>
      <c r="BX5" s="73" t="str">
        <f t="shared" ca="1" si="26"/>
        <v/>
      </c>
      <c r="BY5" s="73" t="str">
        <f t="shared" ca="1" si="26"/>
        <v/>
      </c>
      <c r="BZ5" s="73" t="str">
        <f t="shared" ca="1" si="26"/>
        <v/>
      </c>
      <c r="CD5" s="73" t="e">
        <f t="shared" ref="CD5:CQ5" ca="1" si="27">IF(INDIRECT("'"&amp;$B$3&amp;"'!"&amp;ADDRESS($AD5,CD$1)),INDIRECT("'"&amp;$B$3&amp;"'!"&amp;ADDRESS($AD5,CD$1)),"")</f>
        <v>#VALUE!</v>
      </c>
      <c r="CE5" s="73" t="str">
        <f t="shared" ca="1" si="27"/>
        <v/>
      </c>
      <c r="CF5" s="73" t="str">
        <f t="shared" ca="1" si="27"/>
        <v/>
      </c>
      <c r="CG5" s="73" t="str">
        <f t="shared" ca="1" si="27"/>
        <v/>
      </c>
      <c r="CH5" s="73" t="str">
        <f t="shared" ca="1" si="27"/>
        <v/>
      </c>
      <c r="CI5" s="73" t="str">
        <f t="shared" ca="1" si="27"/>
        <v/>
      </c>
      <c r="CJ5" s="73" t="str">
        <f t="shared" ca="1" si="27"/>
        <v/>
      </c>
      <c r="CK5" s="73" t="str">
        <f t="shared" ca="1" si="27"/>
        <v/>
      </c>
      <c r="CL5" s="73" t="str">
        <f t="shared" ca="1" si="27"/>
        <v/>
      </c>
      <c r="CM5" s="73" t="str">
        <f t="shared" ca="1" si="27"/>
        <v/>
      </c>
      <c r="CN5" s="73" t="str">
        <f t="shared" ca="1" si="27"/>
        <v/>
      </c>
      <c r="CO5" s="73" t="str">
        <f t="shared" ca="1" si="27"/>
        <v/>
      </c>
      <c r="CP5" s="73" t="str">
        <f t="shared" ca="1" si="27"/>
        <v/>
      </c>
      <c r="CQ5" s="73" t="str">
        <f t="shared" ca="1" si="27"/>
        <v/>
      </c>
    </row>
    <row r="6" spans="1:95" x14ac:dyDescent="0.2">
      <c r="AA6" s="78" t="str">
        <f>'Summary (Full)'!D74</f>
        <v>FoodMarket2</v>
      </c>
      <c r="AB6" s="249"/>
      <c r="AC6" s="247"/>
      <c r="AD6">
        <f>AD5+1</f>
        <v>6</v>
      </c>
      <c r="AE6" s="73">
        <f t="shared" ca="1" si="24"/>
        <v>0</v>
      </c>
      <c r="AF6" s="73">
        <f t="shared" ca="1" si="24"/>
        <v>0</v>
      </c>
      <c r="AG6" s="73">
        <f t="shared" ca="1" si="24"/>
        <v>0</v>
      </c>
      <c r="AH6" s="73">
        <f t="shared" ca="1" si="24"/>
        <v>0</v>
      </c>
      <c r="AI6" s="73">
        <f t="shared" ca="1" si="24"/>
        <v>0</v>
      </c>
      <c r="AJ6" s="73">
        <f t="shared" ca="1" si="24"/>
        <v>0</v>
      </c>
      <c r="AK6" s="73">
        <f t="shared" ca="1" si="24"/>
        <v>0</v>
      </c>
      <c r="AL6" s="73">
        <f t="shared" ca="1" si="24"/>
        <v>0</v>
      </c>
      <c r="AM6" s="73">
        <f t="shared" ca="1" si="24"/>
        <v>0</v>
      </c>
      <c r="AN6" s="73">
        <f t="shared" ca="1" si="24"/>
        <v>0</v>
      </c>
      <c r="AO6" s="73">
        <f t="shared" ca="1" si="24"/>
        <v>0</v>
      </c>
      <c r="AP6" s="73">
        <f t="shared" ca="1" si="24"/>
        <v>0</v>
      </c>
      <c r="AQ6" s="73">
        <f t="shared" ca="1" si="24"/>
        <v>0</v>
      </c>
      <c r="AR6" s="73">
        <f t="shared" ca="1" si="24"/>
        <v>0</v>
      </c>
      <c r="AU6" s="247"/>
      <c r="AV6" s="73">
        <f t="shared" ca="1" si="25"/>
        <v>0</v>
      </c>
      <c r="AW6" s="73">
        <f t="shared" ca="1" si="25"/>
        <v>0</v>
      </c>
      <c r="AX6" s="73">
        <f t="shared" ca="1" si="25"/>
        <v>0</v>
      </c>
      <c r="AY6" s="73">
        <f t="shared" ca="1" si="25"/>
        <v>0</v>
      </c>
      <c r="AZ6" s="73">
        <f t="shared" ca="1" si="25"/>
        <v>0</v>
      </c>
      <c r="BA6" s="73">
        <f t="shared" ca="1" si="25"/>
        <v>0</v>
      </c>
      <c r="BB6" s="73">
        <f t="shared" ca="1" si="25"/>
        <v>0</v>
      </c>
      <c r="BC6" s="73">
        <f t="shared" ca="1" si="25"/>
        <v>0</v>
      </c>
      <c r="BD6" s="73">
        <f t="shared" ca="1" si="25"/>
        <v>0</v>
      </c>
      <c r="BE6" s="73">
        <f t="shared" ca="1" si="25"/>
        <v>0</v>
      </c>
      <c r="BF6" s="73">
        <f t="shared" ca="1" si="25"/>
        <v>0</v>
      </c>
      <c r="BG6" s="73">
        <f t="shared" ca="1" si="25"/>
        <v>0</v>
      </c>
      <c r="BH6" s="73">
        <f t="shared" ca="1" si="25"/>
        <v>0</v>
      </c>
      <c r="BI6" s="73">
        <f t="shared" ca="1" si="25"/>
        <v>0</v>
      </c>
      <c r="BM6" s="73" t="e">
        <f t="shared" ref="BM6:BM56" ca="1" si="28">IF(INDIRECT("'"&amp;$B$3&amp;"'!"&amp;ADDRESS($AD6,BM$1)),INDIRECT("'"&amp;$B$3&amp;"'!"&amp;ADDRESS($AD6,BM$1)),BM5)</f>
        <v>#VALUE!</v>
      </c>
      <c r="BN6" s="73" t="str">
        <f t="shared" ref="BN6:BN56" ca="1" si="29">IF(INDIRECT("'"&amp;$B$3&amp;"'!"&amp;ADDRESS($AD6,BN$1)),INDIRECT("'"&amp;$B$3&amp;"'!"&amp;ADDRESS($AD6,BN$1)),BN5)</f>
        <v/>
      </c>
      <c r="BO6" s="73" t="str">
        <f t="shared" ref="BO6:BO56" ca="1" si="30">IF(INDIRECT("'"&amp;$B$3&amp;"'!"&amp;ADDRESS($AD6,BO$1)),INDIRECT("'"&amp;$B$3&amp;"'!"&amp;ADDRESS($AD6,BO$1)),BO5)</f>
        <v/>
      </c>
      <c r="BP6" s="73" t="str">
        <f t="shared" ref="BP6:BP56" ca="1" si="31">IF(INDIRECT("'"&amp;$B$3&amp;"'!"&amp;ADDRESS($AD6,BP$1)),INDIRECT("'"&amp;$B$3&amp;"'!"&amp;ADDRESS($AD6,BP$1)),BP5)</f>
        <v/>
      </c>
      <c r="BQ6" s="73" t="str">
        <f t="shared" ref="BQ6:BQ56" ca="1" si="32">IF(INDIRECT("'"&amp;$B$3&amp;"'!"&amp;ADDRESS($AD6,BQ$1)),INDIRECT("'"&amp;$B$3&amp;"'!"&amp;ADDRESS($AD6,BQ$1)),BQ5)</f>
        <v/>
      </c>
      <c r="BR6" s="73" t="str">
        <f t="shared" ref="BR6:BR56" ca="1" si="33">IF(INDIRECT("'"&amp;$B$3&amp;"'!"&amp;ADDRESS($AD6,BR$1)),INDIRECT("'"&amp;$B$3&amp;"'!"&amp;ADDRESS($AD6,BR$1)),BR5)</f>
        <v/>
      </c>
      <c r="BS6" s="73" t="str">
        <f t="shared" ref="BS6:BS56" ca="1" si="34">IF(INDIRECT("'"&amp;$B$3&amp;"'!"&amp;ADDRESS($AD6,BS$1)),INDIRECT("'"&amp;$B$3&amp;"'!"&amp;ADDRESS($AD6,BS$1)),BS5)</f>
        <v/>
      </c>
      <c r="BT6" s="73" t="str">
        <f t="shared" ref="BT6:BT56" ca="1" si="35">IF(INDIRECT("'"&amp;$B$3&amp;"'!"&amp;ADDRESS($AD6,BT$1)),INDIRECT("'"&amp;$B$3&amp;"'!"&amp;ADDRESS($AD6,BT$1)),BT5)</f>
        <v/>
      </c>
      <c r="BU6" s="73" t="str">
        <f t="shared" ref="BU6:BU56" ca="1" si="36">IF(INDIRECT("'"&amp;$B$3&amp;"'!"&amp;ADDRESS($AD6,BU$1)),INDIRECT("'"&amp;$B$3&amp;"'!"&amp;ADDRESS($AD6,BU$1)),BU5)</f>
        <v/>
      </c>
      <c r="BV6" s="73" t="str">
        <f t="shared" ref="BV6:BV56" ca="1" si="37">IF(INDIRECT("'"&amp;$B$3&amp;"'!"&amp;ADDRESS($AD6,BV$1)),INDIRECT("'"&amp;$B$3&amp;"'!"&amp;ADDRESS($AD6,BV$1)),BV5)</f>
        <v/>
      </c>
      <c r="BW6" s="73" t="str">
        <f t="shared" ref="BW6:BW56" ca="1" si="38">IF(INDIRECT("'"&amp;$B$3&amp;"'!"&amp;ADDRESS($AD6,BW$1)),INDIRECT("'"&amp;$B$3&amp;"'!"&amp;ADDRESS($AD6,BW$1)),BW5)</f>
        <v/>
      </c>
      <c r="BX6" s="73" t="str">
        <f t="shared" ref="BX6:BX56" ca="1" si="39">IF(INDIRECT("'"&amp;$B$3&amp;"'!"&amp;ADDRESS($AD6,BX$1)),INDIRECT("'"&amp;$B$3&amp;"'!"&amp;ADDRESS($AD6,BX$1)),BX5)</f>
        <v/>
      </c>
      <c r="BY6" s="73" t="str">
        <f t="shared" ref="BY6:BY56" ca="1" si="40">IF(INDIRECT("'"&amp;$B$3&amp;"'!"&amp;ADDRESS($AD6,BY$1)),INDIRECT("'"&amp;$B$3&amp;"'!"&amp;ADDRESS($AD6,BY$1)),BY5)</f>
        <v/>
      </c>
      <c r="BZ6" s="73" t="str">
        <f t="shared" ref="BZ6:BZ56" ca="1" si="41">IF(INDIRECT("'"&amp;$B$3&amp;"'!"&amp;ADDRESS($AD6,BZ$1)),INDIRECT("'"&amp;$B$3&amp;"'!"&amp;ADDRESS($AD6,BZ$1)),BZ5)</f>
        <v/>
      </c>
      <c r="CD6" s="73" t="e">
        <f t="shared" ref="CD6:CD56" ca="1" si="42">IF(INDIRECT("'"&amp;$B$3&amp;"'!"&amp;ADDRESS($AD6,CD$1)),INDIRECT("'"&amp;$B$3&amp;"'!"&amp;ADDRESS($AD6,CD$1)),CD5)</f>
        <v>#VALUE!</v>
      </c>
      <c r="CE6" s="73" t="str">
        <f t="shared" ref="CE6:CE69" ca="1" si="43">IF(INDIRECT("'"&amp;$B$3&amp;"'!"&amp;ADDRESS($AD6,CE$1)),INDIRECT("'"&amp;$B$3&amp;"'!"&amp;ADDRESS($AD6,CE$1)),CE5)</f>
        <v/>
      </c>
      <c r="CF6" s="73" t="str">
        <f t="shared" ref="CF6:CF69" ca="1" si="44">IF(INDIRECT("'"&amp;$B$3&amp;"'!"&amp;ADDRESS($AD6,CF$1)),INDIRECT("'"&amp;$B$3&amp;"'!"&amp;ADDRESS($AD6,CF$1)),CF5)</f>
        <v/>
      </c>
      <c r="CG6" s="73" t="str">
        <f t="shared" ref="CG6:CG69" ca="1" si="45">IF(INDIRECT("'"&amp;$B$3&amp;"'!"&amp;ADDRESS($AD6,CG$1)),INDIRECT("'"&amp;$B$3&amp;"'!"&amp;ADDRESS($AD6,CG$1)),CG5)</f>
        <v/>
      </c>
      <c r="CH6" s="73" t="str">
        <f t="shared" ref="CH6:CH69" ca="1" si="46">IF(INDIRECT("'"&amp;$B$3&amp;"'!"&amp;ADDRESS($AD6,CH$1)),INDIRECT("'"&amp;$B$3&amp;"'!"&amp;ADDRESS($AD6,CH$1)),CH5)</f>
        <v/>
      </c>
      <c r="CI6" s="73" t="str">
        <f t="shared" ref="CI6:CI69" ca="1" si="47">IF(INDIRECT("'"&amp;$B$3&amp;"'!"&amp;ADDRESS($AD6,CI$1)),INDIRECT("'"&amp;$B$3&amp;"'!"&amp;ADDRESS($AD6,CI$1)),CI5)</f>
        <v/>
      </c>
      <c r="CJ6" s="73" t="str">
        <f t="shared" ref="CJ6:CJ69" ca="1" si="48">IF(INDIRECT("'"&amp;$B$3&amp;"'!"&amp;ADDRESS($AD6,CJ$1)),INDIRECT("'"&amp;$B$3&amp;"'!"&amp;ADDRESS($AD6,CJ$1)),CJ5)</f>
        <v/>
      </c>
      <c r="CK6" s="73" t="str">
        <f t="shared" ref="CK6:CK69" ca="1" si="49">IF(INDIRECT("'"&amp;$B$3&amp;"'!"&amp;ADDRESS($AD6,CK$1)),INDIRECT("'"&amp;$B$3&amp;"'!"&amp;ADDRESS($AD6,CK$1)),CK5)</f>
        <v/>
      </c>
      <c r="CL6" s="73" t="str">
        <f t="shared" ref="CL6:CL69" ca="1" si="50">IF(INDIRECT("'"&amp;$B$3&amp;"'!"&amp;ADDRESS($AD6,CL$1)),INDIRECT("'"&amp;$B$3&amp;"'!"&amp;ADDRESS($AD6,CL$1)),CL5)</f>
        <v/>
      </c>
      <c r="CM6" s="73" t="str">
        <f t="shared" ref="CM6:CM69" ca="1" si="51">IF(INDIRECT("'"&amp;$B$3&amp;"'!"&amp;ADDRESS($AD6,CM$1)),INDIRECT("'"&amp;$B$3&amp;"'!"&amp;ADDRESS($AD6,CM$1)),CM5)</f>
        <v/>
      </c>
      <c r="CN6" s="73" t="str">
        <f t="shared" ref="CN6:CN69" ca="1" si="52">IF(INDIRECT("'"&amp;$B$3&amp;"'!"&amp;ADDRESS($AD6,CN$1)),INDIRECT("'"&amp;$B$3&amp;"'!"&amp;ADDRESS($AD6,CN$1)),CN5)</f>
        <v/>
      </c>
      <c r="CO6" s="73" t="str">
        <f t="shared" ref="CO6:CO69" ca="1" si="53">IF(INDIRECT("'"&amp;$B$3&amp;"'!"&amp;ADDRESS($AD6,CO$1)),INDIRECT("'"&amp;$B$3&amp;"'!"&amp;ADDRESS($AD6,CO$1)),CO5)</f>
        <v/>
      </c>
      <c r="CP6" s="73" t="str">
        <f t="shared" ref="CP6:CP69" ca="1" si="54">IF(INDIRECT("'"&amp;$B$3&amp;"'!"&amp;ADDRESS($AD6,CP$1)),INDIRECT("'"&amp;$B$3&amp;"'!"&amp;ADDRESS($AD6,CP$1)),CP5)</f>
        <v/>
      </c>
      <c r="CQ6" s="73" t="str">
        <f t="shared" ref="CQ6:CQ69" ca="1" si="55">IF(INDIRECT("'"&amp;$B$3&amp;"'!"&amp;ADDRESS($AD6,CQ$1)),INDIRECT("'"&amp;$B$3&amp;"'!"&amp;ADDRESS($AD6,CQ$1)),CQ5)</f>
        <v/>
      </c>
    </row>
    <row r="7" spans="1:95" x14ac:dyDescent="0.2">
      <c r="AA7" s="78" t="str">
        <f>'Summary (Full)'!D75</f>
        <v>Neon1224</v>
      </c>
      <c r="AB7" s="249"/>
      <c r="AC7" s="247"/>
      <c r="AD7">
        <f>AD6+1</f>
        <v>7</v>
      </c>
      <c r="AE7" s="73">
        <f t="shared" ca="1" si="24"/>
        <v>0</v>
      </c>
      <c r="AF7" s="73">
        <f t="shared" ca="1" si="24"/>
        <v>0</v>
      </c>
      <c r="AG7" s="73">
        <f t="shared" ca="1" si="24"/>
        <v>0</v>
      </c>
      <c r="AH7" s="73">
        <f t="shared" ca="1" si="24"/>
        <v>0</v>
      </c>
      <c r="AI7" s="73">
        <f t="shared" ca="1" si="24"/>
        <v>0</v>
      </c>
      <c r="AJ7" s="73">
        <f t="shared" ca="1" si="24"/>
        <v>0</v>
      </c>
      <c r="AK7" s="73">
        <f t="shared" ca="1" si="24"/>
        <v>0</v>
      </c>
      <c r="AL7" s="73">
        <f t="shared" ca="1" si="24"/>
        <v>0</v>
      </c>
      <c r="AM7" s="73">
        <f t="shared" ca="1" si="24"/>
        <v>0</v>
      </c>
      <c r="AN7" s="73">
        <f t="shared" ca="1" si="24"/>
        <v>0</v>
      </c>
      <c r="AO7" s="73">
        <f t="shared" ca="1" si="24"/>
        <v>0</v>
      </c>
      <c r="AP7" s="73">
        <f t="shared" ca="1" si="24"/>
        <v>0</v>
      </c>
      <c r="AQ7" s="73">
        <f t="shared" ca="1" si="24"/>
        <v>0</v>
      </c>
      <c r="AR7" s="73">
        <f t="shared" ca="1" si="24"/>
        <v>0</v>
      </c>
      <c r="AU7" s="247"/>
      <c r="AV7" s="73">
        <f t="shared" ca="1" si="25"/>
        <v>0</v>
      </c>
      <c r="AW7" s="73">
        <f t="shared" ca="1" si="25"/>
        <v>0</v>
      </c>
      <c r="AX7" s="73">
        <f t="shared" ca="1" si="25"/>
        <v>0</v>
      </c>
      <c r="AY7" s="73">
        <f t="shared" ca="1" si="25"/>
        <v>0</v>
      </c>
      <c r="AZ7" s="73">
        <f t="shared" ca="1" si="25"/>
        <v>0</v>
      </c>
      <c r="BA7" s="73">
        <f t="shared" ca="1" si="25"/>
        <v>0</v>
      </c>
      <c r="BB7" s="73">
        <f t="shared" ca="1" si="25"/>
        <v>0</v>
      </c>
      <c r="BC7" s="73">
        <f t="shared" ca="1" si="25"/>
        <v>0</v>
      </c>
      <c r="BD7" s="73">
        <f t="shared" ca="1" si="25"/>
        <v>0</v>
      </c>
      <c r="BE7" s="73">
        <f t="shared" ca="1" si="25"/>
        <v>0</v>
      </c>
      <c r="BF7" s="73">
        <f t="shared" ca="1" si="25"/>
        <v>0</v>
      </c>
      <c r="BG7" s="73">
        <f t="shared" ca="1" si="25"/>
        <v>0</v>
      </c>
      <c r="BH7" s="73">
        <f t="shared" ca="1" si="25"/>
        <v>0</v>
      </c>
      <c r="BI7" s="73">
        <f t="shared" ca="1" si="25"/>
        <v>0</v>
      </c>
      <c r="BM7" s="73" t="e">
        <f t="shared" ca="1" si="28"/>
        <v>#VALUE!</v>
      </c>
      <c r="BN7" s="73" t="str">
        <f t="shared" ca="1" si="29"/>
        <v/>
      </c>
      <c r="BO7" s="73" t="str">
        <f t="shared" ca="1" si="30"/>
        <v/>
      </c>
      <c r="BP7" s="73" t="str">
        <f t="shared" ca="1" si="31"/>
        <v/>
      </c>
      <c r="BQ7" s="73" t="str">
        <f t="shared" ca="1" si="32"/>
        <v/>
      </c>
      <c r="BR7" s="73" t="str">
        <f t="shared" ca="1" si="33"/>
        <v/>
      </c>
      <c r="BS7" s="73" t="str">
        <f t="shared" ca="1" si="34"/>
        <v/>
      </c>
      <c r="BT7" s="73" t="str">
        <f t="shared" ca="1" si="35"/>
        <v/>
      </c>
      <c r="BU7" s="73" t="str">
        <f t="shared" ca="1" si="36"/>
        <v/>
      </c>
      <c r="BV7" s="73" t="str">
        <f t="shared" ca="1" si="37"/>
        <v/>
      </c>
      <c r="BW7" s="73" t="str">
        <f t="shared" ca="1" si="38"/>
        <v/>
      </c>
      <c r="BX7" s="73" t="str">
        <f t="shared" ca="1" si="39"/>
        <v/>
      </c>
      <c r="BY7" s="73" t="str">
        <f t="shared" ca="1" si="40"/>
        <v/>
      </c>
      <c r="BZ7" s="73" t="str">
        <f t="shared" ca="1" si="41"/>
        <v/>
      </c>
      <c r="CD7" s="73" t="e">
        <f t="shared" ca="1" si="42"/>
        <v>#VALUE!</v>
      </c>
      <c r="CE7" s="73" t="str">
        <f t="shared" ca="1" si="43"/>
        <v/>
      </c>
      <c r="CF7" s="73" t="str">
        <f t="shared" ca="1" si="44"/>
        <v/>
      </c>
      <c r="CG7" s="73" t="str">
        <f t="shared" ca="1" si="45"/>
        <v/>
      </c>
      <c r="CH7" s="73" t="str">
        <f t="shared" ca="1" si="46"/>
        <v/>
      </c>
      <c r="CI7" s="73" t="str">
        <f t="shared" ca="1" si="47"/>
        <v/>
      </c>
      <c r="CJ7" s="73" t="str">
        <f t="shared" ca="1" si="48"/>
        <v/>
      </c>
      <c r="CK7" s="73" t="str">
        <f t="shared" ca="1" si="49"/>
        <v/>
      </c>
      <c r="CL7" s="73" t="str">
        <f t="shared" ca="1" si="50"/>
        <v/>
      </c>
      <c r="CM7" s="73" t="str">
        <f t="shared" ca="1" si="51"/>
        <v/>
      </c>
      <c r="CN7" s="73" t="str">
        <f t="shared" ca="1" si="52"/>
        <v/>
      </c>
      <c r="CO7" s="73" t="str">
        <f t="shared" ca="1" si="53"/>
        <v/>
      </c>
      <c r="CP7" s="73" t="str">
        <f t="shared" ca="1" si="54"/>
        <v/>
      </c>
      <c r="CQ7" s="73" t="str">
        <f t="shared" ca="1" si="55"/>
        <v/>
      </c>
    </row>
    <row r="8" spans="1:95" x14ac:dyDescent="0.2">
      <c r="AA8" s="78" t="str">
        <f>'Summary (Full)'!D76</f>
        <v>NocturneDance</v>
      </c>
      <c r="AB8" s="249"/>
      <c r="AC8" s="247"/>
      <c r="AD8">
        <f>AD7+1</f>
        <v>8</v>
      </c>
      <c r="AE8" s="73">
        <f t="shared" ca="1" si="24"/>
        <v>0</v>
      </c>
      <c r="AF8" s="73">
        <f t="shared" ca="1" si="24"/>
        <v>0</v>
      </c>
      <c r="AG8" s="73">
        <f t="shared" ca="1" si="24"/>
        <v>0</v>
      </c>
      <c r="AH8" s="73">
        <f t="shared" ca="1" si="24"/>
        <v>0</v>
      </c>
      <c r="AI8" s="73">
        <f t="shared" ca="1" si="24"/>
        <v>0</v>
      </c>
      <c r="AJ8" s="73">
        <f t="shared" ca="1" si="24"/>
        <v>0</v>
      </c>
      <c r="AK8" s="73">
        <f t="shared" ca="1" si="24"/>
        <v>0</v>
      </c>
      <c r="AL8" s="73">
        <f t="shared" ca="1" si="24"/>
        <v>0</v>
      </c>
      <c r="AM8" s="73">
        <f t="shared" ca="1" si="24"/>
        <v>0</v>
      </c>
      <c r="AN8" s="73">
        <f t="shared" ca="1" si="24"/>
        <v>0</v>
      </c>
      <c r="AO8" s="73">
        <f t="shared" ca="1" si="24"/>
        <v>0</v>
      </c>
      <c r="AP8" s="73">
        <f t="shared" ca="1" si="24"/>
        <v>0</v>
      </c>
      <c r="AQ8" s="73">
        <f t="shared" ca="1" si="24"/>
        <v>0</v>
      </c>
      <c r="AR8" s="73">
        <f t="shared" ca="1" si="24"/>
        <v>0</v>
      </c>
      <c r="AU8" s="247"/>
      <c r="AV8" s="73">
        <f t="shared" ca="1" si="25"/>
        <v>0</v>
      </c>
      <c r="AW8" s="73">
        <f t="shared" ca="1" si="25"/>
        <v>0</v>
      </c>
      <c r="AX8" s="73">
        <f t="shared" ca="1" si="25"/>
        <v>0</v>
      </c>
      <c r="AY8" s="73">
        <f t="shared" ca="1" si="25"/>
        <v>0</v>
      </c>
      <c r="AZ8" s="73">
        <f t="shared" ca="1" si="25"/>
        <v>0</v>
      </c>
      <c r="BA8" s="73">
        <f t="shared" ca="1" si="25"/>
        <v>0</v>
      </c>
      <c r="BB8" s="73">
        <f t="shared" ca="1" si="25"/>
        <v>0</v>
      </c>
      <c r="BC8" s="73">
        <f t="shared" ca="1" si="25"/>
        <v>0</v>
      </c>
      <c r="BD8" s="73">
        <f t="shared" ca="1" si="25"/>
        <v>0</v>
      </c>
      <c r="BE8" s="73">
        <f t="shared" ca="1" si="25"/>
        <v>0</v>
      </c>
      <c r="BF8" s="73">
        <f t="shared" ca="1" si="25"/>
        <v>0</v>
      </c>
      <c r="BG8" s="73">
        <f t="shared" ca="1" si="25"/>
        <v>0</v>
      </c>
      <c r="BH8" s="73">
        <f t="shared" ca="1" si="25"/>
        <v>0</v>
      </c>
      <c r="BI8" s="73">
        <f t="shared" ca="1" si="25"/>
        <v>0</v>
      </c>
      <c r="BM8" s="73" t="e">
        <f t="shared" ca="1" si="28"/>
        <v>#VALUE!</v>
      </c>
      <c r="BN8" s="73" t="str">
        <f t="shared" ca="1" si="29"/>
        <v/>
      </c>
      <c r="BO8" s="73" t="str">
        <f t="shared" ca="1" si="30"/>
        <v/>
      </c>
      <c r="BP8" s="73" t="str">
        <f t="shared" ca="1" si="31"/>
        <v/>
      </c>
      <c r="BQ8" s="73" t="str">
        <f t="shared" ca="1" si="32"/>
        <v/>
      </c>
      <c r="BR8" s="73" t="str">
        <f t="shared" ca="1" si="33"/>
        <v/>
      </c>
      <c r="BS8" s="73" t="str">
        <f t="shared" ca="1" si="34"/>
        <v/>
      </c>
      <c r="BT8" s="73" t="str">
        <f t="shared" ca="1" si="35"/>
        <v/>
      </c>
      <c r="BU8" s="73" t="str">
        <f t="shared" ca="1" si="36"/>
        <v/>
      </c>
      <c r="BV8" s="73" t="str">
        <f t="shared" ca="1" si="37"/>
        <v/>
      </c>
      <c r="BW8" s="73" t="str">
        <f t="shared" ca="1" si="38"/>
        <v/>
      </c>
      <c r="BX8" s="73" t="str">
        <f t="shared" ca="1" si="39"/>
        <v/>
      </c>
      <c r="BY8" s="73" t="str">
        <f t="shared" ca="1" si="40"/>
        <v/>
      </c>
      <c r="BZ8" s="73" t="str">
        <f t="shared" ca="1" si="41"/>
        <v/>
      </c>
      <c r="CD8" s="73" t="e">
        <f t="shared" ca="1" si="42"/>
        <v>#VALUE!</v>
      </c>
      <c r="CE8" s="73" t="str">
        <f t="shared" ca="1" si="43"/>
        <v/>
      </c>
      <c r="CF8" s="73" t="str">
        <f t="shared" ca="1" si="44"/>
        <v/>
      </c>
      <c r="CG8" s="73" t="str">
        <f t="shared" ca="1" si="45"/>
        <v/>
      </c>
      <c r="CH8" s="73" t="str">
        <f t="shared" ca="1" si="46"/>
        <v/>
      </c>
      <c r="CI8" s="73" t="str">
        <f t="shared" ca="1" si="47"/>
        <v/>
      </c>
      <c r="CJ8" s="73" t="str">
        <f t="shared" ca="1" si="48"/>
        <v/>
      </c>
      <c r="CK8" s="73" t="str">
        <f t="shared" ca="1" si="49"/>
        <v/>
      </c>
      <c r="CL8" s="73" t="str">
        <f t="shared" ca="1" si="50"/>
        <v/>
      </c>
      <c r="CM8" s="73" t="str">
        <f t="shared" ca="1" si="51"/>
        <v/>
      </c>
      <c r="CN8" s="73" t="str">
        <f t="shared" ca="1" si="52"/>
        <v/>
      </c>
      <c r="CO8" s="73" t="str">
        <f t="shared" ca="1" si="53"/>
        <v/>
      </c>
      <c r="CP8" s="73" t="str">
        <f t="shared" ca="1" si="54"/>
        <v/>
      </c>
      <c r="CQ8" s="73" t="str">
        <f t="shared" ca="1" si="55"/>
        <v/>
      </c>
    </row>
    <row r="9" spans="1:95" x14ac:dyDescent="0.2">
      <c r="AA9" s="78" t="str">
        <f>'Summary (Full)'!D77</f>
        <v>PierSeaside</v>
      </c>
      <c r="AB9" s="249"/>
      <c r="AC9" s="247"/>
      <c r="AD9">
        <f>AD8+1</f>
        <v>9</v>
      </c>
      <c r="AE9" s="73">
        <f t="shared" ca="1" si="24"/>
        <v>0</v>
      </c>
      <c r="AF9" s="73">
        <f t="shared" ca="1" si="24"/>
        <v>0</v>
      </c>
      <c r="AG9" s="73">
        <f t="shared" ca="1" si="24"/>
        <v>0</v>
      </c>
      <c r="AH9" s="73">
        <f t="shared" ca="1" si="24"/>
        <v>0</v>
      </c>
      <c r="AI9" s="73">
        <f t="shared" ca="1" si="24"/>
        <v>0</v>
      </c>
      <c r="AJ9" s="73">
        <f t="shared" ca="1" si="24"/>
        <v>0</v>
      </c>
      <c r="AK9" s="73">
        <f t="shared" ca="1" si="24"/>
        <v>0</v>
      </c>
      <c r="AL9" s="73">
        <f t="shared" ca="1" si="24"/>
        <v>0</v>
      </c>
      <c r="AM9" s="73">
        <f t="shared" ca="1" si="24"/>
        <v>0</v>
      </c>
      <c r="AN9" s="73">
        <f t="shared" ca="1" si="24"/>
        <v>0</v>
      </c>
      <c r="AO9" s="73">
        <f t="shared" ca="1" si="24"/>
        <v>0</v>
      </c>
      <c r="AP9" s="73">
        <f t="shared" ca="1" si="24"/>
        <v>0</v>
      </c>
      <c r="AQ9" s="73">
        <f t="shared" ca="1" si="24"/>
        <v>0</v>
      </c>
      <c r="AR9" s="73">
        <f t="shared" ca="1" si="24"/>
        <v>0</v>
      </c>
      <c r="AU9" s="247"/>
      <c r="AV9" s="73">
        <f t="shared" ca="1" si="25"/>
        <v>0</v>
      </c>
      <c r="AW9" s="73">
        <f t="shared" ca="1" si="25"/>
        <v>0</v>
      </c>
      <c r="AX9" s="73">
        <f t="shared" ca="1" si="25"/>
        <v>0</v>
      </c>
      <c r="AY9" s="73">
        <f t="shared" ca="1" si="25"/>
        <v>0</v>
      </c>
      <c r="AZ9" s="73">
        <f t="shared" ca="1" si="25"/>
        <v>0</v>
      </c>
      <c r="BA9" s="73">
        <f t="shared" ca="1" si="25"/>
        <v>0</v>
      </c>
      <c r="BB9" s="73">
        <f t="shared" ca="1" si="25"/>
        <v>0</v>
      </c>
      <c r="BC9" s="73">
        <f t="shared" ca="1" si="25"/>
        <v>0</v>
      </c>
      <c r="BD9" s="73">
        <f t="shared" ca="1" si="25"/>
        <v>0</v>
      </c>
      <c r="BE9" s="73">
        <f t="shared" ca="1" si="25"/>
        <v>0</v>
      </c>
      <c r="BF9" s="73">
        <f t="shared" ca="1" si="25"/>
        <v>0</v>
      </c>
      <c r="BG9" s="73">
        <f t="shared" ca="1" si="25"/>
        <v>0</v>
      </c>
      <c r="BH9" s="73">
        <f t="shared" ca="1" si="25"/>
        <v>0</v>
      </c>
      <c r="BI9" s="73">
        <f t="shared" ca="1" si="25"/>
        <v>0</v>
      </c>
      <c r="BM9" s="73" t="e">
        <f t="shared" ca="1" si="28"/>
        <v>#VALUE!</v>
      </c>
      <c r="BN9" s="73" t="str">
        <f t="shared" ca="1" si="29"/>
        <v/>
      </c>
      <c r="BO9" s="73" t="str">
        <f t="shared" ca="1" si="30"/>
        <v/>
      </c>
      <c r="BP9" s="73" t="str">
        <f t="shared" ca="1" si="31"/>
        <v/>
      </c>
      <c r="BQ9" s="73" t="str">
        <f t="shared" ca="1" si="32"/>
        <v/>
      </c>
      <c r="BR9" s="73" t="str">
        <f t="shared" ca="1" si="33"/>
        <v/>
      </c>
      <c r="BS9" s="73" t="str">
        <f t="shared" ca="1" si="34"/>
        <v/>
      </c>
      <c r="BT9" s="73" t="str">
        <f t="shared" ca="1" si="35"/>
        <v/>
      </c>
      <c r="BU9" s="73" t="str">
        <f t="shared" ca="1" si="36"/>
        <v/>
      </c>
      <c r="BV9" s="73" t="str">
        <f t="shared" ca="1" si="37"/>
        <v/>
      </c>
      <c r="BW9" s="73" t="str">
        <f t="shared" ca="1" si="38"/>
        <v/>
      </c>
      <c r="BX9" s="73" t="str">
        <f t="shared" ca="1" si="39"/>
        <v/>
      </c>
      <c r="BY9" s="73" t="str">
        <f t="shared" ca="1" si="40"/>
        <v/>
      </c>
      <c r="BZ9" s="73" t="str">
        <f t="shared" ca="1" si="41"/>
        <v/>
      </c>
      <c r="CD9" s="73" t="e">
        <f t="shared" ca="1" si="42"/>
        <v>#VALUE!</v>
      </c>
      <c r="CE9" s="73" t="str">
        <f t="shared" ca="1" si="43"/>
        <v/>
      </c>
      <c r="CF9" s="73" t="str">
        <f t="shared" ca="1" si="44"/>
        <v/>
      </c>
      <c r="CG9" s="73" t="str">
        <f t="shared" ca="1" si="45"/>
        <v/>
      </c>
      <c r="CH9" s="73" t="str">
        <f t="shared" ca="1" si="46"/>
        <v/>
      </c>
      <c r="CI9" s="73" t="str">
        <f t="shared" ca="1" si="47"/>
        <v/>
      </c>
      <c r="CJ9" s="73" t="str">
        <f t="shared" ca="1" si="48"/>
        <v/>
      </c>
      <c r="CK9" s="73" t="str">
        <f t="shared" ca="1" si="49"/>
        <v/>
      </c>
      <c r="CL9" s="73" t="str">
        <f t="shared" ca="1" si="50"/>
        <v/>
      </c>
      <c r="CM9" s="73" t="str">
        <f t="shared" ca="1" si="51"/>
        <v/>
      </c>
      <c r="CN9" s="73" t="str">
        <f t="shared" ca="1" si="52"/>
        <v/>
      </c>
      <c r="CO9" s="73" t="str">
        <f t="shared" ca="1" si="53"/>
        <v/>
      </c>
      <c r="CP9" s="73" t="str">
        <f t="shared" ca="1" si="54"/>
        <v/>
      </c>
      <c r="CQ9" s="73" t="str">
        <f t="shared" ca="1" si="55"/>
        <v/>
      </c>
    </row>
    <row r="10" spans="1:95" x14ac:dyDescent="0.2">
      <c r="AA10" s="78" t="str">
        <f>'Summary (Full)'!D78</f>
        <v>Tango</v>
      </c>
      <c r="AB10" s="249"/>
      <c r="AC10" s="247"/>
      <c r="AD10">
        <f>AD9+1</f>
        <v>10</v>
      </c>
      <c r="AE10" s="73">
        <f t="shared" ca="1" si="24"/>
        <v>0</v>
      </c>
      <c r="AF10" s="73">
        <f t="shared" ca="1" si="24"/>
        <v>0</v>
      </c>
      <c r="AG10" s="73">
        <f t="shared" ca="1" si="24"/>
        <v>0</v>
      </c>
      <c r="AH10" s="73">
        <f t="shared" ca="1" si="24"/>
        <v>0</v>
      </c>
      <c r="AI10" s="73">
        <f t="shared" ca="1" si="24"/>
        <v>0</v>
      </c>
      <c r="AJ10" s="73">
        <f t="shared" ca="1" si="24"/>
        <v>0</v>
      </c>
      <c r="AK10" s="73">
        <f t="shared" ca="1" si="24"/>
        <v>0</v>
      </c>
      <c r="AL10" s="73">
        <f t="shared" ca="1" si="24"/>
        <v>0</v>
      </c>
      <c r="AM10" s="73">
        <f t="shared" ca="1" si="24"/>
        <v>0</v>
      </c>
      <c r="AN10" s="73">
        <f t="shared" ca="1" si="24"/>
        <v>0</v>
      </c>
      <c r="AO10" s="73">
        <f t="shared" ca="1" si="24"/>
        <v>0</v>
      </c>
      <c r="AP10" s="73">
        <f t="shared" ca="1" si="24"/>
        <v>0</v>
      </c>
      <c r="AQ10" s="73">
        <f t="shared" ca="1" si="24"/>
        <v>0</v>
      </c>
      <c r="AR10" s="73">
        <f t="shared" ca="1" si="24"/>
        <v>0</v>
      </c>
      <c r="AU10" s="247"/>
      <c r="AV10" s="73">
        <f t="shared" ca="1" si="25"/>
        <v>0</v>
      </c>
      <c r="AW10" s="73">
        <f t="shared" ca="1" si="25"/>
        <v>0</v>
      </c>
      <c r="AX10" s="73">
        <f t="shared" ca="1" si="25"/>
        <v>0</v>
      </c>
      <c r="AY10" s="73">
        <f t="shared" ca="1" si="25"/>
        <v>0</v>
      </c>
      <c r="AZ10" s="73">
        <f t="shared" ca="1" si="25"/>
        <v>0</v>
      </c>
      <c r="BA10" s="73">
        <f t="shared" ca="1" si="25"/>
        <v>0</v>
      </c>
      <c r="BB10" s="73">
        <f t="shared" ca="1" si="25"/>
        <v>0</v>
      </c>
      <c r="BC10" s="73">
        <f t="shared" ca="1" si="25"/>
        <v>0</v>
      </c>
      <c r="BD10" s="73">
        <f t="shared" ca="1" si="25"/>
        <v>0</v>
      </c>
      <c r="BE10" s="73">
        <f t="shared" ca="1" si="25"/>
        <v>0</v>
      </c>
      <c r="BF10" s="73">
        <f t="shared" ca="1" si="25"/>
        <v>0</v>
      </c>
      <c r="BG10" s="73">
        <f t="shared" ca="1" si="25"/>
        <v>0</v>
      </c>
      <c r="BH10" s="73">
        <f t="shared" ca="1" si="25"/>
        <v>0</v>
      </c>
      <c r="BI10" s="73">
        <f t="shared" ca="1" si="25"/>
        <v>0</v>
      </c>
      <c r="BM10" s="73" t="e">
        <f t="shared" ca="1" si="28"/>
        <v>#VALUE!</v>
      </c>
      <c r="BN10" s="73" t="str">
        <f t="shared" ca="1" si="29"/>
        <v/>
      </c>
      <c r="BO10" s="73" t="str">
        <f t="shared" ca="1" si="30"/>
        <v/>
      </c>
      <c r="BP10" s="73" t="str">
        <f t="shared" ca="1" si="31"/>
        <v/>
      </c>
      <c r="BQ10" s="73" t="str">
        <f t="shared" ca="1" si="32"/>
        <v/>
      </c>
      <c r="BR10" s="73" t="str">
        <f t="shared" ca="1" si="33"/>
        <v/>
      </c>
      <c r="BS10" s="73" t="str">
        <f t="shared" ca="1" si="34"/>
        <v/>
      </c>
      <c r="BT10" s="73" t="str">
        <f t="shared" ca="1" si="35"/>
        <v/>
      </c>
      <c r="BU10" s="73" t="str">
        <f t="shared" ca="1" si="36"/>
        <v/>
      </c>
      <c r="BV10" s="73" t="str">
        <f t="shared" ca="1" si="37"/>
        <v/>
      </c>
      <c r="BW10" s="73" t="str">
        <f t="shared" ca="1" si="38"/>
        <v/>
      </c>
      <c r="BX10" s="73" t="str">
        <f t="shared" ca="1" si="39"/>
        <v/>
      </c>
      <c r="BY10" s="73" t="str">
        <f t="shared" ca="1" si="40"/>
        <v/>
      </c>
      <c r="BZ10" s="73" t="str">
        <f t="shared" ca="1" si="41"/>
        <v/>
      </c>
      <c r="CD10" s="73" t="e">
        <f t="shared" ca="1" si="42"/>
        <v>#VALUE!</v>
      </c>
      <c r="CE10" s="73" t="str">
        <f t="shared" ca="1" si="43"/>
        <v/>
      </c>
      <c r="CF10" s="73" t="str">
        <f t="shared" ca="1" si="44"/>
        <v/>
      </c>
      <c r="CG10" s="73" t="str">
        <f t="shared" ca="1" si="45"/>
        <v/>
      </c>
      <c r="CH10" s="73" t="str">
        <f t="shared" ca="1" si="46"/>
        <v/>
      </c>
      <c r="CI10" s="73" t="str">
        <f t="shared" ca="1" si="47"/>
        <v/>
      </c>
      <c r="CJ10" s="73" t="str">
        <f t="shared" ca="1" si="48"/>
        <v/>
      </c>
      <c r="CK10" s="73" t="str">
        <f t="shared" ca="1" si="49"/>
        <v/>
      </c>
      <c r="CL10" s="73" t="str">
        <f t="shared" ca="1" si="50"/>
        <v/>
      </c>
      <c r="CM10" s="73" t="str">
        <f t="shared" ca="1" si="51"/>
        <v/>
      </c>
      <c r="CN10" s="73" t="str">
        <f t="shared" ca="1" si="52"/>
        <v/>
      </c>
      <c r="CO10" s="73" t="str">
        <f t="shared" ca="1" si="53"/>
        <v/>
      </c>
      <c r="CP10" s="73" t="str">
        <f t="shared" ca="1" si="54"/>
        <v/>
      </c>
      <c r="CQ10" s="73" t="str">
        <f t="shared" ca="1" si="55"/>
        <v/>
      </c>
    </row>
    <row r="11" spans="1:95" x14ac:dyDescent="0.2">
      <c r="AA11" s="78" t="str">
        <f>'Summary (Full)'!D79</f>
        <v>Timelapse</v>
      </c>
      <c r="AB11" s="249" t="s">
        <v>18</v>
      </c>
      <c r="AC11" s="247" t="str">
        <f>CONCATENATE(AB11," Reference")</f>
        <v>2560x1440 Reference</v>
      </c>
      <c r="AD11">
        <v>11</v>
      </c>
      <c r="AE11" s="73">
        <f t="shared" ca="1" si="24"/>
        <v>0</v>
      </c>
      <c r="AF11" s="73">
        <f t="shared" ca="1" si="24"/>
        <v>0</v>
      </c>
      <c r="AG11" s="73">
        <f t="shared" ca="1" si="24"/>
        <v>0</v>
      </c>
      <c r="AH11" s="73">
        <f t="shared" ca="1" si="24"/>
        <v>0</v>
      </c>
      <c r="AI11" s="73">
        <f t="shared" ca="1" si="24"/>
        <v>0</v>
      </c>
      <c r="AJ11" s="73">
        <f t="shared" ca="1" si="24"/>
        <v>0</v>
      </c>
      <c r="AK11" s="73">
        <f t="shared" ca="1" si="24"/>
        <v>0</v>
      </c>
      <c r="AL11" s="73">
        <f t="shared" ca="1" si="24"/>
        <v>0</v>
      </c>
      <c r="AM11" s="73">
        <f t="shared" ca="1" si="24"/>
        <v>0</v>
      </c>
      <c r="AN11" s="73">
        <f t="shared" ca="1" si="24"/>
        <v>0</v>
      </c>
      <c r="AO11" s="73">
        <f t="shared" ca="1" si="24"/>
        <v>0</v>
      </c>
      <c r="AP11" s="73">
        <f t="shared" ca="1" si="24"/>
        <v>0</v>
      </c>
      <c r="AQ11" s="73">
        <f t="shared" ca="1" si="24"/>
        <v>0</v>
      </c>
      <c r="AR11" s="73">
        <f t="shared" ca="1" si="24"/>
        <v>0</v>
      </c>
      <c r="AU11" s="247" t="str">
        <f>CONCATENATE(AB11," Test")</f>
        <v>2560x1440 Test</v>
      </c>
      <c r="AV11" s="73">
        <f t="shared" ca="1" si="25"/>
        <v>0</v>
      </c>
      <c r="AW11" s="73">
        <f t="shared" ca="1" si="25"/>
        <v>0</v>
      </c>
      <c r="AX11" s="73">
        <f t="shared" ca="1" si="25"/>
        <v>0</v>
      </c>
      <c r="AY11" s="73">
        <f t="shared" ca="1" si="25"/>
        <v>0</v>
      </c>
      <c r="AZ11" s="73">
        <f t="shared" ca="1" si="25"/>
        <v>0</v>
      </c>
      <c r="BA11" s="73">
        <f t="shared" ca="1" si="25"/>
        <v>0</v>
      </c>
      <c r="BB11" s="73">
        <f t="shared" ca="1" si="25"/>
        <v>0</v>
      </c>
      <c r="BC11" s="73">
        <f t="shared" ca="1" si="25"/>
        <v>0</v>
      </c>
      <c r="BD11" s="73">
        <f t="shared" ca="1" si="25"/>
        <v>0</v>
      </c>
      <c r="BE11" s="73">
        <f t="shared" ca="1" si="25"/>
        <v>0</v>
      </c>
      <c r="BF11" s="73">
        <f t="shared" ca="1" si="25"/>
        <v>0</v>
      </c>
      <c r="BG11" s="73">
        <f t="shared" ca="1" si="25"/>
        <v>0</v>
      </c>
      <c r="BH11" s="73">
        <f t="shared" ca="1" si="25"/>
        <v>0</v>
      </c>
      <c r="BI11" s="73">
        <f t="shared" ca="1" si="25"/>
        <v>0</v>
      </c>
      <c r="BM11" s="73" t="e">
        <f t="shared" ca="1" si="28"/>
        <v>#VALUE!</v>
      </c>
      <c r="BN11" s="73" t="str">
        <f t="shared" ca="1" si="29"/>
        <v/>
      </c>
      <c r="BO11" s="73" t="str">
        <f t="shared" ca="1" si="30"/>
        <v/>
      </c>
      <c r="BP11" s="73" t="str">
        <f t="shared" ca="1" si="31"/>
        <v/>
      </c>
      <c r="BQ11" s="73" t="str">
        <f t="shared" ca="1" si="32"/>
        <v/>
      </c>
      <c r="BR11" s="73" t="str">
        <f t="shared" ca="1" si="33"/>
        <v/>
      </c>
      <c r="BS11" s="73" t="str">
        <f t="shared" ca="1" si="34"/>
        <v/>
      </c>
      <c r="BT11" s="73" t="str">
        <f t="shared" ca="1" si="35"/>
        <v/>
      </c>
      <c r="BU11" s="73" t="str">
        <f t="shared" ca="1" si="36"/>
        <v/>
      </c>
      <c r="BV11" s="73" t="str">
        <f t="shared" ca="1" si="37"/>
        <v/>
      </c>
      <c r="BW11" s="73" t="str">
        <f t="shared" ca="1" si="38"/>
        <v/>
      </c>
      <c r="BX11" s="73" t="str">
        <f t="shared" ca="1" si="39"/>
        <v/>
      </c>
      <c r="BY11" s="73" t="str">
        <f t="shared" ca="1" si="40"/>
        <v/>
      </c>
      <c r="BZ11" s="73" t="str">
        <f t="shared" ca="1" si="41"/>
        <v/>
      </c>
      <c r="CD11" s="73" t="e">
        <f t="shared" ca="1" si="42"/>
        <v>#VALUE!</v>
      </c>
      <c r="CE11" s="73" t="str">
        <f t="shared" ca="1" si="43"/>
        <v/>
      </c>
      <c r="CF11" s="73" t="str">
        <f t="shared" ca="1" si="44"/>
        <v/>
      </c>
      <c r="CG11" s="73" t="str">
        <f t="shared" ca="1" si="45"/>
        <v/>
      </c>
      <c r="CH11" s="73" t="str">
        <f t="shared" ca="1" si="46"/>
        <v/>
      </c>
      <c r="CI11" s="73" t="str">
        <f t="shared" ca="1" si="47"/>
        <v/>
      </c>
      <c r="CJ11" s="73" t="str">
        <f t="shared" ca="1" si="48"/>
        <v/>
      </c>
      <c r="CK11" s="73" t="str">
        <f t="shared" ca="1" si="49"/>
        <v/>
      </c>
      <c r="CL11" s="73" t="str">
        <f t="shared" ca="1" si="50"/>
        <v/>
      </c>
      <c r="CM11" s="73" t="str">
        <f t="shared" ca="1" si="51"/>
        <v/>
      </c>
      <c r="CN11" s="73" t="str">
        <f t="shared" ca="1" si="52"/>
        <v/>
      </c>
      <c r="CO11" s="73" t="str">
        <f t="shared" ca="1" si="53"/>
        <v/>
      </c>
      <c r="CP11" s="73" t="str">
        <f t="shared" ca="1" si="54"/>
        <v/>
      </c>
      <c r="CQ11" s="73" t="str">
        <f t="shared" ca="1" si="55"/>
        <v/>
      </c>
    </row>
    <row r="12" spans="1:95" x14ac:dyDescent="0.2">
      <c r="AA12" s="78"/>
      <c r="AB12" s="249"/>
      <c r="AC12" s="247"/>
      <c r="AD12">
        <v>12</v>
      </c>
      <c r="AE12" s="73">
        <f t="shared" ca="1" si="24"/>
        <v>0</v>
      </c>
      <c r="AF12" s="73">
        <f t="shared" ca="1" si="24"/>
        <v>0</v>
      </c>
      <c r="AG12" s="73">
        <f t="shared" ca="1" si="24"/>
        <v>0</v>
      </c>
      <c r="AH12" s="73">
        <f t="shared" ca="1" si="24"/>
        <v>0</v>
      </c>
      <c r="AI12" s="73">
        <f t="shared" ca="1" si="24"/>
        <v>0</v>
      </c>
      <c r="AJ12" s="73">
        <f t="shared" ca="1" si="24"/>
        <v>0</v>
      </c>
      <c r="AK12" s="73">
        <f t="shared" ca="1" si="24"/>
        <v>0</v>
      </c>
      <c r="AL12" s="73">
        <f t="shared" ca="1" si="24"/>
        <v>0</v>
      </c>
      <c r="AM12" s="73">
        <f t="shared" ca="1" si="24"/>
        <v>0</v>
      </c>
      <c r="AN12" s="73">
        <f t="shared" ca="1" si="24"/>
        <v>0</v>
      </c>
      <c r="AO12" s="73">
        <f t="shared" ca="1" si="24"/>
        <v>0</v>
      </c>
      <c r="AP12" s="73">
        <f t="shared" ca="1" si="24"/>
        <v>0</v>
      </c>
      <c r="AQ12" s="73">
        <f t="shared" ca="1" si="24"/>
        <v>0</v>
      </c>
      <c r="AR12" s="73">
        <f t="shared" ca="1" si="24"/>
        <v>0</v>
      </c>
      <c r="AU12" s="247"/>
      <c r="AV12" s="73">
        <f t="shared" ca="1" si="25"/>
        <v>0</v>
      </c>
      <c r="AW12" s="73">
        <f t="shared" ca="1" si="25"/>
        <v>0</v>
      </c>
      <c r="AX12" s="73">
        <f t="shared" ca="1" si="25"/>
        <v>0</v>
      </c>
      <c r="AY12" s="73">
        <f t="shared" ca="1" si="25"/>
        <v>0</v>
      </c>
      <c r="AZ12" s="73">
        <f t="shared" ca="1" si="25"/>
        <v>0</v>
      </c>
      <c r="BA12" s="73">
        <f t="shared" ca="1" si="25"/>
        <v>0</v>
      </c>
      <c r="BB12" s="73">
        <f t="shared" ca="1" si="25"/>
        <v>0</v>
      </c>
      <c r="BC12" s="73">
        <f t="shared" ca="1" si="25"/>
        <v>0</v>
      </c>
      <c r="BD12" s="73">
        <f t="shared" ca="1" si="25"/>
        <v>0</v>
      </c>
      <c r="BE12" s="73">
        <f t="shared" ca="1" si="25"/>
        <v>0</v>
      </c>
      <c r="BF12" s="73">
        <f t="shared" ca="1" si="25"/>
        <v>0</v>
      </c>
      <c r="BG12" s="73">
        <f t="shared" ca="1" si="25"/>
        <v>0</v>
      </c>
      <c r="BH12" s="73">
        <f t="shared" ca="1" si="25"/>
        <v>0</v>
      </c>
      <c r="BI12" s="73">
        <f t="shared" ca="1" si="25"/>
        <v>0</v>
      </c>
      <c r="BM12" s="73" t="e">
        <f t="shared" ca="1" si="28"/>
        <v>#VALUE!</v>
      </c>
      <c r="BN12" s="73" t="str">
        <f t="shared" ca="1" si="29"/>
        <v/>
      </c>
      <c r="BO12" s="73" t="str">
        <f t="shared" ca="1" si="30"/>
        <v/>
      </c>
      <c r="BP12" s="73" t="str">
        <f t="shared" ca="1" si="31"/>
        <v/>
      </c>
      <c r="BQ12" s="73" t="str">
        <f t="shared" ca="1" si="32"/>
        <v/>
      </c>
      <c r="BR12" s="73" t="str">
        <f t="shared" ca="1" si="33"/>
        <v/>
      </c>
      <c r="BS12" s="73" t="str">
        <f t="shared" ca="1" si="34"/>
        <v/>
      </c>
      <c r="BT12" s="73" t="str">
        <f t="shared" ca="1" si="35"/>
        <v/>
      </c>
      <c r="BU12" s="73" t="str">
        <f t="shared" ca="1" si="36"/>
        <v/>
      </c>
      <c r="BV12" s="73" t="str">
        <f t="shared" ca="1" si="37"/>
        <v/>
      </c>
      <c r="BW12" s="73" t="str">
        <f t="shared" ca="1" si="38"/>
        <v/>
      </c>
      <c r="BX12" s="73" t="str">
        <f t="shared" ca="1" si="39"/>
        <v/>
      </c>
      <c r="BY12" s="73" t="str">
        <f t="shared" ca="1" si="40"/>
        <v/>
      </c>
      <c r="BZ12" s="73" t="str">
        <f t="shared" ca="1" si="41"/>
        <v/>
      </c>
      <c r="CD12" s="73" t="e">
        <f t="shared" ca="1" si="42"/>
        <v>#VALUE!</v>
      </c>
      <c r="CE12" s="73" t="str">
        <f t="shared" ca="1" si="43"/>
        <v/>
      </c>
      <c r="CF12" s="73" t="str">
        <f t="shared" ca="1" si="44"/>
        <v/>
      </c>
      <c r="CG12" s="73" t="str">
        <f t="shared" ca="1" si="45"/>
        <v/>
      </c>
      <c r="CH12" s="73" t="str">
        <f t="shared" ca="1" si="46"/>
        <v/>
      </c>
      <c r="CI12" s="73" t="str">
        <f t="shared" ca="1" si="47"/>
        <v/>
      </c>
      <c r="CJ12" s="73" t="str">
        <f t="shared" ca="1" si="48"/>
        <v/>
      </c>
      <c r="CK12" s="73" t="str">
        <f t="shared" ca="1" si="49"/>
        <v/>
      </c>
      <c r="CL12" s="73" t="str">
        <f t="shared" ca="1" si="50"/>
        <v/>
      </c>
      <c r="CM12" s="73" t="str">
        <f t="shared" ca="1" si="51"/>
        <v/>
      </c>
      <c r="CN12" s="73" t="str">
        <f t="shared" ca="1" si="52"/>
        <v/>
      </c>
      <c r="CO12" s="73" t="str">
        <f t="shared" ca="1" si="53"/>
        <v/>
      </c>
      <c r="CP12" s="73" t="str">
        <f t="shared" ca="1" si="54"/>
        <v/>
      </c>
      <c r="CQ12" s="73" t="str">
        <f t="shared" ca="1" si="55"/>
        <v/>
      </c>
    </row>
    <row r="13" spans="1:95" x14ac:dyDescent="0.2">
      <c r="AA13" s="72"/>
      <c r="AB13" s="249"/>
      <c r="AC13" s="247"/>
      <c r="AD13">
        <v>13</v>
      </c>
      <c r="AE13" s="73">
        <f t="shared" ca="1" si="24"/>
        <v>0</v>
      </c>
      <c r="AF13" s="73">
        <f t="shared" ca="1" si="24"/>
        <v>0</v>
      </c>
      <c r="AG13" s="73">
        <f t="shared" ca="1" si="24"/>
        <v>0</v>
      </c>
      <c r="AH13" s="73">
        <f t="shared" ca="1" si="24"/>
        <v>0</v>
      </c>
      <c r="AI13" s="73">
        <f t="shared" ca="1" si="24"/>
        <v>0</v>
      </c>
      <c r="AJ13" s="73">
        <f t="shared" ca="1" si="24"/>
        <v>0</v>
      </c>
      <c r="AK13" s="73">
        <f t="shared" ca="1" si="24"/>
        <v>0</v>
      </c>
      <c r="AL13" s="73">
        <f t="shared" ca="1" si="24"/>
        <v>0</v>
      </c>
      <c r="AM13" s="73">
        <f t="shared" ca="1" si="24"/>
        <v>0</v>
      </c>
      <c r="AN13" s="73">
        <f t="shared" ca="1" si="24"/>
        <v>0</v>
      </c>
      <c r="AO13" s="73">
        <f t="shared" ca="1" si="24"/>
        <v>0</v>
      </c>
      <c r="AP13" s="73">
        <f t="shared" ca="1" si="24"/>
        <v>0</v>
      </c>
      <c r="AQ13" s="73">
        <f t="shared" ca="1" si="24"/>
        <v>0</v>
      </c>
      <c r="AR13" s="73">
        <f t="shared" ca="1" si="24"/>
        <v>0</v>
      </c>
      <c r="AU13" s="247"/>
      <c r="AV13" s="73">
        <f t="shared" ca="1" si="25"/>
        <v>0</v>
      </c>
      <c r="AW13" s="73">
        <f t="shared" ca="1" si="25"/>
        <v>0</v>
      </c>
      <c r="AX13" s="73">
        <f t="shared" ca="1" si="25"/>
        <v>0</v>
      </c>
      <c r="AY13" s="73">
        <f t="shared" ca="1" si="25"/>
        <v>0</v>
      </c>
      <c r="AZ13" s="73">
        <f t="shared" ca="1" si="25"/>
        <v>0</v>
      </c>
      <c r="BA13" s="73">
        <f t="shared" ca="1" si="25"/>
        <v>0</v>
      </c>
      <c r="BB13" s="73">
        <f t="shared" ca="1" si="25"/>
        <v>0</v>
      </c>
      <c r="BC13" s="73">
        <f t="shared" ca="1" si="25"/>
        <v>0</v>
      </c>
      <c r="BD13" s="73">
        <f t="shared" ca="1" si="25"/>
        <v>0</v>
      </c>
      <c r="BE13" s="73">
        <f t="shared" ca="1" si="25"/>
        <v>0</v>
      </c>
      <c r="BF13" s="73">
        <f t="shared" ca="1" si="25"/>
        <v>0</v>
      </c>
      <c r="BG13" s="73">
        <f t="shared" ca="1" si="25"/>
        <v>0</v>
      </c>
      <c r="BH13" s="73">
        <f t="shared" ca="1" si="25"/>
        <v>0</v>
      </c>
      <c r="BI13" s="73">
        <f t="shared" ca="1" si="25"/>
        <v>0</v>
      </c>
      <c r="BM13" s="73" t="e">
        <f t="shared" ca="1" si="28"/>
        <v>#VALUE!</v>
      </c>
      <c r="BN13" s="73" t="str">
        <f t="shared" ca="1" si="29"/>
        <v/>
      </c>
      <c r="BO13" s="73" t="str">
        <f t="shared" ca="1" si="30"/>
        <v/>
      </c>
      <c r="BP13" s="73" t="str">
        <f t="shared" ca="1" si="31"/>
        <v/>
      </c>
      <c r="BQ13" s="73" t="str">
        <f t="shared" ca="1" si="32"/>
        <v/>
      </c>
      <c r="BR13" s="73" t="str">
        <f t="shared" ca="1" si="33"/>
        <v/>
      </c>
      <c r="BS13" s="73" t="str">
        <f t="shared" ca="1" si="34"/>
        <v/>
      </c>
      <c r="BT13" s="73" t="str">
        <f t="shared" ca="1" si="35"/>
        <v/>
      </c>
      <c r="BU13" s="73" t="str">
        <f t="shared" ca="1" si="36"/>
        <v/>
      </c>
      <c r="BV13" s="73" t="str">
        <f t="shared" ca="1" si="37"/>
        <v/>
      </c>
      <c r="BW13" s="73" t="str">
        <f t="shared" ca="1" si="38"/>
        <v/>
      </c>
      <c r="BX13" s="73" t="str">
        <f t="shared" ca="1" si="39"/>
        <v/>
      </c>
      <c r="BY13" s="73" t="str">
        <f t="shared" ca="1" si="40"/>
        <v/>
      </c>
      <c r="BZ13" s="73" t="str">
        <f t="shared" ca="1" si="41"/>
        <v/>
      </c>
      <c r="CD13" s="73" t="e">
        <f t="shared" ca="1" si="42"/>
        <v>#VALUE!</v>
      </c>
      <c r="CE13" s="73" t="str">
        <f t="shared" ca="1" si="43"/>
        <v/>
      </c>
      <c r="CF13" s="73" t="str">
        <f t="shared" ca="1" si="44"/>
        <v/>
      </c>
      <c r="CG13" s="73" t="str">
        <f t="shared" ca="1" si="45"/>
        <v/>
      </c>
      <c r="CH13" s="73" t="str">
        <f t="shared" ca="1" si="46"/>
        <v/>
      </c>
      <c r="CI13" s="73" t="str">
        <f t="shared" ca="1" si="47"/>
        <v/>
      </c>
      <c r="CJ13" s="73" t="str">
        <f t="shared" ca="1" si="48"/>
        <v/>
      </c>
      <c r="CK13" s="73" t="str">
        <f t="shared" ca="1" si="49"/>
        <v/>
      </c>
      <c r="CL13" s="73" t="str">
        <f t="shared" ca="1" si="50"/>
        <v/>
      </c>
      <c r="CM13" s="73" t="str">
        <f t="shared" ca="1" si="51"/>
        <v/>
      </c>
      <c r="CN13" s="73" t="str">
        <f t="shared" ca="1" si="52"/>
        <v/>
      </c>
      <c r="CO13" s="73" t="str">
        <f t="shared" ca="1" si="53"/>
        <v/>
      </c>
      <c r="CP13" s="73" t="str">
        <f t="shared" ca="1" si="54"/>
        <v/>
      </c>
      <c r="CQ13" s="73" t="str">
        <f t="shared" ca="1" si="55"/>
        <v/>
      </c>
    </row>
    <row r="14" spans="1:95" x14ac:dyDescent="0.2">
      <c r="AA14" s="72"/>
      <c r="AB14" s="249"/>
      <c r="AC14" s="247"/>
      <c r="AD14">
        <v>14</v>
      </c>
      <c r="AE14" s="73">
        <f t="shared" ca="1" si="24"/>
        <v>0</v>
      </c>
      <c r="AF14" s="73">
        <f t="shared" ca="1" si="24"/>
        <v>0</v>
      </c>
      <c r="AG14" s="73">
        <f t="shared" ca="1" si="24"/>
        <v>0</v>
      </c>
      <c r="AH14" s="73">
        <f t="shared" ca="1" si="24"/>
        <v>0</v>
      </c>
      <c r="AI14" s="73">
        <f t="shared" ca="1" si="24"/>
        <v>0</v>
      </c>
      <c r="AJ14" s="73">
        <f t="shared" ca="1" si="24"/>
        <v>0</v>
      </c>
      <c r="AK14" s="73">
        <f t="shared" ca="1" si="24"/>
        <v>0</v>
      </c>
      <c r="AL14" s="73">
        <f t="shared" ca="1" si="24"/>
        <v>0</v>
      </c>
      <c r="AM14" s="73">
        <f t="shared" ca="1" si="24"/>
        <v>0</v>
      </c>
      <c r="AN14" s="73">
        <f t="shared" ca="1" si="24"/>
        <v>0</v>
      </c>
      <c r="AO14" s="73">
        <f t="shared" ca="1" si="24"/>
        <v>0</v>
      </c>
      <c r="AP14" s="73">
        <f t="shared" ca="1" si="24"/>
        <v>0</v>
      </c>
      <c r="AQ14" s="73">
        <f t="shared" ca="1" si="24"/>
        <v>0</v>
      </c>
      <c r="AR14" s="73">
        <f t="shared" ca="1" si="24"/>
        <v>0</v>
      </c>
      <c r="AU14" s="247"/>
      <c r="AV14" s="73">
        <f t="shared" ca="1" si="25"/>
        <v>0</v>
      </c>
      <c r="AW14" s="73">
        <f t="shared" ca="1" si="25"/>
        <v>0</v>
      </c>
      <c r="AX14" s="73">
        <f t="shared" ca="1" si="25"/>
        <v>0</v>
      </c>
      <c r="AY14" s="73">
        <f t="shared" ca="1" si="25"/>
        <v>0</v>
      </c>
      <c r="AZ14" s="73">
        <f t="shared" ca="1" si="25"/>
        <v>0</v>
      </c>
      <c r="BA14" s="73">
        <f t="shared" ca="1" si="25"/>
        <v>0</v>
      </c>
      <c r="BB14" s="73">
        <f t="shared" ca="1" si="25"/>
        <v>0</v>
      </c>
      <c r="BC14" s="73">
        <f t="shared" ca="1" si="25"/>
        <v>0</v>
      </c>
      <c r="BD14" s="73">
        <f t="shared" ca="1" si="25"/>
        <v>0</v>
      </c>
      <c r="BE14" s="73">
        <f t="shared" ca="1" si="25"/>
        <v>0</v>
      </c>
      <c r="BF14" s="73">
        <f t="shared" ca="1" si="25"/>
        <v>0</v>
      </c>
      <c r="BG14" s="73">
        <f t="shared" ca="1" si="25"/>
        <v>0</v>
      </c>
      <c r="BH14" s="73">
        <f t="shared" ca="1" si="25"/>
        <v>0</v>
      </c>
      <c r="BI14" s="73">
        <f t="shared" ca="1" si="25"/>
        <v>0</v>
      </c>
      <c r="BM14" s="73" t="e">
        <f t="shared" ca="1" si="28"/>
        <v>#VALUE!</v>
      </c>
      <c r="BN14" s="73" t="str">
        <f t="shared" ca="1" si="29"/>
        <v/>
      </c>
      <c r="BO14" s="73" t="str">
        <f t="shared" ca="1" si="30"/>
        <v/>
      </c>
      <c r="BP14" s="73" t="str">
        <f t="shared" ca="1" si="31"/>
        <v/>
      </c>
      <c r="BQ14" s="73" t="str">
        <f t="shared" ca="1" si="32"/>
        <v/>
      </c>
      <c r="BR14" s="73" t="str">
        <f t="shared" ca="1" si="33"/>
        <v/>
      </c>
      <c r="BS14" s="73" t="str">
        <f t="shared" ca="1" si="34"/>
        <v/>
      </c>
      <c r="BT14" s="73" t="str">
        <f t="shared" ca="1" si="35"/>
        <v/>
      </c>
      <c r="BU14" s="73" t="str">
        <f t="shared" ca="1" si="36"/>
        <v/>
      </c>
      <c r="BV14" s="73" t="str">
        <f t="shared" ca="1" si="37"/>
        <v/>
      </c>
      <c r="BW14" s="73" t="str">
        <f t="shared" ca="1" si="38"/>
        <v/>
      </c>
      <c r="BX14" s="73" t="str">
        <f t="shared" ca="1" si="39"/>
        <v/>
      </c>
      <c r="BY14" s="73" t="str">
        <f t="shared" ca="1" si="40"/>
        <v/>
      </c>
      <c r="BZ14" s="73" t="str">
        <f t="shared" ca="1" si="41"/>
        <v/>
      </c>
      <c r="CD14" s="73" t="e">
        <f t="shared" ca="1" si="42"/>
        <v>#VALUE!</v>
      </c>
      <c r="CE14" s="73" t="str">
        <f t="shared" ca="1" si="43"/>
        <v/>
      </c>
      <c r="CF14" s="73" t="str">
        <f t="shared" ca="1" si="44"/>
        <v/>
      </c>
      <c r="CG14" s="73" t="str">
        <f t="shared" ca="1" si="45"/>
        <v/>
      </c>
      <c r="CH14" s="73" t="str">
        <f t="shared" ca="1" si="46"/>
        <v/>
      </c>
      <c r="CI14" s="73" t="str">
        <f t="shared" ca="1" si="47"/>
        <v/>
      </c>
      <c r="CJ14" s="73" t="str">
        <f t="shared" ca="1" si="48"/>
        <v/>
      </c>
      <c r="CK14" s="73" t="str">
        <f t="shared" ca="1" si="49"/>
        <v/>
      </c>
      <c r="CL14" s="73" t="str">
        <f t="shared" ca="1" si="50"/>
        <v/>
      </c>
      <c r="CM14" s="73" t="str">
        <f t="shared" ca="1" si="51"/>
        <v/>
      </c>
      <c r="CN14" s="73" t="str">
        <f t="shared" ca="1" si="52"/>
        <v/>
      </c>
      <c r="CO14" s="73" t="str">
        <f t="shared" ca="1" si="53"/>
        <v/>
      </c>
      <c r="CP14" s="73" t="str">
        <f t="shared" ca="1" si="54"/>
        <v/>
      </c>
      <c r="CQ14" s="73" t="str">
        <f t="shared" ca="1" si="55"/>
        <v/>
      </c>
    </row>
    <row r="15" spans="1:95" x14ac:dyDescent="0.2">
      <c r="AA15" s="72"/>
      <c r="AB15" s="249"/>
      <c r="AC15" s="247"/>
      <c r="AD15">
        <v>15</v>
      </c>
      <c r="AE15" s="73">
        <f t="shared" ref="AE15:AR24" ca="1" si="56">INDIRECT("'"&amp;$B$3&amp;"'!"&amp;ADDRESS($AD15,AE$1))</f>
        <v>0</v>
      </c>
      <c r="AF15" s="73">
        <f t="shared" ca="1" si="56"/>
        <v>0</v>
      </c>
      <c r="AG15" s="73">
        <f t="shared" ca="1" si="56"/>
        <v>0</v>
      </c>
      <c r="AH15" s="73">
        <f t="shared" ca="1" si="56"/>
        <v>0</v>
      </c>
      <c r="AI15" s="73">
        <f t="shared" ca="1" si="56"/>
        <v>0</v>
      </c>
      <c r="AJ15" s="73">
        <f t="shared" ca="1" si="56"/>
        <v>0</v>
      </c>
      <c r="AK15" s="73">
        <f t="shared" ca="1" si="56"/>
        <v>0</v>
      </c>
      <c r="AL15" s="73">
        <f t="shared" ca="1" si="56"/>
        <v>0</v>
      </c>
      <c r="AM15" s="73">
        <f t="shared" ca="1" si="56"/>
        <v>0</v>
      </c>
      <c r="AN15" s="73">
        <f t="shared" ca="1" si="56"/>
        <v>0</v>
      </c>
      <c r="AO15" s="73">
        <f t="shared" ca="1" si="56"/>
        <v>0</v>
      </c>
      <c r="AP15" s="73">
        <f t="shared" ca="1" si="56"/>
        <v>0</v>
      </c>
      <c r="AQ15" s="73">
        <f t="shared" ca="1" si="56"/>
        <v>0</v>
      </c>
      <c r="AR15" s="73">
        <f t="shared" ca="1" si="56"/>
        <v>0</v>
      </c>
      <c r="AU15" s="247"/>
      <c r="AV15" s="73">
        <f t="shared" ref="AV15:BI24" ca="1" si="57">INDIRECT("'"&amp;$B$3&amp;"'!"&amp;ADDRESS($AD15,AV$1))</f>
        <v>0</v>
      </c>
      <c r="AW15" s="73">
        <f t="shared" ca="1" si="57"/>
        <v>0</v>
      </c>
      <c r="AX15" s="73">
        <f t="shared" ca="1" si="57"/>
        <v>0</v>
      </c>
      <c r="AY15" s="73">
        <f t="shared" ca="1" si="57"/>
        <v>0</v>
      </c>
      <c r="AZ15" s="73">
        <f t="shared" ca="1" si="57"/>
        <v>0</v>
      </c>
      <c r="BA15" s="73">
        <f t="shared" ca="1" si="57"/>
        <v>0</v>
      </c>
      <c r="BB15" s="73">
        <f t="shared" ca="1" si="57"/>
        <v>0</v>
      </c>
      <c r="BC15" s="73">
        <f t="shared" ca="1" si="57"/>
        <v>0</v>
      </c>
      <c r="BD15" s="73">
        <f t="shared" ca="1" si="57"/>
        <v>0</v>
      </c>
      <c r="BE15" s="73">
        <f t="shared" ca="1" si="57"/>
        <v>0</v>
      </c>
      <c r="BF15" s="73">
        <f t="shared" ca="1" si="57"/>
        <v>0</v>
      </c>
      <c r="BG15" s="73">
        <f t="shared" ca="1" si="57"/>
        <v>0</v>
      </c>
      <c r="BH15" s="73">
        <f t="shared" ca="1" si="57"/>
        <v>0</v>
      </c>
      <c r="BI15" s="73">
        <f t="shared" ca="1" si="57"/>
        <v>0</v>
      </c>
      <c r="BM15" s="73" t="e">
        <f t="shared" ca="1" si="28"/>
        <v>#VALUE!</v>
      </c>
      <c r="BN15" s="73" t="str">
        <f t="shared" ca="1" si="29"/>
        <v/>
      </c>
      <c r="BO15" s="73" t="str">
        <f t="shared" ca="1" si="30"/>
        <v/>
      </c>
      <c r="BP15" s="73" t="str">
        <f t="shared" ca="1" si="31"/>
        <v/>
      </c>
      <c r="BQ15" s="73" t="str">
        <f t="shared" ca="1" si="32"/>
        <v/>
      </c>
      <c r="BR15" s="73" t="str">
        <f t="shared" ca="1" si="33"/>
        <v/>
      </c>
      <c r="BS15" s="73" t="str">
        <f t="shared" ca="1" si="34"/>
        <v/>
      </c>
      <c r="BT15" s="73" t="str">
        <f t="shared" ca="1" si="35"/>
        <v/>
      </c>
      <c r="BU15" s="73" t="str">
        <f t="shared" ca="1" si="36"/>
        <v/>
      </c>
      <c r="BV15" s="73" t="str">
        <f t="shared" ca="1" si="37"/>
        <v/>
      </c>
      <c r="BW15" s="73" t="str">
        <f t="shared" ca="1" si="38"/>
        <v/>
      </c>
      <c r="BX15" s="73" t="str">
        <f t="shared" ca="1" si="39"/>
        <v/>
      </c>
      <c r="BY15" s="73" t="str">
        <f t="shared" ca="1" si="40"/>
        <v/>
      </c>
      <c r="BZ15" s="73" t="str">
        <f t="shared" ca="1" si="41"/>
        <v/>
      </c>
      <c r="CD15" s="73" t="e">
        <f t="shared" ca="1" si="42"/>
        <v>#VALUE!</v>
      </c>
      <c r="CE15" s="73" t="str">
        <f t="shared" ca="1" si="43"/>
        <v/>
      </c>
      <c r="CF15" s="73" t="str">
        <f t="shared" ca="1" si="44"/>
        <v/>
      </c>
      <c r="CG15" s="73" t="str">
        <f t="shared" ca="1" si="45"/>
        <v/>
      </c>
      <c r="CH15" s="73" t="str">
        <f t="shared" ca="1" si="46"/>
        <v/>
      </c>
      <c r="CI15" s="73" t="str">
        <f t="shared" ca="1" si="47"/>
        <v/>
      </c>
      <c r="CJ15" s="73" t="str">
        <f t="shared" ca="1" si="48"/>
        <v/>
      </c>
      <c r="CK15" s="73" t="str">
        <f t="shared" ca="1" si="49"/>
        <v/>
      </c>
      <c r="CL15" s="73" t="str">
        <f t="shared" ca="1" si="50"/>
        <v/>
      </c>
      <c r="CM15" s="73" t="str">
        <f t="shared" ca="1" si="51"/>
        <v/>
      </c>
      <c r="CN15" s="73" t="str">
        <f t="shared" ca="1" si="52"/>
        <v/>
      </c>
      <c r="CO15" s="73" t="str">
        <f t="shared" ca="1" si="53"/>
        <v/>
      </c>
      <c r="CP15" s="73" t="str">
        <f t="shared" ca="1" si="54"/>
        <v/>
      </c>
      <c r="CQ15" s="73" t="str">
        <f t="shared" ca="1" si="55"/>
        <v/>
      </c>
    </row>
    <row r="16" spans="1:95" x14ac:dyDescent="0.2">
      <c r="AA16" s="72"/>
      <c r="AB16" s="249"/>
      <c r="AC16" s="247"/>
      <c r="AD16">
        <v>16</v>
      </c>
      <c r="AE16" s="73">
        <f t="shared" ca="1" si="56"/>
        <v>0</v>
      </c>
      <c r="AF16" s="73">
        <f t="shared" ca="1" si="56"/>
        <v>0</v>
      </c>
      <c r="AG16" s="73">
        <f t="shared" ca="1" si="56"/>
        <v>0</v>
      </c>
      <c r="AH16" s="73">
        <f t="shared" ca="1" si="56"/>
        <v>0</v>
      </c>
      <c r="AI16" s="73">
        <f t="shared" ca="1" si="56"/>
        <v>0</v>
      </c>
      <c r="AJ16" s="73">
        <f t="shared" ca="1" si="56"/>
        <v>0</v>
      </c>
      <c r="AK16" s="73">
        <f t="shared" ca="1" si="56"/>
        <v>0</v>
      </c>
      <c r="AL16" s="73">
        <f t="shared" ca="1" si="56"/>
        <v>0</v>
      </c>
      <c r="AM16" s="73">
        <f t="shared" ca="1" si="56"/>
        <v>0</v>
      </c>
      <c r="AN16" s="73">
        <f t="shared" ca="1" si="56"/>
        <v>0</v>
      </c>
      <c r="AO16" s="73">
        <f t="shared" ca="1" si="56"/>
        <v>0</v>
      </c>
      <c r="AP16" s="73">
        <f t="shared" ca="1" si="56"/>
        <v>0</v>
      </c>
      <c r="AQ16" s="73">
        <f t="shared" ca="1" si="56"/>
        <v>0</v>
      </c>
      <c r="AR16" s="73">
        <f t="shared" ca="1" si="56"/>
        <v>0</v>
      </c>
      <c r="AU16" s="247"/>
      <c r="AV16" s="73">
        <f t="shared" ca="1" si="57"/>
        <v>0</v>
      </c>
      <c r="AW16" s="73">
        <f t="shared" ca="1" si="57"/>
        <v>0</v>
      </c>
      <c r="AX16" s="73">
        <f t="shared" ca="1" si="57"/>
        <v>0</v>
      </c>
      <c r="AY16" s="73">
        <f t="shared" ca="1" si="57"/>
        <v>0</v>
      </c>
      <c r="AZ16" s="73">
        <f t="shared" ca="1" si="57"/>
        <v>0</v>
      </c>
      <c r="BA16" s="73">
        <f t="shared" ca="1" si="57"/>
        <v>0</v>
      </c>
      <c r="BB16" s="73">
        <f t="shared" ca="1" si="57"/>
        <v>0</v>
      </c>
      <c r="BC16" s="73">
        <f t="shared" ca="1" si="57"/>
        <v>0</v>
      </c>
      <c r="BD16" s="73">
        <f t="shared" ca="1" si="57"/>
        <v>0</v>
      </c>
      <c r="BE16" s="73">
        <f t="shared" ca="1" si="57"/>
        <v>0</v>
      </c>
      <c r="BF16" s="73">
        <f t="shared" ca="1" si="57"/>
        <v>0</v>
      </c>
      <c r="BG16" s="73">
        <f t="shared" ca="1" si="57"/>
        <v>0</v>
      </c>
      <c r="BH16" s="73">
        <f t="shared" ca="1" si="57"/>
        <v>0</v>
      </c>
      <c r="BI16" s="73">
        <f t="shared" ca="1" si="57"/>
        <v>0</v>
      </c>
      <c r="BM16" s="73" t="e">
        <f t="shared" ca="1" si="28"/>
        <v>#VALUE!</v>
      </c>
      <c r="BN16" s="73" t="str">
        <f t="shared" ca="1" si="29"/>
        <v/>
      </c>
      <c r="BO16" s="73" t="str">
        <f t="shared" ca="1" si="30"/>
        <v/>
      </c>
      <c r="BP16" s="73" t="str">
        <f t="shared" ca="1" si="31"/>
        <v/>
      </c>
      <c r="BQ16" s="73" t="str">
        <f t="shared" ca="1" si="32"/>
        <v/>
      </c>
      <c r="BR16" s="73" t="str">
        <f t="shared" ca="1" si="33"/>
        <v/>
      </c>
      <c r="BS16" s="73" t="str">
        <f t="shared" ca="1" si="34"/>
        <v/>
      </c>
      <c r="BT16" s="73" t="str">
        <f t="shared" ca="1" si="35"/>
        <v/>
      </c>
      <c r="BU16" s="73" t="str">
        <f t="shared" ca="1" si="36"/>
        <v/>
      </c>
      <c r="BV16" s="73" t="str">
        <f t="shared" ca="1" si="37"/>
        <v/>
      </c>
      <c r="BW16" s="73" t="str">
        <f t="shared" ca="1" si="38"/>
        <v/>
      </c>
      <c r="BX16" s="73" t="str">
        <f t="shared" ca="1" si="39"/>
        <v/>
      </c>
      <c r="BY16" s="73" t="str">
        <f t="shared" ca="1" si="40"/>
        <v/>
      </c>
      <c r="BZ16" s="73" t="str">
        <f t="shared" ca="1" si="41"/>
        <v/>
      </c>
      <c r="CD16" s="73" t="e">
        <f t="shared" ca="1" si="42"/>
        <v>#VALUE!</v>
      </c>
      <c r="CE16" s="73" t="str">
        <f t="shared" ca="1" si="43"/>
        <v/>
      </c>
      <c r="CF16" s="73" t="str">
        <f t="shared" ca="1" si="44"/>
        <v/>
      </c>
      <c r="CG16" s="73" t="str">
        <f t="shared" ca="1" si="45"/>
        <v/>
      </c>
      <c r="CH16" s="73" t="str">
        <f t="shared" ca="1" si="46"/>
        <v/>
      </c>
      <c r="CI16" s="73" t="str">
        <f t="shared" ca="1" si="47"/>
        <v/>
      </c>
      <c r="CJ16" s="73" t="str">
        <f t="shared" ca="1" si="48"/>
        <v/>
      </c>
      <c r="CK16" s="73" t="str">
        <f t="shared" ca="1" si="49"/>
        <v/>
      </c>
      <c r="CL16" s="73" t="str">
        <f t="shared" ca="1" si="50"/>
        <v/>
      </c>
      <c r="CM16" s="73" t="str">
        <f t="shared" ca="1" si="51"/>
        <v/>
      </c>
      <c r="CN16" s="73" t="str">
        <f t="shared" ca="1" si="52"/>
        <v/>
      </c>
      <c r="CO16" s="73" t="str">
        <f t="shared" ca="1" si="53"/>
        <v/>
      </c>
      <c r="CP16" s="73" t="str">
        <f t="shared" ca="1" si="54"/>
        <v/>
      </c>
      <c r="CQ16" s="73" t="str">
        <f t="shared" ca="1" si="55"/>
        <v/>
      </c>
    </row>
    <row r="17" spans="27:95" x14ac:dyDescent="0.2">
      <c r="AA17" s="72"/>
      <c r="AB17" s="249" t="s">
        <v>8</v>
      </c>
      <c r="AC17" s="247" t="str">
        <f>CONCATENATE(AB17," Reference")</f>
        <v>1920x1080 Reference</v>
      </c>
      <c r="AD17">
        <v>17</v>
      </c>
      <c r="AE17" s="73">
        <f t="shared" ca="1" si="56"/>
        <v>0</v>
      </c>
      <c r="AF17" s="73">
        <f t="shared" ca="1" si="56"/>
        <v>0</v>
      </c>
      <c r="AG17" s="73">
        <f t="shared" ca="1" si="56"/>
        <v>0</v>
      </c>
      <c r="AH17" s="73">
        <f t="shared" ca="1" si="56"/>
        <v>0</v>
      </c>
      <c r="AI17" s="73">
        <f t="shared" ca="1" si="56"/>
        <v>0</v>
      </c>
      <c r="AJ17" s="73">
        <f t="shared" ca="1" si="56"/>
        <v>0</v>
      </c>
      <c r="AK17" s="73">
        <f t="shared" ca="1" si="56"/>
        <v>0</v>
      </c>
      <c r="AL17" s="73">
        <f t="shared" ca="1" si="56"/>
        <v>0</v>
      </c>
      <c r="AM17" s="73">
        <f t="shared" ca="1" si="56"/>
        <v>0</v>
      </c>
      <c r="AN17" s="73">
        <f t="shared" ca="1" si="56"/>
        <v>0</v>
      </c>
      <c r="AO17" s="73">
        <f t="shared" ca="1" si="56"/>
        <v>0</v>
      </c>
      <c r="AP17" s="73">
        <f t="shared" ca="1" si="56"/>
        <v>0</v>
      </c>
      <c r="AQ17" s="73">
        <f t="shared" ca="1" si="56"/>
        <v>0</v>
      </c>
      <c r="AR17" s="73">
        <f t="shared" ca="1" si="56"/>
        <v>0</v>
      </c>
      <c r="AU17" s="247" t="str">
        <f>CONCATENATE(AB17," Test")</f>
        <v>1920x1080 Test</v>
      </c>
      <c r="AV17" s="73">
        <f t="shared" ca="1" si="57"/>
        <v>0</v>
      </c>
      <c r="AW17" s="73">
        <f t="shared" ca="1" si="57"/>
        <v>0</v>
      </c>
      <c r="AX17" s="73">
        <f t="shared" ca="1" si="57"/>
        <v>0</v>
      </c>
      <c r="AY17" s="73">
        <f t="shared" ca="1" si="57"/>
        <v>0</v>
      </c>
      <c r="AZ17" s="73">
        <f t="shared" ca="1" si="57"/>
        <v>0</v>
      </c>
      <c r="BA17" s="73">
        <f t="shared" ca="1" si="57"/>
        <v>0</v>
      </c>
      <c r="BB17" s="73">
        <f t="shared" ca="1" si="57"/>
        <v>0</v>
      </c>
      <c r="BC17" s="73">
        <f t="shared" ca="1" si="57"/>
        <v>0</v>
      </c>
      <c r="BD17" s="73">
        <f t="shared" ca="1" si="57"/>
        <v>0</v>
      </c>
      <c r="BE17" s="73">
        <f t="shared" ca="1" si="57"/>
        <v>0</v>
      </c>
      <c r="BF17" s="73">
        <f t="shared" ca="1" si="57"/>
        <v>0</v>
      </c>
      <c r="BG17" s="73">
        <f t="shared" ca="1" si="57"/>
        <v>0</v>
      </c>
      <c r="BH17" s="73">
        <f t="shared" ca="1" si="57"/>
        <v>0</v>
      </c>
      <c r="BI17" s="73">
        <f t="shared" ca="1" si="57"/>
        <v>0</v>
      </c>
      <c r="BM17" s="73" t="e">
        <f t="shared" ca="1" si="28"/>
        <v>#VALUE!</v>
      </c>
      <c r="BN17" s="73" t="str">
        <f t="shared" ca="1" si="29"/>
        <v/>
      </c>
      <c r="BO17" s="73" t="str">
        <f t="shared" ca="1" si="30"/>
        <v/>
      </c>
      <c r="BP17" s="73" t="str">
        <f t="shared" ca="1" si="31"/>
        <v/>
      </c>
      <c r="BQ17" s="73" t="str">
        <f t="shared" ca="1" si="32"/>
        <v/>
      </c>
      <c r="BR17" s="73" t="str">
        <f t="shared" ca="1" si="33"/>
        <v/>
      </c>
      <c r="BS17" s="73" t="str">
        <f t="shared" ca="1" si="34"/>
        <v/>
      </c>
      <c r="BT17" s="73" t="str">
        <f t="shared" ca="1" si="35"/>
        <v/>
      </c>
      <c r="BU17" s="73" t="str">
        <f t="shared" ca="1" si="36"/>
        <v/>
      </c>
      <c r="BV17" s="73" t="str">
        <f t="shared" ca="1" si="37"/>
        <v/>
      </c>
      <c r="BW17" s="73" t="str">
        <f t="shared" ca="1" si="38"/>
        <v/>
      </c>
      <c r="BX17" s="73" t="str">
        <f t="shared" ca="1" si="39"/>
        <v/>
      </c>
      <c r="BY17" s="73" t="str">
        <f t="shared" ca="1" si="40"/>
        <v/>
      </c>
      <c r="BZ17" s="73" t="str">
        <f t="shared" ca="1" si="41"/>
        <v/>
      </c>
      <c r="CD17" s="73" t="e">
        <f t="shared" ca="1" si="42"/>
        <v>#VALUE!</v>
      </c>
      <c r="CE17" s="73" t="str">
        <f t="shared" ca="1" si="43"/>
        <v/>
      </c>
      <c r="CF17" s="73" t="str">
        <f t="shared" ca="1" si="44"/>
        <v/>
      </c>
      <c r="CG17" s="73" t="str">
        <f t="shared" ca="1" si="45"/>
        <v/>
      </c>
      <c r="CH17" s="73" t="str">
        <f t="shared" ca="1" si="46"/>
        <v/>
      </c>
      <c r="CI17" s="73" t="str">
        <f t="shared" ca="1" si="47"/>
        <v/>
      </c>
      <c r="CJ17" s="73" t="str">
        <f t="shared" ca="1" si="48"/>
        <v/>
      </c>
      <c r="CK17" s="73" t="str">
        <f t="shared" ca="1" si="49"/>
        <v/>
      </c>
      <c r="CL17" s="73" t="str">
        <f t="shared" ca="1" si="50"/>
        <v/>
      </c>
      <c r="CM17" s="73" t="str">
        <f t="shared" ca="1" si="51"/>
        <v/>
      </c>
      <c r="CN17" s="73" t="str">
        <f t="shared" ca="1" si="52"/>
        <v/>
      </c>
      <c r="CO17" s="73" t="str">
        <f t="shared" ca="1" si="53"/>
        <v/>
      </c>
      <c r="CP17" s="73" t="str">
        <f t="shared" ca="1" si="54"/>
        <v/>
      </c>
      <c r="CQ17" s="73" t="str">
        <f t="shared" ca="1" si="55"/>
        <v/>
      </c>
    </row>
    <row r="18" spans="27:95" x14ac:dyDescent="0.2">
      <c r="AA18" s="72"/>
      <c r="AB18" s="249"/>
      <c r="AC18" s="247"/>
      <c r="AD18">
        <v>18</v>
      </c>
      <c r="AE18" s="73">
        <f t="shared" ca="1" si="56"/>
        <v>0</v>
      </c>
      <c r="AF18" s="73">
        <f t="shared" ca="1" si="56"/>
        <v>0</v>
      </c>
      <c r="AG18" s="73">
        <f t="shared" ca="1" si="56"/>
        <v>0</v>
      </c>
      <c r="AH18" s="73">
        <f t="shared" ca="1" si="56"/>
        <v>0</v>
      </c>
      <c r="AI18" s="73">
        <f t="shared" ca="1" si="56"/>
        <v>0</v>
      </c>
      <c r="AJ18" s="73">
        <f t="shared" ca="1" si="56"/>
        <v>0</v>
      </c>
      <c r="AK18" s="73">
        <f t="shared" ca="1" si="56"/>
        <v>0</v>
      </c>
      <c r="AL18" s="73">
        <f t="shared" ca="1" si="56"/>
        <v>0</v>
      </c>
      <c r="AM18" s="73">
        <f t="shared" ca="1" si="56"/>
        <v>0</v>
      </c>
      <c r="AN18" s="73">
        <f t="shared" ca="1" si="56"/>
        <v>0</v>
      </c>
      <c r="AO18" s="73">
        <f t="shared" ca="1" si="56"/>
        <v>0</v>
      </c>
      <c r="AP18" s="73">
        <f t="shared" ca="1" si="56"/>
        <v>0</v>
      </c>
      <c r="AQ18" s="73">
        <f t="shared" ca="1" si="56"/>
        <v>0</v>
      </c>
      <c r="AR18" s="73">
        <f t="shared" ca="1" si="56"/>
        <v>0</v>
      </c>
      <c r="AU18" s="247"/>
      <c r="AV18" s="73">
        <f t="shared" ca="1" si="57"/>
        <v>0</v>
      </c>
      <c r="AW18" s="73">
        <f t="shared" ca="1" si="57"/>
        <v>0</v>
      </c>
      <c r="AX18" s="73">
        <f t="shared" ca="1" si="57"/>
        <v>0</v>
      </c>
      <c r="AY18" s="73">
        <f t="shared" ca="1" si="57"/>
        <v>0</v>
      </c>
      <c r="AZ18" s="73">
        <f t="shared" ca="1" si="57"/>
        <v>0</v>
      </c>
      <c r="BA18" s="73">
        <f t="shared" ca="1" si="57"/>
        <v>0</v>
      </c>
      <c r="BB18" s="73">
        <f t="shared" ca="1" si="57"/>
        <v>0</v>
      </c>
      <c r="BC18" s="73">
        <f t="shared" ca="1" si="57"/>
        <v>0</v>
      </c>
      <c r="BD18" s="73">
        <f t="shared" ca="1" si="57"/>
        <v>0</v>
      </c>
      <c r="BE18" s="73">
        <f t="shared" ca="1" si="57"/>
        <v>0</v>
      </c>
      <c r="BF18" s="73">
        <f t="shared" ca="1" si="57"/>
        <v>0</v>
      </c>
      <c r="BG18" s="73">
        <f t="shared" ca="1" si="57"/>
        <v>0</v>
      </c>
      <c r="BH18" s="73">
        <f t="shared" ca="1" si="57"/>
        <v>0</v>
      </c>
      <c r="BI18" s="73">
        <f t="shared" ca="1" si="57"/>
        <v>0</v>
      </c>
      <c r="BM18" s="73" t="e">
        <f t="shared" ca="1" si="28"/>
        <v>#VALUE!</v>
      </c>
      <c r="BN18" s="73" t="str">
        <f t="shared" ca="1" si="29"/>
        <v/>
      </c>
      <c r="BO18" s="73" t="str">
        <f t="shared" ca="1" si="30"/>
        <v/>
      </c>
      <c r="BP18" s="73" t="str">
        <f t="shared" ca="1" si="31"/>
        <v/>
      </c>
      <c r="BQ18" s="73" t="str">
        <f t="shared" ca="1" si="32"/>
        <v/>
      </c>
      <c r="BR18" s="73" t="str">
        <f t="shared" ca="1" si="33"/>
        <v/>
      </c>
      <c r="BS18" s="73" t="str">
        <f t="shared" ca="1" si="34"/>
        <v/>
      </c>
      <c r="BT18" s="73" t="str">
        <f t="shared" ca="1" si="35"/>
        <v/>
      </c>
      <c r="BU18" s="73" t="str">
        <f t="shared" ca="1" si="36"/>
        <v/>
      </c>
      <c r="BV18" s="73" t="str">
        <f t="shared" ca="1" si="37"/>
        <v/>
      </c>
      <c r="BW18" s="73" t="str">
        <f t="shared" ca="1" si="38"/>
        <v/>
      </c>
      <c r="BX18" s="73" t="str">
        <f t="shared" ca="1" si="39"/>
        <v/>
      </c>
      <c r="BY18" s="73" t="str">
        <f t="shared" ca="1" si="40"/>
        <v/>
      </c>
      <c r="BZ18" s="73" t="str">
        <f t="shared" ca="1" si="41"/>
        <v/>
      </c>
      <c r="CD18" s="73" t="e">
        <f t="shared" ca="1" si="42"/>
        <v>#VALUE!</v>
      </c>
      <c r="CE18" s="73" t="str">
        <f t="shared" ca="1" si="43"/>
        <v/>
      </c>
      <c r="CF18" s="73" t="str">
        <f t="shared" ca="1" si="44"/>
        <v/>
      </c>
      <c r="CG18" s="73" t="str">
        <f t="shared" ca="1" si="45"/>
        <v/>
      </c>
      <c r="CH18" s="73" t="str">
        <f t="shared" ca="1" si="46"/>
        <v/>
      </c>
      <c r="CI18" s="73" t="str">
        <f t="shared" ca="1" si="47"/>
        <v/>
      </c>
      <c r="CJ18" s="73" t="str">
        <f t="shared" ca="1" si="48"/>
        <v/>
      </c>
      <c r="CK18" s="73" t="str">
        <f t="shared" ca="1" si="49"/>
        <v/>
      </c>
      <c r="CL18" s="73" t="str">
        <f t="shared" ca="1" si="50"/>
        <v/>
      </c>
      <c r="CM18" s="73" t="str">
        <f t="shared" ca="1" si="51"/>
        <v/>
      </c>
      <c r="CN18" s="73" t="str">
        <f t="shared" ca="1" si="52"/>
        <v/>
      </c>
      <c r="CO18" s="73" t="str">
        <f t="shared" ca="1" si="53"/>
        <v/>
      </c>
      <c r="CP18" s="73" t="str">
        <f t="shared" ca="1" si="54"/>
        <v/>
      </c>
      <c r="CQ18" s="73" t="str">
        <f t="shared" ca="1" si="55"/>
        <v/>
      </c>
    </row>
    <row r="19" spans="27:95" x14ac:dyDescent="0.2">
      <c r="AA19" s="72"/>
      <c r="AB19" s="249"/>
      <c r="AC19" s="247"/>
      <c r="AD19">
        <v>19</v>
      </c>
      <c r="AE19" s="73">
        <f t="shared" ca="1" si="56"/>
        <v>0</v>
      </c>
      <c r="AF19" s="73">
        <f t="shared" ca="1" si="56"/>
        <v>0</v>
      </c>
      <c r="AG19" s="73">
        <f t="shared" ca="1" si="56"/>
        <v>0</v>
      </c>
      <c r="AH19" s="73">
        <f t="shared" ca="1" si="56"/>
        <v>0</v>
      </c>
      <c r="AI19" s="73">
        <f t="shared" ca="1" si="56"/>
        <v>0</v>
      </c>
      <c r="AJ19" s="73">
        <f t="shared" ca="1" si="56"/>
        <v>0</v>
      </c>
      <c r="AK19" s="73">
        <f t="shared" ca="1" si="56"/>
        <v>0</v>
      </c>
      <c r="AL19" s="73">
        <f t="shared" ca="1" si="56"/>
        <v>0</v>
      </c>
      <c r="AM19" s="73">
        <f t="shared" ca="1" si="56"/>
        <v>0</v>
      </c>
      <c r="AN19" s="73">
        <f t="shared" ca="1" si="56"/>
        <v>0</v>
      </c>
      <c r="AO19" s="73">
        <f t="shared" ca="1" si="56"/>
        <v>0</v>
      </c>
      <c r="AP19" s="73">
        <f t="shared" ca="1" si="56"/>
        <v>0</v>
      </c>
      <c r="AQ19" s="73">
        <f t="shared" ca="1" si="56"/>
        <v>0</v>
      </c>
      <c r="AR19" s="73">
        <f t="shared" ca="1" si="56"/>
        <v>0</v>
      </c>
      <c r="AU19" s="247"/>
      <c r="AV19" s="73">
        <f t="shared" ca="1" si="57"/>
        <v>0</v>
      </c>
      <c r="AW19" s="73">
        <f t="shared" ca="1" si="57"/>
        <v>0</v>
      </c>
      <c r="AX19" s="73">
        <f t="shared" ca="1" si="57"/>
        <v>0</v>
      </c>
      <c r="AY19" s="73">
        <f t="shared" ca="1" si="57"/>
        <v>0</v>
      </c>
      <c r="AZ19" s="73">
        <f t="shared" ca="1" si="57"/>
        <v>0</v>
      </c>
      <c r="BA19" s="73">
        <f t="shared" ca="1" si="57"/>
        <v>0</v>
      </c>
      <c r="BB19" s="73">
        <f t="shared" ca="1" si="57"/>
        <v>0</v>
      </c>
      <c r="BC19" s="73">
        <f t="shared" ca="1" si="57"/>
        <v>0</v>
      </c>
      <c r="BD19" s="73">
        <f t="shared" ca="1" si="57"/>
        <v>0</v>
      </c>
      <c r="BE19" s="73">
        <f t="shared" ca="1" si="57"/>
        <v>0</v>
      </c>
      <c r="BF19" s="73">
        <f t="shared" ca="1" si="57"/>
        <v>0</v>
      </c>
      <c r="BG19" s="73">
        <f t="shared" ca="1" si="57"/>
        <v>0</v>
      </c>
      <c r="BH19" s="73">
        <f t="shared" ca="1" si="57"/>
        <v>0</v>
      </c>
      <c r="BI19" s="73">
        <f t="shared" ca="1" si="57"/>
        <v>0</v>
      </c>
      <c r="BM19" s="73" t="e">
        <f t="shared" ca="1" si="28"/>
        <v>#VALUE!</v>
      </c>
      <c r="BN19" s="73" t="str">
        <f t="shared" ca="1" si="29"/>
        <v/>
      </c>
      <c r="BO19" s="73" t="str">
        <f t="shared" ca="1" si="30"/>
        <v/>
      </c>
      <c r="BP19" s="73" t="str">
        <f t="shared" ca="1" si="31"/>
        <v/>
      </c>
      <c r="BQ19" s="73" t="str">
        <f t="shared" ca="1" si="32"/>
        <v/>
      </c>
      <c r="BR19" s="73" t="str">
        <f t="shared" ca="1" si="33"/>
        <v/>
      </c>
      <c r="BS19" s="73" t="str">
        <f t="shared" ca="1" si="34"/>
        <v/>
      </c>
      <c r="BT19" s="73" t="str">
        <f t="shared" ca="1" si="35"/>
        <v/>
      </c>
      <c r="BU19" s="73" t="str">
        <f t="shared" ca="1" si="36"/>
        <v/>
      </c>
      <c r="BV19" s="73" t="str">
        <f t="shared" ca="1" si="37"/>
        <v/>
      </c>
      <c r="BW19" s="73" t="str">
        <f t="shared" ca="1" si="38"/>
        <v/>
      </c>
      <c r="BX19" s="73" t="str">
        <f t="shared" ca="1" si="39"/>
        <v/>
      </c>
      <c r="BY19" s="73" t="str">
        <f t="shared" ca="1" si="40"/>
        <v/>
      </c>
      <c r="BZ19" s="73" t="str">
        <f t="shared" ca="1" si="41"/>
        <v/>
      </c>
      <c r="CD19" s="73" t="e">
        <f t="shared" ca="1" si="42"/>
        <v>#VALUE!</v>
      </c>
      <c r="CE19" s="73" t="str">
        <f t="shared" ca="1" si="43"/>
        <v/>
      </c>
      <c r="CF19" s="73" t="str">
        <f t="shared" ca="1" si="44"/>
        <v/>
      </c>
      <c r="CG19" s="73" t="str">
        <f t="shared" ca="1" si="45"/>
        <v/>
      </c>
      <c r="CH19" s="73" t="str">
        <f t="shared" ca="1" si="46"/>
        <v/>
      </c>
      <c r="CI19" s="73" t="str">
        <f t="shared" ca="1" si="47"/>
        <v/>
      </c>
      <c r="CJ19" s="73" t="str">
        <f t="shared" ca="1" si="48"/>
        <v/>
      </c>
      <c r="CK19" s="73" t="str">
        <f t="shared" ca="1" si="49"/>
        <v/>
      </c>
      <c r="CL19" s="73" t="str">
        <f t="shared" ca="1" si="50"/>
        <v/>
      </c>
      <c r="CM19" s="73" t="str">
        <f t="shared" ca="1" si="51"/>
        <v/>
      </c>
      <c r="CN19" s="73" t="str">
        <f t="shared" ca="1" si="52"/>
        <v/>
      </c>
      <c r="CO19" s="73" t="str">
        <f t="shared" ca="1" si="53"/>
        <v/>
      </c>
      <c r="CP19" s="73" t="str">
        <f t="shared" ca="1" si="54"/>
        <v/>
      </c>
      <c r="CQ19" s="73" t="str">
        <f t="shared" ca="1" si="55"/>
        <v/>
      </c>
    </row>
    <row r="20" spans="27:95" x14ac:dyDescent="0.2">
      <c r="AA20" s="72"/>
      <c r="AB20" s="249"/>
      <c r="AC20" s="247"/>
      <c r="AD20">
        <v>20</v>
      </c>
      <c r="AE20" s="73">
        <f t="shared" ca="1" si="56"/>
        <v>0</v>
      </c>
      <c r="AF20" s="73">
        <f t="shared" ca="1" si="56"/>
        <v>0</v>
      </c>
      <c r="AG20" s="73">
        <f t="shared" ca="1" si="56"/>
        <v>0</v>
      </c>
      <c r="AH20" s="73">
        <f t="shared" ca="1" si="56"/>
        <v>0</v>
      </c>
      <c r="AI20" s="73">
        <f t="shared" ca="1" si="56"/>
        <v>0</v>
      </c>
      <c r="AJ20" s="73">
        <f t="shared" ca="1" si="56"/>
        <v>0</v>
      </c>
      <c r="AK20" s="73">
        <f t="shared" ca="1" si="56"/>
        <v>0</v>
      </c>
      <c r="AL20" s="73">
        <f t="shared" ca="1" si="56"/>
        <v>0</v>
      </c>
      <c r="AM20" s="73">
        <f t="shared" ca="1" si="56"/>
        <v>0</v>
      </c>
      <c r="AN20" s="73">
        <f t="shared" ca="1" si="56"/>
        <v>0</v>
      </c>
      <c r="AO20" s="73">
        <f t="shared" ca="1" si="56"/>
        <v>0</v>
      </c>
      <c r="AP20" s="73">
        <f t="shared" ca="1" si="56"/>
        <v>0</v>
      </c>
      <c r="AQ20" s="73">
        <f t="shared" ca="1" si="56"/>
        <v>0</v>
      </c>
      <c r="AR20" s="73">
        <f t="shared" ca="1" si="56"/>
        <v>0</v>
      </c>
      <c r="AU20" s="247"/>
      <c r="AV20" s="73">
        <f t="shared" ca="1" si="57"/>
        <v>0</v>
      </c>
      <c r="AW20" s="73">
        <f t="shared" ca="1" si="57"/>
        <v>0</v>
      </c>
      <c r="AX20" s="73">
        <f t="shared" ca="1" si="57"/>
        <v>0</v>
      </c>
      <c r="AY20" s="73">
        <f t="shared" ca="1" si="57"/>
        <v>0</v>
      </c>
      <c r="AZ20" s="73">
        <f t="shared" ca="1" si="57"/>
        <v>0</v>
      </c>
      <c r="BA20" s="73">
        <f t="shared" ca="1" si="57"/>
        <v>0</v>
      </c>
      <c r="BB20" s="73">
        <f t="shared" ca="1" si="57"/>
        <v>0</v>
      </c>
      <c r="BC20" s="73">
        <f t="shared" ca="1" si="57"/>
        <v>0</v>
      </c>
      <c r="BD20" s="73">
        <f t="shared" ca="1" si="57"/>
        <v>0</v>
      </c>
      <c r="BE20" s="73">
        <f t="shared" ca="1" si="57"/>
        <v>0</v>
      </c>
      <c r="BF20" s="73">
        <f t="shared" ca="1" si="57"/>
        <v>0</v>
      </c>
      <c r="BG20" s="73">
        <f t="shared" ca="1" si="57"/>
        <v>0</v>
      </c>
      <c r="BH20" s="73">
        <f t="shared" ca="1" si="57"/>
        <v>0</v>
      </c>
      <c r="BI20" s="73">
        <f t="shared" ca="1" si="57"/>
        <v>0</v>
      </c>
      <c r="BM20" s="73" t="e">
        <f t="shared" ca="1" si="28"/>
        <v>#VALUE!</v>
      </c>
      <c r="BN20" s="73" t="str">
        <f t="shared" ca="1" si="29"/>
        <v/>
      </c>
      <c r="BO20" s="73" t="str">
        <f t="shared" ca="1" si="30"/>
        <v/>
      </c>
      <c r="BP20" s="73" t="str">
        <f t="shared" ca="1" si="31"/>
        <v/>
      </c>
      <c r="BQ20" s="73" t="str">
        <f t="shared" ca="1" si="32"/>
        <v/>
      </c>
      <c r="BR20" s="73" t="str">
        <f t="shared" ca="1" si="33"/>
        <v/>
      </c>
      <c r="BS20" s="73" t="str">
        <f t="shared" ca="1" si="34"/>
        <v/>
      </c>
      <c r="BT20" s="73" t="str">
        <f t="shared" ca="1" si="35"/>
        <v/>
      </c>
      <c r="BU20" s="73" t="str">
        <f t="shared" ca="1" si="36"/>
        <v/>
      </c>
      <c r="BV20" s="73" t="str">
        <f t="shared" ca="1" si="37"/>
        <v/>
      </c>
      <c r="BW20" s="73" t="str">
        <f t="shared" ca="1" si="38"/>
        <v/>
      </c>
      <c r="BX20" s="73" t="str">
        <f t="shared" ca="1" si="39"/>
        <v/>
      </c>
      <c r="BY20" s="73" t="str">
        <f t="shared" ca="1" si="40"/>
        <v/>
      </c>
      <c r="BZ20" s="73" t="str">
        <f t="shared" ca="1" si="41"/>
        <v/>
      </c>
      <c r="CD20" s="73" t="e">
        <f t="shared" ca="1" si="42"/>
        <v>#VALUE!</v>
      </c>
      <c r="CE20" s="73" t="str">
        <f t="shared" ca="1" si="43"/>
        <v/>
      </c>
      <c r="CF20" s="73" t="str">
        <f t="shared" ca="1" si="44"/>
        <v/>
      </c>
      <c r="CG20" s="73" t="str">
        <f t="shared" ca="1" si="45"/>
        <v/>
      </c>
      <c r="CH20" s="73" t="str">
        <f t="shared" ca="1" si="46"/>
        <v/>
      </c>
      <c r="CI20" s="73" t="str">
        <f t="shared" ca="1" si="47"/>
        <v/>
      </c>
      <c r="CJ20" s="73" t="str">
        <f t="shared" ca="1" si="48"/>
        <v/>
      </c>
      <c r="CK20" s="73" t="str">
        <f t="shared" ca="1" si="49"/>
        <v/>
      </c>
      <c r="CL20" s="73" t="str">
        <f t="shared" ca="1" si="50"/>
        <v/>
      </c>
      <c r="CM20" s="73" t="str">
        <f t="shared" ca="1" si="51"/>
        <v/>
      </c>
      <c r="CN20" s="73" t="str">
        <f t="shared" ca="1" si="52"/>
        <v/>
      </c>
      <c r="CO20" s="73" t="str">
        <f t="shared" ca="1" si="53"/>
        <v/>
      </c>
      <c r="CP20" s="73" t="str">
        <f t="shared" ca="1" si="54"/>
        <v/>
      </c>
      <c r="CQ20" s="73" t="str">
        <f t="shared" ca="1" si="55"/>
        <v/>
      </c>
    </row>
    <row r="21" spans="27:95" x14ac:dyDescent="0.2">
      <c r="AA21" s="72"/>
      <c r="AB21" s="249"/>
      <c r="AC21" s="247"/>
      <c r="AD21">
        <v>21</v>
      </c>
      <c r="AE21" s="73">
        <f t="shared" ca="1" si="56"/>
        <v>0</v>
      </c>
      <c r="AF21" s="73">
        <f t="shared" ca="1" si="56"/>
        <v>0</v>
      </c>
      <c r="AG21" s="73">
        <f t="shared" ca="1" si="56"/>
        <v>0</v>
      </c>
      <c r="AH21" s="73">
        <f t="shared" ca="1" si="56"/>
        <v>0</v>
      </c>
      <c r="AI21" s="73">
        <f t="shared" ca="1" si="56"/>
        <v>0</v>
      </c>
      <c r="AJ21" s="73">
        <f t="shared" ca="1" si="56"/>
        <v>0</v>
      </c>
      <c r="AK21" s="73">
        <f t="shared" ca="1" si="56"/>
        <v>0</v>
      </c>
      <c r="AL21" s="73">
        <f t="shared" ca="1" si="56"/>
        <v>0</v>
      </c>
      <c r="AM21" s="73">
        <f t="shared" ca="1" si="56"/>
        <v>0</v>
      </c>
      <c r="AN21" s="73">
        <f t="shared" ca="1" si="56"/>
        <v>0</v>
      </c>
      <c r="AO21" s="73">
        <f t="shared" ca="1" si="56"/>
        <v>0</v>
      </c>
      <c r="AP21" s="73">
        <f t="shared" ca="1" si="56"/>
        <v>0</v>
      </c>
      <c r="AQ21" s="73">
        <f t="shared" ca="1" si="56"/>
        <v>0</v>
      </c>
      <c r="AR21" s="73">
        <f t="shared" ca="1" si="56"/>
        <v>0</v>
      </c>
      <c r="AU21" s="247"/>
      <c r="AV21" s="73">
        <f t="shared" ca="1" si="57"/>
        <v>0</v>
      </c>
      <c r="AW21" s="73">
        <f t="shared" ca="1" si="57"/>
        <v>0</v>
      </c>
      <c r="AX21" s="73">
        <f t="shared" ca="1" si="57"/>
        <v>0</v>
      </c>
      <c r="AY21" s="73">
        <f t="shared" ca="1" si="57"/>
        <v>0</v>
      </c>
      <c r="AZ21" s="73">
        <f t="shared" ca="1" si="57"/>
        <v>0</v>
      </c>
      <c r="BA21" s="73">
        <f t="shared" ca="1" si="57"/>
        <v>0</v>
      </c>
      <c r="BB21" s="73">
        <f t="shared" ca="1" si="57"/>
        <v>0</v>
      </c>
      <c r="BC21" s="73">
        <f t="shared" ca="1" si="57"/>
        <v>0</v>
      </c>
      <c r="BD21" s="73">
        <f t="shared" ca="1" si="57"/>
        <v>0</v>
      </c>
      <c r="BE21" s="73">
        <f t="shared" ca="1" si="57"/>
        <v>0</v>
      </c>
      <c r="BF21" s="73">
        <f t="shared" ca="1" si="57"/>
        <v>0</v>
      </c>
      <c r="BG21" s="73">
        <f t="shared" ca="1" si="57"/>
        <v>0</v>
      </c>
      <c r="BH21" s="73">
        <f t="shared" ca="1" si="57"/>
        <v>0</v>
      </c>
      <c r="BI21" s="73">
        <f t="shared" ca="1" si="57"/>
        <v>0</v>
      </c>
      <c r="BM21" s="73" t="e">
        <f t="shared" ca="1" si="28"/>
        <v>#VALUE!</v>
      </c>
      <c r="BN21" s="73" t="str">
        <f t="shared" ca="1" si="29"/>
        <v/>
      </c>
      <c r="BO21" s="73" t="str">
        <f t="shared" ca="1" si="30"/>
        <v/>
      </c>
      <c r="BP21" s="73" t="str">
        <f t="shared" ca="1" si="31"/>
        <v/>
      </c>
      <c r="BQ21" s="73" t="str">
        <f t="shared" ca="1" si="32"/>
        <v/>
      </c>
      <c r="BR21" s="73" t="str">
        <f t="shared" ca="1" si="33"/>
        <v/>
      </c>
      <c r="BS21" s="73" t="str">
        <f t="shared" ca="1" si="34"/>
        <v/>
      </c>
      <c r="BT21" s="73" t="str">
        <f t="shared" ca="1" si="35"/>
        <v/>
      </c>
      <c r="BU21" s="73" t="str">
        <f t="shared" ca="1" si="36"/>
        <v/>
      </c>
      <c r="BV21" s="73" t="str">
        <f t="shared" ca="1" si="37"/>
        <v/>
      </c>
      <c r="BW21" s="73" t="str">
        <f t="shared" ca="1" si="38"/>
        <v/>
      </c>
      <c r="BX21" s="73" t="str">
        <f t="shared" ca="1" si="39"/>
        <v/>
      </c>
      <c r="BY21" s="73" t="str">
        <f t="shared" ca="1" si="40"/>
        <v/>
      </c>
      <c r="BZ21" s="73" t="str">
        <f t="shared" ca="1" si="41"/>
        <v/>
      </c>
      <c r="CD21" s="73" t="e">
        <f t="shared" ca="1" si="42"/>
        <v>#VALUE!</v>
      </c>
      <c r="CE21" s="73" t="str">
        <f t="shared" ca="1" si="43"/>
        <v/>
      </c>
      <c r="CF21" s="73" t="str">
        <f t="shared" ca="1" si="44"/>
        <v/>
      </c>
      <c r="CG21" s="73" t="str">
        <f t="shared" ca="1" si="45"/>
        <v/>
      </c>
      <c r="CH21" s="73" t="str">
        <f t="shared" ca="1" si="46"/>
        <v/>
      </c>
      <c r="CI21" s="73" t="str">
        <f t="shared" ca="1" si="47"/>
        <v/>
      </c>
      <c r="CJ21" s="73" t="str">
        <f t="shared" ca="1" si="48"/>
        <v/>
      </c>
      <c r="CK21" s="73" t="str">
        <f t="shared" ca="1" si="49"/>
        <v/>
      </c>
      <c r="CL21" s="73" t="str">
        <f t="shared" ca="1" si="50"/>
        <v/>
      </c>
      <c r="CM21" s="73" t="str">
        <f t="shared" ca="1" si="51"/>
        <v/>
      </c>
      <c r="CN21" s="73" t="str">
        <f t="shared" ca="1" si="52"/>
        <v/>
      </c>
      <c r="CO21" s="73" t="str">
        <f t="shared" ca="1" si="53"/>
        <v/>
      </c>
      <c r="CP21" s="73" t="str">
        <f t="shared" ca="1" si="54"/>
        <v/>
      </c>
      <c r="CQ21" s="73" t="str">
        <f t="shared" ca="1" si="55"/>
        <v/>
      </c>
    </row>
    <row r="22" spans="27:95" x14ac:dyDescent="0.2">
      <c r="AA22" s="72"/>
      <c r="AB22" s="249"/>
      <c r="AC22" s="247"/>
      <c r="AD22">
        <v>22</v>
      </c>
      <c r="AE22" s="73">
        <f t="shared" ca="1" si="56"/>
        <v>0</v>
      </c>
      <c r="AF22" s="73">
        <f t="shared" ca="1" si="56"/>
        <v>0</v>
      </c>
      <c r="AG22" s="73">
        <f t="shared" ca="1" si="56"/>
        <v>0</v>
      </c>
      <c r="AH22" s="73">
        <f t="shared" ca="1" si="56"/>
        <v>0</v>
      </c>
      <c r="AI22" s="73">
        <f t="shared" ca="1" si="56"/>
        <v>0</v>
      </c>
      <c r="AJ22" s="73">
        <f t="shared" ca="1" si="56"/>
        <v>0</v>
      </c>
      <c r="AK22" s="73">
        <f t="shared" ca="1" si="56"/>
        <v>0</v>
      </c>
      <c r="AL22" s="73">
        <f t="shared" ca="1" si="56"/>
        <v>0</v>
      </c>
      <c r="AM22" s="73">
        <f t="shared" ca="1" si="56"/>
        <v>0</v>
      </c>
      <c r="AN22" s="73">
        <f t="shared" ca="1" si="56"/>
        <v>0</v>
      </c>
      <c r="AO22" s="73">
        <f t="shared" ca="1" si="56"/>
        <v>0</v>
      </c>
      <c r="AP22" s="73">
        <f t="shared" ca="1" si="56"/>
        <v>0</v>
      </c>
      <c r="AQ22" s="73">
        <f t="shared" ca="1" si="56"/>
        <v>0</v>
      </c>
      <c r="AR22" s="73">
        <f t="shared" ca="1" si="56"/>
        <v>0</v>
      </c>
      <c r="AU22" s="247"/>
      <c r="AV22" s="73">
        <f t="shared" ca="1" si="57"/>
        <v>0</v>
      </c>
      <c r="AW22" s="73">
        <f t="shared" ca="1" si="57"/>
        <v>0</v>
      </c>
      <c r="AX22" s="73">
        <f t="shared" ca="1" si="57"/>
        <v>0</v>
      </c>
      <c r="AY22" s="73">
        <f t="shared" ca="1" si="57"/>
        <v>0</v>
      </c>
      <c r="AZ22" s="73">
        <f t="shared" ca="1" si="57"/>
        <v>0</v>
      </c>
      <c r="BA22" s="73">
        <f t="shared" ca="1" si="57"/>
        <v>0</v>
      </c>
      <c r="BB22" s="73">
        <f t="shared" ca="1" si="57"/>
        <v>0</v>
      </c>
      <c r="BC22" s="73">
        <f t="shared" ca="1" si="57"/>
        <v>0</v>
      </c>
      <c r="BD22" s="73">
        <f t="shared" ca="1" si="57"/>
        <v>0</v>
      </c>
      <c r="BE22" s="73">
        <f t="shared" ca="1" si="57"/>
        <v>0</v>
      </c>
      <c r="BF22" s="73">
        <f t="shared" ca="1" si="57"/>
        <v>0</v>
      </c>
      <c r="BG22" s="73">
        <f t="shared" ca="1" si="57"/>
        <v>0</v>
      </c>
      <c r="BH22" s="73">
        <f t="shared" ca="1" si="57"/>
        <v>0</v>
      </c>
      <c r="BI22" s="73">
        <f t="shared" ca="1" si="57"/>
        <v>0</v>
      </c>
      <c r="BM22" s="73" t="e">
        <f t="shared" ca="1" si="28"/>
        <v>#VALUE!</v>
      </c>
      <c r="BN22" s="73" t="str">
        <f t="shared" ca="1" si="29"/>
        <v/>
      </c>
      <c r="BO22" s="73" t="str">
        <f t="shared" ca="1" si="30"/>
        <v/>
      </c>
      <c r="BP22" s="73" t="str">
        <f t="shared" ca="1" si="31"/>
        <v/>
      </c>
      <c r="BQ22" s="73" t="str">
        <f t="shared" ca="1" si="32"/>
        <v/>
      </c>
      <c r="BR22" s="73" t="str">
        <f t="shared" ca="1" si="33"/>
        <v/>
      </c>
      <c r="BS22" s="73" t="str">
        <f t="shared" ca="1" si="34"/>
        <v/>
      </c>
      <c r="BT22" s="73" t="str">
        <f t="shared" ca="1" si="35"/>
        <v/>
      </c>
      <c r="BU22" s="73" t="str">
        <f t="shared" ca="1" si="36"/>
        <v/>
      </c>
      <c r="BV22" s="73" t="str">
        <f t="shared" ca="1" si="37"/>
        <v/>
      </c>
      <c r="BW22" s="73" t="str">
        <f t="shared" ca="1" si="38"/>
        <v/>
      </c>
      <c r="BX22" s="73" t="str">
        <f t="shared" ca="1" si="39"/>
        <v/>
      </c>
      <c r="BY22" s="73" t="str">
        <f t="shared" ca="1" si="40"/>
        <v/>
      </c>
      <c r="BZ22" s="73" t="str">
        <f t="shared" ca="1" si="41"/>
        <v/>
      </c>
      <c r="CD22" s="73" t="e">
        <f t="shared" ca="1" si="42"/>
        <v>#VALUE!</v>
      </c>
      <c r="CE22" s="73" t="str">
        <f t="shared" ca="1" si="43"/>
        <v/>
      </c>
      <c r="CF22" s="73" t="str">
        <f t="shared" ca="1" si="44"/>
        <v/>
      </c>
      <c r="CG22" s="73" t="str">
        <f t="shared" ca="1" si="45"/>
        <v/>
      </c>
      <c r="CH22" s="73" t="str">
        <f t="shared" ca="1" si="46"/>
        <v/>
      </c>
      <c r="CI22" s="73" t="str">
        <f t="shared" ca="1" si="47"/>
        <v/>
      </c>
      <c r="CJ22" s="73" t="str">
        <f t="shared" ca="1" si="48"/>
        <v/>
      </c>
      <c r="CK22" s="73" t="str">
        <f t="shared" ca="1" si="49"/>
        <v/>
      </c>
      <c r="CL22" s="73" t="str">
        <f t="shared" ca="1" si="50"/>
        <v/>
      </c>
      <c r="CM22" s="73" t="str">
        <f t="shared" ca="1" si="51"/>
        <v/>
      </c>
      <c r="CN22" s="73" t="str">
        <f t="shared" ca="1" si="52"/>
        <v/>
      </c>
      <c r="CO22" s="73" t="str">
        <f t="shared" ca="1" si="53"/>
        <v/>
      </c>
      <c r="CP22" s="73" t="str">
        <f t="shared" ca="1" si="54"/>
        <v/>
      </c>
      <c r="CQ22" s="73" t="str">
        <f t="shared" ca="1" si="55"/>
        <v/>
      </c>
    </row>
    <row r="23" spans="27:95" x14ac:dyDescent="0.2">
      <c r="AA23" s="72"/>
      <c r="AB23" s="250" t="s">
        <v>19</v>
      </c>
      <c r="AC23" s="247" t="str">
        <f>CONCATENATE(AB23," Reference")</f>
        <v>1280x720 Reference</v>
      </c>
      <c r="AD23">
        <v>23</v>
      </c>
      <c r="AE23" s="73">
        <f t="shared" ca="1" si="56"/>
        <v>0</v>
      </c>
      <c r="AF23" s="73">
        <f t="shared" ca="1" si="56"/>
        <v>0</v>
      </c>
      <c r="AG23" s="73">
        <f t="shared" ca="1" si="56"/>
        <v>0</v>
      </c>
      <c r="AH23" s="73">
        <f t="shared" ca="1" si="56"/>
        <v>0</v>
      </c>
      <c r="AI23" s="73">
        <f t="shared" ca="1" si="56"/>
        <v>0</v>
      </c>
      <c r="AJ23" s="73">
        <f t="shared" ca="1" si="56"/>
        <v>0</v>
      </c>
      <c r="AK23" s="73">
        <f t="shared" ca="1" si="56"/>
        <v>0</v>
      </c>
      <c r="AL23" s="73">
        <f t="shared" ca="1" si="56"/>
        <v>0</v>
      </c>
      <c r="AM23" s="73">
        <f t="shared" ca="1" si="56"/>
        <v>0</v>
      </c>
      <c r="AN23" s="73">
        <f t="shared" ca="1" si="56"/>
        <v>0</v>
      </c>
      <c r="AO23" s="73">
        <f t="shared" ca="1" si="56"/>
        <v>0</v>
      </c>
      <c r="AP23" s="73">
        <f t="shared" ca="1" si="56"/>
        <v>0</v>
      </c>
      <c r="AQ23" s="73">
        <f t="shared" ca="1" si="56"/>
        <v>0</v>
      </c>
      <c r="AR23" s="73">
        <f t="shared" ca="1" si="56"/>
        <v>0</v>
      </c>
      <c r="AU23" s="247" t="str">
        <f>CONCATENATE(AB23," Test")</f>
        <v>1280x720 Test</v>
      </c>
      <c r="AV23" s="73">
        <f t="shared" ca="1" si="57"/>
        <v>0</v>
      </c>
      <c r="AW23" s="73">
        <f t="shared" ca="1" si="57"/>
        <v>0</v>
      </c>
      <c r="AX23" s="73">
        <f t="shared" ca="1" si="57"/>
        <v>0</v>
      </c>
      <c r="AY23" s="73">
        <f t="shared" ca="1" si="57"/>
        <v>0</v>
      </c>
      <c r="AZ23" s="73">
        <f t="shared" ca="1" si="57"/>
        <v>0</v>
      </c>
      <c r="BA23" s="73">
        <f t="shared" ca="1" si="57"/>
        <v>0</v>
      </c>
      <c r="BB23" s="73">
        <f t="shared" ca="1" si="57"/>
        <v>0</v>
      </c>
      <c r="BC23" s="73">
        <f t="shared" ca="1" si="57"/>
        <v>0</v>
      </c>
      <c r="BD23" s="73">
        <f t="shared" ca="1" si="57"/>
        <v>0</v>
      </c>
      <c r="BE23" s="73">
        <f t="shared" ca="1" si="57"/>
        <v>0</v>
      </c>
      <c r="BF23" s="73">
        <f t="shared" ca="1" si="57"/>
        <v>0</v>
      </c>
      <c r="BG23" s="73">
        <f t="shared" ca="1" si="57"/>
        <v>0</v>
      </c>
      <c r="BH23" s="73">
        <f t="shared" ca="1" si="57"/>
        <v>0</v>
      </c>
      <c r="BI23" s="73">
        <f t="shared" ca="1" si="57"/>
        <v>0</v>
      </c>
      <c r="BM23" s="73" t="e">
        <f t="shared" ca="1" si="28"/>
        <v>#VALUE!</v>
      </c>
      <c r="BN23" s="73" t="str">
        <f t="shared" ca="1" si="29"/>
        <v/>
      </c>
      <c r="BO23" s="73" t="str">
        <f t="shared" ca="1" si="30"/>
        <v/>
      </c>
      <c r="BP23" s="73" t="str">
        <f t="shared" ca="1" si="31"/>
        <v/>
      </c>
      <c r="BQ23" s="73" t="str">
        <f t="shared" ca="1" si="32"/>
        <v/>
      </c>
      <c r="BR23" s="73" t="str">
        <f t="shared" ca="1" si="33"/>
        <v/>
      </c>
      <c r="BS23" s="73" t="str">
        <f t="shared" ca="1" si="34"/>
        <v/>
      </c>
      <c r="BT23" s="73" t="str">
        <f t="shared" ca="1" si="35"/>
        <v/>
      </c>
      <c r="BU23" s="73" t="str">
        <f t="shared" ca="1" si="36"/>
        <v/>
      </c>
      <c r="BV23" s="73" t="str">
        <f t="shared" ca="1" si="37"/>
        <v/>
      </c>
      <c r="BW23" s="73" t="str">
        <f t="shared" ca="1" si="38"/>
        <v/>
      </c>
      <c r="BX23" s="73" t="str">
        <f t="shared" ca="1" si="39"/>
        <v/>
      </c>
      <c r="BY23" s="73" t="str">
        <f t="shared" ca="1" si="40"/>
        <v/>
      </c>
      <c r="BZ23" s="73" t="str">
        <f t="shared" ca="1" si="41"/>
        <v/>
      </c>
      <c r="CD23" s="73" t="e">
        <f t="shared" ca="1" si="42"/>
        <v>#VALUE!</v>
      </c>
      <c r="CE23" s="73" t="str">
        <f t="shared" ca="1" si="43"/>
        <v/>
      </c>
      <c r="CF23" s="73" t="str">
        <f t="shared" ca="1" si="44"/>
        <v/>
      </c>
      <c r="CG23" s="73" t="str">
        <f t="shared" ca="1" si="45"/>
        <v/>
      </c>
      <c r="CH23" s="73" t="str">
        <f t="shared" ca="1" si="46"/>
        <v/>
      </c>
      <c r="CI23" s="73" t="str">
        <f t="shared" ca="1" si="47"/>
        <v/>
      </c>
      <c r="CJ23" s="73" t="str">
        <f t="shared" ca="1" si="48"/>
        <v/>
      </c>
      <c r="CK23" s="73" t="str">
        <f t="shared" ca="1" si="49"/>
        <v/>
      </c>
      <c r="CL23" s="73" t="str">
        <f t="shared" ca="1" si="50"/>
        <v/>
      </c>
      <c r="CM23" s="73" t="str">
        <f t="shared" ca="1" si="51"/>
        <v/>
      </c>
      <c r="CN23" s="73" t="str">
        <f t="shared" ca="1" si="52"/>
        <v/>
      </c>
      <c r="CO23" s="73" t="str">
        <f t="shared" ca="1" si="53"/>
        <v/>
      </c>
      <c r="CP23" s="73" t="str">
        <f t="shared" ca="1" si="54"/>
        <v/>
      </c>
      <c r="CQ23" s="73" t="str">
        <f t="shared" ca="1" si="55"/>
        <v/>
      </c>
    </row>
    <row r="24" spans="27:95" x14ac:dyDescent="0.2">
      <c r="AA24" s="72"/>
      <c r="AB24" s="250"/>
      <c r="AC24" s="247"/>
      <c r="AD24">
        <v>24</v>
      </c>
      <c r="AE24" s="73">
        <f t="shared" ca="1" si="56"/>
        <v>0</v>
      </c>
      <c r="AF24" s="73">
        <f t="shared" ca="1" si="56"/>
        <v>0</v>
      </c>
      <c r="AG24" s="73">
        <f t="shared" ca="1" si="56"/>
        <v>0</v>
      </c>
      <c r="AH24" s="73">
        <f t="shared" ca="1" si="56"/>
        <v>0</v>
      </c>
      <c r="AI24" s="73">
        <f t="shared" ca="1" si="56"/>
        <v>0</v>
      </c>
      <c r="AJ24" s="73">
        <f t="shared" ca="1" si="56"/>
        <v>0</v>
      </c>
      <c r="AK24" s="73">
        <f t="shared" ca="1" si="56"/>
        <v>0</v>
      </c>
      <c r="AL24" s="73">
        <f t="shared" ca="1" si="56"/>
        <v>0</v>
      </c>
      <c r="AM24" s="73">
        <f t="shared" ca="1" si="56"/>
        <v>0</v>
      </c>
      <c r="AN24" s="73">
        <f t="shared" ca="1" si="56"/>
        <v>0</v>
      </c>
      <c r="AO24" s="73">
        <f t="shared" ca="1" si="56"/>
        <v>0</v>
      </c>
      <c r="AP24" s="73">
        <f t="shared" ca="1" si="56"/>
        <v>0</v>
      </c>
      <c r="AQ24" s="73">
        <f t="shared" ca="1" si="56"/>
        <v>0</v>
      </c>
      <c r="AR24" s="73">
        <f t="shared" ca="1" si="56"/>
        <v>0</v>
      </c>
      <c r="AU24" s="247"/>
      <c r="AV24" s="73">
        <f t="shared" ca="1" si="57"/>
        <v>0</v>
      </c>
      <c r="AW24" s="73">
        <f t="shared" ca="1" si="57"/>
        <v>0</v>
      </c>
      <c r="AX24" s="73">
        <f t="shared" ca="1" si="57"/>
        <v>0</v>
      </c>
      <c r="AY24" s="73">
        <f t="shared" ca="1" si="57"/>
        <v>0</v>
      </c>
      <c r="AZ24" s="73">
        <f t="shared" ca="1" si="57"/>
        <v>0</v>
      </c>
      <c r="BA24" s="73">
        <f t="shared" ca="1" si="57"/>
        <v>0</v>
      </c>
      <c r="BB24" s="73">
        <f t="shared" ca="1" si="57"/>
        <v>0</v>
      </c>
      <c r="BC24" s="73">
        <f t="shared" ca="1" si="57"/>
        <v>0</v>
      </c>
      <c r="BD24" s="73">
        <f t="shared" ca="1" si="57"/>
        <v>0</v>
      </c>
      <c r="BE24" s="73">
        <f t="shared" ca="1" si="57"/>
        <v>0</v>
      </c>
      <c r="BF24" s="73">
        <f t="shared" ca="1" si="57"/>
        <v>0</v>
      </c>
      <c r="BG24" s="73">
        <f t="shared" ca="1" si="57"/>
        <v>0</v>
      </c>
      <c r="BH24" s="73">
        <f t="shared" ca="1" si="57"/>
        <v>0</v>
      </c>
      <c r="BI24" s="73">
        <f t="shared" ca="1" si="57"/>
        <v>0</v>
      </c>
      <c r="BM24" s="73" t="e">
        <f t="shared" ca="1" si="28"/>
        <v>#VALUE!</v>
      </c>
      <c r="BN24" s="73" t="str">
        <f t="shared" ca="1" si="29"/>
        <v/>
      </c>
      <c r="BO24" s="73" t="str">
        <f t="shared" ca="1" si="30"/>
        <v/>
      </c>
      <c r="BP24" s="73" t="str">
        <f t="shared" ca="1" si="31"/>
        <v/>
      </c>
      <c r="BQ24" s="73" t="str">
        <f t="shared" ca="1" si="32"/>
        <v/>
      </c>
      <c r="BR24" s="73" t="str">
        <f t="shared" ca="1" si="33"/>
        <v/>
      </c>
      <c r="BS24" s="73" t="str">
        <f t="shared" ca="1" si="34"/>
        <v/>
      </c>
      <c r="BT24" s="73" t="str">
        <f t="shared" ca="1" si="35"/>
        <v/>
      </c>
      <c r="BU24" s="73" t="str">
        <f t="shared" ca="1" si="36"/>
        <v/>
      </c>
      <c r="BV24" s="73" t="str">
        <f t="shared" ca="1" si="37"/>
        <v/>
      </c>
      <c r="BW24" s="73" t="str">
        <f t="shared" ca="1" si="38"/>
        <v/>
      </c>
      <c r="BX24" s="73" t="str">
        <f t="shared" ca="1" si="39"/>
        <v/>
      </c>
      <c r="BY24" s="73" t="str">
        <f t="shared" ca="1" si="40"/>
        <v/>
      </c>
      <c r="BZ24" s="73" t="str">
        <f t="shared" ca="1" si="41"/>
        <v/>
      </c>
      <c r="CD24" s="73" t="e">
        <f t="shared" ca="1" si="42"/>
        <v>#VALUE!</v>
      </c>
      <c r="CE24" s="73" t="str">
        <f t="shared" ca="1" si="43"/>
        <v/>
      </c>
      <c r="CF24" s="73" t="str">
        <f t="shared" ca="1" si="44"/>
        <v/>
      </c>
      <c r="CG24" s="73" t="str">
        <f t="shared" ca="1" si="45"/>
        <v/>
      </c>
      <c r="CH24" s="73" t="str">
        <f t="shared" ca="1" si="46"/>
        <v/>
      </c>
      <c r="CI24" s="73" t="str">
        <f t="shared" ca="1" si="47"/>
        <v/>
      </c>
      <c r="CJ24" s="73" t="str">
        <f t="shared" ca="1" si="48"/>
        <v/>
      </c>
      <c r="CK24" s="73" t="str">
        <f t="shared" ca="1" si="49"/>
        <v/>
      </c>
      <c r="CL24" s="73" t="str">
        <f t="shared" ca="1" si="50"/>
        <v/>
      </c>
      <c r="CM24" s="73" t="str">
        <f t="shared" ca="1" si="51"/>
        <v/>
      </c>
      <c r="CN24" s="73" t="str">
        <f t="shared" ca="1" si="52"/>
        <v/>
      </c>
      <c r="CO24" s="73" t="str">
        <f t="shared" ca="1" si="53"/>
        <v/>
      </c>
      <c r="CP24" s="73" t="str">
        <f t="shared" ca="1" si="54"/>
        <v/>
      </c>
      <c r="CQ24" s="73" t="str">
        <f t="shared" ca="1" si="55"/>
        <v/>
      </c>
    </row>
    <row r="25" spans="27:95" x14ac:dyDescent="0.2">
      <c r="AA25" s="72"/>
      <c r="AB25" s="250"/>
      <c r="AC25" s="247"/>
      <c r="AD25">
        <v>25</v>
      </c>
      <c r="AE25" s="73">
        <f t="shared" ref="AE25:AR34" ca="1" si="58">INDIRECT("'"&amp;$B$3&amp;"'!"&amp;ADDRESS($AD25,AE$1))</f>
        <v>0</v>
      </c>
      <c r="AF25" s="73">
        <f t="shared" ca="1" si="58"/>
        <v>0</v>
      </c>
      <c r="AG25" s="73">
        <f t="shared" ca="1" si="58"/>
        <v>0</v>
      </c>
      <c r="AH25" s="73">
        <f t="shared" ca="1" si="58"/>
        <v>0</v>
      </c>
      <c r="AI25" s="73">
        <f t="shared" ca="1" si="58"/>
        <v>0</v>
      </c>
      <c r="AJ25" s="73">
        <f t="shared" ca="1" si="58"/>
        <v>0</v>
      </c>
      <c r="AK25" s="73">
        <f t="shared" ca="1" si="58"/>
        <v>0</v>
      </c>
      <c r="AL25" s="73">
        <f t="shared" ca="1" si="58"/>
        <v>0</v>
      </c>
      <c r="AM25" s="73">
        <f t="shared" ca="1" si="58"/>
        <v>0</v>
      </c>
      <c r="AN25" s="73">
        <f t="shared" ca="1" si="58"/>
        <v>0</v>
      </c>
      <c r="AO25" s="73">
        <f t="shared" ca="1" si="58"/>
        <v>0</v>
      </c>
      <c r="AP25" s="73">
        <f t="shared" ca="1" si="58"/>
        <v>0</v>
      </c>
      <c r="AQ25" s="73">
        <f t="shared" ca="1" si="58"/>
        <v>0</v>
      </c>
      <c r="AR25" s="73">
        <f t="shared" ca="1" si="58"/>
        <v>0</v>
      </c>
      <c r="AU25" s="247"/>
      <c r="AV25" s="73">
        <f t="shared" ref="AV25:BI34" ca="1" si="59">INDIRECT("'"&amp;$B$3&amp;"'!"&amp;ADDRESS($AD25,AV$1))</f>
        <v>0</v>
      </c>
      <c r="AW25" s="73">
        <f t="shared" ca="1" si="59"/>
        <v>0</v>
      </c>
      <c r="AX25" s="73">
        <f t="shared" ca="1" si="59"/>
        <v>0</v>
      </c>
      <c r="AY25" s="73">
        <f t="shared" ca="1" si="59"/>
        <v>0</v>
      </c>
      <c r="AZ25" s="73">
        <f t="shared" ca="1" si="59"/>
        <v>0</v>
      </c>
      <c r="BA25" s="73">
        <f t="shared" ca="1" si="59"/>
        <v>0</v>
      </c>
      <c r="BB25" s="73">
        <f t="shared" ca="1" si="59"/>
        <v>0</v>
      </c>
      <c r="BC25" s="73">
        <f t="shared" ca="1" si="59"/>
        <v>0</v>
      </c>
      <c r="BD25" s="73">
        <f t="shared" ca="1" si="59"/>
        <v>0</v>
      </c>
      <c r="BE25" s="73">
        <f t="shared" ca="1" si="59"/>
        <v>0</v>
      </c>
      <c r="BF25" s="73">
        <f t="shared" ca="1" si="59"/>
        <v>0</v>
      </c>
      <c r="BG25" s="73">
        <f t="shared" ca="1" si="59"/>
        <v>0</v>
      </c>
      <c r="BH25" s="73">
        <f t="shared" ca="1" si="59"/>
        <v>0</v>
      </c>
      <c r="BI25" s="73">
        <f t="shared" ca="1" si="59"/>
        <v>0</v>
      </c>
      <c r="BM25" s="73" t="e">
        <f t="shared" ca="1" si="28"/>
        <v>#VALUE!</v>
      </c>
      <c r="BN25" s="73" t="str">
        <f t="shared" ca="1" si="29"/>
        <v/>
      </c>
      <c r="BO25" s="73" t="str">
        <f t="shared" ca="1" si="30"/>
        <v/>
      </c>
      <c r="BP25" s="73" t="str">
        <f t="shared" ca="1" si="31"/>
        <v/>
      </c>
      <c r="BQ25" s="73" t="str">
        <f t="shared" ca="1" si="32"/>
        <v/>
      </c>
      <c r="BR25" s="73" t="str">
        <f t="shared" ca="1" si="33"/>
        <v/>
      </c>
      <c r="BS25" s="73" t="str">
        <f t="shared" ca="1" si="34"/>
        <v/>
      </c>
      <c r="BT25" s="73" t="str">
        <f t="shared" ca="1" si="35"/>
        <v/>
      </c>
      <c r="BU25" s="73" t="str">
        <f t="shared" ca="1" si="36"/>
        <v/>
      </c>
      <c r="BV25" s="73" t="str">
        <f t="shared" ca="1" si="37"/>
        <v/>
      </c>
      <c r="BW25" s="73" t="str">
        <f t="shared" ca="1" si="38"/>
        <v/>
      </c>
      <c r="BX25" s="73" t="str">
        <f t="shared" ca="1" si="39"/>
        <v/>
      </c>
      <c r="BY25" s="73" t="str">
        <f t="shared" ca="1" si="40"/>
        <v/>
      </c>
      <c r="BZ25" s="73" t="str">
        <f t="shared" ca="1" si="41"/>
        <v/>
      </c>
      <c r="CD25" s="73" t="e">
        <f t="shared" ca="1" si="42"/>
        <v>#VALUE!</v>
      </c>
      <c r="CE25" s="73" t="str">
        <f t="shared" ca="1" si="43"/>
        <v/>
      </c>
      <c r="CF25" s="73" t="str">
        <f t="shared" ca="1" si="44"/>
        <v/>
      </c>
      <c r="CG25" s="73" t="str">
        <f t="shared" ca="1" si="45"/>
        <v/>
      </c>
      <c r="CH25" s="73" t="str">
        <f t="shared" ca="1" si="46"/>
        <v/>
      </c>
      <c r="CI25" s="73" t="str">
        <f t="shared" ca="1" si="47"/>
        <v/>
      </c>
      <c r="CJ25" s="73" t="str">
        <f t="shared" ca="1" si="48"/>
        <v/>
      </c>
      <c r="CK25" s="73" t="str">
        <f t="shared" ca="1" si="49"/>
        <v/>
      </c>
      <c r="CL25" s="73" t="str">
        <f t="shared" ca="1" si="50"/>
        <v/>
      </c>
      <c r="CM25" s="73" t="str">
        <f t="shared" ca="1" si="51"/>
        <v/>
      </c>
      <c r="CN25" s="73" t="str">
        <f t="shared" ca="1" si="52"/>
        <v/>
      </c>
      <c r="CO25" s="73" t="str">
        <f t="shared" ca="1" si="53"/>
        <v/>
      </c>
      <c r="CP25" s="73" t="str">
        <f t="shared" ca="1" si="54"/>
        <v/>
      </c>
      <c r="CQ25" s="73" t="str">
        <f t="shared" ca="1" si="55"/>
        <v/>
      </c>
    </row>
    <row r="26" spans="27:95" x14ac:dyDescent="0.2">
      <c r="AA26" s="72"/>
      <c r="AB26" s="250"/>
      <c r="AC26" s="247"/>
      <c r="AD26">
        <v>26</v>
      </c>
      <c r="AE26" s="73">
        <f t="shared" ca="1" si="58"/>
        <v>0</v>
      </c>
      <c r="AF26" s="73">
        <f t="shared" ca="1" si="58"/>
        <v>0</v>
      </c>
      <c r="AG26" s="73">
        <f t="shared" ca="1" si="58"/>
        <v>0</v>
      </c>
      <c r="AH26" s="73">
        <f t="shared" ca="1" si="58"/>
        <v>0</v>
      </c>
      <c r="AI26" s="73">
        <f t="shared" ca="1" si="58"/>
        <v>0</v>
      </c>
      <c r="AJ26" s="73">
        <f t="shared" ca="1" si="58"/>
        <v>0</v>
      </c>
      <c r="AK26" s="73">
        <f t="shared" ca="1" si="58"/>
        <v>0</v>
      </c>
      <c r="AL26" s="73">
        <f t="shared" ca="1" si="58"/>
        <v>0</v>
      </c>
      <c r="AM26" s="73">
        <f t="shared" ca="1" si="58"/>
        <v>0</v>
      </c>
      <c r="AN26" s="73">
        <f t="shared" ca="1" si="58"/>
        <v>0</v>
      </c>
      <c r="AO26" s="73">
        <f t="shared" ca="1" si="58"/>
        <v>0</v>
      </c>
      <c r="AP26" s="73">
        <f t="shared" ca="1" si="58"/>
        <v>0</v>
      </c>
      <c r="AQ26" s="73">
        <f t="shared" ca="1" si="58"/>
        <v>0</v>
      </c>
      <c r="AR26" s="73">
        <f t="shared" ca="1" si="58"/>
        <v>0</v>
      </c>
      <c r="AU26" s="247"/>
      <c r="AV26" s="73">
        <f t="shared" ca="1" si="59"/>
        <v>0</v>
      </c>
      <c r="AW26" s="73">
        <f t="shared" ca="1" si="59"/>
        <v>0</v>
      </c>
      <c r="AX26" s="73">
        <f t="shared" ca="1" si="59"/>
        <v>0</v>
      </c>
      <c r="AY26" s="73">
        <f t="shared" ca="1" si="59"/>
        <v>0</v>
      </c>
      <c r="AZ26" s="73">
        <f t="shared" ca="1" si="59"/>
        <v>0</v>
      </c>
      <c r="BA26" s="73">
        <f t="shared" ca="1" si="59"/>
        <v>0</v>
      </c>
      <c r="BB26" s="73">
        <f t="shared" ca="1" si="59"/>
        <v>0</v>
      </c>
      <c r="BC26" s="73">
        <f t="shared" ca="1" si="59"/>
        <v>0</v>
      </c>
      <c r="BD26" s="73">
        <f t="shared" ca="1" si="59"/>
        <v>0</v>
      </c>
      <c r="BE26" s="73">
        <f t="shared" ca="1" si="59"/>
        <v>0</v>
      </c>
      <c r="BF26" s="73">
        <f t="shared" ca="1" si="59"/>
        <v>0</v>
      </c>
      <c r="BG26" s="73">
        <f t="shared" ca="1" si="59"/>
        <v>0</v>
      </c>
      <c r="BH26" s="73">
        <f t="shared" ca="1" si="59"/>
        <v>0</v>
      </c>
      <c r="BI26" s="73">
        <f t="shared" ca="1" si="59"/>
        <v>0</v>
      </c>
      <c r="BM26" s="73" t="e">
        <f t="shared" ca="1" si="28"/>
        <v>#VALUE!</v>
      </c>
      <c r="BN26" s="73" t="str">
        <f t="shared" ca="1" si="29"/>
        <v/>
      </c>
      <c r="BO26" s="73" t="str">
        <f t="shared" ca="1" si="30"/>
        <v/>
      </c>
      <c r="BP26" s="73" t="str">
        <f t="shared" ca="1" si="31"/>
        <v/>
      </c>
      <c r="BQ26" s="73" t="str">
        <f t="shared" ca="1" si="32"/>
        <v/>
      </c>
      <c r="BR26" s="73" t="str">
        <f t="shared" ca="1" si="33"/>
        <v/>
      </c>
      <c r="BS26" s="73" t="str">
        <f t="shared" ca="1" si="34"/>
        <v/>
      </c>
      <c r="BT26" s="73" t="str">
        <f t="shared" ca="1" si="35"/>
        <v/>
      </c>
      <c r="BU26" s="73" t="str">
        <f t="shared" ca="1" si="36"/>
        <v/>
      </c>
      <c r="BV26" s="73" t="str">
        <f t="shared" ca="1" si="37"/>
        <v/>
      </c>
      <c r="BW26" s="73" t="str">
        <f t="shared" ca="1" si="38"/>
        <v/>
      </c>
      <c r="BX26" s="73" t="str">
        <f t="shared" ca="1" si="39"/>
        <v/>
      </c>
      <c r="BY26" s="73" t="str">
        <f t="shared" ca="1" si="40"/>
        <v/>
      </c>
      <c r="BZ26" s="73" t="str">
        <f t="shared" ca="1" si="41"/>
        <v/>
      </c>
      <c r="CD26" s="73" t="e">
        <f t="shared" ca="1" si="42"/>
        <v>#VALUE!</v>
      </c>
      <c r="CE26" s="73" t="str">
        <f t="shared" ca="1" si="43"/>
        <v/>
      </c>
      <c r="CF26" s="73" t="str">
        <f t="shared" ca="1" si="44"/>
        <v/>
      </c>
      <c r="CG26" s="73" t="str">
        <f t="shared" ca="1" si="45"/>
        <v/>
      </c>
      <c r="CH26" s="73" t="str">
        <f t="shared" ca="1" si="46"/>
        <v/>
      </c>
      <c r="CI26" s="73" t="str">
        <f t="shared" ca="1" si="47"/>
        <v/>
      </c>
      <c r="CJ26" s="73" t="str">
        <f t="shared" ca="1" si="48"/>
        <v/>
      </c>
      <c r="CK26" s="73" t="str">
        <f t="shared" ca="1" si="49"/>
        <v/>
      </c>
      <c r="CL26" s="73" t="str">
        <f t="shared" ca="1" si="50"/>
        <v/>
      </c>
      <c r="CM26" s="73" t="str">
        <f t="shared" ca="1" si="51"/>
        <v/>
      </c>
      <c r="CN26" s="73" t="str">
        <f t="shared" ca="1" si="52"/>
        <v/>
      </c>
      <c r="CO26" s="73" t="str">
        <f t="shared" ca="1" si="53"/>
        <v/>
      </c>
      <c r="CP26" s="73" t="str">
        <f t="shared" ca="1" si="54"/>
        <v/>
      </c>
      <c r="CQ26" s="73" t="str">
        <f t="shared" ca="1" si="55"/>
        <v/>
      </c>
    </row>
    <row r="27" spans="27:95" x14ac:dyDescent="0.2">
      <c r="AA27" s="72"/>
      <c r="AB27" s="250"/>
      <c r="AC27" s="247"/>
      <c r="AD27">
        <v>27</v>
      </c>
      <c r="AE27" s="73">
        <f t="shared" ca="1" si="58"/>
        <v>0</v>
      </c>
      <c r="AF27" s="73">
        <f t="shared" ca="1" si="58"/>
        <v>0</v>
      </c>
      <c r="AG27" s="73">
        <f t="shared" ca="1" si="58"/>
        <v>0</v>
      </c>
      <c r="AH27" s="73">
        <f t="shared" ca="1" si="58"/>
        <v>0</v>
      </c>
      <c r="AI27" s="73">
        <f t="shared" ca="1" si="58"/>
        <v>0</v>
      </c>
      <c r="AJ27" s="73">
        <f t="shared" ca="1" si="58"/>
        <v>0</v>
      </c>
      <c r="AK27" s="73">
        <f t="shared" ca="1" si="58"/>
        <v>0</v>
      </c>
      <c r="AL27" s="73">
        <f t="shared" ca="1" si="58"/>
        <v>0</v>
      </c>
      <c r="AM27" s="73">
        <f t="shared" ca="1" si="58"/>
        <v>0</v>
      </c>
      <c r="AN27" s="73">
        <f t="shared" ca="1" si="58"/>
        <v>0</v>
      </c>
      <c r="AO27" s="73">
        <f t="shared" ca="1" si="58"/>
        <v>0</v>
      </c>
      <c r="AP27" s="73">
        <f t="shared" ca="1" si="58"/>
        <v>0</v>
      </c>
      <c r="AQ27" s="73">
        <f t="shared" ca="1" si="58"/>
        <v>0</v>
      </c>
      <c r="AR27" s="73">
        <f t="shared" ca="1" si="58"/>
        <v>0</v>
      </c>
      <c r="AU27" s="247"/>
      <c r="AV27" s="73">
        <f t="shared" ca="1" si="59"/>
        <v>0</v>
      </c>
      <c r="AW27" s="73">
        <f t="shared" ca="1" si="59"/>
        <v>0</v>
      </c>
      <c r="AX27" s="73">
        <f t="shared" ca="1" si="59"/>
        <v>0</v>
      </c>
      <c r="AY27" s="73">
        <f t="shared" ca="1" si="59"/>
        <v>0</v>
      </c>
      <c r="AZ27" s="73">
        <f t="shared" ca="1" si="59"/>
        <v>0</v>
      </c>
      <c r="BA27" s="73">
        <f t="shared" ca="1" si="59"/>
        <v>0</v>
      </c>
      <c r="BB27" s="73">
        <f t="shared" ca="1" si="59"/>
        <v>0</v>
      </c>
      <c r="BC27" s="73">
        <f t="shared" ca="1" si="59"/>
        <v>0</v>
      </c>
      <c r="BD27" s="73">
        <f t="shared" ca="1" si="59"/>
        <v>0</v>
      </c>
      <c r="BE27" s="73">
        <f t="shared" ca="1" si="59"/>
        <v>0</v>
      </c>
      <c r="BF27" s="73">
        <f t="shared" ca="1" si="59"/>
        <v>0</v>
      </c>
      <c r="BG27" s="73">
        <f t="shared" ca="1" si="59"/>
        <v>0</v>
      </c>
      <c r="BH27" s="73">
        <f t="shared" ca="1" si="59"/>
        <v>0</v>
      </c>
      <c r="BI27" s="73">
        <f t="shared" ca="1" si="59"/>
        <v>0</v>
      </c>
      <c r="BM27" s="73" t="e">
        <f t="shared" ca="1" si="28"/>
        <v>#VALUE!</v>
      </c>
      <c r="BN27" s="73" t="str">
        <f t="shared" ca="1" si="29"/>
        <v/>
      </c>
      <c r="BO27" s="73" t="str">
        <f t="shared" ca="1" si="30"/>
        <v/>
      </c>
      <c r="BP27" s="73" t="str">
        <f t="shared" ca="1" si="31"/>
        <v/>
      </c>
      <c r="BQ27" s="73" t="str">
        <f t="shared" ca="1" si="32"/>
        <v/>
      </c>
      <c r="BR27" s="73" t="str">
        <f t="shared" ca="1" si="33"/>
        <v/>
      </c>
      <c r="BS27" s="73" t="str">
        <f t="shared" ca="1" si="34"/>
        <v/>
      </c>
      <c r="BT27" s="73" t="str">
        <f t="shared" ca="1" si="35"/>
        <v/>
      </c>
      <c r="BU27" s="73" t="str">
        <f t="shared" ca="1" si="36"/>
        <v/>
      </c>
      <c r="BV27" s="73" t="str">
        <f t="shared" ca="1" si="37"/>
        <v/>
      </c>
      <c r="BW27" s="73" t="str">
        <f t="shared" ca="1" si="38"/>
        <v/>
      </c>
      <c r="BX27" s="73" t="str">
        <f t="shared" ca="1" si="39"/>
        <v/>
      </c>
      <c r="BY27" s="73" t="str">
        <f t="shared" ca="1" si="40"/>
        <v/>
      </c>
      <c r="BZ27" s="73" t="str">
        <f t="shared" ca="1" si="41"/>
        <v/>
      </c>
      <c r="CD27" s="73" t="e">
        <f t="shared" ca="1" si="42"/>
        <v>#VALUE!</v>
      </c>
      <c r="CE27" s="73" t="str">
        <f t="shared" ca="1" si="43"/>
        <v/>
      </c>
      <c r="CF27" s="73" t="str">
        <f t="shared" ca="1" si="44"/>
        <v/>
      </c>
      <c r="CG27" s="73" t="str">
        <f t="shared" ca="1" si="45"/>
        <v/>
      </c>
      <c r="CH27" s="73" t="str">
        <f t="shared" ca="1" si="46"/>
        <v/>
      </c>
      <c r="CI27" s="73" t="str">
        <f t="shared" ca="1" si="47"/>
        <v/>
      </c>
      <c r="CJ27" s="73" t="str">
        <f t="shared" ca="1" si="48"/>
        <v/>
      </c>
      <c r="CK27" s="73" t="str">
        <f t="shared" ca="1" si="49"/>
        <v/>
      </c>
      <c r="CL27" s="73" t="str">
        <f t="shared" ca="1" si="50"/>
        <v/>
      </c>
      <c r="CM27" s="73" t="str">
        <f t="shared" ca="1" si="51"/>
        <v/>
      </c>
      <c r="CN27" s="73" t="str">
        <f t="shared" ca="1" si="52"/>
        <v/>
      </c>
      <c r="CO27" s="73" t="str">
        <f t="shared" ca="1" si="53"/>
        <v/>
      </c>
      <c r="CP27" s="73" t="str">
        <f t="shared" ca="1" si="54"/>
        <v/>
      </c>
      <c r="CQ27" s="73" t="str">
        <f t="shared" ca="1" si="55"/>
        <v/>
      </c>
    </row>
    <row r="28" spans="27:95" x14ac:dyDescent="0.2">
      <c r="AA28" s="72"/>
      <c r="AB28" s="250"/>
      <c r="AC28" s="247"/>
      <c r="AD28">
        <v>28</v>
      </c>
      <c r="AE28" s="73">
        <f t="shared" ca="1" si="58"/>
        <v>0</v>
      </c>
      <c r="AF28" s="73">
        <f t="shared" ca="1" si="58"/>
        <v>0</v>
      </c>
      <c r="AG28" s="73">
        <f t="shared" ca="1" si="58"/>
        <v>0</v>
      </c>
      <c r="AH28" s="73">
        <f t="shared" ca="1" si="58"/>
        <v>0</v>
      </c>
      <c r="AI28" s="73">
        <f t="shared" ca="1" si="58"/>
        <v>0</v>
      </c>
      <c r="AJ28" s="73">
        <f t="shared" ca="1" si="58"/>
        <v>0</v>
      </c>
      <c r="AK28" s="73">
        <f t="shared" ca="1" si="58"/>
        <v>0</v>
      </c>
      <c r="AL28" s="73">
        <f t="shared" ca="1" si="58"/>
        <v>0</v>
      </c>
      <c r="AM28" s="73">
        <f t="shared" ca="1" si="58"/>
        <v>0</v>
      </c>
      <c r="AN28" s="73">
        <f t="shared" ca="1" si="58"/>
        <v>0</v>
      </c>
      <c r="AO28" s="73">
        <f t="shared" ca="1" si="58"/>
        <v>0</v>
      </c>
      <c r="AP28" s="73">
        <f t="shared" ca="1" si="58"/>
        <v>0</v>
      </c>
      <c r="AQ28" s="73">
        <f t="shared" ca="1" si="58"/>
        <v>0</v>
      </c>
      <c r="AR28" s="73">
        <f t="shared" ca="1" si="58"/>
        <v>0</v>
      </c>
      <c r="AU28" s="247"/>
      <c r="AV28" s="73">
        <f t="shared" ca="1" si="59"/>
        <v>0</v>
      </c>
      <c r="AW28" s="73">
        <f t="shared" ca="1" si="59"/>
        <v>0</v>
      </c>
      <c r="AX28" s="73">
        <f t="shared" ca="1" si="59"/>
        <v>0</v>
      </c>
      <c r="AY28" s="73">
        <f t="shared" ca="1" si="59"/>
        <v>0</v>
      </c>
      <c r="AZ28" s="73">
        <f t="shared" ca="1" si="59"/>
        <v>0</v>
      </c>
      <c r="BA28" s="73">
        <f t="shared" ca="1" si="59"/>
        <v>0</v>
      </c>
      <c r="BB28" s="73">
        <f t="shared" ca="1" si="59"/>
        <v>0</v>
      </c>
      <c r="BC28" s="73">
        <f t="shared" ca="1" si="59"/>
        <v>0</v>
      </c>
      <c r="BD28" s="73">
        <f t="shared" ca="1" si="59"/>
        <v>0</v>
      </c>
      <c r="BE28" s="73">
        <f t="shared" ca="1" si="59"/>
        <v>0</v>
      </c>
      <c r="BF28" s="73">
        <f t="shared" ca="1" si="59"/>
        <v>0</v>
      </c>
      <c r="BG28" s="73">
        <f t="shared" ca="1" si="59"/>
        <v>0</v>
      </c>
      <c r="BH28" s="73">
        <f t="shared" ca="1" si="59"/>
        <v>0</v>
      </c>
      <c r="BI28" s="73">
        <f t="shared" ca="1" si="59"/>
        <v>0</v>
      </c>
      <c r="BM28" s="73" t="e">
        <f t="shared" ca="1" si="28"/>
        <v>#VALUE!</v>
      </c>
      <c r="BN28" s="73" t="str">
        <f t="shared" ca="1" si="29"/>
        <v/>
      </c>
      <c r="BO28" s="73" t="str">
        <f t="shared" ca="1" si="30"/>
        <v/>
      </c>
      <c r="BP28" s="73" t="str">
        <f t="shared" ca="1" si="31"/>
        <v/>
      </c>
      <c r="BQ28" s="73" t="str">
        <f t="shared" ca="1" si="32"/>
        <v/>
      </c>
      <c r="BR28" s="73" t="str">
        <f t="shared" ca="1" si="33"/>
        <v/>
      </c>
      <c r="BS28" s="73" t="str">
        <f t="shared" ca="1" si="34"/>
        <v/>
      </c>
      <c r="BT28" s="73" t="str">
        <f t="shared" ca="1" si="35"/>
        <v/>
      </c>
      <c r="BU28" s="73" t="str">
        <f t="shared" ca="1" si="36"/>
        <v/>
      </c>
      <c r="BV28" s="73" t="str">
        <f t="shared" ca="1" si="37"/>
        <v/>
      </c>
      <c r="BW28" s="73" t="str">
        <f t="shared" ca="1" si="38"/>
        <v/>
      </c>
      <c r="BX28" s="73" t="str">
        <f t="shared" ca="1" si="39"/>
        <v/>
      </c>
      <c r="BY28" s="73" t="str">
        <f t="shared" ca="1" si="40"/>
        <v/>
      </c>
      <c r="BZ28" s="73" t="str">
        <f t="shared" ca="1" si="41"/>
        <v/>
      </c>
      <c r="CD28" s="73" t="e">
        <f t="shared" ca="1" si="42"/>
        <v>#VALUE!</v>
      </c>
      <c r="CE28" s="73" t="str">
        <f t="shared" ca="1" si="43"/>
        <v/>
      </c>
      <c r="CF28" s="73" t="str">
        <f t="shared" ca="1" si="44"/>
        <v/>
      </c>
      <c r="CG28" s="73" t="str">
        <f t="shared" ca="1" si="45"/>
        <v/>
      </c>
      <c r="CH28" s="73" t="str">
        <f t="shared" ca="1" si="46"/>
        <v/>
      </c>
      <c r="CI28" s="73" t="str">
        <f t="shared" ca="1" si="47"/>
        <v/>
      </c>
      <c r="CJ28" s="73" t="str">
        <f t="shared" ca="1" si="48"/>
        <v/>
      </c>
      <c r="CK28" s="73" t="str">
        <f t="shared" ca="1" si="49"/>
        <v/>
      </c>
      <c r="CL28" s="73" t="str">
        <f t="shared" ca="1" si="50"/>
        <v/>
      </c>
      <c r="CM28" s="73" t="str">
        <f t="shared" ca="1" si="51"/>
        <v/>
      </c>
      <c r="CN28" s="73" t="str">
        <f t="shared" ca="1" si="52"/>
        <v/>
      </c>
      <c r="CO28" s="73" t="str">
        <f t="shared" ca="1" si="53"/>
        <v/>
      </c>
      <c r="CP28" s="73" t="str">
        <f t="shared" ca="1" si="54"/>
        <v/>
      </c>
      <c r="CQ28" s="73" t="str">
        <f t="shared" ca="1" si="55"/>
        <v/>
      </c>
    </row>
    <row r="29" spans="27:95" x14ac:dyDescent="0.2">
      <c r="AA29" s="72"/>
      <c r="AB29" s="250" t="s">
        <v>9</v>
      </c>
      <c r="AC29" s="247" t="str">
        <f>CONCATENATE(AB29," Reference")</f>
        <v>960x540 Reference</v>
      </c>
      <c r="AD29">
        <v>29</v>
      </c>
      <c r="AE29" s="73">
        <f t="shared" ca="1" si="58"/>
        <v>0</v>
      </c>
      <c r="AF29" s="73">
        <f t="shared" ca="1" si="58"/>
        <v>0</v>
      </c>
      <c r="AG29" s="73">
        <f t="shared" ca="1" si="58"/>
        <v>0</v>
      </c>
      <c r="AH29" s="73">
        <f t="shared" ca="1" si="58"/>
        <v>0</v>
      </c>
      <c r="AI29" s="73">
        <f t="shared" ca="1" si="58"/>
        <v>0</v>
      </c>
      <c r="AJ29" s="73">
        <f t="shared" ca="1" si="58"/>
        <v>0</v>
      </c>
      <c r="AK29" s="73">
        <f t="shared" ca="1" si="58"/>
        <v>0</v>
      </c>
      <c r="AL29" s="73">
        <f t="shared" ca="1" si="58"/>
        <v>0</v>
      </c>
      <c r="AM29" s="73">
        <f t="shared" ca="1" si="58"/>
        <v>0</v>
      </c>
      <c r="AN29" s="73">
        <f t="shared" ca="1" si="58"/>
        <v>0</v>
      </c>
      <c r="AO29" s="73">
        <f t="shared" ca="1" si="58"/>
        <v>0</v>
      </c>
      <c r="AP29" s="73">
        <f t="shared" ca="1" si="58"/>
        <v>0</v>
      </c>
      <c r="AQ29" s="73">
        <f t="shared" ca="1" si="58"/>
        <v>0</v>
      </c>
      <c r="AR29" s="73">
        <f t="shared" ca="1" si="58"/>
        <v>0</v>
      </c>
      <c r="AU29" s="247" t="str">
        <f>CONCATENATE(AB29," Test")</f>
        <v>960x540 Test</v>
      </c>
      <c r="AV29" s="73">
        <f t="shared" ca="1" si="59"/>
        <v>0</v>
      </c>
      <c r="AW29" s="73">
        <f t="shared" ca="1" si="59"/>
        <v>0</v>
      </c>
      <c r="AX29" s="73">
        <f t="shared" ca="1" si="59"/>
        <v>0</v>
      </c>
      <c r="AY29" s="73">
        <f t="shared" ca="1" si="59"/>
        <v>0</v>
      </c>
      <c r="AZ29" s="73">
        <f t="shared" ca="1" si="59"/>
        <v>0</v>
      </c>
      <c r="BA29" s="73">
        <f t="shared" ca="1" si="59"/>
        <v>0</v>
      </c>
      <c r="BB29" s="73">
        <f t="shared" ca="1" si="59"/>
        <v>0</v>
      </c>
      <c r="BC29" s="73">
        <f t="shared" ca="1" si="59"/>
        <v>0</v>
      </c>
      <c r="BD29" s="73">
        <f t="shared" ca="1" si="59"/>
        <v>0</v>
      </c>
      <c r="BE29" s="73">
        <f t="shared" ca="1" si="59"/>
        <v>0</v>
      </c>
      <c r="BF29" s="73">
        <f t="shared" ca="1" si="59"/>
        <v>0</v>
      </c>
      <c r="BG29" s="73">
        <f t="shared" ca="1" si="59"/>
        <v>0</v>
      </c>
      <c r="BH29" s="73">
        <f t="shared" ca="1" si="59"/>
        <v>0</v>
      </c>
      <c r="BI29" s="73">
        <f t="shared" ca="1" si="59"/>
        <v>0</v>
      </c>
      <c r="BM29" s="73" t="e">
        <f t="shared" ca="1" si="28"/>
        <v>#VALUE!</v>
      </c>
      <c r="BN29" s="73" t="str">
        <f t="shared" ca="1" si="29"/>
        <v/>
      </c>
      <c r="BO29" s="73" t="str">
        <f t="shared" ca="1" si="30"/>
        <v/>
      </c>
      <c r="BP29" s="73" t="str">
        <f t="shared" ca="1" si="31"/>
        <v/>
      </c>
      <c r="BQ29" s="73" t="str">
        <f t="shared" ca="1" si="32"/>
        <v/>
      </c>
      <c r="BR29" s="73" t="str">
        <f t="shared" ca="1" si="33"/>
        <v/>
      </c>
      <c r="BS29" s="73" t="str">
        <f t="shared" ca="1" si="34"/>
        <v/>
      </c>
      <c r="BT29" s="73" t="str">
        <f t="shared" ca="1" si="35"/>
        <v/>
      </c>
      <c r="BU29" s="73" t="str">
        <f t="shared" ca="1" si="36"/>
        <v/>
      </c>
      <c r="BV29" s="73" t="str">
        <f t="shared" ca="1" si="37"/>
        <v/>
      </c>
      <c r="BW29" s="73" t="str">
        <f t="shared" ca="1" si="38"/>
        <v/>
      </c>
      <c r="BX29" s="73" t="str">
        <f t="shared" ca="1" si="39"/>
        <v/>
      </c>
      <c r="BY29" s="73" t="str">
        <f t="shared" ca="1" si="40"/>
        <v/>
      </c>
      <c r="BZ29" s="73" t="str">
        <f t="shared" ca="1" si="41"/>
        <v/>
      </c>
      <c r="CD29" s="73" t="e">
        <f t="shared" ca="1" si="42"/>
        <v>#VALUE!</v>
      </c>
      <c r="CE29" s="73" t="str">
        <f t="shared" ca="1" si="43"/>
        <v/>
      </c>
      <c r="CF29" s="73" t="str">
        <f t="shared" ca="1" si="44"/>
        <v/>
      </c>
      <c r="CG29" s="73" t="str">
        <f t="shared" ca="1" si="45"/>
        <v/>
      </c>
      <c r="CH29" s="73" t="str">
        <f t="shared" ca="1" si="46"/>
        <v/>
      </c>
      <c r="CI29" s="73" t="str">
        <f t="shared" ca="1" si="47"/>
        <v/>
      </c>
      <c r="CJ29" s="73" t="str">
        <f t="shared" ca="1" si="48"/>
        <v/>
      </c>
      <c r="CK29" s="73" t="str">
        <f t="shared" ca="1" si="49"/>
        <v/>
      </c>
      <c r="CL29" s="73" t="str">
        <f t="shared" ca="1" si="50"/>
        <v/>
      </c>
      <c r="CM29" s="73" t="str">
        <f t="shared" ca="1" si="51"/>
        <v/>
      </c>
      <c r="CN29" s="73" t="str">
        <f t="shared" ca="1" si="52"/>
        <v/>
      </c>
      <c r="CO29" s="73" t="str">
        <f t="shared" ca="1" si="53"/>
        <v/>
      </c>
      <c r="CP29" s="73" t="str">
        <f t="shared" ca="1" si="54"/>
        <v/>
      </c>
      <c r="CQ29" s="73" t="str">
        <f t="shared" ca="1" si="55"/>
        <v/>
      </c>
    </row>
    <row r="30" spans="27:95" x14ac:dyDescent="0.2">
      <c r="AA30" s="72"/>
      <c r="AB30" s="250"/>
      <c r="AC30" s="247"/>
      <c r="AD30">
        <v>30</v>
      </c>
      <c r="AE30" s="73">
        <f t="shared" ca="1" si="58"/>
        <v>0</v>
      </c>
      <c r="AF30" s="73">
        <f t="shared" ca="1" si="58"/>
        <v>0</v>
      </c>
      <c r="AG30" s="73">
        <f t="shared" ca="1" si="58"/>
        <v>0</v>
      </c>
      <c r="AH30" s="73">
        <f t="shared" ca="1" si="58"/>
        <v>0</v>
      </c>
      <c r="AI30" s="73">
        <f t="shared" ca="1" si="58"/>
        <v>0</v>
      </c>
      <c r="AJ30" s="73">
        <f t="shared" ca="1" si="58"/>
        <v>0</v>
      </c>
      <c r="AK30" s="73">
        <f t="shared" ca="1" si="58"/>
        <v>0</v>
      </c>
      <c r="AL30" s="73">
        <f t="shared" ca="1" si="58"/>
        <v>0</v>
      </c>
      <c r="AM30" s="73">
        <f t="shared" ca="1" si="58"/>
        <v>0</v>
      </c>
      <c r="AN30" s="73">
        <f t="shared" ca="1" si="58"/>
        <v>0</v>
      </c>
      <c r="AO30" s="73">
        <f t="shared" ca="1" si="58"/>
        <v>0</v>
      </c>
      <c r="AP30" s="73">
        <f t="shared" ca="1" si="58"/>
        <v>0</v>
      </c>
      <c r="AQ30" s="73">
        <f t="shared" ca="1" si="58"/>
        <v>0</v>
      </c>
      <c r="AR30" s="73">
        <f t="shared" ca="1" si="58"/>
        <v>0</v>
      </c>
      <c r="AU30" s="247"/>
      <c r="AV30" s="73">
        <f t="shared" ca="1" si="59"/>
        <v>0</v>
      </c>
      <c r="AW30" s="73">
        <f t="shared" ca="1" si="59"/>
        <v>0</v>
      </c>
      <c r="AX30" s="73">
        <f t="shared" ca="1" si="59"/>
        <v>0</v>
      </c>
      <c r="AY30" s="73">
        <f t="shared" ca="1" si="59"/>
        <v>0</v>
      </c>
      <c r="AZ30" s="73">
        <f t="shared" ca="1" si="59"/>
        <v>0</v>
      </c>
      <c r="BA30" s="73">
        <f t="shared" ca="1" si="59"/>
        <v>0</v>
      </c>
      <c r="BB30" s="73">
        <f t="shared" ca="1" si="59"/>
        <v>0</v>
      </c>
      <c r="BC30" s="73">
        <f t="shared" ca="1" si="59"/>
        <v>0</v>
      </c>
      <c r="BD30" s="73">
        <f t="shared" ca="1" si="59"/>
        <v>0</v>
      </c>
      <c r="BE30" s="73">
        <f t="shared" ca="1" si="59"/>
        <v>0</v>
      </c>
      <c r="BF30" s="73">
        <f t="shared" ca="1" si="59"/>
        <v>0</v>
      </c>
      <c r="BG30" s="73">
        <f t="shared" ca="1" si="59"/>
        <v>0</v>
      </c>
      <c r="BH30" s="73">
        <f t="shared" ca="1" si="59"/>
        <v>0</v>
      </c>
      <c r="BI30" s="73">
        <f t="shared" ca="1" si="59"/>
        <v>0</v>
      </c>
      <c r="BM30" s="73" t="e">
        <f t="shared" ca="1" si="28"/>
        <v>#VALUE!</v>
      </c>
      <c r="BN30" s="73" t="str">
        <f t="shared" ca="1" si="29"/>
        <v/>
      </c>
      <c r="BO30" s="73" t="str">
        <f t="shared" ca="1" si="30"/>
        <v/>
      </c>
      <c r="BP30" s="73" t="str">
        <f t="shared" ca="1" si="31"/>
        <v/>
      </c>
      <c r="BQ30" s="73" t="str">
        <f t="shared" ca="1" si="32"/>
        <v/>
      </c>
      <c r="BR30" s="73" t="str">
        <f t="shared" ca="1" si="33"/>
        <v/>
      </c>
      <c r="BS30" s="73" t="str">
        <f t="shared" ca="1" si="34"/>
        <v/>
      </c>
      <c r="BT30" s="73" t="str">
        <f t="shared" ca="1" si="35"/>
        <v/>
      </c>
      <c r="BU30" s="73" t="str">
        <f t="shared" ca="1" si="36"/>
        <v/>
      </c>
      <c r="BV30" s="73" t="str">
        <f t="shared" ca="1" si="37"/>
        <v/>
      </c>
      <c r="BW30" s="73" t="str">
        <f t="shared" ca="1" si="38"/>
        <v/>
      </c>
      <c r="BX30" s="73" t="str">
        <f t="shared" ca="1" si="39"/>
        <v/>
      </c>
      <c r="BY30" s="73" t="str">
        <f t="shared" ca="1" si="40"/>
        <v/>
      </c>
      <c r="BZ30" s="73" t="str">
        <f t="shared" ca="1" si="41"/>
        <v/>
      </c>
      <c r="CD30" s="73" t="e">
        <f t="shared" ca="1" si="42"/>
        <v>#VALUE!</v>
      </c>
      <c r="CE30" s="73" t="str">
        <f t="shared" ca="1" si="43"/>
        <v/>
      </c>
      <c r="CF30" s="73" t="str">
        <f t="shared" ca="1" si="44"/>
        <v/>
      </c>
      <c r="CG30" s="73" t="str">
        <f t="shared" ca="1" si="45"/>
        <v/>
      </c>
      <c r="CH30" s="73" t="str">
        <f t="shared" ca="1" si="46"/>
        <v/>
      </c>
      <c r="CI30" s="73" t="str">
        <f t="shared" ca="1" si="47"/>
        <v/>
      </c>
      <c r="CJ30" s="73" t="str">
        <f t="shared" ca="1" si="48"/>
        <v/>
      </c>
      <c r="CK30" s="73" t="str">
        <f t="shared" ca="1" si="49"/>
        <v/>
      </c>
      <c r="CL30" s="73" t="str">
        <f t="shared" ca="1" si="50"/>
        <v/>
      </c>
      <c r="CM30" s="73" t="str">
        <f t="shared" ca="1" si="51"/>
        <v/>
      </c>
      <c r="CN30" s="73" t="str">
        <f t="shared" ca="1" si="52"/>
        <v/>
      </c>
      <c r="CO30" s="73" t="str">
        <f t="shared" ca="1" si="53"/>
        <v/>
      </c>
      <c r="CP30" s="73" t="str">
        <f t="shared" ca="1" si="54"/>
        <v/>
      </c>
      <c r="CQ30" s="73" t="str">
        <f t="shared" ca="1" si="55"/>
        <v/>
      </c>
    </row>
    <row r="31" spans="27:95" x14ac:dyDescent="0.2">
      <c r="AA31" s="72"/>
      <c r="AB31" s="250"/>
      <c r="AC31" s="247"/>
      <c r="AD31">
        <v>31</v>
      </c>
      <c r="AE31" s="73">
        <f t="shared" ca="1" si="58"/>
        <v>0</v>
      </c>
      <c r="AF31" s="73">
        <f t="shared" ca="1" si="58"/>
        <v>0</v>
      </c>
      <c r="AG31" s="73">
        <f t="shared" ca="1" si="58"/>
        <v>0</v>
      </c>
      <c r="AH31" s="73">
        <f t="shared" ca="1" si="58"/>
        <v>0</v>
      </c>
      <c r="AI31" s="73">
        <f t="shared" ca="1" si="58"/>
        <v>0</v>
      </c>
      <c r="AJ31" s="73">
        <f t="shared" ca="1" si="58"/>
        <v>0</v>
      </c>
      <c r="AK31" s="73">
        <f t="shared" ca="1" si="58"/>
        <v>0</v>
      </c>
      <c r="AL31" s="73">
        <f t="shared" ca="1" si="58"/>
        <v>0</v>
      </c>
      <c r="AM31" s="73">
        <f t="shared" ca="1" si="58"/>
        <v>0</v>
      </c>
      <c r="AN31" s="73">
        <f t="shared" ca="1" si="58"/>
        <v>0</v>
      </c>
      <c r="AO31" s="73">
        <f t="shared" ca="1" si="58"/>
        <v>0</v>
      </c>
      <c r="AP31" s="73">
        <f t="shared" ca="1" si="58"/>
        <v>0</v>
      </c>
      <c r="AQ31" s="73">
        <f t="shared" ca="1" si="58"/>
        <v>0</v>
      </c>
      <c r="AR31" s="73">
        <f t="shared" ca="1" si="58"/>
        <v>0</v>
      </c>
      <c r="AU31" s="247"/>
      <c r="AV31" s="73">
        <f t="shared" ca="1" si="59"/>
        <v>0</v>
      </c>
      <c r="AW31" s="73">
        <f t="shared" ca="1" si="59"/>
        <v>0</v>
      </c>
      <c r="AX31" s="73">
        <f t="shared" ca="1" si="59"/>
        <v>0</v>
      </c>
      <c r="AY31" s="73">
        <f t="shared" ca="1" si="59"/>
        <v>0</v>
      </c>
      <c r="AZ31" s="73">
        <f t="shared" ca="1" si="59"/>
        <v>0</v>
      </c>
      <c r="BA31" s="73">
        <f t="shared" ca="1" si="59"/>
        <v>0</v>
      </c>
      <c r="BB31" s="73">
        <f t="shared" ca="1" si="59"/>
        <v>0</v>
      </c>
      <c r="BC31" s="73">
        <f t="shared" ca="1" si="59"/>
        <v>0</v>
      </c>
      <c r="BD31" s="73">
        <f t="shared" ca="1" si="59"/>
        <v>0</v>
      </c>
      <c r="BE31" s="73">
        <f t="shared" ca="1" si="59"/>
        <v>0</v>
      </c>
      <c r="BF31" s="73">
        <f t="shared" ca="1" si="59"/>
        <v>0</v>
      </c>
      <c r="BG31" s="73">
        <f t="shared" ca="1" si="59"/>
        <v>0</v>
      </c>
      <c r="BH31" s="73">
        <f t="shared" ca="1" si="59"/>
        <v>0</v>
      </c>
      <c r="BI31" s="73">
        <f t="shared" ca="1" si="59"/>
        <v>0</v>
      </c>
      <c r="BM31" s="73" t="e">
        <f t="shared" ca="1" si="28"/>
        <v>#VALUE!</v>
      </c>
      <c r="BN31" s="73" t="str">
        <f t="shared" ca="1" si="29"/>
        <v/>
      </c>
      <c r="BO31" s="73" t="str">
        <f t="shared" ca="1" si="30"/>
        <v/>
      </c>
      <c r="BP31" s="73" t="str">
        <f t="shared" ca="1" si="31"/>
        <v/>
      </c>
      <c r="BQ31" s="73" t="str">
        <f t="shared" ca="1" si="32"/>
        <v/>
      </c>
      <c r="BR31" s="73" t="str">
        <f t="shared" ca="1" si="33"/>
        <v/>
      </c>
      <c r="BS31" s="73" t="str">
        <f t="shared" ca="1" si="34"/>
        <v/>
      </c>
      <c r="BT31" s="73" t="str">
        <f t="shared" ca="1" si="35"/>
        <v/>
      </c>
      <c r="BU31" s="73" t="str">
        <f t="shared" ca="1" si="36"/>
        <v/>
      </c>
      <c r="BV31" s="73" t="str">
        <f t="shared" ca="1" si="37"/>
        <v/>
      </c>
      <c r="BW31" s="73" t="str">
        <f t="shared" ca="1" si="38"/>
        <v/>
      </c>
      <c r="BX31" s="73" t="str">
        <f t="shared" ca="1" si="39"/>
        <v/>
      </c>
      <c r="BY31" s="73" t="str">
        <f t="shared" ca="1" si="40"/>
        <v/>
      </c>
      <c r="BZ31" s="73" t="str">
        <f t="shared" ca="1" si="41"/>
        <v/>
      </c>
      <c r="CD31" s="73" t="e">
        <f t="shared" ca="1" si="42"/>
        <v>#VALUE!</v>
      </c>
      <c r="CE31" s="73" t="str">
        <f t="shared" ca="1" si="43"/>
        <v/>
      </c>
      <c r="CF31" s="73" t="str">
        <f t="shared" ca="1" si="44"/>
        <v/>
      </c>
      <c r="CG31" s="73" t="str">
        <f t="shared" ca="1" si="45"/>
        <v/>
      </c>
      <c r="CH31" s="73" t="str">
        <f t="shared" ca="1" si="46"/>
        <v/>
      </c>
      <c r="CI31" s="73" t="str">
        <f t="shared" ca="1" si="47"/>
        <v/>
      </c>
      <c r="CJ31" s="73" t="str">
        <f t="shared" ca="1" si="48"/>
        <v/>
      </c>
      <c r="CK31" s="73" t="str">
        <f t="shared" ca="1" si="49"/>
        <v/>
      </c>
      <c r="CL31" s="73" t="str">
        <f t="shared" ca="1" si="50"/>
        <v/>
      </c>
      <c r="CM31" s="73" t="str">
        <f t="shared" ca="1" si="51"/>
        <v/>
      </c>
      <c r="CN31" s="73" t="str">
        <f t="shared" ca="1" si="52"/>
        <v/>
      </c>
      <c r="CO31" s="73" t="str">
        <f t="shared" ca="1" si="53"/>
        <v/>
      </c>
      <c r="CP31" s="73" t="str">
        <f t="shared" ca="1" si="54"/>
        <v/>
      </c>
      <c r="CQ31" s="73" t="str">
        <f t="shared" ca="1" si="55"/>
        <v/>
      </c>
    </row>
    <row r="32" spans="27:95" x14ac:dyDescent="0.2">
      <c r="AA32" s="72"/>
      <c r="AB32" s="250"/>
      <c r="AC32" s="247"/>
      <c r="AD32">
        <v>32</v>
      </c>
      <c r="AE32" s="73">
        <f t="shared" ca="1" si="58"/>
        <v>0</v>
      </c>
      <c r="AF32" s="73">
        <f t="shared" ca="1" si="58"/>
        <v>0</v>
      </c>
      <c r="AG32" s="73">
        <f t="shared" ca="1" si="58"/>
        <v>0</v>
      </c>
      <c r="AH32" s="73">
        <f t="shared" ca="1" si="58"/>
        <v>0</v>
      </c>
      <c r="AI32" s="73">
        <f t="shared" ca="1" si="58"/>
        <v>0</v>
      </c>
      <c r="AJ32" s="73">
        <f t="shared" ca="1" si="58"/>
        <v>0</v>
      </c>
      <c r="AK32" s="73">
        <f t="shared" ca="1" si="58"/>
        <v>0</v>
      </c>
      <c r="AL32" s="73">
        <f t="shared" ca="1" si="58"/>
        <v>0</v>
      </c>
      <c r="AM32" s="73">
        <f t="shared" ca="1" si="58"/>
        <v>0</v>
      </c>
      <c r="AN32" s="73">
        <f t="shared" ca="1" si="58"/>
        <v>0</v>
      </c>
      <c r="AO32" s="73">
        <f t="shared" ca="1" si="58"/>
        <v>0</v>
      </c>
      <c r="AP32" s="73">
        <f t="shared" ca="1" si="58"/>
        <v>0</v>
      </c>
      <c r="AQ32" s="73">
        <f t="shared" ca="1" si="58"/>
        <v>0</v>
      </c>
      <c r="AR32" s="73">
        <f t="shared" ca="1" si="58"/>
        <v>0</v>
      </c>
      <c r="AU32" s="247"/>
      <c r="AV32" s="73">
        <f t="shared" ca="1" si="59"/>
        <v>0</v>
      </c>
      <c r="AW32" s="73">
        <f t="shared" ca="1" si="59"/>
        <v>0</v>
      </c>
      <c r="AX32" s="73">
        <f t="shared" ca="1" si="59"/>
        <v>0</v>
      </c>
      <c r="AY32" s="73">
        <f t="shared" ca="1" si="59"/>
        <v>0</v>
      </c>
      <c r="AZ32" s="73">
        <f t="shared" ca="1" si="59"/>
        <v>0</v>
      </c>
      <c r="BA32" s="73">
        <f t="shared" ca="1" si="59"/>
        <v>0</v>
      </c>
      <c r="BB32" s="73">
        <f t="shared" ca="1" si="59"/>
        <v>0</v>
      </c>
      <c r="BC32" s="73">
        <f t="shared" ca="1" si="59"/>
        <v>0</v>
      </c>
      <c r="BD32" s="73">
        <f t="shared" ca="1" si="59"/>
        <v>0</v>
      </c>
      <c r="BE32" s="73">
        <f t="shared" ca="1" si="59"/>
        <v>0</v>
      </c>
      <c r="BF32" s="73">
        <f t="shared" ca="1" si="59"/>
        <v>0</v>
      </c>
      <c r="BG32" s="73">
        <f t="shared" ca="1" si="59"/>
        <v>0</v>
      </c>
      <c r="BH32" s="73">
        <f t="shared" ca="1" si="59"/>
        <v>0</v>
      </c>
      <c r="BI32" s="73">
        <f t="shared" ca="1" si="59"/>
        <v>0</v>
      </c>
      <c r="BM32" s="73" t="e">
        <f t="shared" ca="1" si="28"/>
        <v>#VALUE!</v>
      </c>
      <c r="BN32" s="73" t="str">
        <f t="shared" ca="1" si="29"/>
        <v/>
      </c>
      <c r="BO32" s="73" t="str">
        <f t="shared" ca="1" si="30"/>
        <v/>
      </c>
      <c r="BP32" s="73" t="str">
        <f t="shared" ca="1" si="31"/>
        <v/>
      </c>
      <c r="BQ32" s="73" t="str">
        <f t="shared" ca="1" si="32"/>
        <v/>
      </c>
      <c r="BR32" s="73" t="str">
        <f t="shared" ca="1" si="33"/>
        <v/>
      </c>
      <c r="BS32" s="73" t="str">
        <f t="shared" ca="1" si="34"/>
        <v/>
      </c>
      <c r="BT32" s="73" t="str">
        <f t="shared" ca="1" si="35"/>
        <v/>
      </c>
      <c r="BU32" s="73" t="str">
        <f t="shared" ca="1" si="36"/>
        <v/>
      </c>
      <c r="BV32" s="73" t="str">
        <f t="shared" ca="1" si="37"/>
        <v/>
      </c>
      <c r="BW32" s="73" t="str">
        <f t="shared" ca="1" si="38"/>
        <v/>
      </c>
      <c r="BX32" s="73" t="str">
        <f t="shared" ca="1" si="39"/>
        <v/>
      </c>
      <c r="BY32" s="73" t="str">
        <f t="shared" ca="1" si="40"/>
        <v/>
      </c>
      <c r="BZ32" s="73" t="str">
        <f t="shared" ca="1" si="41"/>
        <v/>
      </c>
      <c r="CD32" s="73" t="e">
        <f t="shared" ca="1" si="42"/>
        <v>#VALUE!</v>
      </c>
      <c r="CE32" s="73" t="str">
        <f t="shared" ca="1" si="43"/>
        <v/>
      </c>
      <c r="CF32" s="73" t="str">
        <f t="shared" ca="1" si="44"/>
        <v/>
      </c>
      <c r="CG32" s="73" t="str">
        <f t="shared" ca="1" si="45"/>
        <v/>
      </c>
      <c r="CH32" s="73" t="str">
        <f t="shared" ca="1" si="46"/>
        <v/>
      </c>
      <c r="CI32" s="73" t="str">
        <f t="shared" ca="1" si="47"/>
        <v/>
      </c>
      <c r="CJ32" s="73" t="str">
        <f t="shared" ca="1" si="48"/>
        <v/>
      </c>
      <c r="CK32" s="73" t="str">
        <f t="shared" ca="1" si="49"/>
        <v/>
      </c>
      <c r="CL32" s="73" t="str">
        <f t="shared" ca="1" si="50"/>
        <v/>
      </c>
      <c r="CM32" s="73" t="str">
        <f t="shared" ca="1" si="51"/>
        <v/>
      </c>
      <c r="CN32" s="73" t="str">
        <f t="shared" ca="1" si="52"/>
        <v/>
      </c>
      <c r="CO32" s="73" t="str">
        <f t="shared" ca="1" si="53"/>
        <v/>
      </c>
      <c r="CP32" s="73" t="str">
        <f t="shared" ca="1" si="54"/>
        <v/>
      </c>
      <c r="CQ32" s="73" t="str">
        <f t="shared" ca="1" si="55"/>
        <v/>
      </c>
    </row>
    <row r="33" spans="27:95" x14ac:dyDescent="0.2">
      <c r="AA33" s="72"/>
      <c r="AB33" s="250"/>
      <c r="AC33" s="247"/>
      <c r="AD33">
        <v>33</v>
      </c>
      <c r="AE33" s="73">
        <f t="shared" ca="1" si="58"/>
        <v>0</v>
      </c>
      <c r="AF33" s="73">
        <f t="shared" ca="1" si="58"/>
        <v>0</v>
      </c>
      <c r="AG33" s="73">
        <f t="shared" ca="1" si="58"/>
        <v>0</v>
      </c>
      <c r="AH33" s="73">
        <f t="shared" ca="1" si="58"/>
        <v>0</v>
      </c>
      <c r="AI33" s="73">
        <f t="shared" ca="1" si="58"/>
        <v>0</v>
      </c>
      <c r="AJ33" s="73">
        <f t="shared" ca="1" si="58"/>
        <v>0</v>
      </c>
      <c r="AK33" s="73">
        <f t="shared" ca="1" si="58"/>
        <v>0</v>
      </c>
      <c r="AL33" s="73">
        <f t="shared" ca="1" si="58"/>
        <v>0</v>
      </c>
      <c r="AM33" s="73">
        <f t="shared" ca="1" si="58"/>
        <v>0</v>
      </c>
      <c r="AN33" s="73">
        <f t="shared" ca="1" si="58"/>
        <v>0</v>
      </c>
      <c r="AO33" s="73">
        <f t="shared" ca="1" si="58"/>
        <v>0</v>
      </c>
      <c r="AP33" s="73">
        <f t="shared" ca="1" si="58"/>
        <v>0</v>
      </c>
      <c r="AQ33" s="73">
        <f t="shared" ca="1" si="58"/>
        <v>0</v>
      </c>
      <c r="AR33" s="73">
        <f t="shared" ca="1" si="58"/>
        <v>0</v>
      </c>
      <c r="AU33" s="247"/>
      <c r="AV33" s="73">
        <f t="shared" ca="1" si="59"/>
        <v>0</v>
      </c>
      <c r="AW33" s="73">
        <f t="shared" ca="1" si="59"/>
        <v>0</v>
      </c>
      <c r="AX33" s="73">
        <f t="shared" ca="1" si="59"/>
        <v>0</v>
      </c>
      <c r="AY33" s="73">
        <f t="shared" ca="1" si="59"/>
        <v>0</v>
      </c>
      <c r="AZ33" s="73">
        <f t="shared" ca="1" si="59"/>
        <v>0</v>
      </c>
      <c r="BA33" s="73">
        <f t="shared" ca="1" si="59"/>
        <v>0</v>
      </c>
      <c r="BB33" s="73">
        <f t="shared" ca="1" si="59"/>
        <v>0</v>
      </c>
      <c r="BC33" s="73">
        <f t="shared" ca="1" si="59"/>
        <v>0</v>
      </c>
      <c r="BD33" s="73">
        <f t="shared" ca="1" si="59"/>
        <v>0</v>
      </c>
      <c r="BE33" s="73">
        <f t="shared" ca="1" si="59"/>
        <v>0</v>
      </c>
      <c r="BF33" s="73">
        <f t="shared" ca="1" si="59"/>
        <v>0</v>
      </c>
      <c r="BG33" s="73">
        <f t="shared" ca="1" si="59"/>
        <v>0</v>
      </c>
      <c r="BH33" s="73">
        <f t="shared" ca="1" si="59"/>
        <v>0</v>
      </c>
      <c r="BI33" s="73">
        <f t="shared" ca="1" si="59"/>
        <v>0</v>
      </c>
      <c r="BM33" s="73" t="e">
        <f t="shared" ca="1" si="28"/>
        <v>#VALUE!</v>
      </c>
      <c r="BN33" s="73" t="str">
        <f t="shared" ca="1" si="29"/>
        <v/>
      </c>
      <c r="BO33" s="73" t="str">
        <f t="shared" ca="1" si="30"/>
        <v/>
      </c>
      <c r="BP33" s="73" t="str">
        <f t="shared" ca="1" si="31"/>
        <v/>
      </c>
      <c r="BQ33" s="73" t="str">
        <f t="shared" ca="1" si="32"/>
        <v/>
      </c>
      <c r="BR33" s="73" t="str">
        <f t="shared" ca="1" si="33"/>
        <v/>
      </c>
      <c r="BS33" s="73" t="str">
        <f t="shared" ca="1" si="34"/>
        <v/>
      </c>
      <c r="BT33" s="73" t="str">
        <f t="shared" ca="1" si="35"/>
        <v/>
      </c>
      <c r="BU33" s="73" t="str">
        <f t="shared" ca="1" si="36"/>
        <v/>
      </c>
      <c r="BV33" s="73" t="str">
        <f t="shared" ca="1" si="37"/>
        <v/>
      </c>
      <c r="BW33" s="73" t="str">
        <f t="shared" ca="1" si="38"/>
        <v/>
      </c>
      <c r="BX33" s="73" t="str">
        <f t="shared" ca="1" si="39"/>
        <v/>
      </c>
      <c r="BY33" s="73" t="str">
        <f t="shared" ca="1" si="40"/>
        <v/>
      </c>
      <c r="BZ33" s="73" t="str">
        <f t="shared" ca="1" si="41"/>
        <v/>
      </c>
      <c r="CD33" s="73" t="e">
        <f t="shared" ca="1" si="42"/>
        <v>#VALUE!</v>
      </c>
      <c r="CE33" s="73" t="str">
        <f t="shared" ca="1" si="43"/>
        <v/>
      </c>
      <c r="CF33" s="73" t="str">
        <f t="shared" ca="1" si="44"/>
        <v/>
      </c>
      <c r="CG33" s="73" t="str">
        <f t="shared" ca="1" si="45"/>
        <v/>
      </c>
      <c r="CH33" s="73" t="str">
        <f t="shared" ca="1" si="46"/>
        <v/>
      </c>
      <c r="CI33" s="73" t="str">
        <f t="shared" ca="1" si="47"/>
        <v/>
      </c>
      <c r="CJ33" s="73" t="str">
        <f t="shared" ca="1" si="48"/>
        <v/>
      </c>
      <c r="CK33" s="73" t="str">
        <f t="shared" ca="1" si="49"/>
        <v/>
      </c>
      <c r="CL33" s="73" t="str">
        <f t="shared" ca="1" si="50"/>
        <v/>
      </c>
      <c r="CM33" s="73" t="str">
        <f t="shared" ca="1" si="51"/>
        <v/>
      </c>
      <c r="CN33" s="73" t="str">
        <f t="shared" ca="1" si="52"/>
        <v/>
      </c>
      <c r="CO33" s="73" t="str">
        <f t="shared" ca="1" si="53"/>
        <v/>
      </c>
      <c r="CP33" s="73" t="str">
        <f t="shared" ca="1" si="54"/>
        <v/>
      </c>
      <c r="CQ33" s="73" t="str">
        <f t="shared" ca="1" si="55"/>
        <v/>
      </c>
    </row>
    <row r="34" spans="27:95" x14ac:dyDescent="0.2">
      <c r="AA34" s="72"/>
      <c r="AB34" s="250"/>
      <c r="AC34" s="247"/>
      <c r="AD34">
        <v>34</v>
      </c>
      <c r="AE34" s="73">
        <f t="shared" ca="1" si="58"/>
        <v>0</v>
      </c>
      <c r="AF34" s="73">
        <f t="shared" ca="1" si="58"/>
        <v>0</v>
      </c>
      <c r="AG34" s="73">
        <f t="shared" ca="1" si="58"/>
        <v>0</v>
      </c>
      <c r="AH34" s="73">
        <f t="shared" ca="1" si="58"/>
        <v>0</v>
      </c>
      <c r="AI34" s="73">
        <f t="shared" ca="1" si="58"/>
        <v>0</v>
      </c>
      <c r="AJ34" s="73">
        <f t="shared" ca="1" si="58"/>
        <v>0</v>
      </c>
      <c r="AK34" s="73">
        <f t="shared" ca="1" si="58"/>
        <v>0</v>
      </c>
      <c r="AL34" s="73">
        <f t="shared" ca="1" si="58"/>
        <v>0</v>
      </c>
      <c r="AM34" s="73">
        <f t="shared" ca="1" si="58"/>
        <v>0</v>
      </c>
      <c r="AN34" s="73">
        <f t="shared" ca="1" si="58"/>
        <v>0</v>
      </c>
      <c r="AO34" s="73">
        <f t="shared" ca="1" si="58"/>
        <v>0</v>
      </c>
      <c r="AP34" s="73">
        <f t="shared" ca="1" si="58"/>
        <v>0</v>
      </c>
      <c r="AQ34" s="73">
        <f t="shared" ca="1" si="58"/>
        <v>0</v>
      </c>
      <c r="AR34" s="73">
        <f t="shared" ca="1" si="58"/>
        <v>0</v>
      </c>
      <c r="AU34" s="247"/>
      <c r="AV34" s="73">
        <f t="shared" ca="1" si="59"/>
        <v>0</v>
      </c>
      <c r="AW34" s="73">
        <f t="shared" ca="1" si="59"/>
        <v>0</v>
      </c>
      <c r="AX34" s="73">
        <f t="shared" ca="1" si="59"/>
        <v>0</v>
      </c>
      <c r="AY34" s="73">
        <f t="shared" ca="1" si="59"/>
        <v>0</v>
      </c>
      <c r="AZ34" s="73">
        <f t="shared" ca="1" si="59"/>
        <v>0</v>
      </c>
      <c r="BA34" s="73">
        <f t="shared" ca="1" si="59"/>
        <v>0</v>
      </c>
      <c r="BB34" s="73">
        <f t="shared" ca="1" si="59"/>
        <v>0</v>
      </c>
      <c r="BC34" s="73">
        <f t="shared" ca="1" si="59"/>
        <v>0</v>
      </c>
      <c r="BD34" s="73">
        <f t="shared" ca="1" si="59"/>
        <v>0</v>
      </c>
      <c r="BE34" s="73">
        <f t="shared" ca="1" si="59"/>
        <v>0</v>
      </c>
      <c r="BF34" s="73">
        <f t="shared" ca="1" si="59"/>
        <v>0</v>
      </c>
      <c r="BG34" s="73">
        <f t="shared" ca="1" si="59"/>
        <v>0</v>
      </c>
      <c r="BH34" s="73">
        <f t="shared" ca="1" si="59"/>
        <v>0</v>
      </c>
      <c r="BI34" s="73">
        <f t="shared" ca="1" si="59"/>
        <v>0</v>
      </c>
      <c r="BM34" s="73" t="e">
        <f t="shared" ca="1" si="28"/>
        <v>#VALUE!</v>
      </c>
      <c r="BN34" s="73" t="str">
        <f t="shared" ca="1" si="29"/>
        <v/>
      </c>
      <c r="BO34" s="73" t="str">
        <f t="shared" ca="1" si="30"/>
        <v/>
      </c>
      <c r="BP34" s="73" t="str">
        <f t="shared" ca="1" si="31"/>
        <v/>
      </c>
      <c r="BQ34" s="73" t="str">
        <f t="shared" ca="1" si="32"/>
        <v/>
      </c>
      <c r="BR34" s="73" t="str">
        <f t="shared" ca="1" si="33"/>
        <v/>
      </c>
      <c r="BS34" s="73" t="str">
        <f t="shared" ca="1" si="34"/>
        <v/>
      </c>
      <c r="BT34" s="73" t="str">
        <f t="shared" ca="1" si="35"/>
        <v/>
      </c>
      <c r="BU34" s="73" t="str">
        <f t="shared" ca="1" si="36"/>
        <v/>
      </c>
      <c r="BV34" s="73" t="str">
        <f t="shared" ca="1" si="37"/>
        <v/>
      </c>
      <c r="BW34" s="73" t="str">
        <f t="shared" ca="1" si="38"/>
        <v/>
      </c>
      <c r="BX34" s="73" t="str">
        <f t="shared" ca="1" si="39"/>
        <v/>
      </c>
      <c r="BY34" s="73" t="str">
        <f t="shared" ca="1" si="40"/>
        <v/>
      </c>
      <c r="BZ34" s="73" t="str">
        <f t="shared" ca="1" si="41"/>
        <v/>
      </c>
      <c r="CD34" s="73" t="e">
        <f t="shared" ca="1" si="42"/>
        <v>#VALUE!</v>
      </c>
      <c r="CE34" s="73" t="str">
        <f t="shared" ca="1" si="43"/>
        <v/>
      </c>
      <c r="CF34" s="73" t="str">
        <f t="shared" ca="1" si="44"/>
        <v/>
      </c>
      <c r="CG34" s="73" t="str">
        <f t="shared" ca="1" si="45"/>
        <v/>
      </c>
      <c r="CH34" s="73" t="str">
        <f t="shared" ca="1" si="46"/>
        <v/>
      </c>
      <c r="CI34" s="73" t="str">
        <f t="shared" ca="1" si="47"/>
        <v/>
      </c>
      <c r="CJ34" s="73" t="str">
        <f t="shared" ca="1" si="48"/>
        <v/>
      </c>
      <c r="CK34" s="73" t="str">
        <f t="shared" ca="1" si="49"/>
        <v/>
      </c>
      <c r="CL34" s="73" t="str">
        <f t="shared" ca="1" si="50"/>
        <v/>
      </c>
      <c r="CM34" s="73" t="str">
        <f t="shared" ca="1" si="51"/>
        <v/>
      </c>
      <c r="CN34" s="73" t="str">
        <f t="shared" ca="1" si="52"/>
        <v/>
      </c>
      <c r="CO34" s="73" t="str">
        <f t="shared" ca="1" si="53"/>
        <v/>
      </c>
      <c r="CP34" s="73" t="str">
        <f t="shared" ca="1" si="54"/>
        <v/>
      </c>
      <c r="CQ34" s="73" t="str">
        <f t="shared" ca="1" si="55"/>
        <v/>
      </c>
    </row>
    <row r="35" spans="27:95" x14ac:dyDescent="0.2">
      <c r="AA35" s="72"/>
      <c r="AB35" s="250" t="s">
        <v>20</v>
      </c>
      <c r="AC35" s="247" t="str">
        <f>CONCATENATE(AB35," Reference")</f>
        <v>640x360 Reference</v>
      </c>
      <c r="AD35">
        <v>35</v>
      </c>
      <c r="AE35" s="73">
        <f t="shared" ref="AE35:AR40" ca="1" si="60">INDIRECT("'"&amp;$B$3&amp;"'!"&amp;ADDRESS($AD35,AE$1))</f>
        <v>0</v>
      </c>
      <c r="AF35" s="73">
        <f t="shared" ca="1" si="60"/>
        <v>0</v>
      </c>
      <c r="AG35" s="73">
        <f t="shared" ca="1" si="60"/>
        <v>0</v>
      </c>
      <c r="AH35" s="73">
        <f t="shared" ca="1" si="60"/>
        <v>0</v>
      </c>
      <c r="AI35" s="73">
        <f t="shared" ca="1" si="60"/>
        <v>0</v>
      </c>
      <c r="AJ35" s="73">
        <f t="shared" ca="1" si="60"/>
        <v>0</v>
      </c>
      <c r="AK35" s="73">
        <f t="shared" ca="1" si="60"/>
        <v>0</v>
      </c>
      <c r="AL35" s="73">
        <f t="shared" ca="1" si="60"/>
        <v>0</v>
      </c>
      <c r="AM35" s="73">
        <f t="shared" ca="1" si="60"/>
        <v>0</v>
      </c>
      <c r="AN35" s="73">
        <f t="shared" ca="1" si="60"/>
        <v>0</v>
      </c>
      <c r="AO35" s="73">
        <f t="shared" ca="1" si="60"/>
        <v>0</v>
      </c>
      <c r="AP35" s="73">
        <f t="shared" ca="1" si="60"/>
        <v>0</v>
      </c>
      <c r="AQ35" s="73">
        <f t="shared" ca="1" si="60"/>
        <v>0</v>
      </c>
      <c r="AR35" s="73">
        <f t="shared" ca="1" si="60"/>
        <v>0</v>
      </c>
      <c r="AU35" s="247" t="str">
        <f>CONCATENATE(AB35," Test")</f>
        <v>640x360 Test</v>
      </c>
      <c r="AV35" s="73">
        <f t="shared" ref="AV35:BI40" ca="1" si="61">INDIRECT("'"&amp;$B$3&amp;"'!"&amp;ADDRESS($AD35,AV$1))</f>
        <v>0</v>
      </c>
      <c r="AW35" s="73">
        <f t="shared" ca="1" si="61"/>
        <v>0</v>
      </c>
      <c r="AX35" s="73">
        <f t="shared" ca="1" si="61"/>
        <v>0</v>
      </c>
      <c r="AY35" s="73">
        <f t="shared" ca="1" si="61"/>
        <v>0</v>
      </c>
      <c r="AZ35" s="73">
        <f t="shared" ca="1" si="61"/>
        <v>0</v>
      </c>
      <c r="BA35" s="73">
        <f t="shared" ca="1" si="61"/>
        <v>0</v>
      </c>
      <c r="BB35" s="73">
        <f t="shared" ca="1" si="61"/>
        <v>0</v>
      </c>
      <c r="BC35" s="73">
        <f t="shared" ca="1" si="61"/>
        <v>0</v>
      </c>
      <c r="BD35" s="73">
        <f t="shared" ca="1" si="61"/>
        <v>0</v>
      </c>
      <c r="BE35" s="73">
        <f t="shared" ca="1" si="61"/>
        <v>0</v>
      </c>
      <c r="BF35" s="73">
        <f t="shared" ca="1" si="61"/>
        <v>0</v>
      </c>
      <c r="BG35" s="73">
        <f t="shared" ca="1" si="61"/>
        <v>0</v>
      </c>
      <c r="BH35" s="73">
        <f t="shared" ca="1" si="61"/>
        <v>0</v>
      </c>
      <c r="BI35" s="73">
        <f t="shared" ca="1" si="61"/>
        <v>0</v>
      </c>
      <c r="BM35" s="73" t="e">
        <f t="shared" ca="1" si="28"/>
        <v>#VALUE!</v>
      </c>
      <c r="BN35" s="73" t="str">
        <f t="shared" ca="1" si="29"/>
        <v/>
      </c>
      <c r="BO35" s="73" t="str">
        <f t="shared" ca="1" si="30"/>
        <v/>
      </c>
      <c r="BP35" s="73" t="str">
        <f t="shared" ca="1" si="31"/>
        <v/>
      </c>
      <c r="BQ35" s="73" t="str">
        <f t="shared" ca="1" si="32"/>
        <v/>
      </c>
      <c r="BR35" s="73" t="str">
        <f t="shared" ca="1" si="33"/>
        <v/>
      </c>
      <c r="BS35" s="73" t="str">
        <f t="shared" ca="1" si="34"/>
        <v/>
      </c>
      <c r="BT35" s="73" t="str">
        <f t="shared" ca="1" si="35"/>
        <v/>
      </c>
      <c r="BU35" s="73" t="str">
        <f t="shared" ca="1" si="36"/>
        <v/>
      </c>
      <c r="BV35" s="73" t="str">
        <f t="shared" ca="1" si="37"/>
        <v/>
      </c>
      <c r="BW35" s="73" t="str">
        <f t="shared" ca="1" si="38"/>
        <v/>
      </c>
      <c r="BX35" s="73" t="str">
        <f t="shared" ca="1" si="39"/>
        <v/>
      </c>
      <c r="BY35" s="73" t="str">
        <f t="shared" ca="1" si="40"/>
        <v/>
      </c>
      <c r="BZ35" s="73" t="str">
        <f t="shared" ca="1" si="41"/>
        <v/>
      </c>
      <c r="CD35" s="73" t="e">
        <f t="shared" ca="1" si="42"/>
        <v>#VALUE!</v>
      </c>
      <c r="CE35" s="73" t="str">
        <f t="shared" ca="1" si="43"/>
        <v/>
      </c>
      <c r="CF35" s="73" t="str">
        <f t="shared" ca="1" si="44"/>
        <v/>
      </c>
      <c r="CG35" s="73" t="str">
        <f t="shared" ca="1" si="45"/>
        <v/>
      </c>
      <c r="CH35" s="73" t="str">
        <f t="shared" ca="1" si="46"/>
        <v/>
      </c>
      <c r="CI35" s="73" t="str">
        <f t="shared" ca="1" si="47"/>
        <v/>
      </c>
      <c r="CJ35" s="73" t="str">
        <f t="shared" ca="1" si="48"/>
        <v/>
      </c>
      <c r="CK35" s="73" t="str">
        <f t="shared" ca="1" si="49"/>
        <v/>
      </c>
      <c r="CL35" s="73" t="str">
        <f t="shared" ca="1" si="50"/>
        <v/>
      </c>
      <c r="CM35" s="73" t="str">
        <f t="shared" ca="1" si="51"/>
        <v/>
      </c>
      <c r="CN35" s="73" t="str">
        <f t="shared" ca="1" si="52"/>
        <v/>
      </c>
      <c r="CO35" s="73" t="str">
        <f t="shared" ca="1" si="53"/>
        <v/>
      </c>
      <c r="CP35" s="73" t="str">
        <f t="shared" ca="1" si="54"/>
        <v/>
      </c>
      <c r="CQ35" s="73" t="str">
        <f t="shared" ca="1" si="55"/>
        <v/>
      </c>
    </row>
    <row r="36" spans="27:95" x14ac:dyDescent="0.2">
      <c r="AA36" s="72"/>
      <c r="AB36" s="250"/>
      <c r="AC36" s="247"/>
      <c r="AD36">
        <v>36</v>
      </c>
      <c r="AE36" s="73">
        <f t="shared" ca="1" si="60"/>
        <v>0</v>
      </c>
      <c r="AF36" s="73">
        <f t="shared" ca="1" si="60"/>
        <v>0</v>
      </c>
      <c r="AG36" s="73">
        <f t="shared" ca="1" si="60"/>
        <v>0</v>
      </c>
      <c r="AH36" s="73">
        <f t="shared" ca="1" si="60"/>
        <v>0</v>
      </c>
      <c r="AI36" s="73">
        <f t="shared" ca="1" si="60"/>
        <v>0</v>
      </c>
      <c r="AJ36" s="73">
        <f t="shared" ca="1" si="60"/>
        <v>0</v>
      </c>
      <c r="AK36" s="73">
        <f t="shared" ca="1" si="60"/>
        <v>0</v>
      </c>
      <c r="AL36" s="73">
        <f t="shared" ca="1" si="60"/>
        <v>0</v>
      </c>
      <c r="AM36" s="73">
        <f t="shared" ca="1" si="60"/>
        <v>0</v>
      </c>
      <c r="AN36" s="73">
        <f t="shared" ca="1" si="60"/>
        <v>0</v>
      </c>
      <c r="AO36" s="73">
        <f t="shared" ca="1" si="60"/>
        <v>0</v>
      </c>
      <c r="AP36" s="73">
        <f t="shared" ca="1" si="60"/>
        <v>0</v>
      </c>
      <c r="AQ36" s="73">
        <f t="shared" ca="1" si="60"/>
        <v>0</v>
      </c>
      <c r="AR36" s="73">
        <f t="shared" ca="1" si="60"/>
        <v>0</v>
      </c>
      <c r="AU36" s="247"/>
      <c r="AV36" s="73">
        <f t="shared" ca="1" si="61"/>
        <v>0</v>
      </c>
      <c r="AW36" s="73">
        <f t="shared" ca="1" si="61"/>
        <v>0</v>
      </c>
      <c r="AX36" s="73">
        <f t="shared" ca="1" si="61"/>
        <v>0</v>
      </c>
      <c r="AY36" s="73">
        <f t="shared" ca="1" si="61"/>
        <v>0</v>
      </c>
      <c r="AZ36" s="73">
        <f t="shared" ca="1" si="61"/>
        <v>0</v>
      </c>
      <c r="BA36" s="73">
        <f t="shared" ca="1" si="61"/>
        <v>0</v>
      </c>
      <c r="BB36" s="73">
        <f t="shared" ca="1" si="61"/>
        <v>0</v>
      </c>
      <c r="BC36" s="73">
        <f t="shared" ca="1" si="61"/>
        <v>0</v>
      </c>
      <c r="BD36" s="73">
        <f t="shared" ca="1" si="61"/>
        <v>0</v>
      </c>
      <c r="BE36" s="73">
        <f t="shared" ca="1" si="61"/>
        <v>0</v>
      </c>
      <c r="BF36" s="73">
        <f t="shared" ca="1" si="61"/>
        <v>0</v>
      </c>
      <c r="BG36" s="73">
        <f t="shared" ca="1" si="61"/>
        <v>0</v>
      </c>
      <c r="BH36" s="73">
        <f t="shared" ca="1" si="61"/>
        <v>0</v>
      </c>
      <c r="BI36" s="73">
        <f t="shared" ca="1" si="61"/>
        <v>0</v>
      </c>
      <c r="BM36" s="73" t="e">
        <f t="shared" ca="1" si="28"/>
        <v>#VALUE!</v>
      </c>
      <c r="BN36" s="73" t="str">
        <f t="shared" ca="1" si="29"/>
        <v/>
      </c>
      <c r="BO36" s="73" t="str">
        <f t="shared" ca="1" si="30"/>
        <v/>
      </c>
      <c r="BP36" s="73" t="str">
        <f t="shared" ca="1" si="31"/>
        <v/>
      </c>
      <c r="BQ36" s="73" t="str">
        <f t="shared" ca="1" si="32"/>
        <v/>
      </c>
      <c r="BR36" s="73" t="str">
        <f t="shared" ca="1" si="33"/>
        <v/>
      </c>
      <c r="BS36" s="73" t="str">
        <f t="shared" ca="1" si="34"/>
        <v/>
      </c>
      <c r="BT36" s="73" t="str">
        <f t="shared" ca="1" si="35"/>
        <v/>
      </c>
      <c r="BU36" s="73" t="str">
        <f t="shared" ca="1" si="36"/>
        <v/>
      </c>
      <c r="BV36" s="73" t="str">
        <f t="shared" ca="1" si="37"/>
        <v/>
      </c>
      <c r="BW36" s="73" t="str">
        <f t="shared" ca="1" si="38"/>
        <v/>
      </c>
      <c r="BX36" s="73" t="str">
        <f t="shared" ca="1" si="39"/>
        <v/>
      </c>
      <c r="BY36" s="73" t="str">
        <f t="shared" ca="1" si="40"/>
        <v/>
      </c>
      <c r="BZ36" s="73" t="str">
        <f t="shared" ca="1" si="41"/>
        <v/>
      </c>
      <c r="CD36" s="73" t="e">
        <f t="shared" ca="1" si="42"/>
        <v>#VALUE!</v>
      </c>
      <c r="CE36" s="73" t="str">
        <f t="shared" ca="1" si="43"/>
        <v/>
      </c>
      <c r="CF36" s="73" t="str">
        <f t="shared" ca="1" si="44"/>
        <v/>
      </c>
      <c r="CG36" s="73" t="str">
        <f t="shared" ca="1" si="45"/>
        <v/>
      </c>
      <c r="CH36" s="73" t="str">
        <f t="shared" ca="1" si="46"/>
        <v/>
      </c>
      <c r="CI36" s="73" t="str">
        <f t="shared" ca="1" si="47"/>
        <v/>
      </c>
      <c r="CJ36" s="73" t="str">
        <f t="shared" ca="1" si="48"/>
        <v/>
      </c>
      <c r="CK36" s="73" t="str">
        <f t="shared" ca="1" si="49"/>
        <v/>
      </c>
      <c r="CL36" s="73" t="str">
        <f t="shared" ca="1" si="50"/>
        <v/>
      </c>
      <c r="CM36" s="73" t="str">
        <f t="shared" ca="1" si="51"/>
        <v/>
      </c>
      <c r="CN36" s="73" t="str">
        <f t="shared" ca="1" si="52"/>
        <v/>
      </c>
      <c r="CO36" s="73" t="str">
        <f t="shared" ca="1" si="53"/>
        <v/>
      </c>
      <c r="CP36" s="73" t="str">
        <f t="shared" ca="1" si="54"/>
        <v/>
      </c>
      <c r="CQ36" s="73" t="str">
        <f t="shared" ca="1" si="55"/>
        <v/>
      </c>
    </row>
    <row r="37" spans="27:95" x14ac:dyDescent="0.2">
      <c r="AA37" s="72"/>
      <c r="AB37" s="250"/>
      <c r="AC37" s="247"/>
      <c r="AD37">
        <v>37</v>
      </c>
      <c r="AE37" s="73">
        <f t="shared" ca="1" si="60"/>
        <v>0</v>
      </c>
      <c r="AF37" s="73">
        <f t="shared" ca="1" si="60"/>
        <v>0</v>
      </c>
      <c r="AG37" s="73">
        <f t="shared" ca="1" si="60"/>
        <v>0</v>
      </c>
      <c r="AH37" s="73">
        <f t="shared" ca="1" si="60"/>
        <v>0</v>
      </c>
      <c r="AI37" s="73">
        <f t="shared" ca="1" si="60"/>
        <v>0</v>
      </c>
      <c r="AJ37" s="73">
        <f t="shared" ca="1" si="60"/>
        <v>0</v>
      </c>
      <c r="AK37" s="73">
        <f t="shared" ca="1" si="60"/>
        <v>0</v>
      </c>
      <c r="AL37" s="73">
        <f t="shared" ca="1" si="60"/>
        <v>0</v>
      </c>
      <c r="AM37" s="73">
        <f t="shared" ca="1" si="60"/>
        <v>0</v>
      </c>
      <c r="AN37" s="73">
        <f t="shared" ca="1" si="60"/>
        <v>0</v>
      </c>
      <c r="AO37" s="73">
        <f t="shared" ca="1" si="60"/>
        <v>0</v>
      </c>
      <c r="AP37" s="73">
        <f t="shared" ca="1" si="60"/>
        <v>0</v>
      </c>
      <c r="AQ37" s="73">
        <f t="shared" ca="1" si="60"/>
        <v>0</v>
      </c>
      <c r="AR37" s="73">
        <f t="shared" ca="1" si="60"/>
        <v>0</v>
      </c>
      <c r="AU37" s="247"/>
      <c r="AV37" s="73">
        <f t="shared" ca="1" si="61"/>
        <v>0</v>
      </c>
      <c r="AW37" s="73">
        <f t="shared" ca="1" si="61"/>
        <v>0</v>
      </c>
      <c r="AX37" s="73">
        <f t="shared" ca="1" si="61"/>
        <v>0</v>
      </c>
      <c r="AY37" s="73">
        <f t="shared" ca="1" si="61"/>
        <v>0</v>
      </c>
      <c r="AZ37" s="73">
        <f t="shared" ca="1" si="61"/>
        <v>0</v>
      </c>
      <c r="BA37" s="73">
        <f t="shared" ca="1" si="61"/>
        <v>0</v>
      </c>
      <c r="BB37" s="73">
        <f t="shared" ca="1" si="61"/>
        <v>0</v>
      </c>
      <c r="BC37" s="73">
        <f t="shared" ca="1" si="61"/>
        <v>0</v>
      </c>
      <c r="BD37" s="73">
        <f t="shared" ca="1" si="61"/>
        <v>0</v>
      </c>
      <c r="BE37" s="73">
        <f t="shared" ca="1" si="61"/>
        <v>0</v>
      </c>
      <c r="BF37" s="73">
        <f t="shared" ca="1" si="61"/>
        <v>0</v>
      </c>
      <c r="BG37" s="73">
        <f t="shared" ca="1" si="61"/>
        <v>0</v>
      </c>
      <c r="BH37" s="73">
        <f t="shared" ca="1" si="61"/>
        <v>0</v>
      </c>
      <c r="BI37" s="73">
        <f t="shared" ca="1" si="61"/>
        <v>0</v>
      </c>
      <c r="BM37" s="73" t="e">
        <f t="shared" ca="1" si="28"/>
        <v>#VALUE!</v>
      </c>
      <c r="BN37" s="73" t="str">
        <f t="shared" ca="1" si="29"/>
        <v/>
      </c>
      <c r="BO37" s="73" t="str">
        <f t="shared" ca="1" si="30"/>
        <v/>
      </c>
      <c r="BP37" s="73" t="str">
        <f t="shared" ca="1" si="31"/>
        <v/>
      </c>
      <c r="BQ37" s="73" t="str">
        <f t="shared" ca="1" si="32"/>
        <v/>
      </c>
      <c r="BR37" s="73" t="str">
        <f t="shared" ca="1" si="33"/>
        <v/>
      </c>
      <c r="BS37" s="73" t="str">
        <f t="shared" ca="1" si="34"/>
        <v/>
      </c>
      <c r="BT37" s="73" t="str">
        <f t="shared" ca="1" si="35"/>
        <v/>
      </c>
      <c r="BU37" s="73" t="str">
        <f t="shared" ca="1" si="36"/>
        <v/>
      </c>
      <c r="BV37" s="73" t="str">
        <f t="shared" ca="1" si="37"/>
        <v/>
      </c>
      <c r="BW37" s="73" t="str">
        <f t="shared" ca="1" si="38"/>
        <v/>
      </c>
      <c r="BX37" s="73" t="str">
        <f t="shared" ca="1" si="39"/>
        <v/>
      </c>
      <c r="BY37" s="73" t="str">
        <f t="shared" ca="1" si="40"/>
        <v/>
      </c>
      <c r="BZ37" s="73" t="str">
        <f t="shared" ca="1" si="41"/>
        <v/>
      </c>
      <c r="CD37" s="73" t="e">
        <f t="shared" ca="1" si="42"/>
        <v>#VALUE!</v>
      </c>
      <c r="CE37" s="73" t="str">
        <f t="shared" ca="1" si="43"/>
        <v/>
      </c>
      <c r="CF37" s="73" t="str">
        <f t="shared" ca="1" si="44"/>
        <v/>
      </c>
      <c r="CG37" s="73" t="str">
        <f t="shared" ca="1" si="45"/>
        <v/>
      </c>
      <c r="CH37" s="73" t="str">
        <f t="shared" ca="1" si="46"/>
        <v/>
      </c>
      <c r="CI37" s="73" t="str">
        <f t="shared" ca="1" si="47"/>
        <v/>
      </c>
      <c r="CJ37" s="73" t="str">
        <f t="shared" ca="1" si="48"/>
        <v/>
      </c>
      <c r="CK37" s="73" t="str">
        <f t="shared" ca="1" si="49"/>
        <v/>
      </c>
      <c r="CL37" s="73" t="str">
        <f t="shared" ca="1" si="50"/>
        <v/>
      </c>
      <c r="CM37" s="73" t="str">
        <f t="shared" ca="1" si="51"/>
        <v/>
      </c>
      <c r="CN37" s="73" t="str">
        <f t="shared" ca="1" si="52"/>
        <v/>
      </c>
      <c r="CO37" s="73" t="str">
        <f t="shared" ca="1" si="53"/>
        <v/>
      </c>
      <c r="CP37" s="73" t="str">
        <f t="shared" ca="1" si="54"/>
        <v/>
      </c>
      <c r="CQ37" s="73" t="str">
        <f t="shared" ca="1" si="55"/>
        <v/>
      </c>
    </row>
    <row r="38" spans="27:95" x14ac:dyDescent="0.2">
      <c r="AA38" s="72"/>
      <c r="AB38" s="250"/>
      <c r="AC38" s="247"/>
      <c r="AD38">
        <v>38</v>
      </c>
      <c r="AE38" s="73">
        <f t="shared" ca="1" si="60"/>
        <v>0</v>
      </c>
      <c r="AF38" s="73">
        <f t="shared" ca="1" si="60"/>
        <v>0</v>
      </c>
      <c r="AG38" s="73">
        <f t="shared" ca="1" si="60"/>
        <v>0</v>
      </c>
      <c r="AH38" s="73">
        <f t="shared" ca="1" si="60"/>
        <v>0</v>
      </c>
      <c r="AI38" s="73">
        <f t="shared" ca="1" si="60"/>
        <v>0</v>
      </c>
      <c r="AJ38" s="73">
        <f t="shared" ca="1" si="60"/>
        <v>0</v>
      </c>
      <c r="AK38" s="73">
        <f t="shared" ca="1" si="60"/>
        <v>0</v>
      </c>
      <c r="AL38" s="73">
        <f t="shared" ca="1" si="60"/>
        <v>0</v>
      </c>
      <c r="AM38" s="73">
        <f t="shared" ca="1" si="60"/>
        <v>0</v>
      </c>
      <c r="AN38" s="73">
        <f t="shared" ca="1" si="60"/>
        <v>0</v>
      </c>
      <c r="AO38" s="73">
        <f t="shared" ca="1" si="60"/>
        <v>0</v>
      </c>
      <c r="AP38" s="73">
        <f t="shared" ca="1" si="60"/>
        <v>0</v>
      </c>
      <c r="AQ38" s="73">
        <f t="shared" ca="1" si="60"/>
        <v>0</v>
      </c>
      <c r="AR38" s="73">
        <f t="shared" ca="1" si="60"/>
        <v>0</v>
      </c>
      <c r="AU38" s="247"/>
      <c r="AV38" s="73">
        <f t="shared" ca="1" si="61"/>
        <v>0</v>
      </c>
      <c r="AW38" s="73">
        <f t="shared" ca="1" si="61"/>
        <v>0</v>
      </c>
      <c r="AX38" s="73">
        <f t="shared" ca="1" si="61"/>
        <v>0</v>
      </c>
      <c r="AY38" s="73">
        <f t="shared" ca="1" si="61"/>
        <v>0</v>
      </c>
      <c r="AZ38" s="73">
        <f t="shared" ca="1" si="61"/>
        <v>0</v>
      </c>
      <c r="BA38" s="73">
        <f t="shared" ca="1" si="61"/>
        <v>0</v>
      </c>
      <c r="BB38" s="73">
        <f t="shared" ca="1" si="61"/>
        <v>0</v>
      </c>
      <c r="BC38" s="73">
        <f t="shared" ca="1" si="61"/>
        <v>0</v>
      </c>
      <c r="BD38" s="73">
        <f t="shared" ca="1" si="61"/>
        <v>0</v>
      </c>
      <c r="BE38" s="73">
        <f t="shared" ca="1" si="61"/>
        <v>0</v>
      </c>
      <c r="BF38" s="73">
        <f t="shared" ca="1" si="61"/>
        <v>0</v>
      </c>
      <c r="BG38" s="73">
        <f t="shared" ca="1" si="61"/>
        <v>0</v>
      </c>
      <c r="BH38" s="73">
        <f t="shared" ca="1" si="61"/>
        <v>0</v>
      </c>
      <c r="BI38" s="73">
        <f t="shared" ca="1" si="61"/>
        <v>0</v>
      </c>
      <c r="BM38" s="73" t="e">
        <f t="shared" ca="1" si="28"/>
        <v>#VALUE!</v>
      </c>
      <c r="BN38" s="73" t="str">
        <f t="shared" ca="1" si="29"/>
        <v/>
      </c>
      <c r="BO38" s="73" t="str">
        <f t="shared" ca="1" si="30"/>
        <v/>
      </c>
      <c r="BP38" s="73" t="str">
        <f t="shared" ca="1" si="31"/>
        <v/>
      </c>
      <c r="BQ38" s="73" t="str">
        <f t="shared" ca="1" si="32"/>
        <v/>
      </c>
      <c r="BR38" s="73" t="str">
        <f t="shared" ca="1" si="33"/>
        <v/>
      </c>
      <c r="BS38" s="73" t="str">
        <f t="shared" ca="1" si="34"/>
        <v/>
      </c>
      <c r="BT38" s="73" t="str">
        <f t="shared" ca="1" si="35"/>
        <v/>
      </c>
      <c r="BU38" s="73" t="str">
        <f t="shared" ca="1" si="36"/>
        <v/>
      </c>
      <c r="BV38" s="73" t="str">
        <f t="shared" ca="1" si="37"/>
        <v/>
      </c>
      <c r="BW38" s="73" t="str">
        <f t="shared" ca="1" si="38"/>
        <v/>
      </c>
      <c r="BX38" s="73" t="str">
        <f t="shared" ca="1" si="39"/>
        <v/>
      </c>
      <c r="BY38" s="73" t="str">
        <f t="shared" ca="1" si="40"/>
        <v/>
      </c>
      <c r="BZ38" s="73" t="str">
        <f t="shared" ca="1" si="41"/>
        <v/>
      </c>
      <c r="CD38" s="73" t="e">
        <f t="shared" ca="1" si="42"/>
        <v>#VALUE!</v>
      </c>
      <c r="CE38" s="73" t="str">
        <f t="shared" ca="1" si="43"/>
        <v/>
      </c>
      <c r="CF38" s="73" t="str">
        <f t="shared" ca="1" si="44"/>
        <v/>
      </c>
      <c r="CG38" s="73" t="str">
        <f t="shared" ca="1" si="45"/>
        <v/>
      </c>
      <c r="CH38" s="73" t="str">
        <f t="shared" ca="1" si="46"/>
        <v/>
      </c>
      <c r="CI38" s="73" t="str">
        <f t="shared" ca="1" si="47"/>
        <v/>
      </c>
      <c r="CJ38" s="73" t="str">
        <f t="shared" ca="1" si="48"/>
        <v/>
      </c>
      <c r="CK38" s="73" t="str">
        <f t="shared" ca="1" si="49"/>
        <v/>
      </c>
      <c r="CL38" s="73" t="str">
        <f t="shared" ca="1" si="50"/>
        <v/>
      </c>
      <c r="CM38" s="73" t="str">
        <f t="shared" ca="1" si="51"/>
        <v/>
      </c>
      <c r="CN38" s="73" t="str">
        <f t="shared" ca="1" si="52"/>
        <v/>
      </c>
      <c r="CO38" s="73" t="str">
        <f t="shared" ca="1" si="53"/>
        <v/>
      </c>
      <c r="CP38" s="73" t="str">
        <f t="shared" ca="1" si="54"/>
        <v/>
      </c>
      <c r="CQ38" s="73" t="str">
        <f t="shared" ca="1" si="55"/>
        <v/>
      </c>
    </row>
    <row r="39" spans="27:95" x14ac:dyDescent="0.2">
      <c r="AA39" s="72"/>
      <c r="AB39" s="250"/>
      <c r="AC39" s="247"/>
      <c r="AD39">
        <v>39</v>
      </c>
      <c r="AE39" s="73">
        <f t="shared" ca="1" si="60"/>
        <v>0</v>
      </c>
      <c r="AF39" s="73">
        <f t="shared" ca="1" si="60"/>
        <v>0</v>
      </c>
      <c r="AG39" s="73">
        <f t="shared" ca="1" si="60"/>
        <v>0</v>
      </c>
      <c r="AH39" s="73">
        <f t="shared" ca="1" si="60"/>
        <v>0</v>
      </c>
      <c r="AI39" s="73">
        <f t="shared" ca="1" si="60"/>
        <v>0</v>
      </c>
      <c r="AJ39" s="73">
        <f t="shared" ca="1" si="60"/>
        <v>0</v>
      </c>
      <c r="AK39" s="73">
        <f t="shared" ca="1" si="60"/>
        <v>0</v>
      </c>
      <c r="AL39" s="73">
        <f t="shared" ca="1" si="60"/>
        <v>0</v>
      </c>
      <c r="AM39" s="73">
        <f t="shared" ca="1" si="60"/>
        <v>0</v>
      </c>
      <c r="AN39" s="73">
        <f t="shared" ca="1" si="60"/>
        <v>0</v>
      </c>
      <c r="AO39" s="73">
        <f t="shared" ca="1" si="60"/>
        <v>0</v>
      </c>
      <c r="AP39" s="73">
        <f t="shared" ca="1" si="60"/>
        <v>0</v>
      </c>
      <c r="AQ39" s="73">
        <f t="shared" ca="1" si="60"/>
        <v>0</v>
      </c>
      <c r="AR39" s="73">
        <f t="shared" ca="1" si="60"/>
        <v>0</v>
      </c>
      <c r="AS39" s="74"/>
      <c r="AT39" s="74"/>
      <c r="AU39" s="247"/>
      <c r="AV39" s="73">
        <f t="shared" ca="1" si="61"/>
        <v>0</v>
      </c>
      <c r="AW39" s="73">
        <f t="shared" ca="1" si="61"/>
        <v>0</v>
      </c>
      <c r="AX39" s="73">
        <f t="shared" ca="1" si="61"/>
        <v>0</v>
      </c>
      <c r="AY39" s="73">
        <f t="shared" ca="1" si="61"/>
        <v>0</v>
      </c>
      <c r="AZ39" s="73">
        <f t="shared" ca="1" si="61"/>
        <v>0</v>
      </c>
      <c r="BA39" s="73">
        <f t="shared" ca="1" si="61"/>
        <v>0</v>
      </c>
      <c r="BB39" s="73">
        <f t="shared" ca="1" si="61"/>
        <v>0</v>
      </c>
      <c r="BC39" s="73">
        <f t="shared" ca="1" si="61"/>
        <v>0</v>
      </c>
      <c r="BD39" s="73">
        <f t="shared" ca="1" si="61"/>
        <v>0</v>
      </c>
      <c r="BE39" s="73">
        <f t="shared" ca="1" si="61"/>
        <v>0</v>
      </c>
      <c r="BF39" s="73">
        <f t="shared" ca="1" si="61"/>
        <v>0</v>
      </c>
      <c r="BG39" s="73">
        <f t="shared" ca="1" si="61"/>
        <v>0</v>
      </c>
      <c r="BH39" s="73">
        <f t="shared" ca="1" si="61"/>
        <v>0</v>
      </c>
      <c r="BI39" s="73">
        <f t="shared" ca="1" si="61"/>
        <v>0</v>
      </c>
      <c r="BM39" s="73" t="e">
        <f t="shared" ca="1" si="28"/>
        <v>#VALUE!</v>
      </c>
      <c r="BN39" s="73" t="str">
        <f t="shared" ca="1" si="29"/>
        <v/>
      </c>
      <c r="BO39" s="73" t="str">
        <f t="shared" ca="1" si="30"/>
        <v/>
      </c>
      <c r="BP39" s="73" t="str">
        <f t="shared" ca="1" si="31"/>
        <v/>
      </c>
      <c r="BQ39" s="73" t="str">
        <f t="shared" ca="1" si="32"/>
        <v/>
      </c>
      <c r="BR39" s="73" t="str">
        <f t="shared" ca="1" si="33"/>
        <v/>
      </c>
      <c r="BS39" s="73" t="str">
        <f t="shared" ca="1" si="34"/>
        <v/>
      </c>
      <c r="BT39" s="73" t="str">
        <f t="shared" ca="1" si="35"/>
        <v/>
      </c>
      <c r="BU39" s="73" t="str">
        <f t="shared" ca="1" si="36"/>
        <v/>
      </c>
      <c r="BV39" s="73" t="str">
        <f t="shared" ca="1" si="37"/>
        <v/>
      </c>
      <c r="BW39" s="73" t="str">
        <f t="shared" ca="1" si="38"/>
        <v/>
      </c>
      <c r="BX39" s="73" t="str">
        <f t="shared" ca="1" si="39"/>
        <v/>
      </c>
      <c r="BY39" s="73" t="str">
        <f t="shared" ca="1" si="40"/>
        <v/>
      </c>
      <c r="BZ39" s="73" t="str">
        <f t="shared" ca="1" si="41"/>
        <v/>
      </c>
      <c r="CD39" s="73" t="e">
        <f t="shared" ca="1" si="42"/>
        <v>#VALUE!</v>
      </c>
      <c r="CE39" s="73" t="str">
        <f t="shared" ca="1" si="43"/>
        <v/>
      </c>
      <c r="CF39" s="73" t="str">
        <f t="shared" ca="1" si="44"/>
        <v/>
      </c>
      <c r="CG39" s="73" t="str">
        <f t="shared" ca="1" si="45"/>
        <v/>
      </c>
      <c r="CH39" s="73" t="str">
        <f t="shared" ca="1" si="46"/>
        <v/>
      </c>
      <c r="CI39" s="73" t="str">
        <f t="shared" ca="1" si="47"/>
        <v/>
      </c>
      <c r="CJ39" s="73" t="str">
        <f t="shared" ca="1" si="48"/>
        <v/>
      </c>
      <c r="CK39" s="73" t="str">
        <f t="shared" ca="1" si="49"/>
        <v/>
      </c>
      <c r="CL39" s="73" t="str">
        <f t="shared" ca="1" si="50"/>
        <v/>
      </c>
      <c r="CM39" s="73" t="str">
        <f t="shared" ca="1" si="51"/>
        <v/>
      </c>
      <c r="CN39" s="73" t="str">
        <f t="shared" ca="1" si="52"/>
        <v/>
      </c>
      <c r="CO39" s="73" t="str">
        <f t="shared" ca="1" si="53"/>
        <v/>
      </c>
      <c r="CP39" s="73" t="str">
        <f t="shared" ca="1" si="54"/>
        <v/>
      </c>
      <c r="CQ39" s="73" t="str">
        <f t="shared" ca="1" si="55"/>
        <v/>
      </c>
    </row>
    <row r="40" spans="27:95" x14ac:dyDescent="0.2">
      <c r="AA40" s="72"/>
      <c r="AB40" s="250"/>
      <c r="AC40" s="247"/>
      <c r="AD40">
        <v>40</v>
      </c>
      <c r="AE40" s="73">
        <f t="shared" ca="1" si="60"/>
        <v>0</v>
      </c>
      <c r="AF40" s="73">
        <f t="shared" ca="1" si="60"/>
        <v>0</v>
      </c>
      <c r="AG40" s="73">
        <f t="shared" ca="1" si="60"/>
        <v>0</v>
      </c>
      <c r="AH40" s="73">
        <f t="shared" ca="1" si="60"/>
        <v>0</v>
      </c>
      <c r="AI40" s="73">
        <f t="shared" ca="1" si="60"/>
        <v>0</v>
      </c>
      <c r="AJ40" s="73">
        <f t="shared" ca="1" si="60"/>
        <v>0</v>
      </c>
      <c r="AK40" s="73">
        <f t="shared" ca="1" si="60"/>
        <v>0</v>
      </c>
      <c r="AL40" s="73">
        <f t="shared" ca="1" si="60"/>
        <v>0</v>
      </c>
      <c r="AM40" s="73">
        <f t="shared" ca="1" si="60"/>
        <v>0</v>
      </c>
      <c r="AN40" s="73">
        <f t="shared" ca="1" si="60"/>
        <v>0</v>
      </c>
      <c r="AO40" s="73">
        <f t="shared" ca="1" si="60"/>
        <v>0</v>
      </c>
      <c r="AP40" s="73">
        <f t="shared" ca="1" si="60"/>
        <v>0</v>
      </c>
      <c r="AQ40" s="73">
        <f t="shared" ca="1" si="60"/>
        <v>0</v>
      </c>
      <c r="AR40" s="73">
        <f t="shared" ca="1" si="60"/>
        <v>0</v>
      </c>
      <c r="AS40" s="74"/>
      <c r="AT40" s="74"/>
      <c r="AU40" s="247"/>
      <c r="AV40" s="73">
        <f t="shared" ca="1" si="61"/>
        <v>0</v>
      </c>
      <c r="AW40" s="73">
        <f t="shared" ca="1" si="61"/>
        <v>0</v>
      </c>
      <c r="AX40" s="73">
        <f t="shared" ca="1" si="61"/>
        <v>0</v>
      </c>
      <c r="AY40" s="73">
        <f t="shared" ca="1" si="61"/>
        <v>0</v>
      </c>
      <c r="AZ40" s="73">
        <f t="shared" ca="1" si="61"/>
        <v>0</v>
      </c>
      <c r="BA40" s="73">
        <f t="shared" ca="1" si="61"/>
        <v>0</v>
      </c>
      <c r="BB40" s="73">
        <f t="shared" ca="1" si="61"/>
        <v>0</v>
      </c>
      <c r="BC40" s="73">
        <f t="shared" ca="1" si="61"/>
        <v>0</v>
      </c>
      <c r="BD40" s="73">
        <f t="shared" ca="1" si="61"/>
        <v>0</v>
      </c>
      <c r="BE40" s="73">
        <f t="shared" ca="1" si="61"/>
        <v>0</v>
      </c>
      <c r="BF40" s="73">
        <f t="shared" ca="1" si="61"/>
        <v>0</v>
      </c>
      <c r="BG40" s="73">
        <f t="shared" ca="1" si="61"/>
        <v>0</v>
      </c>
      <c r="BH40" s="73">
        <f t="shared" ca="1" si="61"/>
        <v>0</v>
      </c>
      <c r="BI40" s="73">
        <f t="shared" ca="1" si="61"/>
        <v>0</v>
      </c>
      <c r="BM40" s="73" t="e">
        <f t="shared" ca="1" si="28"/>
        <v>#VALUE!</v>
      </c>
      <c r="BN40" s="73" t="str">
        <f t="shared" ca="1" si="29"/>
        <v/>
      </c>
      <c r="BO40" s="73" t="str">
        <f t="shared" ca="1" si="30"/>
        <v/>
      </c>
      <c r="BP40" s="73" t="str">
        <f t="shared" ca="1" si="31"/>
        <v/>
      </c>
      <c r="BQ40" s="73" t="str">
        <f t="shared" ca="1" si="32"/>
        <v/>
      </c>
      <c r="BR40" s="73" t="str">
        <f t="shared" ca="1" si="33"/>
        <v/>
      </c>
      <c r="BS40" s="73" t="str">
        <f t="shared" ca="1" si="34"/>
        <v/>
      </c>
      <c r="BT40" s="73" t="str">
        <f t="shared" ca="1" si="35"/>
        <v/>
      </c>
      <c r="BU40" s="73" t="str">
        <f t="shared" ca="1" si="36"/>
        <v/>
      </c>
      <c r="BV40" s="73" t="str">
        <f t="shared" ca="1" si="37"/>
        <v/>
      </c>
      <c r="BW40" s="73" t="str">
        <f t="shared" ca="1" si="38"/>
        <v/>
      </c>
      <c r="BX40" s="73" t="str">
        <f t="shared" ca="1" si="39"/>
        <v/>
      </c>
      <c r="BY40" s="73" t="str">
        <f t="shared" ca="1" si="40"/>
        <v/>
      </c>
      <c r="BZ40" s="73" t="str">
        <f t="shared" ca="1" si="41"/>
        <v/>
      </c>
      <c r="CD40" s="73" t="e">
        <f t="shared" ca="1" si="42"/>
        <v>#VALUE!</v>
      </c>
      <c r="CE40" s="73" t="str">
        <f t="shared" ca="1" si="43"/>
        <v/>
      </c>
      <c r="CF40" s="73" t="str">
        <f t="shared" ca="1" si="44"/>
        <v/>
      </c>
      <c r="CG40" s="73" t="str">
        <f t="shared" ca="1" si="45"/>
        <v/>
      </c>
      <c r="CH40" s="73" t="str">
        <f t="shared" ca="1" si="46"/>
        <v/>
      </c>
      <c r="CI40" s="73" t="str">
        <f t="shared" ca="1" si="47"/>
        <v/>
      </c>
      <c r="CJ40" s="73" t="str">
        <f t="shared" ca="1" si="48"/>
        <v/>
      </c>
      <c r="CK40" s="73" t="str">
        <f t="shared" ca="1" si="49"/>
        <v/>
      </c>
      <c r="CL40" s="73" t="str">
        <f t="shared" ca="1" si="50"/>
        <v/>
      </c>
      <c r="CM40" s="73" t="str">
        <f t="shared" ca="1" si="51"/>
        <v/>
      </c>
      <c r="CN40" s="73" t="str">
        <f t="shared" ca="1" si="52"/>
        <v/>
      </c>
      <c r="CO40" s="73" t="str">
        <f t="shared" ca="1" si="53"/>
        <v/>
      </c>
      <c r="CP40" s="73" t="str">
        <f t="shared" ca="1" si="54"/>
        <v/>
      </c>
      <c r="CQ40" s="73" t="str">
        <f t="shared" ca="1" si="55"/>
        <v/>
      </c>
    </row>
    <row r="41" spans="27:95" x14ac:dyDescent="0.2">
      <c r="AA41" s="72"/>
      <c r="AD41">
        <v>41</v>
      </c>
      <c r="AS41" s="75"/>
      <c r="AT41" s="75"/>
      <c r="BM41" s="73" t="e">
        <f t="shared" ca="1" si="28"/>
        <v>#VALUE!</v>
      </c>
      <c r="BN41" s="73" t="str">
        <f t="shared" ca="1" si="29"/>
        <v/>
      </c>
      <c r="BO41" s="73" t="str">
        <f t="shared" ca="1" si="30"/>
        <v/>
      </c>
      <c r="BP41" s="73" t="str">
        <f t="shared" ca="1" si="31"/>
        <v/>
      </c>
      <c r="BQ41" s="73" t="str">
        <f t="shared" ca="1" si="32"/>
        <v/>
      </c>
      <c r="BR41" s="73" t="str">
        <f t="shared" ca="1" si="33"/>
        <v/>
      </c>
      <c r="BS41" s="73" t="str">
        <f t="shared" ca="1" si="34"/>
        <v/>
      </c>
      <c r="BT41" s="73" t="str">
        <f t="shared" ca="1" si="35"/>
        <v/>
      </c>
      <c r="BU41" s="73" t="str">
        <f t="shared" ca="1" si="36"/>
        <v/>
      </c>
      <c r="BV41" s="73" t="str">
        <f t="shared" ca="1" si="37"/>
        <v/>
      </c>
      <c r="BW41" s="73" t="str">
        <f t="shared" ca="1" si="38"/>
        <v/>
      </c>
      <c r="BX41" s="73" t="str">
        <f t="shared" ca="1" si="39"/>
        <v/>
      </c>
      <c r="BY41" s="73" t="str">
        <f t="shared" ca="1" si="40"/>
        <v/>
      </c>
      <c r="BZ41" s="73" t="str">
        <f t="shared" ca="1" si="41"/>
        <v/>
      </c>
      <c r="CD41" s="73" t="e">
        <f t="shared" ca="1" si="42"/>
        <v>#VALUE!</v>
      </c>
      <c r="CE41" s="73" t="str">
        <f t="shared" ca="1" si="43"/>
        <v/>
      </c>
      <c r="CF41" s="73" t="str">
        <f t="shared" ca="1" si="44"/>
        <v/>
      </c>
      <c r="CG41" s="73" t="str">
        <f t="shared" ca="1" si="45"/>
        <v/>
      </c>
      <c r="CH41" s="73" t="str">
        <f t="shared" ca="1" si="46"/>
        <v/>
      </c>
      <c r="CI41" s="73" t="str">
        <f t="shared" ca="1" si="47"/>
        <v/>
      </c>
      <c r="CJ41" s="73" t="str">
        <f t="shared" ca="1" si="48"/>
        <v/>
      </c>
      <c r="CK41" s="73" t="str">
        <f t="shared" ca="1" si="49"/>
        <v/>
      </c>
      <c r="CL41" s="73" t="str">
        <f t="shared" ca="1" si="50"/>
        <v/>
      </c>
      <c r="CM41" s="73" t="str">
        <f t="shared" ca="1" si="51"/>
        <v/>
      </c>
      <c r="CN41" s="73" t="str">
        <f t="shared" ca="1" si="52"/>
        <v/>
      </c>
      <c r="CO41" s="73" t="str">
        <f t="shared" ca="1" si="53"/>
        <v/>
      </c>
      <c r="CP41" s="73" t="str">
        <f t="shared" ca="1" si="54"/>
        <v/>
      </c>
      <c r="CQ41" s="73" t="str">
        <f t="shared" ca="1" si="55"/>
        <v/>
      </c>
    </row>
    <row r="42" spans="27:95" x14ac:dyDescent="0.2">
      <c r="AA42" s="72"/>
      <c r="AD42">
        <v>42</v>
      </c>
      <c r="AS42" s="76"/>
      <c r="AT42" s="76"/>
      <c r="AU42" s="74"/>
      <c r="BM42" s="73" t="e">
        <f t="shared" ca="1" si="28"/>
        <v>#VALUE!</v>
      </c>
      <c r="BN42" s="73" t="str">
        <f t="shared" ca="1" si="29"/>
        <v/>
      </c>
      <c r="BO42" s="73" t="str">
        <f t="shared" ca="1" si="30"/>
        <v/>
      </c>
      <c r="BP42" s="73" t="str">
        <f t="shared" ca="1" si="31"/>
        <v/>
      </c>
      <c r="BQ42" s="73" t="str">
        <f t="shared" ca="1" si="32"/>
        <v/>
      </c>
      <c r="BR42" s="73" t="str">
        <f t="shared" ca="1" si="33"/>
        <v/>
      </c>
      <c r="BS42" s="73" t="str">
        <f t="shared" ca="1" si="34"/>
        <v/>
      </c>
      <c r="BT42" s="73" t="str">
        <f t="shared" ca="1" si="35"/>
        <v/>
      </c>
      <c r="BU42" s="73" t="str">
        <f t="shared" ca="1" si="36"/>
        <v/>
      </c>
      <c r="BV42" s="73" t="str">
        <f t="shared" ca="1" si="37"/>
        <v/>
      </c>
      <c r="BW42" s="73" t="str">
        <f t="shared" ca="1" si="38"/>
        <v/>
      </c>
      <c r="BX42" s="73" t="str">
        <f t="shared" ca="1" si="39"/>
        <v/>
      </c>
      <c r="BY42" s="73" t="str">
        <f t="shared" ca="1" si="40"/>
        <v/>
      </c>
      <c r="BZ42" s="73" t="str">
        <f t="shared" ca="1" si="41"/>
        <v/>
      </c>
      <c r="CD42" s="73" t="e">
        <f t="shared" ca="1" si="42"/>
        <v>#VALUE!</v>
      </c>
      <c r="CE42" s="73" t="str">
        <f t="shared" ca="1" si="43"/>
        <v/>
      </c>
      <c r="CF42" s="73" t="str">
        <f t="shared" ca="1" si="44"/>
        <v/>
      </c>
      <c r="CG42" s="73" t="str">
        <f t="shared" ca="1" si="45"/>
        <v/>
      </c>
      <c r="CH42" s="73" t="str">
        <f t="shared" ca="1" si="46"/>
        <v/>
      </c>
      <c r="CI42" s="73" t="str">
        <f t="shared" ca="1" si="47"/>
        <v/>
      </c>
      <c r="CJ42" s="73" t="str">
        <f t="shared" ca="1" si="48"/>
        <v/>
      </c>
      <c r="CK42" s="73" t="str">
        <f t="shared" ca="1" si="49"/>
        <v/>
      </c>
      <c r="CL42" s="73" t="str">
        <f t="shared" ca="1" si="50"/>
        <v/>
      </c>
      <c r="CM42" s="73" t="str">
        <f t="shared" ca="1" si="51"/>
        <v/>
      </c>
      <c r="CN42" s="73" t="str">
        <f t="shared" ca="1" si="52"/>
        <v/>
      </c>
      <c r="CO42" s="73" t="str">
        <f t="shared" ca="1" si="53"/>
        <v/>
      </c>
      <c r="CP42" s="73" t="str">
        <f t="shared" ca="1" si="54"/>
        <v/>
      </c>
      <c r="CQ42" s="73" t="str">
        <f t="shared" ca="1" si="55"/>
        <v/>
      </c>
    </row>
    <row r="43" spans="27:95" x14ac:dyDescent="0.2">
      <c r="AA43" s="72"/>
      <c r="AD43">
        <v>43</v>
      </c>
      <c r="AS43" s="76"/>
      <c r="AT43" s="76"/>
      <c r="AU43" s="74"/>
      <c r="BM43" s="73" t="e">
        <f t="shared" ca="1" si="28"/>
        <v>#VALUE!</v>
      </c>
      <c r="BN43" s="73" t="str">
        <f t="shared" ca="1" si="29"/>
        <v/>
      </c>
      <c r="BO43" s="73" t="str">
        <f t="shared" ca="1" si="30"/>
        <v/>
      </c>
      <c r="BP43" s="73" t="str">
        <f t="shared" ca="1" si="31"/>
        <v/>
      </c>
      <c r="BQ43" s="73" t="str">
        <f t="shared" ca="1" si="32"/>
        <v/>
      </c>
      <c r="BR43" s="73" t="str">
        <f t="shared" ca="1" si="33"/>
        <v/>
      </c>
      <c r="BS43" s="73" t="str">
        <f t="shared" ca="1" si="34"/>
        <v/>
      </c>
      <c r="BT43" s="73" t="str">
        <f t="shared" ca="1" si="35"/>
        <v/>
      </c>
      <c r="BU43" s="73" t="str">
        <f t="shared" ca="1" si="36"/>
        <v/>
      </c>
      <c r="BV43" s="73" t="str">
        <f t="shared" ca="1" si="37"/>
        <v/>
      </c>
      <c r="BW43" s="73" t="str">
        <f t="shared" ca="1" si="38"/>
        <v/>
      </c>
      <c r="BX43" s="73" t="str">
        <f t="shared" ca="1" si="39"/>
        <v/>
      </c>
      <c r="BY43" s="73" t="str">
        <f t="shared" ca="1" si="40"/>
        <v/>
      </c>
      <c r="BZ43" s="73" t="str">
        <f t="shared" ca="1" si="41"/>
        <v/>
      </c>
      <c r="CD43" s="73" t="e">
        <f t="shared" ca="1" si="42"/>
        <v>#VALUE!</v>
      </c>
      <c r="CE43" s="73" t="str">
        <f t="shared" ca="1" si="43"/>
        <v/>
      </c>
      <c r="CF43" s="73" t="str">
        <f t="shared" ca="1" si="44"/>
        <v/>
      </c>
      <c r="CG43" s="73" t="str">
        <f t="shared" ca="1" si="45"/>
        <v/>
      </c>
      <c r="CH43" s="73" t="str">
        <f t="shared" ca="1" si="46"/>
        <v/>
      </c>
      <c r="CI43" s="73" t="str">
        <f t="shared" ca="1" si="47"/>
        <v/>
      </c>
      <c r="CJ43" s="73" t="str">
        <f t="shared" ca="1" si="48"/>
        <v/>
      </c>
      <c r="CK43" s="73" t="str">
        <f t="shared" ca="1" si="49"/>
        <v/>
      </c>
      <c r="CL43" s="73" t="str">
        <f t="shared" ca="1" si="50"/>
        <v/>
      </c>
      <c r="CM43" s="73" t="str">
        <f t="shared" ca="1" si="51"/>
        <v/>
      </c>
      <c r="CN43" s="73" t="str">
        <f t="shared" ca="1" si="52"/>
        <v/>
      </c>
      <c r="CO43" s="73" t="str">
        <f t="shared" ca="1" si="53"/>
        <v/>
      </c>
      <c r="CP43" s="73" t="str">
        <f t="shared" ca="1" si="54"/>
        <v/>
      </c>
      <c r="CQ43" s="73" t="str">
        <f t="shared" ca="1" si="55"/>
        <v/>
      </c>
    </row>
    <row r="44" spans="27:95" x14ac:dyDescent="0.2">
      <c r="AA44" s="72"/>
      <c r="AD44">
        <v>44</v>
      </c>
      <c r="AU44" s="75"/>
      <c r="BM44" s="73" t="e">
        <f t="shared" ca="1" si="28"/>
        <v>#VALUE!</v>
      </c>
      <c r="BN44" s="73" t="str">
        <f t="shared" ca="1" si="29"/>
        <v/>
      </c>
      <c r="BO44" s="73" t="str">
        <f t="shared" ca="1" si="30"/>
        <v/>
      </c>
      <c r="BP44" s="73" t="str">
        <f t="shared" ca="1" si="31"/>
        <v/>
      </c>
      <c r="BQ44" s="73" t="str">
        <f t="shared" ca="1" si="32"/>
        <v/>
      </c>
      <c r="BR44" s="73" t="str">
        <f t="shared" ca="1" si="33"/>
        <v/>
      </c>
      <c r="BS44" s="73" t="str">
        <f t="shared" ca="1" si="34"/>
        <v/>
      </c>
      <c r="BT44" s="73" t="str">
        <f t="shared" ca="1" si="35"/>
        <v/>
      </c>
      <c r="BU44" s="73" t="str">
        <f t="shared" ca="1" si="36"/>
        <v/>
      </c>
      <c r="BV44" s="73" t="str">
        <f t="shared" ca="1" si="37"/>
        <v/>
      </c>
      <c r="BW44" s="73" t="str">
        <f t="shared" ca="1" si="38"/>
        <v/>
      </c>
      <c r="BX44" s="73" t="str">
        <f t="shared" ca="1" si="39"/>
        <v/>
      </c>
      <c r="BY44" s="73" t="str">
        <f t="shared" ca="1" si="40"/>
        <v/>
      </c>
      <c r="BZ44" s="73" t="str">
        <f t="shared" ca="1" si="41"/>
        <v/>
      </c>
      <c r="CD44" s="73" t="e">
        <f t="shared" ca="1" si="42"/>
        <v>#VALUE!</v>
      </c>
      <c r="CE44" s="73" t="str">
        <f t="shared" ca="1" si="43"/>
        <v/>
      </c>
      <c r="CF44" s="73" t="str">
        <f t="shared" ca="1" si="44"/>
        <v/>
      </c>
      <c r="CG44" s="73" t="str">
        <f t="shared" ca="1" si="45"/>
        <v/>
      </c>
      <c r="CH44" s="73" t="str">
        <f t="shared" ca="1" si="46"/>
        <v/>
      </c>
      <c r="CI44" s="73" t="str">
        <f t="shared" ca="1" si="47"/>
        <v/>
      </c>
      <c r="CJ44" s="73" t="str">
        <f t="shared" ca="1" si="48"/>
        <v/>
      </c>
      <c r="CK44" s="73" t="str">
        <f t="shared" ca="1" si="49"/>
        <v/>
      </c>
      <c r="CL44" s="73" t="str">
        <f t="shared" ca="1" si="50"/>
        <v/>
      </c>
      <c r="CM44" s="73" t="str">
        <f t="shared" ca="1" si="51"/>
        <v/>
      </c>
      <c r="CN44" s="73" t="str">
        <f t="shared" ca="1" si="52"/>
        <v/>
      </c>
      <c r="CO44" s="73" t="str">
        <f t="shared" ca="1" si="53"/>
        <v/>
      </c>
      <c r="CP44" s="73" t="str">
        <f t="shared" ca="1" si="54"/>
        <v/>
      </c>
      <c r="CQ44" s="73" t="str">
        <f t="shared" ca="1" si="55"/>
        <v/>
      </c>
    </row>
    <row r="45" spans="27:95" x14ac:dyDescent="0.2">
      <c r="AA45" s="72"/>
      <c r="AD45">
        <v>45</v>
      </c>
      <c r="AU45" s="76"/>
      <c r="BM45" s="73" t="e">
        <f t="shared" ca="1" si="28"/>
        <v>#VALUE!</v>
      </c>
      <c r="BN45" s="73" t="str">
        <f t="shared" ca="1" si="29"/>
        <v/>
      </c>
      <c r="BO45" s="73" t="str">
        <f t="shared" ca="1" si="30"/>
        <v/>
      </c>
      <c r="BP45" s="73" t="str">
        <f t="shared" ca="1" si="31"/>
        <v/>
      </c>
      <c r="BQ45" s="73" t="str">
        <f t="shared" ca="1" si="32"/>
        <v/>
      </c>
      <c r="BR45" s="73" t="str">
        <f t="shared" ca="1" si="33"/>
        <v/>
      </c>
      <c r="BS45" s="73" t="str">
        <f t="shared" ca="1" si="34"/>
        <v/>
      </c>
      <c r="BT45" s="73" t="str">
        <f t="shared" ca="1" si="35"/>
        <v/>
      </c>
      <c r="BU45" s="73" t="str">
        <f t="shared" ca="1" si="36"/>
        <v/>
      </c>
      <c r="BV45" s="73" t="str">
        <f t="shared" ca="1" si="37"/>
        <v/>
      </c>
      <c r="BW45" s="73" t="str">
        <f t="shared" ca="1" si="38"/>
        <v/>
      </c>
      <c r="BX45" s="73" t="str">
        <f t="shared" ca="1" si="39"/>
        <v/>
      </c>
      <c r="BY45" s="73" t="str">
        <f t="shared" ca="1" si="40"/>
        <v/>
      </c>
      <c r="BZ45" s="73" t="str">
        <f t="shared" ca="1" si="41"/>
        <v/>
      </c>
      <c r="CD45" s="73" t="e">
        <f t="shared" ca="1" si="42"/>
        <v>#VALUE!</v>
      </c>
      <c r="CE45" s="73" t="str">
        <f t="shared" ca="1" si="43"/>
        <v/>
      </c>
      <c r="CF45" s="73" t="str">
        <f t="shared" ca="1" si="44"/>
        <v/>
      </c>
      <c r="CG45" s="73" t="str">
        <f t="shared" ca="1" si="45"/>
        <v/>
      </c>
      <c r="CH45" s="73" t="str">
        <f t="shared" ca="1" si="46"/>
        <v/>
      </c>
      <c r="CI45" s="73" t="str">
        <f t="shared" ca="1" si="47"/>
        <v/>
      </c>
      <c r="CJ45" s="73" t="str">
        <f t="shared" ca="1" si="48"/>
        <v/>
      </c>
      <c r="CK45" s="73" t="str">
        <f t="shared" ca="1" si="49"/>
        <v/>
      </c>
      <c r="CL45" s="73" t="str">
        <f t="shared" ca="1" si="50"/>
        <v/>
      </c>
      <c r="CM45" s="73" t="str">
        <f t="shared" ca="1" si="51"/>
        <v/>
      </c>
      <c r="CN45" s="73" t="str">
        <f t="shared" ca="1" si="52"/>
        <v/>
      </c>
      <c r="CO45" s="73" t="str">
        <f t="shared" ca="1" si="53"/>
        <v/>
      </c>
      <c r="CP45" s="73" t="str">
        <f t="shared" ca="1" si="54"/>
        <v/>
      </c>
      <c r="CQ45" s="73" t="str">
        <f t="shared" ca="1" si="55"/>
        <v/>
      </c>
    </row>
    <row r="46" spans="27:95" x14ac:dyDescent="0.2">
      <c r="AA46" s="72"/>
      <c r="AD46">
        <v>46</v>
      </c>
      <c r="AE46" s="68" t="str">
        <f>"Sequence: "&amp;B3 &amp; "     Coding Conditions: " &amp; A3</f>
        <v xml:space="preserve">Sequence: Neon1224     Coding Conditions: </v>
      </c>
      <c r="AU46" s="76"/>
      <c r="BM46" s="73" t="e">
        <f t="shared" ca="1" si="28"/>
        <v>#VALUE!</v>
      </c>
      <c r="BN46" s="73" t="str">
        <f t="shared" ca="1" si="29"/>
        <v/>
      </c>
      <c r="BO46" s="73" t="str">
        <f t="shared" ca="1" si="30"/>
        <v/>
      </c>
      <c r="BP46" s="73" t="str">
        <f t="shared" ca="1" si="31"/>
        <v/>
      </c>
      <c r="BQ46" s="73" t="str">
        <f t="shared" ca="1" si="32"/>
        <v/>
      </c>
      <c r="BR46" s="73" t="str">
        <f t="shared" ca="1" si="33"/>
        <v/>
      </c>
      <c r="BS46" s="73" t="str">
        <f t="shared" ca="1" si="34"/>
        <v/>
      </c>
      <c r="BT46" s="73" t="str">
        <f t="shared" ca="1" si="35"/>
        <v/>
      </c>
      <c r="BU46" s="73" t="str">
        <f t="shared" ca="1" si="36"/>
        <v/>
      </c>
      <c r="BV46" s="73" t="str">
        <f t="shared" ca="1" si="37"/>
        <v/>
      </c>
      <c r="BW46" s="73" t="str">
        <f t="shared" ca="1" si="38"/>
        <v/>
      </c>
      <c r="BX46" s="73" t="str">
        <f t="shared" ca="1" si="39"/>
        <v/>
      </c>
      <c r="BY46" s="73" t="str">
        <f t="shared" ca="1" si="40"/>
        <v/>
      </c>
      <c r="BZ46" s="73" t="str">
        <f t="shared" ca="1" si="41"/>
        <v/>
      </c>
      <c r="CD46" s="73" t="e">
        <f t="shared" ca="1" si="42"/>
        <v>#VALUE!</v>
      </c>
      <c r="CE46" s="73" t="str">
        <f t="shared" ca="1" si="43"/>
        <v/>
      </c>
      <c r="CF46" s="73" t="str">
        <f t="shared" ca="1" si="44"/>
        <v/>
      </c>
      <c r="CG46" s="73" t="str">
        <f t="shared" ca="1" si="45"/>
        <v/>
      </c>
      <c r="CH46" s="73" t="str">
        <f t="shared" ca="1" si="46"/>
        <v/>
      </c>
      <c r="CI46" s="73" t="str">
        <f t="shared" ca="1" si="47"/>
        <v/>
      </c>
      <c r="CJ46" s="73" t="str">
        <f t="shared" ca="1" si="48"/>
        <v/>
      </c>
      <c r="CK46" s="73" t="str">
        <f t="shared" ca="1" si="49"/>
        <v/>
      </c>
      <c r="CL46" s="73" t="str">
        <f t="shared" ca="1" si="50"/>
        <v/>
      </c>
      <c r="CM46" s="73" t="str">
        <f t="shared" ca="1" si="51"/>
        <v/>
      </c>
      <c r="CN46" s="73" t="str">
        <f t="shared" ca="1" si="52"/>
        <v/>
      </c>
      <c r="CO46" s="73" t="str">
        <f t="shared" ca="1" si="53"/>
        <v/>
      </c>
      <c r="CP46" s="73" t="str">
        <f t="shared" ca="1" si="54"/>
        <v/>
      </c>
      <c r="CQ46" s="73" t="str">
        <f t="shared" ca="1" si="55"/>
        <v/>
      </c>
    </row>
    <row r="47" spans="27:95" x14ac:dyDescent="0.2">
      <c r="AA47" s="72"/>
      <c r="AD47">
        <v>47</v>
      </c>
      <c r="BM47" s="73" t="e">
        <f t="shared" ca="1" si="28"/>
        <v>#VALUE!</v>
      </c>
      <c r="BN47" s="73" t="str">
        <f t="shared" ca="1" si="29"/>
        <v/>
      </c>
      <c r="BO47" s="73" t="str">
        <f t="shared" ca="1" si="30"/>
        <v/>
      </c>
      <c r="BP47" s="73" t="str">
        <f t="shared" ca="1" si="31"/>
        <v/>
      </c>
      <c r="BQ47" s="73" t="str">
        <f t="shared" ca="1" si="32"/>
        <v/>
      </c>
      <c r="BR47" s="73" t="str">
        <f t="shared" ca="1" si="33"/>
        <v/>
      </c>
      <c r="BS47" s="73" t="str">
        <f t="shared" ca="1" si="34"/>
        <v/>
      </c>
      <c r="BT47" s="73" t="str">
        <f t="shared" ca="1" si="35"/>
        <v/>
      </c>
      <c r="BU47" s="73" t="str">
        <f t="shared" ca="1" si="36"/>
        <v/>
      </c>
      <c r="BV47" s="73" t="str">
        <f t="shared" ca="1" si="37"/>
        <v/>
      </c>
      <c r="BW47" s="73" t="str">
        <f t="shared" ca="1" si="38"/>
        <v/>
      </c>
      <c r="BX47" s="73" t="str">
        <f t="shared" ca="1" si="39"/>
        <v/>
      </c>
      <c r="BY47" s="73" t="str">
        <f t="shared" ca="1" si="40"/>
        <v/>
      </c>
      <c r="BZ47" s="73" t="str">
        <f t="shared" ca="1" si="41"/>
        <v/>
      </c>
      <c r="CD47" s="73" t="e">
        <f t="shared" ca="1" si="42"/>
        <v>#VALUE!</v>
      </c>
      <c r="CE47" s="73" t="str">
        <f t="shared" ca="1" si="43"/>
        <v/>
      </c>
      <c r="CF47" s="73" t="str">
        <f t="shared" ca="1" si="44"/>
        <v/>
      </c>
      <c r="CG47" s="73" t="str">
        <f t="shared" ca="1" si="45"/>
        <v/>
      </c>
      <c r="CH47" s="73" t="str">
        <f t="shared" ca="1" si="46"/>
        <v/>
      </c>
      <c r="CI47" s="73" t="str">
        <f t="shared" ca="1" si="47"/>
        <v/>
      </c>
      <c r="CJ47" s="73" t="str">
        <f t="shared" ca="1" si="48"/>
        <v/>
      </c>
      <c r="CK47" s="73" t="str">
        <f t="shared" ca="1" si="49"/>
        <v/>
      </c>
      <c r="CL47" s="73" t="str">
        <f t="shared" ca="1" si="50"/>
        <v/>
      </c>
      <c r="CM47" s="73" t="str">
        <f t="shared" ca="1" si="51"/>
        <v/>
      </c>
      <c r="CN47" s="73" t="str">
        <f t="shared" ca="1" si="52"/>
        <v/>
      </c>
      <c r="CO47" s="73" t="str">
        <f t="shared" ca="1" si="53"/>
        <v/>
      </c>
      <c r="CP47" s="73" t="str">
        <f t="shared" ca="1" si="54"/>
        <v/>
      </c>
      <c r="CQ47" s="73" t="str">
        <f t="shared" ca="1" si="55"/>
        <v/>
      </c>
    </row>
    <row r="48" spans="27:95" x14ac:dyDescent="0.2">
      <c r="AA48" s="72"/>
      <c r="AD48">
        <v>48</v>
      </c>
      <c r="BM48" s="73" t="e">
        <f t="shared" ca="1" si="28"/>
        <v>#VALUE!</v>
      </c>
      <c r="BN48" s="73" t="str">
        <f t="shared" ca="1" si="29"/>
        <v/>
      </c>
      <c r="BO48" s="73" t="str">
        <f t="shared" ca="1" si="30"/>
        <v/>
      </c>
      <c r="BP48" s="73" t="str">
        <f t="shared" ca="1" si="31"/>
        <v/>
      </c>
      <c r="BQ48" s="73" t="str">
        <f t="shared" ca="1" si="32"/>
        <v/>
      </c>
      <c r="BR48" s="73" t="str">
        <f t="shared" ca="1" si="33"/>
        <v/>
      </c>
      <c r="BS48" s="73" t="str">
        <f t="shared" ca="1" si="34"/>
        <v/>
      </c>
      <c r="BT48" s="73" t="str">
        <f t="shared" ca="1" si="35"/>
        <v/>
      </c>
      <c r="BU48" s="73" t="str">
        <f t="shared" ca="1" si="36"/>
        <v/>
      </c>
      <c r="BV48" s="73" t="str">
        <f t="shared" ca="1" si="37"/>
        <v/>
      </c>
      <c r="BW48" s="73" t="str">
        <f t="shared" ca="1" si="38"/>
        <v/>
      </c>
      <c r="BX48" s="73" t="str">
        <f t="shared" ca="1" si="39"/>
        <v/>
      </c>
      <c r="BY48" s="73" t="str">
        <f t="shared" ca="1" si="40"/>
        <v/>
      </c>
      <c r="BZ48" s="73" t="str">
        <f t="shared" ca="1" si="41"/>
        <v/>
      </c>
      <c r="CD48" s="73" t="e">
        <f t="shared" ca="1" si="42"/>
        <v>#VALUE!</v>
      </c>
      <c r="CE48" s="73" t="str">
        <f t="shared" ca="1" si="43"/>
        <v/>
      </c>
      <c r="CF48" s="73" t="str">
        <f t="shared" ca="1" si="44"/>
        <v/>
      </c>
      <c r="CG48" s="73" t="str">
        <f t="shared" ca="1" si="45"/>
        <v/>
      </c>
      <c r="CH48" s="73" t="str">
        <f t="shared" ca="1" si="46"/>
        <v/>
      </c>
      <c r="CI48" s="73" t="str">
        <f t="shared" ca="1" si="47"/>
        <v/>
      </c>
      <c r="CJ48" s="73" t="str">
        <f t="shared" ca="1" si="48"/>
        <v/>
      </c>
      <c r="CK48" s="73" t="str">
        <f t="shared" ca="1" si="49"/>
        <v/>
      </c>
      <c r="CL48" s="73" t="str">
        <f t="shared" ca="1" si="50"/>
        <v/>
      </c>
      <c r="CM48" s="73" t="str">
        <f t="shared" ca="1" si="51"/>
        <v/>
      </c>
      <c r="CN48" s="73" t="str">
        <f t="shared" ca="1" si="52"/>
        <v/>
      </c>
      <c r="CO48" s="73" t="str">
        <f t="shared" ca="1" si="53"/>
        <v/>
      </c>
      <c r="CP48" s="73" t="str">
        <f t="shared" ca="1" si="54"/>
        <v/>
      </c>
      <c r="CQ48" s="73" t="str">
        <f t="shared" ca="1" si="55"/>
        <v/>
      </c>
    </row>
    <row r="49" spans="27:95" x14ac:dyDescent="0.2">
      <c r="AA49" s="72"/>
      <c r="AD49">
        <v>49</v>
      </c>
      <c r="AE49" s="67" t="s">
        <v>86</v>
      </c>
      <c r="AF49" s="67" t="s">
        <v>87</v>
      </c>
      <c r="AG49" s="67" t="s">
        <v>88</v>
      </c>
      <c r="AH49" s="67" t="s">
        <v>89</v>
      </c>
      <c r="AI49" s="67" t="s">
        <v>90</v>
      </c>
      <c r="BM49" s="73" t="e">
        <f t="shared" ca="1" si="28"/>
        <v>#VALUE!</v>
      </c>
      <c r="BN49" s="73" t="str">
        <f t="shared" ca="1" si="29"/>
        <v/>
      </c>
      <c r="BO49" s="73" t="str">
        <f t="shared" ca="1" si="30"/>
        <v/>
      </c>
      <c r="BP49" s="73" t="str">
        <f t="shared" ca="1" si="31"/>
        <v/>
      </c>
      <c r="BQ49" s="73" t="str">
        <f t="shared" ca="1" si="32"/>
        <v/>
      </c>
      <c r="BR49" s="73" t="str">
        <f t="shared" ca="1" si="33"/>
        <v/>
      </c>
      <c r="BS49" s="73" t="str">
        <f t="shared" ca="1" si="34"/>
        <v/>
      </c>
      <c r="BT49" s="73" t="str">
        <f t="shared" ca="1" si="35"/>
        <v/>
      </c>
      <c r="BU49" s="73" t="str">
        <f t="shared" ca="1" si="36"/>
        <v/>
      </c>
      <c r="BV49" s="73" t="str">
        <f t="shared" ca="1" si="37"/>
        <v/>
      </c>
      <c r="BW49" s="73" t="str">
        <f t="shared" ca="1" si="38"/>
        <v/>
      </c>
      <c r="BX49" s="73" t="str">
        <f t="shared" ca="1" si="39"/>
        <v/>
      </c>
      <c r="BY49" s="73" t="str">
        <f t="shared" ca="1" si="40"/>
        <v/>
      </c>
      <c r="BZ49" s="73" t="str">
        <f t="shared" ca="1" si="41"/>
        <v/>
      </c>
      <c r="CD49" s="73" t="e">
        <f t="shared" ca="1" si="42"/>
        <v>#VALUE!</v>
      </c>
      <c r="CE49" s="73" t="str">
        <f t="shared" ca="1" si="43"/>
        <v/>
      </c>
      <c r="CF49" s="73" t="str">
        <f t="shared" ca="1" si="44"/>
        <v/>
      </c>
      <c r="CG49" s="73" t="str">
        <f t="shared" ca="1" si="45"/>
        <v/>
      </c>
      <c r="CH49" s="73" t="str">
        <f t="shared" ca="1" si="46"/>
        <v/>
      </c>
      <c r="CI49" s="73" t="str">
        <f t="shared" ca="1" si="47"/>
        <v/>
      </c>
      <c r="CJ49" s="73" t="str">
        <f t="shared" ca="1" si="48"/>
        <v/>
      </c>
      <c r="CK49" s="73" t="str">
        <f t="shared" ca="1" si="49"/>
        <v/>
      </c>
      <c r="CL49" s="73" t="str">
        <f t="shared" ca="1" si="50"/>
        <v/>
      </c>
      <c r="CM49" s="73" t="str">
        <f t="shared" ca="1" si="51"/>
        <v/>
      </c>
      <c r="CN49" s="73" t="str">
        <f t="shared" ca="1" si="52"/>
        <v/>
      </c>
      <c r="CO49" s="73" t="str">
        <f t="shared" ca="1" si="53"/>
        <v/>
      </c>
      <c r="CP49" s="73" t="str">
        <f t="shared" ca="1" si="54"/>
        <v/>
      </c>
      <c r="CQ49" s="73" t="str">
        <f t="shared" ca="1" si="55"/>
        <v/>
      </c>
    </row>
    <row r="50" spans="27:95" x14ac:dyDescent="0.2">
      <c r="AA50" s="72"/>
      <c r="AD50">
        <v>50</v>
      </c>
      <c r="AE50" s="74">
        <f ca="1">MAX(AE5:AE40,AV5:AV40)</f>
        <v>0</v>
      </c>
      <c r="AF50" s="74">
        <f t="shared" ref="AF50:AR50" ca="1" si="62">MAX(AF5:AF40,AW5:AW40)</f>
        <v>0</v>
      </c>
      <c r="AG50" s="74">
        <f t="shared" ca="1" si="62"/>
        <v>0</v>
      </c>
      <c r="AH50" s="74">
        <f t="shared" ca="1" si="62"/>
        <v>0</v>
      </c>
      <c r="AI50" s="74">
        <f t="shared" ca="1" si="62"/>
        <v>0</v>
      </c>
      <c r="AJ50" s="74">
        <f t="shared" ca="1" si="62"/>
        <v>0</v>
      </c>
      <c r="AK50" s="74">
        <f t="shared" ca="1" si="62"/>
        <v>0</v>
      </c>
      <c r="AL50" s="74">
        <f t="shared" ca="1" si="62"/>
        <v>0</v>
      </c>
      <c r="AM50" s="74">
        <f t="shared" ca="1" si="62"/>
        <v>0</v>
      </c>
      <c r="AN50" s="74">
        <f t="shared" ca="1" si="62"/>
        <v>0</v>
      </c>
      <c r="AO50" s="74">
        <f t="shared" ca="1" si="62"/>
        <v>0</v>
      </c>
      <c r="AP50" s="74">
        <f t="shared" ca="1" si="62"/>
        <v>0</v>
      </c>
      <c r="AQ50" s="74">
        <f t="shared" ca="1" si="62"/>
        <v>0</v>
      </c>
      <c r="AR50" s="74">
        <f t="shared" ca="1" si="62"/>
        <v>0</v>
      </c>
      <c r="BM50" s="73" t="e">
        <f t="shared" ca="1" si="28"/>
        <v>#VALUE!</v>
      </c>
      <c r="BN50" s="73" t="str">
        <f t="shared" ca="1" si="29"/>
        <v/>
      </c>
      <c r="BO50" s="73" t="str">
        <f t="shared" ca="1" si="30"/>
        <v/>
      </c>
      <c r="BP50" s="73" t="str">
        <f t="shared" ca="1" si="31"/>
        <v/>
      </c>
      <c r="BQ50" s="73" t="str">
        <f t="shared" ca="1" si="32"/>
        <v/>
      </c>
      <c r="BR50" s="73" t="str">
        <f t="shared" ca="1" si="33"/>
        <v/>
      </c>
      <c r="BS50" s="73" t="str">
        <f t="shared" ca="1" si="34"/>
        <v/>
      </c>
      <c r="BT50" s="73" t="str">
        <f t="shared" ca="1" si="35"/>
        <v/>
      </c>
      <c r="BU50" s="73" t="str">
        <f t="shared" ca="1" si="36"/>
        <v/>
      </c>
      <c r="BV50" s="73" t="str">
        <f t="shared" ca="1" si="37"/>
        <v/>
      </c>
      <c r="BW50" s="73" t="str">
        <f t="shared" ca="1" si="38"/>
        <v/>
      </c>
      <c r="BX50" s="73" t="str">
        <f t="shared" ca="1" si="39"/>
        <v/>
      </c>
      <c r="BY50" s="73" t="str">
        <f t="shared" ca="1" si="40"/>
        <v/>
      </c>
      <c r="BZ50" s="73" t="str">
        <f t="shared" ca="1" si="41"/>
        <v/>
      </c>
      <c r="CD50" s="73" t="e">
        <f t="shared" ca="1" si="42"/>
        <v>#VALUE!</v>
      </c>
      <c r="CE50" s="73" t="str">
        <f t="shared" ca="1" si="43"/>
        <v/>
      </c>
      <c r="CF50" s="73" t="str">
        <f t="shared" ca="1" si="44"/>
        <v/>
      </c>
      <c r="CG50" s="73" t="str">
        <f t="shared" ca="1" si="45"/>
        <v/>
      </c>
      <c r="CH50" s="73" t="str">
        <f t="shared" ca="1" si="46"/>
        <v/>
      </c>
      <c r="CI50" s="73" t="str">
        <f t="shared" ca="1" si="47"/>
        <v/>
      </c>
      <c r="CJ50" s="73" t="str">
        <f t="shared" ca="1" si="48"/>
        <v/>
      </c>
      <c r="CK50" s="73" t="str">
        <f t="shared" ca="1" si="49"/>
        <v/>
      </c>
      <c r="CL50" s="73" t="str">
        <f t="shared" ca="1" si="50"/>
        <v/>
      </c>
      <c r="CM50" s="73" t="str">
        <f t="shared" ca="1" si="51"/>
        <v/>
      </c>
      <c r="CN50" s="73" t="str">
        <f t="shared" ca="1" si="52"/>
        <v/>
      </c>
      <c r="CO50" s="73" t="str">
        <f t="shared" ca="1" si="53"/>
        <v/>
      </c>
      <c r="CP50" s="73" t="str">
        <f t="shared" ca="1" si="54"/>
        <v/>
      </c>
      <c r="CQ50" s="73" t="str">
        <f t="shared" ca="1" si="55"/>
        <v/>
      </c>
    </row>
    <row r="51" spans="27:95" x14ac:dyDescent="0.2">
      <c r="AA51" s="72"/>
      <c r="AD51">
        <v>51</v>
      </c>
      <c r="AE51" s="74">
        <f ca="1">MIN(AE5:AE40,AV5:AV40)</f>
        <v>0</v>
      </c>
      <c r="AF51" s="74">
        <f t="shared" ref="AF51:AR51" ca="1" si="63">MIN(AF5:AF40,AW5:AW40)</f>
        <v>0</v>
      </c>
      <c r="AG51" s="74">
        <f t="shared" ca="1" si="63"/>
        <v>0</v>
      </c>
      <c r="AH51" s="74">
        <f t="shared" ca="1" si="63"/>
        <v>0</v>
      </c>
      <c r="AI51" s="74">
        <f t="shared" ca="1" si="63"/>
        <v>0</v>
      </c>
      <c r="AJ51" s="74">
        <f t="shared" ca="1" si="63"/>
        <v>0</v>
      </c>
      <c r="AK51" s="74">
        <f t="shared" ca="1" si="63"/>
        <v>0</v>
      </c>
      <c r="AL51" s="74">
        <f t="shared" ca="1" si="63"/>
        <v>0</v>
      </c>
      <c r="AM51" s="74">
        <f t="shared" ca="1" si="63"/>
        <v>0</v>
      </c>
      <c r="AN51" s="74">
        <f t="shared" ca="1" si="63"/>
        <v>0</v>
      </c>
      <c r="AO51" s="74">
        <f t="shared" ca="1" si="63"/>
        <v>0</v>
      </c>
      <c r="AP51" s="74">
        <f t="shared" ca="1" si="63"/>
        <v>0</v>
      </c>
      <c r="AQ51" s="74">
        <f t="shared" ca="1" si="63"/>
        <v>0</v>
      </c>
      <c r="AR51" s="74">
        <f t="shared" ca="1" si="63"/>
        <v>0</v>
      </c>
      <c r="BM51" s="73" t="e">
        <f t="shared" ca="1" si="28"/>
        <v>#VALUE!</v>
      </c>
      <c r="BN51" s="73" t="str">
        <f t="shared" ca="1" si="29"/>
        <v/>
      </c>
      <c r="BO51" s="73" t="str">
        <f t="shared" ca="1" si="30"/>
        <v/>
      </c>
      <c r="BP51" s="73" t="str">
        <f t="shared" ca="1" si="31"/>
        <v/>
      </c>
      <c r="BQ51" s="73" t="str">
        <f t="shared" ca="1" si="32"/>
        <v/>
      </c>
      <c r="BR51" s="73" t="str">
        <f t="shared" ca="1" si="33"/>
        <v/>
      </c>
      <c r="BS51" s="73" t="str">
        <f t="shared" ca="1" si="34"/>
        <v/>
      </c>
      <c r="BT51" s="73" t="str">
        <f t="shared" ca="1" si="35"/>
        <v/>
      </c>
      <c r="BU51" s="73" t="str">
        <f t="shared" ca="1" si="36"/>
        <v/>
      </c>
      <c r="BV51" s="73" t="str">
        <f t="shared" ca="1" si="37"/>
        <v/>
      </c>
      <c r="BW51" s="73" t="str">
        <f t="shared" ca="1" si="38"/>
        <v/>
      </c>
      <c r="BX51" s="73" t="str">
        <f t="shared" ca="1" si="39"/>
        <v/>
      </c>
      <c r="BY51" s="73" t="str">
        <f t="shared" ca="1" si="40"/>
        <v/>
      </c>
      <c r="BZ51" s="73" t="str">
        <f t="shared" ca="1" si="41"/>
        <v/>
      </c>
      <c r="CD51" s="73" t="e">
        <f t="shared" ca="1" si="42"/>
        <v>#VALUE!</v>
      </c>
      <c r="CE51" s="73" t="str">
        <f t="shared" ca="1" si="43"/>
        <v/>
      </c>
      <c r="CF51" s="73" t="str">
        <f t="shared" ca="1" si="44"/>
        <v/>
      </c>
      <c r="CG51" s="73" t="str">
        <f t="shared" ca="1" si="45"/>
        <v/>
      </c>
      <c r="CH51" s="73" t="str">
        <f t="shared" ca="1" si="46"/>
        <v/>
      </c>
      <c r="CI51" s="73" t="str">
        <f t="shared" ca="1" si="47"/>
        <v/>
      </c>
      <c r="CJ51" s="73" t="str">
        <f t="shared" ca="1" si="48"/>
        <v/>
      </c>
      <c r="CK51" s="73" t="str">
        <f t="shared" ca="1" si="49"/>
        <v/>
      </c>
      <c r="CL51" s="73" t="str">
        <f t="shared" ca="1" si="50"/>
        <v/>
      </c>
      <c r="CM51" s="73" t="str">
        <f t="shared" ca="1" si="51"/>
        <v/>
      </c>
      <c r="CN51" s="73" t="str">
        <f t="shared" ca="1" si="52"/>
        <v/>
      </c>
      <c r="CO51" s="73" t="str">
        <f t="shared" ca="1" si="53"/>
        <v/>
      </c>
      <c r="CP51" s="73" t="str">
        <f t="shared" ca="1" si="54"/>
        <v/>
      </c>
      <c r="CQ51" s="73" t="str">
        <f t="shared" ca="1" si="55"/>
        <v/>
      </c>
    </row>
    <row r="52" spans="27:95" x14ac:dyDescent="0.2">
      <c r="AA52" s="72"/>
      <c r="AD52">
        <v>52</v>
      </c>
      <c r="AE52" s="75"/>
      <c r="AF52" s="75"/>
      <c r="AG52" s="75"/>
      <c r="AH52" s="75"/>
      <c r="AI52" s="75"/>
      <c r="AJ52" s="75"/>
      <c r="AK52" s="75"/>
      <c r="AL52" s="75"/>
      <c r="AM52" s="75"/>
      <c r="AN52" s="75"/>
      <c r="AO52" s="75"/>
      <c r="AP52" s="75"/>
      <c r="AQ52" s="75"/>
      <c r="AR52" s="75"/>
      <c r="BM52" s="73" t="e">
        <f t="shared" ca="1" si="28"/>
        <v>#VALUE!</v>
      </c>
      <c r="BN52" s="73" t="str">
        <f t="shared" ca="1" si="29"/>
        <v/>
      </c>
      <c r="BO52" s="73" t="str">
        <f t="shared" ca="1" si="30"/>
        <v/>
      </c>
      <c r="BP52" s="73" t="str">
        <f t="shared" ca="1" si="31"/>
        <v/>
      </c>
      <c r="BQ52" s="73" t="str">
        <f t="shared" ca="1" si="32"/>
        <v/>
      </c>
      <c r="BR52" s="73" t="str">
        <f t="shared" ca="1" si="33"/>
        <v/>
      </c>
      <c r="BS52" s="73" t="str">
        <f t="shared" ca="1" si="34"/>
        <v/>
      </c>
      <c r="BT52" s="73" t="str">
        <f t="shared" ca="1" si="35"/>
        <v/>
      </c>
      <c r="BU52" s="73" t="str">
        <f t="shared" ca="1" si="36"/>
        <v/>
      </c>
      <c r="BV52" s="73" t="str">
        <f t="shared" ca="1" si="37"/>
        <v/>
      </c>
      <c r="BW52" s="73" t="str">
        <f t="shared" ca="1" si="38"/>
        <v/>
      </c>
      <c r="BX52" s="73" t="str">
        <f t="shared" ca="1" si="39"/>
        <v/>
      </c>
      <c r="BY52" s="73" t="str">
        <f t="shared" ca="1" si="40"/>
        <v/>
      </c>
      <c r="BZ52" s="73" t="str">
        <f t="shared" ca="1" si="41"/>
        <v/>
      </c>
      <c r="CD52" s="73" t="e">
        <f t="shared" ca="1" si="42"/>
        <v>#VALUE!</v>
      </c>
      <c r="CE52" s="73" t="str">
        <f t="shared" ca="1" si="43"/>
        <v/>
      </c>
      <c r="CF52" s="73" t="str">
        <f t="shared" ca="1" si="44"/>
        <v/>
      </c>
      <c r="CG52" s="73" t="str">
        <f t="shared" ca="1" si="45"/>
        <v/>
      </c>
      <c r="CH52" s="73" t="str">
        <f t="shared" ca="1" si="46"/>
        <v/>
      </c>
      <c r="CI52" s="73" t="str">
        <f t="shared" ca="1" si="47"/>
        <v/>
      </c>
      <c r="CJ52" s="73" t="str">
        <f t="shared" ca="1" si="48"/>
        <v/>
      </c>
      <c r="CK52" s="73" t="str">
        <f t="shared" ca="1" si="49"/>
        <v/>
      </c>
      <c r="CL52" s="73" t="str">
        <f t="shared" ca="1" si="50"/>
        <v/>
      </c>
      <c r="CM52" s="73" t="str">
        <f t="shared" ca="1" si="51"/>
        <v/>
      </c>
      <c r="CN52" s="73" t="str">
        <f t="shared" ca="1" si="52"/>
        <v/>
      </c>
      <c r="CO52" s="73" t="str">
        <f t="shared" ca="1" si="53"/>
        <v/>
      </c>
      <c r="CP52" s="73" t="str">
        <f t="shared" ca="1" si="54"/>
        <v/>
      </c>
      <c r="CQ52" s="73" t="str">
        <f t="shared" ca="1" si="55"/>
        <v/>
      </c>
    </row>
    <row r="53" spans="27:95" x14ac:dyDescent="0.2">
      <c r="AA53" s="72"/>
      <c r="AD53">
        <v>53</v>
      </c>
      <c r="AE53" s="75">
        <f ca="1">POWER(10,CEILING(LOG(AE50+1),1))</f>
        <v>1</v>
      </c>
      <c r="AF53" s="76">
        <f ca="1">CEILING(AF50+0.25,0.5)</f>
        <v>0.5</v>
      </c>
      <c r="AG53" s="76">
        <f t="shared" ref="AG53:AR53" ca="1" si="64">CEILING(AG50+0.25,0.5)</f>
        <v>0.5</v>
      </c>
      <c r="AH53" s="76">
        <f t="shared" ca="1" si="64"/>
        <v>0.5</v>
      </c>
      <c r="AI53" s="76">
        <f t="shared" ca="1" si="64"/>
        <v>0.5</v>
      </c>
      <c r="AJ53" s="76">
        <f t="shared" ca="1" si="64"/>
        <v>0.5</v>
      </c>
      <c r="AK53" s="76">
        <f t="shared" ca="1" si="64"/>
        <v>0.5</v>
      </c>
      <c r="AL53" s="76">
        <f t="shared" ca="1" si="64"/>
        <v>0.5</v>
      </c>
      <c r="AM53" s="76">
        <f t="shared" ca="1" si="64"/>
        <v>0.5</v>
      </c>
      <c r="AN53" s="76">
        <f t="shared" ca="1" si="64"/>
        <v>0.5</v>
      </c>
      <c r="AO53" s="76">
        <f t="shared" ca="1" si="64"/>
        <v>0.5</v>
      </c>
      <c r="AP53" s="76">
        <f t="shared" ca="1" si="64"/>
        <v>0.5</v>
      </c>
      <c r="AQ53" s="76">
        <f t="shared" ca="1" si="64"/>
        <v>0.5</v>
      </c>
      <c r="AR53" s="76">
        <f t="shared" ca="1" si="64"/>
        <v>0.5</v>
      </c>
      <c r="BM53" s="73" t="e">
        <f t="shared" ca="1" si="28"/>
        <v>#VALUE!</v>
      </c>
      <c r="BN53" s="73" t="str">
        <f t="shared" ca="1" si="29"/>
        <v/>
      </c>
      <c r="BO53" s="73" t="str">
        <f t="shared" ca="1" si="30"/>
        <v/>
      </c>
      <c r="BP53" s="73" t="str">
        <f t="shared" ca="1" si="31"/>
        <v/>
      </c>
      <c r="BQ53" s="73" t="str">
        <f t="shared" ca="1" si="32"/>
        <v/>
      </c>
      <c r="BR53" s="73" t="str">
        <f t="shared" ca="1" si="33"/>
        <v/>
      </c>
      <c r="BS53" s="73" t="str">
        <f t="shared" ca="1" si="34"/>
        <v/>
      </c>
      <c r="BT53" s="73" t="str">
        <f t="shared" ca="1" si="35"/>
        <v/>
      </c>
      <c r="BU53" s="73" t="str">
        <f t="shared" ca="1" si="36"/>
        <v/>
      </c>
      <c r="BV53" s="73" t="str">
        <f t="shared" ca="1" si="37"/>
        <v/>
      </c>
      <c r="BW53" s="73" t="str">
        <f t="shared" ca="1" si="38"/>
        <v/>
      </c>
      <c r="BX53" s="73" t="str">
        <f t="shared" ca="1" si="39"/>
        <v/>
      </c>
      <c r="BY53" s="73" t="str">
        <f t="shared" ca="1" si="40"/>
        <v/>
      </c>
      <c r="BZ53" s="73" t="str">
        <f t="shared" ca="1" si="41"/>
        <v/>
      </c>
      <c r="CD53" s="73" t="e">
        <f t="shared" ca="1" si="42"/>
        <v>#VALUE!</v>
      </c>
      <c r="CE53" s="73" t="str">
        <f t="shared" ca="1" si="43"/>
        <v/>
      </c>
      <c r="CF53" s="73" t="str">
        <f t="shared" ca="1" si="44"/>
        <v/>
      </c>
      <c r="CG53" s="73" t="str">
        <f t="shared" ca="1" si="45"/>
        <v/>
      </c>
      <c r="CH53" s="73" t="str">
        <f t="shared" ca="1" si="46"/>
        <v/>
      </c>
      <c r="CI53" s="73" t="str">
        <f t="shared" ca="1" si="47"/>
        <v/>
      </c>
      <c r="CJ53" s="73" t="str">
        <f t="shared" ca="1" si="48"/>
        <v/>
      </c>
      <c r="CK53" s="73" t="str">
        <f t="shared" ca="1" si="49"/>
        <v/>
      </c>
      <c r="CL53" s="73" t="str">
        <f t="shared" ca="1" si="50"/>
        <v/>
      </c>
      <c r="CM53" s="73" t="str">
        <f t="shared" ca="1" si="51"/>
        <v/>
      </c>
      <c r="CN53" s="73" t="str">
        <f t="shared" ca="1" si="52"/>
        <v/>
      </c>
      <c r="CO53" s="73" t="str">
        <f t="shared" ca="1" si="53"/>
        <v/>
      </c>
      <c r="CP53" s="73" t="str">
        <f t="shared" ca="1" si="54"/>
        <v/>
      </c>
      <c r="CQ53" s="73" t="str">
        <f t="shared" ca="1" si="55"/>
        <v/>
      </c>
    </row>
    <row r="54" spans="27:95" x14ac:dyDescent="0.2">
      <c r="AA54" s="72"/>
      <c r="AD54">
        <v>54</v>
      </c>
      <c r="AE54" s="75">
        <f ca="1">POWER(10,FLOOR(LOG(AE51+10),1))</f>
        <v>10</v>
      </c>
      <c r="AF54" s="76">
        <f ca="1">FLOOR(AF51-0.25,0.5)</f>
        <v>-0.5</v>
      </c>
      <c r="AG54" s="76">
        <f t="shared" ref="AG54:AR54" ca="1" si="65">FLOOR(AG51-0.25,0.5)</f>
        <v>-0.5</v>
      </c>
      <c r="AH54" s="76">
        <f t="shared" ca="1" si="65"/>
        <v>-0.5</v>
      </c>
      <c r="AI54" s="76">
        <f t="shared" ca="1" si="65"/>
        <v>-0.5</v>
      </c>
      <c r="AJ54" s="76">
        <f t="shared" ca="1" si="65"/>
        <v>-0.5</v>
      </c>
      <c r="AK54" s="76">
        <f t="shared" ca="1" si="65"/>
        <v>-0.5</v>
      </c>
      <c r="AL54" s="76">
        <f t="shared" ca="1" si="65"/>
        <v>-0.5</v>
      </c>
      <c r="AM54" s="76">
        <f t="shared" ca="1" si="65"/>
        <v>-0.5</v>
      </c>
      <c r="AN54" s="76">
        <f t="shared" ca="1" si="65"/>
        <v>-0.5</v>
      </c>
      <c r="AO54" s="76">
        <f t="shared" ca="1" si="65"/>
        <v>-0.5</v>
      </c>
      <c r="AP54" s="76">
        <f t="shared" ca="1" si="65"/>
        <v>-0.5</v>
      </c>
      <c r="AQ54" s="76">
        <f t="shared" ca="1" si="65"/>
        <v>-0.5</v>
      </c>
      <c r="AR54" s="76">
        <f t="shared" ca="1" si="65"/>
        <v>-0.5</v>
      </c>
      <c r="BM54" s="73" t="e">
        <f t="shared" ca="1" si="28"/>
        <v>#VALUE!</v>
      </c>
      <c r="BN54" s="73" t="str">
        <f t="shared" ca="1" si="29"/>
        <v/>
      </c>
      <c r="BO54" s="73" t="str">
        <f t="shared" ca="1" si="30"/>
        <v/>
      </c>
      <c r="BP54" s="73" t="str">
        <f t="shared" ca="1" si="31"/>
        <v/>
      </c>
      <c r="BQ54" s="73" t="str">
        <f t="shared" ca="1" si="32"/>
        <v/>
      </c>
      <c r="BR54" s="73" t="str">
        <f t="shared" ca="1" si="33"/>
        <v/>
      </c>
      <c r="BS54" s="73" t="str">
        <f t="shared" ca="1" si="34"/>
        <v/>
      </c>
      <c r="BT54" s="73" t="str">
        <f t="shared" ca="1" si="35"/>
        <v/>
      </c>
      <c r="BU54" s="73" t="str">
        <f t="shared" ca="1" si="36"/>
        <v/>
      </c>
      <c r="BV54" s="73" t="str">
        <f t="shared" ca="1" si="37"/>
        <v/>
      </c>
      <c r="BW54" s="73" t="str">
        <f t="shared" ca="1" si="38"/>
        <v/>
      </c>
      <c r="BX54" s="73" t="str">
        <f t="shared" ca="1" si="39"/>
        <v/>
      </c>
      <c r="BY54" s="73" t="str">
        <f t="shared" ca="1" si="40"/>
        <v/>
      </c>
      <c r="BZ54" s="73" t="str">
        <f t="shared" ca="1" si="41"/>
        <v/>
      </c>
      <c r="CD54" s="73" t="e">
        <f t="shared" ca="1" si="42"/>
        <v>#VALUE!</v>
      </c>
      <c r="CE54" s="73" t="str">
        <f t="shared" ca="1" si="43"/>
        <v/>
      </c>
      <c r="CF54" s="73" t="str">
        <f t="shared" ca="1" si="44"/>
        <v/>
      </c>
      <c r="CG54" s="73" t="str">
        <f t="shared" ca="1" si="45"/>
        <v/>
      </c>
      <c r="CH54" s="73" t="str">
        <f t="shared" ca="1" si="46"/>
        <v/>
      </c>
      <c r="CI54" s="73" t="str">
        <f t="shared" ca="1" si="47"/>
        <v/>
      </c>
      <c r="CJ54" s="73" t="str">
        <f t="shared" ca="1" si="48"/>
        <v/>
      </c>
      <c r="CK54" s="73" t="str">
        <f t="shared" ca="1" si="49"/>
        <v/>
      </c>
      <c r="CL54" s="73" t="str">
        <f t="shared" ca="1" si="50"/>
        <v/>
      </c>
      <c r="CM54" s="73" t="str">
        <f t="shared" ca="1" si="51"/>
        <v/>
      </c>
      <c r="CN54" s="73" t="str">
        <f t="shared" ca="1" si="52"/>
        <v/>
      </c>
      <c r="CO54" s="73" t="str">
        <f t="shared" ca="1" si="53"/>
        <v/>
      </c>
      <c r="CP54" s="73" t="str">
        <f t="shared" ca="1" si="54"/>
        <v/>
      </c>
      <c r="CQ54" s="73" t="str">
        <f t="shared" ca="1" si="55"/>
        <v/>
      </c>
    </row>
    <row r="55" spans="27:95" x14ac:dyDescent="0.2">
      <c r="AA55" s="72"/>
      <c r="AD55">
        <v>55</v>
      </c>
      <c r="BM55" s="73" t="e">
        <f t="shared" ca="1" si="28"/>
        <v>#VALUE!</v>
      </c>
      <c r="BN55" s="73" t="str">
        <f t="shared" ca="1" si="29"/>
        <v/>
      </c>
      <c r="BO55" s="73" t="str">
        <f t="shared" ca="1" si="30"/>
        <v/>
      </c>
      <c r="BP55" s="73" t="str">
        <f t="shared" ca="1" si="31"/>
        <v/>
      </c>
      <c r="BQ55" s="73" t="str">
        <f t="shared" ca="1" si="32"/>
        <v/>
      </c>
      <c r="BR55" s="73" t="str">
        <f t="shared" ca="1" si="33"/>
        <v/>
      </c>
      <c r="BS55" s="73" t="str">
        <f t="shared" ca="1" si="34"/>
        <v/>
      </c>
      <c r="BT55" s="73" t="str">
        <f t="shared" ca="1" si="35"/>
        <v/>
      </c>
      <c r="BU55" s="73" t="str">
        <f t="shared" ca="1" si="36"/>
        <v/>
      </c>
      <c r="BV55" s="73" t="str">
        <f t="shared" ca="1" si="37"/>
        <v/>
      </c>
      <c r="BW55" s="73" t="str">
        <f t="shared" ca="1" si="38"/>
        <v/>
      </c>
      <c r="BX55" s="73" t="str">
        <f t="shared" ca="1" si="39"/>
        <v/>
      </c>
      <c r="BY55" s="73" t="str">
        <f t="shared" ca="1" si="40"/>
        <v/>
      </c>
      <c r="BZ55" s="73" t="str">
        <f t="shared" ca="1" si="41"/>
        <v/>
      </c>
      <c r="CD55" s="73" t="e">
        <f t="shared" ca="1" si="42"/>
        <v>#VALUE!</v>
      </c>
      <c r="CE55" s="73" t="str">
        <f t="shared" ca="1" si="43"/>
        <v/>
      </c>
      <c r="CF55" s="73" t="str">
        <f t="shared" ca="1" si="44"/>
        <v/>
      </c>
      <c r="CG55" s="73" t="str">
        <f t="shared" ca="1" si="45"/>
        <v/>
      </c>
      <c r="CH55" s="73" t="str">
        <f t="shared" ca="1" si="46"/>
        <v/>
      </c>
      <c r="CI55" s="73" t="str">
        <f t="shared" ca="1" si="47"/>
        <v/>
      </c>
      <c r="CJ55" s="73" t="str">
        <f t="shared" ca="1" si="48"/>
        <v/>
      </c>
      <c r="CK55" s="73" t="str">
        <f t="shared" ca="1" si="49"/>
        <v/>
      </c>
      <c r="CL55" s="73" t="str">
        <f t="shared" ca="1" si="50"/>
        <v/>
      </c>
      <c r="CM55" s="73" t="str">
        <f t="shared" ca="1" si="51"/>
        <v/>
      </c>
      <c r="CN55" s="73" t="str">
        <f t="shared" ca="1" si="52"/>
        <v/>
      </c>
      <c r="CO55" s="73" t="str">
        <f t="shared" ca="1" si="53"/>
        <v/>
      </c>
      <c r="CP55" s="73" t="str">
        <f t="shared" ca="1" si="54"/>
        <v/>
      </c>
      <c r="CQ55" s="73" t="str">
        <f t="shared" ca="1" si="55"/>
        <v/>
      </c>
    </row>
    <row r="56" spans="27:95" x14ac:dyDescent="0.2">
      <c r="AA56" s="72"/>
      <c r="AD56">
        <v>56</v>
      </c>
      <c r="AE56" s="67">
        <f ca="1">CEILING(AE50*110%/100,1)*100</f>
        <v>0</v>
      </c>
      <c r="BM56" s="73" t="e">
        <f t="shared" ca="1" si="28"/>
        <v>#VALUE!</v>
      </c>
      <c r="BN56" s="73" t="str">
        <f t="shared" ca="1" si="29"/>
        <v/>
      </c>
      <c r="BO56" s="73" t="str">
        <f t="shared" ca="1" si="30"/>
        <v/>
      </c>
      <c r="BP56" s="73" t="str">
        <f t="shared" ca="1" si="31"/>
        <v/>
      </c>
      <c r="BQ56" s="73" t="str">
        <f t="shared" ca="1" si="32"/>
        <v/>
      </c>
      <c r="BR56" s="73" t="str">
        <f t="shared" ca="1" si="33"/>
        <v/>
      </c>
      <c r="BS56" s="73" t="str">
        <f t="shared" ca="1" si="34"/>
        <v/>
      </c>
      <c r="BT56" s="73" t="str">
        <f t="shared" ca="1" si="35"/>
        <v/>
      </c>
      <c r="BU56" s="73" t="str">
        <f t="shared" ca="1" si="36"/>
        <v/>
      </c>
      <c r="BV56" s="73" t="str">
        <f t="shared" ca="1" si="37"/>
        <v/>
      </c>
      <c r="BW56" s="73" t="str">
        <f t="shared" ca="1" si="38"/>
        <v/>
      </c>
      <c r="BX56" s="73" t="str">
        <f t="shared" ca="1" si="39"/>
        <v/>
      </c>
      <c r="BY56" s="73" t="str">
        <f t="shared" ca="1" si="40"/>
        <v/>
      </c>
      <c r="BZ56" s="73" t="str">
        <f t="shared" ca="1" si="41"/>
        <v/>
      </c>
      <c r="CD56" s="73" t="e">
        <f t="shared" ca="1" si="42"/>
        <v>#VALUE!</v>
      </c>
      <c r="CE56" s="73" t="str">
        <f t="shared" ca="1" si="43"/>
        <v/>
      </c>
      <c r="CF56" s="73" t="str">
        <f t="shared" ca="1" si="44"/>
        <v/>
      </c>
      <c r="CG56" s="73" t="str">
        <f t="shared" ca="1" si="45"/>
        <v/>
      </c>
      <c r="CH56" s="73" t="str">
        <f t="shared" ca="1" si="46"/>
        <v/>
      </c>
      <c r="CI56" s="73" t="str">
        <f t="shared" ca="1" si="47"/>
        <v/>
      </c>
      <c r="CJ56" s="73" t="str">
        <f t="shared" ca="1" si="48"/>
        <v/>
      </c>
      <c r="CK56" s="73" t="str">
        <f t="shared" ca="1" si="49"/>
        <v/>
      </c>
      <c r="CL56" s="73" t="str">
        <f t="shared" ca="1" si="50"/>
        <v/>
      </c>
      <c r="CM56" s="73" t="str">
        <f t="shared" ca="1" si="51"/>
        <v/>
      </c>
      <c r="CN56" s="73" t="str">
        <f t="shared" ca="1" si="52"/>
        <v/>
      </c>
      <c r="CO56" s="73" t="str">
        <f t="shared" ca="1" si="53"/>
        <v/>
      </c>
      <c r="CP56" s="73" t="str">
        <f t="shared" ca="1" si="54"/>
        <v/>
      </c>
      <c r="CQ56" s="73" t="str">
        <f t="shared" ca="1" si="55"/>
        <v/>
      </c>
    </row>
    <row r="57" spans="27:95" x14ac:dyDescent="0.2">
      <c r="AA57" s="72"/>
      <c r="AD57">
        <v>57</v>
      </c>
      <c r="AE57" s="67">
        <v>0</v>
      </c>
      <c r="BM57" s="73" t="e">
        <f ca="1">IF(INDIRECT("'"&amp;$B$3&amp;"'!"&amp;ADDRESS($AD57,BM$1)),INDIRECT("'"&amp;$B$3&amp;"'!"&amp;ADDRESS($AD57,BM$1)),BM56)</f>
        <v>#VALUE!</v>
      </c>
      <c r="BN57" s="73" t="str">
        <f t="shared" ref="BN57:BZ70" ca="1" si="66">IF(INDIRECT("'"&amp;$B$3&amp;"'!"&amp;ADDRESS($AD57,BN$1)),INDIRECT("'"&amp;$B$3&amp;"'!"&amp;ADDRESS($AD57,BN$1)),BN56)</f>
        <v/>
      </c>
      <c r="BO57" s="73" t="str">
        <f t="shared" ca="1" si="66"/>
        <v/>
      </c>
      <c r="BP57" s="73" t="str">
        <f t="shared" ca="1" si="66"/>
        <v/>
      </c>
      <c r="BQ57" s="73" t="str">
        <f t="shared" ca="1" si="66"/>
        <v/>
      </c>
      <c r="BR57" s="73" t="str">
        <f t="shared" ca="1" si="66"/>
        <v/>
      </c>
      <c r="BS57" s="73" t="str">
        <f t="shared" ca="1" si="66"/>
        <v/>
      </c>
      <c r="BT57" s="73" t="str">
        <f t="shared" ca="1" si="66"/>
        <v/>
      </c>
      <c r="BU57" s="73" t="str">
        <f t="shared" ca="1" si="66"/>
        <v/>
      </c>
      <c r="BV57" s="73" t="str">
        <f t="shared" ca="1" si="66"/>
        <v/>
      </c>
      <c r="BW57" s="73" t="str">
        <f t="shared" ca="1" si="66"/>
        <v/>
      </c>
      <c r="BX57" s="73" t="str">
        <f t="shared" ca="1" si="66"/>
        <v/>
      </c>
      <c r="BY57" s="73" t="str">
        <f t="shared" ca="1" si="66"/>
        <v/>
      </c>
      <c r="BZ57" s="73" t="str">
        <f t="shared" ca="1" si="66"/>
        <v/>
      </c>
      <c r="CD57" s="73" t="e">
        <f ca="1">IF(INDIRECT("'"&amp;$B$3&amp;"'!"&amp;ADDRESS($AD57,CD$1)),INDIRECT("'"&amp;$B$3&amp;"'!"&amp;ADDRESS($AD57,CD$1)),CD56)</f>
        <v>#VALUE!</v>
      </c>
      <c r="CE57" s="73" t="str">
        <f t="shared" ca="1" si="43"/>
        <v/>
      </c>
      <c r="CF57" s="73" t="str">
        <f t="shared" ca="1" si="44"/>
        <v/>
      </c>
      <c r="CG57" s="73" t="str">
        <f t="shared" ca="1" si="45"/>
        <v/>
      </c>
      <c r="CH57" s="73" t="str">
        <f t="shared" ca="1" si="46"/>
        <v/>
      </c>
      <c r="CI57" s="73" t="str">
        <f t="shared" ca="1" si="47"/>
        <v/>
      </c>
      <c r="CJ57" s="73" t="str">
        <f t="shared" ca="1" si="48"/>
        <v/>
      </c>
      <c r="CK57" s="73" t="str">
        <f t="shared" ca="1" si="49"/>
        <v/>
      </c>
      <c r="CL57" s="73" t="str">
        <f t="shared" ca="1" si="50"/>
        <v/>
      </c>
      <c r="CM57" s="73" t="str">
        <f t="shared" ca="1" si="51"/>
        <v/>
      </c>
      <c r="CN57" s="73" t="str">
        <f t="shared" ca="1" si="52"/>
        <v/>
      </c>
      <c r="CO57" s="73" t="str">
        <f t="shared" ca="1" si="53"/>
        <v/>
      </c>
      <c r="CP57" s="73" t="str">
        <f t="shared" ca="1" si="54"/>
        <v/>
      </c>
      <c r="CQ57" s="73" t="str">
        <f t="shared" ca="1" si="55"/>
        <v/>
      </c>
    </row>
    <row r="58" spans="27:95" x14ac:dyDescent="0.2">
      <c r="AA58" s="72"/>
      <c r="AD58">
        <v>58</v>
      </c>
      <c r="BM58" s="73" t="e">
        <f t="shared" ref="BM58:BM70" ca="1" si="67">IF(INDIRECT("'"&amp;$B$3&amp;"'!"&amp;ADDRESS($AD58,BM$1)),INDIRECT("'"&amp;$B$3&amp;"'!"&amp;ADDRESS($AD58,BM$1)),BM57)</f>
        <v>#VALUE!</v>
      </c>
      <c r="BN58" s="73" t="str">
        <f t="shared" ca="1" si="66"/>
        <v/>
      </c>
      <c r="BO58" s="73" t="str">
        <f t="shared" ca="1" si="66"/>
        <v/>
      </c>
      <c r="BP58" s="73" t="str">
        <f t="shared" ca="1" si="66"/>
        <v/>
      </c>
      <c r="BQ58" s="73" t="str">
        <f t="shared" ca="1" si="66"/>
        <v/>
      </c>
      <c r="BR58" s="73" t="str">
        <f t="shared" ca="1" si="66"/>
        <v/>
      </c>
      <c r="BS58" s="73" t="str">
        <f t="shared" ca="1" si="66"/>
        <v/>
      </c>
      <c r="BT58" s="73" t="str">
        <f t="shared" ca="1" si="66"/>
        <v/>
      </c>
      <c r="BU58" s="73" t="str">
        <f t="shared" ca="1" si="66"/>
        <v/>
      </c>
      <c r="BV58" s="73" t="str">
        <f t="shared" ca="1" si="66"/>
        <v/>
      </c>
      <c r="BW58" s="73" t="str">
        <f t="shared" ca="1" si="66"/>
        <v/>
      </c>
      <c r="BX58" s="73" t="str">
        <f t="shared" ca="1" si="66"/>
        <v/>
      </c>
      <c r="BY58" s="73" t="str">
        <f t="shared" ca="1" si="66"/>
        <v/>
      </c>
      <c r="BZ58" s="73" t="str">
        <f t="shared" ca="1" si="66"/>
        <v/>
      </c>
      <c r="CD58" s="73" t="e">
        <f t="shared" ref="CD58:CD70" ca="1" si="68">IF(INDIRECT("'"&amp;$B$3&amp;"'!"&amp;ADDRESS($AD58,CD$1)),INDIRECT("'"&amp;$B$3&amp;"'!"&amp;ADDRESS($AD58,CD$1)),CD57)</f>
        <v>#VALUE!</v>
      </c>
      <c r="CE58" s="73" t="str">
        <f t="shared" ca="1" si="43"/>
        <v/>
      </c>
      <c r="CF58" s="73" t="str">
        <f t="shared" ca="1" si="44"/>
        <v/>
      </c>
      <c r="CG58" s="73" t="str">
        <f t="shared" ca="1" si="45"/>
        <v/>
      </c>
      <c r="CH58" s="73" t="str">
        <f t="shared" ca="1" si="46"/>
        <v/>
      </c>
      <c r="CI58" s="73" t="str">
        <f t="shared" ca="1" si="47"/>
        <v/>
      </c>
      <c r="CJ58" s="73" t="str">
        <f t="shared" ca="1" si="48"/>
        <v/>
      </c>
      <c r="CK58" s="73" t="str">
        <f t="shared" ca="1" si="49"/>
        <v/>
      </c>
      <c r="CL58" s="73" t="str">
        <f t="shared" ca="1" si="50"/>
        <v/>
      </c>
      <c r="CM58" s="73" t="str">
        <f t="shared" ca="1" si="51"/>
        <v/>
      </c>
      <c r="CN58" s="73" t="str">
        <f t="shared" ca="1" si="52"/>
        <v/>
      </c>
      <c r="CO58" s="73" t="str">
        <f t="shared" ca="1" si="53"/>
        <v/>
      </c>
      <c r="CP58" s="73" t="str">
        <f t="shared" ca="1" si="54"/>
        <v/>
      </c>
      <c r="CQ58" s="73" t="str">
        <f t="shared" ca="1" si="55"/>
        <v/>
      </c>
    </row>
    <row r="59" spans="27:95" x14ac:dyDescent="0.2">
      <c r="AA59" s="72"/>
      <c r="AD59">
        <v>59</v>
      </c>
      <c r="BM59" s="73" t="e">
        <f t="shared" ca="1" si="67"/>
        <v>#VALUE!</v>
      </c>
      <c r="BN59" s="73" t="str">
        <f t="shared" ca="1" si="66"/>
        <v/>
      </c>
      <c r="BO59" s="73" t="str">
        <f t="shared" ca="1" si="66"/>
        <v/>
      </c>
      <c r="BP59" s="73" t="str">
        <f t="shared" ca="1" si="66"/>
        <v/>
      </c>
      <c r="BQ59" s="73" t="str">
        <f t="shared" ca="1" si="66"/>
        <v/>
      </c>
      <c r="BR59" s="73" t="str">
        <f t="shared" ca="1" si="66"/>
        <v/>
      </c>
      <c r="BS59" s="73" t="str">
        <f t="shared" ca="1" si="66"/>
        <v/>
      </c>
      <c r="BT59" s="73" t="str">
        <f t="shared" ca="1" si="66"/>
        <v/>
      </c>
      <c r="BU59" s="73" t="str">
        <f t="shared" ca="1" si="66"/>
        <v/>
      </c>
      <c r="BV59" s="73" t="str">
        <f t="shared" ca="1" si="66"/>
        <v/>
      </c>
      <c r="BW59" s="73" t="str">
        <f t="shared" ca="1" si="66"/>
        <v/>
      </c>
      <c r="BX59" s="73" t="str">
        <f t="shared" ca="1" si="66"/>
        <v/>
      </c>
      <c r="BY59" s="73" t="str">
        <f t="shared" ca="1" si="66"/>
        <v/>
      </c>
      <c r="BZ59" s="73" t="str">
        <f t="shared" ca="1" si="66"/>
        <v/>
      </c>
      <c r="CD59" s="73" t="e">
        <f t="shared" ca="1" si="68"/>
        <v>#VALUE!</v>
      </c>
      <c r="CE59" s="73" t="str">
        <f t="shared" ca="1" si="43"/>
        <v/>
      </c>
      <c r="CF59" s="73" t="str">
        <f t="shared" ca="1" si="44"/>
        <v/>
      </c>
      <c r="CG59" s="73" t="str">
        <f t="shared" ca="1" si="45"/>
        <v/>
      </c>
      <c r="CH59" s="73" t="str">
        <f t="shared" ca="1" si="46"/>
        <v/>
      </c>
      <c r="CI59" s="73" t="str">
        <f t="shared" ca="1" si="47"/>
        <v/>
      </c>
      <c r="CJ59" s="73" t="str">
        <f t="shared" ca="1" si="48"/>
        <v/>
      </c>
      <c r="CK59" s="73" t="str">
        <f t="shared" ca="1" si="49"/>
        <v/>
      </c>
      <c r="CL59" s="73" t="str">
        <f t="shared" ca="1" si="50"/>
        <v/>
      </c>
      <c r="CM59" s="73" t="str">
        <f t="shared" ca="1" si="51"/>
        <v/>
      </c>
      <c r="CN59" s="73" t="str">
        <f t="shared" ca="1" si="52"/>
        <v/>
      </c>
      <c r="CO59" s="73" t="str">
        <f t="shared" ca="1" si="53"/>
        <v/>
      </c>
      <c r="CP59" s="73" t="str">
        <f t="shared" ca="1" si="54"/>
        <v/>
      </c>
      <c r="CQ59" s="73" t="str">
        <f t="shared" ca="1" si="55"/>
        <v/>
      </c>
    </row>
    <row r="60" spans="27:95" x14ac:dyDescent="0.2">
      <c r="AA60" s="72"/>
      <c r="AD60">
        <v>60</v>
      </c>
      <c r="BM60" s="73" t="e">
        <f t="shared" ca="1" si="67"/>
        <v>#VALUE!</v>
      </c>
      <c r="BN60" s="73" t="str">
        <f t="shared" ca="1" si="66"/>
        <v/>
      </c>
      <c r="BO60" s="73" t="str">
        <f t="shared" ca="1" si="66"/>
        <v/>
      </c>
      <c r="BP60" s="73" t="str">
        <f t="shared" ca="1" si="66"/>
        <v/>
      </c>
      <c r="BQ60" s="73" t="str">
        <f t="shared" ca="1" si="66"/>
        <v/>
      </c>
      <c r="BR60" s="73" t="str">
        <f t="shared" ca="1" si="66"/>
        <v/>
      </c>
      <c r="BS60" s="73" t="str">
        <f t="shared" ca="1" si="66"/>
        <v/>
      </c>
      <c r="BT60" s="73" t="str">
        <f t="shared" ca="1" si="66"/>
        <v/>
      </c>
      <c r="BU60" s="73" t="str">
        <f t="shared" ca="1" si="66"/>
        <v/>
      </c>
      <c r="BV60" s="73" t="str">
        <f t="shared" ca="1" si="66"/>
        <v/>
      </c>
      <c r="BW60" s="73" t="str">
        <f t="shared" ca="1" si="66"/>
        <v/>
      </c>
      <c r="BX60" s="73" t="str">
        <f t="shared" ca="1" si="66"/>
        <v/>
      </c>
      <c r="BY60" s="73" t="str">
        <f t="shared" ca="1" si="66"/>
        <v/>
      </c>
      <c r="BZ60" s="73" t="str">
        <f t="shared" ca="1" si="66"/>
        <v/>
      </c>
      <c r="CD60" s="73" t="e">
        <f t="shared" ca="1" si="68"/>
        <v>#VALUE!</v>
      </c>
      <c r="CE60" s="73" t="str">
        <f t="shared" ca="1" si="43"/>
        <v/>
      </c>
      <c r="CF60" s="73" t="str">
        <f t="shared" ca="1" si="44"/>
        <v/>
      </c>
      <c r="CG60" s="73" t="str">
        <f t="shared" ca="1" si="45"/>
        <v/>
      </c>
      <c r="CH60" s="73" t="str">
        <f t="shared" ca="1" si="46"/>
        <v/>
      </c>
      <c r="CI60" s="73" t="str">
        <f t="shared" ca="1" si="47"/>
        <v/>
      </c>
      <c r="CJ60" s="73" t="str">
        <f t="shared" ca="1" si="48"/>
        <v/>
      </c>
      <c r="CK60" s="73" t="str">
        <f t="shared" ca="1" si="49"/>
        <v/>
      </c>
      <c r="CL60" s="73" t="str">
        <f t="shared" ca="1" si="50"/>
        <v/>
      </c>
      <c r="CM60" s="73" t="str">
        <f t="shared" ca="1" si="51"/>
        <v/>
      </c>
      <c r="CN60" s="73" t="str">
        <f t="shared" ca="1" si="52"/>
        <v/>
      </c>
      <c r="CO60" s="73" t="str">
        <f t="shared" ca="1" si="53"/>
        <v/>
      </c>
      <c r="CP60" s="73" t="str">
        <f t="shared" ca="1" si="54"/>
        <v/>
      </c>
      <c r="CQ60" s="73" t="str">
        <f t="shared" ca="1" si="55"/>
        <v/>
      </c>
    </row>
    <row r="61" spans="27:95" x14ac:dyDescent="0.2">
      <c r="AA61" s="72"/>
      <c r="AD61">
        <v>61</v>
      </c>
      <c r="BM61" s="73" t="e">
        <f t="shared" ca="1" si="67"/>
        <v>#VALUE!</v>
      </c>
      <c r="BN61" s="73" t="str">
        <f t="shared" ca="1" si="66"/>
        <v/>
      </c>
      <c r="BO61" s="73" t="str">
        <f t="shared" ca="1" si="66"/>
        <v/>
      </c>
      <c r="BP61" s="73" t="str">
        <f t="shared" ca="1" si="66"/>
        <v/>
      </c>
      <c r="BQ61" s="73" t="str">
        <f t="shared" ca="1" si="66"/>
        <v/>
      </c>
      <c r="BR61" s="73" t="str">
        <f t="shared" ca="1" si="66"/>
        <v/>
      </c>
      <c r="BS61" s="73" t="str">
        <f t="shared" ca="1" si="66"/>
        <v/>
      </c>
      <c r="BT61" s="73" t="str">
        <f t="shared" ca="1" si="66"/>
        <v/>
      </c>
      <c r="BU61" s="73" t="str">
        <f t="shared" ca="1" si="66"/>
        <v/>
      </c>
      <c r="BV61" s="73" t="str">
        <f t="shared" ca="1" si="66"/>
        <v/>
      </c>
      <c r="BW61" s="73" t="str">
        <f t="shared" ca="1" si="66"/>
        <v/>
      </c>
      <c r="BX61" s="73" t="str">
        <f t="shared" ca="1" si="66"/>
        <v/>
      </c>
      <c r="BY61" s="73" t="str">
        <f t="shared" ca="1" si="66"/>
        <v/>
      </c>
      <c r="BZ61" s="73" t="str">
        <f t="shared" ca="1" si="66"/>
        <v/>
      </c>
      <c r="CD61" s="73" t="e">
        <f t="shared" ca="1" si="68"/>
        <v>#VALUE!</v>
      </c>
      <c r="CE61" s="73" t="str">
        <f t="shared" ca="1" si="43"/>
        <v/>
      </c>
      <c r="CF61" s="73" t="str">
        <f t="shared" ca="1" si="44"/>
        <v/>
      </c>
      <c r="CG61" s="73" t="str">
        <f t="shared" ca="1" si="45"/>
        <v/>
      </c>
      <c r="CH61" s="73" t="str">
        <f t="shared" ca="1" si="46"/>
        <v/>
      </c>
      <c r="CI61" s="73" t="str">
        <f t="shared" ca="1" si="47"/>
        <v/>
      </c>
      <c r="CJ61" s="73" t="str">
        <f t="shared" ca="1" si="48"/>
        <v/>
      </c>
      <c r="CK61" s="73" t="str">
        <f t="shared" ca="1" si="49"/>
        <v/>
      </c>
      <c r="CL61" s="73" t="str">
        <f t="shared" ca="1" si="50"/>
        <v/>
      </c>
      <c r="CM61" s="73" t="str">
        <f t="shared" ca="1" si="51"/>
        <v/>
      </c>
      <c r="CN61" s="73" t="str">
        <f t="shared" ca="1" si="52"/>
        <v/>
      </c>
      <c r="CO61" s="73" t="str">
        <f t="shared" ca="1" si="53"/>
        <v/>
      </c>
      <c r="CP61" s="73" t="str">
        <f t="shared" ca="1" si="54"/>
        <v/>
      </c>
      <c r="CQ61" s="73" t="str">
        <f t="shared" ca="1" si="55"/>
        <v/>
      </c>
    </row>
    <row r="62" spans="27:95" x14ac:dyDescent="0.2">
      <c r="AA62" s="72"/>
      <c r="AD62">
        <v>62</v>
      </c>
      <c r="BM62" s="73" t="e">
        <f t="shared" ca="1" si="67"/>
        <v>#VALUE!</v>
      </c>
      <c r="BN62" s="73" t="str">
        <f t="shared" ca="1" si="66"/>
        <v/>
      </c>
      <c r="BO62" s="73" t="str">
        <f t="shared" ca="1" si="66"/>
        <v/>
      </c>
      <c r="BP62" s="73" t="str">
        <f t="shared" ca="1" si="66"/>
        <v/>
      </c>
      <c r="BQ62" s="73" t="str">
        <f t="shared" ca="1" si="66"/>
        <v/>
      </c>
      <c r="BR62" s="73" t="str">
        <f t="shared" ca="1" si="66"/>
        <v/>
      </c>
      <c r="BS62" s="73" t="str">
        <f t="shared" ca="1" si="66"/>
        <v/>
      </c>
      <c r="BT62" s="73" t="str">
        <f t="shared" ca="1" si="66"/>
        <v/>
      </c>
      <c r="BU62" s="73" t="str">
        <f t="shared" ca="1" si="66"/>
        <v/>
      </c>
      <c r="BV62" s="73" t="str">
        <f t="shared" ca="1" si="66"/>
        <v/>
      </c>
      <c r="BW62" s="73" t="str">
        <f t="shared" ca="1" si="66"/>
        <v/>
      </c>
      <c r="BX62" s="73" t="str">
        <f t="shared" ca="1" si="66"/>
        <v/>
      </c>
      <c r="BY62" s="73" t="str">
        <f t="shared" ca="1" si="66"/>
        <v/>
      </c>
      <c r="BZ62" s="73" t="str">
        <f t="shared" ca="1" si="66"/>
        <v/>
      </c>
      <c r="CD62" s="73" t="e">
        <f t="shared" ca="1" si="68"/>
        <v>#VALUE!</v>
      </c>
      <c r="CE62" s="73" t="str">
        <f t="shared" ca="1" si="43"/>
        <v/>
      </c>
      <c r="CF62" s="73" t="str">
        <f t="shared" ca="1" si="44"/>
        <v/>
      </c>
      <c r="CG62" s="73" t="str">
        <f t="shared" ca="1" si="45"/>
        <v/>
      </c>
      <c r="CH62" s="73" t="str">
        <f t="shared" ca="1" si="46"/>
        <v/>
      </c>
      <c r="CI62" s="73" t="str">
        <f t="shared" ca="1" si="47"/>
        <v/>
      </c>
      <c r="CJ62" s="73" t="str">
        <f t="shared" ca="1" si="48"/>
        <v/>
      </c>
      <c r="CK62" s="73" t="str">
        <f t="shared" ca="1" si="49"/>
        <v/>
      </c>
      <c r="CL62" s="73" t="str">
        <f t="shared" ca="1" si="50"/>
        <v/>
      </c>
      <c r="CM62" s="73" t="str">
        <f t="shared" ca="1" si="51"/>
        <v/>
      </c>
      <c r="CN62" s="73" t="str">
        <f t="shared" ca="1" si="52"/>
        <v/>
      </c>
      <c r="CO62" s="73" t="str">
        <f t="shared" ca="1" si="53"/>
        <v/>
      </c>
      <c r="CP62" s="73" t="str">
        <f t="shared" ca="1" si="54"/>
        <v/>
      </c>
      <c r="CQ62" s="73" t="str">
        <f t="shared" ca="1" si="55"/>
        <v/>
      </c>
    </row>
    <row r="63" spans="27:95" x14ac:dyDescent="0.2">
      <c r="AA63" s="72"/>
      <c r="AD63">
        <v>63</v>
      </c>
      <c r="BM63" s="73" t="e">
        <f t="shared" ca="1" si="67"/>
        <v>#VALUE!</v>
      </c>
      <c r="BN63" s="73" t="str">
        <f t="shared" ca="1" si="66"/>
        <v/>
      </c>
      <c r="BO63" s="73" t="str">
        <f t="shared" ca="1" si="66"/>
        <v/>
      </c>
      <c r="BP63" s="73" t="str">
        <f t="shared" ca="1" si="66"/>
        <v/>
      </c>
      <c r="BQ63" s="73" t="str">
        <f t="shared" ca="1" si="66"/>
        <v/>
      </c>
      <c r="BR63" s="73" t="str">
        <f t="shared" ca="1" si="66"/>
        <v/>
      </c>
      <c r="BS63" s="73" t="str">
        <f t="shared" ca="1" si="66"/>
        <v/>
      </c>
      <c r="BT63" s="73" t="str">
        <f t="shared" ca="1" si="66"/>
        <v/>
      </c>
      <c r="BU63" s="73" t="str">
        <f t="shared" ca="1" si="66"/>
        <v/>
      </c>
      <c r="BV63" s="73" t="str">
        <f t="shared" ca="1" si="66"/>
        <v/>
      </c>
      <c r="BW63" s="73" t="str">
        <f t="shared" ca="1" si="66"/>
        <v/>
      </c>
      <c r="BX63" s="73" t="str">
        <f t="shared" ca="1" si="66"/>
        <v/>
      </c>
      <c r="BY63" s="73" t="str">
        <f t="shared" ca="1" si="66"/>
        <v/>
      </c>
      <c r="BZ63" s="73" t="str">
        <f t="shared" ca="1" si="66"/>
        <v/>
      </c>
      <c r="CD63" s="73" t="e">
        <f t="shared" ca="1" si="68"/>
        <v>#VALUE!</v>
      </c>
      <c r="CE63" s="73" t="str">
        <f t="shared" ca="1" si="43"/>
        <v/>
      </c>
      <c r="CF63" s="73" t="str">
        <f t="shared" ca="1" si="44"/>
        <v/>
      </c>
      <c r="CG63" s="73" t="str">
        <f t="shared" ca="1" si="45"/>
        <v/>
      </c>
      <c r="CH63" s="73" t="str">
        <f t="shared" ca="1" si="46"/>
        <v/>
      </c>
      <c r="CI63" s="73" t="str">
        <f t="shared" ca="1" si="47"/>
        <v/>
      </c>
      <c r="CJ63" s="73" t="str">
        <f t="shared" ca="1" si="48"/>
        <v/>
      </c>
      <c r="CK63" s="73" t="str">
        <f t="shared" ca="1" si="49"/>
        <v/>
      </c>
      <c r="CL63" s="73" t="str">
        <f t="shared" ca="1" si="50"/>
        <v/>
      </c>
      <c r="CM63" s="73" t="str">
        <f t="shared" ca="1" si="51"/>
        <v/>
      </c>
      <c r="CN63" s="73" t="str">
        <f t="shared" ca="1" si="52"/>
        <v/>
      </c>
      <c r="CO63" s="73" t="str">
        <f t="shared" ca="1" si="53"/>
        <v/>
      </c>
      <c r="CP63" s="73" t="str">
        <f t="shared" ca="1" si="54"/>
        <v/>
      </c>
      <c r="CQ63" s="73" t="str">
        <f t="shared" ca="1" si="55"/>
        <v/>
      </c>
    </row>
    <row r="64" spans="27:95" x14ac:dyDescent="0.2">
      <c r="AA64" s="72"/>
      <c r="AD64">
        <v>64</v>
      </c>
      <c r="BM64" s="73" t="e">
        <f t="shared" ca="1" si="67"/>
        <v>#VALUE!</v>
      </c>
      <c r="BN64" s="73" t="str">
        <f t="shared" ca="1" si="66"/>
        <v/>
      </c>
      <c r="BO64" s="73" t="str">
        <f t="shared" ca="1" si="66"/>
        <v/>
      </c>
      <c r="BP64" s="73" t="str">
        <f t="shared" ca="1" si="66"/>
        <v/>
      </c>
      <c r="BQ64" s="73" t="str">
        <f t="shared" ca="1" si="66"/>
        <v/>
      </c>
      <c r="BR64" s="73" t="str">
        <f t="shared" ca="1" si="66"/>
        <v/>
      </c>
      <c r="BS64" s="73" t="str">
        <f t="shared" ca="1" si="66"/>
        <v/>
      </c>
      <c r="BT64" s="73" t="str">
        <f t="shared" ca="1" si="66"/>
        <v/>
      </c>
      <c r="BU64" s="73" t="str">
        <f t="shared" ca="1" si="66"/>
        <v/>
      </c>
      <c r="BV64" s="73" t="str">
        <f t="shared" ca="1" si="66"/>
        <v/>
      </c>
      <c r="BW64" s="73" t="str">
        <f t="shared" ca="1" si="66"/>
        <v/>
      </c>
      <c r="BX64" s="73" t="str">
        <f t="shared" ca="1" si="66"/>
        <v/>
      </c>
      <c r="BY64" s="73" t="str">
        <f t="shared" ca="1" si="66"/>
        <v/>
      </c>
      <c r="BZ64" s="73" t="str">
        <f t="shared" ca="1" si="66"/>
        <v/>
      </c>
      <c r="CD64" s="73" t="e">
        <f t="shared" ca="1" si="68"/>
        <v>#VALUE!</v>
      </c>
      <c r="CE64" s="73" t="str">
        <f t="shared" ca="1" si="43"/>
        <v/>
      </c>
      <c r="CF64" s="73" t="str">
        <f t="shared" ca="1" si="44"/>
        <v/>
      </c>
      <c r="CG64" s="73" t="str">
        <f t="shared" ca="1" si="45"/>
        <v/>
      </c>
      <c r="CH64" s="73" t="str">
        <f t="shared" ca="1" si="46"/>
        <v/>
      </c>
      <c r="CI64" s="73" t="str">
        <f t="shared" ca="1" si="47"/>
        <v/>
      </c>
      <c r="CJ64" s="73" t="str">
        <f t="shared" ca="1" si="48"/>
        <v/>
      </c>
      <c r="CK64" s="73" t="str">
        <f t="shared" ca="1" si="49"/>
        <v/>
      </c>
      <c r="CL64" s="73" t="str">
        <f t="shared" ca="1" si="50"/>
        <v/>
      </c>
      <c r="CM64" s="73" t="str">
        <f t="shared" ca="1" si="51"/>
        <v/>
      </c>
      <c r="CN64" s="73" t="str">
        <f t="shared" ca="1" si="52"/>
        <v/>
      </c>
      <c r="CO64" s="73" t="str">
        <f t="shared" ca="1" si="53"/>
        <v/>
      </c>
      <c r="CP64" s="73" t="str">
        <f t="shared" ca="1" si="54"/>
        <v/>
      </c>
      <c r="CQ64" s="73" t="str">
        <f t="shared" ca="1" si="55"/>
        <v/>
      </c>
    </row>
    <row r="65" spans="27:95" x14ac:dyDescent="0.2">
      <c r="AA65" s="72"/>
      <c r="AD65">
        <v>65</v>
      </c>
      <c r="BM65" s="73" t="e">
        <f t="shared" ca="1" si="67"/>
        <v>#VALUE!</v>
      </c>
      <c r="BN65" s="73" t="str">
        <f t="shared" ca="1" si="66"/>
        <v/>
      </c>
      <c r="BO65" s="73" t="str">
        <f t="shared" ca="1" si="66"/>
        <v/>
      </c>
      <c r="BP65" s="73" t="str">
        <f t="shared" ca="1" si="66"/>
        <v/>
      </c>
      <c r="BQ65" s="73" t="str">
        <f t="shared" ca="1" si="66"/>
        <v/>
      </c>
      <c r="BR65" s="73" t="str">
        <f t="shared" ca="1" si="66"/>
        <v/>
      </c>
      <c r="BS65" s="73" t="str">
        <f t="shared" ca="1" si="66"/>
        <v/>
      </c>
      <c r="BT65" s="73" t="str">
        <f t="shared" ca="1" si="66"/>
        <v/>
      </c>
      <c r="BU65" s="73" t="str">
        <f t="shared" ca="1" si="66"/>
        <v/>
      </c>
      <c r="BV65" s="73" t="str">
        <f t="shared" ca="1" si="66"/>
        <v/>
      </c>
      <c r="BW65" s="73" t="str">
        <f t="shared" ca="1" si="66"/>
        <v/>
      </c>
      <c r="BX65" s="73" t="str">
        <f t="shared" ca="1" si="66"/>
        <v/>
      </c>
      <c r="BY65" s="73" t="str">
        <f t="shared" ca="1" si="66"/>
        <v/>
      </c>
      <c r="BZ65" s="73" t="str">
        <f t="shared" ca="1" si="66"/>
        <v/>
      </c>
      <c r="CD65" s="73" t="e">
        <f t="shared" ca="1" si="68"/>
        <v>#VALUE!</v>
      </c>
      <c r="CE65" s="73" t="str">
        <f t="shared" ca="1" si="43"/>
        <v/>
      </c>
      <c r="CF65" s="73" t="str">
        <f t="shared" ca="1" si="44"/>
        <v/>
      </c>
      <c r="CG65" s="73" t="str">
        <f t="shared" ca="1" si="45"/>
        <v/>
      </c>
      <c r="CH65" s="73" t="str">
        <f t="shared" ca="1" si="46"/>
        <v/>
      </c>
      <c r="CI65" s="73" t="str">
        <f t="shared" ca="1" si="47"/>
        <v/>
      </c>
      <c r="CJ65" s="73" t="str">
        <f t="shared" ca="1" si="48"/>
        <v/>
      </c>
      <c r="CK65" s="73" t="str">
        <f t="shared" ca="1" si="49"/>
        <v/>
      </c>
      <c r="CL65" s="73" t="str">
        <f t="shared" ca="1" si="50"/>
        <v/>
      </c>
      <c r="CM65" s="73" t="str">
        <f t="shared" ca="1" si="51"/>
        <v/>
      </c>
      <c r="CN65" s="73" t="str">
        <f t="shared" ca="1" si="52"/>
        <v/>
      </c>
      <c r="CO65" s="73" t="str">
        <f t="shared" ca="1" si="53"/>
        <v/>
      </c>
      <c r="CP65" s="73" t="str">
        <f t="shared" ca="1" si="54"/>
        <v/>
      </c>
      <c r="CQ65" s="73" t="str">
        <f t="shared" ca="1" si="55"/>
        <v/>
      </c>
    </row>
    <row r="66" spans="27:95" x14ac:dyDescent="0.2">
      <c r="AA66" s="72"/>
      <c r="AD66">
        <v>66</v>
      </c>
      <c r="BM66" s="73" t="e">
        <f t="shared" ca="1" si="67"/>
        <v>#VALUE!</v>
      </c>
      <c r="BN66" s="73" t="str">
        <f t="shared" ca="1" si="66"/>
        <v/>
      </c>
      <c r="BO66" s="73" t="str">
        <f t="shared" ca="1" si="66"/>
        <v/>
      </c>
      <c r="BP66" s="73" t="str">
        <f t="shared" ca="1" si="66"/>
        <v/>
      </c>
      <c r="BQ66" s="73" t="str">
        <f t="shared" ca="1" si="66"/>
        <v/>
      </c>
      <c r="BR66" s="73" t="str">
        <f t="shared" ca="1" si="66"/>
        <v/>
      </c>
      <c r="BS66" s="73" t="str">
        <f t="shared" ca="1" si="66"/>
        <v/>
      </c>
      <c r="BT66" s="73" t="str">
        <f t="shared" ca="1" si="66"/>
        <v/>
      </c>
      <c r="BU66" s="73" t="str">
        <f t="shared" ca="1" si="66"/>
        <v/>
      </c>
      <c r="BV66" s="73" t="str">
        <f t="shared" ca="1" si="66"/>
        <v/>
      </c>
      <c r="BW66" s="73" t="str">
        <f t="shared" ca="1" si="66"/>
        <v/>
      </c>
      <c r="BX66" s="73" t="str">
        <f t="shared" ca="1" si="66"/>
        <v/>
      </c>
      <c r="BY66" s="73" t="str">
        <f t="shared" ca="1" si="66"/>
        <v/>
      </c>
      <c r="BZ66" s="73" t="str">
        <f t="shared" ca="1" si="66"/>
        <v/>
      </c>
      <c r="CD66" s="73" t="e">
        <f t="shared" ca="1" si="68"/>
        <v>#VALUE!</v>
      </c>
      <c r="CE66" s="73" t="str">
        <f t="shared" ca="1" si="43"/>
        <v/>
      </c>
      <c r="CF66" s="73" t="str">
        <f t="shared" ca="1" si="44"/>
        <v/>
      </c>
      <c r="CG66" s="73" t="str">
        <f t="shared" ca="1" si="45"/>
        <v/>
      </c>
      <c r="CH66" s="73" t="str">
        <f t="shared" ca="1" si="46"/>
        <v/>
      </c>
      <c r="CI66" s="73" t="str">
        <f t="shared" ca="1" si="47"/>
        <v/>
      </c>
      <c r="CJ66" s="73" t="str">
        <f t="shared" ca="1" si="48"/>
        <v/>
      </c>
      <c r="CK66" s="73" t="str">
        <f t="shared" ca="1" si="49"/>
        <v/>
      </c>
      <c r="CL66" s="73" t="str">
        <f t="shared" ca="1" si="50"/>
        <v/>
      </c>
      <c r="CM66" s="73" t="str">
        <f t="shared" ca="1" si="51"/>
        <v/>
      </c>
      <c r="CN66" s="73" t="str">
        <f t="shared" ca="1" si="52"/>
        <v/>
      </c>
      <c r="CO66" s="73" t="str">
        <f t="shared" ca="1" si="53"/>
        <v/>
      </c>
      <c r="CP66" s="73" t="str">
        <f t="shared" ca="1" si="54"/>
        <v/>
      </c>
      <c r="CQ66" s="73" t="str">
        <f t="shared" ca="1" si="55"/>
        <v/>
      </c>
    </row>
    <row r="67" spans="27:95" x14ac:dyDescent="0.2">
      <c r="AA67" s="72"/>
      <c r="AD67">
        <v>67</v>
      </c>
      <c r="BM67" s="73" t="e">
        <f t="shared" ca="1" si="67"/>
        <v>#VALUE!</v>
      </c>
      <c r="BN67" s="73" t="str">
        <f t="shared" ca="1" si="66"/>
        <v/>
      </c>
      <c r="BO67" s="73" t="str">
        <f t="shared" ca="1" si="66"/>
        <v/>
      </c>
      <c r="BP67" s="73" t="str">
        <f t="shared" ca="1" si="66"/>
        <v/>
      </c>
      <c r="BQ67" s="73" t="str">
        <f t="shared" ca="1" si="66"/>
        <v/>
      </c>
      <c r="BR67" s="73" t="str">
        <f t="shared" ca="1" si="66"/>
        <v/>
      </c>
      <c r="BS67" s="73" t="str">
        <f t="shared" ca="1" si="66"/>
        <v/>
      </c>
      <c r="BT67" s="73" t="str">
        <f t="shared" ca="1" si="66"/>
        <v/>
      </c>
      <c r="BU67" s="73" t="str">
        <f t="shared" ca="1" si="66"/>
        <v/>
      </c>
      <c r="BV67" s="73" t="str">
        <f t="shared" ca="1" si="66"/>
        <v/>
      </c>
      <c r="BW67" s="73" t="str">
        <f t="shared" ca="1" si="66"/>
        <v/>
      </c>
      <c r="BX67" s="73" t="str">
        <f t="shared" ca="1" si="66"/>
        <v/>
      </c>
      <c r="BY67" s="73" t="str">
        <f t="shared" ca="1" si="66"/>
        <v/>
      </c>
      <c r="BZ67" s="73" t="str">
        <f t="shared" ca="1" si="66"/>
        <v/>
      </c>
      <c r="CD67" s="73" t="e">
        <f t="shared" ca="1" si="68"/>
        <v>#VALUE!</v>
      </c>
      <c r="CE67" s="73" t="str">
        <f t="shared" ca="1" si="43"/>
        <v/>
      </c>
      <c r="CF67" s="73" t="str">
        <f t="shared" ca="1" si="44"/>
        <v/>
      </c>
      <c r="CG67" s="73" t="str">
        <f t="shared" ca="1" si="45"/>
        <v/>
      </c>
      <c r="CH67" s="73" t="str">
        <f t="shared" ca="1" si="46"/>
        <v/>
      </c>
      <c r="CI67" s="73" t="str">
        <f t="shared" ca="1" si="47"/>
        <v/>
      </c>
      <c r="CJ67" s="73" t="str">
        <f t="shared" ca="1" si="48"/>
        <v/>
      </c>
      <c r="CK67" s="73" t="str">
        <f t="shared" ca="1" si="49"/>
        <v/>
      </c>
      <c r="CL67" s="73" t="str">
        <f t="shared" ca="1" si="50"/>
        <v/>
      </c>
      <c r="CM67" s="73" t="str">
        <f t="shared" ca="1" si="51"/>
        <v/>
      </c>
      <c r="CN67" s="73" t="str">
        <f t="shared" ca="1" si="52"/>
        <v/>
      </c>
      <c r="CO67" s="73" t="str">
        <f t="shared" ca="1" si="53"/>
        <v/>
      </c>
      <c r="CP67" s="73" t="str">
        <f t="shared" ca="1" si="54"/>
        <v/>
      </c>
      <c r="CQ67" s="73" t="str">
        <f t="shared" ca="1" si="55"/>
        <v/>
      </c>
    </row>
    <row r="68" spans="27:95" x14ac:dyDescent="0.2">
      <c r="AA68" s="72"/>
      <c r="AD68">
        <v>68</v>
      </c>
      <c r="BM68" s="73" t="e">
        <f t="shared" ca="1" si="67"/>
        <v>#VALUE!</v>
      </c>
      <c r="BN68" s="73" t="str">
        <f t="shared" ca="1" si="66"/>
        <v/>
      </c>
      <c r="BO68" s="73" t="str">
        <f t="shared" ca="1" si="66"/>
        <v/>
      </c>
      <c r="BP68" s="73" t="str">
        <f t="shared" ca="1" si="66"/>
        <v/>
      </c>
      <c r="BQ68" s="73" t="str">
        <f t="shared" ca="1" si="66"/>
        <v/>
      </c>
      <c r="BR68" s="73" t="str">
        <f t="shared" ca="1" si="66"/>
        <v/>
      </c>
      <c r="BS68" s="73" t="str">
        <f t="shared" ca="1" si="66"/>
        <v/>
      </c>
      <c r="BT68" s="73" t="str">
        <f t="shared" ca="1" si="66"/>
        <v/>
      </c>
      <c r="BU68" s="73" t="str">
        <f t="shared" ca="1" si="66"/>
        <v/>
      </c>
      <c r="BV68" s="73" t="str">
        <f t="shared" ca="1" si="66"/>
        <v/>
      </c>
      <c r="BW68" s="73" t="str">
        <f t="shared" ca="1" si="66"/>
        <v/>
      </c>
      <c r="BX68" s="73" t="str">
        <f t="shared" ca="1" si="66"/>
        <v/>
      </c>
      <c r="BY68" s="73" t="str">
        <f t="shared" ca="1" si="66"/>
        <v/>
      </c>
      <c r="BZ68" s="73" t="str">
        <f t="shared" ca="1" si="66"/>
        <v/>
      </c>
      <c r="CD68" s="73" t="e">
        <f t="shared" ca="1" si="68"/>
        <v>#VALUE!</v>
      </c>
      <c r="CE68" s="73" t="str">
        <f t="shared" ca="1" si="43"/>
        <v/>
      </c>
      <c r="CF68" s="73" t="str">
        <f t="shared" ca="1" si="44"/>
        <v/>
      </c>
      <c r="CG68" s="73" t="str">
        <f t="shared" ca="1" si="45"/>
        <v/>
      </c>
      <c r="CH68" s="73" t="str">
        <f t="shared" ca="1" si="46"/>
        <v/>
      </c>
      <c r="CI68" s="73" t="str">
        <f t="shared" ca="1" si="47"/>
        <v/>
      </c>
      <c r="CJ68" s="73" t="str">
        <f t="shared" ca="1" si="48"/>
        <v/>
      </c>
      <c r="CK68" s="73" t="str">
        <f t="shared" ca="1" si="49"/>
        <v/>
      </c>
      <c r="CL68" s="73" t="str">
        <f t="shared" ca="1" si="50"/>
        <v/>
      </c>
      <c r="CM68" s="73" t="str">
        <f t="shared" ca="1" si="51"/>
        <v/>
      </c>
      <c r="CN68" s="73" t="str">
        <f t="shared" ca="1" si="52"/>
        <v/>
      </c>
      <c r="CO68" s="73" t="str">
        <f t="shared" ca="1" si="53"/>
        <v/>
      </c>
      <c r="CP68" s="73" t="str">
        <f t="shared" ca="1" si="54"/>
        <v/>
      </c>
      <c r="CQ68" s="73" t="str">
        <f t="shared" ca="1" si="55"/>
        <v/>
      </c>
    </row>
    <row r="69" spans="27:95" x14ac:dyDescent="0.2">
      <c r="AA69" s="72"/>
      <c r="AD69">
        <v>69</v>
      </c>
      <c r="BM69" s="73" t="e">
        <f t="shared" ca="1" si="67"/>
        <v>#VALUE!</v>
      </c>
      <c r="BN69" s="73" t="str">
        <f t="shared" ca="1" si="66"/>
        <v/>
      </c>
      <c r="BO69" s="73" t="str">
        <f t="shared" ca="1" si="66"/>
        <v/>
      </c>
      <c r="BP69" s="73" t="str">
        <f t="shared" ca="1" si="66"/>
        <v/>
      </c>
      <c r="BQ69" s="73" t="str">
        <f t="shared" ca="1" si="66"/>
        <v/>
      </c>
      <c r="BR69" s="73" t="str">
        <f t="shared" ca="1" si="66"/>
        <v/>
      </c>
      <c r="BS69" s="73" t="str">
        <f t="shared" ca="1" si="66"/>
        <v/>
      </c>
      <c r="BT69" s="73" t="str">
        <f t="shared" ca="1" si="66"/>
        <v/>
      </c>
      <c r="BU69" s="73" t="str">
        <f t="shared" ca="1" si="66"/>
        <v/>
      </c>
      <c r="BV69" s="73" t="str">
        <f t="shared" ca="1" si="66"/>
        <v/>
      </c>
      <c r="BW69" s="73" t="str">
        <f t="shared" ca="1" si="66"/>
        <v/>
      </c>
      <c r="BX69" s="73" t="str">
        <f t="shared" ca="1" si="66"/>
        <v/>
      </c>
      <c r="BY69" s="73" t="str">
        <f t="shared" ca="1" si="66"/>
        <v/>
      </c>
      <c r="BZ69" s="73" t="str">
        <f t="shared" ca="1" si="66"/>
        <v/>
      </c>
      <c r="CD69" s="73" t="e">
        <f t="shared" ca="1" si="68"/>
        <v>#VALUE!</v>
      </c>
      <c r="CE69" s="73" t="str">
        <f t="shared" ca="1" si="43"/>
        <v/>
      </c>
      <c r="CF69" s="73" t="str">
        <f t="shared" ca="1" si="44"/>
        <v/>
      </c>
      <c r="CG69" s="73" t="str">
        <f t="shared" ca="1" si="45"/>
        <v/>
      </c>
      <c r="CH69" s="73" t="str">
        <f t="shared" ca="1" si="46"/>
        <v/>
      </c>
      <c r="CI69" s="73" t="str">
        <f t="shared" ca="1" si="47"/>
        <v/>
      </c>
      <c r="CJ69" s="73" t="str">
        <f t="shared" ca="1" si="48"/>
        <v/>
      </c>
      <c r="CK69" s="73" t="str">
        <f t="shared" ca="1" si="49"/>
        <v/>
      </c>
      <c r="CL69" s="73" t="str">
        <f t="shared" ca="1" si="50"/>
        <v/>
      </c>
      <c r="CM69" s="73" t="str">
        <f t="shared" ca="1" si="51"/>
        <v/>
      </c>
      <c r="CN69" s="73" t="str">
        <f t="shared" ca="1" si="52"/>
        <v/>
      </c>
      <c r="CO69" s="73" t="str">
        <f t="shared" ca="1" si="53"/>
        <v/>
      </c>
      <c r="CP69" s="73" t="str">
        <f t="shared" ca="1" si="54"/>
        <v/>
      </c>
      <c r="CQ69" s="73" t="str">
        <f t="shared" ca="1" si="55"/>
        <v/>
      </c>
    </row>
    <row r="70" spans="27:95" x14ac:dyDescent="0.2">
      <c r="AA70" s="72"/>
      <c r="AD70">
        <v>70</v>
      </c>
      <c r="BM70" s="73" t="e">
        <f t="shared" ca="1" si="67"/>
        <v>#VALUE!</v>
      </c>
      <c r="BN70" s="73" t="str">
        <f t="shared" ca="1" si="66"/>
        <v/>
      </c>
      <c r="BO70" s="73" t="str">
        <f t="shared" ca="1" si="66"/>
        <v/>
      </c>
      <c r="BP70" s="73" t="str">
        <f t="shared" ca="1" si="66"/>
        <v/>
      </c>
      <c r="BQ70" s="73" t="str">
        <f t="shared" ca="1" si="66"/>
        <v/>
      </c>
      <c r="BR70" s="73" t="str">
        <f t="shared" ca="1" si="66"/>
        <v/>
      </c>
      <c r="BS70" s="73" t="str">
        <f t="shared" ca="1" si="66"/>
        <v/>
      </c>
      <c r="BT70" s="73" t="str">
        <f t="shared" ca="1" si="66"/>
        <v/>
      </c>
      <c r="BU70" s="73" t="str">
        <f t="shared" ca="1" si="66"/>
        <v/>
      </c>
      <c r="BV70" s="73" t="str">
        <f t="shared" ca="1" si="66"/>
        <v/>
      </c>
      <c r="BW70" s="73" t="str">
        <f t="shared" ca="1" si="66"/>
        <v/>
      </c>
      <c r="BX70" s="73" t="str">
        <f t="shared" ca="1" si="66"/>
        <v/>
      </c>
      <c r="BY70" s="73" t="str">
        <f t="shared" ca="1" si="66"/>
        <v/>
      </c>
      <c r="BZ70" s="73" t="str">
        <f t="shared" ca="1" si="66"/>
        <v/>
      </c>
      <c r="CD70" s="73" t="e">
        <f t="shared" ca="1" si="68"/>
        <v>#VALUE!</v>
      </c>
      <c r="CE70" s="73" t="str">
        <f t="shared" ref="CE70" ca="1" si="69">IF(INDIRECT("'"&amp;$B$3&amp;"'!"&amp;ADDRESS($AD70,CE$1)),INDIRECT("'"&amp;$B$3&amp;"'!"&amp;ADDRESS($AD70,CE$1)),CE69)</f>
        <v/>
      </c>
      <c r="CF70" s="73" t="str">
        <f t="shared" ref="CF70" ca="1" si="70">IF(INDIRECT("'"&amp;$B$3&amp;"'!"&amp;ADDRESS($AD70,CF$1)),INDIRECT("'"&amp;$B$3&amp;"'!"&amp;ADDRESS($AD70,CF$1)),CF69)</f>
        <v/>
      </c>
      <c r="CG70" s="73" t="str">
        <f t="shared" ref="CG70" ca="1" si="71">IF(INDIRECT("'"&amp;$B$3&amp;"'!"&amp;ADDRESS($AD70,CG$1)),INDIRECT("'"&amp;$B$3&amp;"'!"&amp;ADDRESS($AD70,CG$1)),CG69)</f>
        <v/>
      </c>
      <c r="CH70" s="73" t="str">
        <f t="shared" ref="CH70" ca="1" si="72">IF(INDIRECT("'"&amp;$B$3&amp;"'!"&amp;ADDRESS($AD70,CH$1)),INDIRECT("'"&amp;$B$3&amp;"'!"&amp;ADDRESS($AD70,CH$1)),CH69)</f>
        <v/>
      </c>
      <c r="CI70" s="73" t="str">
        <f t="shared" ref="CI70" ca="1" si="73">IF(INDIRECT("'"&amp;$B$3&amp;"'!"&amp;ADDRESS($AD70,CI$1)),INDIRECT("'"&amp;$B$3&amp;"'!"&amp;ADDRESS($AD70,CI$1)),CI69)</f>
        <v/>
      </c>
      <c r="CJ70" s="73" t="str">
        <f t="shared" ref="CJ70" ca="1" si="74">IF(INDIRECT("'"&amp;$B$3&amp;"'!"&amp;ADDRESS($AD70,CJ$1)),INDIRECT("'"&amp;$B$3&amp;"'!"&amp;ADDRESS($AD70,CJ$1)),CJ69)</f>
        <v/>
      </c>
      <c r="CK70" s="73" t="str">
        <f t="shared" ref="CK70" ca="1" si="75">IF(INDIRECT("'"&amp;$B$3&amp;"'!"&amp;ADDRESS($AD70,CK$1)),INDIRECT("'"&amp;$B$3&amp;"'!"&amp;ADDRESS($AD70,CK$1)),CK69)</f>
        <v/>
      </c>
      <c r="CL70" s="73" t="str">
        <f t="shared" ref="CL70" ca="1" si="76">IF(INDIRECT("'"&amp;$B$3&amp;"'!"&amp;ADDRESS($AD70,CL$1)),INDIRECT("'"&amp;$B$3&amp;"'!"&amp;ADDRESS($AD70,CL$1)),CL69)</f>
        <v/>
      </c>
      <c r="CM70" s="73" t="str">
        <f t="shared" ref="CM70" ca="1" si="77">IF(INDIRECT("'"&amp;$B$3&amp;"'!"&amp;ADDRESS($AD70,CM$1)),INDIRECT("'"&amp;$B$3&amp;"'!"&amp;ADDRESS($AD70,CM$1)),CM69)</f>
        <v/>
      </c>
      <c r="CN70" s="73" t="str">
        <f t="shared" ref="CN70" ca="1" si="78">IF(INDIRECT("'"&amp;$B$3&amp;"'!"&amp;ADDRESS($AD70,CN$1)),INDIRECT("'"&amp;$B$3&amp;"'!"&amp;ADDRESS($AD70,CN$1)),CN69)</f>
        <v/>
      </c>
      <c r="CO70" s="73" t="str">
        <f t="shared" ref="CO70" ca="1" si="79">IF(INDIRECT("'"&amp;$B$3&amp;"'!"&amp;ADDRESS($AD70,CO$1)),INDIRECT("'"&amp;$B$3&amp;"'!"&amp;ADDRESS($AD70,CO$1)),CO69)</f>
        <v/>
      </c>
      <c r="CP70" s="73" t="str">
        <f t="shared" ref="CP70" ca="1" si="80">IF(INDIRECT("'"&amp;$B$3&amp;"'!"&amp;ADDRESS($AD70,CP$1)),INDIRECT("'"&amp;$B$3&amp;"'!"&amp;ADDRESS($AD70,CP$1)),CP69)</f>
        <v/>
      </c>
      <c r="CQ70" s="73" t="str">
        <f t="shared" ref="CQ70" ca="1" si="81">IF(INDIRECT("'"&amp;$B$3&amp;"'!"&amp;ADDRESS($AD70,CQ$1)),INDIRECT("'"&amp;$B$3&amp;"'!"&amp;ADDRESS($AD70,CQ$1)),CQ69)</f>
        <v/>
      </c>
    </row>
    <row r="71" spans="27:95" x14ac:dyDescent="0.2">
      <c r="AA71" s="72"/>
      <c r="BM71" s="67"/>
      <c r="BN71" s="67"/>
      <c r="BO71" s="67"/>
      <c r="BP71" s="67"/>
      <c r="BQ71" s="67"/>
      <c r="BR71" s="67"/>
      <c r="BS71" s="67"/>
      <c r="BT71" s="67"/>
      <c r="BU71" s="67"/>
      <c r="BV71" s="67"/>
      <c r="BW71" s="67"/>
      <c r="BX71" s="67"/>
      <c r="BY71" s="67"/>
      <c r="BZ71" s="67"/>
      <c r="CD71" s="67"/>
      <c r="CE71" s="67"/>
      <c r="CF71" s="67"/>
      <c r="CG71" s="67"/>
      <c r="CH71" s="67"/>
      <c r="CI71" s="67"/>
      <c r="CJ71" s="67"/>
      <c r="CK71" s="67"/>
      <c r="CL71" s="67"/>
      <c r="CM71" s="67"/>
      <c r="CN71" s="67"/>
      <c r="CO71" s="67"/>
      <c r="CP71" s="67"/>
      <c r="CQ71" s="67"/>
    </row>
    <row r="72" spans="27:95" x14ac:dyDescent="0.2">
      <c r="AA72" s="72"/>
      <c r="BM72" s="67"/>
      <c r="BN72" s="67"/>
      <c r="BO72" s="67"/>
      <c r="BP72" s="67"/>
      <c r="BQ72" s="67"/>
      <c r="BR72" s="67"/>
      <c r="BS72" s="67"/>
      <c r="BT72" s="67"/>
      <c r="BU72" s="67"/>
      <c r="BV72" s="67"/>
      <c r="BW72" s="67"/>
      <c r="BX72" s="67"/>
      <c r="BY72" s="67"/>
      <c r="BZ72" s="67"/>
      <c r="CD72" s="67"/>
      <c r="CE72" s="67"/>
      <c r="CF72" s="67"/>
      <c r="CG72" s="67"/>
      <c r="CH72" s="67"/>
      <c r="CI72" s="67"/>
      <c r="CJ72" s="67"/>
      <c r="CK72" s="67"/>
      <c r="CL72" s="67"/>
      <c r="CM72" s="67"/>
      <c r="CN72" s="67"/>
      <c r="CO72" s="67"/>
      <c r="CP72" s="67"/>
      <c r="CQ72" s="67"/>
    </row>
    <row r="73" spans="27:95" x14ac:dyDescent="0.2">
      <c r="AA73" s="72"/>
      <c r="BM73" s="67"/>
      <c r="BN73" s="67"/>
      <c r="BO73" s="67"/>
      <c r="BP73" s="67"/>
      <c r="BQ73" s="67"/>
      <c r="BR73" s="67"/>
      <c r="BS73" s="67"/>
      <c r="BT73" s="67"/>
      <c r="BU73" s="67"/>
      <c r="BV73" s="67"/>
      <c r="BW73" s="67"/>
      <c r="BX73" s="67"/>
      <c r="BY73" s="67"/>
      <c r="BZ73" s="67"/>
      <c r="CD73" s="67"/>
      <c r="CE73" s="67"/>
      <c r="CF73" s="67"/>
      <c r="CG73" s="67"/>
      <c r="CH73" s="67"/>
      <c r="CI73" s="67"/>
      <c r="CJ73" s="67"/>
      <c r="CK73" s="67"/>
      <c r="CL73" s="67"/>
      <c r="CM73" s="67"/>
      <c r="CN73" s="67"/>
      <c r="CO73" s="67"/>
      <c r="CP73" s="67"/>
      <c r="CQ73" s="67"/>
    </row>
    <row r="74" spans="27:95" x14ac:dyDescent="0.2">
      <c r="AA74" s="72"/>
      <c r="BM74" s="67"/>
      <c r="BN74" s="67"/>
      <c r="BO74" s="67"/>
      <c r="BP74" s="67"/>
      <c r="BQ74" s="67"/>
      <c r="BR74" s="67"/>
      <c r="BS74" s="67"/>
      <c r="BT74" s="67"/>
      <c r="BU74" s="67"/>
      <c r="BV74" s="67"/>
      <c r="BW74" s="67"/>
      <c r="BX74" s="67"/>
      <c r="BY74" s="67"/>
      <c r="BZ74" s="67"/>
      <c r="CD74" s="67"/>
      <c r="CE74" s="67"/>
      <c r="CF74" s="67"/>
      <c r="CG74" s="67"/>
      <c r="CH74" s="67"/>
      <c r="CI74" s="67"/>
      <c r="CJ74" s="67"/>
      <c r="CK74" s="67"/>
      <c r="CL74" s="67"/>
      <c r="CM74" s="67"/>
      <c r="CN74" s="67"/>
      <c r="CO74" s="67"/>
      <c r="CP74" s="67"/>
      <c r="CQ74" s="67"/>
    </row>
    <row r="75" spans="27:95" x14ac:dyDescent="0.2">
      <c r="AA75" s="72"/>
      <c r="BM75" s="67"/>
      <c r="BN75" s="67"/>
      <c r="BO75" s="67"/>
      <c r="BP75" s="67"/>
      <c r="BQ75" s="67"/>
      <c r="BR75" s="67"/>
      <c r="BS75" s="67"/>
      <c r="BT75" s="67"/>
      <c r="BU75" s="67"/>
      <c r="BV75" s="67"/>
      <c r="BW75" s="67"/>
      <c r="BX75" s="67"/>
      <c r="BY75" s="67"/>
      <c r="BZ75" s="67"/>
      <c r="CD75" s="67"/>
      <c r="CE75" s="67"/>
      <c r="CF75" s="67"/>
      <c r="CG75" s="67"/>
      <c r="CH75" s="67"/>
      <c r="CI75" s="67"/>
      <c r="CJ75" s="67"/>
      <c r="CK75" s="67"/>
      <c r="CL75" s="67"/>
      <c r="CM75" s="67"/>
      <c r="CN75" s="67"/>
      <c r="CO75" s="67"/>
      <c r="CP75" s="67"/>
      <c r="CQ75" s="67"/>
    </row>
    <row r="76" spans="27:95" x14ac:dyDescent="0.2">
      <c r="BM76" s="67"/>
      <c r="BN76" s="67"/>
      <c r="BO76" s="67"/>
      <c r="BP76" s="67"/>
      <c r="BQ76" s="67"/>
      <c r="BR76" s="67"/>
      <c r="BS76" s="67"/>
      <c r="BT76" s="67"/>
      <c r="BU76" s="67"/>
      <c r="BV76" s="67"/>
      <c r="BW76" s="67"/>
      <c r="BX76" s="67"/>
      <c r="BY76" s="67"/>
      <c r="BZ76" s="67"/>
      <c r="CD76" s="67"/>
      <c r="CE76" s="67"/>
      <c r="CF76" s="67"/>
      <c r="CG76" s="67"/>
      <c r="CH76" s="67"/>
      <c r="CI76" s="67"/>
      <c r="CJ76" s="67"/>
      <c r="CK76" s="67"/>
      <c r="CL76" s="67"/>
      <c r="CM76" s="67"/>
      <c r="CN76" s="67"/>
      <c r="CO76" s="67"/>
      <c r="CP76" s="67"/>
      <c r="CQ76" s="67"/>
    </row>
    <row r="77" spans="27:95" x14ac:dyDescent="0.2">
      <c r="BM77" s="67"/>
      <c r="BN77" s="67"/>
      <c r="BO77" s="67"/>
      <c r="BP77" s="67"/>
      <c r="BQ77" s="67"/>
      <c r="BR77" s="67"/>
      <c r="BS77" s="67"/>
      <c r="BT77" s="67"/>
      <c r="BU77" s="67"/>
      <c r="BV77" s="67"/>
      <c r="BW77" s="67"/>
      <c r="BX77" s="67"/>
      <c r="BY77" s="67"/>
      <c r="BZ77" s="67"/>
      <c r="CD77" s="67"/>
      <c r="CE77" s="67"/>
      <c r="CF77" s="67"/>
      <c r="CG77" s="67"/>
      <c r="CH77" s="67"/>
      <c r="CI77" s="67"/>
      <c r="CJ77" s="67"/>
      <c r="CK77" s="67"/>
      <c r="CL77" s="67"/>
      <c r="CM77" s="67"/>
      <c r="CN77" s="67"/>
      <c r="CO77" s="67"/>
      <c r="CP77" s="67"/>
      <c r="CQ77" s="67"/>
    </row>
    <row r="78" spans="27:95" x14ac:dyDescent="0.2">
      <c r="BM78" s="67"/>
      <c r="BN78" s="67"/>
      <c r="BO78" s="67"/>
      <c r="BP78" s="67"/>
      <c r="BQ78" s="67"/>
      <c r="BR78" s="67"/>
      <c r="BS78" s="67"/>
      <c r="BT78" s="67"/>
      <c r="BU78" s="67"/>
      <c r="BV78" s="67"/>
      <c r="BW78" s="67"/>
      <c r="BX78" s="67"/>
      <c r="BY78" s="67"/>
      <c r="BZ78" s="67"/>
      <c r="CD78" s="67"/>
      <c r="CE78" s="67"/>
      <c r="CF78" s="67"/>
      <c r="CG78" s="67"/>
      <c r="CH78" s="67"/>
      <c r="CI78" s="67"/>
      <c r="CJ78" s="67"/>
      <c r="CK78" s="67"/>
      <c r="CL78" s="67"/>
      <c r="CM78" s="67"/>
      <c r="CN78" s="67"/>
      <c r="CO78" s="67"/>
      <c r="CP78" s="67"/>
      <c r="CQ78" s="67"/>
    </row>
    <row r="79" spans="27:95" x14ac:dyDescent="0.2">
      <c r="AA79" s="77"/>
      <c r="BM79" s="67"/>
      <c r="BN79" s="67"/>
      <c r="BO79" s="67"/>
      <c r="BP79" s="67"/>
      <c r="BQ79" s="67"/>
      <c r="BR79" s="67"/>
      <c r="BS79" s="67"/>
      <c r="BT79" s="67"/>
      <c r="BU79" s="67"/>
      <c r="BV79" s="67"/>
      <c r="BW79" s="67"/>
      <c r="BX79" s="67"/>
      <c r="BY79" s="67"/>
      <c r="BZ79" s="67"/>
      <c r="CD79" s="67"/>
      <c r="CE79" s="67"/>
      <c r="CF79" s="67"/>
      <c r="CG79" s="67"/>
      <c r="CH79" s="67"/>
      <c r="CI79" s="67"/>
      <c r="CJ79" s="67"/>
      <c r="CK79" s="67"/>
      <c r="CL79" s="67"/>
      <c r="CM79" s="67"/>
      <c r="CN79" s="67"/>
      <c r="CO79" s="67"/>
      <c r="CP79" s="67"/>
      <c r="CQ79" s="67"/>
    </row>
    <row r="80" spans="27:95" x14ac:dyDescent="0.2">
      <c r="AA80" s="77"/>
      <c r="BM80" s="67"/>
      <c r="BN80" s="67"/>
      <c r="BO80" s="67"/>
      <c r="BP80" s="67"/>
      <c r="BQ80" s="67"/>
      <c r="BR80" s="67"/>
      <c r="BS80" s="67"/>
      <c r="BT80" s="67"/>
      <c r="BU80" s="67"/>
      <c r="BV80" s="67"/>
      <c r="BW80" s="67"/>
      <c r="BX80" s="67"/>
      <c r="BY80" s="67"/>
      <c r="BZ80" s="67"/>
      <c r="CD80" s="67"/>
      <c r="CE80" s="67"/>
      <c r="CF80" s="67"/>
      <c r="CG80" s="67"/>
      <c r="CH80" s="67"/>
      <c r="CI80" s="67"/>
      <c r="CJ80" s="67"/>
      <c r="CK80" s="67"/>
      <c r="CL80" s="67"/>
      <c r="CM80" s="67"/>
      <c r="CN80" s="67"/>
      <c r="CO80" s="67"/>
      <c r="CP80" s="67"/>
      <c r="CQ80" s="67"/>
    </row>
    <row r="81" spans="27:95" x14ac:dyDescent="0.2">
      <c r="AA81" s="77"/>
      <c r="BM81" s="67"/>
      <c r="BN81" s="67"/>
      <c r="BO81" s="67"/>
      <c r="BP81" s="67"/>
      <c r="BQ81" s="67"/>
      <c r="BR81" s="67"/>
      <c r="BS81" s="67"/>
      <c r="BT81" s="67"/>
      <c r="BU81" s="67"/>
      <c r="BV81" s="67"/>
      <c r="BW81" s="67"/>
      <c r="BX81" s="67"/>
      <c r="BY81" s="67"/>
      <c r="BZ81" s="67"/>
      <c r="CD81" s="67"/>
      <c r="CE81" s="67"/>
      <c r="CF81" s="67"/>
      <c r="CG81" s="67"/>
      <c r="CH81" s="67"/>
      <c r="CI81" s="67"/>
      <c r="CJ81" s="67"/>
      <c r="CK81" s="67"/>
      <c r="CL81" s="67"/>
      <c r="CM81" s="67"/>
      <c r="CN81" s="67"/>
      <c r="CO81" s="67"/>
      <c r="CP81" s="67"/>
      <c r="CQ81" s="67"/>
    </row>
    <row r="82" spans="27:95" x14ac:dyDescent="0.2">
      <c r="AA82" s="77"/>
      <c r="BM82" s="67"/>
      <c r="BN82" s="67"/>
      <c r="BO82" s="67"/>
      <c r="BP82" s="67"/>
      <c r="BQ82" s="67"/>
      <c r="BR82" s="67"/>
      <c r="BS82" s="67"/>
      <c r="BT82" s="67"/>
      <c r="BU82" s="67"/>
      <c r="BV82" s="67"/>
      <c r="BW82" s="67"/>
      <c r="BX82" s="67"/>
      <c r="BY82" s="67"/>
      <c r="BZ82" s="67"/>
      <c r="CD82" s="67"/>
      <c r="CE82" s="67"/>
      <c r="CF82" s="67"/>
      <c r="CG82" s="67"/>
      <c r="CH82" s="67"/>
      <c r="CI82" s="67"/>
      <c r="CJ82" s="67"/>
      <c r="CK82" s="67"/>
      <c r="CL82" s="67"/>
      <c r="CM82" s="67"/>
      <c r="CN82" s="67"/>
      <c r="CO82" s="67"/>
      <c r="CP82" s="67"/>
      <c r="CQ82" s="67"/>
    </row>
    <row r="83" spans="27:95" x14ac:dyDescent="0.2">
      <c r="AA83" s="77"/>
      <c r="BM83" s="67"/>
      <c r="BN83" s="67"/>
      <c r="BO83" s="67"/>
      <c r="BP83" s="67"/>
      <c r="BQ83" s="67"/>
      <c r="BR83" s="67"/>
      <c r="BS83" s="67"/>
      <c r="BT83" s="67"/>
      <c r="BU83" s="67"/>
      <c r="BV83" s="67"/>
      <c r="BW83" s="67"/>
      <c r="BX83" s="67"/>
      <c r="BY83" s="67"/>
      <c r="BZ83" s="67"/>
      <c r="CD83" s="67"/>
      <c r="CE83" s="67"/>
      <c r="CF83" s="67"/>
      <c r="CG83" s="67"/>
      <c r="CH83" s="67"/>
      <c r="CI83" s="67"/>
      <c r="CJ83" s="67"/>
      <c r="CK83" s="67"/>
      <c r="CL83" s="67"/>
      <c r="CM83" s="67"/>
      <c r="CN83" s="67"/>
      <c r="CO83" s="67"/>
      <c r="CP83" s="67"/>
      <c r="CQ83" s="67"/>
    </row>
    <row r="84" spans="27:95" x14ac:dyDescent="0.2">
      <c r="AA84" s="77"/>
      <c r="BM84" s="67"/>
      <c r="BN84" s="67"/>
      <c r="BO84" s="67"/>
      <c r="BP84" s="67"/>
      <c r="BQ84" s="67"/>
      <c r="BR84" s="67"/>
      <c r="BS84" s="67"/>
      <c r="BT84" s="67"/>
      <c r="BU84" s="67"/>
      <c r="BV84" s="67"/>
      <c r="BW84" s="67"/>
      <c r="BX84" s="67"/>
      <c r="BY84" s="67"/>
      <c r="BZ84" s="67"/>
      <c r="CD84" s="67"/>
      <c r="CE84" s="67"/>
      <c r="CF84" s="67"/>
      <c r="CG84" s="67"/>
      <c r="CH84" s="67"/>
      <c r="CI84" s="67"/>
      <c r="CJ84" s="67"/>
      <c r="CK84" s="67"/>
      <c r="CL84" s="67"/>
      <c r="CM84" s="67"/>
      <c r="CN84" s="67"/>
      <c r="CO84" s="67"/>
      <c r="CP84" s="67"/>
      <c r="CQ84" s="67"/>
    </row>
    <row r="85" spans="27:95" x14ac:dyDescent="0.2">
      <c r="AA85" s="77"/>
      <c r="BM85" s="67"/>
      <c r="BN85" s="67"/>
      <c r="BO85" s="67"/>
      <c r="BP85" s="67"/>
      <c r="BQ85" s="67"/>
      <c r="BR85" s="67"/>
      <c r="BS85" s="67"/>
      <c r="BT85" s="67"/>
      <c r="BU85" s="67"/>
      <c r="BV85" s="67"/>
      <c r="BW85" s="67"/>
      <c r="BX85" s="67"/>
      <c r="BY85" s="67"/>
      <c r="BZ85" s="67"/>
      <c r="CD85" s="67"/>
      <c r="CE85" s="67"/>
      <c r="CF85" s="67"/>
      <c r="CG85" s="67"/>
      <c r="CH85" s="67"/>
      <c r="CI85" s="67"/>
      <c r="CJ85" s="67"/>
      <c r="CK85" s="67"/>
      <c r="CL85" s="67"/>
      <c r="CM85" s="67"/>
      <c r="CN85" s="67"/>
      <c r="CO85" s="67"/>
      <c r="CP85" s="67"/>
      <c r="CQ85" s="67"/>
    </row>
    <row r="86" spans="27:95" x14ac:dyDescent="0.2">
      <c r="AA86" s="77"/>
      <c r="BM86" s="67"/>
      <c r="BN86" s="67"/>
      <c r="BO86" s="67"/>
      <c r="BP86" s="67"/>
      <c r="BQ86" s="67"/>
      <c r="BR86" s="67"/>
      <c r="BS86" s="67"/>
      <c r="BT86" s="67"/>
      <c r="BU86" s="67"/>
      <c r="BV86" s="67"/>
      <c r="BW86" s="67"/>
      <c r="BX86" s="67"/>
      <c r="BY86" s="67"/>
      <c r="BZ86" s="67"/>
      <c r="CD86" s="67"/>
      <c r="CE86" s="67"/>
      <c r="CF86" s="67"/>
      <c r="CG86" s="67"/>
      <c r="CH86" s="67"/>
      <c r="CI86" s="67"/>
      <c r="CJ86" s="67"/>
      <c r="CK86" s="67"/>
      <c r="CL86" s="67"/>
      <c r="CM86" s="67"/>
      <c r="CN86" s="67"/>
      <c r="CO86" s="67"/>
      <c r="CP86" s="67"/>
      <c r="CQ86" s="67"/>
    </row>
    <row r="87" spans="27:95" x14ac:dyDescent="0.2">
      <c r="AA87" s="77"/>
      <c r="BM87" s="67"/>
      <c r="BN87" s="67"/>
      <c r="BO87" s="67"/>
      <c r="BP87" s="67"/>
      <c r="BQ87" s="67"/>
      <c r="BR87" s="67"/>
      <c r="BS87" s="67"/>
      <c r="BT87" s="67"/>
      <c r="BU87" s="67"/>
      <c r="BV87" s="67"/>
      <c r="BW87" s="67"/>
      <c r="BX87" s="67"/>
      <c r="BY87" s="67"/>
      <c r="BZ87" s="67"/>
      <c r="CD87" s="67"/>
      <c r="CE87" s="67"/>
      <c r="CF87" s="67"/>
      <c r="CG87" s="67"/>
      <c r="CH87" s="67"/>
      <c r="CI87" s="67"/>
      <c r="CJ87" s="67"/>
      <c r="CK87" s="67"/>
      <c r="CL87" s="67"/>
      <c r="CM87" s="67"/>
      <c r="CN87" s="67"/>
      <c r="CO87" s="67"/>
      <c r="CP87" s="67"/>
      <c r="CQ87" s="67"/>
    </row>
    <row r="88" spans="27:95" x14ac:dyDescent="0.2">
      <c r="AA88" s="77"/>
      <c r="BM88" s="67"/>
      <c r="BN88" s="67"/>
      <c r="BO88" s="67"/>
      <c r="BP88" s="67"/>
      <c r="BQ88" s="67"/>
      <c r="BR88" s="67"/>
      <c r="BS88" s="67"/>
      <c r="BT88" s="67"/>
      <c r="BU88" s="67"/>
      <c r="BV88" s="67"/>
      <c r="BW88" s="67"/>
      <c r="BX88" s="67"/>
      <c r="BY88" s="67"/>
      <c r="BZ88" s="67"/>
      <c r="CD88" s="67"/>
      <c r="CE88" s="67"/>
      <c r="CF88" s="67"/>
      <c r="CG88" s="67"/>
      <c r="CH88" s="67"/>
      <c r="CI88" s="67"/>
      <c r="CJ88" s="67"/>
      <c r="CK88" s="67"/>
      <c r="CL88" s="67"/>
      <c r="CM88" s="67"/>
      <c r="CN88" s="67"/>
      <c r="CO88" s="67"/>
      <c r="CP88" s="67"/>
      <c r="CQ88" s="67"/>
    </row>
    <row r="89" spans="27:95" x14ac:dyDescent="0.2">
      <c r="AA89" s="77"/>
      <c r="BM89" s="67"/>
      <c r="BN89" s="67"/>
      <c r="BO89" s="67"/>
      <c r="BP89" s="67"/>
      <c r="BQ89" s="67"/>
      <c r="BR89" s="67"/>
      <c r="BS89" s="67"/>
      <c r="BT89" s="67"/>
      <c r="BU89" s="67"/>
      <c r="BV89" s="67"/>
      <c r="BW89" s="67"/>
      <c r="BX89" s="67"/>
      <c r="BY89" s="67"/>
      <c r="BZ89" s="67"/>
      <c r="CD89" s="67"/>
      <c r="CE89" s="67"/>
      <c r="CF89" s="67"/>
      <c r="CG89" s="67"/>
      <c r="CH89" s="67"/>
      <c r="CI89" s="67"/>
      <c r="CJ89" s="67"/>
      <c r="CK89" s="67"/>
      <c r="CL89" s="67"/>
      <c r="CM89" s="67"/>
      <c r="CN89" s="67"/>
      <c r="CO89" s="67"/>
      <c r="CP89" s="67"/>
      <c r="CQ89" s="67"/>
    </row>
    <row r="90" spans="27:95" x14ac:dyDescent="0.2">
      <c r="AA90" s="77"/>
      <c r="BM90" s="67"/>
      <c r="BN90" s="67"/>
      <c r="BO90" s="67"/>
      <c r="BP90" s="67"/>
      <c r="BQ90" s="67"/>
      <c r="BR90" s="67"/>
      <c r="BS90" s="67"/>
      <c r="BT90" s="67"/>
      <c r="BU90" s="67"/>
      <c r="BV90" s="67"/>
      <c r="BW90" s="67"/>
      <c r="BX90" s="67"/>
      <c r="BY90" s="67"/>
      <c r="BZ90" s="67"/>
      <c r="CD90" s="67"/>
      <c r="CE90" s="67"/>
      <c r="CF90" s="67"/>
      <c r="CG90" s="67"/>
      <c r="CH90" s="67"/>
      <c r="CI90" s="67"/>
      <c r="CJ90" s="67"/>
      <c r="CK90" s="67"/>
      <c r="CL90" s="67"/>
      <c r="CM90" s="67"/>
      <c r="CN90" s="67"/>
      <c r="CO90" s="67"/>
      <c r="CP90" s="67"/>
      <c r="CQ90" s="67"/>
    </row>
    <row r="91" spans="27:95" x14ac:dyDescent="0.2">
      <c r="AA91" s="77"/>
      <c r="BM91" s="67"/>
      <c r="BN91" s="67"/>
      <c r="BO91" s="67"/>
      <c r="BP91" s="67"/>
      <c r="BQ91" s="67"/>
      <c r="BR91" s="67"/>
      <c r="BS91" s="67"/>
      <c r="BT91" s="67"/>
      <c r="BU91" s="67"/>
      <c r="BV91" s="67"/>
      <c r="BW91" s="67"/>
      <c r="BX91" s="67"/>
      <c r="BY91" s="67"/>
      <c r="BZ91" s="67"/>
      <c r="CD91" s="67"/>
      <c r="CE91" s="67"/>
      <c r="CF91" s="67"/>
      <c r="CG91" s="67"/>
      <c r="CH91" s="67"/>
      <c r="CI91" s="67"/>
      <c r="CJ91" s="67"/>
      <c r="CK91" s="67"/>
      <c r="CL91" s="67"/>
      <c r="CM91" s="67"/>
      <c r="CN91" s="67"/>
      <c r="CO91" s="67"/>
      <c r="CP91" s="67"/>
      <c r="CQ91" s="67"/>
    </row>
    <row r="92" spans="27:95" x14ac:dyDescent="0.2">
      <c r="AA92" s="77"/>
      <c r="BM92" s="67"/>
      <c r="BN92" s="67"/>
      <c r="BO92" s="67"/>
      <c r="BP92" s="67"/>
      <c r="BQ92" s="67"/>
      <c r="BR92" s="67"/>
      <c r="BS92" s="67"/>
      <c r="BT92" s="67"/>
      <c r="BU92" s="67"/>
      <c r="BV92" s="67"/>
      <c r="BW92" s="67"/>
      <c r="BX92" s="67"/>
      <c r="BY92" s="67"/>
      <c r="BZ92" s="67"/>
      <c r="CD92" s="67"/>
      <c r="CE92" s="67"/>
      <c r="CF92" s="67"/>
      <c r="CG92" s="67"/>
      <c r="CH92" s="67"/>
      <c r="CI92" s="67"/>
      <c r="CJ92" s="67"/>
      <c r="CK92" s="67"/>
      <c r="CL92" s="67"/>
      <c r="CM92" s="67"/>
      <c r="CN92" s="67"/>
      <c r="CO92" s="67"/>
      <c r="CP92" s="67"/>
      <c r="CQ92" s="67"/>
    </row>
    <row r="93" spans="27:95" x14ac:dyDescent="0.2">
      <c r="AA93" s="77"/>
      <c r="BM93" s="67"/>
      <c r="BN93" s="67"/>
      <c r="BO93" s="67"/>
      <c r="BP93" s="67"/>
      <c r="BQ93" s="67"/>
      <c r="BR93" s="67"/>
      <c r="BS93" s="67"/>
      <c r="BT93" s="67"/>
      <c r="BU93" s="67"/>
      <c r="BV93" s="67"/>
      <c r="BW93" s="67"/>
      <c r="BX93" s="67"/>
      <c r="BY93" s="67"/>
      <c r="BZ93" s="67"/>
      <c r="CD93" s="67"/>
      <c r="CE93" s="67"/>
      <c r="CF93" s="67"/>
      <c r="CG93" s="67"/>
      <c r="CH93" s="67"/>
      <c r="CI93" s="67"/>
      <c r="CJ93" s="67"/>
      <c r="CK93" s="67"/>
      <c r="CL93" s="67"/>
      <c r="CM93" s="67"/>
      <c r="CN93" s="67"/>
      <c r="CO93" s="67"/>
      <c r="CP93" s="67"/>
      <c r="CQ93" s="67"/>
    </row>
    <row r="94" spans="27:95" x14ac:dyDescent="0.2">
      <c r="AA94" s="77"/>
      <c r="BM94" s="67"/>
      <c r="BN94" s="67"/>
      <c r="BO94" s="67"/>
      <c r="BP94" s="67"/>
      <c r="BQ94" s="67"/>
      <c r="BR94" s="67"/>
      <c r="BS94" s="67"/>
      <c r="BT94" s="67"/>
      <c r="BU94" s="67"/>
      <c r="BV94" s="67"/>
      <c r="BW94" s="67"/>
      <c r="BX94" s="67"/>
      <c r="BY94" s="67"/>
      <c r="BZ94" s="67"/>
      <c r="CD94" s="67"/>
      <c r="CE94" s="67"/>
      <c r="CF94" s="67"/>
      <c r="CG94" s="67"/>
      <c r="CH94" s="67"/>
      <c r="CI94" s="67"/>
      <c r="CJ94" s="67"/>
      <c r="CK94" s="67"/>
      <c r="CL94" s="67"/>
      <c r="CM94" s="67"/>
      <c r="CN94" s="67"/>
      <c r="CO94" s="67"/>
      <c r="CP94" s="67"/>
      <c r="CQ94" s="67"/>
    </row>
    <row r="95" spans="27:95" x14ac:dyDescent="0.2">
      <c r="AA95" s="77"/>
      <c r="BM95" s="67"/>
      <c r="BN95" s="67"/>
      <c r="BO95" s="67"/>
      <c r="BP95" s="67"/>
      <c r="BQ95" s="67"/>
      <c r="BR95" s="67"/>
      <c r="BS95" s="67"/>
      <c r="BT95" s="67"/>
      <c r="BU95" s="67"/>
      <c r="BV95" s="67"/>
      <c r="BW95" s="67"/>
      <c r="BX95" s="67"/>
      <c r="BY95" s="67"/>
      <c r="BZ95" s="67"/>
      <c r="CD95" s="67"/>
      <c r="CE95" s="67"/>
      <c r="CF95" s="67"/>
      <c r="CG95" s="67"/>
      <c r="CH95" s="67"/>
      <c r="CI95" s="67"/>
      <c r="CJ95" s="67"/>
      <c r="CK95" s="67"/>
      <c r="CL95" s="67"/>
      <c r="CM95" s="67"/>
      <c r="CN95" s="67"/>
      <c r="CO95" s="67"/>
      <c r="CP95" s="67"/>
      <c r="CQ95" s="67"/>
    </row>
    <row r="96" spans="27:95" x14ac:dyDescent="0.2">
      <c r="AA96" s="77"/>
      <c r="BM96" s="67"/>
      <c r="BN96" s="67"/>
      <c r="BO96" s="67"/>
      <c r="BP96" s="67"/>
      <c r="BQ96" s="67"/>
      <c r="BR96" s="67"/>
      <c r="BS96" s="67"/>
      <c r="BT96" s="67"/>
      <c r="BU96" s="67"/>
      <c r="BV96" s="67"/>
      <c r="BW96" s="67"/>
      <c r="BX96" s="67"/>
      <c r="BY96" s="67"/>
      <c r="BZ96" s="67"/>
      <c r="CD96" s="67"/>
      <c r="CE96" s="67"/>
      <c r="CF96" s="67"/>
      <c r="CG96" s="67"/>
      <c r="CH96" s="67"/>
      <c r="CI96" s="67"/>
      <c r="CJ96" s="67"/>
      <c r="CK96" s="67"/>
      <c r="CL96" s="67"/>
      <c r="CM96" s="67"/>
      <c r="CN96" s="67"/>
      <c r="CO96" s="67"/>
      <c r="CP96" s="67"/>
      <c r="CQ96" s="67"/>
    </row>
    <row r="97" spans="27:95" x14ac:dyDescent="0.2">
      <c r="AA97" s="77"/>
      <c r="BM97" s="67"/>
      <c r="BN97" s="67"/>
      <c r="BO97" s="67"/>
      <c r="BP97" s="67"/>
      <c r="BQ97" s="67"/>
      <c r="BR97" s="67"/>
      <c r="BS97" s="67"/>
      <c r="BT97" s="67"/>
      <c r="BU97" s="67"/>
      <c r="BV97" s="67"/>
      <c r="BW97" s="67"/>
      <c r="BX97" s="67"/>
      <c r="BY97" s="67"/>
      <c r="BZ97" s="67"/>
      <c r="CD97" s="67"/>
      <c r="CE97" s="67"/>
      <c r="CF97" s="67"/>
      <c r="CG97" s="67"/>
      <c r="CH97" s="67"/>
      <c r="CI97" s="67"/>
      <c r="CJ97" s="67"/>
      <c r="CK97" s="67"/>
      <c r="CL97" s="67"/>
      <c r="CM97" s="67"/>
      <c r="CN97" s="67"/>
      <c r="CO97" s="67"/>
      <c r="CP97" s="67"/>
      <c r="CQ97" s="67"/>
    </row>
    <row r="98" spans="27:95" x14ac:dyDescent="0.2">
      <c r="AA98" s="77"/>
      <c r="BM98" s="67"/>
      <c r="BN98" s="67"/>
      <c r="BO98" s="67"/>
      <c r="BP98" s="67"/>
      <c r="BQ98" s="67"/>
      <c r="BR98" s="67"/>
      <c r="BS98" s="67"/>
      <c r="BT98" s="67"/>
      <c r="BU98" s="67"/>
      <c r="BV98" s="67"/>
      <c r="BW98" s="67"/>
      <c r="BX98" s="67"/>
      <c r="BY98" s="67"/>
      <c r="BZ98" s="67"/>
      <c r="CD98" s="67"/>
      <c r="CE98" s="67"/>
      <c r="CF98" s="67"/>
      <c r="CG98" s="67"/>
      <c r="CH98" s="67"/>
      <c r="CI98" s="67"/>
      <c r="CJ98" s="67"/>
      <c r="CK98" s="67"/>
      <c r="CL98" s="67"/>
      <c r="CM98" s="67"/>
      <c r="CN98" s="67"/>
      <c r="CO98" s="67"/>
      <c r="CP98" s="67"/>
      <c r="CQ98" s="67"/>
    </row>
    <row r="99" spans="27:95" x14ac:dyDescent="0.2">
      <c r="AA99" s="77"/>
      <c r="BM99" s="67"/>
      <c r="BN99" s="67"/>
      <c r="BO99" s="67"/>
      <c r="BP99" s="67"/>
      <c r="BQ99" s="67"/>
      <c r="BR99" s="67"/>
      <c r="BS99" s="67"/>
      <c r="BT99" s="67"/>
      <c r="BU99" s="67"/>
      <c r="BV99" s="67"/>
      <c r="BW99" s="67"/>
      <c r="BX99" s="67"/>
      <c r="BY99" s="67"/>
      <c r="BZ99" s="67"/>
      <c r="CD99" s="67"/>
      <c r="CE99" s="67"/>
      <c r="CF99" s="67"/>
      <c r="CG99" s="67"/>
      <c r="CH99" s="67"/>
      <c r="CI99" s="67"/>
      <c r="CJ99" s="67"/>
      <c r="CK99" s="67"/>
      <c r="CL99" s="67"/>
      <c r="CM99" s="67"/>
      <c r="CN99" s="67"/>
      <c r="CO99" s="67"/>
      <c r="CP99" s="67"/>
      <c r="CQ99" s="67"/>
    </row>
    <row r="100" spans="27:95" x14ac:dyDescent="0.2">
      <c r="AA100" s="77"/>
      <c r="BM100" s="67"/>
      <c r="BN100" s="67"/>
      <c r="BO100" s="67"/>
      <c r="BP100" s="67"/>
      <c r="BQ100" s="67"/>
      <c r="BR100" s="67"/>
      <c r="BS100" s="67"/>
      <c r="BT100" s="67"/>
      <c r="BU100" s="67"/>
      <c r="BV100" s="67"/>
      <c r="BW100" s="67"/>
      <c r="BX100" s="67"/>
      <c r="BY100" s="67"/>
      <c r="BZ100" s="67"/>
      <c r="CD100" s="67"/>
      <c r="CE100" s="67"/>
      <c r="CF100" s="67"/>
      <c r="CG100" s="67"/>
      <c r="CH100" s="67"/>
      <c r="CI100" s="67"/>
      <c r="CJ100" s="67"/>
      <c r="CK100" s="67"/>
      <c r="CL100" s="67"/>
      <c r="CM100" s="67"/>
      <c r="CN100" s="67"/>
      <c r="CO100" s="67"/>
      <c r="CP100" s="67"/>
      <c r="CQ100" s="67"/>
    </row>
    <row r="101" spans="27:95" x14ac:dyDescent="0.2">
      <c r="AA101" s="77"/>
      <c r="BM101" s="67"/>
      <c r="BN101" s="67"/>
      <c r="BO101" s="67"/>
      <c r="BP101" s="67"/>
      <c r="BQ101" s="67"/>
      <c r="BR101" s="67"/>
      <c r="BS101" s="67"/>
      <c r="BT101" s="67"/>
      <c r="BU101" s="67"/>
      <c r="BV101" s="67"/>
      <c r="BW101" s="67"/>
      <c r="BX101" s="67"/>
      <c r="BY101" s="67"/>
      <c r="BZ101" s="67"/>
      <c r="CD101" s="67"/>
      <c r="CE101" s="67"/>
      <c r="CF101" s="67"/>
      <c r="CG101" s="67"/>
      <c r="CH101" s="67"/>
      <c r="CI101" s="67"/>
      <c r="CJ101" s="67"/>
      <c r="CK101" s="67"/>
      <c r="CL101" s="67"/>
      <c r="CM101" s="67"/>
      <c r="CN101" s="67"/>
      <c r="CO101" s="67"/>
      <c r="CP101" s="67"/>
      <c r="CQ101" s="67"/>
    </row>
    <row r="102" spans="27:95" x14ac:dyDescent="0.2">
      <c r="AA102" s="77"/>
      <c r="BM102" s="67"/>
      <c r="BN102" s="67"/>
      <c r="BO102" s="67"/>
      <c r="BP102" s="67"/>
      <c r="BQ102" s="67"/>
      <c r="BR102" s="67"/>
      <c r="BS102" s="67"/>
      <c r="BT102" s="67"/>
      <c r="BU102" s="67"/>
      <c r="BV102" s="67"/>
      <c r="BW102" s="67"/>
      <c r="BX102" s="67"/>
      <c r="BY102" s="67"/>
      <c r="BZ102" s="67"/>
      <c r="CD102" s="67"/>
      <c r="CE102" s="67"/>
      <c r="CF102" s="67"/>
      <c r="CG102" s="67"/>
      <c r="CH102" s="67"/>
      <c r="CI102" s="67"/>
      <c r="CJ102" s="67"/>
      <c r="CK102" s="67"/>
      <c r="CL102" s="67"/>
      <c r="CM102" s="67"/>
      <c r="CN102" s="67"/>
      <c r="CO102" s="67"/>
      <c r="CP102" s="67"/>
      <c r="CQ102" s="67"/>
    </row>
    <row r="103" spans="27:95" x14ac:dyDescent="0.2">
      <c r="AA103" s="77"/>
      <c r="BM103" s="67"/>
      <c r="BN103" s="67"/>
      <c r="BO103" s="67"/>
      <c r="BP103" s="67"/>
      <c r="BQ103" s="67"/>
      <c r="BR103" s="67"/>
      <c r="BS103" s="67"/>
      <c r="BT103" s="67"/>
      <c r="BU103" s="67"/>
      <c r="BV103" s="67"/>
      <c r="BW103" s="67"/>
      <c r="BX103" s="67"/>
      <c r="BY103" s="67"/>
      <c r="BZ103" s="67"/>
      <c r="CD103" s="67"/>
      <c r="CE103" s="67"/>
      <c r="CF103" s="67"/>
      <c r="CG103" s="67"/>
      <c r="CH103" s="67"/>
      <c r="CI103" s="67"/>
      <c r="CJ103" s="67"/>
      <c r="CK103" s="67"/>
      <c r="CL103" s="67"/>
      <c r="CM103" s="67"/>
      <c r="CN103" s="67"/>
      <c r="CO103" s="67"/>
      <c r="CP103" s="67"/>
      <c r="CQ103" s="67"/>
    </row>
    <row r="104" spans="27:95" x14ac:dyDescent="0.2">
      <c r="AA104" s="77"/>
      <c r="BM104" s="67"/>
      <c r="BN104" s="67"/>
      <c r="BO104" s="67"/>
      <c r="BP104" s="67"/>
      <c r="BQ104" s="67"/>
      <c r="BR104" s="67"/>
      <c r="BS104" s="67"/>
      <c r="BT104" s="67"/>
      <c r="BU104" s="67"/>
      <c r="BV104" s="67"/>
      <c r="BW104" s="67"/>
      <c r="BX104" s="67"/>
      <c r="BY104" s="67"/>
      <c r="BZ104" s="67"/>
      <c r="CD104" s="67"/>
      <c r="CE104" s="67"/>
      <c r="CF104" s="67"/>
      <c r="CG104" s="67"/>
      <c r="CH104" s="67"/>
      <c r="CI104" s="67"/>
      <c r="CJ104" s="67"/>
      <c r="CK104" s="67"/>
      <c r="CL104" s="67"/>
      <c r="CM104" s="67"/>
      <c r="CN104" s="67"/>
      <c r="CO104" s="67"/>
      <c r="CP104" s="67"/>
      <c r="CQ104" s="67"/>
    </row>
    <row r="105" spans="27:95" x14ac:dyDescent="0.2">
      <c r="AA105" s="77"/>
      <c r="BM105" s="67"/>
      <c r="BN105" s="67"/>
      <c r="BO105" s="67"/>
      <c r="BP105" s="67"/>
      <c r="BQ105" s="67"/>
      <c r="BR105" s="67"/>
      <c r="BS105" s="67"/>
      <c r="BT105" s="67"/>
      <c r="BU105" s="67"/>
      <c r="BV105" s="67"/>
      <c r="BW105" s="67"/>
      <c r="BX105" s="67"/>
      <c r="BY105" s="67"/>
      <c r="BZ105" s="67"/>
      <c r="CD105" s="67"/>
      <c r="CE105" s="67"/>
      <c r="CF105" s="67"/>
      <c r="CG105" s="67"/>
      <c r="CH105" s="67"/>
      <c r="CI105" s="67"/>
      <c r="CJ105" s="67"/>
      <c r="CK105" s="67"/>
      <c r="CL105" s="67"/>
      <c r="CM105" s="67"/>
      <c r="CN105" s="67"/>
      <c r="CO105" s="67"/>
      <c r="CP105" s="67"/>
      <c r="CQ105" s="67"/>
    </row>
    <row r="106" spans="27:95" x14ac:dyDescent="0.2">
      <c r="AA106" s="77"/>
      <c r="BM106" s="67"/>
      <c r="BN106" s="67"/>
      <c r="BO106" s="67"/>
      <c r="BP106" s="67"/>
      <c r="BQ106" s="67"/>
      <c r="BR106" s="67"/>
      <c r="BS106" s="67"/>
      <c r="BT106" s="67"/>
      <c r="BU106" s="67"/>
      <c r="BV106" s="67"/>
      <c r="BW106" s="67"/>
      <c r="BX106" s="67"/>
      <c r="BY106" s="67"/>
      <c r="BZ106" s="67"/>
      <c r="CD106" s="67"/>
      <c r="CE106" s="67"/>
      <c r="CF106" s="67"/>
      <c r="CG106" s="67"/>
      <c r="CH106" s="67"/>
      <c r="CI106" s="67"/>
      <c r="CJ106" s="67"/>
      <c r="CK106" s="67"/>
      <c r="CL106" s="67"/>
      <c r="CM106" s="67"/>
      <c r="CN106" s="67"/>
      <c r="CO106" s="67"/>
      <c r="CP106" s="67"/>
      <c r="CQ106" s="67"/>
    </row>
    <row r="107" spans="27:95" x14ac:dyDescent="0.2">
      <c r="AA107" s="77"/>
      <c r="BM107" s="67"/>
      <c r="BN107" s="67"/>
      <c r="BO107" s="67"/>
      <c r="BP107" s="67"/>
      <c r="BQ107" s="67"/>
      <c r="BR107" s="67"/>
      <c r="BS107" s="67"/>
      <c r="BT107" s="67"/>
      <c r="BU107" s="67"/>
      <c r="BV107" s="67"/>
      <c r="BW107" s="67"/>
      <c r="BX107" s="67"/>
      <c r="BY107" s="67"/>
      <c r="BZ107" s="67"/>
      <c r="CD107" s="67"/>
      <c r="CE107" s="67"/>
      <c r="CF107" s="67"/>
      <c r="CG107" s="67"/>
      <c r="CH107" s="67"/>
      <c r="CI107" s="67"/>
      <c r="CJ107" s="67"/>
      <c r="CK107" s="67"/>
      <c r="CL107" s="67"/>
      <c r="CM107" s="67"/>
      <c r="CN107" s="67"/>
      <c r="CO107" s="67"/>
      <c r="CP107" s="67"/>
      <c r="CQ107" s="67"/>
    </row>
    <row r="108" spans="27:95" x14ac:dyDescent="0.2">
      <c r="AA108" s="77"/>
      <c r="BM108" s="67"/>
      <c r="BN108" s="67"/>
      <c r="BO108" s="67"/>
      <c r="BP108" s="67"/>
      <c r="BQ108" s="67"/>
      <c r="BR108" s="67"/>
      <c r="BS108" s="67"/>
      <c r="BT108" s="67"/>
      <c r="BU108" s="67"/>
      <c r="BV108" s="67"/>
      <c r="BW108" s="67"/>
      <c r="BX108" s="67"/>
      <c r="BY108" s="67"/>
      <c r="BZ108" s="67"/>
      <c r="CD108" s="67"/>
      <c r="CE108" s="67"/>
      <c r="CF108" s="67"/>
      <c r="CG108" s="67"/>
      <c r="CH108" s="67"/>
      <c r="CI108" s="67"/>
      <c r="CJ108" s="67"/>
      <c r="CK108" s="67"/>
      <c r="CL108" s="67"/>
      <c r="CM108" s="67"/>
      <c r="CN108" s="67"/>
      <c r="CO108" s="67"/>
      <c r="CP108" s="67"/>
      <c r="CQ108" s="67"/>
    </row>
    <row r="109" spans="27:95" x14ac:dyDescent="0.2">
      <c r="AA109" s="77"/>
      <c r="BM109" s="67"/>
      <c r="BN109" s="67"/>
      <c r="BO109" s="67"/>
      <c r="BP109" s="67"/>
      <c r="BQ109" s="67"/>
      <c r="BR109" s="67"/>
      <c r="BS109" s="67"/>
      <c r="BT109" s="67"/>
      <c r="BU109" s="67"/>
      <c r="BV109" s="67"/>
      <c r="BW109" s="67"/>
      <c r="BX109" s="67"/>
      <c r="BY109" s="67"/>
      <c r="BZ109" s="67"/>
      <c r="CD109" s="67"/>
      <c r="CE109" s="67"/>
      <c r="CF109" s="67"/>
      <c r="CG109" s="67"/>
      <c r="CH109" s="67"/>
      <c r="CI109" s="67"/>
      <c r="CJ109" s="67"/>
      <c r="CK109" s="67"/>
      <c r="CL109" s="67"/>
      <c r="CM109" s="67"/>
      <c r="CN109" s="67"/>
      <c r="CO109" s="67"/>
      <c r="CP109" s="67"/>
      <c r="CQ109" s="67"/>
    </row>
    <row r="110" spans="27:95" x14ac:dyDescent="0.2">
      <c r="AA110" s="77"/>
      <c r="BM110" s="67"/>
      <c r="BN110" s="67"/>
      <c r="BO110" s="67"/>
      <c r="BP110" s="67"/>
      <c r="BQ110" s="67"/>
      <c r="BR110" s="67"/>
      <c r="BS110" s="67"/>
      <c r="BT110" s="67"/>
      <c r="BU110" s="67"/>
      <c r="BV110" s="67"/>
      <c r="BW110" s="67"/>
      <c r="BX110" s="67"/>
      <c r="BY110" s="67"/>
      <c r="BZ110" s="67"/>
      <c r="CD110" s="67"/>
      <c r="CE110" s="67"/>
      <c r="CF110" s="67"/>
      <c r="CG110" s="67"/>
      <c r="CH110" s="67"/>
      <c r="CI110" s="67"/>
      <c r="CJ110" s="67"/>
      <c r="CK110" s="67"/>
      <c r="CL110" s="67"/>
      <c r="CM110" s="67"/>
      <c r="CN110" s="67"/>
      <c r="CO110" s="67"/>
      <c r="CP110" s="67"/>
      <c r="CQ110" s="67"/>
    </row>
    <row r="111" spans="27:95" x14ac:dyDescent="0.2">
      <c r="AA111" s="77"/>
      <c r="BM111" s="67"/>
      <c r="BN111" s="67"/>
      <c r="BO111" s="67"/>
      <c r="BP111" s="67"/>
      <c r="BQ111" s="67"/>
      <c r="BR111" s="67"/>
      <c r="BS111" s="67"/>
      <c r="BT111" s="67"/>
      <c r="BU111" s="67"/>
      <c r="BV111" s="67"/>
      <c r="BW111" s="67"/>
      <c r="BX111" s="67"/>
      <c r="BY111" s="67"/>
      <c r="BZ111" s="67"/>
      <c r="CD111" s="67"/>
      <c r="CE111" s="67"/>
      <c r="CF111" s="67"/>
      <c r="CG111" s="67"/>
      <c r="CH111" s="67"/>
      <c r="CI111" s="67"/>
      <c r="CJ111" s="67"/>
      <c r="CK111" s="67"/>
      <c r="CL111" s="67"/>
      <c r="CM111" s="67"/>
      <c r="CN111" s="67"/>
      <c r="CO111" s="67"/>
      <c r="CP111" s="67"/>
      <c r="CQ111" s="67"/>
    </row>
    <row r="112" spans="27:95" x14ac:dyDescent="0.2">
      <c r="AA112" s="77"/>
      <c r="BM112" s="67"/>
      <c r="BN112" s="67"/>
      <c r="BO112" s="67"/>
      <c r="BP112" s="67"/>
      <c r="BQ112" s="67"/>
      <c r="BR112" s="67"/>
      <c r="BS112" s="67"/>
      <c r="BT112" s="67"/>
      <c r="BU112" s="67"/>
      <c r="BV112" s="67"/>
      <c r="BW112" s="67"/>
      <c r="BX112" s="67"/>
      <c r="BY112" s="67"/>
      <c r="BZ112" s="67"/>
      <c r="CD112" s="67"/>
      <c r="CE112" s="67"/>
      <c r="CF112" s="67"/>
      <c r="CG112" s="67"/>
      <c r="CH112" s="67"/>
      <c r="CI112" s="67"/>
      <c r="CJ112" s="67"/>
      <c r="CK112" s="67"/>
      <c r="CL112" s="67"/>
      <c r="CM112" s="67"/>
      <c r="CN112" s="67"/>
      <c r="CO112" s="67"/>
      <c r="CP112" s="67"/>
      <c r="CQ112" s="67"/>
    </row>
    <row r="113" spans="27:95" x14ac:dyDescent="0.2">
      <c r="AA113" s="77"/>
      <c r="BM113" s="67"/>
      <c r="BN113" s="67"/>
      <c r="BO113" s="67"/>
      <c r="BP113" s="67"/>
      <c r="BQ113" s="67"/>
      <c r="BR113" s="67"/>
      <c r="BS113" s="67"/>
      <c r="BT113" s="67"/>
      <c r="BU113" s="67"/>
      <c r="BV113" s="67"/>
      <c r="BW113" s="67"/>
      <c r="BX113" s="67"/>
      <c r="BY113" s="67"/>
      <c r="BZ113" s="67"/>
      <c r="CD113" s="67"/>
      <c r="CE113" s="67"/>
      <c r="CF113" s="67"/>
      <c r="CG113" s="67"/>
      <c r="CH113" s="67"/>
      <c r="CI113" s="67"/>
      <c r="CJ113" s="67"/>
      <c r="CK113" s="67"/>
      <c r="CL113" s="67"/>
      <c r="CM113" s="67"/>
      <c r="CN113" s="67"/>
      <c r="CO113" s="67"/>
      <c r="CP113" s="67"/>
      <c r="CQ113" s="67"/>
    </row>
    <row r="114" spans="27:95" x14ac:dyDescent="0.2">
      <c r="AA114" s="77"/>
      <c r="BM114" s="67"/>
      <c r="BN114" s="67"/>
      <c r="BO114" s="67"/>
      <c r="BP114" s="67"/>
      <c r="BQ114" s="67"/>
      <c r="BR114" s="67"/>
      <c r="BS114" s="67"/>
      <c r="BT114" s="67"/>
      <c r="BU114" s="67"/>
      <c r="BV114" s="67"/>
      <c r="BW114" s="67"/>
      <c r="BX114" s="67"/>
      <c r="BY114" s="67"/>
      <c r="BZ114" s="67"/>
      <c r="CD114" s="67"/>
      <c r="CE114" s="67"/>
      <c r="CF114" s="67"/>
      <c r="CG114" s="67"/>
      <c r="CH114" s="67"/>
      <c r="CI114" s="67"/>
      <c r="CJ114" s="67"/>
      <c r="CK114" s="67"/>
      <c r="CL114" s="67"/>
      <c r="CM114" s="67"/>
      <c r="CN114" s="67"/>
      <c r="CO114" s="67"/>
      <c r="CP114" s="67"/>
      <c r="CQ114" s="67"/>
    </row>
    <row r="115" spans="27:95" x14ac:dyDescent="0.2">
      <c r="AA115" s="77"/>
      <c r="BM115" s="67"/>
      <c r="BN115" s="67"/>
      <c r="BO115" s="67"/>
      <c r="BP115" s="67"/>
      <c r="BQ115" s="67"/>
      <c r="BR115" s="67"/>
      <c r="BS115" s="67"/>
      <c r="BT115" s="67"/>
      <c r="BU115" s="67"/>
      <c r="BV115" s="67"/>
      <c r="BW115" s="67"/>
      <c r="BX115" s="67"/>
      <c r="BY115" s="67"/>
      <c r="BZ115" s="67"/>
      <c r="CD115" s="67"/>
      <c r="CE115" s="67"/>
      <c r="CF115" s="67"/>
      <c r="CG115" s="67"/>
      <c r="CH115" s="67"/>
      <c r="CI115" s="67"/>
      <c r="CJ115" s="67"/>
      <c r="CK115" s="67"/>
      <c r="CL115" s="67"/>
      <c r="CM115" s="67"/>
      <c r="CN115" s="67"/>
      <c r="CO115" s="67"/>
      <c r="CP115" s="67"/>
      <c r="CQ115" s="67"/>
    </row>
    <row r="116" spans="27:95" x14ac:dyDescent="0.2">
      <c r="AA116" s="77"/>
      <c r="BM116" s="67"/>
      <c r="BN116" s="67"/>
      <c r="BO116" s="67"/>
      <c r="BP116" s="67"/>
      <c r="BQ116" s="67"/>
      <c r="BR116" s="67"/>
      <c r="BS116" s="67"/>
      <c r="BT116" s="67"/>
      <c r="BU116" s="67"/>
      <c r="BV116" s="67"/>
      <c r="BW116" s="67"/>
      <c r="BX116" s="67"/>
      <c r="BY116" s="67"/>
      <c r="BZ116" s="67"/>
      <c r="CD116" s="67"/>
      <c r="CE116" s="67"/>
      <c r="CF116" s="67"/>
      <c r="CG116" s="67"/>
      <c r="CH116" s="67"/>
      <c r="CI116" s="67"/>
      <c r="CJ116" s="67"/>
      <c r="CK116" s="67"/>
      <c r="CL116" s="67"/>
      <c r="CM116" s="67"/>
      <c r="CN116" s="67"/>
      <c r="CO116" s="67"/>
      <c r="CP116" s="67"/>
      <c r="CQ116" s="67"/>
    </row>
    <row r="117" spans="27:95" x14ac:dyDescent="0.2">
      <c r="AA117" s="77"/>
      <c r="BM117" s="67"/>
      <c r="BN117" s="67"/>
      <c r="BO117" s="67"/>
      <c r="BP117" s="67"/>
      <c r="BQ117" s="67"/>
      <c r="BR117" s="67"/>
      <c r="BS117" s="67"/>
      <c r="BT117" s="67"/>
      <c r="BU117" s="67"/>
      <c r="BV117" s="67"/>
      <c r="BW117" s="67"/>
      <c r="BX117" s="67"/>
      <c r="BY117" s="67"/>
      <c r="BZ117" s="67"/>
      <c r="CD117" s="67"/>
      <c r="CE117" s="67"/>
      <c r="CF117" s="67"/>
      <c r="CG117" s="67"/>
      <c r="CH117" s="67"/>
      <c r="CI117" s="67"/>
      <c r="CJ117" s="67"/>
      <c r="CK117" s="67"/>
      <c r="CL117" s="67"/>
      <c r="CM117" s="67"/>
      <c r="CN117" s="67"/>
      <c r="CO117" s="67"/>
      <c r="CP117" s="67"/>
      <c r="CQ117" s="67"/>
    </row>
    <row r="118" spans="27:95" x14ac:dyDescent="0.2">
      <c r="AA118" s="77"/>
      <c r="BM118" s="67"/>
      <c r="BN118" s="67"/>
      <c r="BO118" s="67"/>
      <c r="BP118" s="67"/>
      <c r="BQ118" s="67"/>
      <c r="BR118" s="67"/>
      <c r="BS118" s="67"/>
      <c r="BT118" s="67"/>
      <c r="BU118" s="67"/>
      <c r="BV118" s="67"/>
      <c r="BW118" s="67"/>
      <c r="BX118" s="67"/>
      <c r="BY118" s="67"/>
      <c r="BZ118" s="67"/>
      <c r="CD118" s="67"/>
      <c r="CE118" s="67"/>
      <c r="CF118" s="67"/>
      <c r="CG118" s="67"/>
      <c r="CH118" s="67"/>
      <c r="CI118" s="67"/>
      <c r="CJ118" s="67"/>
      <c r="CK118" s="67"/>
      <c r="CL118" s="67"/>
      <c r="CM118" s="67"/>
      <c r="CN118" s="67"/>
      <c r="CO118" s="67"/>
      <c r="CP118" s="67"/>
      <c r="CQ118" s="67"/>
    </row>
    <row r="119" spans="27:95" x14ac:dyDescent="0.2">
      <c r="AA119" s="77"/>
      <c r="BM119" s="67"/>
      <c r="BN119" s="67"/>
      <c r="BO119" s="67"/>
      <c r="BP119" s="67"/>
      <c r="BQ119" s="67"/>
      <c r="BR119" s="67"/>
      <c r="BS119" s="67"/>
      <c r="BT119" s="67"/>
      <c r="BU119" s="67"/>
      <c r="BV119" s="67"/>
      <c r="BW119" s="67"/>
      <c r="BX119" s="67"/>
      <c r="BY119" s="67"/>
      <c r="BZ119" s="67"/>
      <c r="CD119" s="67"/>
      <c r="CE119" s="67"/>
      <c r="CF119" s="67"/>
      <c r="CG119" s="67"/>
      <c r="CH119" s="67"/>
      <c r="CI119" s="67"/>
      <c r="CJ119" s="67"/>
      <c r="CK119" s="67"/>
      <c r="CL119" s="67"/>
      <c r="CM119" s="67"/>
      <c r="CN119" s="67"/>
      <c r="CO119" s="67"/>
      <c r="CP119" s="67"/>
      <c r="CQ119" s="67"/>
    </row>
    <row r="120" spans="27:95" x14ac:dyDescent="0.2">
      <c r="AA120" s="77"/>
      <c r="BM120" s="67"/>
      <c r="BN120" s="67"/>
      <c r="BO120" s="67"/>
      <c r="BP120" s="67"/>
      <c r="BQ120" s="67"/>
      <c r="BR120" s="67"/>
      <c r="BS120" s="67"/>
      <c r="BT120" s="67"/>
      <c r="BU120" s="67"/>
      <c r="BV120" s="67"/>
      <c r="BW120" s="67"/>
      <c r="BX120" s="67"/>
      <c r="BY120" s="67"/>
      <c r="BZ120" s="67"/>
      <c r="CD120" s="67"/>
      <c r="CE120" s="67"/>
      <c r="CF120" s="67"/>
      <c r="CG120" s="67"/>
      <c r="CH120" s="67"/>
      <c r="CI120" s="67"/>
      <c r="CJ120" s="67"/>
      <c r="CK120" s="67"/>
      <c r="CL120" s="67"/>
      <c r="CM120" s="67"/>
      <c r="CN120" s="67"/>
      <c r="CO120" s="67"/>
      <c r="CP120" s="67"/>
      <c r="CQ120" s="67"/>
    </row>
    <row r="121" spans="27:95" x14ac:dyDescent="0.2">
      <c r="AA121" s="77"/>
      <c r="BM121" s="67"/>
      <c r="BN121" s="67"/>
      <c r="BO121" s="67"/>
      <c r="BP121" s="67"/>
      <c r="BQ121" s="67"/>
      <c r="BR121" s="67"/>
      <c r="BS121" s="67"/>
      <c r="BT121" s="67"/>
      <c r="BU121" s="67"/>
      <c r="BV121" s="67"/>
      <c r="BW121" s="67"/>
      <c r="BX121" s="67"/>
      <c r="BY121" s="67"/>
      <c r="BZ121" s="67"/>
      <c r="CD121" s="67"/>
      <c r="CE121" s="67"/>
      <c r="CF121" s="67"/>
      <c r="CG121" s="67"/>
      <c r="CH121" s="67"/>
      <c r="CI121" s="67"/>
      <c r="CJ121" s="67"/>
      <c r="CK121" s="67"/>
      <c r="CL121" s="67"/>
      <c r="CM121" s="67"/>
      <c r="CN121" s="67"/>
      <c r="CO121" s="67"/>
      <c r="CP121" s="67"/>
      <c r="CQ121" s="67"/>
    </row>
    <row r="122" spans="27:95" x14ac:dyDescent="0.2">
      <c r="AA122" s="77"/>
      <c r="BM122" s="67"/>
      <c r="BN122" s="67"/>
      <c r="BO122" s="67"/>
      <c r="BP122" s="67"/>
      <c r="BQ122" s="67"/>
      <c r="BR122" s="67"/>
      <c r="BS122" s="67"/>
      <c r="BT122" s="67"/>
      <c r="BU122" s="67"/>
      <c r="BV122" s="67"/>
      <c r="BW122" s="67"/>
      <c r="BX122" s="67"/>
      <c r="BY122" s="67"/>
      <c r="BZ122" s="67"/>
      <c r="CD122" s="67"/>
      <c r="CE122" s="67"/>
      <c r="CF122" s="67"/>
      <c r="CG122" s="67"/>
      <c r="CH122" s="67"/>
      <c r="CI122" s="67"/>
      <c r="CJ122" s="67"/>
      <c r="CK122" s="67"/>
      <c r="CL122" s="67"/>
      <c r="CM122" s="67"/>
      <c r="CN122" s="67"/>
      <c r="CO122" s="67"/>
      <c r="CP122" s="67"/>
      <c r="CQ122" s="67"/>
    </row>
    <row r="123" spans="27:95" x14ac:dyDescent="0.2">
      <c r="AA123" s="77"/>
      <c r="BM123" s="67"/>
      <c r="BN123" s="67"/>
      <c r="BO123" s="67"/>
      <c r="BP123" s="67"/>
      <c r="BQ123" s="67"/>
      <c r="BR123" s="67"/>
      <c r="BS123" s="67"/>
      <c r="BT123" s="67"/>
      <c r="BU123" s="67"/>
      <c r="BV123" s="67"/>
      <c r="BW123" s="67"/>
      <c r="BX123" s="67"/>
      <c r="BY123" s="67"/>
      <c r="BZ123" s="67"/>
      <c r="CD123" s="67"/>
      <c r="CE123" s="67"/>
      <c r="CF123" s="67"/>
      <c r="CG123" s="67"/>
      <c r="CH123" s="67"/>
      <c r="CI123" s="67"/>
      <c r="CJ123" s="67"/>
      <c r="CK123" s="67"/>
      <c r="CL123" s="67"/>
      <c r="CM123" s="67"/>
      <c r="CN123" s="67"/>
      <c r="CO123" s="67"/>
      <c r="CP123" s="67"/>
      <c r="CQ123" s="67"/>
    </row>
    <row r="124" spans="27:95" x14ac:dyDescent="0.2">
      <c r="AA124" s="77"/>
      <c r="BM124" s="67"/>
      <c r="BN124" s="67"/>
      <c r="BO124" s="67"/>
      <c r="BP124" s="67"/>
      <c r="BQ124" s="67"/>
      <c r="BR124" s="67"/>
      <c r="BS124" s="67"/>
      <c r="BT124" s="67"/>
      <c r="BU124" s="67"/>
      <c r="BV124" s="67"/>
      <c r="BW124" s="67"/>
      <c r="BX124" s="67"/>
      <c r="BY124" s="67"/>
      <c r="BZ124" s="67"/>
      <c r="CD124" s="67"/>
      <c r="CE124" s="67"/>
      <c r="CF124" s="67"/>
      <c r="CG124" s="67"/>
      <c r="CH124" s="67"/>
      <c r="CI124" s="67"/>
      <c r="CJ124" s="67"/>
      <c r="CK124" s="67"/>
      <c r="CL124" s="67"/>
      <c r="CM124" s="67"/>
      <c r="CN124" s="67"/>
      <c r="CO124" s="67"/>
      <c r="CP124" s="67"/>
      <c r="CQ124" s="67"/>
    </row>
    <row r="125" spans="27:95" x14ac:dyDescent="0.2">
      <c r="AA125" s="77"/>
      <c r="BM125" s="67"/>
      <c r="BN125" s="67"/>
      <c r="BO125" s="67"/>
      <c r="BP125" s="67"/>
      <c r="BQ125" s="67"/>
      <c r="BR125" s="67"/>
      <c r="BS125" s="67"/>
      <c r="BT125" s="67"/>
      <c r="BU125" s="67"/>
      <c r="BV125" s="67"/>
      <c r="BW125" s="67"/>
      <c r="BX125" s="67"/>
      <c r="BY125" s="67"/>
      <c r="BZ125" s="67"/>
      <c r="CD125" s="67"/>
      <c r="CE125" s="67"/>
      <c r="CF125" s="67"/>
      <c r="CG125" s="67"/>
      <c r="CH125" s="67"/>
      <c r="CI125" s="67"/>
      <c r="CJ125" s="67"/>
      <c r="CK125" s="67"/>
      <c r="CL125" s="67"/>
      <c r="CM125" s="67"/>
      <c r="CN125" s="67"/>
      <c r="CO125" s="67"/>
      <c r="CP125" s="67"/>
      <c r="CQ125" s="67"/>
    </row>
    <row r="126" spans="27:95" x14ac:dyDescent="0.2">
      <c r="AA126" s="77"/>
      <c r="BM126" s="67"/>
      <c r="BN126" s="67"/>
      <c r="BO126" s="67"/>
      <c r="BP126" s="67"/>
      <c r="BQ126" s="67"/>
      <c r="BR126" s="67"/>
      <c r="BS126" s="67"/>
      <c r="BT126" s="67"/>
      <c r="BU126" s="67"/>
      <c r="BV126" s="67"/>
      <c r="BW126" s="67"/>
      <c r="BX126" s="67"/>
      <c r="BY126" s="67"/>
      <c r="BZ126" s="67"/>
      <c r="CD126" s="67"/>
      <c r="CE126" s="67"/>
      <c r="CF126" s="67"/>
      <c r="CG126" s="67"/>
      <c r="CH126" s="67"/>
      <c r="CI126" s="67"/>
      <c r="CJ126" s="67"/>
      <c r="CK126" s="67"/>
      <c r="CL126" s="67"/>
      <c r="CM126" s="67"/>
      <c r="CN126" s="67"/>
      <c r="CO126" s="67"/>
      <c r="CP126" s="67"/>
      <c r="CQ126" s="67"/>
    </row>
    <row r="127" spans="27:95" x14ac:dyDescent="0.2">
      <c r="AA127" s="77"/>
      <c r="BM127" s="67"/>
      <c r="BN127" s="67"/>
      <c r="BO127" s="67"/>
      <c r="BP127" s="67"/>
      <c r="BQ127" s="67"/>
      <c r="BR127" s="67"/>
      <c r="BS127" s="67"/>
      <c r="BT127" s="67"/>
      <c r="BU127" s="67"/>
      <c r="BV127" s="67"/>
      <c r="BW127" s="67"/>
      <c r="BX127" s="67"/>
      <c r="BY127" s="67"/>
      <c r="BZ127" s="67"/>
      <c r="CD127" s="67"/>
      <c r="CE127" s="67"/>
      <c r="CF127" s="67"/>
      <c r="CG127" s="67"/>
      <c r="CH127" s="67"/>
      <c r="CI127" s="67"/>
      <c r="CJ127" s="67"/>
      <c r="CK127" s="67"/>
      <c r="CL127" s="67"/>
      <c r="CM127" s="67"/>
      <c r="CN127" s="67"/>
      <c r="CO127" s="67"/>
      <c r="CP127" s="67"/>
      <c r="CQ127" s="67"/>
    </row>
    <row r="128" spans="27:95" x14ac:dyDescent="0.2">
      <c r="AA128" s="77"/>
      <c r="BM128" s="67"/>
      <c r="BN128" s="67"/>
      <c r="BO128" s="67"/>
      <c r="BP128" s="67"/>
      <c r="BQ128" s="67"/>
      <c r="BR128" s="67"/>
      <c r="BS128" s="67"/>
      <c r="BT128" s="67"/>
      <c r="BU128" s="67"/>
      <c r="BV128" s="67"/>
      <c r="BW128" s="67"/>
      <c r="BX128" s="67"/>
      <c r="BY128" s="67"/>
      <c r="BZ128" s="67"/>
      <c r="CD128" s="67"/>
      <c r="CE128" s="67"/>
      <c r="CF128" s="67"/>
      <c r="CG128" s="67"/>
      <c r="CH128" s="67"/>
      <c r="CI128" s="67"/>
      <c r="CJ128" s="67"/>
      <c r="CK128" s="67"/>
      <c r="CL128" s="67"/>
      <c r="CM128" s="67"/>
      <c r="CN128" s="67"/>
      <c r="CO128" s="67"/>
      <c r="CP128" s="67"/>
      <c r="CQ128" s="67"/>
    </row>
    <row r="129" spans="27:95" x14ac:dyDescent="0.2">
      <c r="AA129" s="77"/>
      <c r="BM129" s="67"/>
      <c r="BN129" s="67"/>
      <c r="BO129" s="67"/>
      <c r="BP129" s="67"/>
      <c r="BQ129" s="67"/>
      <c r="BR129" s="67"/>
      <c r="BS129" s="67"/>
      <c r="BT129" s="67"/>
      <c r="BU129" s="67"/>
      <c r="BV129" s="67"/>
      <c r="BW129" s="67"/>
      <c r="BX129" s="67"/>
      <c r="BY129" s="67"/>
      <c r="BZ129" s="67"/>
      <c r="CD129" s="67"/>
      <c r="CE129" s="67"/>
      <c r="CF129" s="67"/>
      <c r="CG129" s="67"/>
      <c r="CH129" s="67"/>
      <c r="CI129" s="67"/>
      <c r="CJ129" s="67"/>
      <c r="CK129" s="67"/>
      <c r="CL129" s="67"/>
      <c r="CM129" s="67"/>
      <c r="CN129" s="67"/>
      <c r="CO129" s="67"/>
      <c r="CP129" s="67"/>
      <c r="CQ129" s="67"/>
    </row>
    <row r="130" spans="27:95" x14ac:dyDescent="0.2">
      <c r="AA130" s="77"/>
      <c r="BM130" s="67"/>
      <c r="BN130" s="67"/>
      <c r="BO130" s="67"/>
      <c r="BP130" s="67"/>
      <c r="BQ130" s="67"/>
      <c r="BR130" s="67"/>
      <c r="BS130" s="67"/>
      <c r="BT130" s="67"/>
      <c r="BU130" s="67"/>
      <c r="BV130" s="67"/>
      <c r="BW130" s="67"/>
      <c r="BX130" s="67"/>
      <c r="BY130" s="67"/>
      <c r="BZ130" s="67"/>
      <c r="CD130" s="67"/>
      <c r="CE130" s="67"/>
      <c r="CF130" s="67"/>
      <c r="CG130" s="67"/>
      <c r="CH130" s="67"/>
      <c r="CI130" s="67"/>
      <c r="CJ130" s="67"/>
      <c r="CK130" s="67"/>
      <c r="CL130" s="67"/>
      <c r="CM130" s="67"/>
      <c r="CN130" s="67"/>
      <c r="CO130" s="67"/>
      <c r="CP130" s="67"/>
      <c r="CQ130" s="67"/>
    </row>
    <row r="131" spans="27:95" x14ac:dyDescent="0.2">
      <c r="AA131" s="77"/>
      <c r="BM131" s="67"/>
      <c r="BN131" s="67"/>
      <c r="BO131" s="67"/>
      <c r="BP131" s="67"/>
      <c r="BQ131" s="67"/>
      <c r="BR131" s="67"/>
      <c r="BS131" s="67"/>
      <c r="BT131" s="67"/>
      <c r="BU131" s="67"/>
      <c r="BV131" s="67"/>
      <c r="BW131" s="67"/>
      <c r="BX131" s="67"/>
      <c r="BY131" s="67"/>
      <c r="BZ131" s="67"/>
      <c r="CD131" s="67"/>
      <c r="CE131" s="67"/>
      <c r="CF131" s="67"/>
      <c r="CG131" s="67"/>
      <c r="CH131" s="67"/>
      <c r="CI131" s="67"/>
      <c r="CJ131" s="67"/>
      <c r="CK131" s="67"/>
      <c r="CL131" s="67"/>
      <c r="CM131" s="67"/>
      <c r="CN131" s="67"/>
      <c r="CO131" s="67"/>
      <c r="CP131" s="67"/>
      <c r="CQ131" s="67"/>
    </row>
    <row r="132" spans="27:95" x14ac:dyDescent="0.2">
      <c r="AA132" s="77"/>
      <c r="BM132" s="67"/>
      <c r="BN132" s="67"/>
      <c r="BO132" s="67"/>
      <c r="BP132" s="67"/>
      <c r="BQ132" s="67"/>
      <c r="BR132" s="67"/>
      <c r="BS132" s="67"/>
      <c r="BT132" s="67"/>
      <c r="BU132" s="67"/>
      <c r="BV132" s="67"/>
      <c r="BW132" s="67"/>
      <c r="BX132" s="67"/>
      <c r="BY132" s="67"/>
      <c r="BZ132" s="67"/>
      <c r="CD132" s="67"/>
      <c r="CE132" s="67"/>
      <c r="CF132" s="67"/>
      <c r="CG132" s="67"/>
      <c r="CH132" s="67"/>
      <c r="CI132" s="67"/>
      <c r="CJ132" s="67"/>
      <c r="CK132" s="67"/>
      <c r="CL132" s="67"/>
      <c r="CM132" s="67"/>
      <c r="CN132" s="67"/>
      <c r="CO132" s="67"/>
      <c r="CP132" s="67"/>
      <c r="CQ132" s="67"/>
    </row>
    <row r="133" spans="27:95" x14ac:dyDescent="0.2">
      <c r="BM133" s="67"/>
      <c r="BN133" s="67"/>
      <c r="BO133" s="67"/>
      <c r="BP133" s="67"/>
      <c r="BQ133" s="67"/>
      <c r="BR133" s="67"/>
      <c r="BS133" s="67"/>
      <c r="BT133" s="67"/>
      <c r="BU133" s="67"/>
      <c r="BV133" s="67"/>
      <c r="BW133" s="67"/>
      <c r="BX133" s="67"/>
      <c r="BY133" s="67"/>
      <c r="BZ133" s="67"/>
      <c r="CD133" s="67"/>
      <c r="CE133" s="67"/>
      <c r="CF133" s="67"/>
      <c r="CG133" s="67"/>
      <c r="CH133" s="67"/>
      <c r="CI133" s="67"/>
      <c r="CJ133" s="67"/>
      <c r="CK133" s="67"/>
      <c r="CL133" s="67"/>
      <c r="CM133" s="67"/>
      <c r="CN133" s="67"/>
      <c r="CO133" s="67"/>
      <c r="CP133" s="67"/>
      <c r="CQ133" s="67"/>
    </row>
    <row r="134" spans="27:95" x14ac:dyDescent="0.2">
      <c r="BM134" s="67"/>
      <c r="BN134" s="67"/>
      <c r="BO134" s="67"/>
      <c r="BP134" s="67"/>
      <c r="BQ134" s="67"/>
      <c r="BR134" s="67"/>
      <c r="BS134" s="67"/>
      <c r="BT134" s="67"/>
      <c r="BU134" s="67"/>
      <c r="BV134" s="67"/>
      <c r="BW134" s="67"/>
      <c r="BX134" s="67"/>
      <c r="BY134" s="67"/>
      <c r="BZ134" s="67"/>
      <c r="CD134" s="67"/>
      <c r="CE134" s="67"/>
      <c r="CF134" s="67"/>
      <c r="CG134" s="67"/>
      <c r="CH134" s="67"/>
      <c r="CI134" s="67"/>
      <c r="CJ134" s="67"/>
      <c r="CK134" s="67"/>
      <c r="CL134" s="67"/>
      <c r="CM134" s="67"/>
      <c r="CN134" s="67"/>
      <c r="CO134" s="67"/>
      <c r="CP134" s="67"/>
      <c r="CQ134" s="67"/>
    </row>
    <row r="135" spans="27:95" x14ac:dyDescent="0.2">
      <c r="BM135" s="67"/>
      <c r="BN135" s="67"/>
      <c r="BO135" s="67"/>
      <c r="BP135" s="67"/>
      <c r="BQ135" s="67"/>
      <c r="BR135" s="67"/>
      <c r="BS135" s="67"/>
      <c r="BT135" s="67"/>
      <c r="BU135" s="67"/>
      <c r="BV135" s="67"/>
      <c r="BW135" s="67"/>
      <c r="BX135" s="67"/>
      <c r="BY135" s="67"/>
      <c r="BZ135" s="67"/>
      <c r="CD135" s="67"/>
      <c r="CE135" s="67"/>
      <c r="CF135" s="67"/>
      <c r="CG135" s="67"/>
      <c r="CH135" s="67"/>
      <c r="CI135" s="67"/>
      <c r="CJ135" s="67"/>
      <c r="CK135" s="67"/>
      <c r="CL135" s="67"/>
      <c r="CM135" s="67"/>
      <c r="CN135" s="67"/>
      <c r="CO135" s="67"/>
      <c r="CP135" s="67"/>
      <c r="CQ135" s="67"/>
    </row>
    <row r="136" spans="27:95" x14ac:dyDescent="0.2">
      <c r="BM136" s="67"/>
      <c r="BN136" s="67"/>
      <c r="BO136" s="67"/>
      <c r="BP136" s="67"/>
      <c r="BQ136" s="67"/>
      <c r="BR136" s="67"/>
      <c r="BS136" s="67"/>
      <c r="BT136" s="67"/>
      <c r="BU136" s="67"/>
      <c r="BV136" s="67"/>
      <c r="BW136" s="67"/>
      <c r="BX136" s="67"/>
      <c r="BY136" s="67"/>
      <c r="BZ136" s="67"/>
      <c r="CD136" s="67"/>
      <c r="CE136" s="67"/>
      <c r="CF136" s="67"/>
      <c r="CG136" s="67"/>
      <c r="CH136" s="67"/>
      <c r="CI136" s="67"/>
      <c r="CJ136" s="67"/>
      <c r="CK136" s="67"/>
      <c r="CL136" s="67"/>
      <c r="CM136" s="67"/>
      <c r="CN136" s="67"/>
      <c r="CO136" s="67"/>
      <c r="CP136" s="67"/>
      <c r="CQ136" s="67"/>
    </row>
    <row r="137" spans="27:95" x14ac:dyDescent="0.2">
      <c r="BM137" s="67"/>
      <c r="BN137" s="67"/>
      <c r="BO137" s="67"/>
      <c r="BP137" s="67"/>
      <c r="BQ137" s="67"/>
      <c r="BR137" s="67"/>
      <c r="BS137" s="67"/>
      <c r="BT137" s="67"/>
      <c r="BU137" s="67"/>
      <c r="BV137" s="67"/>
      <c r="BW137" s="67"/>
      <c r="BX137" s="67"/>
      <c r="BY137" s="67"/>
      <c r="BZ137" s="67"/>
      <c r="CD137" s="67"/>
      <c r="CE137" s="67"/>
      <c r="CF137" s="67"/>
      <c r="CG137" s="67"/>
      <c r="CH137" s="67"/>
      <c r="CI137" s="67"/>
      <c r="CJ137" s="67"/>
      <c r="CK137" s="67"/>
      <c r="CL137" s="67"/>
      <c r="CM137" s="67"/>
      <c r="CN137" s="67"/>
      <c r="CO137" s="67"/>
      <c r="CP137" s="67"/>
      <c r="CQ137" s="67"/>
    </row>
    <row r="138" spans="27:95" x14ac:dyDescent="0.2">
      <c r="BM138" s="67"/>
      <c r="BN138" s="67"/>
      <c r="BO138" s="67"/>
      <c r="BP138" s="67"/>
      <c r="BQ138" s="67"/>
      <c r="BR138" s="67"/>
      <c r="BS138" s="67"/>
      <c r="BT138" s="67"/>
      <c r="BU138" s="67"/>
      <c r="BV138" s="67"/>
      <c r="BW138" s="67"/>
      <c r="BX138" s="67"/>
      <c r="BY138" s="67"/>
      <c r="BZ138" s="67"/>
      <c r="CD138" s="67"/>
      <c r="CE138" s="67"/>
      <c r="CF138" s="67"/>
      <c r="CG138" s="67"/>
      <c r="CH138" s="67"/>
      <c r="CI138" s="67"/>
      <c r="CJ138" s="67"/>
      <c r="CK138" s="67"/>
      <c r="CL138" s="67"/>
      <c r="CM138" s="67"/>
      <c r="CN138" s="67"/>
      <c r="CO138" s="67"/>
      <c r="CP138" s="67"/>
      <c r="CQ138" s="67"/>
    </row>
    <row r="139" spans="27:95" x14ac:dyDescent="0.2">
      <c r="BM139" s="67"/>
      <c r="BN139" s="67"/>
      <c r="BO139" s="67"/>
      <c r="BP139" s="67"/>
      <c r="BQ139" s="67"/>
      <c r="BR139" s="67"/>
      <c r="BS139" s="67"/>
      <c r="BT139" s="67"/>
      <c r="BU139" s="67"/>
      <c r="BV139" s="67"/>
      <c r="BW139" s="67"/>
      <c r="BX139" s="67"/>
      <c r="BY139" s="67"/>
      <c r="BZ139" s="67"/>
      <c r="CD139" s="67"/>
      <c r="CE139" s="67"/>
      <c r="CF139" s="67"/>
      <c r="CG139" s="67"/>
      <c r="CH139" s="67"/>
      <c r="CI139" s="67"/>
      <c r="CJ139" s="67"/>
      <c r="CK139" s="67"/>
      <c r="CL139" s="67"/>
      <c r="CM139" s="67"/>
      <c r="CN139" s="67"/>
      <c r="CO139" s="67"/>
      <c r="CP139" s="67"/>
      <c r="CQ139" s="67"/>
    </row>
    <row r="140" spans="27:95" x14ac:dyDescent="0.2">
      <c r="BM140" s="67"/>
      <c r="BN140" s="67"/>
      <c r="BO140" s="67"/>
      <c r="BP140" s="67"/>
      <c r="BQ140" s="67"/>
      <c r="BR140" s="67"/>
      <c r="BS140" s="67"/>
      <c r="BT140" s="67"/>
      <c r="BU140" s="67"/>
      <c r="BV140" s="67"/>
      <c r="BW140" s="67"/>
      <c r="BX140" s="67"/>
      <c r="BY140" s="67"/>
      <c r="BZ140" s="67"/>
      <c r="CD140" s="67"/>
      <c r="CE140" s="67"/>
      <c r="CF140" s="67"/>
      <c r="CG140" s="67"/>
      <c r="CH140" s="67"/>
      <c r="CI140" s="67"/>
      <c r="CJ140" s="67"/>
      <c r="CK140" s="67"/>
      <c r="CL140" s="67"/>
      <c r="CM140" s="67"/>
      <c r="CN140" s="67"/>
      <c r="CO140" s="67"/>
      <c r="CP140" s="67"/>
      <c r="CQ140" s="67"/>
    </row>
    <row r="141" spans="27:95" x14ac:dyDescent="0.2">
      <c r="BM141" s="67"/>
      <c r="BN141" s="67"/>
      <c r="BO141" s="67"/>
      <c r="BP141" s="67"/>
      <c r="BQ141" s="67"/>
      <c r="BR141" s="67"/>
      <c r="BS141" s="67"/>
      <c r="BT141" s="67"/>
      <c r="BU141" s="67"/>
      <c r="BV141" s="67"/>
      <c r="BW141" s="67"/>
      <c r="BX141" s="67"/>
      <c r="BY141" s="67"/>
      <c r="BZ141" s="67"/>
      <c r="CD141" s="67"/>
      <c r="CE141" s="67"/>
      <c r="CF141" s="67"/>
      <c r="CG141" s="67"/>
      <c r="CH141" s="67"/>
      <c r="CI141" s="67"/>
      <c r="CJ141" s="67"/>
      <c r="CK141" s="67"/>
      <c r="CL141" s="67"/>
      <c r="CM141" s="67"/>
      <c r="CN141" s="67"/>
      <c r="CO141" s="67"/>
      <c r="CP141" s="67"/>
      <c r="CQ141" s="67"/>
    </row>
    <row r="142" spans="27:95" x14ac:dyDescent="0.2">
      <c r="BM142" s="67"/>
      <c r="BN142" s="67"/>
      <c r="BO142" s="67"/>
      <c r="BP142" s="67"/>
      <c r="BQ142" s="67"/>
      <c r="BR142" s="67"/>
      <c r="BS142" s="67"/>
      <c r="BT142" s="67"/>
      <c r="BU142" s="67"/>
      <c r="BV142" s="67"/>
      <c r="BW142" s="67"/>
      <c r="BX142" s="67"/>
      <c r="BY142" s="67"/>
      <c r="BZ142" s="67"/>
      <c r="CD142" s="67"/>
      <c r="CE142" s="67"/>
      <c r="CF142" s="67"/>
      <c r="CG142" s="67"/>
      <c r="CH142" s="67"/>
      <c r="CI142" s="67"/>
      <c r="CJ142" s="67"/>
      <c r="CK142" s="67"/>
      <c r="CL142" s="67"/>
      <c r="CM142" s="67"/>
      <c r="CN142" s="67"/>
      <c r="CO142" s="67"/>
      <c r="CP142" s="67"/>
      <c r="CQ142" s="67"/>
    </row>
    <row r="143" spans="27:95" x14ac:dyDescent="0.2">
      <c r="BM143" s="67"/>
      <c r="BN143" s="67"/>
      <c r="BO143" s="67"/>
      <c r="BP143" s="67"/>
      <c r="BQ143" s="67"/>
      <c r="BR143" s="67"/>
      <c r="BS143" s="67"/>
      <c r="BT143" s="67"/>
      <c r="BU143" s="67"/>
      <c r="BV143" s="67"/>
      <c r="BW143" s="67"/>
      <c r="BX143" s="67"/>
      <c r="BY143" s="67"/>
      <c r="BZ143" s="67"/>
      <c r="CD143" s="67"/>
      <c r="CE143" s="67"/>
      <c r="CF143" s="67"/>
      <c r="CG143" s="67"/>
      <c r="CH143" s="67"/>
      <c r="CI143" s="67"/>
      <c r="CJ143" s="67"/>
      <c r="CK143" s="67"/>
      <c r="CL143" s="67"/>
      <c r="CM143" s="67"/>
      <c r="CN143" s="67"/>
      <c r="CO143" s="67"/>
      <c r="CP143" s="67"/>
      <c r="CQ143" s="67"/>
    </row>
    <row r="144" spans="27:95" x14ac:dyDescent="0.2">
      <c r="BM144" s="67"/>
      <c r="BN144" s="67"/>
      <c r="BO144" s="67"/>
      <c r="BP144" s="67"/>
      <c r="BQ144" s="67"/>
      <c r="BR144" s="67"/>
      <c r="BS144" s="67"/>
      <c r="BT144" s="67"/>
      <c r="BU144" s="67"/>
      <c r="BV144" s="67"/>
      <c r="BW144" s="67"/>
      <c r="BX144" s="67"/>
      <c r="BY144" s="67"/>
      <c r="BZ144" s="67"/>
      <c r="CD144" s="67"/>
      <c r="CE144" s="67"/>
      <c r="CF144" s="67"/>
      <c r="CG144" s="67"/>
      <c r="CH144" s="67"/>
      <c r="CI144" s="67"/>
      <c r="CJ144" s="67"/>
      <c r="CK144" s="67"/>
      <c r="CL144" s="67"/>
      <c r="CM144" s="67"/>
      <c r="CN144" s="67"/>
      <c r="CO144" s="67"/>
      <c r="CP144" s="67"/>
      <c r="CQ144" s="67"/>
    </row>
    <row r="145" spans="65:95" x14ac:dyDescent="0.2">
      <c r="BM145" s="67"/>
      <c r="BN145" s="67"/>
      <c r="BO145" s="67"/>
      <c r="BP145" s="67"/>
      <c r="BQ145" s="67"/>
      <c r="BR145" s="67"/>
      <c r="BS145" s="67"/>
      <c r="BT145" s="67"/>
      <c r="BU145" s="67"/>
      <c r="BV145" s="67"/>
      <c r="BW145" s="67"/>
      <c r="BX145" s="67"/>
      <c r="BY145" s="67"/>
      <c r="BZ145" s="67"/>
      <c r="CD145" s="67"/>
      <c r="CE145" s="67"/>
      <c r="CF145" s="67"/>
      <c r="CG145" s="67"/>
      <c r="CH145" s="67"/>
      <c r="CI145" s="67"/>
      <c r="CJ145" s="67"/>
      <c r="CK145" s="67"/>
      <c r="CL145" s="67"/>
      <c r="CM145" s="67"/>
      <c r="CN145" s="67"/>
      <c r="CO145" s="67"/>
      <c r="CP145" s="67"/>
      <c r="CQ145" s="67"/>
    </row>
    <row r="146" spans="65:95" x14ac:dyDescent="0.2">
      <c r="BM146" s="67"/>
      <c r="BN146" s="67"/>
      <c r="BO146" s="67"/>
      <c r="BP146" s="67"/>
      <c r="BQ146" s="67"/>
      <c r="BR146" s="67"/>
      <c r="BS146" s="67"/>
      <c r="BT146" s="67"/>
      <c r="BU146" s="67"/>
      <c r="BV146" s="67"/>
      <c r="BW146" s="67"/>
      <c r="BX146" s="67"/>
      <c r="BY146" s="67"/>
      <c r="BZ146" s="67"/>
      <c r="CD146" s="67"/>
      <c r="CE146" s="67"/>
      <c r="CF146" s="67"/>
      <c r="CG146" s="67"/>
      <c r="CH146" s="67"/>
      <c r="CI146" s="67"/>
      <c r="CJ146" s="67"/>
      <c r="CK146" s="67"/>
      <c r="CL146" s="67"/>
      <c r="CM146" s="67"/>
      <c r="CN146" s="67"/>
      <c r="CO146" s="67"/>
      <c r="CP146" s="67"/>
      <c r="CQ146" s="67"/>
    </row>
    <row r="147" spans="65:95" x14ac:dyDescent="0.2">
      <c r="BM147" s="67"/>
      <c r="BN147" s="67"/>
      <c r="BO147" s="67"/>
      <c r="BP147" s="67"/>
      <c r="BQ147" s="67"/>
      <c r="BR147" s="67"/>
      <c r="BS147" s="67"/>
      <c r="BT147" s="67"/>
      <c r="BU147" s="67"/>
      <c r="BV147" s="67"/>
      <c r="BW147" s="67"/>
      <c r="BX147" s="67"/>
      <c r="BY147" s="67"/>
      <c r="BZ147" s="67"/>
      <c r="CD147" s="67"/>
      <c r="CE147" s="67"/>
      <c r="CF147" s="67"/>
      <c r="CG147" s="67"/>
      <c r="CH147" s="67"/>
      <c r="CI147" s="67"/>
      <c r="CJ147" s="67"/>
      <c r="CK147" s="67"/>
      <c r="CL147" s="67"/>
      <c r="CM147" s="67"/>
      <c r="CN147" s="67"/>
      <c r="CO147" s="67"/>
      <c r="CP147" s="67"/>
      <c r="CQ147" s="67"/>
    </row>
    <row r="148" spans="65:95" x14ac:dyDescent="0.2">
      <c r="BM148" s="67"/>
      <c r="BN148" s="67"/>
      <c r="BO148" s="67"/>
      <c r="BP148" s="67"/>
      <c r="BQ148" s="67"/>
      <c r="BR148" s="67"/>
      <c r="BS148" s="67"/>
      <c r="BT148" s="67"/>
      <c r="BU148" s="67"/>
      <c r="BV148" s="67"/>
      <c r="BW148" s="67"/>
      <c r="BX148" s="67"/>
      <c r="BY148" s="67"/>
      <c r="BZ148" s="67"/>
      <c r="CD148" s="67"/>
      <c r="CE148" s="67"/>
      <c r="CF148" s="67"/>
      <c r="CG148" s="67"/>
      <c r="CH148" s="67"/>
      <c r="CI148" s="67"/>
      <c r="CJ148" s="67"/>
      <c r="CK148" s="67"/>
      <c r="CL148" s="67"/>
      <c r="CM148" s="67"/>
      <c r="CN148" s="67"/>
      <c r="CO148" s="67"/>
      <c r="CP148" s="67"/>
      <c r="CQ148" s="67"/>
    </row>
    <row r="149" spans="65:95" x14ac:dyDescent="0.2">
      <c r="BM149" s="67"/>
      <c r="BN149" s="67"/>
      <c r="BO149" s="67"/>
      <c r="BP149" s="67"/>
      <c r="BQ149" s="67"/>
      <c r="BR149" s="67"/>
      <c r="BS149" s="67"/>
      <c r="BT149" s="67"/>
      <c r="BU149" s="67"/>
      <c r="BV149" s="67"/>
      <c r="BW149" s="67"/>
      <c r="BX149" s="67"/>
      <c r="BY149" s="67"/>
      <c r="BZ149" s="67"/>
      <c r="CD149" s="67"/>
      <c r="CE149" s="67"/>
      <c r="CF149" s="67"/>
      <c r="CG149" s="67"/>
      <c r="CH149" s="67"/>
      <c r="CI149" s="67"/>
      <c r="CJ149" s="67"/>
      <c r="CK149" s="67"/>
      <c r="CL149" s="67"/>
      <c r="CM149" s="67"/>
      <c r="CN149" s="67"/>
      <c r="CO149" s="67"/>
      <c r="CP149" s="67"/>
      <c r="CQ149" s="67"/>
    </row>
    <row r="150" spans="65:95" x14ac:dyDescent="0.2">
      <c r="BM150" s="67"/>
      <c r="BN150" s="67"/>
      <c r="BO150" s="67"/>
      <c r="BP150" s="67"/>
      <c r="BQ150" s="67"/>
      <c r="BR150" s="67"/>
      <c r="BS150" s="67"/>
      <c r="BT150" s="67"/>
      <c r="BU150" s="67"/>
      <c r="BV150" s="67"/>
      <c r="BW150" s="67"/>
      <c r="BX150" s="67"/>
      <c r="BY150" s="67"/>
      <c r="BZ150" s="67"/>
      <c r="CD150" s="67"/>
      <c r="CE150" s="67"/>
      <c r="CF150" s="67"/>
      <c r="CG150" s="67"/>
      <c r="CH150" s="67"/>
      <c r="CI150" s="67"/>
      <c r="CJ150" s="67"/>
      <c r="CK150" s="67"/>
      <c r="CL150" s="67"/>
      <c r="CM150" s="67"/>
      <c r="CN150" s="67"/>
      <c r="CO150" s="67"/>
      <c r="CP150" s="67"/>
      <c r="CQ150" s="67"/>
    </row>
    <row r="151" spans="65:95" x14ac:dyDescent="0.2">
      <c r="BM151" s="67"/>
      <c r="BN151" s="67"/>
      <c r="BO151" s="67"/>
      <c r="BP151" s="67"/>
      <c r="BQ151" s="67"/>
      <c r="BR151" s="67"/>
      <c r="BS151" s="67"/>
      <c r="BT151" s="67"/>
      <c r="BU151" s="67"/>
      <c r="BV151" s="67"/>
      <c r="BW151" s="67"/>
      <c r="BX151" s="67"/>
      <c r="BY151" s="67"/>
      <c r="BZ151" s="67"/>
      <c r="CD151" s="67"/>
      <c r="CE151" s="67"/>
      <c r="CF151" s="67"/>
      <c r="CG151" s="67"/>
      <c r="CH151" s="67"/>
      <c r="CI151" s="67"/>
      <c r="CJ151" s="67"/>
      <c r="CK151" s="67"/>
      <c r="CL151" s="67"/>
      <c r="CM151" s="67"/>
      <c r="CN151" s="67"/>
      <c r="CO151" s="67"/>
      <c r="CP151" s="67"/>
      <c r="CQ151" s="67"/>
    </row>
    <row r="152" spans="65:95" x14ac:dyDescent="0.2">
      <c r="BM152" s="67"/>
      <c r="BN152" s="67"/>
      <c r="BO152" s="67"/>
      <c r="BP152" s="67"/>
      <c r="BQ152" s="67"/>
      <c r="BR152" s="67"/>
      <c r="BS152" s="67"/>
      <c r="BT152" s="67"/>
      <c r="BU152" s="67"/>
      <c r="BV152" s="67"/>
      <c r="BW152" s="67"/>
      <c r="BX152" s="67"/>
      <c r="BY152" s="67"/>
      <c r="BZ152" s="67"/>
      <c r="CD152" s="67"/>
      <c r="CE152" s="67"/>
      <c r="CF152" s="67"/>
      <c r="CG152" s="67"/>
      <c r="CH152" s="67"/>
      <c r="CI152" s="67"/>
      <c r="CJ152" s="67"/>
      <c r="CK152" s="67"/>
      <c r="CL152" s="67"/>
      <c r="CM152" s="67"/>
      <c r="CN152" s="67"/>
      <c r="CO152" s="67"/>
      <c r="CP152" s="67"/>
      <c r="CQ152" s="67"/>
    </row>
    <row r="153" spans="65:95" x14ac:dyDescent="0.2">
      <c r="BM153" s="67"/>
      <c r="BN153" s="67"/>
      <c r="BO153" s="67"/>
      <c r="BP153" s="67"/>
      <c r="BQ153" s="67"/>
      <c r="BR153" s="67"/>
      <c r="BS153" s="67"/>
      <c r="BT153" s="67"/>
      <c r="BU153" s="67"/>
      <c r="BV153" s="67"/>
      <c r="BW153" s="67"/>
      <c r="BX153" s="67"/>
      <c r="BY153" s="67"/>
      <c r="BZ153" s="67"/>
      <c r="CD153" s="67"/>
      <c r="CE153" s="67"/>
      <c r="CF153" s="67"/>
      <c r="CG153" s="67"/>
      <c r="CH153" s="67"/>
      <c r="CI153" s="67"/>
      <c r="CJ153" s="67"/>
      <c r="CK153" s="67"/>
      <c r="CL153" s="67"/>
      <c r="CM153" s="67"/>
      <c r="CN153" s="67"/>
      <c r="CO153" s="67"/>
      <c r="CP153" s="67"/>
      <c r="CQ153" s="67"/>
    </row>
    <row r="154" spans="65:95" x14ac:dyDescent="0.2">
      <c r="BM154" s="67"/>
      <c r="BN154" s="67"/>
      <c r="BO154" s="67"/>
      <c r="BP154" s="67"/>
      <c r="BQ154" s="67"/>
      <c r="BR154" s="67"/>
      <c r="BS154" s="67"/>
      <c r="BT154" s="67"/>
      <c r="BU154" s="67"/>
      <c r="BV154" s="67"/>
      <c r="BW154" s="67"/>
      <c r="BX154" s="67"/>
      <c r="BY154" s="67"/>
      <c r="BZ154" s="67"/>
      <c r="CD154" s="67"/>
      <c r="CE154" s="67"/>
      <c r="CF154" s="67"/>
      <c r="CG154" s="67"/>
      <c r="CH154" s="67"/>
      <c r="CI154" s="67"/>
      <c r="CJ154" s="67"/>
      <c r="CK154" s="67"/>
      <c r="CL154" s="67"/>
      <c r="CM154" s="67"/>
      <c r="CN154" s="67"/>
      <c r="CO154" s="67"/>
      <c r="CP154" s="67"/>
      <c r="CQ154" s="67"/>
    </row>
    <row r="155" spans="65:95" x14ac:dyDescent="0.2">
      <c r="BM155" s="67"/>
      <c r="BN155" s="67"/>
      <c r="BO155" s="67"/>
      <c r="BP155" s="67"/>
      <c r="BQ155" s="67"/>
      <c r="BR155" s="67"/>
      <c r="BS155" s="67"/>
      <c r="BT155" s="67"/>
      <c r="BU155" s="67"/>
      <c r="BV155" s="67"/>
      <c r="BW155" s="67"/>
      <c r="BX155" s="67"/>
      <c r="BY155" s="67"/>
      <c r="BZ155" s="67"/>
      <c r="CD155" s="67"/>
      <c r="CE155" s="67"/>
      <c r="CF155" s="67"/>
      <c r="CG155" s="67"/>
      <c r="CH155" s="67"/>
      <c r="CI155" s="67"/>
      <c r="CJ155" s="67"/>
      <c r="CK155" s="67"/>
      <c r="CL155" s="67"/>
      <c r="CM155" s="67"/>
      <c r="CN155" s="67"/>
      <c r="CO155" s="67"/>
      <c r="CP155" s="67"/>
      <c r="CQ155" s="67"/>
    </row>
    <row r="156" spans="65:95" x14ac:dyDescent="0.2">
      <c r="BM156" s="67"/>
      <c r="BN156" s="67"/>
      <c r="BO156" s="67"/>
      <c r="BP156" s="67"/>
      <c r="BQ156" s="67"/>
      <c r="BR156" s="67"/>
      <c r="BS156" s="67"/>
      <c r="BT156" s="67"/>
      <c r="BU156" s="67"/>
      <c r="BV156" s="67"/>
      <c r="BW156" s="67"/>
      <c r="BX156" s="67"/>
      <c r="BY156" s="67"/>
      <c r="BZ156" s="67"/>
      <c r="CD156" s="67"/>
      <c r="CE156" s="67"/>
      <c r="CF156" s="67"/>
      <c r="CG156" s="67"/>
      <c r="CH156" s="67"/>
      <c r="CI156" s="67"/>
      <c r="CJ156" s="67"/>
      <c r="CK156" s="67"/>
      <c r="CL156" s="67"/>
      <c r="CM156" s="67"/>
      <c r="CN156" s="67"/>
      <c r="CO156" s="67"/>
      <c r="CP156" s="67"/>
      <c r="CQ156" s="67"/>
    </row>
  </sheetData>
  <mergeCells count="27">
    <mergeCell ref="AC23:AC28"/>
    <mergeCell ref="AC29:AC34"/>
    <mergeCell ref="AC35:AC40"/>
    <mergeCell ref="AU23:AU28"/>
    <mergeCell ref="B3:F3"/>
    <mergeCell ref="AF3:AH3"/>
    <mergeCell ref="AP3:AR3"/>
    <mergeCell ref="AB5:AB10"/>
    <mergeCell ref="AB11:AB16"/>
    <mergeCell ref="AB17:AB22"/>
    <mergeCell ref="AB23:AB28"/>
    <mergeCell ref="AB29:AB34"/>
    <mergeCell ref="AB35:AB40"/>
    <mergeCell ref="AC5:AC10"/>
    <mergeCell ref="AC11:AC16"/>
    <mergeCell ref="AC17:AC22"/>
    <mergeCell ref="AU5:AU10"/>
    <mergeCell ref="AU11:AU16"/>
    <mergeCell ref="AU17:AU22"/>
    <mergeCell ref="AU29:AU34"/>
    <mergeCell ref="AU35:AU40"/>
    <mergeCell ref="BX3:BZ3"/>
    <mergeCell ref="CE3:CG3"/>
    <mergeCell ref="CO3:CQ3"/>
    <mergeCell ref="BN3:BP3"/>
    <mergeCell ref="AW3:AY3"/>
    <mergeCell ref="BG3:BI3"/>
  </mergeCells>
  <dataValidations count="1">
    <dataValidation type="list" showInputMessage="1" showErrorMessage="1" sqref="B3" xr:uid="{132A1E08-D496-454F-813E-473596DB0435}">
      <formula1>$AA$4:$AA$89</formula1>
    </dataValidation>
  </dataValidations>
  <pageMargins left="0.75" right="0.75" top="1" bottom="1" header="0.5" footer="0.5"/>
  <pageSetup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FD6D63-7D0C-0641-BFD7-3271BC6FA701}">
  <sheetPr codeName="Sheet22"/>
  <dimension ref="A1:FS63"/>
  <sheetViews>
    <sheetView topLeftCell="CI1" zoomScaleNormal="100" workbookViewId="0">
      <selection activeCell="B4" sqref="B4"/>
    </sheetView>
  </sheetViews>
  <sheetFormatPr baseColWidth="10" defaultColWidth="10.83203125" defaultRowHeight="13" outlineLevelCol="1" x14ac:dyDescent="0.15"/>
  <cols>
    <col min="1" max="1" width="10" style="1" bestFit="1" customWidth="1"/>
    <col min="2" max="2" width="8.33203125" style="1" bestFit="1" customWidth="1"/>
    <col min="3" max="3" width="11.1640625" style="1" bestFit="1" customWidth="1"/>
    <col min="4" max="6" width="8.1640625" style="1" bestFit="1" customWidth="1"/>
    <col min="7" max="7" width="12.1640625" style="1" customWidth="1"/>
    <col min="8" max="9" width="8.6640625" style="1" bestFit="1" customWidth="1"/>
    <col min="10" max="10" width="8.1640625" style="1" bestFit="1" customWidth="1"/>
    <col min="11" max="12" width="10.1640625" style="1" bestFit="1" customWidth="1"/>
    <col min="13" max="16" width="8.1640625" style="1" bestFit="1" customWidth="1"/>
    <col min="17" max="17" width="12.1640625" style="1" bestFit="1" customWidth="1"/>
    <col min="18" max="19" width="12.1640625" style="1" customWidth="1"/>
    <col min="20" max="20" width="8.1640625" style="1" bestFit="1" customWidth="1"/>
    <col min="21" max="21" width="11.1640625" style="1" bestFit="1" customWidth="1"/>
    <col min="22" max="24" width="8.1640625" style="1" bestFit="1" customWidth="1"/>
    <col min="25" max="25" width="12.1640625" style="1" customWidth="1"/>
    <col min="26" max="26" width="8.1640625" style="1" bestFit="1" customWidth="1"/>
    <col min="27" max="27" width="8.6640625" style="1" bestFit="1" customWidth="1"/>
    <col min="28" max="29" width="8.1640625" style="1" bestFit="1" customWidth="1"/>
    <col min="30" max="30" width="10.1640625" style="1" bestFit="1" customWidth="1"/>
    <col min="31" max="34" width="8.1640625" style="1" bestFit="1" customWidth="1"/>
    <col min="35" max="35" width="12.1640625" style="1" bestFit="1" customWidth="1"/>
    <col min="36" max="36" width="14.6640625" style="1" bestFit="1" customWidth="1"/>
    <col min="37" max="39" width="12.1640625" style="1" customWidth="1"/>
    <col min="40" max="40" width="9.33203125" style="1" bestFit="1" customWidth="1"/>
    <col min="41" max="41" width="3.6640625" style="4" bestFit="1" customWidth="1" outlineLevel="1"/>
    <col min="42" max="42" width="12.1640625" style="4" bestFit="1" customWidth="1" outlineLevel="1"/>
    <col min="43" max="45" width="6.1640625" style="4" bestFit="1" customWidth="1" outlineLevel="1"/>
    <col min="46" max="46" width="6.33203125" style="4" bestFit="1" customWidth="1" outlineLevel="1"/>
    <col min="47" max="47" width="6.1640625" style="4" bestFit="1" customWidth="1" outlineLevel="1"/>
    <col min="48" max="48" width="6.33203125" style="4" bestFit="1" customWidth="1" outlineLevel="1"/>
    <col min="49" max="49" width="6.1640625" style="4" bestFit="1" customWidth="1" outlineLevel="1"/>
    <col min="50" max="50" width="6.33203125" style="4" bestFit="1" customWidth="1" outlineLevel="1"/>
    <col min="51" max="51" width="6.1640625" style="4" bestFit="1" customWidth="1" outlineLevel="1"/>
    <col min="52" max="53" width="2.1640625" style="4" bestFit="1" customWidth="1" outlineLevel="1"/>
    <col min="54" max="69" width="10.83203125" style="4" customWidth="1" outlineLevel="1"/>
    <col min="70" max="72" width="12.1640625" style="4" customWidth="1" outlineLevel="1"/>
    <col min="73" max="73" width="8.1640625" style="4" customWidth="1" outlineLevel="1"/>
    <col min="74" max="74" width="12.1640625" style="4" customWidth="1" outlineLevel="1"/>
    <col min="75" max="75" width="8.1640625" style="4" customWidth="1" outlineLevel="1"/>
    <col min="76" max="76" width="12.1640625" style="4" customWidth="1" outlineLevel="1"/>
    <col min="77" max="77" width="8.1640625" style="4" customWidth="1" outlineLevel="1"/>
    <col min="78" max="78" width="12.1640625" style="4" customWidth="1" outlineLevel="1"/>
    <col min="79" max="79" width="8.1640625" style="4" customWidth="1" outlineLevel="1"/>
    <col min="80" max="80" width="12.1640625" style="4" customWidth="1" outlineLevel="1"/>
    <col min="81" max="81" width="8.1640625" style="4" customWidth="1" outlineLevel="1"/>
    <col min="82" max="82" width="12.1640625" style="4" customWidth="1" outlineLevel="1"/>
    <col min="83" max="86" width="8.1640625" style="4" customWidth="1" outlineLevel="1"/>
    <col min="87" max="87" width="12" style="10" customWidth="1" outlineLevel="1"/>
    <col min="88" max="88" width="12.1640625" style="10" bestFit="1" customWidth="1" outlineLevel="1"/>
    <col min="89" max="89" width="8.1640625" style="4" customWidth="1" outlineLevel="1"/>
    <col min="90" max="90" width="12.1640625" style="4" bestFit="1" customWidth="1" outlineLevel="1"/>
    <col min="91" max="94" width="11.1640625" style="4" bestFit="1" customWidth="1" outlineLevel="1"/>
    <col min="95" max="95" width="12.1640625" style="4" bestFit="1" customWidth="1" outlineLevel="1"/>
    <col min="96" max="104" width="11.1640625" style="4" bestFit="1" customWidth="1" outlineLevel="1"/>
    <col min="105" max="105" width="12.1640625" style="4" bestFit="1" customWidth="1" outlineLevel="1"/>
    <col min="106" max="107" width="11.1640625" style="4" bestFit="1" customWidth="1" outlineLevel="1"/>
    <col min="108" max="108" width="1" style="4" customWidth="1" outlineLevel="1"/>
    <col min="109" max="109" width="12.1640625" style="4" bestFit="1" customWidth="1" outlineLevel="1"/>
    <col min="110" max="110" width="11.1640625" style="4" bestFit="1" customWidth="1" outlineLevel="1"/>
    <col min="111" max="111" width="0.83203125" style="4" customWidth="1" outlineLevel="1"/>
    <col min="112" max="112" width="12.1640625" style="4" bestFit="1" customWidth="1" outlineLevel="1"/>
    <col min="113" max="113" width="11.1640625" style="4" bestFit="1" customWidth="1" outlineLevel="1"/>
    <col min="114" max="114" width="0.83203125" style="4" customWidth="1"/>
    <col min="115" max="115" width="12.1640625" style="4" customWidth="1"/>
    <col min="116" max="116" width="11.1640625" style="4" bestFit="1" customWidth="1"/>
    <col min="117" max="117" width="12.1640625" style="4" customWidth="1"/>
    <col min="118" max="118" width="11.1640625" style="4" bestFit="1" customWidth="1"/>
    <col min="119" max="119" width="12.1640625" style="4" customWidth="1"/>
    <col min="120" max="120" width="11.1640625" style="4" bestFit="1" customWidth="1"/>
    <col min="121" max="121" width="12.1640625" style="4" customWidth="1"/>
    <col min="122" max="122" width="11.1640625" style="4" bestFit="1" customWidth="1"/>
    <col min="123" max="123" width="12.1640625" style="4" customWidth="1"/>
    <col min="124" max="127" width="11.1640625" style="4" bestFit="1" customWidth="1"/>
    <col min="128" max="128" width="12.1640625" style="4" customWidth="1"/>
    <col min="129" max="129" width="1.33203125" style="1" customWidth="1"/>
    <col min="130" max="130" width="12.1640625" style="4" bestFit="1" customWidth="1"/>
    <col min="131" max="134" width="11.1640625" style="4" bestFit="1" customWidth="1"/>
    <col min="135" max="135" width="12.1640625" style="4" bestFit="1" customWidth="1"/>
    <col min="136" max="144" width="11.1640625" style="4" bestFit="1" customWidth="1"/>
    <col min="145" max="148" width="12.1640625" style="4" bestFit="1" customWidth="1"/>
    <col min="149" max="149" width="11.1640625" style="4" bestFit="1" customWidth="1"/>
    <col min="150" max="150" width="12.1640625" style="4" customWidth="1"/>
    <col min="151" max="151" width="11.1640625" style="4" bestFit="1" customWidth="1"/>
    <col min="152" max="152" width="8.6640625" style="8" bestFit="1" customWidth="1"/>
    <col min="153" max="153" width="6" style="8" bestFit="1" customWidth="1"/>
    <col min="154" max="154" width="8.6640625" style="8" bestFit="1" customWidth="1"/>
    <col min="155" max="155" width="6.83203125" style="8" bestFit="1" customWidth="1"/>
    <col min="156" max="156" width="8.6640625" style="8" bestFit="1" customWidth="1"/>
    <col min="157" max="157" width="6.83203125" style="8" bestFit="1" customWidth="1"/>
    <col min="158" max="158" width="8.6640625" style="8" bestFit="1" customWidth="1"/>
    <col min="159" max="159" width="6.83203125" style="8" bestFit="1" customWidth="1"/>
    <col min="160" max="160" width="12.1640625" style="4" customWidth="1"/>
    <col min="161" max="164" width="11.1640625" style="4" bestFit="1" customWidth="1"/>
    <col min="165" max="171" width="12.1640625" style="4" customWidth="1"/>
    <col min="172" max="172" width="12.1640625" style="4" bestFit="1" customWidth="1"/>
    <col min="173" max="173" width="12.1640625" style="4" customWidth="1"/>
    <col min="174" max="174" width="12.1640625" style="4" bestFit="1" customWidth="1"/>
    <col min="175" max="175" width="12.1640625" style="4" customWidth="1"/>
    <col min="176" max="16384" width="10.83203125" style="1"/>
  </cols>
  <sheetData>
    <row r="1" spans="1:175" x14ac:dyDescent="0.15">
      <c r="C1" s="276" t="s">
        <v>10</v>
      </c>
      <c r="D1" s="276"/>
      <c r="E1" s="276"/>
      <c r="F1" s="276"/>
      <c r="G1" s="276"/>
      <c r="H1" s="276"/>
      <c r="I1" s="276"/>
      <c r="J1" s="276"/>
      <c r="K1" s="276"/>
      <c r="L1" s="276"/>
      <c r="M1" s="276"/>
      <c r="N1" s="276"/>
      <c r="O1" s="276"/>
      <c r="P1" s="276"/>
      <c r="Q1" s="276"/>
      <c r="R1" s="276"/>
      <c r="S1" s="276"/>
      <c r="T1" s="2"/>
      <c r="U1" s="276" t="s">
        <v>11</v>
      </c>
      <c r="V1" s="276"/>
      <c r="W1" s="276"/>
      <c r="X1" s="276"/>
      <c r="Y1" s="276"/>
      <c r="Z1" s="276"/>
      <c r="AA1" s="276"/>
      <c r="AB1" s="276"/>
      <c r="AC1" s="276"/>
      <c r="AD1" s="276"/>
      <c r="AE1" s="276"/>
      <c r="AF1" s="276"/>
      <c r="AG1" s="276"/>
      <c r="AH1" s="276"/>
      <c r="AI1" s="276"/>
      <c r="AJ1" s="276"/>
      <c r="AK1" s="276"/>
      <c r="AL1" s="12"/>
      <c r="AM1" s="12"/>
      <c r="AN1" s="2"/>
      <c r="AO1" s="279" t="s">
        <v>21</v>
      </c>
      <c r="AP1" s="280"/>
      <c r="AQ1" s="280"/>
      <c r="AR1" s="280"/>
      <c r="AS1" s="280"/>
      <c r="AT1" s="280"/>
      <c r="AU1" s="280"/>
      <c r="AV1" s="280"/>
      <c r="AW1" s="280"/>
      <c r="AX1" s="280"/>
      <c r="AY1" s="280"/>
      <c r="CH1" s="19"/>
      <c r="CK1" s="18"/>
      <c r="CL1" s="272" t="s">
        <v>12</v>
      </c>
      <c r="CM1" s="272"/>
      <c r="CN1" s="272"/>
      <c r="CO1" s="272"/>
      <c r="CP1" s="272"/>
      <c r="CQ1" s="272"/>
      <c r="CR1" s="272"/>
      <c r="CS1" s="272"/>
      <c r="CT1" s="272"/>
      <c r="CU1" s="272"/>
      <c r="CV1" s="272"/>
      <c r="CW1" s="272"/>
      <c r="CX1" s="272"/>
      <c r="CY1" s="272"/>
      <c r="CZ1" s="272"/>
      <c r="DA1" s="272"/>
      <c r="DB1" s="272"/>
      <c r="DC1" s="272"/>
      <c r="DD1" s="272"/>
      <c r="DE1" s="272"/>
      <c r="DF1" s="272"/>
      <c r="DG1" s="272"/>
      <c r="DH1" s="272"/>
      <c r="DI1" s="272"/>
      <c r="DJ1" s="272"/>
      <c r="DK1" s="272"/>
      <c r="DL1" s="272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2"/>
      <c r="DZ1" s="272" t="s">
        <v>48</v>
      </c>
      <c r="EA1" s="272"/>
      <c r="EB1" s="272"/>
      <c r="EC1" s="272"/>
      <c r="ED1" s="272"/>
      <c r="EE1" s="272"/>
      <c r="EF1" s="272"/>
      <c r="EG1" s="272"/>
      <c r="EH1" s="272"/>
      <c r="EI1" s="272"/>
      <c r="EJ1" s="272"/>
      <c r="EK1" s="272"/>
      <c r="EL1" s="272"/>
      <c r="EM1" s="272"/>
      <c r="EN1" s="272"/>
      <c r="EO1" s="272"/>
      <c r="EP1" s="272"/>
      <c r="EQ1" s="272"/>
      <c r="ER1" s="272"/>
      <c r="ES1" s="272"/>
      <c r="ET1" s="272"/>
      <c r="EU1" s="272"/>
      <c r="EV1" s="272"/>
      <c r="EW1" s="272"/>
      <c r="EX1" s="1"/>
      <c r="EY1" s="1"/>
      <c r="EZ1" s="1"/>
      <c r="FA1" s="1"/>
      <c r="FB1" s="1"/>
      <c r="FC1" s="1"/>
      <c r="FD1" s="3"/>
      <c r="FE1" s="3"/>
      <c r="FF1" s="3"/>
      <c r="FG1" s="3"/>
      <c r="FH1" s="3"/>
      <c r="FI1" s="15"/>
      <c r="FK1" s="16"/>
      <c r="FL1" s="3"/>
      <c r="FM1" s="3"/>
      <c r="FN1" s="15"/>
      <c r="FP1" s="1"/>
      <c r="FQ1" s="1"/>
      <c r="FR1" s="1"/>
      <c r="FS1" s="1"/>
    </row>
    <row r="2" spans="1:175" x14ac:dyDescent="0.15">
      <c r="C2" s="276"/>
      <c r="D2" s="276"/>
      <c r="E2" s="276"/>
      <c r="F2" s="276"/>
      <c r="G2" s="276"/>
      <c r="H2" s="276"/>
      <c r="I2" s="276"/>
      <c r="J2" s="276"/>
      <c r="K2" s="276"/>
      <c r="L2" s="276"/>
      <c r="M2" s="276"/>
      <c r="N2" s="276"/>
      <c r="O2" s="276"/>
      <c r="P2" s="276"/>
      <c r="Q2" s="276"/>
      <c r="R2" s="276"/>
      <c r="S2" s="276"/>
      <c r="T2" s="2"/>
      <c r="U2" s="276"/>
      <c r="V2" s="276"/>
      <c r="W2" s="276"/>
      <c r="X2" s="276"/>
      <c r="Y2" s="276"/>
      <c r="Z2" s="276"/>
      <c r="AA2" s="276"/>
      <c r="AB2" s="276"/>
      <c r="AC2" s="276"/>
      <c r="AD2" s="276"/>
      <c r="AE2" s="276"/>
      <c r="AF2" s="276"/>
      <c r="AG2" s="276"/>
      <c r="AH2" s="276"/>
      <c r="AI2" s="276"/>
      <c r="AJ2" s="276"/>
      <c r="AK2" s="276"/>
      <c r="AL2" s="12"/>
      <c r="AM2" s="12"/>
      <c r="AN2" s="2"/>
      <c r="AO2" s="281" t="s">
        <v>13</v>
      </c>
      <c r="AP2" s="264"/>
      <c r="AQ2" s="264"/>
      <c r="AR2" s="264"/>
      <c r="AS2" s="264"/>
      <c r="AT2" s="264" t="s">
        <v>1</v>
      </c>
      <c r="AU2" s="264"/>
      <c r="AV2" s="264" t="s">
        <v>22</v>
      </c>
      <c r="AW2" s="264"/>
      <c r="AX2" s="264" t="s">
        <v>0</v>
      </c>
      <c r="AY2" s="264"/>
      <c r="CH2" s="20"/>
      <c r="CI2" s="20"/>
      <c r="CJ2" s="20"/>
      <c r="CK2" s="18"/>
      <c r="CL2" s="273" t="s">
        <v>13</v>
      </c>
      <c r="CM2" s="274"/>
      <c r="CN2" s="274"/>
      <c r="CO2" s="274"/>
      <c r="CP2" s="274"/>
      <c r="CQ2" s="274"/>
      <c r="CR2" s="274"/>
      <c r="CS2" s="274"/>
      <c r="CT2" s="274"/>
      <c r="CU2" s="274"/>
      <c r="CV2" s="274"/>
      <c r="CW2" s="274"/>
      <c r="CX2" s="274"/>
      <c r="CY2" s="274"/>
      <c r="CZ2" s="274"/>
      <c r="DA2" s="274"/>
      <c r="DB2" s="274"/>
      <c r="DC2" s="275"/>
      <c r="DD2" s="3"/>
      <c r="DE2" s="272" t="s">
        <v>14</v>
      </c>
      <c r="DF2" s="272"/>
      <c r="DG2" s="3"/>
      <c r="DH2" s="272" t="s">
        <v>30</v>
      </c>
      <c r="DI2" s="272"/>
      <c r="DJ2" s="3"/>
      <c r="DK2" s="272" t="s">
        <v>15</v>
      </c>
      <c r="DL2" s="272"/>
      <c r="DM2" s="272" t="s">
        <v>43</v>
      </c>
      <c r="DN2" s="272"/>
      <c r="DO2" s="272" t="s">
        <v>40</v>
      </c>
      <c r="DP2" s="272"/>
      <c r="DQ2" s="272" t="s">
        <v>44</v>
      </c>
      <c r="DR2" s="272"/>
      <c r="DS2" s="273" t="s">
        <v>45</v>
      </c>
      <c r="DT2" s="274"/>
      <c r="DU2" s="274"/>
      <c r="DV2" s="274"/>
      <c r="DW2" s="274"/>
      <c r="DX2" s="275"/>
      <c r="DY2" s="2"/>
      <c r="DZ2" s="273" t="s">
        <v>13</v>
      </c>
      <c r="EA2" s="274"/>
      <c r="EB2" s="274"/>
      <c r="EC2" s="274"/>
      <c r="ED2" s="274"/>
      <c r="EE2" s="274"/>
      <c r="EF2" s="274"/>
      <c r="EG2" s="274"/>
      <c r="EH2" s="274"/>
      <c r="EI2" s="274"/>
      <c r="EJ2" s="274"/>
      <c r="EK2" s="274"/>
      <c r="EL2" s="274"/>
      <c r="EM2" s="274"/>
      <c r="EN2" s="274"/>
      <c r="EO2" s="274"/>
      <c r="EP2" s="274"/>
      <c r="EQ2" s="275"/>
      <c r="ER2" s="272" t="s">
        <v>14</v>
      </c>
      <c r="ES2" s="272"/>
      <c r="ET2" s="272" t="s">
        <v>30</v>
      </c>
      <c r="EU2" s="272"/>
      <c r="EV2" s="284" t="s">
        <v>15</v>
      </c>
      <c r="EW2" s="284"/>
      <c r="EX2" s="284" t="s">
        <v>46</v>
      </c>
      <c r="EY2" s="284"/>
      <c r="EZ2" s="284" t="s">
        <v>47</v>
      </c>
      <c r="FA2" s="284"/>
      <c r="FB2" s="284" t="s">
        <v>41</v>
      </c>
      <c r="FC2" s="284"/>
      <c r="FD2" s="273" t="s">
        <v>45</v>
      </c>
      <c r="FE2" s="274"/>
      <c r="FF2" s="274"/>
      <c r="FG2" s="274"/>
      <c r="FH2" s="274"/>
      <c r="FI2" s="275"/>
      <c r="FK2" s="272" t="s">
        <v>106</v>
      </c>
      <c r="FL2" s="272"/>
      <c r="FM2" s="272" t="s">
        <v>107</v>
      </c>
      <c r="FN2" s="272"/>
      <c r="FP2" s="272" t="s">
        <v>105</v>
      </c>
      <c r="FQ2" s="272"/>
      <c r="FR2" s="272" t="s">
        <v>108</v>
      </c>
      <c r="FS2" s="272"/>
    </row>
    <row r="3" spans="1:175" x14ac:dyDescent="0.15">
      <c r="C3" s="12"/>
      <c r="D3" s="276" t="s">
        <v>13</v>
      </c>
      <c r="E3" s="276"/>
      <c r="F3" s="276"/>
      <c r="G3" s="276"/>
      <c r="H3" s="12"/>
      <c r="I3" s="12"/>
      <c r="J3" s="12"/>
      <c r="K3" s="12"/>
      <c r="L3" s="12"/>
      <c r="M3" s="12"/>
      <c r="N3" s="278" t="s">
        <v>42</v>
      </c>
      <c r="O3" s="278"/>
      <c r="P3" s="278"/>
      <c r="Q3" s="278"/>
      <c r="R3" s="12"/>
      <c r="S3" s="12"/>
      <c r="T3" s="2"/>
      <c r="U3" s="12"/>
      <c r="V3" s="276" t="s">
        <v>13</v>
      </c>
      <c r="W3" s="276"/>
      <c r="X3" s="276"/>
      <c r="Y3" s="276"/>
      <c r="Z3" s="12"/>
      <c r="AA3" s="12"/>
      <c r="AB3" s="12"/>
      <c r="AC3" s="12"/>
      <c r="AD3" s="12"/>
      <c r="AE3" s="12"/>
      <c r="AF3" s="277" t="s">
        <v>42</v>
      </c>
      <c r="AG3" s="277"/>
      <c r="AH3" s="277"/>
      <c r="AI3" s="277"/>
      <c r="AJ3" s="12"/>
      <c r="AK3" s="12"/>
      <c r="AL3" s="12"/>
      <c r="AM3" s="12"/>
      <c r="AN3" s="2"/>
      <c r="AO3" s="13"/>
      <c r="AP3" s="14"/>
      <c r="AQ3" s="14"/>
      <c r="AR3" s="14"/>
      <c r="AS3" s="14"/>
      <c r="AT3" s="14"/>
      <c r="AU3" s="14"/>
      <c r="AV3" s="14"/>
      <c r="AW3" s="14"/>
      <c r="AX3" s="14"/>
      <c r="AY3" s="14"/>
      <c r="CH3" s="19"/>
      <c r="CK3" s="18"/>
      <c r="CL3" s="3"/>
      <c r="CM3" s="3"/>
      <c r="CN3" s="273" t="s">
        <v>13</v>
      </c>
      <c r="CO3" s="274"/>
      <c r="CP3" s="274"/>
      <c r="CQ3" s="275"/>
      <c r="CR3" s="3"/>
      <c r="CS3" s="3"/>
      <c r="CT3" s="3"/>
      <c r="CU3" s="3"/>
      <c r="CV3" s="3"/>
      <c r="CW3" s="3"/>
      <c r="CX3" s="273" t="s">
        <v>42</v>
      </c>
      <c r="CY3" s="274"/>
      <c r="CZ3" s="274"/>
      <c r="DA3" s="275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2"/>
      <c r="DZ3" s="3"/>
      <c r="EA3" s="3"/>
      <c r="EB3" s="273" t="s">
        <v>13</v>
      </c>
      <c r="EC3" s="274"/>
      <c r="ED3" s="274"/>
      <c r="EE3" s="275"/>
      <c r="EF3" s="3"/>
      <c r="EG3" s="3"/>
      <c r="EH3" s="3"/>
      <c r="EI3" s="3"/>
      <c r="EJ3" s="3"/>
      <c r="EK3" s="3"/>
      <c r="EL3" s="273" t="s">
        <v>42</v>
      </c>
      <c r="EM3" s="274"/>
      <c r="EN3" s="274"/>
      <c r="EO3" s="275"/>
      <c r="EP3" s="3"/>
      <c r="EQ3" s="3"/>
      <c r="ER3" s="3"/>
      <c r="ES3" s="3"/>
      <c r="ET3" s="3"/>
      <c r="EU3" s="3"/>
      <c r="EV3" s="6"/>
      <c r="EW3" s="6"/>
      <c r="EX3" s="6"/>
      <c r="EY3" s="6"/>
      <c r="EZ3" s="6"/>
      <c r="FA3" s="6"/>
      <c r="FB3" s="6"/>
      <c r="FC3" s="6"/>
      <c r="FD3" s="3"/>
      <c r="FE3" s="3"/>
      <c r="FF3" s="3"/>
      <c r="FG3" s="3"/>
      <c r="FH3" s="3"/>
      <c r="FI3" s="15"/>
      <c r="FK3" s="16"/>
      <c r="FL3" s="3"/>
      <c r="FM3" s="3"/>
      <c r="FN3" s="15"/>
      <c r="FP3" s="16"/>
      <c r="FQ3" s="3"/>
      <c r="FR3" s="16"/>
      <c r="FS3" s="3"/>
    </row>
    <row r="4" spans="1:175" ht="14" thickBot="1" x14ac:dyDescent="0.2">
      <c r="B4" s="1" t="s">
        <v>6</v>
      </c>
      <c r="C4" s="36" t="s">
        <v>3</v>
      </c>
      <c r="D4" s="36" t="s">
        <v>24</v>
      </c>
      <c r="E4" s="36" t="s">
        <v>25</v>
      </c>
      <c r="F4" s="36" t="s">
        <v>26</v>
      </c>
      <c r="G4" s="36" t="s">
        <v>38</v>
      </c>
      <c r="H4" s="36" t="s">
        <v>5</v>
      </c>
      <c r="I4" s="36" t="s">
        <v>22</v>
      </c>
      <c r="J4" s="36" t="s">
        <v>0</v>
      </c>
      <c r="K4" s="36" t="s">
        <v>39</v>
      </c>
      <c r="L4" s="36" t="s">
        <v>40</v>
      </c>
      <c r="M4" s="36" t="s">
        <v>41</v>
      </c>
      <c r="N4" s="37" t="s">
        <v>24</v>
      </c>
      <c r="O4" s="37" t="s">
        <v>25</v>
      </c>
      <c r="P4" s="37" t="s">
        <v>26</v>
      </c>
      <c r="Q4" s="37" t="s">
        <v>38</v>
      </c>
      <c r="R4" s="36" t="s">
        <v>4</v>
      </c>
      <c r="S4" s="36" t="s">
        <v>7</v>
      </c>
      <c r="T4" s="2"/>
      <c r="U4" s="36" t="s">
        <v>3</v>
      </c>
      <c r="V4" s="36" t="s">
        <v>24</v>
      </c>
      <c r="W4" s="36" t="s">
        <v>25</v>
      </c>
      <c r="X4" s="36" t="s">
        <v>26</v>
      </c>
      <c r="Y4" s="36" t="s">
        <v>38</v>
      </c>
      <c r="Z4" s="36" t="s">
        <v>5</v>
      </c>
      <c r="AA4" s="36" t="s">
        <v>22</v>
      </c>
      <c r="AB4" s="36" t="s">
        <v>0</v>
      </c>
      <c r="AC4" s="36" t="s">
        <v>39</v>
      </c>
      <c r="AD4" s="36" t="s">
        <v>40</v>
      </c>
      <c r="AE4" s="36" t="s">
        <v>41</v>
      </c>
      <c r="AF4" s="39" t="s">
        <v>24</v>
      </c>
      <c r="AG4" s="39" t="s">
        <v>25</v>
      </c>
      <c r="AH4" s="39" t="s">
        <v>26</v>
      </c>
      <c r="AI4" s="39" t="s">
        <v>38</v>
      </c>
      <c r="AJ4" s="36" t="s">
        <v>4</v>
      </c>
      <c r="AK4" s="36" t="s">
        <v>7</v>
      </c>
      <c r="AL4" s="36" t="s">
        <v>77</v>
      </c>
      <c r="AM4" s="36" t="s">
        <v>78</v>
      </c>
      <c r="AN4" s="2"/>
      <c r="AO4" s="251" t="s">
        <v>23</v>
      </c>
      <c r="AP4" s="252"/>
      <c r="AQ4" s="116" t="s">
        <v>24</v>
      </c>
      <c r="AR4" s="116" t="s">
        <v>25</v>
      </c>
      <c r="AS4" s="116" t="s">
        <v>26</v>
      </c>
      <c r="AT4" s="116" t="s">
        <v>23</v>
      </c>
      <c r="AU4" s="116" t="s">
        <v>24</v>
      </c>
      <c r="AV4" s="116" t="s">
        <v>23</v>
      </c>
      <c r="AW4" s="116" t="s">
        <v>24</v>
      </c>
      <c r="AX4" s="116" t="s">
        <v>23</v>
      </c>
      <c r="AY4" s="116" t="s">
        <v>24</v>
      </c>
      <c r="CH4" s="21"/>
      <c r="CK4" s="18"/>
      <c r="CL4" s="3" t="str">
        <f>C4</f>
        <v>Bit-rate</v>
      </c>
      <c r="CM4" s="3" t="str">
        <f>D4</f>
        <v>Y</v>
      </c>
      <c r="CN4" s="3" t="str">
        <f t="shared" ref="CN4:DC4" si="0">D4</f>
        <v>Y</v>
      </c>
      <c r="CO4" s="3" t="str">
        <f t="shared" si="0"/>
        <v>U</v>
      </c>
      <c r="CP4" s="3" t="str">
        <f t="shared" si="0"/>
        <v>V</v>
      </c>
      <c r="CQ4" s="3" t="str">
        <f t="shared" si="0"/>
        <v>YUV</v>
      </c>
      <c r="CR4" s="3" t="str">
        <f t="shared" si="0"/>
        <v>SSIM_Y</v>
      </c>
      <c r="CS4" s="3" t="str">
        <f t="shared" si="0"/>
        <v>MS-SSIM</v>
      </c>
      <c r="CT4" s="3" t="str">
        <f t="shared" si="0"/>
        <v>VMAF</v>
      </c>
      <c r="CU4" s="3" t="str">
        <f t="shared" si="0"/>
        <v>nVMAF</v>
      </c>
      <c r="CV4" s="3" t="str">
        <f t="shared" si="0"/>
        <v>PSNR-HVS</v>
      </c>
      <c r="CW4" s="3" t="str">
        <f t="shared" si="0"/>
        <v>DE-2K</v>
      </c>
      <c r="CX4" s="3" t="str">
        <f t="shared" si="0"/>
        <v>Y</v>
      </c>
      <c r="CY4" s="3" t="str">
        <f t="shared" si="0"/>
        <v>U</v>
      </c>
      <c r="CZ4" s="3" t="str">
        <f t="shared" si="0"/>
        <v>V</v>
      </c>
      <c r="DA4" s="3" t="str">
        <f t="shared" si="0"/>
        <v>YUV</v>
      </c>
      <c r="DB4" s="3" t="str">
        <f t="shared" si="0"/>
        <v>Enc-Time</v>
      </c>
      <c r="DC4" s="3" t="str">
        <f t="shared" si="0"/>
        <v>Dec-Time</v>
      </c>
      <c r="DD4" s="3"/>
      <c r="DE4" s="3" t="s">
        <v>3</v>
      </c>
      <c r="DF4" s="3" t="str">
        <f>Z4</f>
        <v>SSIM_Y</v>
      </c>
      <c r="DG4" s="3"/>
      <c r="DH4" s="3" t="s">
        <v>3</v>
      </c>
      <c r="DI4" s="3" t="str">
        <f>I4</f>
        <v>MS-SSIM</v>
      </c>
      <c r="DJ4" s="3"/>
      <c r="DK4" s="3" t="s">
        <v>3</v>
      </c>
      <c r="DL4" s="3" t="str">
        <f>J4</f>
        <v>VMAF</v>
      </c>
      <c r="DM4" s="3" t="s">
        <v>3</v>
      </c>
      <c r="DN4" s="3" t="str">
        <f>K4</f>
        <v>nVMAF</v>
      </c>
      <c r="DO4" s="3" t="s">
        <v>3</v>
      </c>
      <c r="DP4" s="3" t="str">
        <f>L4</f>
        <v>PSNR-HVS</v>
      </c>
      <c r="DQ4" s="3" t="s">
        <v>3</v>
      </c>
      <c r="DR4" s="3" t="str">
        <f>M4</f>
        <v>DE-2K</v>
      </c>
      <c r="DS4" s="3" t="s">
        <v>3</v>
      </c>
      <c r="DT4" s="3" t="str">
        <f>N4</f>
        <v>Y</v>
      </c>
      <c r="DU4" s="3" t="str">
        <f>N4</f>
        <v>Y</v>
      </c>
      <c r="DV4" s="3" t="str">
        <f>O4</f>
        <v>U</v>
      </c>
      <c r="DW4" s="3" t="str">
        <f>P4</f>
        <v>V</v>
      </c>
      <c r="DX4" s="3" t="str">
        <f>Q4</f>
        <v>YUV</v>
      </c>
      <c r="DY4" s="2"/>
      <c r="DZ4" s="3" t="s">
        <v>3</v>
      </c>
      <c r="EA4" s="3" t="s">
        <v>2</v>
      </c>
      <c r="EB4" s="3" t="str">
        <f t="shared" ref="EB4:EQ4" si="1">V4</f>
        <v>Y</v>
      </c>
      <c r="EC4" s="3" t="str">
        <f t="shared" si="1"/>
        <v>U</v>
      </c>
      <c r="ED4" s="3" t="str">
        <f t="shared" si="1"/>
        <v>V</v>
      </c>
      <c r="EE4" s="3" t="str">
        <f t="shared" si="1"/>
        <v>YUV</v>
      </c>
      <c r="EF4" s="3" t="str">
        <f t="shared" si="1"/>
        <v>SSIM_Y</v>
      </c>
      <c r="EG4" s="3" t="str">
        <f t="shared" si="1"/>
        <v>MS-SSIM</v>
      </c>
      <c r="EH4" s="3" t="str">
        <f t="shared" si="1"/>
        <v>VMAF</v>
      </c>
      <c r="EI4" s="3" t="str">
        <f t="shared" si="1"/>
        <v>nVMAF</v>
      </c>
      <c r="EJ4" s="3" t="str">
        <f t="shared" si="1"/>
        <v>PSNR-HVS</v>
      </c>
      <c r="EK4" s="3" t="str">
        <f t="shared" si="1"/>
        <v>DE-2K</v>
      </c>
      <c r="EL4" s="3" t="str">
        <f t="shared" si="1"/>
        <v>Y</v>
      </c>
      <c r="EM4" s="3" t="str">
        <f t="shared" si="1"/>
        <v>U</v>
      </c>
      <c r="EN4" s="3" t="str">
        <f t="shared" si="1"/>
        <v>V</v>
      </c>
      <c r="EO4" s="3" t="str">
        <f t="shared" si="1"/>
        <v>YUV</v>
      </c>
      <c r="EP4" s="3" t="str">
        <f t="shared" si="1"/>
        <v>Enc-Time</v>
      </c>
      <c r="EQ4" s="3" t="str">
        <f t="shared" si="1"/>
        <v>Dec-Time</v>
      </c>
      <c r="ER4" s="3" t="s">
        <v>3</v>
      </c>
      <c r="ES4" s="3" t="s">
        <v>1</v>
      </c>
      <c r="ET4" s="3" t="s">
        <v>3</v>
      </c>
      <c r="EU4" s="3" t="s">
        <v>1</v>
      </c>
      <c r="EV4" s="6" t="s">
        <v>3</v>
      </c>
      <c r="EW4" s="6" t="s">
        <v>0</v>
      </c>
      <c r="EX4" s="6" t="s">
        <v>3</v>
      </c>
      <c r="EY4" s="6" t="s">
        <v>39</v>
      </c>
      <c r="EZ4" s="6" t="s">
        <v>3</v>
      </c>
      <c r="FA4" s="6" t="s">
        <v>39</v>
      </c>
      <c r="FB4" s="6" t="s">
        <v>3</v>
      </c>
      <c r="FC4" s="6" t="s">
        <v>39</v>
      </c>
      <c r="FD4" s="3" t="s">
        <v>3</v>
      </c>
      <c r="FE4" s="3" t="s">
        <v>24</v>
      </c>
      <c r="FF4" s="3" t="s">
        <v>24</v>
      </c>
      <c r="FG4" s="3" t="s">
        <v>25</v>
      </c>
      <c r="FH4" s="3" t="s">
        <v>26</v>
      </c>
      <c r="FI4" s="15" t="s">
        <v>38</v>
      </c>
      <c r="FK4" s="16" t="s">
        <v>3</v>
      </c>
      <c r="FL4" s="3">
        <f>BH4</f>
        <v>0</v>
      </c>
      <c r="FM4" s="3" t="s">
        <v>3</v>
      </c>
      <c r="FN4" s="15">
        <f>BJ4</f>
        <v>0</v>
      </c>
      <c r="FP4" s="16" t="s">
        <v>3</v>
      </c>
      <c r="FQ4" s="3" t="s">
        <v>104</v>
      </c>
      <c r="FR4" s="16" t="s">
        <v>3</v>
      </c>
      <c r="FS4" s="3" t="s">
        <v>104</v>
      </c>
    </row>
    <row r="5" spans="1:175" ht="13" customHeight="1" x14ac:dyDescent="0.15">
      <c r="A5" s="249" t="s">
        <v>17</v>
      </c>
      <c r="B5" s="38">
        <v>110</v>
      </c>
      <c r="C5" s="129">
        <f>Anchor!L2</f>
        <v>0</v>
      </c>
      <c r="D5" s="129">
        <f>Anchor!M2</f>
        <v>0</v>
      </c>
      <c r="E5" s="129">
        <f>Anchor!N2</f>
        <v>0</v>
      </c>
      <c r="F5" s="129">
        <f>Anchor!O2</f>
        <v>0</v>
      </c>
      <c r="G5" s="130">
        <f>('Summary (Full)'!$B$34*D5+'Summary (Full)'!$B$35*E5+'Summary (Full)'!$B$36*F5)/'Summary (Full)'!$B$37</f>
        <v>0</v>
      </c>
      <c r="H5" s="129">
        <f>Anchor!P2</f>
        <v>0</v>
      </c>
      <c r="I5" s="129">
        <f>Anchor!Q2</f>
        <v>0</v>
      </c>
      <c r="J5" s="129">
        <f>Anchor!R2</f>
        <v>0</v>
      </c>
      <c r="K5" s="129">
        <f>Anchor!S2</f>
        <v>0</v>
      </c>
      <c r="L5" s="129">
        <f>Anchor!T2</f>
        <v>0</v>
      </c>
      <c r="M5" s="129">
        <f>Anchor!U2</f>
        <v>0</v>
      </c>
      <c r="N5" s="129">
        <f>Anchor!V2</f>
        <v>0</v>
      </c>
      <c r="O5" s="129">
        <f>Anchor!W2</f>
        <v>0</v>
      </c>
      <c r="P5" s="129">
        <f>Anchor!X2</f>
        <v>0</v>
      </c>
      <c r="Q5" s="131">
        <f>10*LOG10(1/(('Summary (Full)'!$B$41/10^(N5/10)+'Summary (Full)'!$B$42/10^(O5/10)+'Summary (Full)'!$B$43/10^(P5/10))/'Summary (Full)'!$B$44))</f>
        <v>0</v>
      </c>
      <c r="R5" s="129">
        <f>Anchor!Y2</f>
        <v>0</v>
      </c>
      <c r="S5" s="129">
        <f>Anchor!Z2</f>
        <v>0</v>
      </c>
      <c r="T5" s="132"/>
      <c r="U5" s="129">
        <f>Test!L2</f>
        <v>0</v>
      </c>
      <c r="V5" s="129">
        <f>Test!M2</f>
        <v>0</v>
      </c>
      <c r="W5" s="129">
        <f>Test!N2</f>
        <v>0</v>
      </c>
      <c r="X5" s="129">
        <f>Test!O2</f>
        <v>0</v>
      </c>
      <c r="Y5" s="129">
        <f>('Summary (Full)'!$B$34*V5+'Summary (Full)'!$B$35*W5+'Summary (Full)'!$B$36*X5)/'Summary (Full)'!$B$37</f>
        <v>0</v>
      </c>
      <c r="Z5" s="129">
        <f>Test!P2</f>
        <v>0</v>
      </c>
      <c r="AA5" s="129">
        <f>Test!Q2</f>
        <v>0</v>
      </c>
      <c r="AB5" s="129">
        <f>Test!R2</f>
        <v>0</v>
      </c>
      <c r="AC5" s="129">
        <f>Test!S2</f>
        <v>0</v>
      </c>
      <c r="AD5" s="129">
        <f>Test!T2</f>
        <v>0</v>
      </c>
      <c r="AE5" s="129">
        <f>Test!U2</f>
        <v>0</v>
      </c>
      <c r="AF5" s="129">
        <f>Test!V2</f>
        <v>0</v>
      </c>
      <c r="AG5" s="129">
        <f>Test!W2</f>
        <v>0</v>
      </c>
      <c r="AH5" s="129">
        <f>Test!X2</f>
        <v>0</v>
      </c>
      <c r="AI5" s="129">
        <f>10*LOG10(1/(('Summary (Full)'!$B$41/10^(AF5/10)+'Summary (Full)'!$B$42/10^(AG5/10)+'Summary (Full)'!$B$43/10^(AH5/10))/'Summary (Full)'!$B$44))</f>
        <v>0</v>
      </c>
      <c r="AJ5" s="129">
        <f>Test!Y2</f>
        <v>0</v>
      </c>
      <c r="AK5" s="129">
        <f>Test!Z2</f>
        <v>0</v>
      </c>
      <c r="AL5" s="129" t="e">
        <f>AJ5/R5</f>
        <v>#DIV/0!</v>
      </c>
      <c r="AM5" s="129" t="e">
        <f>AK5/S5</f>
        <v>#DIV/0!</v>
      </c>
      <c r="AO5" s="253" t="s">
        <v>27</v>
      </c>
      <c r="AP5" s="171" t="e" cm="1">
        <f t="array" ref="AP5">bdRateExtend($C5:$C8,D5:D8,$U5:$U8,V5:V8)</f>
        <v>#VALUE!</v>
      </c>
      <c r="AQ5" s="171" t="e" cm="1">
        <f t="array" ref="AQ5">bdRateExtend($C5:$C10,D5:D10,$U5:$U10,V5:V10)</f>
        <v>#VALUE!</v>
      </c>
      <c r="AR5" s="171" t="e" cm="1">
        <f t="array" ref="AR5">bdRateExtend($C5:$C10,E5:E10,$U5:$U10,W5:W10)</f>
        <v>#VALUE!</v>
      </c>
      <c r="AS5" s="171" t="e" cm="1">
        <f t="array" ref="AS5">bdRateExtend($C5:$C10,F5:F10,$U5:$U10,X5:X10)</f>
        <v>#VALUE!</v>
      </c>
      <c r="AT5" s="171" t="e" cm="1">
        <f t="array" ref="AT5">bdRateExtend($C5:$C8,H5:H8,$U5:$U8,Z5:Z8)</f>
        <v>#VALUE!</v>
      </c>
      <c r="AU5" s="171" t="e" cm="1">
        <f t="array" ref="AU5">bdRateExtend($C5:$C10,H5:H10,$U5:$U10,Z5:Z10)</f>
        <v>#VALUE!</v>
      </c>
      <c r="AV5" s="171" t="e" cm="1">
        <f t="array" ref="AV5">bdRateExtend($C5:$C8,I5:I8,$U5:$U8,AA5:AA8)</f>
        <v>#VALUE!</v>
      </c>
      <c r="AW5" s="171" t="e" cm="1">
        <f t="array" ref="AW5">bdRateExtend($C5:$C10,I5:I10,$U5:$U10,AA5:AA10)</f>
        <v>#VALUE!</v>
      </c>
      <c r="AX5" s="171" t="e" cm="1">
        <f t="array" ref="AX5">bdRateExtend($C5:$C8,J5:J8,$U5:$U8,AB5:AB8,"None", FALSE,1)</f>
        <v>#VALUE!</v>
      </c>
      <c r="AY5" s="174" t="e" cm="1">
        <f t="array" ref="AY5">bdRateExtend($C5:$C10,J5:J10,$U5:$U10,AB5:AB10,"None", FALSE,1)</f>
        <v>#VALUE!</v>
      </c>
      <c r="AZ5" s="285" cm="1">
        <f t="array" ref="AZ5">testVMAFRange($C5:$C8,J5:J8,$U5:$U8,AB5:AB8)</f>
        <v>0</v>
      </c>
      <c r="BA5" s="211" cm="1">
        <f t="array" ref="BA5">testVMAFRange($C5:$C10,J5:J10,$U5:$U10,AB5:AB10)</f>
        <v>0</v>
      </c>
      <c r="CH5" s="5"/>
      <c r="CI5" s="11" t="s">
        <v>31</v>
      </c>
      <c r="CJ5" s="10" t="e" cm="1">
        <f t="array" ref="CJ5">MIN(IF(CL1:CL63&gt;0,CL1:CL63))</f>
        <v>#VALUE!</v>
      </c>
      <c r="CK5" s="5"/>
      <c r="CL5" s="4" t="e" cm="1">
        <f t="array" ref="CL5">ConvexHullInterpolate(C5:C40,D5:D40,TRUE,6,'Summary (Full)'!B30,D5:S40)</f>
        <v>#VALUE!</v>
      </c>
      <c r="DE5" s="4" t="e" cm="1">
        <f t="array" ref="DE5">ConvexHullInterpolate(C5:C40,H5:H40,TRUE,6,'Summary (Full)'!B30)</f>
        <v>#VALUE!</v>
      </c>
      <c r="DH5" s="4" t="e" cm="1">
        <f t="array" ref="DH5">ConvexHullInterpolate($C5:$C40,I5:I40,TRUE,6,'Summary (Full)'!B30)</f>
        <v>#VALUE!</v>
      </c>
      <c r="DK5" s="4" t="e" cm="1">
        <f t="array" ref="DK5">ConvexHullInterpolate($C5:$C40,J5:J40,TRUE,6,'Summary (Full)'!B30)</f>
        <v>#VALUE!</v>
      </c>
      <c r="DM5" s="4" t="e" cm="1">
        <f t="array" ref="DM5">ConvexHullInterpolate($C5:$C40,K5:K40,TRUE,6,'Summary (Full)'!B30)</f>
        <v>#VALUE!</v>
      </c>
      <c r="DO5" s="4" t="e" cm="1">
        <f t="array" ref="DO5">ConvexHullInterpolate($C5:$C40,L5:L40,TRUE,6,'Summary (Full)'!B30)</f>
        <v>#VALUE!</v>
      </c>
      <c r="DQ5" s="4" t="e" cm="1">
        <f t="array" ref="DQ5">ConvexHullInterpolate($C5:$C40,M5:M40,TRUE,6,'Summary (Full)'!B30)</f>
        <v>#VALUE!</v>
      </c>
      <c r="DS5" s="4" t="e" cm="1">
        <f t="array" ref="DS5">ConvexHullInterpolate($C5:$C40,N5:N40,TRUE,6,'Summary (Full)'!B30, N5:Q40)</f>
        <v>#VALUE!</v>
      </c>
      <c r="DZ5" s="4" t="e" cm="1">
        <f t="array" ref="DZ5">ConvexHullInterpolate(U5:U40,V5:V40,TRUE,6,'Summary (Full)'!B30,V5:AK40)</f>
        <v>#VALUE!</v>
      </c>
      <c r="ER5" s="4" t="e" cm="1">
        <f t="array" ref="ER5">ConvexHullInterpolate($U5:$U40,Z5:Z40,TRUE,6,'Summary (Full)'!B30)</f>
        <v>#VALUE!</v>
      </c>
      <c r="ET5" s="4" t="e" cm="1">
        <f t="array" ref="ET5">ConvexHullInterpolate($U5:$U40,AA5:AA40,TRUE,6,'Summary (Full)'!B30)</f>
        <v>#VALUE!</v>
      </c>
      <c r="EV5" s="7" t="e" cm="1">
        <f t="array" ref="EV5">ConvexHullInterpolate($U5:$U40,AB5:AB40,TRUE,6,'Summary (Full)'!B30)</f>
        <v>#VALUE!</v>
      </c>
      <c r="EW5" s="7"/>
      <c r="EX5" s="7" t="e" cm="1">
        <f t="array" ref="EX5">ConvexHullInterpolate($U5:$U40,AC5:AC40,TRUE,6,'Summary (Full)'!B30)</f>
        <v>#VALUE!</v>
      </c>
      <c r="EY5" s="7"/>
      <c r="EZ5" s="7" t="e" cm="1">
        <f t="array" ref="EZ5">ConvexHullInterpolate($U5:$U40,AD5:AD40,TRUE,6,'Summary (Full)'!B30)</f>
        <v>#VALUE!</v>
      </c>
      <c r="FA5" s="7"/>
      <c r="FB5" s="7" t="e" cm="1">
        <f t="array" ref="FB5">ConvexHullInterpolate($U5:$U40,AE5:AE40,TRUE,6,'Summary (Full)'!B30)</f>
        <v>#VALUE!</v>
      </c>
      <c r="FC5" s="7"/>
      <c r="FD5" s="4" t="e" cm="1">
        <f t="array" ref="FD5">ConvexHullInterpolate($U5:$U40,AF5:AF40,TRUE,6,'Summary (Full)'!B30, AF5:AI40)</f>
        <v>#VALUE!</v>
      </c>
      <c r="FK5" s="4" t="e" cm="1">
        <f t="array" ref="FK5">ConvexHullInterpolate($C5:$C40,G5:G40,TRUE,6,'Summary (Full)'!B30)</f>
        <v>#VALUE!</v>
      </c>
      <c r="FM5" s="4" t="e" cm="1">
        <f t="array" ref="FM5">ConvexHullInterpolate($C5:$C40,Q5:Q40,TRUE,6,'Summary (Full)'!B30)</f>
        <v>#VALUE!</v>
      </c>
      <c r="FP5" s="4" t="e" cm="1">
        <f t="array" ref="FP5">ConvexHullInterpolate($U5:$U40,Y5:Y40,TRUE,6,'Summary (Full)'!B30)</f>
        <v>#VALUE!</v>
      </c>
      <c r="FR5" s="4" t="e" cm="1">
        <f t="array" ref="FR5">ConvexHullInterpolate($U5:$U40,AI5:AI40,TRUE,6,'Summary (Full)'!B30)</f>
        <v>#VALUE!</v>
      </c>
    </row>
    <row r="6" spans="1:175" x14ac:dyDescent="0.15">
      <c r="A6" s="249"/>
      <c r="B6" s="38">
        <v>135</v>
      </c>
      <c r="C6" s="129">
        <f>Anchor!L3</f>
        <v>0</v>
      </c>
      <c r="D6" s="129">
        <f>Anchor!M3</f>
        <v>0</v>
      </c>
      <c r="E6" s="129">
        <f>Anchor!N3</f>
        <v>0</v>
      </c>
      <c r="F6" s="129">
        <f>Anchor!O3</f>
        <v>0</v>
      </c>
      <c r="G6" s="130">
        <f>('Summary (Full)'!$B$34*D6+'Summary (Full)'!$B$35*E6+'Summary (Full)'!$B$36*F6)/'Summary (Full)'!$B$37</f>
        <v>0</v>
      </c>
      <c r="H6" s="129">
        <f>Anchor!P3</f>
        <v>0</v>
      </c>
      <c r="I6" s="129">
        <f>Anchor!Q3</f>
        <v>0</v>
      </c>
      <c r="J6" s="129">
        <f>Anchor!R3</f>
        <v>0</v>
      </c>
      <c r="K6" s="129">
        <f>Anchor!S3</f>
        <v>0</v>
      </c>
      <c r="L6" s="129">
        <f>Anchor!T3</f>
        <v>0</v>
      </c>
      <c r="M6" s="129">
        <f>Anchor!U3</f>
        <v>0</v>
      </c>
      <c r="N6" s="129">
        <f>Anchor!V3</f>
        <v>0</v>
      </c>
      <c r="O6" s="129">
        <f>Anchor!W3</f>
        <v>0</v>
      </c>
      <c r="P6" s="129">
        <f>Anchor!X3</f>
        <v>0</v>
      </c>
      <c r="Q6" s="131">
        <f>10*LOG10(1/(('Summary (Full)'!$B$41/10^(N6/10)+'Summary (Full)'!$B$42/10^(O6/10)+'Summary (Full)'!$B$43/10^(P6/10))/'Summary (Full)'!$B$44))</f>
        <v>0</v>
      </c>
      <c r="R6" s="129">
        <f>Anchor!Y3</f>
        <v>0</v>
      </c>
      <c r="S6" s="129">
        <f>Anchor!Z3</f>
        <v>0</v>
      </c>
      <c r="T6" s="132"/>
      <c r="U6" s="129">
        <f>Test!L3</f>
        <v>0</v>
      </c>
      <c r="V6" s="129">
        <f>Test!M3</f>
        <v>0</v>
      </c>
      <c r="W6" s="129">
        <f>Test!N3</f>
        <v>0</v>
      </c>
      <c r="X6" s="129">
        <f>Test!O3</f>
        <v>0</v>
      </c>
      <c r="Y6" s="129">
        <f>('Summary (Full)'!$B$34*V6+'Summary (Full)'!$B$35*W6+'Summary (Full)'!$B$36*X6)/'Summary (Full)'!$B$37</f>
        <v>0</v>
      </c>
      <c r="Z6" s="129">
        <f>Test!P3</f>
        <v>0</v>
      </c>
      <c r="AA6" s="129">
        <f>Test!Q3</f>
        <v>0</v>
      </c>
      <c r="AB6" s="129">
        <f>Test!R3</f>
        <v>0</v>
      </c>
      <c r="AC6" s="129">
        <f>Test!S3</f>
        <v>0</v>
      </c>
      <c r="AD6" s="129">
        <f>Test!T3</f>
        <v>0</v>
      </c>
      <c r="AE6" s="129">
        <f>Test!U3</f>
        <v>0</v>
      </c>
      <c r="AF6" s="129">
        <f>Test!V3</f>
        <v>0</v>
      </c>
      <c r="AG6" s="129">
        <f>Test!W3</f>
        <v>0</v>
      </c>
      <c r="AH6" s="129">
        <f>Test!X3</f>
        <v>0</v>
      </c>
      <c r="AI6" s="129">
        <f>10*LOG10(1/(('Summary (Full)'!$B$41/10^(AF6/10)+'Summary (Full)'!$B$42/10^(AG6/10)+'Summary (Full)'!$B$43/10^(AH6/10))/'Summary (Full)'!$B$44))</f>
        <v>0</v>
      </c>
      <c r="AJ6" s="129">
        <f>Test!Y3</f>
        <v>0</v>
      </c>
      <c r="AK6" s="129">
        <f>Test!Z3</f>
        <v>0</v>
      </c>
      <c r="AL6" s="129" t="e">
        <f t="shared" ref="AL6:AL40" si="2">AJ6/R6</f>
        <v>#DIV/0!</v>
      </c>
      <c r="AM6" s="129" t="e">
        <f t="shared" ref="AM6:AM40" si="3">AK6/S6</f>
        <v>#DIV/0!</v>
      </c>
      <c r="AO6" s="254"/>
      <c r="AP6" s="172"/>
      <c r="AQ6" s="172"/>
      <c r="AR6" s="172"/>
      <c r="AS6" s="172"/>
      <c r="AT6" s="172"/>
      <c r="AU6" s="172"/>
      <c r="AV6" s="172"/>
      <c r="AW6" s="172"/>
      <c r="AX6" s="172"/>
      <c r="AY6" s="175"/>
      <c r="AZ6" s="286"/>
      <c r="BA6" s="212"/>
      <c r="CH6" s="5"/>
      <c r="CI6" s="11" t="s">
        <v>32</v>
      </c>
      <c r="CJ6" s="10" t="e">
        <f>MAX(CL1:CL63)</f>
        <v>#VALUE!</v>
      </c>
      <c r="CK6" s="5"/>
      <c r="EV6" s="7"/>
      <c r="EW6" s="7"/>
      <c r="EX6" s="7"/>
      <c r="EY6" s="7"/>
      <c r="EZ6" s="7"/>
      <c r="FA6" s="7"/>
      <c r="FB6" s="7"/>
      <c r="FC6" s="7"/>
    </row>
    <row r="7" spans="1:175" ht="13" customHeight="1" x14ac:dyDescent="0.15">
      <c r="A7" s="249"/>
      <c r="B7" s="38">
        <v>160</v>
      </c>
      <c r="C7" s="129">
        <f>Anchor!L4</f>
        <v>0</v>
      </c>
      <c r="D7" s="129">
        <f>Anchor!M4</f>
        <v>0</v>
      </c>
      <c r="E7" s="129">
        <f>Anchor!N4</f>
        <v>0</v>
      </c>
      <c r="F7" s="129">
        <f>Anchor!O4</f>
        <v>0</v>
      </c>
      <c r="G7" s="130">
        <f>('Summary (Full)'!$B$34*D7+'Summary (Full)'!$B$35*E7+'Summary (Full)'!$B$36*F7)/'Summary (Full)'!$B$37</f>
        <v>0</v>
      </c>
      <c r="H7" s="129">
        <f>Anchor!P4</f>
        <v>0</v>
      </c>
      <c r="I7" s="129">
        <f>Anchor!Q4</f>
        <v>0</v>
      </c>
      <c r="J7" s="129">
        <f>Anchor!R4</f>
        <v>0</v>
      </c>
      <c r="K7" s="129">
        <f>Anchor!S4</f>
        <v>0</v>
      </c>
      <c r="L7" s="129">
        <f>Anchor!T4</f>
        <v>0</v>
      </c>
      <c r="M7" s="129">
        <f>Anchor!U4</f>
        <v>0</v>
      </c>
      <c r="N7" s="129">
        <f>Anchor!V4</f>
        <v>0</v>
      </c>
      <c r="O7" s="129">
        <f>Anchor!W4</f>
        <v>0</v>
      </c>
      <c r="P7" s="129">
        <f>Anchor!X4</f>
        <v>0</v>
      </c>
      <c r="Q7" s="131">
        <f>10*LOG10(1/(('Summary (Full)'!$B$41/10^(N7/10)+'Summary (Full)'!$B$42/10^(O7/10)+'Summary (Full)'!$B$43/10^(P7/10))/'Summary (Full)'!$B$44))</f>
        <v>0</v>
      </c>
      <c r="R7" s="129">
        <f>Anchor!Y4</f>
        <v>0</v>
      </c>
      <c r="S7" s="129">
        <f>Anchor!Z4</f>
        <v>0</v>
      </c>
      <c r="T7" s="132"/>
      <c r="U7" s="129">
        <f>Test!L4</f>
        <v>0</v>
      </c>
      <c r="V7" s="129">
        <f>Test!M4</f>
        <v>0</v>
      </c>
      <c r="W7" s="129">
        <f>Test!N4</f>
        <v>0</v>
      </c>
      <c r="X7" s="129">
        <f>Test!O4</f>
        <v>0</v>
      </c>
      <c r="Y7" s="129">
        <f>('Summary (Full)'!$B$34*V7+'Summary (Full)'!$B$35*W7+'Summary (Full)'!$B$36*X7)/'Summary (Full)'!$B$37</f>
        <v>0</v>
      </c>
      <c r="Z7" s="129">
        <f>Test!P4</f>
        <v>0</v>
      </c>
      <c r="AA7" s="129">
        <f>Test!Q4</f>
        <v>0</v>
      </c>
      <c r="AB7" s="129">
        <f>Test!R4</f>
        <v>0</v>
      </c>
      <c r="AC7" s="129">
        <f>Test!S4</f>
        <v>0</v>
      </c>
      <c r="AD7" s="129">
        <f>Test!T4</f>
        <v>0</v>
      </c>
      <c r="AE7" s="129">
        <f>Test!U4</f>
        <v>0</v>
      </c>
      <c r="AF7" s="129">
        <f>Test!V4</f>
        <v>0</v>
      </c>
      <c r="AG7" s="129">
        <f>Test!W4</f>
        <v>0</v>
      </c>
      <c r="AH7" s="129">
        <f>Test!X4</f>
        <v>0</v>
      </c>
      <c r="AI7" s="129">
        <f>10*LOG10(1/(('Summary (Full)'!$B$41/10^(AF7/10)+'Summary (Full)'!$B$42/10^(AG7/10)+'Summary (Full)'!$B$43/10^(AH7/10))/'Summary (Full)'!$B$44))</f>
        <v>0</v>
      </c>
      <c r="AJ7" s="129">
        <f>Test!Y4</f>
        <v>0</v>
      </c>
      <c r="AK7" s="129">
        <f>Test!Z4</f>
        <v>0</v>
      </c>
      <c r="AL7" s="129" t="e">
        <f t="shared" si="2"/>
        <v>#DIV/0!</v>
      </c>
      <c r="AM7" s="129" t="e">
        <f t="shared" si="3"/>
        <v>#DIV/0!</v>
      </c>
      <c r="AO7" s="254" t="s">
        <v>28</v>
      </c>
      <c r="AP7" s="172" t="e" cm="1">
        <f t="array" ref="AP7">bdRateExtend($C6:$C9,D6:D9,$U6:$U9,V6:V9)</f>
        <v>#VALUE!</v>
      </c>
      <c r="AQ7" s="172"/>
      <c r="AR7" s="172"/>
      <c r="AS7" s="172"/>
      <c r="AT7" s="172" t="e" cm="1">
        <f t="array" ref="AT7">bdRateExtend($C6:$C9,H6:H9,$U6:$U9,Z6:Z9)</f>
        <v>#VALUE!</v>
      </c>
      <c r="AU7" s="172"/>
      <c r="AV7" s="172" t="e" cm="1">
        <f t="array" ref="AV7">bdRateExtend($C6:$C9,I6:I9,$U6:$U9,AA6:AA9)</f>
        <v>#VALUE!</v>
      </c>
      <c r="AW7" s="172"/>
      <c r="AX7" s="172" t="e" cm="1">
        <f t="array" ref="AX7">bdRateExtend($C6:$C9,J6:J9,$U6:$U9,AB6:AB9,"None", FALSE,1)</f>
        <v>#VALUE!</v>
      </c>
      <c r="AY7" s="175"/>
      <c r="AZ7" s="286" cm="1">
        <f t="array" ref="AZ7">testVMAFRange($C6:$C9,J6:J9,$U6:$U9,AB6:AB9)</f>
        <v>0</v>
      </c>
      <c r="BA7" s="212"/>
      <c r="CH7" s="5"/>
      <c r="CI7" s="11" t="s">
        <v>33</v>
      </c>
      <c r="CJ7" s="10" t="e">
        <f>CJ6-CJ5</f>
        <v>#VALUE!</v>
      </c>
      <c r="CK7" s="5"/>
      <c r="EV7" s="7"/>
      <c r="EW7" s="7"/>
      <c r="EX7" s="7"/>
      <c r="EY7" s="7"/>
      <c r="EZ7" s="7"/>
      <c r="FA7" s="7"/>
      <c r="FB7" s="7"/>
      <c r="FC7" s="7"/>
    </row>
    <row r="8" spans="1:175" x14ac:dyDescent="0.15">
      <c r="A8" s="249"/>
      <c r="B8" s="38">
        <v>185</v>
      </c>
      <c r="C8" s="129">
        <f>Anchor!L5</f>
        <v>0</v>
      </c>
      <c r="D8" s="129">
        <f>Anchor!M5</f>
        <v>0</v>
      </c>
      <c r="E8" s="129">
        <f>Anchor!N5</f>
        <v>0</v>
      </c>
      <c r="F8" s="129">
        <f>Anchor!O5</f>
        <v>0</v>
      </c>
      <c r="G8" s="130">
        <f>('Summary (Full)'!$B$34*D8+'Summary (Full)'!$B$35*E8+'Summary (Full)'!$B$36*F8)/'Summary (Full)'!$B$37</f>
        <v>0</v>
      </c>
      <c r="H8" s="129">
        <f>Anchor!P5</f>
        <v>0</v>
      </c>
      <c r="I8" s="129">
        <f>Anchor!Q5</f>
        <v>0</v>
      </c>
      <c r="J8" s="129">
        <f>Anchor!R5</f>
        <v>0</v>
      </c>
      <c r="K8" s="129">
        <f>Anchor!S5</f>
        <v>0</v>
      </c>
      <c r="L8" s="129">
        <f>Anchor!T5</f>
        <v>0</v>
      </c>
      <c r="M8" s="129">
        <f>Anchor!U5</f>
        <v>0</v>
      </c>
      <c r="N8" s="129">
        <f>Anchor!V5</f>
        <v>0</v>
      </c>
      <c r="O8" s="129">
        <f>Anchor!W5</f>
        <v>0</v>
      </c>
      <c r="P8" s="129">
        <f>Anchor!X5</f>
        <v>0</v>
      </c>
      <c r="Q8" s="131">
        <f>10*LOG10(1/(('Summary (Full)'!$B$41/10^(N8/10)+'Summary (Full)'!$B$42/10^(O8/10)+'Summary (Full)'!$B$43/10^(P8/10))/'Summary (Full)'!$B$44))</f>
        <v>0</v>
      </c>
      <c r="R8" s="129">
        <f>Anchor!Y5</f>
        <v>0</v>
      </c>
      <c r="S8" s="129">
        <f>Anchor!Z5</f>
        <v>0</v>
      </c>
      <c r="T8" s="132"/>
      <c r="U8" s="129">
        <f>Test!L5</f>
        <v>0</v>
      </c>
      <c r="V8" s="129">
        <f>Test!M5</f>
        <v>0</v>
      </c>
      <c r="W8" s="129">
        <f>Test!N5</f>
        <v>0</v>
      </c>
      <c r="X8" s="129">
        <f>Test!O5</f>
        <v>0</v>
      </c>
      <c r="Y8" s="129">
        <f>('Summary (Full)'!$B$34*V8+'Summary (Full)'!$B$35*W8+'Summary (Full)'!$B$36*X8)/'Summary (Full)'!$B$37</f>
        <v>0</v>
      </c>
      <c r="Z8" s="129">
        <f>Test!P5</f>
        <v>0</v>
      </c>
      <c r="AA8" s="129">
        <f>Test!Q5</f>
        <v>0</v>
      </c>
      <c r="AB8" s="129">
        <f>Test!R5</f>
        <v>0</v>
      </c>
      <c r="AC8" s="129">
        <f>Test!S5</f>
        <v>0</v>
      </c>
      <c r="AD8" s="129">
        <f>Test!T5</f>
        <v>0</v>
      </c>
      <c r="AE8" s="129">
        <f>Test!U5</f>
        <v>0</v>
      </c>
      <c r="AF8" s="129">
        <f>Test!V5</f>
        <v>0</v>
      </c>
      <c r="AG8" s="129">
        <f>Test!W5</f>
        <v>0</v>
      </c>
      <c r="AH8" s="129">
        <f>Test!X5</f>
        <v>0</v>
      </c>
      <c r="AI8" s="129">
        <f>10*LOG10(1/(('Summary (Full)'!$B$41/10^(AF8/10)+'Summary (Full)'!$B$42/10^(AG8/10)+'Summary (Full)'!$B$43/10^(AH8/10))/'Summary (Full)'!$B$44))</f>
        <v>0</v>
      </c>
      <c r="AJ8" s="129">
        <f>Test!Y5</f>
        <v>0</v>
      </c>
      <c r="AK8" s="129">
        <f>Test!Z5</f>
        <v>0</v>
      </c>
      <c r="AL8" s="129" t="e">
        <f t="shared" si="2"/>
        <v>#DIV/0!</v>
      </c>
      <c r="AM8" s="129" t="e">
        <f t="shared" si="3"/>
        <v>#DIV/0!</v>
      </c>
      <c r="AO8" s="254"/>
      <c r="AP8" s="172"/>
      <c r="AQ8" s="172"/>
      <c r="AR8" s="172"/>
      <c r="AS8" s="172"/>
      <c r="AT8" s="172"/>
      <c r="AU8" s="172"/>
      <c r="AV8" s="172"/>
      <c r="AW8" s="172"/>
      <c r="AX8" s="172"/>
      <c r="AY8" s="175"/>
      <c r="AZ8" s="286"/>
      <c r="BA8" s="212"/>
      <c r="CH8" s="5"/>
      <c r="CI8" s="11" t="s">
        <v>34</v>
      </c>
      <c r="CJ8" s="10" t="e">
        <f>CJ7^(3/4)</f>
        <v>#VALUE!</v>
      </c>
      <c r="CK8" s="5"/>
      <c r="EV8" s="7"/>
      <c r="EW8" s="7"/>
      <c r="EX8" s="7"/>
      <c r="EY8" s="7"/>
      <c r="EZ8" s="7"/>
      <c r="FA8" s="7"/>
      <c r="FB8" s="7"/>
      <c r="FC8" s="7"/>
    </row>
    <row r="9" spans="1:175" ht="13" customHeight="1" x14ac:dyDescent="0.15">
      <c r="A9" s="249"/>
      <c r="B9" s="38">
        <v>210</v>
      </c>
      <c r="C9" s="129">
        <f>Anchor!L6</f>
        <v>0</v>
      </c>
      <c r="D9" s="129">
        <f>Anchor!M6</f>
        <v>0</v>
      </c>
      <c r="E9" s="129">
        <f>Anchor!N6</f>
        <v>0</v>
      </c>
      <c r="F9" s="129">
        <f>Anchor!O6</f>
        <v>0</v>
      </c>
      <c r="G9" s="130">
        <f>('Summary (Full)'!$B$34*D9+'Summary (Full)'!$B$35*E9+'Summary (Full)'!$B$36*F9)/'Summary (Full)'!$B$37</f>
        <v>0</v>
      </c>
      <c r="H9" s="129">
        <f>Anchor!P6</f>
        <v>0</v>
      </c>
      <c r="I9" s="129">
        <f>Anchor!Q6</f>
        <v>0</v>
      </c>
      <c r="J9" s="129">
        <f>Anchor!R6</f>
        <v>0</v>
      </c>
      <c r="K9" s="129">
        <f>Anchor!S6</f>
        <v>0</v>
      </c>
      <c r="L9" s="129">
        <f>Anchor!T6</f>
        <v>0</v>
      </c>
      <c r="M9" s="129">
        <f>Anchor!U6</f>
        <v>0</v>
      </c>
      <c r="N9" s="129">
        <f>Anchor!V6</f>
        <v>0</v>
      </c>
      <c r="O9" s="129">
        <f>Anchor!W6</f>
        <v>0</v>
      </c>
      <c r="P9" s="129">
        <f>Anchor!X6</f>
        <v>0</v>
      </c>
      <c r="Q9" s="131">
        <f>10*LOG10(1/(('Summary (Full)'!$B$41/10^(N9/10)+'Summary (Full)'!$B$42/10^(O9/10)+'Summary (Full)'!$B$43/10^(P9/10))/'Summary (Full)'!$B$44))</f>
        <v>0</v>
      </c>
      <c r="R9" s="129">
        <f>Anchor!Y6</f>
        <v>0</v>
      </c>
      <c r="S9" s="129">
        <f>Anchor!Z6</f>
        <v>0</v>
      </c>
      <c r="T9" s="132"/>
      <c r="U9" s="129">
        <f>Test!L6</f>
        <v>0</v>
      </c>
      <c r="V9" s="129">
        <f>Test!M6</f>
        <v>0</v>
      </c>
      <c r="W9" s="129">
        <f>Test!N6</f>
        <v>0</v>
      </c>
      <c r="X9" s="129">
        <f>Test!O6</f>
        <v>0</v>
      </c>
      <c r="Y9" s="129">
        <f>('Summary (Full)'!$B$34*V9+'Summary (Full)'!$B$35*W9+'Summary (Full)'!$B$36*X9)/'Summary (Full)'!$B$37</f>
        <v>0</v>
      </c>
      <c r="Z9" s="129">
        <f>Test!P6</f>
        <v>0</v>
      </c>
      <c r="AA9" s="129">
        <f>Test!Q6</f>
        <v>0</v>
      </c>
      <c r="AB9" s="129">
        <f>Test!R6</f>
        <v>0</v>
      </c>
      <c r="AC9" s="129">
        <f>Test!S6</f>
        <v>0</v>
      </c>
      <c r="AD9" s="129">
        <f>Test!T6</f>
        <v>0</v>
      </c>
      <c r="AE9" s="129">
        <f>Test!U6</f>
        <v>0</v>
      </c>
      <c r="AF9" s="129">
        <f>Test!V6</f>
        <v>0</v>
      </c>
      <c r="AG9" s="129">
        <f>Test!W6</f>
        <v>0</v>
      </c>
      <c r="AH9" s="129">
        <f>Test!X6</f>
        <v>0</v>
      </c>
      <c r="AI9" s="129">
        <f>10*LOG10(1/(('Summary (Full)'!$B$41/10^(AF9/10)+'Summary (Full)'!$B$42/10^(AG9/10)+'Summary (Full)'!$B$43/10^(AH9/10))/'Summary (Full)'!$B$44))</f>
        <v>0</v>
      </c>
      <c r="AJ9" s="129">
        <f>Test!Y6</f>
        <v>0</v>
      </c>
      <c r="AK9" s="129">
        <f>Test!Z6</f>
        <v>0</v>
      </c>
      <c r="AL9" s="129" t="e">
        <f t="shared" si="2"/>
        <v>#DIV/0!</v>
      </c>
      <c r="AM9" s="129" t="e">
        <f t="shared" si="3"/>
        <v>#DIV/0!</v>
      </c>
      <c r="AO9" s="254" t="s">
        <v>29</v>
      </c>
      <c r="AP9" s="172" t="e" cm="1">
        <f t="array" ref="AP9">bdRateExtend($C7:$C10,D7:D10,$U7:$U10,V7:V10)</f>
        <v>#VALUE!</v>
      </c>
      <c r="AQ9" s="172"/>
      <c r="AR9" s="172"/>
      <c r="AS9" s="172"/>
      <c r="AT9" s="172" t="e" cm="1">
        <f t="array" ref="AT9">bdRateExtend($C7:$C10,H7:H10,$U7:$U10,Z7:Z10)</f>
        <v>#VALUE!</v>
      </c>
      <c r="AU9" s="172"/>
      <c r="AV9" s="172" t="e" cm="1">
        <f t="array" ref="AV9">bdRateExtend($C7:$C10,I7:I10,$U7:$U10,AA7:AA10)</f>
        <v>#VALUE!</v>
      </c>
      <c r="AW9" s="172"/>
      <c r="AX9" s="172" t="e" cm="1">
        <f t="array" ref="AX9">bdRateExtend($C7:$C10,J7:J10,$U7:$U10,AB7:AB10,"None", FALSE,1)</f>
        <v>#VALUE!</v>
      </c>
      <c r="AY9" s="175"/>
      <c r="AZ9" s="286" cm="1">
        <f t="array" ref="AZ9">testVMAFRange($C7:$C10,J7:J10,$U7:$U10,AB7:AB10)</f>
        <v>0</v>
      </c>
      <c r="BA9" s="212"/>
      <c r="CH9" s="5"/>
      <c r="CI9" s="11" t="s">
        <v>35</v>
      </c>
      <c r="CJ9" s="10" t="e">
        <f>CJ7^(1/2)</f>
        <v>#VALUE!</v>
      </c>
      <c r="CK9" s="5"/>
      <c r="EV9" s="7"/>
      <c r="EW9" s="7"/>
      <c r="EX9" s="7"/>
      <c r="EY9" s="7"/>
      <c r="EZ9" s="7"/>
      <c r="FA9" s="7"/>
      <c r="FB9" s="7"/>
      <c r="FC9" s="7"/>
    </row>
    <row r="10" spans="1:175" ht="14" thickBot="1" x14ac:dyDescent="0.2">
      <c r="A10" s="249"/>
      <c r="B10" s="38">
        <v>235</v>
      </c>
      <c r="C10" s="129">
        <f>Anchor!L7</f>
        <v>0</v>
      </c>
      <c r="D10" s="129">
        <f>Anchor!M7</f>
        <v>0</v>
      </c>
      <c r="E10" s="129">
        <f>Anchor!N7</f>
        <v>0</v>
      </c>
      <c r="F10" s="129">
        <f>Anchor!O7</f>
        <v>0</v>
      </c>
      <c r="G10" s="130">
        <f>('Summary (Full)'!$B$34*D10+'Summary (Full)'!$B$35*E10+'Summary (Full)'!$B$36*F10)/'Summary (Full)'!$B$37</f>
        <v>0</v>
      </c>
      <c r="H10" s="129">
        <f>Anchor!P7</f>
        <v>0</v>
      </c>
      <c r="I10" s="129">
        <f>Anchor!Q7</f>
        <v>0</v>
      </c>
      <c r="J10" s="129">
        <f>Anchor!R7</f>
        <v>0</v>
      </c>
      <c r="K10" s="129">
        <f>Anchor!S7</f>
        <v>0</v>
      </c>
      <c r="L10" s="129">
        <f>Anchor!T7</f>
        <v>0</v>
      </c>
      <c r="M10" s="129">
        <f>Anchor!U7</f>
        <v>0</v>
      </c>
      <c r="N10" s="129">
        <f>Anchor!V7</f>
        <v>0</v>
      </c>
      <c r="O10" s="129">
        <f>Anchor!W7</f>
        <v>0</v>
      </c>
      <c r="P10" s="129">
        <f>Anchor!X7</f>
        <v>0</v>
      </c>
      <c r="Q10" s="131">
        <f>10*LOG10(1/(('Summary (Full)'!$B$41/10^(N10/10)+'Summary (Full)'!$B$42/10^(O10/10)+'Summary (Full)'!$B$43/10^(P10/10))/'Summary (Full)'!$B$44))</f>
        <v>0</v>
      </c>
      <c r="R10" s="129">
        <f>Anchor!Y7</f>
        <v>0</v>
      </c>
      <c r="S10" s="129">
        <f>Anchor!Z7</f>
        <v>0</v>
      </c>
      <c r="T10" s="132"/>
      <c r="U10" s="129">
        <f>Test!L7</f>
        <v>0</v>
      </c>
      <c r="V10" s="129">
        <f>Test!M7</f>
        <v>0</v>
      </c>
      <c r="W10" s="129">
        <f>Test!N7</f>
        <v>0</v>
      </c>
      <c r="X10" s="129">
        <f>Test!O7</f>
        <v>0</v>
      </c>
      <c r="Y10" s="129">
        <f>('Summary (Full)'!$B$34*V10+'Summary (Full)'!$B$35*W10+'Summary (Full)'!$B$36*X10)/'Summary (Full)'!$B$37</f>
        <v>0</v>
      </c>
      <c r="Z10" s="129">
        <f>Test!P7</f>
        <v>0</v>
      </c>
      <c r="AA10" s="129">
        <f>Test!Q7</f>
        <v>0</v>
      </c>
      <c r="AB10" s="129">
        <f>Test!R7</f>
        <v>0</v>
      </c>
      <c r="AC10" s="129">
        <f>Test!S7</f>
        <v>0</v>
      </c>
      <c r="AD10" s="129">
        <f>Test!T7</f>
        <v>0</v>
      </c>
      <c r="AE10" s="129">
        <f>Test!U7</f>
        <v>0</v>
      </c>
      <c r="AF10" s="129">
        <f>Test!V7</f>
        <v>0</v>
      </c>
      <c r="AG10" s="129">
        <f>Test!W7</f>
        <v>0</v>
      </c>
      <c r="AH10" s="129">
        <f>Test!X7</f>
        <v>0</v>
      </c>
      <c r="AI10" s="129">
        <f>10*LOG10(1/(('Summary (Full)'!$B$41/10^(AF10/10)+'Summary (Full)'!$B$42/10^(AG10/10)+'Summary (Full)'!$B$43/10^(AH10/10))/'Summary (Full)'!$B$44))</f>
        <v>0</v>
      </c>
      <c r="AJ10" s="129">
        <f>Test!Y7</f>
        <v>0</v>
      </c>
      <c r="AK10" s="129">
        <f>Test!Z7</f>
        <v>0</v>
      </c>
      <c r="AL10" s="129" t="e">
        <f t="shared" si="2"/>
        <v>#DIV/0!</v>
      </c>
      <c r="AM10" s="129" t="e">
        <f t="shared" si="3"/>
        <v>#DIV/0!</v>
      </c>
      <c r="AO10" s="263"/>
      <c r="AP10" s="173"/>
      <c r="AQ10" s="173"/>
      <c r="AR10" s="173"/>
      <c r="AS10" s="173"/>
      <c r="AT10" s="173"/>
      <c r="AU10" s="173"/>
      <c r="AV10" s="173"/>
      <c r="AW10" s="173"/>
      <c r="AX10" s="173"/>
      <c r="AY10" s="188"/>
      <c r="AZ10" s="287"/>
      <c r="BA10" s="240"/>
      <c r="CH10" s="5"/>
      <c r="CI10" s="11" t="s">
        <v>36</v>
      </c>
      <c r="CJ10" s="10" t="e">
        <f>CJ5+CJ9</f>
        <v>#VALUE!</v>
      </c>
      <c r="CK10" s="5"/>
      <c r="EV10" s="7"/>
      <c r="EW10" s="7"/>
      <c r="EX10" s="7"/>
      <c r="EY10" s="7"/>
      <c r="EZ10" s="7"/>
      <c r="FA10" s="7"/>
      <c r="FB10" s="7"/>
      <c r="FC10" s="7"/>
    </row>
    <row r="11" spans="1:175" ht="13" customHeight="1" x14ac:dyDescent="0.15">
      <c r="A11" s="249" t="s">
        <v>18</v>
      </c>
      <c r="B11" s="38">
        <v>110</v>
      </c>
      <c r="C11" s="129">
        <f>Anchor!L8</f>
        <v>0</v>
      </c>
      <c r="D11" s="129">
        <f>Anchor!M8</f>
        <v>0</v>
      </c>
      <c r="E11" s="129">
        <f>Anchor!N8</f>
        <v>0</v>
      </c>
      <c r="F11" s="129">
        <f>Anchor!O8</f>
        <v>0</v>
      </c>
      <c r="G11" s="130">
        <f>('Summary (Full)'!$B$34*D11+'Summary (Full)'!$B$35*E11+'Summary (Full)'!$B$36*F11)/'Summary (Full)'!$B$37</f>
        <v>0</v>
      </c>
      <c r="H11" s="129">
        <f>Anchor!P8</f>
        <v>0</v>
      </c>
      <c r="I11" s="129">
        <f>Anchor!Q8</f>
        <v>0</v>
      </c>
      <c r="J11" s="129">
        <f>Anchor!R8</f>
        <v>0</v>
      </c>
      <c r="K11" s="129">
        <f>Anchor!S8</f>
        <v>0</v>
      </c>
      <c r="L11" s="129">
        <f>Anchor!T8</f>
        <v>0</v>
      </c>
      <c r="M11" s="129">
        <f>Anchor!U8</f>
        <v>0</v>
      </c>
      <c r="N11" s="129">
        <f>Anchor!V8</f>
        <v>0</v>
      </c>
      <c r="O11" s="129">
        <f>Anchor!W8</f>
        <v>0</v>
      </c>
      <c r="P11" s="129">
        <f>Anchor!X8</f>
        <v>0</v>
      </c>
      <c r="Q11" s="131">
        <f>10*LOG10(1/(('Summary (Full)'!$B$41/10^(N11/10)+'Summary (Full)'!$B$42/10^(O11/10)+'Summary (Full)'!$B$43/10^(P11/10))/'Summary (Full)'!$B$44))</f>
        <v>0</v>
      </c>
      <c r="R11" s="129">
        <f>Anchor!Y8</f>
        <v>0</v>
      </c>
      <c r="S11" s="129">
        <f>Anchor!Z8</f>
        <v>0</v>
      </c>
      <c r="T11" s="132"/>
      <c r="U11" s="129">
        <f>Test!L8</f>
        <v>0</v>
      </c>
      <c r="V11" s="129">
        <f>Test!M8</f>
        <v>0</v>
      </c>
      <c r="W11" s="129">
        <f>Test!N8</f>
        <v>0</v>
      </c>
      <c r="X11" s="129">
        <f>Test!O8</f>
        <v>0</v>
      </c>
      <c r="Y11" s="129">
        <f>('Summary (Full)'!$B$34*V11+'Summary (Full)'!$B$35*W11+'Summary (Full)'!$B$36*X11)/'Summary (Full)'!$B$37</f>
        <v>0</v>
      </c>
      <c r="Z11" s="129">
        <f>Test!P8</f>
        <v>0</v>
      </c>
      <c r="AA11" s="129">
        <f>Test!Q8</f>
        <v>0</v>
      </c>
      <c r="AB11" s="129">
        <f>Test!R8</f>
        <v>0</v>
      </c>
      <c r="AC11" s="129">
        <f>Test!S8</f>
        <v>0</v>
      </c>
      <c r="AD11" s="129">
        <f>Test!T8</f>
        <v>0</v>
      </c>
      <c r="AE11" s="129">
        <f>Test!U8</f>
        <v>0</v>
      </c>
      <c r="AF11" s="129">
        <f>Test!V8</f>
        <v>0</v>
      </c>
      <c r="AG11" s="129">
        <f>Test!W8</f>
        <v>0</v>
      </c>
      <c r="AH11" s="129">
        <f>Test!X8</f>
        <v>0</v>
      </c>
      <c r="AI11" s="129">
        <f>10*LOG10(1/(('Summary (Full)'!$B$41/10^(AF11/10)+'Summary (Full)'!$B$42/10^(AG11/10)+'Summary (Full)'!$B$43/10^(AH11/10))/'Summary (Full)'!$B$44))</f>
        <v>0</v>
      </c>
      <c r="AJ11" s="129">
        <f>Test!Y8</f>
        <v>0</v>
      </c>
      <c r="AK11" s="129">
        <f>Test!Z8</f>
        <v>0</v>
      </c>
      <c r="AL11" s="129" t="e">
        <f t="shared" si="2"/>
        <v>#DIV/0!</v>
      </c>
      <c r="AM11" s="129" t="e">
        <f t="shared" si="3"/>
        <v>#DIV/0!</v>
      </c>
      <c r="AO11" s="253" t="s">
        <v>27</v>
      </c>
      <c r="AP11" s="171" t="e" cm="1">
        <f t="array" ref="AP11">bdRateExtend($C11:$C14,D11:D14,$U11:$U14,V11:V14)</f>
        <v>#VALUE!</v>
      </c>
      <c r="AQ11" s="171" t="e" cm="1">
        <f t="array" ref="AQ11">bdRateExtend($C11:$C16,D11:D16,$U11:$U16,V11:V16)</f>
        <v>#VALUE!</v>
      </c>
      <c r="AR11" s="171" t="e" cm="1">
        <f t="array" ref="AR11">bdRateExtend($C11:$C16,E11:E16,$U11:$U16,W11:W16)</f>
        <v>#VALUE!</v>
      </c>
      <c r="AS11" s="171" t="e" cm="1">
        <f t="array" ref="AS11">bdRateExtend($C11:$C16,F11:F16,$U11:$U16,X11:X16)</f>
        <v>#VALUE!</v>
      </c>
      <c r="AT11" s="171" t="e" cm="1">
        <f t="array" ref="AT11">bdRateExtend($C11:$C14,H11:H14,$U11:$U14,Z11:Z14)</f>
        <v>#VALUE!</v>
      </c>
      <c r="AU11" s="171" t="e" cm="1">
        <f t="array" ref="AU11">bdRateExtend($C11:$C16,H11:H16,$U11:$U16,Z11:Z16)</f>
        <v>#VALUE!</v>
      </c>
      <c r="AV11" s="171" t="e" cm="1">
        <f t="array" ref="AV11">bdRateExtend($C11:$C14,I11:I14,$U11:$U14,AA11:AA14)</f>
        <v>#VALUE!</v>
      </c>
      <c r="AW11" s="171" t="e" cm="1">
        <f t="array" ref="AW11">bdRateExtend($C11:$C16,I11:I16,$U11:$U16,AA11:AA16)</f>
        <v>#VALUE!</v>
      </c>
      <c r="AX11" s="171" t="e" cm="1">
        <f t="array" ref="AX11">bdRateExtend($C11:$C14,J11:J14,$U11:$U14,AB11:AB14,"None", FALSE,1)</f>
        <v>#VALUE!</v>
      </c>
      <c r="AY11" s="174" t="e" cm="1">
        <f t="array" ref="AY11">bdRateExtend($C11:$C16,J11:J16,$U11:$U16,AB11:AB16,"None", FALSE,1)</f>
        <v>#VALUE!</v>
      </c>
      <c r="AZ11" s="285" cm="1">
        <f t="array" ref="AZ11">testVMAFRange($C11:$C14,J11:J14,$U11:$U14,AB11:AB14)</f>
        <v>0</v>
      </c>
      <c r="BA11" s="211" cm="1">
        <f t="array" ref="BA11">testVMAFRange($C11:$C16,J11:J16,$U11:$U16,AB11:AB16)</f>
        <v>0</v>
      </c>
      <c r="CI11" s="11" t="s">
        <v>37</v>
      </c>
      <c r="CJ11" s="10" t="e">
        <f>CJ5+CJ8</f>
        <v>#VALUE!</v>
      </c>
      <c r="EV11" s="7"/>
      <c r="EW11" s="7"/>
      <c r="EX11" s="7"/>
      <c r="EY11" s="7"/>
      <c r="EZ11" s="7"/>
      <c r="FA11" s="7"/>
      <c r="FB11" s="7"/>
      <c r="FC11" s="7"/>
    </row>
    <row r="12" spans="1:175" x14ac:dyDescent="0.15">
      <c r="A12" s="249"/>
      <c r="B12" s="38">
        <v>135</v>
      </c>
      <c r="C12" s="129">
        <f>Anchor!L9</f>
        <v>0</v>
      </c>
      <c r="D12" s="129">
        <f>Anchor!M9</f>
        <v>0</v>
      </c>
      <c r="E12" s="129">
        <f>Anchor!N9</f>
        <v>0</v>
      </c>
      <c r="F12" s="129">
        <f>Anchor!O9</f>
        <v>0</v>
      </c>
      <c r="G12" s="130">
        <f>('Summary (Full)'!$B$34*D12+'Summary (Full)'!$B$35*E12+'Summary (Full)'!$B$36*F12)/'Summary (Full)'!$B$37</f>
        <v>0</v>
      </c>
      <c r="H12" s="129">
        <f>Anchor!P9</f>
        <v>0</v>
      </c>
      <c r="I12" s="129">
        <f>Anchor!Q9</f>
        <v>0</v>
      </c>
      <c r="J12" s="129">
        <f>Anchor!R9</f>
        <v>0</v>
      </c>
      <c r="K12" s="129">
        <f>Anchor!S9</f>
        <v>0</v>
      </c>
      <c r="L12" s="129">
        <f>Anchor!T9</f>
        <v>0</v>
      </c>
      <c r="M12" s="129">
        <f>Anchor!U9</f>
        <v>0</v>
      </c>
      <c r="N12" s="129">
        <f>Anchor!V9</f>
        <v>0</v>
      </c>
      <c r="O12" s="129">
        <f>Anchor!W9</f>
        <v>0</v>
      </c>
      <c r="P12" s="129">
        <f>Anchor!X9</f>
        <v>0</v>
      </c>
      <c r="Q12" s="131">
        <f>10*LOG10(1/(('Summary (Full)'!$B$41/10^(N12/10)+'Summary (Full)'!$B$42/10^(O12/10)+'Summary (Full)'!$B$43/10^(P12/10))/'Summary (Full)'!$B$44))</f>
        <v>0</v>
      </c>
      <c r="R12" s="129">
        <f>Anchor!Y9</f>
        <v>0</v>
      </c>
      <c r="S12" s="129">
        <f>Anchor!Z9</f>
        <v>0</v>
      </c>
      <c r="T12" s="132"/>
      <c r="U12" s="129">
        <f>Test!L9</f>
        <v>0</v>
      </c>
      <c r="V12" s="129">
        <f>Test!M9</f>
        <v>0</v>
      </c>
      <c r="W12" s="129">
        <f>Test!N9</f>
        <v>0</v>
      </c>
      <c r="X12" s="129">
        <f>Test!O9</f>
        <v>0</v>
      </c>
      <c r="Y12" s="129">
        <f>('Summary (Full)'!$B$34*V12+'Summary (Full)'!$B$35*W12+'Summary (Full)'!$B$36*X12)/'Summary (Full)'!$B$37</f>
        <v>0</v>
      </c>
      <c r="Z12" s="129">
        <f>Test!P9</f>
        <v>0</v>
      </c>
      <c r="AA12" s="129">
        <f>Test!Q9</f>
        <v>0</v>
      </c>
      <c r="AB12" s="129">
        <f>Test!R9</f>
        <v>0</v>
      </c>
      <c r="AC12" s="129">
        <f>Test!S9</f>
        <v>0</v>
      </c>
      <c r="AD12" s="129">
        <f>Test!T9</f>
        <v>0</v>
      </c>
      <c r="AE12" s="129">
        <f>Test!U9</f>
        <v>0</v>
      </c>
      <c r="AF12" s="129">
        <f>Test!V9</f>
        <v>0</v>
      </c>
      <c r="AG12" s="129">
        <f>Test!W9</f>
        <v>0</v>
      </c>
      <c r="AH12" s="129">
        <f>Test!X9</f>
        <v>0</v>
      </c>
      <c r="AI12" s="129">
        <f>10*LOG10(1/(('Summary (Full)'!$B$41/10^(AF12/10)+'Summary (Full)'!$B$42/10^(AG12/10)+'Summary (Full)'!$B$43/10^(AH12/10))/'Summary (Full)'!$B$44))</f>
        <v>0</v>
      </c>
      <c r="AJ12" s="129">
        <f>Test!Y9</f>
        <v>0</v>
      </c>
      <c r="AK12" s="129">
        <f>Test!Z9</f>
        <v>0</v>
      </c>
      <c r="AL12" s="129" t="e">
        <f t="shared" si="2"/>
        <v>#DIV/0!</v>
      </c>
      <c r="AM12" s="129" t="e">
        <f t="shared" si="3"/>
        <v>#DIV/0!</v>
      </c>
      <c r="AO12" s="254"/>
      <c r="AP12" s="172"/>
      <c r="AQ12" s="172"/>
      <c r="AR12" s="172"/>
      <c r="AS12" s="172"/>
      <c r="AT12" s="172"/>
      <c r="AU12" s="172"/>
      <c r="AV12" s="172"/>
      <c r="AW12" s="172"/>
      <c r="AX12" s="172"/>
      <c r="AY12" s="175"/>
      <c r="AZ12" s="286"/>
      <c r="BA12" s="212"/>
      <c r="EV12" s="7"/>
      <c r="EW12" s="7"/>
      <c r="EX12" s="7"/>
      <c r="EY12" s="7"/>
      <c r="EZ12" s="7"/>
      <c r="FA12" s="7"/>
      <c r="FB12" s="7"/>
      <c r="FC12" s="7"/>
    </row>
    <row r="13" spans="1:175" ht="13" customHeight="1" x14ac:dyDescent="0.15">
      <c r="A13" s="249"/>
      <c r="B13" s="38">
        <v>160</v>
      </c>
      <c r="C13" s="129">
        <f>Anchor!L10</f>
        <v>0</v>
      </c>
      <c r="D13" s="129">
        <f>Anchor!M10</f>
        <v>0</v>
      </c>
      <c r="E13" s="129">
        <f>Anchor!N10</f>
        <v>0</v>
      </c>
      <c r="F13" s="129">
        <f>Anchor!O10</f>
        <v>0</v>
      </c>
      <c r="G13" s="130">
        <f>('Summary (Full)'!$B$34*D13+'Summary (Full)'!$B$35*E13+'Summary (Full)'!$B$36*F13)/'Summary (Full)'!$B$37</f>
        <v>0</v>
      </c>
      <c r="H13" s="129">
        <f>Anchor!P10</f>
        <v>0</v>
      </c>
      <c r="I13" s="129">
        <f>Anchor!Q10</f>
        <v>0</v>
      </c>
      <c r="J13" s="129">
        <f>Anchor!R10</f>
        <v>0</v>
      </c>
      <c r="K13" s="129">
        <f>Anchor!S10</f>
        <v>0</v>
      </c>
      <c r="L13" s="129">
        <f>Anchor!T10</f>
        <v>0</v>
      </c>
      <c r="M13" s="129">
        <f>Anchor!U10</f>
        <v>0</v>
      </c>
      <c r="N13" s="129">
        <f>Anchor!V10</f>
        <v>0</v>
      </c>
      <c r="O13" s="129">
        <f>Anchor!W10</f>
        <v>0</v>
      </c>
      <c r="P13" s="129">
        <f>Anchor!X10</f>
        <v>0</v>
      </c>
      <c r="Q13" s="131">
        <f>10*LOG10(1/(('Summary (Full)'!$B$41/10^(N13/10)+'Summary (Full)'!$B$42/10^(O13/10)+'Summary (Full)'!$B$43/10^(P13/10))/'Summary (Full)'!$B$44))</f>
        <v>0</v>
      </c>
      <c r="R13" s="129">
        <f>Anchor!Y10</f>
        <v>0</v>
      </c>
      <c r="S13" s="129">
        <f>Anchor!Z10</f>
        <v>0</v>
      </c>
      <c r="T13" s="132"/>
      <c r="U13" s="129">
        <f>Test!L10</f>
        <v>0</v>
      </c>
      <c r="V13" s="129">
        <f>Test!M10</f>
        <v>0</v>
      </c>
      <c r="W13" s="129">
        <f>Test!N10</f>
        <v>0</v>
      </c>
      <c r="X13" s="129">
        <f>Test!O10</f>
        <v>0</v>
      </c>
      <c r="Y13" s="129">
        <f>('Summary (Full)'!$B$34*V13+'Summary (Full)'!$B$35*W13+'Summary (Full)'!$B$36*X13)/'Summary (Full)'!$B$37</f>
        <v>0</v>
      </c>
      <c r="Z13" s="129">
        <f>Test!P10</f>
        <v>0</v>
      </c>
      <c r="AA13" s="129">
        <f>Test!Q10</f>
        <v>0</v>
      </c>
      <c r="AB13" s="129">
        <f>Test!R10</f>
        <v>0</v>
      </c>
      <c r="AC13" s="129">
        <f>Test!S10</f>
        <v>0</v>
      </c>
      <c r="AD13" s="129">
        <f>Test!T10</f>
        <v>0</v>
      </c>
      <c r="AE13" s="129">
        <f>Test!U10</f>
        <v>0</v>
      </c>
      <c r="AF13" s="129">
        <f>Test!V10</f>
        <v>0</v>
      </c>
      <c r="AG13" s="129">
        <f>Test!W10</f>
        <v>0</v>
      </c>
      <c r="AH13" s="129">
        <f>Test!X10</f>
        <v>0</v>
      </c>
      <c r="AI13" s="129">
        <f>10*LOG10(1/(('Summary (Full)'!$B$41/10^(AF13/10)+'Summary (Full)'!$B$42/10^(AG13/10)+'Summary (Full)'!$B$43/10^(AH13/10))/'Summary (Full)'!$B$44))</f>
        <v>0</v>
      </c>
      <c r="AJ13" s="129">
        <f>Test!Y10</f>
        <v>0</v>
      </c>
      <c r="AK13" s="129">
        <f>Test!Z10</f>
        <v>0</v>
      </c>
      <c r="AL13" s="129" t="e">
        <f t="shared" si="2"/>
        <v>#DIV/0!</v>
      </c>
      <c r="AM13" s="129" t="e">
        <f t="shared" si="3"/>
        <v>#DIV/0!</v>
      </c>
      <c r="AO13" s="254" t="s">
        <v>28</v>
      </c>
      <c r="AP13" s="172" t="e" cm="1">
        <f t="array" ref="AP13">bdRateExtend($C12:$C15,D12:D15,$U12:$U15,V12:V15)</f>
        <v>#VALUE!</v>
      </c>
      <c r="AQ13" s="172"/>
      <c r="AR13" s="172"/>
      <c r="AS13" s="172"/>
      <c r="AT13" s="172" t="e" cm="1">
        <f t="array" ref="AT13">bdRateExtend($C12:$C15,H12:H15,$U12:$U15,Z12:Z15)</f>
        <v>#VALUE!</v>
      </c>
      <c r="AU13" s="172"/>
      <c r="AV13" s="172" t="e" cm="1">
        <f t="array" ref="AV13">bdRateExtend($C12:$C15,I12:I15,$U12:$U15,AA12:AA15)</f>
        <v>#VALUE!</v>
      </c>
      <c r="AW13" s="172"/>
      <c r="AX13" s="172" t="e" cm="1">
        <f t="array" ref="AX13">bdRateExtend($C12:$C15,J12:J15,$U12:$U15,AB12:AB15,"None", FALSE,1)</f>
        <v>#VALUE!</v>
      </c>
      <c r="AY13" s="175"/>
      <c r="AZ13" s="286" cm="1">
        <f t="array" ref="AZ13">testVMAFRange($C12:$C15,J12:J15,$U12:$U15,AB12:AB15)</f>
        <v>0</v>
      </c>
      <c r="BA13" s="212"/>
      <c r="EV13" s="7"/>
      <c r="EW13" s="7"/>
      <c r="EX13" s="7"/>
      <c r="EY13" s="7"/>
      <c r="EZ13" s="7"/>
      <c r="FA13" s="7"/>
      <c r="FB13" s="7"/>
      <c r="FC13" s="7"/>
    </row>
    <row r="14" spans="1:175" x14ac:dyDescent="0.15">
      <c r="A14" s="249"/>
      <c r="B14" s="38">
        <v>185</v>
      </c>
      <c r="C14" s="129">
        <f>Anchor!L11</f>
        <v>0</v>
      </c>
      <c r="D14" s="129">
        <f>Anchor!M11</f>
        <v>0</v>
      </c>
      <c r="E14" s="129">
        <f>Anchor!N11</f>
        <v>0</v>
      </c>
      <c r="F14" s="129">
        <f>Anchor!O11</f>
        <v>0</v>
      </c>
      <c r="G14" s="130">
        <f>('Summary (Full)'!$B$34*D14+'Summary (Full)'!$B$35*E14+'Summary (Full)'!$B$36*F14)/'Summary (Full)'!$B$37</f>
        <v>0</v>
      </c>
      <c r="H14" s="129">
        <f>Anchor!P11</f>
        <v>0</v>
      </c>
      <c r="I14" s="129">
        <f>Anchor!Q11</f>
        <v>0</v>
      </c>
      <c r="J14" s="129">
        <f>Anchor!R11</f>
        <v>0</v>
      </c>
      <c r="K14" s="129">
        <f>Anchor!S11</f>
        <v>0</v>
      </c>
      <c r="L14" s="129">
        <f>Anchor!T11</f>
        <v>0</v>
      </c>
      <c r="M14" s="129">
        <f>Anchor!U11</f>
        <v>0</v>
      </c>
      <c r="N14" s="129">
        <f>Anchor!V11</f>
        <v>0</v>
      </c>
      <c r="O14" s="129">
        <f>Anchor!W11</f>
        <v>0</v>
      </c>
      <c r="P14" s="129">
        <f>Anchor!X11</f>
        <v>0</v>
      </c>
      <c r="Q14" s="131">
        <f>10*LOG10(1/(('Summary (Full)'!$B$41/10^(N14/10)+'Summary (Full)'!$B$42/10^(O14/10)+'Summary (Full)'!$B$43/10^(P14/10))/'Summary (Full)'!$B$44))</f>
        <v>0</v>
      </c>
      <c r="R14" s="129">
        <f>Anchor!Y11</f>
        <v>0</v>
      </c>
      <c r="S14" s="129">
        <f>Anchor!Z11</f>
        <v>0</v>
      </c>
      <c r="T14" s="132"/>
      <c r="U14" s="129">
        <f>Test!L11</f>
        <v>0</v>
      </c>
      <c r="V14" s="129">
        <f>Test!M11</f>
        <v>0</v>
      </c>
      <c r="W14" s="129">
        <f>Test!N11</f>
        <v>0</v>
      </c>
      <c r="X14" s="129">
        <f>Test!O11</f>
        <v>0</v>
      </c>
      <c r="Y14" s="129">
        <f>('Summary (Full)'!$B$34*V14+'Summary (Full)'!$B$35*W14+'Summary (Full)'!$B$36*X14)/'Summary (Full)'!$B$37</f>
        <v>0</v>
      </c>
      <c r="Z14" s="129">
        <f>Test!P11</f>
        <v>0</v>
      </c>
      <c r="AA14" s="129">
        <f>Test!Q11</f>
        <v>0</v>
      </c>
      <c r="AB14" s="129">
        <f>Test!R11</f>
        <v>0</v>
      </c>
      <c r="AC14" s="129">
        <f>Test!S11</f>
        <v>0</v>
      </c>
      <c r="AD14" s="129">
        <f>Test!T11</f>
        <v>0</v>
      </c>
      <c r="AE14" s="129">
        <f>Test!U11</f>
        <v>0</v>
      </c>
      <c r="AF14" s="129">
        <f>Test!V11</f>
        <v>0</v>
      </c>
      <c r="AG14" s="129">
        <f>Test!W11</f>
        <v>0</v>
      </c>
      <c r="AH14" s="129">
        <f>Test!X11</f>
        <v>0</v>
      </c>
      <c r="AI14" s="129">
        <f>10*LOG10(1/(('Summary (Full)'!$B$41/10^(AF14/10)+'Summary (Full)'!$B$42/10^(AG14/10)+'Summary (Full)'!$B$43/10^(AH14/10))/'Summary (Full)'!$B$44))</f>
        <v>0</v>
      </c>
      <c r="AJ14" s="129">
        <f>Test!Y11</f>
        <v>0</v>
      </c>
      <c r="AK14" s="129">
        <f>Test!Z11</f>
        <v>0</v>
      </c>
      <c r="AL14" s="129" t="e">
        <f t="shared" si="2"/>
        <v>#DIV/0!</v>
      </c>
      <c r="AM14" s="129" t="e">
        <f t="shared" si="3"/>
        <v>#DIV/0!</v>
      </c>
      <c r="AO14" s="254"/>
      <c r="AP14" s="172"/>
      <c r="AQ14" s="172"/>
      <c r="AR14" s="172"/>
      <c r="AS14" s="172"/>
      <c r="AT14" s="172"/>
      <c r="AU14" s="172"/>
      <c r="AV14" s="172"/>
      <c r="AW14" s="172"/>
      <c r="AX14" s="172"/>
      <c r="AY14" s="175"/>
      <c r="AZ14" s="286"/>
      <c r="BA14" s="212"/>
      <c r="EV14" s="7"/>
      <c r="EW14" s="7"/>
      <c r="EX14" s="7"/>
      <c r="EY14" s="7"/>
      <c r="EZ14" s="7"/>
      <c r="FA14" s="7"/>
      <c r="FB14" s="7"/>
      <c r="FC14" s="7"/>
    </row>
    <row r="15" spans="1:175" ht="13" customHeight="1" x14ac:dyDescent="0.15">
      <c r="A15" s="249"/>
      <c r="B15" s="38">
        <v>210</v>
      </c>
      <c r="C15" s="129">
        <f>Anchor!L12</f>
        <v>0</v>
      </c>
      <c r="D15" s="129">
        <f>Anchor!M12</f>
        <v>0</v>
      </c>
      <c r="E15" s="129">
        <f>Anchor!N12</f>
        <v>0</v>
      </c>
      <c r="F15" s="129">
        <f>Anchor!O12</f>
        <v>0</v>
      </c>
      <c r="G15" s="130">
        <f>('Summary (Full)'!$B$34*D15+'Summary (Full)'!$B$35*E15+'Summary (Full)'!$B$36*F15)/'Summary (Full)'!$B$37</f>
        <v>0</v>
      </c>
      <c r="H15" s="129">
        <f>Anchor!P12</f>
        <v>0</v>
      </c>
      <c r="I15" s="129">
        <f>Anchor!Q12</f>
        <v>0</v>
      </c>
      <c r="J15" s="129">
        <f>Anchor!R12</f>
        <v>0</v>
      </c>
      <c r="K15" s="129">
        <f>Anchor!S12</f>
        <v>0</v>
      </c>
      <c r="L15" s="129">
        <f>Anchor!T12</f>
        <v>0</v>
      </c>
      <c r="M15" s="129">
        <f>Anchor!U12</f>
        <v>0</v>
      </c>
      <c r="N15" s="129">
        <f>Anchor!V12</f>
        <v>0</v>
      </c>
      <c r="O15" s="129">
        <f>Anchor!W12</f>
        <v>0</v>
      </c>
      <c r="P15" s="129">
        <f>Anchor!X12</f>
        <v>0</v>
      </c>
      <c r="Q15" s="131">
        <f>10*LOG10(1/(('Summary (Full)'!$B$41/10^(N15/10)+'Summary (Full)'!$B$42/10^(O15/10)+'Summary (Full)'!$B$43/10^(P15/10))/'Summary (Full)'!$B$44))</f>
        <v>0</v>
      </c>
      <c r="R15" s="129">
        <f>Anchor!Y12</f>
        <v>0</v>
      </c>
      <c r="S15" s="129">
        <f>Anchor!Z12</f>
        <v>0</v>
      </c>
      <c r="T15" s="132"/>
      <c r="U15" s="129">
        <f>Test!L12</f>
        <v>0</v>
      </c>
      <c r="V15" s="129">
        <f>Test!M12</f>
        <v>0</v>
      </c>
      <c r="W15" s="129">
        <f>Test!N12</f>
        <v>0</v>
      </c>
      <c r="X15" s="129">
        <f>Test!O12</f>
        <v>0</v>
      </c>
      <c r="Y15" s="129">
        <f>('Summary (Full)'!$B$34*V15+'Summary (Full)'!$B$35*W15+'Summary (Full)'!$B$36*X15)/'Summary (Full)'!$B$37</f>
        <v>0</v>
      </c>
      <c r="Z15" s="129">
        <f>Test!P12</f>
        <v>0</v>
      </c>
      <c r="AA15" s="129">
        <f>Test!Q12</f>
        <v>0</v>
      </c>
      <c r="AB15" s="129">
        <f>Test!R12</f>
        <v>0</v>
      </c>
      <c r="AC15" s="129">
        <f>Test!S12</f>
        <v>0</v>
      </c>
      <c r="AD15" s="129">
        <f>Test!T12</f>
        <v>0</v>
      </c>
      <c r="AE15" s="129">
        <f>Test!U12</f>
        <v>0</v>
      </c>
      <c r="AF15" s="129">
        <f>Test!V12</f>
        <v>0</v>
      </c>
      <c r="AG15" s="129">
        <f>Test!W12</f>
        <v>0</v>
      </c>
      <c r="AH15" s="129">
        <f>Test!X12</f>
        <v>0</v>
      </c>
      <c r="AI15" s="129">
        <f>10*LOG10(1/(('Summary (Full)'!$B$41/10^(AF15/10)+'Summary (Full)'!$B$42/10^(AG15/10)+'Summary (Full)'!$B$43/10^(AH15/10))/'Summary (Full)'!$B$44))</f>
        <v>0</v>
      </c>
      <c r="AJ15" s="129">
        <f>Test!Y12</f>
        <v>0</v>
      </c>
      <c r="AK15" s="129">
        <f>Test!Z12</f>
        <v>0</v>
      </c>
      <c r="AL15" s="129" t="e">
        <f t="shared" si="2"/>
        <v>#DIV/0!</v>
      </c>
      <c r="AM15" s="129" t="e">
        <f t="shared" si="3"/>
        <v>#DIV/0!</v>
      </c>
      <c r="AO15" s="254" t="s">
        <v>29</v>
      </c>
      <c r="AP15" s="172" t="e" cm="1">
        <f t="array" ref="AP15">bdRateExtend($C13:$C16,D13:D16,$U13:$U16,V13:V16)</f>
        <v>#VALUE!</v>
      </c>
      <c r="AQ15" s="172"/>
      <c r="AR15" s="172"/>
      <c r="AS15" s="172"/>
      <c r="AT15" s="172" t="e" cm="1">
        <f t="array" ref="AT15">bdRateExtend($C13:$C16,H13:H16,$U13:$U16,Z13:Z16)</f>
        <v>#VALUE!</v>
      </c>
      <c r="AU15" s="172"/>
      <c r="AV15" s="172" t="e" cm="1">
        <f t="array" ref="AV15">bdRateExtend($C13:$C16,I13:I16,$U13:$U16,AA13:AA16)</f>
        <v>#VALUE!</v>
      </c>
      <c r="AW15" s="172"/>
      <c r="AX15" s="172" t="e" cm="1">
        <f t="array" ref="AX15">bdRateExtend($C13:$C16,J13:J16,$U13:$U16,AB13:AB16,"None", FALSE,1)</f>
        <v>#VALUE!</v>
      </c>
      <c r="AY15" s="175"/>
      <c r="AZ15" s="286" cm="1">
        <f t="array" ref="AZ15">testVMAFRange($C13:$C16,J13:J16,$U13:$U16,AB13:AB16)</f>
        <v>0</v>
      </c>
      <c r="BA15" s="212"/>
      <c r="EV15" s="7"/>
      <c r="EW15" s="7"/>
      <c r="EX15" s="7"/>
      <c r="EY15" s="7"/>
      <c r="EZ15" s="7"/>
      <c r="FA15" s="7"/>
      <c r="FB15" s="7"/>
      <c r="FC15" s="7"/>
    </row>
    <row r="16" spans="1:175" ht="14" thickBot="1" x14ac:dyDescent="0.2">
      <c r="A16" s="249"/>
      <c r="B16" s="38">
        <v>235</v>
      </c>
      <c r="C16" s="129">
        <f>Anchor!L13</f>
        <v>0</v>
      </c>
      <c r="D16" s="129">
        <f>Anchor!M13</f>
        <v>0</v>
      </c>
      <c r="E16" s="129">
        <f>Anchor!N13</f>
        <v>0</v>
      </c>
      <c r="F16" s="129">
        <f>Anchor!O13</f>
        <v>0</v>
      </c>
      <c r="G16" s="130">
        <f>('Summary (Full)'!$B$34*D16+'Summary (Full)'!$B$35*E16+'Summary (Full)'!$B$36*F16)/'Summary (Full)'!$B$37</f>
        <v>0</v>
      </c>
      <c r="H16" s="129">
        <f>Anchor!P13</f>
        <v>0</v>
      </c>
      <c r="I16" s="129">
        <f>Anchor!Q13</f>
        <v>0</v>
      </c>
      <c r="J16" s="129">
        <f>Anchor!R13</f>
        <v>0</v>
      </c>
      <c r="K16" s="129">
        <f>Anchor!S13</f>
        <v>0</v>
      </c>
      <c r="L16" s="129">
        <f>Anchor!T13</f>
        <v>0</v>
      </c>
      <c r="M16" s="129">
        <f>Anchor!U13</f>
        <v>0</v>
      </c>
      <c r="N16" s="129">
        <f>Anchor!V13</f>
        <v>0</v>
      </c>
      <c r="O16" s="129">
        <f>Anchor!W13</f>
        <v>0</v>
      </c>
      <c r="P16" s="129">
        <f>Anchor!X13</f>
        <v>0</v>
      </c>
      <c r="Q16" s="131">
        <f>10*LOG10(1/(('Summary (Full)'!$B$41/10^(N16/10)+'Summary (Full)'!$B$42/10^(O16/10)+'Summary (Full)'!$B$43/10^(P16/10))/'Summary (Full)'!$B$44))</f>
        <v>0</v>
      </c>
      <c r="R16" s="129">
        <f>Anchor!Y13</f>
        <v>0</v>
      </c>
      <c r="S16" s="129">
        <f>Anchor!Z13</f>
        <v>0</v>
      </c>
      <c r="T16" s="132"/>
      <c r="U16" s="129">
        <f>Test!L13</f>
        <v>0</v>
      </c>
      <c r="V16" s="129">
        <f>Test!M13</f>
        <v>0</v>
      </c>
      <c r="W16" s="129">
        <f>Test!N13</f>
        <v>0</v>
      </c>
      <c r="X16" s="129">
        <f>Test!O13</f>
        <v>0</v>
      </c>
      <c r="Y16" s="129">
        <f>('Summary (Full)'!$B$34*V16+'Summary (Full)'!$B$35*W16+'Summary (Full)'!$B$36*X16)/'Summary (Full)'!$B$37</f>
        <v>0</v>
      </c>
      <c r="Z16" s="129">
        <f>Test!P13</f>
        <v>0</v>
      </c>
      <c r="AA16" s="129">
        <f>Test!Q13</f>
        <v>0</v>
      </c>
      <c r="AB16" s="129">
        <f>Test!R13</f>
        <v>0</v>
      </c>
      <c r="AC16" s="129">
        <f>Test!S13</f>
        <v>0</v>
      </c>
      <c r="AD16" s="129">
        <f>Test!T13</f>
        <v>0</v>
      </c>
      <c r="AE16" s="129">
        <f>Test!U13</f>
        <v>0</v>
      </c>
      <c r="AF16" s="129">
        <f>Test!V13</f>
        <v>0</v>
      </c>
      <c r="AG16" s="129">
        <f>Test!W13</f>
        <v>0</v>
      </c>
      <c r="AH16" s="129">
        <f>Test!X13</f>
        <v>0</v>
      </c>
      <c r="AI16" s="129">
        <f>10*LOG10(1/(('Summary (Full)'!$B$41/10^(AF16/10)+'Summary (Full)'!$B$42/10^(AG16/10)+'Summary (Full)'!$B$43/10^(AH16/10))/'Summary (Full)'!$B$44))</f>
        <v>0</v>
      </c>
      <c r="AJ16" s="129">
        <f>Test!Y13</f>
        <v>0</v>
      </c>
      <c r="AK16" s="129">
        <f>Test!Z13</f>
        <v>0</v>
      </c>
      <c r="AL16" s="129" t="e">
        <f t="shared" si="2"/>
        <v>#DIV/0!</v>
      </c>
      <c r="AM16" s="129" t="e">
        <f t="shared" si="3"/>
        <v>#DIV/0!</v>
      </c>
      <c r="AO16" s="263"/>
      <c r="AP16" s="173"/>
      <c r="AQ16" s="173"/>
      <c r="AR16" s="173"/>
      <c r="AS16" s="173"/>
      <c r="AT16" s="173"/>
      <c r="AU16" s="173"/>
      <c r="AV16" s="173"/>
      <c r="AW16" s="173"/>
      <c r="AX16" s="173"/>
      <c r="AY16" s="188"/>
      <c r="AZ16" s="287"/>
      <c r="BA16" s="240"/>
      <c r="EV16" s="7"/>
      <c r="EW16" s="7"/>
      <c r="EX16" s="7"/>
      <c r="EY16" s="7"/>
      <c r="EZ16" s="7"/>
      <c r="FA16" s="7"/>
      <c r="FB16" s="7"/>
      <c r="FC16" s="7"/>
    </row>
    <row r="17" spans="1:159" ht="13" customHeight="1" x14ac:dyDescent="0.15">
      <c r="A17" s="249" t="s">
        <v>8</v>
      </c>
      <c r="B17" s="38">
        <v>110</v>
      </c>
      <c r="C17" s="129">
        <f>Anchor!L14</f>
        <v>0</v>
      </c>
      <c r="D17" s="129">
        <f>Anchor!M14</f>
        <v>0</v>
      </c>
      <c r="E17" s="129">
        <f>Anchor!N14</f>
        <v>0</v>
      </c>
      <c r="F17" s="129">
        <f>Anchor!O14</f>
        <v>0</v>
      </c>
      <c r="G17" s="130">
        <f>('Summary (Full)'!$B$34*D17+'Summary (Full)'!$B$35*E17+'Summary (Full)'!$B$36*F17)/'Summary (Full)'!$B$37</f>
        <v>0</v>
      </c>
      <c r="H17" s="129">
        <f>Anchor!P14</f>
        <v>0</v>
      </c>
      <c r="I17" s="129">
        <f>Anchor!Q14</f>
        <v>0</v>
      </c>
      <c r="J17" s="129">
        <f>Anchor!R14</f>
        <v>0</v>
      </c>
      <c r="K17" s="129">
        <f>Anchor!S14</f>
        <v>0</v>
      </c>
      <c r="L17" s="129">
        <f>Anchor!T14</f>
        <v>0</v>
      </c>
      <c r="M17" s="129">
        <f>Anchor!U14</f>
        <v>0</v>
      </c>
      <c r="N17" s="129">
        <f>Anchor!V14</f>
        <v>0</v>
      </c>
      <c r="O17" s="129">
        <f>Anchor!W14</f>
        <v>0</v>
      </c>
      <c r="P17" s="129">
        <f>Anchor!X14</f>
        <v>0</v>
      </c>
      <c r="Q17" s="131">
        <f>10*LOG10(1/(('Summary (Full)'!$B$41/10^(N17/10)+'Summary (Full)'!$B$42/10^(O17/10)+'Summary (Full)'!$B$43/10^(P17/10))/'Summary (Full)'!$B$44))</f>
        <v>0</v>
      </c>
      <c r="R17" s="129">
        <f>Anchor!Y14</f>
        <v>0</v>
      </c>
      <c r="S17" s="129">
        <f>Anchor!Z14</f>
        <v>0</v>
      </c>
      <c r="T17" s="132"/>
      <c r="U17" s="129">
        <f>Test!L14</f>
        <v>0</v>
      </c>
      <c r="V17" s="129">
        <f>Test!M14</f>
        <v>0</v>
      </c>
      <c r="W17" s="129">
        <f>Test!N14</f>
        <v>0</v>
      </c>
      <c r="X17" s="129">
        <f>Test!O14</f>
        <v>0</v>
      </c>
      <c r="Y17" s="129">
        <f>('Summary (Full)'!$B$34*V17+'Summary (Full)'!$B$35*W17+'Summary (Full)'!$B$36*X17)/'Summary (Full)'!$B$37</f>
        <v>0</v>
      </c>
      <c r="Z17" s="129">
        <f>Test!P14</f>
        <v>0</v>
      </c>
      <c r="AA17" s="129">
        <f>Test!Q14</f>
        <v>0</v>
      </c>
      <c r="AB17" s="129">
        <f>Test!R14</f>
        <v>0</v>
      </c>
      <c r="AC17" s="129">
        <f>Test!S14</f>
        <v>0</v>
      </c>
      <c r="AD17" s="129">
        <f>Test!T14</f>
        <v>0</v>
      </c>
      <c r="AE17" s="129">
        <f>Test!U14</f>
        <v>0</v>
      </c>
      <c r="AF17" s="129">
        <f>Test!V14</f>
        <v>0</v>
      </c>
      <c r="AG17" s="129">
        <f>Test!W14</f>
        <v>0</v>
      </c>
      <c r="AH17" s="129">
        <f>Test!X14</f>
        <v>0</v>
      </c>
      <c r="AI17" s="129">
        <f>10*LOG10(1/(('Summary (Full)'!$B$41/10^(AF17/10)+'Summary (Full)'!$B$42/10^(AG17/10)+'Summary (Full)'!$B$43/10^(AH17/10))/'Summary (Full)'!$B$44))</f>
        <v>0</v>
      </c>
      <c r="AJ17" s="129">
        <f>Test!Y14</f>
        <v>0</v>
      </c>
      <c r="AK17" s="129">
        <f>Test!Z14</f>
        <v>0</v>
      </c>
      <c r="AL17" s="129" t="e">
        <f t="shared" si="2"/>
        <v>#DIV/0!</v>
      </c>
      <c r="AM17" s="129" t="e">
        <f t="shared" si="3"/>
        <v>#DIV/0!</v>
      </c>
      <c r="AO17" s="253" t="s">
        <v>27</v>
      </c>
      <c r="AP17" s="171" t="e" cm="1">
        <f t="array" ref="AP17">bdRateExtend($C17:$C20,D17:D20,$U17:$U20,V17:V20)</f>
        <v>#VALUE!</v>
      </c>
      <c r="AQ17" s="171" t="e" cm="1">
        <f t="array" ref="AQ17">bdRateExtend($C17:$C22,D17:D22,$U17:$U22,V17:V22)</f>
        <v>#VALUE!</v>
      </c>
      <c r="AR17" s="171" t="e" cm="1">
        <f t="array" ref="AR17">bdRateExtend($C17:$C22,E17:E22,$U17:$U22,W17:W22)</f>
        <v>#VALUE!</v>
      </c>
      <c r="AS17" s="171" t="e" cm="1">
        <f t="array" ref="AS17">bdRateExtend($C17:$C22,F17:F22,$U17:$U22,X17:X22)</f>
        <v>#VALUE!</v>
      </c>
      <c r="AT17" s="171" t="e" cm="1">
        <f t="array" ref="AT17">bdRateExtend($C17:$C20,H17:H20,$U17:$U20,Z17:Z20)</f>
        <v>#VALUE!</v>
      </c>
      <c r="AU17" s="171" t="e" cm="1">
        <f t="array" ref="AU17">bdRateExtend($C17:$C22,H17:H22,$U17:$U22,Z17:Z22)</f>
        <v>#VALUE!</v>
      </c>
      <c r="AV17" s="171" t="e" cm="1">
        <f t="array" ref="AV17">bdRateExtend($C17:$C20,I17:I20,$U17:$U20,AA17:AA20)</f>
        <v>#VALUE!</v>
      </c>
      <c r="AW17" s="171" t="e" cm="1">
        <f t="array" ref="AW17">bdRateExtend($C17:$C22,I17:I22,$U17:$U22,AA17:AA22)</f>
        <v>#VALUE!</v>
      </c>
      <c r="AX17" s="171" t="e" cm="1">
        <f t="array" ref="AX17">bdRateExtend($C17:$C20,J17:J20,$U17:$U20,AB17:AB20,"None", FALSE,1)</f>
        <v>#VALUE!</v>
      </c>
      <c r="AY17" s="174" t="e" cm="1">
        <f t="array" ref="AY17">bdRateExtend($C17:$C22,J17:J22,$U17:$U22,AB17:AB22,"None", FALSE,TRUE)</f>
        <v>#VALUE!</v>
      </c>
      <c r="AZ17" s="285" cm="1">
        <f t="array" ref="AZ17">testVMAFRange($C17:$C20,J17:J20,$U17:$U20,AB17:AB20)</f>
        <v>0</v>
      </c>
      <c r="BA17" s="211" cm="1">
        <f t="array" ref="BA17">testVMAFRange($C17:$C22,J17:J22,$U17:$U22,AB17:AB22)</f>
        <v>0</v>
      </c>
      <c r="EV17" s="7"/>
      <c r="EW17" s="7"/>
      <c r="EX17" s="7"/>
      <c r="EY17" s="7"/>
      <c r="EZ17" s="7"/>
      <c r="FA17" s="7"/>
      <c r="FB17" s="7"/>
      <c r="FC17" s="7"/>
    </row>
    <row r="18" spans="1:159" x14ac:dyDescent="0.15">
      <c r="A18" s="249"/>
      <c r="B18" s="38">
        <v>135</v>
      </c>
      <c r="C18" s="129">
        <f>Anchor!L15</f>
        <v>0</v>
      </c>
      <c r="D18" s="129">
        <f>Anchor!M15</f>
        <v>0</v>
      </c>
      <c r="E18" s="129">
        <f>Anchor!N15</f>
        <v>0</v>
      </c>
      <c r="F18" s="129">
        <f>Anchor!O15</f>
        <v>0</v>
      </c>
      <c r="G18" s="130">
        <f>('Summary (Full)'!$B$34*D18+'Summary (Full)'!$B$35*E18+'Summary (Full)'!$B$36*F18)/'Summary (Full)'!$B$37</f>
        <v>0</v>
      </c>
      <c r="H18" s="129">
        <f>Anchor!P15</f>
        <v>0</v>
      </c>
      <c r="I18" s="129">
        <f>Anchor!Q15</f>
        <v>0</v>
      </c>
      <c r="J18" s="129">
        <f>Anchor!R15</f>
        <v>0</v>
      </c>
      <c r="K18" s="129">
        <f>Anchor!S15</f>
        <v>0</v>
      </c>
      <c r="L18" s="129">
        <f>Anchor!T15</f>
        <v>0</v>
      </c>
      <c r="M18" s="129">
        <f>Anchor!U15</f>
        <v>0</v>
      </c>
      <c r="N18" s="129">
        <f>Anchor!V15</f>
        <v>0</v>
      </c>
      <c r="O18" s="129">
        <f>Anchor!W15</f>
        <v>0</v>
      </c>
      <c r="P18" s="129">
        <f>Anchor!X15</f>
        <v>0</v>
      </c>
      <c r="Q18" s="131">
        <f>10*LOG10(1/(('Summary (Full)'!$B$41/10^(N18/10)+'Summary (Full)'!$B$42/10^(O18/10)+'Summary (Full)'!$B$43/10^(P18/10))/'Summary (Full)'!$B$44))</f>
        <v>0</v>
      </c>
      <c r="R18" s="129">
        <f>Anchor!Y15</f>
        <v>0</v>
      </c>
      <c r="S18" s="129">
        <f>Anchor!Z15</f>
        <v>0</v>
      </c>
      <c r="T18" s="132"/>
      <c r="U18" s="129">
        <f>Test!L15</f>
        <v>0</v>
      </c>
      <c r="V18" s="129">
        <f>Test!M15</f>
        <v>0</v>
      </c>
      <c r="W18" s="129">
        <f>Test!N15</f>
        <v>0</v>
      </c>
      <c r="X18" s="129">
        <f>Test!O15</f>
        <v>0</v>
      </c>
      <c r="Y18" s="129">
        <f>('Summary (Full)'!$B$34*V18+'Summary (Full)'!$B$35*W18+'Summary (Full)'!$B$36*X18)/'Summary (Full)'!$B$37</f>
        <v>0</v>
      </c>
      <c r="Z18" s="129">
        <f>Test!P15</f>
        <v>0</v>
      </c>
      <c r="AA18" s="129">
        <f>Test!Q15</f>
        <v>0</v>
      </c>
      <c r="AB18" s="129">
        <f>Test!R15</f>
        <v>0</v>
      </c>
      <c r="AC18" s="129">
        <f>Test!S15</f>
        <v>0</v>
      </c>
      <c r="AD18" s="129">
        <f>Test!T15</f>
        <v>0</v>
      </c>
      <c r="AE18" s="129">
        <f>Test!U15</f>
        <v>0</v>
      </c>
      <c r="AF18" s="129">
        <f>Test!V15</f>
        <v>0</v>
      </c>
      <c r="AG18" s="129">
        <f>Test!W15</f>
        <v>0</v>
      </c>
      <c r="AH18" s="129">
        <f>Test!X15</f>
        <v>0</v>
      </c>
      <c r="AI18" s="129">
        <f>10*LOG10(1/(('Summary (Full)'!$B$41/10^(AF18/10)+'Summary (Full)'!$B$42/10^(AG18/10)+'Summary (Full)'!$B$43/10^(AH18/10))/'Summary (Full)'!$B$44))</f>
        <v>0</v>
      </c>
      <c r="AJ18" s="129">
        <f>Test!Y15</f>
        <v>0</v>
      </c>
      <c r="AK18" s="129">
        <f>Test!Z15</f>
        <v>0</v>
      </c>
      <c r="AL18" s="129" t="e">
        <f t="shared" si="2"/>
        <v>#DIV/0!</v>
      </c>
      <c r="AM18" s="129" t="e">
        <f t="shared" si="3"/>
        <v>#DIV/0!</v>
      </c>
      <c r="AO18" s="254"/>
      <c r="AP18" s="172"/>
      <c r="AQ18" s="172"/>
      <c r="AR18" s="172"/>
      <c r="AS18" s="172"/>
      <c r="AT18" s="172"/>
      <c r="AU18" s="172"/>
      <c r="AV18" s="172"/>
      <c r="AW18" s="172"/>
      <c r="AX18" s="172"/>
      <c r="AY18" s="175"/>
      <c r="AZ18" s="286"/>
      <c r="BA18" s="212"/>
      <c r="EV18" s="7"/>
      <c r="EW18" s="7"/>
      <c r="EX18" s="7"/>
      <c r="EY18" s="7"/>
      <c r="EZ18" s="7"/>
      <c r="FA18" s="7"/>
      <c r="FB18" s="7"/>
      <c r="FC18" s="7"/>
    </row>
    <row r="19" spans="1:159" ht="13" customHeight="1" x14ac:dyDescent="0.15">
      <c r="A19" s="249"/>
      <c r="B19" s="38">
        <v>160</v>
      </c>
      <c r="C19" s="129">
        <f>Anchor!L16</f>
        <v>0</v>
      </c>
      <c r="D19" s="129">
        <f>Anchor!M16</f>
        <v>0</v>
      </c>
      <c r="E19" s="129">
        <f>Anchor!N16</f>
        <v>0</v>
      </c>
      <c r="F19" s="129">
        <f>Anchor!O16</f>
        <v>0</v>
      </c>
      <c r="G19" s="130">
        <f>('Summary (Full)'!$B$34*D19+'Summary (Full)'!$B$35*E19+'Summary (Full)'!$B$36*F19)/'Summary (Full)'!$B$37</f>
        <v>0</v>
      </c>
      <c r="H19" s="129">
        <f>Anchor!P16</f>
        <v>0</v>
      </c>
      <c r="I19" s="129">
        <f>Anchor!Q16</f>
        <v>0</v>
      </c>
      <c r="J19" s="129">
        <f>Anchor!R16</f>
        <v>0</v>
      </c>
      <c r="K19" s="129">
        <f>Anchor!S16</f>
        <v>0</v>
      </c>
      <c r="L19" s="129">
        <f>Anchor!T16</f>
        <v>0</v>
      </c>
      <c r="M19" s="129">
        <f>Anchor!U16</f>
        <v>0</v>
      </c>
      <c r="N19" s="129">
        <f>Anchor!V16</f>
        <v>0</v>
      </c>
      <c r="O19" s="129">
        <f>Anchor!W16</f>
        <v>0</v>
      </c>
      <c r="P19" s="129">
        <f>Anchor!X16</f>
        <v>0</v>
      </c>
      <c r="Q19" s="131">
        <f>10*LOG10(1/(('Summary (Full)'!$B$41/10^(N19/10)+'Summary (Full)'!$B$42/10^(O19/10)+'Summary (Full)'!$B$43/10^(P19/10))/'Summary (Full)'!$B$44))</f>
        <v>0</v>
      </c>
      <c r="R19" s="129">
        <f>Anchor!Y16</f>
        <v>0</v>
      </c>
      <c r="S19" s="129">
        <f>Anchor!Z16</f>
        <v>0</v>
      </c>
      <c r="T19" s="132"/>
      <c r="U19" s="129">
        <f>Test!L16</f>
        <v>0</v>
      </c>
      <c r="V19" s="129">
        <f>Test!M16</f>
        <v>0</v>
      </c>
      <c r="W19" s="129">
        <f>Test!N16</f>
        <v>0</v>
      </c>
      <c r="X19" s="129">
        <f>Test!O16</f>
        <v>0</v>
      </c>
      <c r="Y19" s="129">
        <f>('Summary (Full)'!$B$34*V19+'Summary (Full)'!$B$35*W19+'Summary (Full)'!$B$36*X19)/'Summary (Full)'!$B$37</f>
        <v>0</v>
      </c>
      <c r="Z19" s="129">
        <f>Test!P16</f>
        <v>0</v>
      </c>
      <c r="AA19" s="129">
        <f>Test!Q16</f>
        <v>0</v>
      </c>
      <c r="AB19" s="129">
        <f>Test!R16</f>
        <v>0</v>
      </c>
      <c r="AC19" s="129">
        <f>Test!S16</f>
        <v>0</v>
      </c>
      <c r="AD19" s="129">
        <f>Test!T16</f>
        <v>0</v>
      </c>
      <c r="AE19" s="129">
        <f>Test!U16</f>
        <v>0</v>
      </c>
      <c r="AF19" s="129">
        <f>Test!V16</f>
        <v>0</v>
      </c>
      <c r="AG19" s="129">
        <f>Test!W16</f>
        <v>0</v>
      </c>
      <c r="AH19" s="129">
        <f>Test!X16</f>
        <v>0</v>
      </c>
      <c r="AI19" s="129">
        <f>10*LOG10(1/(('Summary (Full)'!$B$41/10^(AF19/10)+'Summary (Full)'!$B$42/10^(AG19/10)+'Summary (Full)'!$B$43/10^(AH19/10))/'Summary (Full)'!$B$44))</f>
        <v>0</v>
      </c>
      <c r="AJ19" s="129">
        <f>Test!Y16</f>
        <v>0</v>
      </c>
      <c r="AK19" s="129">
        <f>Test!Z16</f>
        <v>0</v>
      </c>
      <c r="AL19" s="129" t="e">
        <f t="shared" si="2"/>
        <v>#DIV/0!</v>
      </c>
      <c r="AM19" s="129" t="e">
        <f t="shared" si="3"/>
        <v>#DIV/0!</v>
      </c>
      <c r="AO19" s="254" t="s">
        <v>28</v>
      </c>
      <c r="AP19" s="172" t="e" cm="1">
        <f t="array" ref="AP19">bdRateExtend($C18:$C21,D18:D21,$U18:$U21,V18:V21)</f>
        <v>#VALUE!</v>
      </c>
      <c r="AQ19" s="172"/>
      <c r="AR19" s="172"/>
      <c r="AS19" s="172"/>
      <c r="AT19" s="172" t="e" cm="1">
        <f t="array" ref="AT19">bdRateExtend($C18:$C21,H18:H21,$U18:$U21,Z18:Z21)</f>
        <v>#VALUE!</v>
      </c>
      <c r="AU19" s="172"/>
      <c r="AV19" s="172" t="e" cm="1">
        <f t="array" ref="AV19">bdRateExtend($C18:$C21,I18:I21,$U18:$U21,AA18:AA21)</f>
        <v>#VALUE!</v>
      </c>
      <c r="AW19" s="172"/>
      <c r="AX19" s="172" t="e" cm="1">
        <f t="array" ref="AX19">bdRateExtend($C18:$C21,J18:J21,$U18:$U21,AB18:AB21,"None", FALSE,1)</f>
        <v>#VALUE!</v>
      </c>
      <c r="AY19" s="175"/>
      <c r="AZ19" s="286" cm="1">
        <f t="array" ref="AZ19">testVMAFRange($C18:$C21,J18:J21,$U18:$U21,AB18:AB21)</f>
        <v>0</v>
      </c>
      <c r="BA19" s="212"/>
      <c r="EV19" s="7"/>
      <c r="EW19" s="7"/>
      <c r="EX19" s="7"/>
      <c r="EY19" s="7"/>
      <c r="EZ19" s="7"/>
      <c r="FA19" s="7"/>
      <c r="FB19" s="7"/>
      <c r="FC19" s="7"/>
    </row>
    <row r="20" spans="1:159" x14ac:dyDescent="0.15">
      <c r="A20" s="249"/>
      <c r="B20" s="38">
        <v>185</v>
      </c>
      <c r="C20" s="129">
        <f>Anchor!L17</f>
        <v>0</v>
      </c>
      <c r="D20" s="129">
        <f>Anchor!M17</f>
        <v>0</v>
      </c>
      <c r="E20" s="129">
        <f>Anchor!N17</f>
        <v>0</v>
      </c>
      <c r="F20" s="129">
        <f>Anchor!O17</f>
        <v>0</v>
      </c>
      <c r="G20" s="130">
        <f>('Summary (Full)'!$B$34*D20+'Summary (Full)'!$B$35*E20+'Summary (Full)'!$B$36*F20)/'Summary (Full)'!$B$37</f>
        <v>0</v>
      </c>
      <c r="H20" s="129">
        <f>Anchor!P17</f>
        <v>0</v>
      </c>
      <c r="I20" s="129">
        <f>Anchor!Q17</f>
        <v>0</v>
      </c>
      <c r="J20" s="129">
        <f>Anchor!R17</f>
        <v>0</v>
      </c>
      <c r="K20" s="129">
        <f>Anchor!S17</f>
        <v>0</v>
      </c>
      <c r="L20" s="129">
        <f>Anchor!T17</f>
        <v>0</v>
      </c>
      <c r="M20" s="129">
        <f>Anchor!U17</f>
        <v>0</v>
      </c>
      <c r="N20" s="129">
        <f>Anchor!V17</f>
        <v>0</v>
      </c>
      <c r="O20" s="129">
        <f>Anchor!W17</f>
        <v>0</v>
      </c>
      <c r="P20" s="129">
        <f>Anchor!X17</f>
        <v>0</v>
      </c>
      <c r="Q20" s="131">
        <f>10*LOG10(1/(('Summary (Full)'!$B$41/10^(N20/10)+'Summary (Full)'!$B$42/10^(O20/10)+'Summary (Full)'!$B$43/10^(P20/10))/'Summary (Full)'!$B$44))</f>
        <v>0</v>
      </c>
      <c r="R20" s="129">
        <f>Anchor!Y17</f>
        <v>0</v>
      </c>
      <c r="S20" s="129">
        <f>Anchor!Z17</f>
        <v>0</v>
      </c>
      <c r="T20" s="132"/>
      <c r="U20" s="129">
        <f>Test!L17</f>
        <v>0</v>
      </c>
      <c r="V20" s="129">
        <f>Test!M17</f>
        <v>0</v>
      </c>
      <c r="W20" s="129">
        <f>Test!N17</f>
        <v>0</v>
      </c>
      <c r="X20" s="129">
        <f>Test!O17</f>
        <v>0</v>
      </c>
      <c r="Y20" s="129">
        <f>('Summary (Full)'!$B$34*V20+'Summary (Full)'!$B$35*W20+'Summary (Full)'!$B$36*X20)/'Summary (Full)'!$B$37</f>
        <v>0</v>
      </c>
      <c r="Z20" s="129">
        <f>Test!P17</f>
        <v>0</v>
      </c>
      <c r="AA20" s="129">
        <f>Test!Q17</f>
        <v>0</v>
      </c>
      <c r="AB20" s="129">
        <f>Test!R17</f>
        <v>0</v>
      </c>
      <c r="AC20" s="129">
        <f>Test!S17</f>
        <v>0</v>
      </c>
      <c r="AD20" s="129">
        <f>Test!T17</f>
        <v>0</v>
      </c>
      <c r="AE20" s="129">
        <f>Test!U17</f>
        <v>0</v>
      </c>
      <c r="AF20" s="129">
        <f>Test!V17</f>
        <v>0</v>
      </c>
      <c r="AG20" s="129">
        <f>Test!W17</f>
        <v>0</v>
      </c>
      <c r="AH20" s="129">
        <f>Test!X17</f>
        <v>0</v>
      </c>
      <c r="AI20" s="129">
        <f>10*LOG10(1/(('Summary (Full)'!$B$41/10^(AF20/10)+'Summary (Full)'!$B$42/10^(AG20/10)+'Summary (Full)'!$B$43/10^(AH20/10))/'Summary (Full)'!$B$44))</f>
        <v>0</v>
      </c>
      <c r="AJ20" s="129">
        <f>Test!Y17</f>
        <v>0</v>
      </c>
      <c r="AK20" s="129">
        <f>Test!Z17</f>
        <v>0</v>
      </c>
      <c r="AL20" s="129" t="e">
        <f t="shared" si="2"/>
        <v>#DIV/0!</v>
      </c>
      <c r="AM20" s="129" t="e">
        <f t="shared" si="3"/>
        <v>#DIV/0!</v>
      </c>
      <c r="AO20" s="254"/>
      <c r="AP20" s="172"/>
      <c r="AQ20" s="172"/>
      <c r="AR20" s="172"/>
      <c r="AS20" s="172"/>
      <c r="AT20" s="172"/>
      <c r="AU20" s="172"/>
      <c r="AV20" s="172"/>
      <c r="AW20" s="172"/>
      <c r="AX20" s="172"/>
      <c r="AY20" s="175"/>
      <c r="AZ20" s="286"/>
      <c r="BA20" s="212"/>
      <c r="EV20" s="7"/>
      <c r="EW20" s="7"/>
      <c r="EX20" s="7"/>
      <c r="EY20" s="7"/>
      <c r="EZ20" s="7"/>
      <c r="FA20" s="7"/>
      <c r="FB20" s="7"/>
      <c r="FC20" s="7"/>
    </row>
    <row r="21" spans="1:159" ht="13" customHeight="1" x14ac:dyDescent="0.15">
      <c r="A21" s="249"/>
      <c r="B21" s="38">
        <v>210</v>
      </c>
      <c r="C21" s="129">
        <f>Anchor!L18</f>
        <v>0</v>
      </c>
      <c r="D21" s="129">
        <f>Anchor!M18</f>
        <v>0</v>
      </c>
      <c r="E21" s="129">
        <f>Anchor!N18</f>
        <v>0</v>
      </c>
      <c r="F21" s="129">
        <f>Anchor!O18</f>
        <v>0</v>
      </c>
      <c r="G21" s="130">
        <f>('Summary (Full)'!$B$34*D21+'Summary (Full)'!$B$35*E21+'Summary (Full)'!$B$36*F21)/'Summary (Full)'!$B$37</f>
        <v>0</v>
      </c>
      <c r="H21" s="129">
        <f>Anchor!P18</f>
        <v>0</v>
      </c>
      <c r="I21" s="129">
        <f>Anchor!Q18</f>
        <v>0</v>
      </c>
      <c r="J21" s="129">
        <f>Anchor!R18</f>
        <v>0</v>
      </c>
      <c r="K21" s="129">
        <f>Anchor!S18</f>
        <v>0</v>
      </c>
      <c r="L21" s="129">
        <f>Anchor!T18</f>
        <v>0</v>
      </c>
      <c r="M21" s="129">
        <f>Anchor!U18</f>
        <v>0</v>
      </c>
      <c r="N21" s="129">
        <f>Anchor!V18</f>
        <v>0</v>
      </c>
      <c r="O21" s="129">
        <f>Anchor!W18</f>
        <v>0</v>
      </c>
      <c r="P21" s="129">
        <f>Anchor!X18</f>
        <v>0</v>
      </c>
      <c r="Q21" s="131">
        <f>10*LOG10(1/(('Summary (Full)'!$B$41/10^(N21/10)+'Summary (Full)'!$B$42/10^(O21/10)+'Summary (Full)'!$B$43/10^(P21/10))/'Summary (Full)'!$B$44))</f>
        <v>0</v>
      </c>
      <c r="R21" s="129">
        <f>Anchor!Y18</f>
        <v>0</v>
      </c>
      <c r="S21" s="129">
        <f>Anchor!Z18</f>
        <v>0</v>
      </c>
      <c r="T21" s="132"/>
      <c r="U21" s="129">
        <f>Test!L18</f>
        <v>0</v>
      </c>
      <c r="V21" s="129">
        <f>Test!M18</f>
        <v>0</v>
      </c>
      <c r="W21" s="129">
        <f>Test!N18</f>
        <v>0</v>
      </c>
      <c r="X21" s="129">
        <f>Test!O18</f>
        <v>0</v>
      </c>
      <c r="Y21" s="129">
        <f>('Summary (Full)'!$B$34*V21+'Summary (Full)'!$B$35*W21+'Summary (Full)'!$B$36*X21)/'Summary (Full)'!$B$37</f>
        <v>0</v>
      </c>
      <c r="Z21" s="129">
        <f>Test!P18</f>
        <v>0</v>
      </c>
      <c r="AA21" s="129">
        <f>Test!Q18</f>
        <v>0</v>
      </c>
      <c r="AB21" s="129">
        <f>Test!R18</f>
        <v>0</v>
      </c>
      <c r="AC21" s="129">
        <f>Test!S18</f>
        <v>0</v>
      </c>
      <c r="AD21" s="129">
        <f>Test!T18</f>
        <v>0</v>
      </c>
      <c r="AE21" s="129">
        <f>Test!U18</f>
        <v>0</v>
      </c>
      <c r="AF21" s="129">
        <f>Test!V18</f>
        <v>0</v>
      </c>
      <c r="AG21" s="129">
        <f>Test!W18</f>
        <v>0</v>
      </c>
      <c r="AH21" s="129">
        <f>Test!X18</f>
        <v>0</v>
      </c>
      <c r="AI21" s="129">
        <f>10*LOG10(1/(('Summary (Full)'!$B$41/10^(AF21/10)+'Summary (Full)'!$B$42/10^(AG21/10)+'Summary (Full)'!$B$43/10^(AH21/10))/'Summary (Full)'!$B$44))</f>
        <v>0</v>
      </c>
      <c r="AJ21" s="129">
        <f>Test!Y18</f>
        <v>0</v>
      </c>
      <c r="AK21" s="129">
        <f>Test!Z18</f>
        <v>0</v>
      </c>
      <c r="AL21" s="129" t="e">
        <f t="shared" si="2"/>
        <v>#DIV/0!</v>
      </c>
      <c r="AM21" s="129" t="e">
        <f t="shared" si="3"/>
        <v>#DIV/0!</v>
      </c>
      <c r="AO21" s="254" t="s">
        <v>29</v>
      </c>
      <c r="AP21" s="172" t="e" cm="1">
        <f t="array" ref="AP21">bdRateExtend($C19:$C22,D19:D22,$U19:$U22,V19:V22)</f>
        <v>#VALUE!</v>
      </c>
      <c r="AQ21" s="172"/>
      <c r="AR21" s="172"/>
      <c r="AS21" s="172"/>
      <c r="AT21" s="172" t="e" cm="1">
        <f t="array" ref="AT21">bdRateExtend($C19:$C22,H19:H22,$U19:$U22,Z19:Z22)</f>
        <v>#VALUE!</v>
      </c>
      <c r="AU21" s="172"/>
      <c r="AV21" s="172" t="e" cm="1">
        <f t="array" ref="AV21">bdRateExtend($C19:$C22,I19:I22,$U19:$U22,AA19:AA22)</f>
        <v>#VALUE!</v>
      </c>
      <c r="AW21" s="172"/>
      <c r="AX21" s="172" t="e" cm="1">
        <f t="array" ref="AX21">bdRateExtend($C19:$C22,J19:J22,$U19:$U22,AB19:AB22,"None", FALSE,1)</f>
        <v>#VALUE!</v>
      </c>
      <c r="AY21" s="175"/>
      <c r="AZ21" s="286" cm="1">
        <f t="array" ref="AZ21">testVMAFRange($C19:$C22,J19:J22,$U19:$U22,AB19:AB22)</f>
        <v>0</v>
      </c>
      <c r="BA21" s="212"/>
      <c r="EV21" s="7"/>
      <c r="EW21" s="7"/>
      <c r="EX21" s="7"/>
      <c r="EY21" s="7"/>
      <c r="EZ21" s="7"/>
      <c r="FA21" s="7"/>
      <c r="FB21" s="7"/>
      <c r="FC21" s="7"/>
    </row>
    <row r="22" spans="1:159" ht="14" thickBot="1" x14ac:dyDescent="0.2">
      <c r="A22" s="249"/>
      <c r="B22" s="38">
        <v>235</v>
      </c>
      <c r="C22" s="129">
        <f>Anchor!L19</f>
        <v>0</v>
      </c>
      <c r="D22" s="129">
        <f>Anchor!M19</f>
        <v>0</v>
      </c>
      <c r="E22" s="129">
        <f>Anchor!N19</f>
        <v>0</v>
      </c>
      <c r="F22" s="129">
        <f>Anchor!O19</f>
        <v>0</v>
      </c>
      <c r="G22" s="130">
        <f>('Summary (Full)'!$B$34*D22+'Summary (Full)'!$B$35*E22+'Summary (Full)'!$B$36*F22)/'Summary (Full)'!$B$37</f>
        <v>0</v>
      </c>
      <c r="H22" s="129">
        <f>Anchor!P19</f>
        <v>0</v>
      </c>
      <c r="I22" s="129">
        <f>Anchor!Q19</f>
        <v>0</v>
      </c>
      <c r="J22" s="129">
        <f>Anchor!R19</f>
        <v>0</v>
      </c>
      <c r="K22" s="129">
        <f>Anchor!S19</f>
        <v>0</v>
      </c>
      <c r="L22" s="129">
        <f>Anchor!T19</f>
        <v>0</v>
      </c>
      <c r="M22" s="129">
        <f>Anchor!U19</f>
        <v>0</v>
      </c>
      <c r="N22" s="129">
        <f>Anchor!V19</f>
        <v>0</v>
      </c>
      <c r="O22" s="129">
        <f>Anchor!W19</f>
        <v>0</v>
      </c>
      <c r="P22" s="129">
        <f>Anchor!X19</f>
        <v>0</v>
      </c>
      <c r="Q22" s="131">
        <f>10*LOG10(1/(('Summary (Full)'!$B$41/10^(N22/10)+'Summary (Full)'!$B$42/10^(O22/10)+'Summary (Full)'!$B$43/10^(P22/10))/'Summary (Full)'!$B$44))</f>
        <v>0</v>
      </c>
      <c r="R22" s="129">
        <f>Anchor!Y19</f>
        <v>0</v>
      </c>
      <c r="S22" s="129">
        <f>Anchor!Z19</f>
        <v>0</v>
      </c>
      <c r="T22" s="132"/>
      <c r="U22" s="129">
        <f>Test!L19</f>
        <v>0</v>
      </c>
      <c r="V22" s="129">
        <f>Test!M19</f>
        <v>0</v>
      </c>
      <c r="W22" s="129">
        <f>Test!N19</f>
        <v>0</v>
      </c>
      <c r="X22" s="129">
        <f>Test!O19</f>
        <v>0</v>
      </c>
      <c r="Y22" s="129">
        <f>('Summary (Full)'!$B$34*V22+'Summary (Full)'!$B$35*W22+'Summary (Full)'!$B$36*X22)/'Summary (Full)'!$B$37</f>
        <v>0</v>
      </c>
      <c r="Z22" s="129">
        <f>Test!P19</f>
        <v>0</v>
      </c>
      <c r="AA22" s="129">
        <f>Test!Q19</f>
        <v>0</v>
      </c>
      <c r="AB22" s="129">
        <f>Test!R19</f>
        <v>0</v>
      </c>
      <c r="AC22" s="129">
        <f>Test!S19</f>
        <v>0</v>
      </c>
      <c r="AD22" s="129">
        <f>Test!T19</f>
        <v>0</v>
      </c>
      <c r="AE22" s="129">
        <f>Test!U19</f>
        <v>0</v>
      </c>
      <c r="AF22" s="129">
        <f>Test!V19</f>
        <v>0</v>
      </c>
      <c r="AG22" s="129">
        <f>Test!W19</f>
        <v>0</v>
      </c>
      <c r="AH22" s="129">
        <f>Test!X19</f>
        <v>0</v>
      </c>
      <c r="AI22" s="129">
        <f>10*LOG10(1/(('Summary (Full)'!$B$41/10^(AF22/10)+'Summary (Full)'!$B$42/10^(AG22/10)+'Summary (Full)'!$B$43/10^(AH22/10))/'Summary (Full)'!$B$44))</f>
        <v>0</v>
      </c>
      <c r="AJ22" s="129">
        <f>Test!Y19</f>
        <v>0</v>
      </c>
      <c r="AK22" s="129">
        <f>Test!Z19</f>
        <v>0</v>
      </c>
      <c r="AL22" s="129" t="e">
        <f t="shared" si="2"/>
        <v>#DIV/0!</v>
      </c>
      <c r="AM22" s="129" t="e">
        <f t="shared" si="3"/>
        <v>#DIV/0!</v>
      </c>
      <c r="AO22" s="263"/>
      <c r="AP22" s="173"/>
      <c r="AQ22" s="173"/>
      <c r="AR22" s="173"/>
      <c r="AS22" s="173"/>
      <c r="AT22" s="173"/>
      <c r="AU22" s="173"/>
      <c r="AV22" s="173"/>
      <c r="AW22" s="173"/>
      <c r="AX22" s="173"/>
      <c r="AY22" s="188"/>
      <c r="AZ22" s="287"/>
      <c r="BA22" s="240"/>
      <c r="EV22" s="7"/>
      <c r="EW22" s="7"/>
      <c r="EX22" s="7"/>
      <c r="EY22" s="7"/>
      <c r="EZ22" s="7"/>
      <c r="FA22" s="7"/>
      <c r="FB22" s="7"/>
      <c r="FC22" s="7"/>
    </row>
    <row r="23" spans="1:159" ht="13" customHeight="1" x14ac:dyDescent="0.15">
      <c r="A23" s="250" t="s">
        <v>19</v>
      </c>
      <c r="B23" s="38">
        <v>110</v>
      </c>
      <c r="C23" s="129">
        <f>Anchor!L20</f>
        <v>0</v>
      </c>
      <c r="D23" s="129">
        <f>Anchor!M20</f>
        <v>0</v>
      </c>
      <c r="E23" s="129">
        <f>Anchor!N20</f>
        <v>0</v>
      </c>
      <c r="F23" s="129">
        <f>Anchor!O20</f>
        <v>0</v>
      </c>
      <c r="G23" s="130">
        <f>('Summary (Full)'!$B$34*D23+'Summary (Full)'!$B$35*E23+'Summary (Full)'!$B$36*F23)/'Summary (Full)'!$B$37</f>
        <v>0</v>
      </c>
      <c r="H23" s="129">
        <f>Anchor!P20</f>
        <v>0</v>
      </c>
      <c r="I23" s="129">
        <f>Anchor!Q20</f>
        <v>0</v>
      </c>
      <c r="J23" s="129">
        <f>Anchor!R20</f>
        <v>0</v>
      </c>
      <c r="K23" s="129">
        <f>Anchor!S20</f>
        <v>0</v>
      </c>
      <c r="L23" s="129">
        <f>Anchor!T20</f>
        <v>0</v>
      </c>
      <c r="M23" s="129">
        <f>Anchor!U20</f>
        <v>0</v>
      </c>
      <c r="N23" s="129">
        <f>Anchor!V20</f>
        <v>0</v>
      </c>
      <c r="O23" s="129">
        <f>Anchor!W20</f>
        <v>0</v>
      </c>
      <c r="P23" s="129">
        <f>Anchor!X20</f>
        <v>0</v>
      </c>
      <c r="Q23" s="131">
        <f>10*LOG10(1/(('Summary (Full)'!$B$41/10^(N23/10)+'Summary (Full)'!$B$42/10^(O23/10)+'Summary (Full)'!$B$43/10^(P23/10))/'Summary (Full)'!$B$44))</f>
        <v>0</v>
      </c>
      <c r="R23" s="129">
        <f>Anchor!Y20</f>
        <v>0</v>
      </c>
      <c r="S23" s="129">
        <f>Anchor!Z20</f>
        <v>0</v>
      </c>
      <c r="T23" s="132"/>
      <c r="U23" s="129">
        <f>Test!L20</f>
        <v>0</v>
      </c>
      <c r="V23" s="129">
        <f>Test!M20</f>
        <v>0</v>
      </c>
      <c r="W23" s="129">
        <f>Test!N20</f>
        <v>0</v>
      </c>
      <c r="X23" s="129">
        <f>Test!O20</f>
        <v>0</v>
      </c>
      <c r="Y23" s="129">
        <f>('Summary (Full)'!$B$34*V23+'Summary (Full)'!$B$35*W23+'Summary (Full)'!$B$36*X23)/'Summary (Full)'!$B$37</f>
        <v>0</v>
      </c>
      <c r="Z23" s="129">
        <f>Test!P20</f>
        <v>0</v>
      </c>
      <c r="AA23" s="129">
        <f>Test!Q20</f>
        <v>0</v>
      </c>
      <c r="AB23" s="129">
        <f>Test!R20</f>
        <v>0</v>
      </c>
      <c r="AC23" s="129">
        <f>Test!S20</f>
        <v>0</v>
      </c>
      <c r="AD23" s="129">
        <f>Test!T20</f>
        <v>0</v>
      </c>
      <c r="AE23" s="129">
        <f>Test!U20</f>
        <v>0</v>
      </c>
      <c r="AF23" s="129">
        <f>Test!V20</f>
        <v>0</v>
      </c>
      <c r="AG23" s="129">
        <f>Test!W20</f>
        <v>0</v>
      </c>
      <c r="AH23" s="129">
        <f>Test!X20</f>
        <v>0</v>
      </c>
      <c r="AI23" s="129">
        <f>10*LOG10(1/(('Summary (Full)'!$B$41/10^(AF23/10)+'Summary (Full)'!$B$42/10^(AG23/10)+'Summary (Full)'!$B$43/10^(AH23/10))/'Summary (Full)'!$B$44))</f>
        <v>0</v>
      </c>
      <c r="AJ23" s="129">
        <f>Test!Y20</f>
        <v>0</v>
      </c>
      <c r="AK23" s="129">
        <f>Test!Z20</f>
        <v>0</v>
      </c>
      <c r="AL23" s="129" t="e">
        <f t="shared" si="2"/>
        <v>#DIV/0!</v>
      </c>
      <c r="AM23" s="129" t="e">
        <f t="shared" si="3"/>
        <v>#DIV/0!</v>
      </c>
      <c r="AO23" s="253" t="s">
        <v>27</v>
      </c>
      <c r="AP23" s="171" t="e" cm="1">
        <f t="array" ref="AP23">bdRateExtend($C23:$C26,D23:D26,$U23:$U26,V23:V26)</f>
        <v>#VALUE!</v>
      </c>
      <c r="AQ23" s="171" t="e" cm="1">
        <f t="array" ref="AQ23">bdRateExtend($C23:$C28,D23:D28,$U23:$U28,V23:V28)</f>
        <v>#VALUE!</v>
      </c>
      <c r="AR23" s="171" t="e" cm="1">
        <f t="array" ref="AR23">bdRateExtend($C23:$C28,E23:E28,$U23:$U28,W23:W28)</f>
        <v>#VALUE!</v>
      </c>
      <c r="AS23" s="171" t="e" cm="1">
        <f t="array" ref="AS23">bdRateExtend($C23:$C28,F23:F28,$U23:$U28,X23:X28)</f>
        <v>#VALUE!</v>
      </c>
      <c r="AT23" s="171" t="e" cm="1">
        <f t="array" ref="AT23">bdRateExtend($C23:$C26,H23:H26,$U23:$U26,Z23:Z26)</f>
        <v>#VALUE!</v>
      </c>
      <c r="AU23" s="171" t="e" cm="1">
        <f t="array" ref="AU23">bdRateExtend($C23:$C28,H23:H28,$U23:$U28,Z23:Z28)</f>
        <v>#VALUE!</v>
      </c>
      <c r="AV23" s="171" t="e" cm="1">
        <f t="array" ref="AV23">bdRateExtend($C23:$C26,I23:I26,$U23:$U26,AA23:AA26)</f>
        <v>#VALUE!</v>
      </c>
      <c r="AW23" s="171" t="e" cm="1">
        <f t="array" ref="AW23">bdRateExtend($C23:$C28,I23:I28,$U23:$U28,AA23:AA28)</f>
        <v>#VALUE!</v>
      </c>
      <c r="AX23" s="171" t="e" cm="1">
        <f t="array" ref="AX23">bdRateExtend($C23:$C26,J23:J26,$U23:$U26,AB23:AB26,"None", FALSE,1)</f>
        <v>#VALUE!</v>
      </c>
      <c r="AY23" s="174" t="e" cm="1">
        <f t="array" ref="AY23">bdRateExtend($C23:$C28,J23:J28,$U23:$U28,AB23:AB28,"None", FALSE,TRUE)</f>
        <v>#VALUE!</v>
      </c>
      <c r="AZ23" s="285" cm="1">
        <f t="array" ref="AZ23">testVMAFRange($C23:$C26,J23:J26,$U23:$U26,AB23:AB26)</f>
        <v>0</v>
      </c>
      <c r="BA23" s="211" cm="1">
        <f t="array" ref="BA23">testVMAFRange($C23:$C28,J23:J28,$U23:$U28,AB23:AB28)</f>
        <v>0</v>
      </c>
      <c r="EV23" s="7"/>
      <c r="EW23" s="7"/>
      <c r="EX23" s="7"/>
      <c r="EY23" s="7"/>
      <c r="EZ23" s="7"/>
      <c r="FA23" s="7"/>
      <c r="FB23" s="7"/>
      <c r="FC23" s="7"/>
    </row>
    <row r="24" spans="1:159" x14ac:dyDescent="0.15">
      <c r="A24" s="250"/>
      <c r="B24" s="38">
        <v>135</v>
      </c>
      <c r="C24" s="129">
        <f>Anchor!L21</f>
        <v>0</v>
      </c>
      <c r="D24" s="129">
        <f>Anchor!M21</f>
        <v>0</v>
      </c>
      <c r="E24" s="129">
        <f>Anchor!N21</f>
        <v>0</v>
      </c>
      <c r="F24" s="129">
        <f>Anchor!O21</f>
        <v>0</v>
      </c>
      <c r="G24" s="130">
        <f>('Summary (Full)'!$B$34*D24+'Summary (Full)'!$B$35*E24+'Summary (Full)'!$B$36*F24)/'Summary (Full)'!$B$37</f>
        <v>0</v>
      </c>
      <c r="H24" s="129">
        <f>Anchor!P21</f>
        <v>0</v>
      </c>
      <c r="I24" s="129">
        <f>Anchor!Q21</f>
        <v>0</v>
      </c>
      <c r="J24" s="129">
        <f>Anchor!R21</f>
        <v>0</v>
      </c>
      <c r="K24" s="129">
        <f>Anchor!S21</f>
        <v>0</v>
      </c>
      <c r="L24" s="129">
        <f>Anchor!T21</f>
        <v>0</v>
      </c>
      <c r="M24" s="129">
        <f>Anchor!U21</f>
        <v>0</v>
      </c>
      <c r="N24" s="129">
        <f>Anchor!V21</f>
        <v>0</v>
      </c>
      <c r="O24" s="129">
        <f>Anchor!W21</f>
        <v>0</v>
      </c>
      <c r="P24" s="129">
        <f>Anchor!X21</f>
        <v>0</v>
      </c>
      <c r="Q24" s="131">
        <f>10*LOG10(1/(('Summary (Full)'!$B$41/10^(N24/10)+'Summary (Full)'!$B$42/10^(O24/10)+'Summary (Full)'!$B$43/10^(P24/10))/'Summary (Full)'!$B$44))</f>
        <v>0</v>
      </c>
      <c r="R24" s="129">
        <f>Anchor!Y21</f>
        <v>0</v>
      </c>
      <c r="S24" s="129">
        <f>Anchor!Z21</f>
        <v>0</v>
      </c>
      <c r="T24" s="132"/>
      <c r="U24" s="129">
        <f>Test!L21</f>
        <v>0</v>
      </c>
      <c r="V24" s="129">
        <f>Test!M21</f>
        <v>0</v>
      </c>
      <c r="W24" s="129">
        <f>Test!N21</f>
        <v>0</v>
      </c>
      <c r="X24" s="129">
        <f>Test!O21</f>
        <v>0</v>
      </c>
      <c r="Y24" s="129">
        <f>('Summary (Full)'!$B$34*V24+'Summary (Full)'!$B$35*W24+'Summary (Full)'!$B$36*X24)/'Summary (Full)'!$B$37</f>
        <v>0</v>
      </c>
      <c r="Z24" s="129">
        <f>Test!P21</f>
        <v>0</v>
      </c>
      <c r="AA24" s="129">
        <f>Test!Q21</f>
        <v>0</v>
      </c>
      <c r="AB24" s="129">
        <f>Test!R21</f>
        <v>0</v>
      </c>
      <c r="AC24" s="129">
        <f>Test!S21</f>
        <v>0</v>
      </c>
      <c r="AD24" s="129">
        <f>Test!T21</f>
        <v>0</v>
      </c>
      <c r="AE24" s="129">
        <f>Test!U21</f>
        <v>0</v>
      </c>
      <c r="AF24" s="129">
        <f>Test!V21</f>
        <v>0</v>
      </c>
      <c r="AG24" s="129">
        <f>Test!W21</f>
        <v>0</v>
      </c>
      <c r="AH24" s="129">
        <f>Test!X21</f>
        <v>0</v>
      </c>
      <c r="AI24" s="129">
        <f>10*LOG10(1/(('Summary (Full)'!$B$41/10^(AF24/10)+'Summary (Full)'!$B$42/10^(AG24/10)+'Summary (Full)'!$B$43/10^(AH24/10))/'Summary (Full)'!$B$44))</f>
        <v>0</v>
      </c>
      <c r="AJ24" s="129">
        <f>Test!Y21</f>
        <v>0</v>
      </c>
      <c r="AK24" s="129">
        <f>Test!Z21</f>
        <v>0</v>
      </c>
      <c r="AL24" s="129" t="e">
        <f t="shared" si="2"/>
        <v>#DIV/0!</v>
      </c>
      <c r="AM24" s="129" t="e">
        <f t="shared" si="3"/>
        <v>#DIV/0!</v>
      </c>
      <c r="AO24" s="254"/>
      <c r="AP24" s="172"/>
      <c r="AQ24" s="172"/>
      <c r="AR24" s="172"/>
      <c r="AS24" s="172"/>
      <c r="AT24" s="172"/>
      <c r="AU24" s="172"/>
      <c r="AV24" s="172"/>
      <c r="AW24" s="172"/>
      <c r="AX24" s="172"/>
      <c r="AY24" s="175"/>
      <c r="AZ24" s="286"/>
      <c r="BA24" s="212"/>
      <c r="EV24" s="7"/>
      <c r="EW24" s="7"/>
      <c r="EX24" s="7"/>
      <c r="EY24" s="7"/>
      <c r="EZ24" s="7"/>
      <c r="FA24" s="7"/>
      <c r="FB24" s="7"/>
      <c r="FC24" s="7"/>
    </row>
    <row r="25" spans="1:159" ht="13" customHeight="1" x14ac:dyDescent="0.15">
      <c r="A25" s="250"/>
      <c r="B25" s="38">
        <v>160</v>
      </c>
      <c r="C25" s="129">
        <f>Anchor!L22</f>
        <v>0</v>
      </c>
      <c r="D25" s="129">
        <f>Anchor!M22</f>
        <v>0</v>
      </c>
      <c r="E25" s="129">
        <f>Anchor!N22</f>
        <v>0</v>
      </c>
      <c r="F25" s="129">
        <f>Anchor!O22</f>
        <v>0</v>
      </c>
      <c r="G25" s="130">
        <f>('Summary (Full)'!$B$34*D25+'Summary (Full)'!$B$35*E25+'Summary (Full)'!$B$36*F25)/'Summary (Full)'!$B$37</f>
        <v>0</v>
      </c>
      <c r="H25" s="129">
        <f>Anchor!P22</f>
        <v>0</v>
      </c>
      <c r="I25" s="129">
        <f>Anchor!Q22</f>
        <v>0</v>
      </c>
      <c r="J25" s="129">
        <f>Anchor!R22</f>
        <v>0</v>
      </c>
      <c r="K25" s="129">
        <f>Anchor!S22</f>
        <v>0</v>
      </c>
      <c r="L25" s="129">
        <f>Anchor!T22</f>
        <v>0</v>
      </c>
      <c r="M25" s="129">
        <f>Anchor!U22</f>
        <v>0</v>
      </c>
      <c r="N25" s="129">
        <f>Anchor!V22</f>
        <v>0</v>
      </c>
      <c r="O25" s="129">
        <f>Anchor!W22</f>
        <v>0</v>
      </c>
      <c r="P25" s="129">
        <f>Anchor!X22</f>
        <v>0</v>
      </c>
      <c r="Q25" s="131">
        <f>10*LOG10(1/(('Summary (Full)'!$B$41/10^(N25/10)+'Summary (Full)'!$B$42/10^(O25/10)+'Summary (Full)'!$B$43/10^(P25/10))/'Summary (Full)'!$B$44))</f>
        <v>0</v>
      </c>
      <c r="R25" s="129">
        <f>Anchor!Y22</f>
        <v>0</v>
      </c>
      <c r="S25" s="129">
        <f>Anchor!Z22</f>
        <v>0</v>
      </c>
      <c r="T25" s="132"/>
      <c r="U25" s="129">
        <f>Test!L22</f>
        <v>0</v>
      </c>
      <c r="V25" s="129">
        <f>Test!M22</f>
        <v>0</v>
      </c>
      <c r="W25" s="129">
        <f>Test!N22</f>
        <v>0</v>
      </c>
      <c r="X25" s="129">
        <f>Test!O22</f>
        <v>0</v>
      </c>
      <c r="Y25" s="129">
        <f>('Summary (Full)'!$B$34*V25+'Summary (Full)'!$B$35*W25+'Summary (Full)'!$B$36*X25)/'Summary (Full)'!$B$37</f>
        <v>0</v>
      </c>
      <c r="Z25" s="129">
        <f>Test!P22</f>
        <v>0</v>
      </c>
      <c r="AA25" s="129">
        <f>Test!Q22</f>
        <v>0</v>
      </c>
      <c r="AB25" s="129">
        <f>Test!R22</f>
        <v>0</v>
      </c>
      <c r="AC25" s="129">
        <f>Test!S22</f>
        <v>0</v>
      </c>
      <c r="AD25" s="129">
        <f>Test!T22</f>
        <v>0</v>
      </c>
      <c r="AE25" s="129">
        <f>Test!U22</f>
        <v>0</v>
      </c>
      <c r="AF25" s="129">
        <f>Test!V22</f>
        <v>0</v>
      </c>
      <c r="AG25" s="129">
        <f>Test!W22</f>
        <v>0</v>
      </c>
      <c r="AH25" s="129">
        <f>Test!X22</f>
        <v>0</v>
      </c>
      <c r="AI25" s="129">
        <f>10*LOG10(1/(('Summary (Full)'!$B$41/10^(AF25/10)+'Summary (Full)'!$B$42/10^(AG25/10)+'Summary (Full)'!$B$43/10^(AH25/10))/'Summary (Full)'!$B$44))</f>
        <v>0</v>
      </c>
      <c r="AJ25" s="129">
        <f>Test!Y22</f>
        <v>0</v>
      </c>
      <c r="AK25" s="129">
        <f>Test!Z22</f>
        <v>0</v>
      </c>
      <c r="AL25" s="129" t="e">
        <f t="shared" si="2"/>
        <v>#DIV/0!</v>
      </c>
      <c r="AM25" s="129" t="e">
        <f t="shared" si="3"/>
        <v>#DIV/0!</v>
      </c>
      <c r="AO25" s="254" t="s">
        <v>28</v>
      </c>
      <c r="AP25" s="172" t="e" cm="1">
        <f t="array" ref="AP25">bdRateExtend($C24:$C27,D24:D27,$U24:$U27,V24:V27)</f>
        <v>#VALUE!</v>
      </c>
      <c r="AQ25" s="172"/>
      <c r="AR25" s="172"/>
      <c r="AS25" s="172"/>
      <c r="AT25" s="172" t="e" cm="1">
        <f t="array" ref="AT25">bdRateExtend($C24:$C27,H24:H27,$U24:$U27,Z24:Z27)</f>
        <v>#VALUE!</v>
      </c>
      <c r="AU25" s="172"/>
      <c r="AV25" s="172" t="e" cm="1">
        <f t="array" ref="AV25">bdRateExtend($C24:$C27,I24:I27,$U24:$U27,AA24:AA27)</f>
        <v>#VALUE!</v>
      </c>
      <c r="AW25" s="172"/>
      <c r="AX25" s="172" t="e" cm="1">
        <f t="array" ref="AX25">bdRateExtend($C24:$C27,J24:J27,$U24:$U27,AB24:AB27,"None", FALSE,1)</f>
        <v>#VALUE!</v>
      </c>
      <c r="AY25" s="175"/>
      <c r="AZ25" s="286" cm="1">
        <f t="array" ref="AZ25">testVMAFRange($C24:$C27,J24:J27,$U24:$U27,AB24:AB27)</f>
        <v>0</v>
      </c>
      <c r="BA25" s="212"/>
      <c r="EV25" s="7"/>
      <c r="EW25" s="7"/>
      <c r="EX25" s="7"/>
      <c r="EY25" s="7"/>
      <c r="EZ25" s="7"/>
      <c r="FA25" s="7"/>
      <c r="FB25" s="7"/>
      <c r="FC25" s="7"/>
    </row>
    <row r="26" spans="1:159" x14ac:dyDescent="0.15">
      <c r="A26" s="250"/>
      <c r="B26" s="38">
        <v>185</v>
      </c>
      <c r="C26" s="129">
        <f>Anchor!L23</f>
        <v>0</v>
      </c>
      <c r="D26" s="129">
        <f>Anchor!M23</f>
        <v>0</v>
      </c>
      <c r="E26" s="129">
        <f>Anchor!N23</f>
        <v>0</v>
      </c>
      <c r="F26" s="129">
        <f>Anchor!O23</f>
        <v>0</v>
      </c>
      <c r="G26" s="130">
        <f>('Summary (Full)'!$B$34*D26+'Summary (Full)'!$B$35*E26+'Summary (Full)'!$B$36*F26)/'Summary (Full)'!$B$37</f>
        <v>0</v>
      </c>
      <c r="H26" s="129">
        <f>Anchor!P23</f>
        <v>0</v>
      </c>
      <c r="I26" s="129">
        <f>Anchor!Q23</f>
        <v>0</v>
      </c>
      <c r="J26" s="129">
        <f>Anchor!R23</f>
        <v>0</v>
      </c>
      <c r="K26" s="129">
        <f>Anchor!S23</f>
        <v>0</v>
      </c>
      <c r="L26" s="129">
        <f>Anchor!T23</f>
        <v>0</v>
      </c>
      <c r="M26" s="129">
        <f>Anchor!U23</f>
        <v>0</v>
      </c>
      <c r="N26" s="129">
        <f>Anchor!V23</f>
        <v>0</v>
      </c>
      <c r="O26" s="129">
        <f>Anchor!W23</f>
        <v>0</v>
      </c>
      <c r="P26" s="129">
        <f>Anchor!X23</f>
        <v>0</v>
      </c>
      <c r="Q26" s="131">
        <f>10*LOG10(1/(('Summary (Full)'!$B$41/10^(N26/10)+'Summary (Full)'!$B$42/10^(O26/10)+'Summary (Full)'!$B$43/10^(P26/10))/'Summary (Full)'!$B$44))</f>
        <v>0</v>
      </c>
      <c r="R26" s="129">
        <f>Anchor!Y23</f>
        <v>0</v>
      </c>
      <c r="S26" s="129">
        <f>Anchor!Z23</f>
        <v>0</v>
      </c>
      <c r="T26" s="132"/>
      <c r="U26" s="129">
        <f>Test!L23</f>
        <v>0</v>
      </c>
      <c r="V26" s="129">
        <f>Test!M23</f>
        <v>0</v>
      </c>
      <c r="W26" s="129">
        <f>Test!N23</f>
        <v>0</v>
      </c>
      <c r="X26" s="129">
        <f>Test!O23</f>
        <v>0</v>
      </c>
      <c r="Y26" s="129">
        <f>('Summary (Full)'!$B$34*V26+'Summary (Full)'!$B$35*W26+'Summary (Full)'!$B$36*X26)/'Summary (Full)'!$B$37</f>
        <v>0</v>
      </c>
      <c r="Z26" s="129">
        <f>Test!P23</f>
        <v>0</v>
      </c>
      <c r="AA26" s="129">
        <f>Test!Q23</f>
        <v>0</v>
      </c>
      <c r="AB26" s="129">
        <f>Test!R23</f>
        <v>0</v>
      </c>
      <c r="AC26" s="129">
        <f>Test!S23</f>
        <v>0</v>
      </c>
      <c r="AD26" s="129">
        <f>Test!T23</f>
        <v>0</v>
      </c>
      <c r="AE26" s="129">
        <f>Test!U23</f>
        <v>0</v>
      </c>
      <c r="AF26" s="129">
        <f>Test!V23</f>
        <v>0</v>
      </c>
      <c r="AG26" s="129">
        <f>Test!W23</f>
        <v>0</v>
      </c>
      <c r="AH26" s="129">
        <f>Test!X23</f>
        <v>0</v>
      </c>
      <c r="AI26" s="129">
        <f>10*LOG10(1/(('Summary (Full)'!$B$41/10^(AF26/10)+'Summary (Full)'!$B$42/10^(AG26/10)+'Summary (Full)'!$B$43/10^(AH26/10))/'Summary (Full)'!$B$44))</f>
        <v>0</v>
      </c>
      <c r="AJ26" s="129">
        <f>Test!Y23</f>
        <v>0</v>
      </c>
      <c r="AK26" s="129">
        <f>Test!Z23</f>
        <v>0</v>
      </c>
      <c r="AL26" s="129" t="e">
        <f t="shared" si="2"/>
        <v>#DIV/0!</v>
      </c>
      <c r="AM26" s="129" t="e">
        <f t="shared" si="3"/>
        <v>#DIV/0!</v>
      </c>
      <c r="AO26" s="254"/>
      <c r="AP26" s="172"/>
      <c r="AQ26" s="172"/>
      <c r="AR26" s="172"/>
      <c r="AS26" s="172"/>
      <c r="AT26" s="172"/>
      <c r="AU26" s="172"/>
      <c r="AV26" s="172"/>
      <c r="AW26" s="172"/>
      <c r="AX26" s="172"/>
      <c r="AY26" s="175"/>
      <c r="AZ26" s="286"/>
      <c r="BA26" s="212"/>
      <c r="EV26" s="7"/>
      <c r="EW26" s="7"/>
      <c r="EX26" s="7"/>
      <c r="EY26" s="7"/>
      <c r="EZ26" s="7"/>
      <c r="FA26" s="7"/>
      <c r="FB26" s="7"/>
      <c r="FC26" s="7"/>
    </row>
    <row r="27" spans="1:159" ht="13" customHeight="1" x14ac:dyDescent="0.15">
      <c r="A27" s="250"/>
      <c r="B27" s="38">
        <v>210</v>
      </c>
      <c r="C27" s="129">
        <f>Anchor!L24</f>
        <v>0</v>
      </c>
      <c r="D27" s="129">
        <f>Anchor!M24</f>
        <v>0</v>
      </c>
      <c r="E27" s="129">
        <f>Anchor!N24</f>
        <v>0</v>
      </c>
      <c r="F27" s="129">
        <f>Anchor!O24</f>
        <v>0</v>
      </c>
      <c r="G27" s="130">
        <f>('Summary (Full)'!$B$34*D27+'Summary (Full)'!$B$35*E27+'Summary (Full)'!$B$36*F27)/'Summary (Full)'!$B$37</f>
        <v>0</v>
      </c>
      <c r="H27" s="129">
        <f>Anchor!P24</f>
        <v>0</v>
      </c>
      <c r="I27" s="129">
        <f>Anchor!Q24</f>
        <v>0</v>
      </c>
      <c r="J27" s="129">
        <f>Anchor!R24</f>
        <v>0</v>
      </c>
      <c r="K27" s="129">
        <f>Anchor!S24</f>
        <v>0</v>
      </c>
      <c r="L27" s="129">
        <f>Anchor!T24</f>
        <v>0</v>
      </c>
      <c r="M27" s="129">
        <f>Anchor!U24</f>
        <v>0</v>
      </c>
      <c r="N27" s="129">
        <f>Anchor!V24</f>
        <v>0</v>
      </c>
      <c r="O27" s="129">
        <f>Anchor!W24</f>
        <v>0</v>
      </c>
      <c r="P27" s="129">
        <f>Anchor!X24</f>
        <v>0</v>
      </c>
      <c r="Q27" s="131">
        <f>10*LOG10(1/(('Summary (Full)'!$B$41/10^(N27/10)+'Summary (Full)'!$B$42/10^(O27/10)+'Summary (Full)'!$B$43/10^(P27/10))/'Summary (Full)'!$B$44))</f>
        <v>0</v>
      </c>
      <c r="R27" s="129">
        <f>Anchor!Y24</f>
        <v>0</v>
      </c>
      <c r="S27" s="129">
        <f>Anchor!Z24</f>
        <v>0</v>
      </c>
      <c r="T27" s="132"/>
      <c r="U27" s="129">
        <f>Test!L24</f>
        <v>0</v>
      </c>
      <c r="V27" s="129">
        <f>Test!M24</f>
        <v>0</v>
      </c>
      <c r="W27" s="129">
        <f>Test!N24</f>
        <v>0</v>
      </c>
      <c r="X27" s="129">
        <f>Test!O24</f>
        <v>0</v>
      </c>
      <c r="Y27" s="129">
        <f>('Summary (Full)'!$B$34*V27+'Summary (Full)'!$B$35*W27+'Summary (Full)'!$B$36*X27)/'Summary (Full)'!$B$37</f>
        <v>0</v>
      </c>
      <c r="Z27" s="129">
        <f>Test!P24</f>
        <v>0</v>
      </c>
      <c r="AA27" s="129">
        <f>Test!Q24</f>
        <v>0</v>
      </c>
      <c r="AB27" s="129">
        <f>Test!R24</f>
        <v>0</v>
      </c>
      <c r="AC27" s="129">
        <f>Test!S24</f>
        <v>0</v>
      </c>
      <c r="AD27" s="129">
        <f>Test!T24</f>
        <v>0</v>
      </c>
      <c r="AE27" s="129">
        <f>Test!U24</f>
        <v>0</v>
      </c>
      <c r="AF27" s="129">
        <f>Test!V24</f>
        <v>0</v>
      </c>
      <c r="AG27" s="129">
        <f>Test!W24</f>
        <v>0</v>
      </c>
      <c r="AH27" s="129">
        <f>Test!X24</f>
        <v>0</v>
      </c>
      <c r="AI27" s="129">
        <f>10*LOG10(1/(('Summary (Full)'!$B$41/10^(AF27/10)+'Summary (Full)'!$B$42/10^(AG27/10)+'Summary (Full)'!$B$43/10^(AH27/10))/'Summary (Full)'!$B$44))</f>
        <v>0</v>
      </c>
      <c r="AJ27" s="129">
        <f>Test!Y24</f>
        <v>0</v>
      </c>
      <c r="AK27" s="129">
        <f>Test!Z24</f>
        <v>0</v>
      </c>
      <c r="AL27" s="129" t="e">
        <f t="shared" si="2"/>
        <v>#DIV/0!</v>
      </c>
      <c r="AM27" s="129" t="e">
        <f t="shared" si="3"/>
        <v>#DIV/0!</v>
      </c>
      <c r="AO27" s="254" t="s">
        <v>29</v>
      </c>
      <c r="AP27" s="172" t="e" cm="1">
        <f t="array" ref="AP27">bdRateExtend($C25:$C28,D25:D28,$U25:$U28,V25:V28)</f>
        <v>#VALUE!</v>
      </c>
      <c r="AQ27" s="172"/>
      <c r="AR27" s="172"/>
      <c r="AS27" s="172"/>
      <c r="AT27" s="172" t="e" cm="1">
        <f t="array" ref="AT27">bdRateExtend($C25:$C28,H25:H28,$U25:$U28,Z25:Z28)</f>
        <v>#VALUE!</v>
      </c>
      <c r="AU27" s="172"/>
      <c r="AV27" s="172" t="e" cm="1">
        <f t="array" ref="AV27">bdRateExtend($C25:$C28,I25:I28,$U25:$U28,AA25:AA28)</f>
        <v>#VALUE!</v>
      </c>
      <c r="AW27" s="172"/>
      <c r="AX27" s="172" t="e" cm="1">
        <f t="array" ref="AX27">bdRateExtend($C25:$C28,J25:J28,$U25:$U28,AB25:AB28,"None", FALSE,1)</f>
        <v>#VALUE!</v>
      </c>
      <c r="AY27" s="175"/>
      <c r="AZ27" s="286" cm="1">
        <f t="array" ref="AZ27">testVMAFRange($C25:$C28,J25:J28,$U25:$U28,AB25:AB28)</f>
        <v>0</v>
      </c>
      <c r="BA27" s="212"/>
      <c r="EV27" s="7"/>
      <c r="EW27" s="7"/>
      <c r="EX27" s="7"/>
      <c r="EY27" s="7"/>
      <c r="EZ27" s="7"/>
      <c r="FA27" s="7"/>
      <c r="FB27" s="7"/>
      <c r="FC27" s="7"/>
    </row>
    <row r="28" spans="1:159" ht="14" thickBot="1" x14ac:dyDescent="0.2">
      <c r="A28" s="250"/>
      <c r="B28" s="38">
        <v>235</v>
      </c>
      <c r="C28" s="129">
        <f>Anchor!L25</f>
        <v>0</v>
      </c>
      <c r="D28" s="129">
        <f>Anchor!M25</f>
        <v>0</v>
      </c>
      <c r="E28" s="129">
        <f>Anchor!N25</f>
        <v>0</v>
      </c>
      <c r="F28" s="129">
        <f>Anchor!O25</f>
        <v>0</v>
      </c>
      <c r="G28" s="130">
        <f>('Summary (Full)'!$B$34*D28+'Summary (Full)'!$B$35*E28+'Summary (Full)'!$B$36*F28)/'Summary (Full)'!$B$37</f>
        <v>0</v>
      </c>
      <c r="H28" s="129">
        <f>Anchor!P25</f>
        <v>0</v>
      </c>
      <c r="I28" s="129">
        <f>Anchor!Q25</f>
        <v>0</v>
      </c>
      <c r="J28" s="129">
        <f>Anchor!R25</f>
        <v>0</v>
      </c>
      <c r="K28" s="129">
        <f>Anchor!S25</f>
        <v>0</v>
      </c>
      <c r="L28" s="129">
        <f>Anchor!T25</f>
        <v>0</v>
      </c>
      <c r="M28" s="129">
        <f>Anchor!U25</f>
        <v>0</v>
      </c>
      <c r="N28" s="129">
        <f>Anchor!V25</f>
        <v>0</v>
      </c>
      <c r="O28" s="129">
        <f>Anchor!W25</f>
        <v>0</v>
      </c>
      <c r="P28" s="129">
        <f>Anchor!X25</f>
        <v>0</v>
      </c>
      <c r="Q28" s="131">
        <f>10*LOG10(1/(('Summary (Full)'!$B$41/10^(N28/10)+'Summary (Full)'!$B$42/10^(O28/10)+'Summary (Full)'!$B$43/10^(P28/10))/'Summary (Full)'!$B$44))</f>
        <v>0</v>
      </c>
      <c r="R28" s="129">
        <f>Anchor!Y25</f>
        <v>0</v>
      </c>
      <c r="S28" s="129">
        <f>Anchor!Z25</f>
        <v>0</v>
      </c>
      <c r="T28" s="132"/>
      <c r="U28" s="129">
        <f>Test!L25</f>
        <v>0</v>
      </c>
      <c r="V28" s="129">
        <f>Test!M25</f>
        <v>0</v>
      </c>
      <c r="W28" s="129">
        <f>Test!N25</f>
        <v>0</v>
      </c>
      <c r="X28" s="129">
        <f>Test!O25</f>
        <v>0</v>
      </c>
      <c r="Y28" s="129">
        <f>('Summary (Full)'!$B$34*V28+'Summary (Full)'!$B$35*W28+'Summary (Full)'!$B$36*X28)/'Summary (Full)'!$B$37</f>
        <v>0</v>
      </c>
      <c r="Z28" s="129">
        <f>Test!P25</f>
        <v>0</v>
      </c>
      <c r="AA28" s="129">
        <f>Test!Q25</f>
        <v>0</v>
      </c>
      <c r="AB28" s="129">
        <f>Test!R25</f>
        <v>0</v>
      </c>
      <c r="AC28" s="129">
        <f>Test!S25</f>
        <v>0</v>
      </c>
      <c r="AD28" s="129">
        <f>Test!T25</f>
        <v>0</v>
      </c>
      <c r="AE28" s="129">
        <f>Test!U25</f>
        <v>0</v>
      </c>
      <c r="AF28" s="129">
        <f>Test!V25</f>
        <v>0</v>
      </c>
      <c r="AG28" s="129">
        <f>Test!W25</f>
        <v>0</v>
      </c>
      <c r="AH28" s="129">
        <f>Test!X25</f>
        <v>0</v>
      </c>
      <c r="AI28" s="129">
        <f>10*LOG10(1/(('Summary (Full)'!$B$41/10^(AF28/10)+'Summary (Full)'!$B$42/10^(AG28/10)+'Summary (Full)'!$B$43/10^(AH28/10))/'Summary (Full)'!$B$44))</f>
        <v>0</v>
      </c>
      <c r="AJ28" s="129">
        <f>Test!Y25</f>
        <v>0</v>
      </c>
      <c r="AK28" s="129">
        <f>Test!Z25</f>
        <v>0</v>
      </c>
      <c r="AL28" s="129" t="e">
        <f t="shared" si="2"/>
        <v>#DIV/0!</v>
      </c>
      <c r="AM28" s="129" t="e">
        <f t="shared" si="3"/>
        <v>#DIV/0!</v>
      </c>
      <c r="AO28" s="263"/>
      <c r="AP28" s="173"/>
      <c r="AQ28" s="173"/>
      <c r="AR28" s="173"/>
      <c r="AS28" s="173"/>
      <c r="AT28" s="173"/>
      <c r="AU28" s="173"/>
      <c r="AV28" s="173"/>
      <c r="AW28" s="173"/>
      <c r="AX28" s="173"/>
      <c r="AY28" s="188"/>
      <c r="AZ28" s="287"/>
      <c r="BA28" s="240"/>
      <c r="EV28" s="7"/>
      <c r="EW28" s="7"/>
      <c r="EX28" s="7"/>
      <c r="EY28" s="7"/>
      <c r="EZ28" s="7"/>
      <c r="FA28" s="7"/>
      <c r="FB28" s="7"/>
      <c r="FC28" s="7"/>
    </row>
    <row r="29" spans="1:159" ht="13" customHeight="1" x14ac:dyDescent="0.15">
      <c r="A29" s="250" t="s">
        <v>9</v>
      </c>
      <c r="B29" s="38">
        <v>110</v>
      </c>
      <c r="C29" s="129">
        <f>Anchor!L26</f>
        <v>0</v>
      </c>
      <c r="D29" s="129">
        <f>Anchor!M26</f>
        <v>0</v>
      </c>
      <c r="E29" s="129">
        <f>Anchor!N26</f>
        <v>0</v>
      </c>
      <c r="F29" s="129">
        <f>Anchor!O26</f>
        <v>0</v>
      </c>
      <c r="G29" s="130">
        <f>('Summary (Full)'!$B$34*D29+'Summary (Full)'!$B$35*E29+'Summary (Full)'!$B$36*F29)/'Summary (Full)'!$B$37</f>
        <v>0</v>
      </c>
      <c r="H29" s="129">
        <f>Anchor!P26</f>
        <v>0</v>
      </c>
      <c r="I29" s="129">
        <f>Anchor!Q26</f>
        <v>0</v>
      </c>
      <c r="J29" s="129">
        <f>Anchor!R26</f>
        <v>0</v>
      </c>
      <c r="K29" s="129">
        <f>Anchor!S26</f>
        <v>0</v>
      </c>
      <c r="L29" s="129">
        <f>Anchor!T26</f>
        <v>0</v>
      </c>
      <c r="M29" s="129">
        <f>Anchor!U26</f>
        <v>0</v>
      </c>
      <c r="N29" s="129">
        <f>Anchor!V26</f>
        <v>0</v>
      </c>
      <c r="O29" s="129">
        <f>Anchor!W26</f>
        <v>0</v>
      </c>
      <c r="P29" s="129">
        <f>Anchor!X26</f>
        <v>0</v>
      </c>
      <c r="Q29" s="131">
        <f>10*LOG10(1/(('Summary (Full)'!$B$41/10^(N29/10)+'Summary (Full)'!$B$42/10^(O29/10)+'Summary (Full)'!$B$43/10^(P29/10))/'Summary (Full)'!$B$44))</f>
        <v>0</v>
      </c>
      <c r="R29" s="129">
        <f>Anchor!Y26</f>
        <v>0</v>
      </c>
      <c r="S29" s="129">
        <f>Anchor!Z26</f>
        <v>0</v>
      </c>
      <c r="T29" s="132"/>
      <c r="U29" s="129">
        <f>Test!L26</f>
        <v>0</v>
      </c>
      <c r="V29" s="129">
        <f>Test!M26</f>
        <v>0</v>
      </c>
      <c r="W29" s="129">
        <f>Test!N26</f>
        <v>0</v>
      </c>
      <c r="X29" s="129">
        <f>Test!O26</f>
        <v>0</v>
      </c>
      <c r="Y29" s="129">
        <f>('Summary (Full)'!$B$34*V29+'Summary (Full)'!$B$35*W29+'Summary (Full)'!$B$36*X29)/'Summary (Full)'!$B$37</f>
        <v>0</v>
      </c>
      <c r="Z29" s="129">
        <f>Test!P26</f>
        <v>0</v>
      </c>
      <c r="AA29" s="129">
        <f>Test!Q26</f>
        <v>0</v>
      </c>
      <c r="AB29" s="129">
        <f>Test!R26</f>
        <v>0</v>
      </c>
      <c r="AC29" s="129">
        <f>Test!S26</f>
        <v>0</v>
      </c>
      <c r="AD29" s="129">
        <f>Test!T26</f>
        <v>0</v>
      </c>
      <c r="AE29" s="129">
        <f>Test!U26</f>
        <v>0</v>
      </c>
      <c r="AF29" s="129">
        <f>Test!V26</f>
        <v>0</v>
      </c>
      <c r="AG29" s="129">
        <f>Test!W26</f>
        <v>0</v>
      </c>
      <c r="AH29" s="129">
        <f>Test!X26</f>
        <v>0</v>
      </c>
      <c r="AI29" s="129">
        <f>10*LOG10(1/(('Summary (Full)'!$B$41/10^(AF29/10)+'Summary (Full)'!$B$42/10^(AG29/10)+'Summary (Full)'!$B$43/10^(AH29/10))/'Summary (Full)'!$B$44))</f>
        <v>0</v>
      </c>
      <c r="AJ29" s="129">
        <f>Test!Y26</f>
        <v>0</v>
      </c>
      <c r="AK29" s="129">
        <f>Test!Z26</f>
        <v>0</v>
      </c>
      <c r="AL29" s="129" t="e">
        <f t="shared" si="2"/>
        <v>#DIV/0!</v>
      </c>
      <c r="AM29" s="129" t="e">
        <f t="shared" si="3"/>
        <v>#DIV/0!</v>
      </c>
      <c r="AO29" s="253" t="s">
        <v>27</v>
      </c>
      <c r="AP29" s="171" t="e" cm="1">
        <f t="array" ref="AP29">bdRateExtend($C29:$C32,D29:D32,$U29:$U32,V29:V32)</f>
        <v>#VALUE!</v>
      </c>
      <c r="AQ29" s="171" t="e" cm="1">
        <f t="array" ref="AQ29">bdRateExtend($C29:$C34,D29:D34,$U29:$U34,V29:V34)</f>
        <v>#VALUE!</v>
      </c>
      <c r="AR29" s="171" t="e" cm="1">
        <f t="array" ref="AR29">bdRateExtend($C29:$C34,E29:E34,$U29:$U34,W29:W34)</f>
        <v>#VALUE!</v>
      </c>
      <c r="AS29" s="171" t="e" cm="1">
        <f t="array" ref="AS29">bdRateExtend($C29:$C34,F29:F34,$U29:$U34,X29:X34)</f>
        <v>#VALUE!</v>
      </c>
      <c r="AT29" s="171" t="e" cm="1">
        <f t="array" ref="AT29">bdRateExtend($C29:$C32,H29:H32,$U29:$U32,Z29:Z32)</f>
        <v>#VALUE!</v>
      </c>
      <c r="AU29" s="171" t="e" cm="1">
        <f t="array" ref="AU29">bdRateExtend($C29:$C34,H29:H34,$U29:$U34,Z29:Z34)</f>
        <v>#VALUE!</v>
      </c>
      <c r="AV29" s="171" t="e" cm="1">
        <f t="array" ref="AV29">bdRateExtend($C29:$C32,I29:I32,$U29:$U32,AA29:AA32)</f>
        <v>#VALUE!</v>
      </c>
      <c r="AW29" s="171" t="e" cm="1">
        <f t="array" ref="AW29">bdRateExtend($C29:$C34,I29:I34,$U29:$U34,AA29:AA34)</f>
        <v>#VALUE!</v>
      </c>
      <c r="AX29" s="171" t="e" cm="1">
        <f t="array" ref="AX29">bdRateExtend($C29:$C32,J29:J32,$U29:$U32,AB29:AB32,"None", FALSE,1)</f>
        <v>#VALUE!</v>
      </c>
      <c r="AY29" s="174" t="e" cm="1">
        <f t="array" ref="AY29">bdRateExtend($C29:$C34,J29:J34,$U29:$U34,AB29:AB34,"None", FALSE,TRUE)</f>
        <v>#VALUE!</v>
      </c>
      <c r="AZ29" s="285" cm="1">
        <f t="array" ref="AZ29">testVMAFRange($C29:$C32,J29:J32,$U29:$U32,AB29:AB32)</f>
        <v>0</v>
      </c>
      <c r="BA29" s="211" cm="1">
        <f t="array" ref="BA29">testVMAFRange($C29:$C34,J29:J34,$U29:$U34,AB29:AB34)</f>
        <v>0</v>
      </c>
      <c r="EV29" s="7"/>
      <c r="EW29" s="7"/>
      <c r="EX29" s="7"/>
      <c r="EY29" s="7"/>
      <c r="EZ29" s="7"/>
      <c r="FA29" s="7"/>
      <c r="FB29" s="7"/>
      <c r="FC29" s="7"/>
    </row>
    <row r="30" spans="1:159" x14ac:dyDescent="0.15">
      <c r="A30" s="250"/>
      <c r="B30" s="38">
        <v>135</v>
      </c>
      <c r="C30" s="129">
        <f>Anchor!L27</f>
        <v>0</v>
      </c>
      <c r="D30" s="129">
        <f>Anchor!M27</f>
        <v>0</v>
      </c>
      <c r="E30" s="129">
        <f>Anchor!N27</f>
        <v>0</v>
      </c>
      <c r="F30" s="129">
        <f>Anchor!O27</f>
        <v>0</v>
      </c>
      <c r="G30" s="130">
        <f>('Summary (Full)'!$B$34*D30+'Summary (Full)'!$B$35*E30+'Summary (Full)'!$B$36*F30)/'Summary (Full)'!$B$37</f>
        <v>0</v>
      </c>
      <c r="H30" s="129">
        <f>Anchor!P27</f>
        <v>0</v>
      </c>
      <c r="I30" s="129">
        <f>Anchor!Q27</f>
        <v>0</v>
      </c>
      <c r="J30" s="129">
        <f>Anchor!R27</f>
        <v>0</v>
      </c>
      <c r="K30" s="129">
        <f>Anchor!S27</f>
        <v>0</v>
      </c>
      <c r="L30" s="129">
        <f>Anchor!T27</f>
        <v>0</v>
      </c>
      <c r="M30" s="129">
        <f>Anchor!U27</f>
        <v>0</v>
      </c>
      <c r="N30" s="129">
        <f>Anchor!V27</f>
        <v>0</v>
      </c>
      <c r="O30" s="129">
        <f>Anchor!W27</f>
        <v>0</v>
      </c>
      <c r="P30" s="129">
        <f>Anchor!X27</f>
        <v>0</v>
      </c>
      <c r="Q30" s="131">
        <f>10*LOG10(1/(('Summary (Full)'!$B$41/10^(N30/10)+'Summary (Full)'!$B$42/10^(O30/10)+'Summary (Full)'!$B$43/10^(P30/10))/'Summary (Full)'!$B$44))</f>
        <v>0</v>
      </c>
      <c r="R30" s="129">
        <f>Anchor!Y27</f>
        <v>0</v>
      </c>
      <c r="S30" s="129">
        <f>Anchor!Z27</f>
        <v>0</v>
      </c>
      <c r="T30" s="132"/>
      <c r="U30" s="129">
        <f>Test!L27</f>
        <v>0</v>
      </c>
      <c r="V30" s="129">
        <f>Test!M27</f>
        <v>0</v>
      </c>
      <c r="W30" s="129">
        <f>Test!N27</f>
        <v>0</v>
      </c>
      <c r="X30" s="129">
        <f>Test!O27</f>
        <v>0</v>
      </c>
      <c r="Y30" s="129">
        <f>('Summary (Full)'!$B$34*V30+'Summary (Full)'!$B$35*W30+'Summary (Full)'!$B$36*X30)/'Summary (Full)'!$B$37</f>
        <v>0</v>
      </c>
      <c r="Z30" s="129">
        <f>Test!P27</f>
        <v>0</v>
      </c>
      <c r="AA30" s="129">
        <f>Test!Q27</f>
        <v>0</v>
      </c>
      <c r="AB30" s="129">
        <f>Test!R27</f>
        <v>0</v>
      </c>
      <c r="AC30" s="129">
        <f>Test!S27</f>
        <v>0</v>
      </c>
      <c r="AD30" s="129">
        <f>Test!T27</f>
        <v>0</v>
      </c>
      <c r="AE30" s="129">
        <f>Test!U27</f>
        <v>0</v>
      </c>
      <c r="AF30" s="129">
        <f>Test!V27</f>
        <v>0</v>
      </c>
      <c r="AG30" s="129">
        <f>Test!W27</f>
        <v>0</v>
      </c>
      <c r="AH30" s="129">
        <f>Test!X27</f>
        <v>0</v>
      </c>
      <c r="AI30" s="129">
        <f>10*LOG10(1/(('Summary (Full)'!$B$41/10^(AF30/10)+'Summary (Full)'!$B$42/10^(AG30/10)+'Summary (Full)'!$B$43/10^(AH30/10))/'Summary (Full)'!$B$44))</f>
        <v>0</v>
      </c>
      <c r="AJ30" s="129">
        <f>Test!Y27</f>
        <v>0</v>
      </c>
      <c r="AK30" s="129">
        <f>Test!Z27</f>
        <v>0</v>
      </c>
      <c r="AL30" s="129" t="e">
        <f t="shared" si="2"/>
        <v>#DIV/0!</v>
      </c>
      <c r="AM30" s="129" t="e">
        <f t="shared" si="3"/>
        <v>#DIV/0!</v>
      </c>
      <c r="AO30" s="254"/>
      <c r="AP30" s="172"/>
      <c r="AQ30" s="172"/>
      <c r="AR30" s="172"/>
      <c r="AS30" s="172"/>
      <c r="AT30" s="172"/>
      <c r="AU30" s="172"/>
      <c r="AV30" s="172"/>
      <c r="AW30" s="172"/>
      <c r="AX30" s="172"/>
      <c r="AY30" s="175"/>
      <c r="AZ30" s="286"/>
      <c r="BA30" s="212"/>
      <c r="EV30" s="7"/>
      <c r="EW30" s="7"/>
      <c r="EX30" s="7"/>
      <c r="EY30" s="7"/>
      <c r="EZ30" s="7"/>
      <c r="FA30" s="7"/>
      <c r="FB30" s="7"/>
      <c r="FC30" s="7"/>
    </row>
    <row r="31" spans="1:159" ht="13" customHeight="1" x14ac:dyDescent="0.15">
      <c r="A31" s="250"/>
      <c r="B31" s="38">
        <v>160</v>
      </c>
      <c r="C31" s="129">
        <f>Anchor!L28</f>
        <v>0</v>
      </c>
      <c r="D31" s="129">
        <f>Anchor!M28</f>
        <v>0</v>
      </c>
      <c r="E31" s="129">
        <f>Anchor!N28</f>
        <v>0</v>
      </c>
      <c r="F31" s="129">
        <f>Anchor!O28</f>
        <v>0</v>
      </c>
      <c r="G31" s="130">
        <f>('Summary (Full)'!$B$34*D31+'Summary (Full)'!$B$35*E31+'Summary (Full)'!$B$36*F31)/'Summary (Full)'!$B$37</f>
        <v>0</v>
      </c>
      <c r="H31" s="129">
        <f>Anchor!P28</f>
        <v>0</v>
      </c>
      <c r="I31" s="129">
        <f>Anchor!Q28</f>
        <v>0</v>
      </c>
      <c r="J31" s="129">
        <f>Anchor!R28</f>
        <v>0</v>
      </c>
      <c r="K31" s="129">
        <f>Anchor!S28</f>
        <v>0</v>
      </c>
      <c r="L31" s="129">
        <f>Anchor!T28</f>
        <v>0</v>
      </c>
      <c r="M31" s="129">
        <f>Anchor!U28</f>
        <v>0</v>
      </c>
      <c r="N31" s="129">
        <f>Anchor!V28</f>
        <v>0</v>
      </c>
      <c r="O31" s="129">
        <f>Anchor!W28</f>
        <v>0</v>
      </c>
      <c r="P31" s="129">
        <f>Anchor!X28</f>
        <v>0</v>
      </c>
      <c r="Q31" s="131">
        <f>10*LOG10(1/(('Summary (Full)'!$B$41/10^(N31/10)+'Summary (Full)'!$B$42/10^(O31/10)+'Summary (Full)'!$B$43/10^(P31/10))/'Summary (Full)'!$B$44))</f>
        <v>0</v>
      </c>
      <c r="R31" s="129">
        <f>Anchor!Y28</f>
        <v>0</v>
      </c>
      <c r="S31" s="129">
        <f>Anchor!Z28</f>
        <v>0</v>
      </c>
      <c r="T31" s="132"/>
      <c r="U31" s="129">
        <f>Test!L28</f>
        <v>0</v>
      </c>
      <c r="V31" s="129">
        <f>Test!M28</f>
        <v>0</v>
      </c>
      <c r="W31" s="129">
        <f>Test!N28</f>
        <v>0</v>
      </c>
      <c r="X31" s="129">
        <f>Test!O28</f>
        <v>0</v>
      </c>
      <c r="Y31" s="129">
        <f>('Summary (Full)'!$B$34*V31+'Summary (Full)'!$B$35*W31+'Summary (Full)'!$B$36*X31)/'Summary (Full)'!$B$37</f>
        <v>0</v>
      </c>
      <c r="Z31" s="129">
        <f>Test!P28</f>
        <v>0</v>
      </c>
      <c r="AA31" s="129">
        <f>Test!Q28</f>
        <v>0</v>
      </c>
      <c r="AB31" s="129">
        <f>Test!R28</f>
        <v>0</v>
      </c>
      <c r="AC31" s="129">
        <f>Test!S28</f>
        <v>0</v>
      </c>
      <c r="AD31" s="129">
        <f>Test!T28</f>
        <v>0</v>
      </c>
      <c r="AE31" s="129">
        <f>Test!U28</f>
        <v>0</v>
      </c>
      <c r="AF31" s="129">
        <f>Test!V28</f>
        <v>0</v>
      </c>
      <c r="AG31" s="129">
        <f>Test!W28</f>
        <v>0</v>
      </c>
      <c r="AH31" s="129">
        <f>Test!X28</f>
        <v>0</v>
      </c>
      <c r="AI31" s="129">
        <f>10*LOG10(1/(('Summary (Full)'!$B$41/10^(AF31/10)+'Summary (Full)'!$B$42/10^(AG31/10)+'Summary (Full)'!$B$43/10^(AH31/10))/'Summary (Full)'!$B$44))</f>
        <v>0</v>
      </c>
      <c r="AJ31" s="129">
        <f>Test!Y28</f>
        <v>0</v>
      </c>
      <c r="AK31" s="129">
        <f>Test!Z28</f>
        <v>0</v>
      </c>
      <c r="AL31" s="129" t="e">
        <f t="shared" si="2"/>
        <v>#DIV/0!</v>
      </c>
      <c r="AM31" s="129" t="e">
        <f t="shared" si="3"/>
        <v>#DIV/0!</v>
      </c>
      <c r="AO31" s="254" t="s">
        <v>28</v>
      </c>
      <c r="AP31" s="172" t="e" cm="1">
        <f t="array" ref="AP31">bdRateExtend($C30:$C33,D30:D33,$U30:$U33,V30:V33)</f>
        <v>#VALUE!</v>
      </c>
      <c r="AQ31" s="172"/>
      <c r="AR31" s="172"/>
      <c r="AS31" s="172"/>
      <c r="AT31" s="172" t="e" cm="1">
        <f t="array" ref="AT31">bdRateExtend($C30:$C33,H30:H33,$U30:$U33,Z30:Z33)</f>
        <v>#VALUE!</v>
      </c>
      <c r="AU31" s="172"/>
      <c r="AV31" s="172" t="e" cm="1">
        <f t="array" ref="AV31">bdRateExtend($C30:$C33,I30:I33,$U30:$U33,AA30:AA33)</f>
        <v>#VALUE!</v>
      </c>
      <c r="AW31" s="172"/>
      <c r="AX31" s="172" t="e" cm="1">
        <f t="array" ref="AX31">bdRateExtend($C30:$C33,J30:J33,$U30:$U33,AB30:AB33,"None", FALSE,1)</f>
        <v>#VALUE!</v>
      </c>
      <c r="AY31" s="175"/>
      <c r="AZ31" s="286" cm="1">
        <f t="array" ref="AZ31">testVMAFRange($C30:$C33,J30:J33,$U30:$U33,AB30:AB33)</f>
        <v>0</v>
      </c>
      <c r="BA31" s="212"/>
      <c r="EV31" s="7"/>
      <c r="EW31" s="7"/>
      <c r="EX31" s="7"/>
      <c r="EY31" s="7"/>
      <c r="EZ31" s="7"/>
      <c r="FA31" s="7"/>
      <c r="FB31" s="7"/>
      <c r="FC31" s="7"/>
    </row>
    <row r="32" spans="1:159" x14ac:dyDescent="0.15">
      <c r="A32" s="250"/>
      <c r="B32" s="38">
        <v>185</v>
      </c>
      <c r="C32" s="129">
        <f>Anchor!L29</f>
        <v>0</v>
      </c>
      <c r="D32" s="129">
        <f>Anchor!M29</f>
        <v>0</v>
      </c>
      <c r="E32" s="129">
        <f>Anchor!N29</f>
        <v>0</v>
      </c>
      <c r="F32" s="129">
        <f>Anchor!O29</f>
        <v>0</v>
      </c>
      <c r="G32" s="130">
        <f>('Summary (Full)'!$B$34*D32+'Summary (Full)'!$B$35*E32+'Summary (Full)'!$B$36*F32)/'Summary (Full)'!$B$37</f>
        <v>0</v>
      </c>
      <c r="H32" s="129">
        <f>Anchor!P29</f>
        <v>0</v>
      </c>
      <c r="I32" s="129">
        <f>Anchor!Q29</f>
        <v>0</v>
      </c>
      <c r="J32" s="129">
        <f>Anchor!R29</f>
        <v>0</v>
      </c>
      <c r="K32" s="129">
        <f>Anchor!S29</f>
        <v>0</v>
      </c>
      <c r="L32" s="129">
        <f>Anchor!T29</f>
        <v>0</v>
      </c>
      <c r="M32" s="129">
        <f>Anchor!U29</f>
        <v>0</v>
      </c>
      <c r="N32" s="129">
        <f>Anchor!V29</f>
        <v>0</v>
      </c>
      <c r="O32" s="129">
        <f>Anchor!W29</f>
        <v>0</v>
      </c>
      <c r="P32" s="129">
        <f>Anchor!X29</f>
        <v>0</v>
      </c>
      <c r="Q32" s="131">
        <f>10*LOG10(1/(('Summary (Full)'!$B$41/10^(N32/10)+'Summary (Full)'!$B$42/10^(O32/10)+'Summary (Full)'!$B$43/10^(P32/10))/'Summary (Full)'!$B$44))</f>
        <v>0</v>
      </c>
      <c r="R32" s="129">
        <f>Anchor!Y29</f>
        <v>0</v>
      </c>
      <c r="S32" s="129">
        <f>Anchor!Z29</f>
        <v>0</v>
      </c>
      <c r="T32" s="132"/>
      <c r="U32" s="129">
        <f>Test!L29</f>
        <v>0</v>
      </c>
      <c r="V32" s="129">
        <f>Test!M29</f>
        <v>0</v>
      </c>
      <c r="W32" s="129">
        <f>Test!N29</f>
        <v>0</v>
      </c>
      <c r="X32" s="129">
        <f>Test!O29</f>
        <v>0</v>
      </c>
      <c r="Y32" s="129">
        <f>('Summary (Full)'!$B$34*V32+'Summary (Full)'!$B$35*W32+'Summary (Full)'!$B$36*X32)/'Summary (Full)'!$B$37</f>
        <v>0</v>
      </c>
      <c r="Z32" s="129">
        <f>Test!P29</f>
        <v>0</v>
      </c>
      <c r="AA32" s="129">
        <f>Test!Q29</f>
        <v>0</v>
      </c>
      <c r="AB32" s="129">
        <f>Test!R29</f>
        <v>0</v>
      </c>
      <c r="AC32" s="129">
        <f>Test!S29</f>
        <v>0</v>
      </c>
      <c r="AD32" s="129">
        <f>Test!T29</f>
        <v>0</v>
      </c>
      <c r="AE32" s="129">
        <f>Test!U29</f>
        <v>0</v>
      </c>
      <c r="AF32" s="129">
        <f>Test!V29</f>
        <v>0</v>
      </c>
      <c r="AG32" s="129">
        <f>Test!W29</f>
        <v>0</v>
      </c>
      <c r="AH32" s="129">
        <f>Test!X29</f>
        <v>0</v>
      </c>
      <c r="AI32" s="129">
        <f>10*LOG10(1/(('Summary (Full)'!$B$41/10^(AF32/10)+'Summary (Full)'!$B$42/10^(AG32/10)+'Summary (Full)'!$B$43/10^(AH32/10))/'Summary (Full)'!$B$44))</f>
        <v>0</v>
      </c>
      <c r="AJ32" s="129">
        <f>Test!Y29</f>
        <v>0</v>
      </c>
      <c r="AK32" s="129">
        <f>Test!Z29</f>
        <v>0</v>
      </c>
      <c r="AL32" s="129" t="e">
        <f t="shared" si="2"/>
        <v>#DIV/0!</v>
      </c>
      <c r="AM32" s="129" t="e">
        <f t="shared" si="3"/>
        <v>#DIV/0!</v>
      </c>
      <c r="AO32" s="254"/>
      <c r="AP32" s="172"/>
      <c r="AQ32" s="172"/>
      <c r="AR32" s="172"/>
      <c r="AS32" s="172"/>
      <c r="AT32" s="172"/>
      <c r="AU32" s="172"/>
      <c r="AV32" s="172"/>
      <c r="AW32" s="172"/>
      <c r="AX32" s="172"/>
      <c r="AY32" s="175"/>
      <c r="AZ32" s="286"/>
      <c r="BA32" s="212"/>
      <c r="EV32" s="7"/>
      <c r="EW32" s="7"/>
      <c r="EX32" s="7"/>
      <c r="EY32" s="7"/>
      <c r="EZ32" s="7"/>
      <c r="FA32" s="7"/>
      <c r="FB32" s="7"/>
      <c r="FC32" s="7"/>
    </row>
    <row r="33" spans="1:159" ht="13" customHeight="1" x14ac:dyDescent="0.15">
      <c r="A33" s="250"/>
      <c r="B33" s="38">
        <v>210</v>
      </c>
      <c r="C33" s="129">
        <f>Anchor!L30</f>
        <v>0</v>
      </c>
      <c r="D33" s="129">
        <f>Anchor!M30</f>
        <v>0</v>
      </c>
      <c r="E33" s="129">
        <f>Anchor!N30</f>
        <v>0</v>
      </c>
      <c r="F33" s="129">
        <f>Anchor!O30</f>
        <v>0</v>
      </c>
      <c r="G33" s="130">
        <f>('Summary (Full)'!$B$34*D33+'Summary (Full)'!$B$35*E33+'Summary (Full)'!$B$36*F33)/'Summary (Full)'!$B$37</f>
        <v>0</v>
      </c>
      <c r="H33" s="129">
        <f>Anchor!P30</f>
        <v>0</v>
      </c>
      <c r="I33" s="129">
        <f>Anchor!Q30</f>
        <v>0</v>
      </c>
      <c r="J33" s="129">
        <f>Anchor!R30</f>
        <v>0</v>
      </c>
      <c r="K33" s="129">
        <f>Anchor!S30</f>
        <v>0</v>
      </c>
      <c r="L33" s="129">
        <f>Anchor!T30</f>
        <v>0</v>
      </c>
      <c r="M33" s="129">
        <f>Anchor!U30</f>
        <v>0</v>
      </c>
      <c r="N33" s="129">
        <f>Anchor!V30</f>
        <v>0</v>
      </c>
      <c r="O33" s="129">
        <f>Anchor!W30</f>
        <v>0</v>
      </c>
      <c r="P33" s="129">
        <f>Anchor!X30</f>
        <v>0</v>
      </c>
      <c r="Q33" s="131">
        <f>10*LOG10(1/(('Summary (Full)'!$B$41/10^(N33/10)+'Summary (Full)'!$B$42/10^(O33/10)+'Summary (Full)'!$B$43/10^(P33/10))/'Summary (Full)'!$B$44))</f>
        <v>0</v>
      </c>
      <c r="R33" s="129">
        <f>Anchor!Y30</f>
        <v>0</v>
      </c>
      <c r="S33" s="129">
        <f>Anchor!Z30</f>
        <v>0</v>
      </c>
      <c r="T33" s="132"/>
      <c r="U33" s="129">
        <f>Test!L30</f>
        <v>0</v>
      </c>
      <c r="V33" s="129">
        <f>Test!M30</f>
        <v>0</v>
      </c>
      <c r="W33" s="129">
        <f>Test!N30</f>
        <v>0</v>
      </c>
      <c r="X33" s="129">
        <f>Test!O30</f>
        <v>0</v>
      </c>
      <c r="Y33" s="129">
        <f>('Summary (Full)'!$B$34*V33+'Summary (Full)'!$B$35*W33+'Summary (Full)'!$B$36*X33)/'Summary (Full)'!$B$37</f>
        <v>0</v>
      </c>
      <c r="Z33" s="129">
        <f>Test!P30</f>
        <v>0</v>
      </c>
      <c r="AA33" s="129">
        <f>Test!Q30</f>
        <v>0</v>
      </c>
      <c r="AB33" s="129">
        <f>Test!R30</f>
        <v>0</v>
      </c>
      <c r="AC33" s="129">
        <f>Test!S30</f>
        <v>0</v>
      </c>
      <c r="AD33" s="129">
        <f>Test!T30</f>
        <v>0</v>
      </c>
      <c r="AE33" s="129">
        <f>Test!U30</f>
        <v>0</v>
      </c>
      <c r="AF33" s="129">
        <f>Test!V30</f>
        <v>0</v>
      </c>
      <c r="AG33" s="129">
        <f>Test!W30</f>
        <v>0</v>
      </c>
      <c r="AH33" s="129">
        <f>Test!X30</f>
        <v>0</v>
      </c>
      <c r="AI33" s="129">
        <f>10*LOG10(1/(('Summary (Full)'!$B$41/10^(AF33/10)+'Summary (Full)'!$B$42/10^(AG33/10)+'Summary (Full)'!$B$43/10^(AH33/10))/'Summary (Full)'!$B$44))</f>
        <v>0</v>
      </c>
      <c r="AJ33" s="129">
        <f>Test!Y30</f>
        <v>0</v>
      </c>
      <c r="AK33" s="129">
        <f>Test!Z30</f>
        <v>0</v>
      </c>
      <c r="AL33" s="129" t="e">
        <f t="shared" si="2"/>
        <v>#DIV/0!</v>
      </c>
      <c r="AM33" s="129" t="e">
        <f t="shared" si="3"/>
        <v>#DIV/0!</v>
      </c>
      <c r="AO33" s="254" t="s">
        <v>29</v>
      </c>
      <c r="AP33" s="172" t="e" cm="1">
        <f t="array" ref="AP33">bdRateExtend($C31:$C34,D31:D34,$U31:$U34,V31:V34)</f>
        <v>#VALUE!</v>
      </c>
      <c r="AQ33" s="172"/>
      <c r="AR33" s="172"/>
      <c r="AS33" s="172"/>
      <c r="AT33" s="172" t="e" cm="1">
        <f t="array" ref="AT33">bdRateExtend($C31:$C34,H31:H34,$U31:$U34,Z31:Z34)</f>
        <v>#VALUE!</v>
      </c>
      <c r="AU33" s="172"/>
      <c r="AV33" s="172" t="e" cm="1">
        <f t="array" ref="AV33">bdRateExtend($C31:$C34,I31:I34,$U31:$U34,AA31:AA34)</f>
        <v>#VALUE!</v>
      </c>
      <c r="AW33" s="172"/>
      <c r="AX33" s="172" t="e" cm="1">
        <f t="array" ref="AX33">bdRateExtend($C31:$C34,J31:J34,$U31:$U34,AB31:AB34,"None", FALSE,1)</f>
        <v>#VALUE!</v>
      </c>
      <c r="AY33" s="175"/>
      <c r="AZ33" s="286" cm="1">
        <f t="array" ref="AZ33">testVMAFRange($C31:$C34,J31:J34,$U31:$U34,AB31:AB34)</f>
        <v>0</v>
      </c>
      <c r="BA33" s="212"/>
      <c r="EV33" s="7"/>
      <c r="EW33" s="7"/>
      <c r="EX33" s="7"/>
      <c r="EY33" s="7"/>
      <c r="EZ33" s="7"/>
      <c r="FA33" s="7"/>
      <c r="FB33" s="7"/>
      <c r="FC33" s="7"/>
    </row>
    <row r="34" spans="1:159" ht="14" thickBot="1" x14ac:dyDescent="0.2">
      <c r="A34" s="250"/>
      <c r="B34" s="38">
        <v>235</v>
      </c>
      <c r="C34" s="129">
        <f>Anchor!L31</f>
        <v>0</v>
      </c>
      <c r="D34" s="129">
        <f>Anchor!M31</f>
        <v>0</v>
      </c>
      <c r="E34" s="129">
        <f>Anchor!N31</f>
        <v>0</v>
      </c>
      <c r="F34" s="129">
        <f>Anchor!O31</f>
        <v>0</v>
      </c>
      <c r="G34" s="130">
        <f>('Summary (Full)'!$B$34*D34+'Summary (Full)'!$B$35*E34+'Summary (Full)'!$B$36*F34)/'Summary (Full)'!$B$37</f>
        <v>0</v>
      </c>
      <c r="H34" s="129">
        <f>Anchor!P31</f>
        <v>0</v>
      </c>
      <c r="I34" s="129">
        <f>Anchor!Q31</f>
        <v>0</v>
      </c>
      <c r="J34" s="129">
        <f>Anchor!R31</f>
        <v>0</v>
      </c>
      <c r="K34" s="129">
        <f>Anchor!S31</f>
        <v>0</v>
      </c>
      <c r="L34" s="129">
        <f>Anchor!T31</f>
        <v>0</v>
      </c>
      <c r="M34" s="129">
        <f>Anchor!U31</f>
        <v>0</v>
      </c>
      <c r="N34" s="129">
        <f>Anchor!V31</f>
        <v>0</v>
      </c>
      <c r="O34" s="129">
        <f>Anchor!W31</f>
        <v>0</v>
      </c>
      <c r="P34" s="129">
        <f>Anchor!X31</f>
        <v>0</v>
      </c>
      <c r="Q34" s="131">
        <f>10*LOG10(1/(('Summary (Full)'!$B$41/10^(N34/10)+'Summary (Full)'!$B$42/10^(O34/10)+'Summary (Full)'!$B$43/10^(P34/10))/'Summary (Full)'!$B$44))</f>
        <v>0</v>
      </c>
      <c r="R34" s="129">
        <f>Anchor!Y31</f>
        <v>0</v>
      </c>
      <c r="S34" s="129">
        <f>Anchor!Z31</f>
        <v>0</v>
      </c>
      <c r="T34" s="132"/>
      <c r="U34" s="129">
        <f>Test!L31</f>
        <v>0</v>
      </c>
      <c r="V34" s="129">
        <f>Test!M31</f>
        <v>0</v>
      </c>
      <c r="W34" s="129">
        <f>Test!N31</f>
        <v>0</v>
      </c>
      <c r="X34" s="129">
        <f>Test!O31</f>
        <v>0</v>
      </c>
      <c r="Y34" s="129">
        <f>('Summary (Full)'!$B$34*V34+'Summary (Full)'!$B$35*W34+'Summary (Full)'!$B$36*X34)/'Summary (Full)'!$B$37</f>
        <v>0</v>
      </c>
      <c r="Z34" s="129">
        <f>Test!P31</f>
        <v>0</v>
      </c>
      <c r="AA34" s="129">
        <f>Test!Q31</f>
        <v>0</v>
      </c>
      <c r="AB34" s="129">
        <f>Test!R31</f>
        <v>0</v>
      </c>
      <c r="AC34" s="129">
        <f>Test!S31</f>
        <v>0</v>
      </c>
      <c r="AD34" s="129">
        <f>Test!T31</f>
        <v>0</v>
      </c>
      <c r="AE34" s="129">
        <f>Test!U31</f>
        <v>0</v>
      </c>
      <c r="AF34" s="129">
        <f>Test!V31</f>
        <v>0</v>
      </c>
      <c r="AG34" s="129">
        <f>Test!W31</f>
        <v>0</v>
      </c>
      <c r="AH34" s="129">
        <f>Test!X31</f>
        <v>0</v>
      </c>
      <c r="AI34" s="129">
        <f>10*LOG10(1/(('Summary (Full)'!$B$41/10^(AF34/10)+'Summary (Full)'!$B$42/10^(AG34/10)+'Summary (Full)'!$B$43/10^(AH34/10))/'Summary (Full)'!$B$44))</f>
        <v>0</v>
      </c>
      <c r="AJ34" s="129">
        <f>Test!Y31</f>
        <v>0</v>
      </c>
      <c r="AK34" s="129">
        <f>Test!Z31</f>
        <v>0</v>
      </c>
      <c r="AL34" s="129" t="e">
        <f t="shared" si="2"/>
        <v>#DIV/0!</v>
      </c>
      <c r="AM34" s="129" t="e">
        <f t="shared" si="3"/>
        <v>#DIV/0!</v>
      </c>
      <c r="AO34" s="263"/>
      <c r="AP34" s="173"/>
      <c r="AQ34" s="173"/>
      <c r="AR34" s="173"/>
      <c r="AS34" s="173"/>
      <c r="AT34" s="173"/>
      <c r="AU34" s="173"/>
      <c r="AV34" s="173"/>
      <c r="AW34" s="173"/>
      <c r="AX34" s="173"/>
      <c r="AY34" s="188"/>
      <c r="AZ34" s="287"/>
      <c r="BA34" s="240"/>
      <c r="EV34" s="7"/>
      <c r="EW34" s="7"/>
      <c r="EX34" s="7"/>
      <c r="EY34" s="7"/>
      <c r="EZ34" s="7"/>
      <c r="FA34" s="7"/>
      <c r="FB34" s="7"/>
      <c r="FC34" s="7"/>
    </row>
    <row r="35" spans="1:159" ht="13" customHeight="1" x14ac:dyDescent="0.15">
      <c r="A35" s="250" t="s">
        <v>20</v>
      </c>
      <c r="B35" s="38">
        <v>110</v>
      </c>
      <c r="C35" s="129">
        <f>Anchor!L32</f>
        <v>0</v>
      </c>
      <c r="D35" s="129">
        <f>Anchor!M32</f>
        <v>0</v>
      </c>
      <c r="E35" s="129">
        <f>Anchor!N32</f>
        <v>0</v>
      </c>
      <c r="F35" s="129">
        <f>Anchor!O32</f>
        <v>0</v>
      </c>
      <c r="G35" s="130">
        <f>('Summary (Full)'!$B$34*D35+'Summary (Full)'!$B$35*E35+'Summary (Full)'!$B$36*F35)/'Summary (Full)'!$B$37</f>
        <v>0</v>
      </c>
      <c r="H35" s="129">
        <f>Anchor!P32</f>
        <v>0</v>
      </c>
      <c r="I35" s="129">
        <f>Anchor!Q32</f>
        <v>0</v>
      </c>
      <c r="J35" s="129">
        <f>Anchor!R32</f>
        <v>0</v>
      </c>
      <c r="K35" s="129">
        <f>Anchor!S32</f>
        <v>0</v>
      </c>
      <c r="L35" s="129">
        <f>Anchor!T32</f>
        <v>0</v>
      </c>
      <c r="M35" s="129">
        <f>Anchor!U32</f>
        <v>0</v>
      </c>
      <c r="N35" s="129">
        <f>Anchor!V32</f>
        <v>0</v>
      </c>
      <c r="O35" s="129">
        <f>Anchor!W32</f>
        <v>0</v>
      </c>
      <c r="P35" s="129">
        <f>Anchor!X32</f>
        <v>0</v>
      </c>
      <c r="Q35" s="131">
        <f>10*LOG10(1/(('Summary (Full)'!$B$41/10^(N35/10)+'Summary (Full)'!$B$42/10^(O35/10)+'Summary (Full)'!$B$43/10^(P35/10))/'Summary (Full)'!$B$44))</f>
        <v>0</v>
      </c>
      <c r="R35" s="129">
        <f>Anchor!Y32</f>
        <v>0</v>
      </c>
      <c r="S35" s="129">
        <f>Anchor!Z32</f>
        <v>0</v>
      </c>
      <c r="T35" s="132"/>
      <c r="U35" s="129">
        <f>Test!L32</f>
        <v>0</v>
      </c>
      <c r="V35" s="129">
        <f>Test!M32</f>
        <v>0</v>
      </c>
      <c r="W35" s="129">
        <f>Test!N32</f>
        <v>0</v>
      </c>
      <c r="X35" s="129">
        <f>Test!O32</f>
        <v>0</v>
      </c>
      <c r="Y35" s="129">
        <f>('Summary (Full)'!$B$34*V35+'Summary (Full)'!$B$35*W35+'Summary (Full)'!$B$36*X35)/'Summary (Full)'!$B$37</f>
        <v>0</v>
      </c>
      <c r="Z35" s="129">
        <f>Test!P32</f>
        <v>0</v>
      </c>
      <c r="AA35" s="129">
        <f>Test!Q32</f>
        <v>0</v>
      </c>
      <c r="AB35" s="129">
        <f>Test!R32</f>
        <v>0</v>
      </c>
      <c r="AC35" s="129">
        <f>Test!S32</f>
        <v>0</v>
      </c>
      <c r="AD35" s="129">
        <f>Test!T32</f>
        <v>0</v>
      </c>
      <c r="AE35" s="129">
        <f>Test!U32</f>
        <v>0</v>
      </c>
      <c r="AF35" s="129">
        <f>Test!V32</f>
        <v>0</v>
      </c>
      <c r="AG35" s="129">
        <f>Test!W32</f>
        <v>0</v>
      </c>
      <c r="AH35" s="129">
        <f>Test!X32</f>
        <v>0</v>
      </c>
      <c r="AI35" s="129">
        <f>10*LOG10(1/(('Summary (Full)'!$B$41/10^(AF35/10)+'Summary (Full)'!$B$42/10^(AG35/10)+'Summary (Full)'!$B$43/10^(AH35/10))/'Summary (Full)'!$B$44))</f>
        <v>0</v>
      </c>
      <c r="AJ35" s="129">
        <f>Test!Y32</f>
        <v>0</v>
      </c>
      <c r="AK35" s="129">
        <f>Test!Z32</f>
        <v>0</v>
      </c>
      <c r="AL35" s="129" t="e">
        <f t="shared" si="2"/>
        <v>#DIV/0!</v>
      </c>
      <c r="AM35" s="129" t="e">
        <f t="shared" si="3"/>
        <v>#DIV/0!</v>
      </c>
      <c r="AO35" s="253" t="s">
        <v>27</v>
      </c>
      <c r="AP35" s="171" t="e" cm="1">
        <f t="array" ref="AP35">bdRateExtend($C35:$C38,D35:D38,$U35:$U38,V35:V38)</f>
        <v>#VALUE!</v>
      </c>
      <c r="AQ35" s="171" t="e" cm="1">
        <f t="array" ref="AQ35">bdRateExtend($C35:$C40,D35:D40,$U35:$U40,V35:V40)</f>
        <v>#VALUE!</v>
      </c>
      <c r="AR35" s="171" t="e" cm="1">
        <f t="array" ref="AR35">bdRateExtend($C35:$C40,E35:E40,$U35:$U40,W35:W40)</f>
        <v>#VALUE!</v>
      </c>
      <c r="AS35" s="171" t="e" cm="1">
        <f t="array" ref="AS35">bdRateExtend($C35:$C40,F35:F40,$U35:$U40,X35:X40)</f>
        <v>#VALUE!</v>
      </c>
      <c r="AT35" s="171" t="e" cm="1">
        <f t="array" ref="AT35">bdRateExtend($C35:$C38,H35:H38,$U35:$U38,Z35:Z38)</f>
        <v>#VALUE!</v>
      </c>
      <c r="AU35" s="171" t="e" cm="1">
        <f t="array" ref="AU35">bdRateExtend($C35:$C40,H35:H40,$U35:$U40,Z35:Z40)</f>
        <v>#VALUE!</v>
      </c>
      <c r="AV35" s="171" t="e" cm="1">
        <f t="array" ref="AV35">bdRateExtend($C35:$C38,I35:I38,$U35:$U38,AA35:AA38)</f>
        <v>#VALUE!</v>
      </c>
      <c r="AW35" s="171" t="e" cm="1">
        <f t="array" ref="AW35">bdRateExtend($C35:$C40,I35:I40,$U35:$U40,AA35:AA40)</f>
        <v>#VALUE!</v>
      </c>
      <c r="AX35" s="171" t="e" cm="1">
        <f t="array" ref="AX35">bdRateExtend($C35:$C38,J35:J38,$U35:$U38,AB35:AB38,"None", FALSE,1)</f>
        <v>#VALUE!</v>
      </c>
      <c r="AY35" s="174" t="e" cm="1">
        <f t="array" ref="AY35">bdRateExtend($C35:$C40,J35:J40,$U35:$U40,AB35:AB40,"None", FALSE,TRUE)</f>
        <v>#VALUE!</v>
      </c>
      <c r="AZ35" s="285" cm="1">
        <f t="array" ref="AZ35">testVMAFRange($C35:$C38,J35:J38,$U35:$U38,AB35:AB38)</f>
        <v>0</v>
      </c>
      <c r="BA35" s="211" cm="1">
        <f t="array" ref="BA35">testVMAFRange($C35:$C40,J35:J40,$U35:$U40,AB35:AB40)</f>
        <v>0</v>
      </c>
      <c r="EV35" s="7"/>
      <c r="EW35" s="7"/>
      <c r="EX35" s="7"/>
      <c r="EY35" s="7"/>
      <c r="EZ35" s="7"/>
      <c r="FA35" s="7"/>
      <c r="FB35" s="7"/>
      <c r="FC35" s="7"/>
    </row>
    <row r="36" spans="1:159" x14ac:dyDescent="0.15">
      <c r="A36" s="250"/>
      <c r="B36" s="38">
        <v>135</v>
      </c>
      <c r="C36" s="129">
        <f>Anchor!L33</f>
        <v>0</v>
      </c>
      <c r="D36" s="129">
        <f>Anchor!M33</f>
        <v>0</v>
      </c>
      <c r="E36" s="129">
        <f>Anchor!N33</f>
        <v>0</v>
      </c>
      <c r="F36" s="129">
        <f>Anchor!O33</f>
        <v>0</v>
      </c>
      <c r="G36" s="130">
        <f>('Summary (Full)'!$B$34*D36+'Summary (Full)'!$B$35*E36+'Summary (Full)'!$B$36*F36)/'Summary (Full)'!$B$37</f>
        <v>0</v>
      </c>
      <c r="H36" s="129">
        <f>Anchor!P33</f>
        <v>0</v>
      </c>
      <c r="I36" s="129">
        <f>Anchor!Q33</f>
        <v>0</v>
      </c>
      <c r="J36" s="129">
        <f>Anchor!R33</f>
        <v>0</v>
      </c>
      <c r="K36" s="129">
        <f>Anchor!S33</f>
        <v>0</v>
      </c>
      <c r="L36" s="129">
        <f>Anchor!T33</f>
        <v>0</v>
      </c>
      <c r="M36" s="129">
        <f>Anchor!U33</f>
        <v>0</v>
      </c>
      <c r="N36" s="129">
        <f>Anchor!V33</f>
        <v>0</v>
      </c>
      <c r="O36" s="129">
        <f>Anchor!W33</f>
        <v>0</v>
      </c>
      <c r="P36" s="129">
        <f>Anchor!X33</f>
        <v>0</v>
      </c>
      <c r="Q36" s="131">
        <f>10*LOG10(1/(('Summary (Full)'!$B$41/10^(N36/10)+'Summary (Full)'!$B$42/10^(O36/10)+'Summary (Full)'!$B$43/10^(P36/10))/'Summary (Full)'!$B$44))</f>
        <v>0</v>
      </c>
      <c r="R36" s="129">
        <f>Anchor!Y33</f>
        <v>0</v>
      </c>
      <c r="S36" s="129">
        <f>Anchor!Z33</f>
        <v>0</v>
      </c>
      <c r="T36" s="132"/>
      <c r="U36" s="129">
        <f>Test!L33</f>
        <v>0</v>
      </c>
      <c r="V36" s="129">
        <f>Test!M33</f>
        <v>0</v>
      </c>
      <c r="W36" s="129">
        <f>Test!N33</f>
        <v>0</v>
      </c>
      <c r="X36" s="129">
        <f>Test!O33</f>
        <v>0</v>
      </c>
      <c r="Y36" s="129">
        <f>('Summary (Full)'!$B$34*V36+'Summary (Full)'!$B$35*W36+'Summary (Full)'!$B$36*X36)/'Summary (Full)'!$B$37</f>
        <v>0</v>
      </c>
      <c r="Z36" s="129">
        <f>Test!P33</f>
        <v>0</v>
      </c>
      <c r="AA36" s="129">
        <f>Test!Q33</f>
        <v>0</v>
      </c>
      <c r="AB36" s="129">
        <f>Test!R33</f>
        <v>0</v>
      </c>
      <c r="AC36" s="129">
        <f>Test!S33</f>
        <v>0</v>
      </c>
      <c r="AD36" s="129">
        <f>Test!T33</f>
        <v>0</v>
      </c>
      <c r="AE36" s="129">
        <f>Test!U33</f>
        <v>0</v>
      </c>
      <c r="AF36" s="129">
        <f>Test!V33</f>
        <v>0</v>
      </c>
      <c r="AG36" s="129">
        <f>Test!W33</f>
        <v>0</v>
      </c>
      <c r="AH36" s="129">
        <f>Test!X33</f>
        <v>0</v>
      </c>
      <c r="AI36" s="129">
        <f>10*LOG10(1/(('Summary (Full)'!$B$41/10^(AF36/10)+'Summary (Full)'!$B$42/10^(AG36/10)+'Summary (Full)'!$B$43/10^(AH36/10))/'Summary (Full)'!$B$44))</f>
        <v>0</v>
      </c>
      <c r="AJ36" s="129">
        <f>Test!Y33</f>
        <v>0</v>
      </c>
      <c r="AK36" s="129">
        <f>Test!Z33</f>
        <v>0</v>
      </c>
      <c r="AL36" s="129" t="e">
        <f t="shared" si="2"/>
        <v>#DIV/0!</v>
      </c>
      <c r="AM36" s="129" t="e">
        <f t="shared" si="3"/>
        <v>#DIV/0!</v>
      </c>
      <c r="AO36" s="254"/>
      <c r="AP36" s="172"/>
      <c r="AQ36" s="172"/>
      <c r="AR36" s="172"/>
      <c r="AS36" s="172"/>
      <c r="AT36" s="172"/>
      <c r="AU36" s="172"/>
      <c r="AV36" s="172"/>
      <c r="AW36" s="172"/>
      <c r="AX36" s="172"/>
      <c r="AY36" s="175"/>
      <c r="AZ36" s="286"/>
      <c r="BA36" s="212"/>
      <c r="EV36" s="7"/>
      <c r="EW36" s="7"/>
      <c r="EX36" s="7"/>
      <c r="EY36" s="7"/>
      <c r="EZ36" s="7"/>
      <c r="FA36" s="7"/>
      <c r="FB36" s="7"/>
      <c r="FC36" s="7"/>
    </row>
    <row r="37" spans="1:159" ht="13" customHeight="1" x14ac:dyDescent="0.15">
      <c r="A37" s="250"/>
      <c r="B37" s="38">
        <v>160</v>
      </c>
      <c r="C37" s="129">
        <f>Anchor!L34</f>
        <v>0</v>
      </c>
      <c r="D37" s="129">
        <f>Anchor!M34</f>
        <v>0</v>
      </c>
      <c r="E37" s="129">
        <f>Anchor!N34</f>
        <v>0</v>
      </c>
      <c r="F37" s="129">
        <f>Anchor!O34</f>
        <v>0</v>
      </c>
      <c r="G37" s="130">
        <f>('Summary (Full)'!$B$34*D37+'Summary (Full)'!$B$35*E37+'Summary (Full)'!$B$36*F37)/'Summary (Full)'!$B$37</f>
        <v>0</v>
      </c>
      <c r="H37" s="129">
        <f>Anchor!P34</f>
        <v>0</v>
      </c>
      <c r="I37" s="129">
        <f>Anchor!Q34</f>
        <v>0</v>
      </c>
      <c r="J37" s="129">
        <f>Anchor!R34</f>
        <v>0</v>
      </c>
      <c r="K37" s="129">
        <f>Anchor!S34</f>
        <v>0</v>
      </c>
      <c r="L37" s="129">
        <f>Anchor!T34</f>
        <v>0</v>
      </c>
      <c r="M37" s="129">
        <f>Anchor!U34</f>
        <v>0</v>
      </c>
      <c r="N37" s="129">
        <f>Anchor!V34</f>
        <v>0</v>
      </c>
      <c r="O37" s="129">
        <f>Anchor!W34</f>
        <v>0</v>
      </c>
      <c r="P37" s="129">
        <f>Anchor!X34</f>
        <v>0</v>
      </c>
      <c r="Q37" s="131">
        <f>10*LOG10(1/(('Summary (Full)'!$B$41/10^(N37/10)+'Summary (Full)'!$B$42/10^(O37/10)+'Summary (Full)'!$B$43/10^(P37/10))/'Summary (Full)'!$B$44))</f>
        <v>0</v>
      </c>
      <c r="R37" s="129">
        <f>Anchor!Y34</f>
        <v>0</v>
      </c>
      <c r="S37" s="129">
        <f>Anchor!Z34</f>
        <v>0</v>
      </c>
      <c r="T37" s="132"/>
      <c r="U37" s="129">
        <f>Test!L34</f>
        <v>0</v>
      </c>
      <c r="V37" s="129">
        <f>Test!M34</f>
        <v>0</v>
      </c>
      <c r="W37" s="129">
        <f>Test!N34</f>
        <v>0</v>
      </c>
      <c r="X37" s="129">
        <f>Test!O34</f>
        <v>0</v>
      </c>
      <c r="Y37" s="129">
        <f>('Summary (Full)'!$B$34*V37+'Summary (Full)'!$B$35*W37+'Summary (Full)'!$B$36*X37)/'Summary (Full)'!$B$37</f>
        <v>0</v>
      </c>
      <c r="Z37" s="129">
        <f>Test!P34</f>
        <v>0</v>
      </c>
      <c r="AA37" s="129">
        <f>Test!Q34</f>
        <v>0</v>
      </c>
      <c r="AB37" s="129">
        <f>Test!R34</f>
        <v>0</v>
      </c>
      <c r="AC37" s="129">
        <f>Test!S34</f>
        <v>0</v>
      </c>
      <c r="AD37" s="129">
        <f>Test!T34</f>
        <v>0</v>
      </c>
      <c r="AE37" s="129">
        <f>Test!U34</f>
        <v>0</v>
      </c>
      <c r="AF37" s="129">
        <f>Test!V34</f>
        <v>0</v>
      </c>
      <c r="AG37" s="129">
        <f>Test!W34</f>
        <v>0</v>
      </c>
      <c r="AH37" s="129">
        <f>Test!X34</f>
        <v>0</v>
      </c>
      <c r="AI37" s="129">
        <f>10*LOG10(1/(('Summary (Full)'!$B$41/10^(AF37/10)+'Summary (Full)'!$B$42/10^(AG37/10)+'Summary (Full)'!$B$43/10^(AH37/10))/'Summary (Full)'!$B$44))</f>
        <v>0</v>
      </c>
      <c r="AJ37" s="129">
        <f>Test!Y34</f>
        <v>0</v>
      </c>
      <c r="AK37" s="129">
        <f>Test!Z34</f>
        <v>0</v>
      </c>
      <c r="AL37" s="129" t="e">
        <f t="shared" si="2"/>
        <v>#DIV/0!</v>
      </c>
      <c r="AM37" s="129" t="e">
        <f t="shared" si="3"/>
        <v>#DIV/0!</v>
      </c>
      <c r="AO37" s="254" t="s">
        <v>28</v>
      </c>
      <c r="AP37" s="172" t="e" cm="1">
        <f t="array" ref="AP37">bdRateExtend($C36:$C39,D36:D39,$U36:$U39,V36:V39)</f>
        <v>#VALUE!</v>
      </c>
      <c r="AQ37" s="172"/>
      <c r="AR37" s="172"/>
      <c r="AS37" s="172"/>
      <c r="AT37" s="172" t="e" cm="1">
        <f t="array" ref="AT37">bdRateExtend($C36:$C39,H36:H39,$U36:$U39,Z36:Z39)</f>
        <v>#VALUE!</v>
      </c>
      <c r="AU37" s="172"/>
      <c r="AV37" s="172" t="e" cm="1">
        <f t="array" ref="AV37">bdRateExtend($C36:$C39,I36:I39,$U36:$U39,AA36:AA39)</f>
        <v>#VALUE!</v>
      </c>
      <c r="AW37" s="172"/>
      <c r="AX37" s="172" t="e" cm="1">
        <f t="array" ref="AX37">bdRateExtend($C36:$C39,J36:J39,$U36:$U39,AB36:AB39,"None", FALSE,1)</f>
        <v>#VALUE!</v>
      </c>
      <c r="AY37" s="175"/>
      <c r="AZ37" s="286" cm="1">
        <f t="array" ref="AZ37">testVMAFRange($C36:$C39,J36:J39,$U36:$U39,AB36:AB39)</f>
        <v>0</v>
      </c>
      <c r="BA37" s="212"/>
      <c r="EV37" s="7"/>
      <c r="EW37" s="7"/>
      <c r="EX37" s="7"/>
      <c r="EY37" s="7"/>
      <c r="EZ37" s="7"/>
      <c r="FA37" s="7"/>
      <c r="FB37" s="7"/>
      <c r="FC37" s="7"/>
    </row>
    <row r="38" spans="1:159" x14ac:dyDescent="0.15">
      <c r="A38" s="250"/>
      <c r="B38" s="38">
        <v>185</v>
      </c>
      <c r="C38" s="129">
        <f>Anchor!L35</f>
        <v>0</v>
      </c>
      <c r="D38" s="129">
        <f>Anchor!M35</f>
        <v>0</v>
      </c>
      <c r="E38" s="129">
        <f>Anchor!N35</f>
        <v>0</v>
      </c>
      <c r="F38" s="129">
        <f>Anchor!O35</f>
        <v>0</v>
      </c>
      <c r="G38" s="130">
        <f>('Summary (Full)'!$B$34*D38+'Summary (Full)'!$B$35*E38+'Summary (Full)'!$B$36*F38)/'Summary (Full)'!$B$37</f>
        <v>0</v>
      </c>
      <c r="H38" s="129">
        <f>Anchor!P35</f>
        <v>0</v>
      </c>
      <c r="I38" s="129">
        <f>Anchor!Q35</f>
        <v>0</v>
      </c>
      <c r="J38" s="129">
        <f>Anchor!R35</f>
        <v>0</v>
      </c>
      <c r="K38" s="129">
        <f>Anchor!S35</f>
        <v>0</v>
      </c>
      <c r="L38" s="129">
        <f>Anchor!T35</f>
        <v>0</v>
      </c>
      <c r="M38" s="129">
        <f>Anchor!U35</f>
        <v>0</v>
      </c>
      <c r="N38" s="129">
        <f>Anchor!V35</f>
        <v>0</v>
      </c>
      <c r="O38" s="129">
        <f>Anchor!W35</f>
        <v>0</v>
      </c>
      <c r="P38" s="129">
        <f>Anchor!X35</f>
        <v>0</v>
      </c>
      <c r="Q38" s="131">
        <f>10*LOG10(1/(('Summary (Full)'!$B$41/10^(N38/10)+'Summary (Full)'!$B$42/10^(O38/10)+'Summary (Full)'!$B$43/10^(P38/10))/'Summary (Full)'!$B$44))</f>
        <v>0</v>
      </c>
      <c r="R38" s="129">
        <f>Anchor!Y35</f>
        <v>0</v>
      </c>
      <c r="S38" s="129">
        <f>Anchor!Z35</f>
        <v>0</v>
      </c>
      <c r="T38" s="132"/>
      <c r="U38" s="129">
        <f>Test!L35</f>
        <v>0</v>
      </c>
      <c r="V38" s="129">
        <f>Test!M35</f>
        <v>0</v>
      </c>
      <c r="W38" s="129">
        <f>Test!N35</f>
        <v>0</v>
      </c>
      <c r="X38" s="129">
        <f>Test!O35</f>
        <v>0</v>
      </c>
      <c r="Y38" s="129">
        <f>('Summary (Full)'!$B$34*V38+'Summary (Full)'!$B$35*W38+'Summary (Full)'!$B$36*X38)/'Summary (Full)'!$B$37</f>
        <v>0</v>
      </c>
      <c r="Z38" s="129">
        <f>Test!P35</f>
        <v>0</v>
      </c>
      <c r="AA38" s="129">
        <f>Test!Q35</f>
        <v>0</v>
      </c>
      <c r="AB38" s="129">
        <f>Test!R35</f>
        <v>0</v>
      </c>
      <c r="AC38" s="129">
        <f>Test!S35</f>
        <v>0</v>
      </c>
      <c r="AD38" s="129">
        <f>Test!T35</f>
        <v>0</v>
      </c>
      <c r="AE38" s="129">
        <f>Test!U35</f>
        <v>0</v>
      </c>
      <c r="AF38" s="129">
        <f>Test!V35</f>
        <v>0</v>
      </c>
      <c r="AG38" s="129">
        <f>Test!W35</f>
        <v>0</v>
      </c>
      <c r="AH38" s="129">
        <f>Test!X35</f>
        <v>0</v>
      </c>
      <c r="AI38" s="129">
        <f>10*LOG10(1/(('Summary (Full)'!$B$41/10^(AF38/10)+'Summary (Full)'!$B$42/10^(AG38/10)+'Summary (Full)'!$B$43/10^(AH38/10))/'Summary (Full)'!$B$44))</f>
        <v>0</v>
      </c>
      <c r="AJ38" s="129">
        <f>Test!Y35</f>
        <v>0</v>
      </c>
      <c r="AK38" s="129">
        <f>Test!Z35</f>
        <v>0</v>
      </c>
      <c r="AL38" s="129" t="e">
        <f t="shared" si="2"/>
        <v>#DIV/0!</v>
      </c>
      <c r="AM38" s="129" t="e">
        <f t="shared" si="3"/>
        <v>#DIV/0!</v>
      </c>
      <c r="AO38" s="254"/>
      <c r="AP38" s="172"/>
      <c r="AQ38" s="172"/>
      <c r="AR38" s="172"/>
      <c r="AS38" s="172"/>
      <c r="AT38" s="172"/>
      <c r="AU38" s="172"/>
      <c r="AV38" s="172"/>
      <c r="AW38" s="172"/>
      <c r="AX38" s="172"/>
      <c r="AY38" s="175"/>
      <c r="AZ38" s="286"/>
      <c r="BA38" s="212"/>
      <c r="EV38" s="7"/>
      <c r="EW38" s="7"/>
      <c r="EX38" s="7"/>
      <c r="EY38" s="7"/>
      <c r="EZ38" s="7"/>
      <c r="FA38" s="7"/>
      <c r="FB38" s="7"/>
      <c r="FC38" s="7"/>
    </row>
    <row r="39" spans="1:159" ht="13" customHeight="1" x14ac:dyDescent="0.15">
      <c r="A39" s="250"/>
      <c r="B39" s="38">
        <v>210</v>
      </c>
      <c r="C39" s="129">
        <f>Anchor!L36</f>
        <v>0</v>
      </c>
      <c r="D39" s="129">
        <f>Anchor!M36</f>
        <v>0</v>
      </c>
      <c r="E39" s="129">
        <f>Anchor!N36</f>
        <v>0</v>
      </c>
      <c r="F39" s="129">
        <f>Anchor!O36</f>
        <v>0</v>
      </c>
      <c r="G39" s="130">
        <f>('Summary (Full)'!$B$34*D39+'Summary (Full)'!$B$35*E39+'Summary (Full)'!$B$36*F39)/'Summary (Full)'!$B$37</f>
        <v>0</v>
      </c>
      <c r="H39" s="129">
        <f>Anchor!P36</f>
        <v>0</v>
      </c>
      <c r="I39" s="129">
        <f>Anchor!Q36</f>
        <v>0</v>
      </c>
      <c r="J39" s="129">
        <f>Anchor!R36</f>
        <v>0</v>
      </c>
      <c r="K39" s="129">
        <f>Anchor!S36</f>
        <v>0</v>
      </c>
      <c r="L39" s="129">
        <f>Anchor!T36</f>
        <v>0</v>
      </c>
      <c r="M39" s="129">
        <f>Anchor!U36</f>
        <v>0</v>
      </c>
      <c r="N39" s="129">
        <f>Anchor!V36</f>
        <v>0</v>
      </c>
      <c r="O39" s="129">
        <f>Anchor!W36</f>
        <v>0</v>
      </c>
      <c r="P39" s="129">
        <f>Anchor!X36</f>
        <v>0</v>
      </c>
      <c r="Q39" s="131">
        <f>10*LOG10(1/(('Summary (Full)'!$B$41/10^(N39/10)+'Summary (Full)'!$B$42/10^(O39/10)+'Summary (Full)'!$B$43/10^(P39/10))/'Summary (Full)'!$B$44))</f>
        <v>0</v>
      </c>
      <c r="R39" s="129">
        <f>Anchor!Y36</f>
        <v>0</v>
      </c>
      <c r="S39" s="129">
        <f>Anchor!Z36</f>
        <v>0</v>
      </c>
      <c r="T39" s="132"/>
      <c r="U39" s="129">
        <f>Test!L36</f>
        <v>0</v>
      </c>
      <c r="V39" s="129">
        <f>Test!M36</f>
        <v>0</v>
      </c>
      <c r="W39" s="129">
        <f>Test!N36</f>
        <v>0</v>
      </c>
      <c r="X39" s="129">
        <f>Test!O36</f>
        <v>0</v>
      </c>
      <c r="Y39" s="129">
        <f>('Summary (Full)'!$B$34*V39+'Summary (Full)'!$B$35*W39+'Summary (Full)'!$B$36*X39)/'Summary (Full)'!$B$37</f>
        <v>0</v>
      </c>
      <c r="Z39" s="129">
        <f>Test!P36</f>
        <v>0</v>
      </c>
      <c r="AA39" s="129">
        <f>Test!Q36</f>
        <v>0</v>
      </c>
      <c r="AB39" s="129">
        <f>Test!R36</f>
        <v>0</v>
      </c>
      <c r="AC39" s="129">
        <f>Test!S36</f>
        <v>0</v>
      </c>
      <c r="AD39" s="129">
        <f>Test!T36</f>
        <v>0</v>
      </c>
      <c r="AE39" s="129">
        <f>Test!U36</f>
        <v>0</v>
      </c>
      <c r="AF39" s="129">
        <f>Test!V36</f>
        <v>0</v>
      </c>
      <c r="AG39" s="129">
        <f>Test!W36</f>
        <v>0</v>
      </c>
      <c r="AH39" s="129">
        <f>Test!X36</f>
        <v>0</v>
      </c>
      <c r="AI39" s="129">
        <f>10*LOG10(1/(('Summary (Full)'!$B$41/10^(AF39/10)+'Summary (Full)'!$B$42/10^(AG39/10)+'Summary (Full)'!$B$43/10^(AH39/10))/'Summary (Full)'!$B$44))</f>
        <v>0</v>
      </c>
      <c r="AJ39" s="129">
        <f>Test!Y36</f>
        <v>0</v>
      </c>
      <c r="AK39" s="129">
        <f>Test!Z36</f>
        <v>0</v>
      </c>
      <c r="AL39" s="129" t="e">
        <f t="shared" si="2"/>
        <v>#DIV/0!</v>
      </c>
      <c r="AM39" s="129" t="e">
        <f t="shared" si="3"/>
        <v>#DIV/0!</v>
      </c>
      <c r="AO39" s="254" t="s">
        <v>29</v>
      </c>
      <c r="AP39" s="172" t="e" cm="1">
        <f t="array" ref="AP39">bdRateExtend($C37:$C40,D37:D40,$U37:$U40,V37:V40)</f>
        <v>#VALUE!</v>
      </c>
      <c r="AQ39" s="172"/>
      <c r="AR39" s="172"/>
      <c r="AS39" s="172"/>
      <c r="AT39" s="172" t="e" cm="1">
        <f t="array" ref="AT39">bdRateExtend($C37:$C40,H37:H40,$U37:$U40,Z37:Z40)</f>
        <v>#VALUE!</v>
      </c>
      <c r="AU39" s="172"/>
      <c r="AV39" s="172" t="e" cm="1">
        <f t="array" ref="AV39">bdRateExtend($C37:$C40,I37:I40,$U37:$U40,AA37:AA40)</f>
        <v>#VALUE!</v>
      </c>
      <c r="AW39" s="172"/>
      <c r="AX39" s="172" t="e" cm="1">
        <f t="array" ref="AX39">bdRateExtend($C37:$C40,J37:J40,$U37:$U40,AB37:AB40,"None", FALSE,1)</f>
        <v>#VALUE!</v>
      </c>
      <c r="AY39" s="175"/>
      <c r="AZ39" s="286" cm="1">
        <f t="array" ref="AZ39">testVMAFRange($C37:$C40,J37:J40,$U37:$U40,AB37:AB40)</f>
        <v>0</v>
      </c>
      <c r="BA39" s="212"/>
      <c r="EV39" s="7"/>
      <c r="EW39" s="7"/>
      <c r="EX39" s="7"/>
      <c r="EY39" s="7"/>
      <c r="EZ39" s="7"/>
      <c r="FA39" s="7"/>
      <c r="FB39" s="7"/>
      <c r="FC39" s="7"/>
    </row>
    <row r="40" spans="1:159" ht="14" thickBot="1" x14ac:dyDescent="0.2">
      <c r="A40" s="250"/>
      <c r="B40" s="38">
        <v>235</v>
      </c>
      <c r="C40" s="129">
        <f>Anchor!L37</f>
        <v>0</v>
      </c>
      <c r="D40" s="129">
        <f>Anchor!M37</f>
        <v>0</v>
      </c>
      <c r="E40" s="129">
        <f>Anchor!N37</f>
        <v>0</v>
      </c>
      <c r="F40" s="129">
        <f>Anchor!O37</f>
        <v>0</v>
      </c>
      <c r="G40" s="130">
        <f>('Summary (Full)'!$B$34*D40+'Summary (Full)'!$B$35*E40+'Summary (Full)'!$B$36*F40)/'Summary (Full)'!$B$37</f>
        <v>0</v>
      </c>
      <c r="H40" s="129">
        <f>Anchor!P37</f>
        <v>0</v>
      </c>
      <c r="I40" s="129">
        <f>Anchor!Q37</f>
        <v>0</v>
      </c>
      <c r="J40" s="129">
        <f>Anchor!R37</f>
        <v>0</v>
      </c>
      <c r="K40" s="129">
        <f>Anchor!S37</f>
        <v>0</v>
      </c>
      <c r="L40" s="129">
        <f>Anchor!T37</f>
        <v>0</v>
      </c>
      <c r="M40" s="129">
        <f>Anchor!U37</f>
        <v>0</v>
      </c>
      <c r="N40" s="129">
        <f>Anchor!V37</f>
        <v>0</v>
      </c>
      <c r="O40" s="129">
        <f>Anchor!W37</f>
        <v>0</v>
      </c>
      <c r="P40" s="129">
        <f>Anchor!X37</f>
        <v>0</v>
      </c>
      <c r="Q40" s="131">
        <f>10*LOG10(1/(('Summary (Full)'!$B$41/10^(N40/10)+'Summary (Full)'!$B$42/10^(O40/10)+'Summary (Full)'!$B$43/10^(P40/10))/'Summary (Full)'!$B$44))</f>
        <v>0</v>
      </c>
      <c r="R40" s="129">
        <f>Anchor!Y37</f>
        <v>0</v>
      </c>
      <c r="S40" s="129">
        <f>Anchor!Z37</f>
        <v>0</v>
      </c>
      <c r="T40" s="132"/>
      <c r="U40" s="129">
        <f>Test!L37</f>
        <v>0</v>
      </c>
      <c r="V40" s="129">
        <f>Test!M37</f>
        <v>0</v>
      </c>
      <c r="W40" s="129">
        <f>Test!N37</f>
        <v>0</v>
      </c>
      <c r="X40" s="129">
        <f>Test!O37</f>
        <v>0</v>
      </c>
      <c r="Y40" s="129">
        <f>('Summary (Full)'!$B$34*V40+'Summary (Full)'!$B$35*W40+'Summary (Full)'!$B$36*X40)/'Summary (Full)'!$B$37</f>
        <v>0</v>
      </c>
      <c r="Z40" s="129">
        <f>Test!P37</f>
        <v>0</v>
      </c>
      <c r="AA40" s="129">
        <f>Test!Q37</f>
        <v>0</v>
      </c>
      <c r="AB40" s="129">
        <f>Test!R37</f>
        <v>0</v>
      </c>
      <c r="AC40" s="129">
        <f>Test!S37</f>
        <v>0</v>
      </c>
      <c r="AD40" s="129">
        <f>Test!T37</f>
        <v>0</v>
      </c>
      <c r="AE40" s="129">
        <f>Test!U37</f>
        <v>0</v>
      </c>
      <c r="AF40" s="129">
        <f>Test!V37</f>
        <v>0</v>
      </c>
      <c r="AG40" s="129">
        <f>Test!W37</f>
        <v>0</v>
      </c>
      <c r="AH40" s="129">
        <f>Test!X37</f>
        <v>0</v>
      </c>
      <c r="AI40" s="129">
        <f>10*LOG10(1/(('Summary (Full)'!$B$41/10^(AF40/10)+'Summary (Full)'!$B$42/10^(AG40/10)+'Summary (Full)'!$B$43/10^(AH40/10))/'Summary (Full)'!$B$44))</f>
        <v>0</v>
      </c>
      <c r="AJ40" s="129">
        <f>Test!Y37</f>
        <v>0</v>
      </c>
      <c r="AK40" s="129">
        <f>Test!Z37</f>
        <v>0</v>
      </c>
      <c r="AL40" s="129" t="e">
        <f t="shared" si="2"/>
        <v>#DIV/0!</v>
      </c>
      <c r="AM40" s="129" t="e">
        <f t="shared" si="3"/>
        <v>#DIV/0!</v>
      </c>
      <c r="AO40" s="263"/>
      <c r="AP40" s="173"/>
      <c r="AQ40" s="173"/>
      <c r="AR40" s="173"/>
      <c r="AS40" s="173"/>
      <c r="AT40" s="173"/>
      <c r="AU40" s="173"/>
      <c r="AV40" s="173"/>
      <c r="AW40" s="173"/>
      <c r="AX40" s="173"/>
      <c r="AY40" s="188"/>
      <c r="AZ40" s="287"/>
      <c r="BA40" s="240"/>
      <c r="EV40" s="7"/>
      <c r="EW40" s="7"/>
      <c r="EX40" s="7"/>
      <c r="EY40" s="7"/>
      <c r="EZ40" s="7"/>
      <c r="FA40" s="7"/>
      <c r="FB40" s="7"/>
      <c r="FC40" s="7"/>
    </row>
    <row r="41" spans="1:159" x14ac:dyDescent="0.15">
      <c r="EV41" s="7"/>
      <c r="EW41" s="7"/>
      <c r="EX41" s="7"/>
      <c r="EY41" s="7"/>
      <c r="EZ41" s="7"/>
      <c r="FA41" s="7"/>
      <c r="FB41" s="7"/>
      <c r="FC41" s="7"/>
    </row>
    <row r="42" spans="1:159" ht="14" thickBot="1" x14ac:dyDescent="0.2">
      <c r="EV42" s="7"/>
      <c r="EW42" s="7"/>
      <c r="EX42" s="7"/>
      <c r="EY42" s="7"/>
      <c r="EZ42" s="7"/>
      <c r="FA42" s="7"/>
      <c r="FB42" s="7"/>
      <c r="FC42" s="7"/>
    </row>
    <row r="43" spans="1:159" x14ac:dyDescent="0.15">
      <c r="A43" s="265" t="s">
        <v>76</v>
      </c>
      <c r="B43" s="266"/>
      <c r="C43" s="266"/>
      <c r="D43" s="266"/>
      <c r="E43" s="266"/>
      <c r="F43" s="266"/>
      <c r="G43" s="266"/>
      <c r="H43" s="266"/>
      <c r="I43" s="266"/>
      <c r="J43" s="266"/>
      <c r="K43" s="266"/>
      <c r="L43" s="266"/>
      <c r="M43" s="266"/>
      <c r="N43" s="266"/>
      <c r="O43" s="266"/>
      <c r="P43" s="266"/>
      <c r="Q43" s="266"/>
      <c r="R43" s="266"/>
      <c r="S43" s="266"/>
      <c r="T43" s="266"/>
      <c r="U43" s="266"/>
      <c r="V43" s="266"/>
      <c r="W43" s="94"/>
      <c r="X43" s="94"/>
      <c r="Y43" s="94"/>
      <c r="Z43" s="94"/>
      <c r="AA43" s="94"/>
      <c r="AB43" s="94"/>
      <c r="AC43" s="94"/>
      <c r="AD43" s="94"/>
      <c r="AE43" s="94"/>
      <c r="AF43" s="94"/>
      <c r="AG43" s="94"/>
      <c r="AH43" s="94"/>
      <c r="AI43" s="96"/>
      <c r="AJ43" s="96"/>
      <c r="AK43" s="96"/>
      <c r="AL43" s="97"/>
      <c r="EV43" s="7"/>
      <c r="EW43" s="7"/>
      <c r="EX43" s="7"/>
      <c r="EY43" s="7"/>
      <c r="EZ43" s="7"/>
      <c r="FA43" s="7"/>
      <c r="FB43" s="7"/>
      <c r="FC43" s="7"/>
    </row>
    <row r="44" spans="1:159" x14ac:dyDescent="0.15">
      <c r="A44" s="267" t="s">
        <v>13</v>
      </c>
      <c r="B44" s="268"/>
      <c r="C44" s="268"/>
      <c r="D44" s="268"/>
      <c r="E44" s="268"/>
      <c r="F44" s="268"/>
      <c r="G44" s="268"/>
      <c r="H44" s="268"/>
      <c r="I44" s="268"/>
      <c r="J44" s="268"/>
      <c r="K44" s="268"/>
      <c r="L44" s="268"/>
      <c r="M44" s="93"/>
      <c r="N44" s="93"/>
      <c r="O44" s="93"/>
      <c r="P44" s="93"/>
      <c r="Q44" s="268" t="s">
        <v>1</v>
      </c>
      <c r="R44" s="268"/>
      <c r="S44" s="268" t="s">
        <v>22</v>
      </c>
      <c r="T44" s="268"/>
      <c r="U44" s="268" t="s">
        <v>0</v>
      </c>
      <c r="V44" s="268"/>
      <c r="W44" s="268" t="s">
        <v>49</v>
      </c>
      <c r="X44" s="268"/>
      <c r="Y44" s="271" t="s">
        <v>40</v>
      </c>
      <c r="Z44" s="271"/>
      <c r="AA44" s="271" t="s">
        <v>44</v>
      </c>
      <c r="AB44" s="271"/>
      <c r="AC44" s="271" t="s">
        <v>45</v>
      </c>
      <c r="AD44" s="271"/>
      <c r="AE44" s="271"/>
      <c r="AF44" s="271"/>
      <c r="AG44" s="271"/>
      <c r="AH44" s="271"/>
      <c r="AI44" s="282" t="s">
        <v>13</v>
      </c>
      <c r="AJ44" s="282"/>
      <c r="AK44" s="255" t="s">
        <v>42</v>
      </c>
      <c r="AL44" s="256"/>
      <c r="EV44" s="7"/>
      <c r="EW44" s="7"/>
      <c r="EX44" s="7"/>
      <c r="EY44" s="7"/>
      <c r="EZ44" s="7"/>
      <c r="FA44" s="7"/>
      <c r="FB44" s="7"/>
      <c r="FC44" s="7"/>
    </row>
    <row r="45" spans="1:159" x14ac:dyDescent="0.15">
      <c r="A45" s="95"/>
      <c r="B45" s="93"/>
      <c r="C45" s="268" t="s">
        <v>13</v>
      </c>
      <c r="D45" s="268"/>
      <c r="E45" s="268"/>
      <c r="F45" s="268"/>
      <c r="G45" s="93"/>
      <c r="H45" s="93"/>
      <c r="I45" s="93"/>
      <c r="J45" s="93"/>
      <c r="K45" s="93"/>
      <c r="L45" s="93"/>
      <c r="M45" s="268" t="s">
        <v>42</v>
      </c>
      <c r="N45" s="268"/>
      <c r="O45" s="268"/>
      <c r="P45" s="268"/>
      <c r="Q45" s="93"/>
      <c r="R45" s="93"/>
      <c r="S45" s="93"/>
      <c r="T45" s="93"/>
      <c r="U45" s="93"/>
      <c r="V45" s="93"/>
      <c r="W45" s="93"/>
      <c r="X45" s="93"/>
      <c r="Y45" s="93"/>
      <c r="Z45" s="93"/>
      <c r="AA45" s="93"/>
      <c r="AB45" s="93"/>
      <c r="AC45" s="93"/>
      <c r="AD45" s="93"/>
      <c r="AE45" s="93"/>
      <c r="AF45" s="93"/>
      <c r="AG45" s="93"/>
      <c r="AH45" s="93"/>
      <c r="AI45" s="98"/>
      <c r="AJ45" s="98"/>
      <c r="AK45" s="98"/>
      <c r="AL45" s="99"/>
      <c r="EV45" s="7"/>
      <c r="EW45" s="7"/>
      <c r="EX45" s="7"/>
      <c r="EY45" s="7"/>
      <c r="EZ45" s="7"/>
      <c r="FA45" s="7"/>
      <c r="FB45" s="7"/>
      <c r="FC45" s="7"/>
    </row>
    <row r="46" spans="1:159" ht="17" customHeight="1" thickBot="1" x14ac:dyDescent="0.2">
      <c r="A46" s="269" t="s">
        <v>23</v>
      </c>
      <c r="B46" s="270"/>
      <c r="C46" s="117" t="s">
        <v>24</v>
      </c>
      <c r="D46" s="117" t="s">
        <v>25</v>
      </c>
      <c r="E46" s="117" t="s">
        <v>26</v>
      </c>
      <c r="F46" s="117" t="s">
        <v>38</v>
      </c>
      <c r="G46" s="117" t="s">
        <v>5</v>
      </c>
      <c r="H46" s="117" t="s">
        <v>22</v>
      </c>
      <c r="I46" s="117" t="s">
        <v>0</v>
      </c>
      <c r="J46" s="117" t="s">
        <v>39</v>
      </c>
      <c r="K46" s="117" t="s">
        <v>40</v>
      </c>
      <c r="L46" s="117" t="s">
        <v>41</v>
      </c>
      <c r="M46" s="117" t="s">
        <v>24</v>
      </c>
      <c r="N46" s="117" t="s">
        <v>25</v>
      </c>
      <c r="O46" s="117" t="s">
        <v>26</v>
      </c>
      <c r="P46" s="117" t="s">
        <v>38</v>
      </c>
      <c r="Q46" s="117" t="s">
        <v>23</v>
      </c>
      <c r="R46" s="117" t="s">
        <v>24</v>
      </c>
      <c r="S46" s="117" t="s">
        <v>23</v>
      </c>
      <c r="T46" s="117" t="s">
        <v>24</v>
      </c>
      <c r="U46" s="117" t="s">
        <v>23</v>
      </c>
      <c r="V46" s="117" t="s">
        <v>24</v>
      </c>
      <c r="W46" s="117" t="s">
        <v>23</v>
      </c>
      <c r="X46" s="117" t="s">
        <v>24</v>
      </c>
      <c r="Y46" s="117" t="s">
        <v>23</v>
      </c>
      <c r="Z46" s="117" t="s">
        <v>24</v>
      </c>
      <c r="AA46" s="117" t="s">
        <v>23</v>
      </c>
      <c r="AB46" s="117" t="s">
        <v>24</v>
      </c>
      <c r="AC46" s="117" t="s">
        <v>23</v>
      </c>
      <c r="AD46" s="117" t="s">
        <v>24</v>
      </c>
      <c r="AE46" s="117" t="s">
        <v>24</v>
      </c>
      <c r="AF46" s="117" t="s">
        <v>25</v>
      </c>
      <c r="AG46" s="117" t="s">
        <v>26</v>
      </c>
      <c r="AH46" s="117" t="s">
        <v>38</v>
      </c>
      <c r="AI46" s="283" t="s">
        <v>38</v>
      </c>
      <c r="AJ46" s="283"/>
      <c r="AK46" s="257" t="s">
        <v>38</v>
      </c>
      <c r="AL46" s="258"/>
      <c r="AN46" s="1" t="s">
        <v>138</v>
      </c>
      <c r="AP46" s="1" t="s">
        <v>139</v>
      </c>
      <c r="EV46" s="7"/>
      <c r="EW46" s="7"/>
      <c r="EX46" s="7"/>
      <c r="EY46" s="7"/>
      <c r="EZ46" s="7"/>
      <c r="FA46" s="7"/>
      <c r="FB46" s="7"/>
      <c r="FC46" s="7"/>
    </row>
    <row r="47" spans="1:159" x14ac:dyDescent="0.15">
      <c r="A47" s="253" t="s">
        <v>27</v>
      </c>
      <c r="B47" s="171" t="e">
        <f>bdRateROI($CL5:$CL63,CM5:CM63,$DZ5:$DZ63,EA5:EA63,CJ11,CJ6,1, 0, TRUE)</f>
        <v>#VALUE!</v>
      </c>
      <c r="C47" s="171" t="e">
        <f t="shared" ref="C47:H47" si="4">bdRateExtend($CL5:$CL63,CN5:CN63,$DZ5:$DZ63,EB5:EB63, "None", FALSE, 0, TRUE)</f>
        <v>#VALUE!</v>
      </c>
      <c r="D47" s="171" t="e">
        <f t="shared" si="4"/>
        <v>#VALUE!</v>
      </c>
      <c r="E47" s="171" t="e">
        <f t="shared" si="4"/>
        <v>#VALUE!</v>
      </c>
      <c r="F47" s="171" t="e">
        <f t="shared" si="4"/>
        <v>#VALUE!</v>
      </c>
      <c r="G47" s="171" t="e">
        <f t="shared" si="4"/>
        <v>#VALUE!</v>
      </c>
      <c r="H47" s="171" t="e">
        <f t="shared" si="4"/>
        <v>#VALUE!</v>
      </c>
      <c r="I47" s="171" t="e">
        <f>bdRateExtend($CL5:$CL63,CT5:CT63,$DZ5:$DZ63,EH5:EH63,"None", FALSE,2,TRUE)</f>
        <v>#VALUE!</v>
      </c>
      <c r="J47" s="171" t="e">
        <f>bdRateExtend($CL5:$CL63,CU5:CU63,$DZ5:$DZ63,EI5:EI63,"None", FALSE,2,TRUE)</f>
        <v>#VALUE!</v>
      </c>
      <c r="K47" s="171" t="e">
        <f t="shared" ref="K47:P47" si="5">bdRateExtend($CL5:$CL63,CV5:CV63,$DZ5:$DZ63,EJ5:EJ63, "None", FALSE, 0, TRUE)</f>
        <v>#VALUE!</v>
      </c>
      <c r="L47" s="171" t="e">
        <f t="shared" si="5"/>
        <v>#VALUE!</v>
      </c>
      <c r="M47" s="171" t="e">
        <f t="shared" si="5"/>
        <v>#VALUE!</v>
      </c>
      <c r="N47" s="171" t="e">
        <f t="shared" si="5"/>
        <v>#VALUE!</v>
      </c>
      <c r="O47" s="171" t="e">
        <f t="shared" si="5"/>
        <v>#VALUE!</v>
      </c>
      <c r="P47" s="171" t="e">
        <f t="shared" si="5"/>
        <v>#VALUE!</v>
      </c>
      <c r="Q47" s="171" t="e">
        <f>bdRateROI($DE5:$DE63,DF5:DF63,$ER5:$ER63,ES5:ES63,CJ11,CJ6,1, 0, TRUE)</f>
        <v>#VALUE!</v>
      </c>
      <c r="R47" s="171" t="e">
        <f>bdRateExtend($DE5:$DE63,DF5:DF63,$ER5:$ER63,ES5:ES63, "None", FALSE, 0, TRUE)</f>
        <v>#VALUE!</v>
      </c>
      <c r="S47" s="171" t="e">
        <f>bdRateROI($DH5:$DH63,DI5:DI63,$ET5:$ET63,EU5:EU63,CJ11,CJ6,1, 0, TRUE)</f>
        <v>#VALUE!</v>
      </c>
      <c r="T47" s="171" t="e">
        <f>bdRateExtend($DH5:$DH63,DI5:DI63,$ET5:$ET63,EU5:EU63, "None", FALSE, 0, TRUE)</f>
        <v>#VALUE!</v>
      </c>
      <c r="U47" s="171" t="e">
        <f>bdRateROI($DK5:$DK63,DL5:DL63,$EV5:$EV63,EW5:EW63,$CJ11,$CJ6,1,2,TRUE)</f>
        <v>#VALUE!</v>
      </c>
      <c r="V47" s="171" t="e">
        <f>bdRateExtend($DK5:$DK63,DL5:DL63,$EV5:$EV63,EW5:EW63,"None", FALSE,2,TRUE)</f>
        <v>#VALUE!</v>
      </c>
      <c r="W47" s="171" t="e">
        <f>bdRateROI(DM5:DM63,DN5:DN63,EX5:EX63,EY5:EY63,$CJ11,$CJ6,1,2,TRUE)</f>
        <v>#VALUE!</v>
      </c>
      <c r="X47" s="171" t="e">
        <f>bdRateExtend(DM5:DM63,DN5:DN63,EX5:EX63,EY5:EY63,"None", FALSE,2,TRUE)</f>
        <v>#VALUE!</v>
      </c>
      <c r="Y47" s="171" t="e">
        <f>bdRateROI(DO5:DO63,DP5:DP63,EZ5:EZ63,FA5:FA63,$CJ11,$CJ6,1, 0, TRUE)</f>
        <v>#VALUE!</v>
      </c>
      <c r="Z47" s="171" t="e">
        <f>bdRateExtend(DO5:DO63,DP5:DP63,EZ5:EZ63,FA5:FA63, "None", FALSE, 0, TRUE)</f>
        <v>#VALUE!</v>
      </c>
      <c r="AA47" s="171" t="e">
        <f>bdRateROI(DQ5:DQ63,DR5:DR63,FB5:FB63,FC5:FC63,$CJ11,$CJ6,1, 0, TRUE)</f>
        <v>#VALUE!</v>
      </c>
      <c r="AB47" s="171" t="e">
        <f>bdRateExtend(DQ5:DQ63,DR5:DR63,FB5:FB63,FC5:FC63, "None", FALSE, 0, TRUE)</f>
        <v>#VALUE!</v>
      </c>
      <c r="AC47" s="171" t="e">
        <f>bdRateROI(DS5:DS63,DT5:DT63,FD5:FD63,FE5:FE63,$CJ11,$CJ6,1, 0, TRUE)</f>
        <v>#VALUE!</v>
      </c>
      <c r="AD47" s="171" t="e">
        <f>bdRateExtend(DS5:DS63,DT5:DT63,FD5:FD63,FE5:FE63, "None", FALSE, 0, TRUE)</f>
        <v>#VALUE!</v>
      </c>
      <c r="AE47" s="171" t="e">
        <f>bdRateExtend($DS5:$DS63,DU5:DU63,$FD5:$FD63,FF5:FF63, "None", FALSE, 0, TRUE)</f>
        <v>#VALUE!</v>
      </c>
      <c r="AF47" s="171" t="e">
        <f>bdRateExtend($DS5:$DS63,DV5:DV63,$FD5:$FD63,FG5:FG63, "None", FALSE, 0, TRUE)</f>
        <v>#VALUE!</v>
      </c>
      <c r="AG47" s="171" t="e">
        <f>bdRateExtend($DS5:$DS63,DW5:DW63,$FD5:$FD63,FH5:FH63, "None", FALSE, 0, TRUE)</f>
        <v>#VALUE!</v>
      </c>
      <c r="AH47" s="171" t="e">
        <f>bdRateExtend($DS5:$DS63,DX5:DX63,$FD5:$FD63,FI5:FI63, "None", FALSE, 0, TRUE)</f>
        <v>#VALUE!</v>
      </c>
      <c r="AI47" s="171" t="e">
        <f>bdRateROI($FK5:$FK63,FL5:FL63,$FP5:$FP63,FQ5:FQ63,$CJ11,$CJ6,1, 0, TRUE)</f>
        <v>#VALUE!</v>
      </c>
      <c r="AJ47" s="171" t="e">
        <f>bdRateExtend($FK5:$FK63,FL5:FL63,$FP5:$FP63,FQ5:FQ63, "None", FALSE, 0, TRUE)</f>
        <v>#VALUE!</v>
      </c>
      <c r="AK47" s="171" t="e">
        <f>bdRateROI($FM5:$FM63,FN5:FN63,$FR5:$FR63,FS5:FS63,$CJ11,$CJ6,1, 0, TRUE)</f>
        <v>#VALUE!</v>
      </c>
      <c r="AL47" s="174" t="e">
        <f>bdRateExtend($FM5:$FM63,FN5:FN63,$FR5:$FR63,FS5:FS63, "None", FALSE, 0, TRUE)</f>
        <v>#VALUE!</v>
      </c>
      <c r="AM47" s="260"/>
      <c r="AN47" s="259" t="e" cm="1">
        <f t="array" ref="AN47">testVMAFRange($DK5:$DK63,DL5:DL63,$EV5:$EV63,EW5:EW63)</f>
        <v>#VALUE!</v>
      </c>
      <c r="AO47" s="118"/>
      <c r="AP47" s="259" t="e" cm="1">
        <f t="array" ref="AP47">testVMAFRange(DM5:DM63,DN5:DN63,EX5:EX63,EY5:EY63)</f>
        <v>#VALUE!</v>
      </c>
      <c r="EV47" s="7"/>
      <c r="EW47" s="7"/>
      <c r="EX47" s="7"/>
      <c r="EY47" s="7"/>
      <c r="EZ47" s="7"/>
      <c r="FA47" s="7"/>
      <c r="FB47" s="7"/>
      <c r="FC47" s="7"/>
    </row>
    <row r="48" spans="1:159" x14ac:dyDescent="0.15">
      <c r="A48" s="254"/>
      <c r="B48" s="172"/>
      <c r="C48" s="172"/>
      <c r="D48" s="172"/>
      <c r="E48" s="172"/>
      <c r="F48" s="172"/>
      <c r="G48" s="172"/>
      <c r="H48" s="172"/>
      <c r="I48" s="172"/>
      <c r="J48" s="172"/>
      <c r="K48" s="172"/>
      <c r="L48" s="172"/>
      <c r="M48" s="172"/>
      <c r="N48" s="172"/>
      <c r="O48" s="172"/>
      <c r="P48" s="172"/>
      <c r="Q48" s="172"/>
      <c r="R48" s="172"/>
      <c r="S48" s="172"/>
      <c r="T48" s="172"/>
      <c r="U48" s="172"/>
      <c r="V48" s="172"/>
      <c r="W48" s="172"/>
      <c r="X48" s="172"/>
      <c r="Y48" s="172"/>
      <c r="Z48" s="172"/>
      <c r="AA48" s="172"/>
      <c r="AB48" s="172"/>
      <c r="AC48" s="172"/>
      <c r="AD48" s="172"/>
      <c r="AE48" s="172"/>
      <c r="AF48" s="172"/>
      <c r="AG48" s="172"/>
      <c r="AH48" s="172"/>
      <c r="AI48" s="172"/>
      <c r="AJ48" s="172"/>
      <c r="AK48" s="172"/>
      <c r="AL48" s="175"/>
      <c r="AM48" s="261"/>
      <c r="AN48" s="259"/>
      <c r="AO48" s="118"/>
      <c r="AP48" s="259"/>
      <c r="EV48" s="7"/>
      <c r="EW48" s="7"/>
      <c r="EX48" s="7"/>
      <c r="EY48" s="7"/>
      <c r="EZ48" s="7"/>
      <c r="FA48" s="7"/>
      <c r="FB48" s="7"/>
      <c r="FC48" s="7"/>
    </row>
    <row r="49" spans="1:159" x14ac:dyDescent="0.15">
      <c r="A49" s="254" t="s">
        <v>28</v>
      </c>
      <c r="B49" s="172" t="e">
        <f>bdRateROI($CL5:$CL63,CM5:CM63,$DZ5:$DZ63,EA5:EA63,CJ10,CJ11,1, 0, TRUE)</f>
        <v>#VALUE!</v>
      </c>
      <c r="C49" s="172"/>
      <c r="D49" s="172"/>
      <c r="E49" s="172"/>
      <c r="F49" s="172"/>
      <c r="G49" s="172"/>
      <c r="H49" s="172"/>
      <c r="I49" s="172"/>
      <c r="J49" s="172"/>
      <c r="K49" s="172"/>
      <c r="L49" s="172"/>
      <c r="M49" s="172"/>
      <c r="N49" s="172"/>
      <c r="O49" s="172"/>
      <c r="P49" s="172"/>
      <c r="Q49" s="172" t="e">
        <f>bdRateROI($DE5:$DE63,DF5:DF63,$ER5:$ER63,ES5:ES63,CJ10,CJ11,1, 0, TRUE)</f>
        <v>#VALUE!</v>
      </c>
      <c r="R49" s="172"/>
      <c r="S49" s="172" t="e">
        <f>bdRateROI($DH5:$DH63,DI5:DI63,$ET5:$ET63,EU5:EU63,CJ10,CJ11,1, 0, TRUE)</f>
        <v>#VALUE!</v>
      </c>
      <c r="T49" s="172"/>
      <c r="U49" s="172" t="e">
        <f>bdRateROI($DK5:$DK63,DL5:DL63,$EV5:$EV63,EW5:EW63,$CJ$10,$CJ$11,1,2,TRUE)</f>
        <v>#VALUE!</v>
      </c>
      <c r="V49" s="172"/>
      <c r="W49" s="172" t="e">
        <f>bdRateROI(DM5:DM63,DN5:DN63,EX5:EX63,EY5:EY63,$CJ$10,$CJ$11,1,2,TRUE)</f>
        <v>#VALUE!</v>
      </c>
      <c r="X49" s="172"/>
      <c r="Y49" s="172" t="e">
        <f>bdRateROI(DO5:DO63,DP5:DP63,EZ5:EZ63,FA5:FA63,$CJ$10,$CJ$11,1, 0, TRUE)</f>
        <v>#VALUE!</v>
      </c>
      <c r="Z49" s="172"/>
      <c r="AA49" s="172" t="e">
        <f>bdRateROI(DQ5:DQ63,DR5:DR63,FB5:FB63,FC5:FC63,$CJ$10,$CJ$11,1, 0, TRUE)</f>
        <v>#VALUE!</v>
      </c>
      <c r="AB49" s="172"/>
      <c r="AC49" s="172" t="e">
        <f>bdRateROI(DS5:DS63,DT5:DT63,FD5:FD63,FE5:FE63,$CJ$10,$CJ$11,1, 0, TRUE)</f>
        <v>#VALUE!</v>
      </c>
      <c r="AD49" s="172"/>
      <c r="AE49" s="172"/>
      <c r="AF49" s="172"/>
      <c r="AG49" s="172"/>
      <c r="AH49" s="172"/>
      <c r="AI49" s="172" t="e">
        <f>bdRateROI($FK5:$FK63,FL5:FL63,$FP5:$FP63,FQ5:FQ63,$CJ$10,$CJ$11,1, 0, TRUE)</f>
        <v>#VALUE!</v>
      </c>
      <c r="AJ49" s="172"/>
      <c r="AK49" s="172" t="e">
        <f>bdRateROI($FM5:$FM63,FN5:FN63,$FR5:$FR63,FS5:FS63,$CJ$10,$CJ$11,1, 0, TRUE)</f>
        <v>#VALUE!</v>
      </c>
      <c r="AL49" s="175"/>
      <c r="AM49" s="261"/>
      <c r="AN49" s="259"/>
      <c r="AO49" s="118"/>
      <c r="AP49" s="259"/>
      <c r="EV49" s="7"/>
      <c r="EW49" s="7"/>
      <c r="EX49" s="7"/>
      <c r="EY49" s="7"/>
      <c r="EZ49" s="7"/>
      <c r="FA49" s="7"/>
      <c r="FB49" s="7"/>
      <c r="FC49" s="7"/>
    </row>
    <row r="50" spans="1:159" x14ac:dyDescent="0.15">
      <c r="A50" s="254"/>
      <c r="B50" s="172"/>
      <c r="C50" s="172"/>
      <c r="D50" s="172"/>
      <c r="E50" s="172"/>
      <c r="F50" s="172"/>
      <c r="G50" s="172"/>
      <c r="H50" s="172"/>
      <c r="I50" s="172"/>
      <c r="J50" s="172"/>
      <c r="K50" s="172"/>
      <c r="L50" s="172"/>
      <c r="M50" s="172"/>
      <c r="N50" s="172"/>
      <c r="O50" s="172"/>
      <c r="P50" s="172"/>
      <c r="Q50" s="172"/>
      <c r="R50" s="172"/>
      <c r="S50" s="172"/>
      <c r="T50" s="172"/>
      <c r="U50" s="172"/>
      <c r="V50" s="172"/>
      <c r="W50" s="172"/>
      <c r="X50" s="172"/>
      <c r="Y50" s="172"/>
      <c r="Z50" s="172"/>
      <c r="AA50" s="172"/>
      <c r="AB50" s="172"/>
      <c r="AC50" s="172"/>
      <c r="AD50" s="172"/>
      <c r="AE50" s="172"/>
      <c r="AF50" s="172"/>
      <c r="AG50" s="172"/>
      <c r="AH50" s="172"/>
      <c r="AI50" s="172"/>
      <c r="AJ50" s="172"/>
      <c r="AK50" s="172"/>
      <c r="AL50" s="175"/>
      <c r="AM50" s="261"/>
      <c r="AN50" s="259"/>
      <c r="AO50" s="118"/>
      <c r="AP50" s="259"/>
      <c r="EV50" s="7"/>
      <c r="EW50" s="7"/>
      <c r="EX50" s="7"/>
      <c r="EY50" s="7"/>
      <c r="EZ50" s="7"/>
      <c r="FA50" s="7"/>
      <c r="FB50" s="7"/>
      <c r="FC50" s="7"/>
    </row>
    <row r="51" spans="1:159" x14ac:dyDescent="0.15">
      <c r="A51" s="254" t="s">
        <v>29</v>
      </c>
      <c r="B51" s="172" t="e">
        <f>bdRateROI($CL5:$CL63,CM5:CM63,$DZ5:$DZ63,EA5:EA63,CJ5,CJ10,1, 0, TRUE)</f>
        <v>#VALUE!</v>
      </c>
      <c r="C51" s="172"/>
      <c r="D51" s="172"/>
      <c r="E51" s="172"/>
      <c r="F51" s="172"/>
      <c r="G51" s="172"/>
      <c r="H51" s="172"/>
      <c r="I51" s="172"/>
      <c r="J51" s="172"/>
      <c r="K51" s="172"/>
      <c r="L51" s="172"/>
      <c r="M51" s="172"/>
      <c r="N51" s="172"/>
      <c r="O51" s="172"/>
      <c r="P51" s="172"/>
      <c r="Q51" s="172" t="e">
        <f>bdRateROI($DE5:$DE63,DF5:DF63,$ER5:$ER63,ES5:ES63,CJ5,CJ10,1, 0, TRUE)</f>
        <v>#VALUE!</v>
      </c>
      <c r="R51" s="172"/>
      <c r="S51" s="172" t="e">
        <f>bdRateROI($DH5:$DH63,DI5:DI63,$ET5:$ET63,EU5:EU63,CJ5,CJ10,1, 0, TRUE)</f>
        <v>#VALUE!</v>
      </c>
      <c r="T51" s="172"/>
      <c r="U51" s="172" t="e">
        <f>bdRateROI($DK5:$DK63,DL5:DL63,$EV5:$EV63,EW5:EW63,$CJ$5,$CJ$10,1,2,TRUE)</f>
        <v>#VALUE!</v>
      </c>
      <c r="V51" s="172"/>
      <c r="W51" s="172" t="e">
        <f>bdRateROI(DM5:DM63,DN5:DN63,EX5:EX63,EY5:EY63,$CJ$5,$CJ$10,1,2,TRUE)</f>
        <v>#VALUE!</v>
      </c>
      <c r="X51" s="172"/>
      <c r="Y51" s="172" t="e">
        <f>bdRateROI(DO5:DO63,DP5:DP63,EZ5:EZ63,FA5:FA63,$CJ$5,$CJ$10,1, 0, TRUE)</f>
        <v>#VALUE!</v>
      </c>
      <c r="Z51" s="172"/>
      <c r="AA51" s="172" t="e">
        <f>bdRateROI(DQ5:DQ63,DR5:DR63,FB5:FB63,FC5:FC63,$CJ$5,$CJ$10,1, 0, TRUE)</f>
        <v>#VALUE!</v>
      </c>
      <c r="AB51" s="172"/>
      <c r="AC51" s="172" t="e">
        <f>bdRateROI(DS5:DS63,DT5:DT63,FD5:FD63,FE5:FE63,$CJ$5,$CJ$10,1, 0, TRUE)</f>
        <v>#VALUE!</v>
      </c>
      <c r="AD51" s="172"/>
      <c r="AE51" s="172"/>
      <c r="AF51" s="172"/>
      <c r="AG51" s="172"/>
      <c r="AH51" s="172"/>
      <c r="AI51" s="172" t="e">
        <f>bdRateROI($FK5:$FK63,FL5:FL63,$FP5:$FP63,FQ5:FQ63,$CJ$5,$CJ$10,1, 0, TRUE)</f>
        <v>#VALUE!</v>
      </c>
      <c r="AJ51" s="172"/>
      <c r="AK51" s="172" t="e">
        <f>bdRateROI($FM5:$FM63,FN5:FN63,$FR5:$FR63,FS5:FS63,$CJ$5,$CJ$10,1, 0, TRUE)</f>
        <v>#VALUE!</v>
      </c>
      <c r="AL51" s="175"/>
      <c r="AM51" s="261"/>
      <c r="AN51" s="259"/>
      <c r="AO51" s="118"/>
      <c r="AP51" s="259"/>
      <c r="EV51" s="7"/>
      <c r="EW51" s="7"/>
      <c r="EX51" s="7"/>
      <c r="EY51" s="7"/>
      <c r="EZ51" s="7"/>
      <c r="FA51" s="7"/>
      <c r="FB51" s="7"/>
      <c r="FC51" s="7"/>
    </row>
    <row r="52" spans="1:159" ht="14" thickBot="1" x14ac:dyDescent="0.2">
      <c r="A52" s="263"/>
      <c r="B52" s="173"/>
      <c r="C52" s="173"/>
      <c r="D52" s="173"/>
      <c r="E52" s="173"/>
      <c r="F52" s="173"/>
      <c r="G52" s="173"/>
      <c r="H52" s="173"/>
      <c r="I52" s="173"/>
      <c r="J52" s="173"/>
      <c r="K52" s="173"/>
      <c r="L52" s="173"/>
      <c r="M52" s="173"/>
      <c r="N52" s="173"/>
      <c r="O52" s="173"/>
      <c r="P52" s="173"/>
      <c r="Q52" s="173"/>
      <c r="R52" s="173"/>
      <c r="S52" s="173"/>
      <c r="T52" s="173"/>
      <c r="U52" s="173"/>
      <c r="V52" s="173"/>
      <c r="W52" s="173"/>
      <c r="X52" s="173"/>
      <c r="Y52" s="173"/>
      <c r="Z52" s="173"/>
      <c r="AA52" s="173"/>
      <c r="AB52" s="173"/>
      <c r="AC52" s="173"/>
      <c r="AD52" s="173"/>
      <c r="AE52" s="173"/>
      <c r="AF52" s="173"/>
      <c r="AG52" s="173"/>
      <c r="AH52" s="173"/>
      <c r="AI52" s="173"/>
      <c r="AJ52" s="173"/>
      <c r="AK52" s="173"/>
      <c r="AL52" s="188"/>
      <c r="AM52" s="262"/>
      <c r="AN52" s="259"/>
      <c r="AO52" s="118"/>
      <c r="AP52" s="259"/>
      <c r="EV52" s="7"/>
      <c r="EW52" s="7"/>
      <c r="EX52" s="7"/>
      <c r="EY52" s="7"/>
      <c r="EZ52" s="7"/>
      <c r="FA52" s="7"/>
      <c r="FB52" s="7"/>
      <c r="FC52" s="7"/>
    </row>
    <row r="53" spans="1:159" x14ac:dyDescent="0.15">
      <c r="EV53" s="7"/>
      <c r="EW53" s="7"/>
      <c r="EX53" s="7"/>
      <c r="EY53" s="7"/>
      <c r="EZ53" s="7"/>
      <c r="FA53" s="7"/>
      <c r="FB53" s="7"/>
      <c r="FC53" s="7"/>
    </row>
    <row r="54" spans="1:159" x14ac:dyDescent="0.15">
      <c r="AP54" s="9"/>
      <c r="EV54" s="7"/>
      <c r="EW54" s="7"/>
      <c r="EX54" s="7"/>
      <c r="EY54" s="7"/>
      <c r="EZ54" s="7"/>
      <c r="FA54" s="7"/>
      <c r="FB54" s="7"/>
      <c r="FC54" s="7"/>
    </row>
    <row r="55" spans="1:159" x14ac:dyDescent="0.15">
      <c r="AP55" s="9"/>
      <c r="EV55" s="7"/>
      <c r="EW55" s="7"/>
      <c r="EX55" s="7"/>
      <c r="EY55" s="7"/>
      <c r="EZ55" s="7"/>
      <c r="FA55" s="7"/>
      <c r="FB55" s="7"/>
      <c r="FC55" s="7"/>
    </row>
    <row r="56" spans="1:159" x14ac:dyDescent="0.15">
      <c r="C56" s="1">
        <f>COUNTIFS(C5:C40, "&lt;&gt;",C5:C40, "&lt;&gt;0")</f>
        <v>0</v>
      </c>
      <c r="U56" s="1">
        <f>COUNTIFS(U5:U40, "&lt;&gt;",U5:U40, "&lt;&gt;0")</f>
        <v>0</v>
      </c>
      <c r="AM56" s="1" t="e">
        <f>U56/C56</f>
        <v>#DIV/0!</v>
      </c>
      <c r="EV56" s="7"/>
      <c r="EW56" s="7"/>
      <c r="EX56" s="7"/>
      <c r="EY56" s="7"/>
      <c r="EZ56" s="7"/>
      <c r="FA56" s="7"/>
      <c r="FB56" s="7"/>
      <c r="FC56" s="7"/>
    </row>
    <row r="57" spans="1:159" x14ac:dyDescent="0.15">
      <c r="R57" s="1" t="e">
        <f>GEOMEAN(R5:R40)</f>
        <v>#NUM!</v>
      </c>
      <c r="S57" s="1" t="e">
        <f>GEOMEAN(S5:S40)</f>
        <v>#NUM!</v>
      </c>
      <c r="AJ57" s="1" t="e">
        <f>GEOMEAN(AJ5:AJ40)</f>
        <v>#NUM!</v>
      </c>
      <c r="AK57" s="1" t="e">
        <f>GEOMEAN(AK5:AK40)</f>
        <v>#NUM!</v>
      </c>
      <c r="AL57" s="1" t="e">
        <f>GEOMEAN(AL5:AL40)</f>
        <v>#DIV/0!</v>
      </c>
      <c r="AM57" s="1" t="e">
        <f>GEOMEAN(AM5:AM40)</f>
        <v>#DIV/0!</v>
      </c>
      <c r="EV57" s="7"/>
      <c r="EW57" s="7"/>
      <c r="EX57" s="7"/>
      <c r="EY57" s="7"/>
      <c r="EZ57" s="7"/>
      <c r="FA57" s="7"/>
      <c r="FB57" s="7"/>
      <c r="FC57" s="7"/>
    </row>
    <row r="58" spans="1:159" x14ac:dyDescent="0.15">
      <c r="R58" s="1">
        <f>SUM(R5:R40)</f>
        <v>0</v>
      </c>
      <c r="S58" s="1">
        <f>SUM(S5:S40)</f>
        <v>0</v>
      </c>
      <c r="AJ58" s="1">
        <f>SUM(AJ5:AJ40)</f>
        <v>0</v>
      </c>
      <c r="AK58" s="1">
        <f>SUM(AK5:AK40)</f>
        <v>0</v>
      </c>
      <c r="AL58" s="1" t="e">
        <f>AVERAGE(AL5:AL40)</f>
        <v>#DIV/0!</v>
      </c>
      <c r="AM58" s="1" t="e">
        <f>AVERAGE(AM5:AM40)</f>
        <v>#DIV/0!</v>
      </c>
      <c r="EV58" s="7"/>
      <c r="EW58" s="7"/>
      <c r="EX58" s="7"/>
      <c r="EY58" s="7"/>
      <c r="EZ58" s="7"/>
      <c r="FA58" s="7"/>
      <c r="FB58" s="7"/>
      <c r="FC58" s="7"/>
    </row>
    <row r="59" spans="1:159" x14ac:dyDescent="0.15">
      <c r="R59" s="1">
        <f>MAX(R5:R40)</f>
        <v>0</v>
      </c>
      <c r="S59" s="1">
        <f>MAX(S5:S40)</f>
        <v>0</v>
      </c>
      <c r="AJ59" s="1">
        <f>MAX(AJ5:AJ40)</f>
        <v>0</v>
      </c>
      <c r="AK59" s="1">
        <f>MAX(AK5:AK40)</f>
        <v>0</v>
      </c>
      <c r="AL59" s="1" t="e">
        <f>MAX(AL5:AL40)</f>
        <v>#DIV/0!</v>
      </c>
      <c r="AM59" s="1" t="e">
        <f>MAX(AM5:AM40)</f>
        <v>#DIV/0!</v>
      </c>
      <c r="EV59" s="7"/>
      <c r="EW59" s="7"/>
      <c r="EX59" s="7"/>
      <c r="EY59" s="7"/>
      <c r="EZ59" s="7"/>
      <c r="FA59" s="7"/>
      <c r="FB59" s="7"/>
      <c r="FC59" s="7"/>
    </row>
    <row r="60" spans="1:159" x14ac:dyDescent="0.15">
      <c r="R60" s="1">
        <f>MIN(R5:R40)</f>
        <v>0</v>
      </c>
      <c r="S60" s="1">
        <f>MIN(S5:S40)</f>
        <v>0</v>
      </c>
      <c r="AJ60" s="1">
        <f>MIN(AJ5:AJ40)</f>
        <v>0</v>
      </c>
      <c r="AK60" s="1">
        <f>MIN(AK5:AK40)</f>
        <v>0</v>
      </c>
      <c r="AL60" s="1" t="e">
        <f>MIN(AL5:AL40)</f>
        <v>#DIV/0!</v>
      </c>
      <c r="AM60" s="1" t="e">
        <f>MIN(AM5:AM40)</f>
        <v>#DIV/0!</v>
      </c>
      <c r="EV60" s="7"/>
      <c r="EW60" s="7"/>
      <c r="EX60" s="7"/>
      <c r="EY60" s="7"/>
      <c r="EZ60" s="7"/>
      <c r="FA60" s="7"/>
      <c r="FB60" s="7"/>
      <c r="FC60" s="7"/>
    </row>
    <row r="61" spans="1:159" x14ac:dyDescent="0.15">
      <c r="AJ61" s="1" t="e">
        <f>AJ57/R57</f>
        <v>#NUM!</v>
      </c>
      <c r="AK61" s="1" t="e">
        <f>AK57/S57</f>
        <v>#NUM!</v>
      </c>
      <c r="EV61" s="7"/>
      <c r="EW61" s="7"/>
      <c r="EX61" s="7"/>
      <c r="EY61" s="7"/>
      <c r="EZ61" s="7"/>
      <c r="FA61" s="7"/>
      <c r="FB61" s="7"/>
      <c r="FC61" s="7"/>
    </row>
    <row r="62" spans="1:159" x14ac:dyDescent="0.15">
      <c r="EV62" s="7"/>
      <c r="EW62" s="7"/>
      <c r="EX62" s="7"/>
      <c r="EY62" s="7"/>
      <c r="EZ62" s="7"/>
      <c r="FA62" s="7"/>
      <c r="FB62" s="7"/>
      <c r="FC62" s="7"/>
    </row>
    <row r="63" spans="1:159" x14ac:dyDescent="0.15">
      <c r="EV63" s="7"/>
      <c r="EW63" s="7"/>
      <c r="EX63" s="7"/>
      <c r="EY63" s="7"/>
      <c r="EZ63" s="7"/>
      <c r="FA63" s="7"/>
      <c r="FB63" s="7"/>
      <c r="FC63" s="7"/>
    </row>
  </sheetData>
  <sheetProtection sheet="1" formatCells="0" formatColumns="0" formatRows="0"/>
  <mergeCells count="275">
    <mergeCell ref="AZ23:AZ24"/>
    <mergeCell ref="BA23:BA28"/>
    <mergeCell ref="AZ25:AZ26"/>
    <mergeCell ref="AZ27:AZ28"/>
    <mergeCell ref="AZ29:AZ30"/>
    <mergeCell ref="BA29:BA34"/>
    <mergeCell ref="AZ31:AZ32"/>
    <mergeCell ref="AZ33:AZ34"/>
    <mergeCell ref="AZ35:AZ36"/>
    <mergeCell ref="BA35:BA40"/>
    <mergeCell ref="AZ37:AZ38"/>
    <mergeCell ref="AZ39:AZ40"/>
    <mergeCell ref="AZ5:AZ6"/>
    <mergeCell ref="BA5:BA10"/>
    <mergeCell ref="AZ7:AZ8"/>
    <mergeCell ref="AZ9:AZ10"/>
    <mergeCell ref="AZ11:AZ12"/>
    <mergeCell ref="BA11:BA16"/>
    <mergeCell ref="AZ13:AZ14"/>
    <mergeCell ref="AZ15:AZ16"/>
    <mergeCell ref="AZ17:AZ18"/>
    <mergeCell ref="BA17:BA22"/>
    <mergeCell ref="AZ19:AZ20"/>
    <mergeCell ref="AZ21:AZ22"/>
    <mergeCell ref="FP2:FQ2"/>
    <mergeCell ref="FK2:FL2"/>
    <mergeCell ref="FM2:FN2"/>
    <mergeCell ref="FR2:FS2"/>
    <mergeCell ref="AI44:AJ44"/>
    <mergeCell ref="AI46:AJ46"/>
    <mergeCell ref="AI47:AI48"/>
    <mergeCell ref="AI49:AI50"/>
    <mergeCell ref="AI51:AI52"/>
    <mergeCell ref="AJ47:AJ52"/>
    <mergeCell ref="EX2:EY2"/>
    <mergeCell ref="EZ2:FA2"/>
    <mergeCell ref="FB2:FC2"/>
    <mergeCell ref="DS2:DX2"/>
    <mergeCell ref="FD2:FI2"/>
    <mergeCell ref="ET2:EU2"/>
    <mergeCell ref="EV2:EW2"/>
    <mergeCell ref="AW35:AW40"/>
    <mergeCell ref="AX35:AX36"/>
    <mergeCell ref="AW29:AW34"/>
    <mergeCell ref="AX29:AX30"/>
    <mergeCell ref="AY35:AY40"/>
    <mergeCell ref="AO37:AO38"/>
    <mergeCell ref="AP37:AP38"/>
    <mergeCell ref="W49:W50"/>
    <mergeCell ref="W51:W52"/>
    <mergeCell ref="Y44:Z44"/>
    <mergeCell ref="Y47:Y48"/>
    <mergeCell ref="Z47:Z52"/>
    <mergeCell ref="Y49:Y50"/>
    <mergeCell ref="Y51:Y52"/>
    <mergeCell ref="AF47:AF52"/>
    <mergeCell ref="AE47:AE52"/>
    <mergeCell ref="AC44:AH44"/>
    <mergeCell ref="AG47:AG52"/>
    <mergeCell ref="AH47:AH52"/>
    <mergeCell ref="AA47:AA48"/>
    <mergeCell ref="AB47:AB52"/>
    <mergeCell ref="AA49:AA50"/>
    <mergeCell ref="AA51:AA52"/>
    <mergeCell ref="AC47:AC48"/>
    <mergeCell ref="AD47:AD52"/>
    <mergeCell ref="AC49:AC50"/>
    <mergeCell ref="AC51:AC52"/>
    <mergeCell ref="D3:G3"/>
    <mergeCell ref="V3:Y3"/>
    <mergeCell ref="AF3:AI3"/>
    <mergeCell ref="N3:Q3"/>
    <mergeCell ref="DM2:DN2"/>
    <mergeCell ref="DQ2:DR2"/>
    <mergeCell ref="DO2:DP2"/>
    <mergeCell ref="CL2:DC2"/>
    <mergeCell ref="CN3:CQ3"/>
    <mergeCell ref="CX3:DA3"/>
    <mergeCell ref="AT2:AU2"/>
    <mergeCell ref="C1:S2"/>
    <mergeCell ref="U1:AK2"/>
    <mergeCell ref="CL1:DL1"/>
    <mergeCell ref="AO1:AY1"/>
    <mergeCell ref="AO2:AS2"/>
    <mergeCell ref="DZ1:EW1"/>
    <mergeCell ref="S47:S48"/>
    <mergeCell ref="T47:T52"/>
    <mergeCell ref="U47:U48"/>
    <mergeCell ref="V47:V52"/>
    <mergeCell ref="B49:B50"/>
    <mergeCell ref="Q49:Q50"/>
    <mergeCell ref="S49:S50"/>
    <mergeCell ref="U49:U50"/>
    <mergeCell ref="B51:B52"/>
    <mergeCell ref="Q51:Q52"/>
    <mergeCell ref="S51:S52"/>
    <mergeCell ref="U51:U52"/>
    <mergeCell ref="C47:C52"/>
    <mergeCell ref="M47:M52"/>
    <mergeCell ref="N47:N52"/>
    <mergeCell ref="O47:O52"/>
    <mergeCell ref="DE2:DF2"/>
    <mergeCell ref="DK2:DL2"/>
    <mergeCell ref="ER2:ES2"/>
    <mergeCell ref="DZ2:EQ2"/>
    <mergeCell ref="DH2:DI2"/>
    <mergeCell ref="EB3:EE3"/>
    <mergeCell ref="EL3:EO3"/>
    <mergeCell ref="AT37:AT38"/>
    <mergeCell ref="AV37:AV38"/>
    <mergeCell ref="AX37:AX38"/>
    <mergeCell ref="AO39:AO40"/>
    <mergeCell ref="AP39:AP40"/>
    <mergeCell ref="AT39:AT40"/>
    <mergeCell ref="AV39:AV40"/>
    <mergeCell ref="AX39:AX40"/>
    <mergeCell ref="AX31:AX32"/>
    <mergeCell ref="AT33:AT34"/>
    <mergeCell ref="AV33:AV34"/>
    <mergeCell ref="AX33:AX34"/>
    <mergeCell ref="AT25:AT26"/>
    <mergeCell ref="AV25:AV26"/>
    <mergeCell ref="AX25:AX26"/>
    <mergeCell ref="AO27:AO28"/>
    <mergeCell ref="AP27:AP28"/>
    <mergeCell ref="AT27:AT28"/>
    <mergeCell ref="AV27:AV28"/>
    <mergeCell ref="AX27:AX28"/>
    <mergeCell ref="AU23:AU28"/>
    <mergeCell ref="AV23:AV24"/>
    <mergeCell ref="AW23:AW28"/>
    <mergeCell ref="AX23:AX24"/>
    <mergeCell ref="AO23:AO24"/>
    <mergeCell ref="AP23:AP24"/>
    <mergeCell ref="AQ23:AQ28"/>
    <mergeCell ref="AR23:AR28"/>
    <mergeCell ref="AS23:AS28"/>
    <mergeCell ref="AT23:AT24"/>
    <mergeCell ref="AT19:AT20"/>
    <mergeCell ref="AV19:AV20"/>
    <mergeCell ref="AX19:AX20"/>
    <mergeCell ref="AO21:AO22"/>
    <mergeCell ref="AP21:AP22"/>
    <mergeCell ref="AT21:AT22"/>
    <mergeCell ref="AV21:AV22"/>
    <mergeCell ref="AX21:AX22"/>
    <mergeCell ref="AU17:AU22"/>
    <mergeCell ref="AV17:AV18"/>
    <mergeCell ref="AW17:AW22"/>
    <mergeCell ref="AX17:AX18"/>
    <mergeCell ref="AO17:AO18"/>
    <mergeCell ref="AP17:AP18"/>
    <mergeCell ref="AQ17:AQ22"/>
    <mergeCell ref="AR17:AR22"/>
    <mergeCell ref="AS17:AS22"/>
    <mergeCell ref="AT17:AT18"/>
    <mergeCell ref="AT13:AT14"/>
    <mergeCell ref="AV13:AV14"/>
    <mergeCell ref="AX13:AX14"/>
    <mergeCell ref="AO15:AO16"/>
    <mergeCell ref="AP15:AP16"/>
    <mergeCell ref="AT15:AT16"/>
    <mergeCell ref="AV15:AV16"/>
    <mergeCell ref="AX15:AX16"/>
    <mergeCell ref="AU11:AU16"/>
    <mergeCell ref="AV11:AV12"/>
    <mergeCell ref="AW11:AW16"/>
    <mergeCell ref="AX11:AX12"/>
    <mergeCell ref="AO11:AO12"/>
    <mergeCell ref="AP11:AP12"/>
    <mergeCell ref="AQ11:AQ16"/>
    <mergeCell ref="AR11:AR16"/>
    <mergeCell ref="AS11:AS16"/>
    <mergeCell ref="AT11:AT12"/>
    <mergeCell ref="AX5:AX6"/>
    <mergeCell ref="AY5:AY10"/>
    <mergeCell ref="AT7:AT8"/>
    <mergeCell ref="AX7:AX8"/>
    <mergeCell ref="AT9:AT10"/>
    <mergeCell ref="AX9:AX10"/>
    <mergeCell ref="AV5:AV6"/>
    <mergeCell ref="AW5:AW10"/>
    <mergeCell ref="AV7:AV8"/>
    <mergeCell ref="AV9:AV10"/>
    <mergeCell ref="P47:P52"/>
    <mergeCell ref="L47:L52"/>
    <mergeCell ref="Q47:Q48"/>
    <mergeCell ref="R47:R52"/>
    <mergeCell ref="A35:A40"/>
    <mergeCell ref="AO29:AO30"/>
    <mergeCell ref="AP29:AP30"/>
    <mergeCell ref="AQ29:AQ34"/>
    <mergeCell ref="AR29:AR34"/>
    <mergeCell ref="A29:A34"/>
    <mergeCell ref="AO35:AO36"/>
    <mergeCell ref="AP35:AP36"/>
    <mergeCell ref="AQ35:AQ40"/>
    <mergeCell ref="AR35:AR40"/>
    <mergeCell ref="AO31:AO32"/>
    <mergeCell ref="AP31:AP32"/>
    <mergeCell ref="AO33:AO34"/>
    <mergeCell ref="AP33:AP34"/>
    <mergeCell ref="M45:P45"/>
    <mergeCell ref="C45:F45"/>
    <mergeCell ref="W44:X44"/>
    <mergeCell ref="AA44:AB44"/>
    <mergeCell ref="W47:W48"/>
    <mergeCell ref="X47:X52"/>
    <mergeCell ref="A47:A48"/>
    <mergeCell ref="A49:A50"/>
    <mergeCell ref="A51:A52"/>
    <mergeCell ref="B47:B48"/>
    <mergeCell ref="D47:D52"/>
    <mergeCell ref="AX2:AY2"/>
    <mergeCell ref="A43:V43"/>
    <mergeCell ref="A44:L44"/>
    <mergeCell ref="Q44:R44"/>
    <mergeCell ref="S44:T44"/>
    <mergeCell ref="U44:V44"/>
    <mergeCell ref="AV2:AW2"/>
    <mergeCell ref="AY29:AY34"/>
    <mergeCell ref="AY11:AY16"/>
    <mergeCell ref="AY17:AY22"/>
    <mergeCell ref="AY23:AY28"/>
    <mergeCell ref="A46:B46"/>
    <mergeCell ref="E47:E52"/>
    <mergeCell ref="K47:K52"/>
    <mergeCell ref="F47:F52"/>
    <mergeCell ref="G47:G52"/>
    <mergeCell ref="H47:H52"/>
    <mergeCell ref="I47:I52"/>
    <mergeCell ref="J47:J52"/>
    <mergeCell ref="A5:A10"/>
    <mergeCell ref="A17:A22"/>
    <mergeCell ref="A23:A28"/>
    <mergeCell ref="A11:A16"/>
    <mergeCell ref="AS29:AS34"/>
    <mergeCell ref="AT29:AT30"/>
    <mergeCell ref="AU29:AU34"/>
    <mergeCell ref="AV29:AV30"/>
    <mergeCell ref="AS35:AS40"/>
    <mergeCell ref="AT35:AT36"/>
    <mergeCell ref="AU35:AU40"/>
    <mergeCell ref="AV35:AV36"/>
    <mergeCell ref="AT31:AT32"/>
    <mergeCell ref="AV31:AV32"/>
    <mergeCell ref="AR5:AR10"/>
    <mergeCell ref="AO7:AO8"/>
    <mergeCell ref="AP7:AP8"/>
    <mergeCell ref="AO9:AO10"/>
    <mergeCell ref="AP9:AP10"/>
    <mergeCell ref="AS5:AS10"/>
    <mergeCell ref="AT5:AT6"/>
    <mergeCell ref="AU5:AU10"/>
    <mergeCell ref="AO13:AO14"/>
    <mergeCell ref="AP13:AP14"/>
    <mergeCell ref="AO4:AP4"/>
    <mergeCell ref="AO5:AO6"/>
    <mergeCell ref="AP5:AP6"/>
    <mergeCell ref="AQ5:AQ10"/>
    <mergeCell ref="AK47:AK48"/>
    <mergeCell ref="AL47:AL52"/>
    <mergeCell ref="AK49:AK50"/>
    <mergeCell ref="AK51:AK52"/>
    <mergeCell ref="AK44:AL44"/>
    <mergeCell ref="AK46:AL46"/>
    <mergeCell ref="AO19:AO20"/>
    <mergeCell ref="AP19:AP20"/>
    <mergeCell ref="AO25:AO26"/>
    <mergeCell ref="AP25:AP26"/>
    <mergeCell ref="AN47:AN52"/>
    <mergeCell ref="AP47:AP52"/>
    <mergeCell ref="AM47:AM48"/>
    <mergeCell ref="AM49:AM50"/>
    <mergeCell ref="AM51:AM52"/>
  </mergeCells>
  <conditionalFormatting sqref="AP5">
    <cfRule type="cellIs" dxfId="4135" priority="771" stopIfTrue="1" operator="greaterThan">
      <formula>0.03</formula>
    </cfRule>
    <cfRule type="cellIs" dxfId="4134" priority="772" stopIfTrue="1" operator="lessThan">
      <formula>-0.03</formula>
    </cfRule>
  </conditionalFormatting>
  <conditionalFormatting sqref="AQ5">
    <cfRule type="cellIs" dxfId="4133" priority="843" stopIfTrue="1" operator="greaterThan">
      <formula>0.03</formula>
    </cfRule>
    <cfRule type="cellIs" dxfId="4132" priority="844" stopIfTrue="1" operator="lessThan">
      <formula>-0.03</formula>
    </cfRule>
  </conditionalFormatting>
  <conditionalFormatting sqref="CH5">
    <cfRule type="cellIs" dxfId="4131" priority="867" stopIfTrue="1" operator="greaterThan">
      <formula>0.03</formula>
    </cfRule>
    <cfRule type="cellIs" dxfId="4130" priority="868" stopIfTrue="1" operator="lessThan">
      <formula>-0.03</formula>
    </cfRule>
  </conditionalFormatting>
  <conditionalFormatting sqref="AQ5:AQ10">
    <cfRule type="cellIs" dxfId="4129" priority="1327" stopIfTrue="1" operator="greaterThan">
      <formula>0</formula>
    </cfRule>
    <cfRule type="cellIs" dxfId="4128" priority="1328" stopIfTrue="1" operator="lessThan">
      <formula>0</formula>
    </cfRule>
  </conditionalFormatting>
  <conditionalFormatting sqref="AR5:AS5">
    <cfRule type="cellIs" dxfId="4127" priority="835" stopIfTrue="1" operator="greaterThan">
      <formula>0.03</formula>
    </cfRule>
    <cfRule type="cellIs" dxfId="4126" priority="836" stopIfTrue="1" operator="lessThan">
      <formula>-0.03</formula>
    </cfRule>
  </conditionalFormatting>
  <conditionalFormatting sqref="AR5:AS10">
    <cfRule type="cellIs" dxfId="4125" priority="837" stopIfTrue="1" operator="greaterThan">
      <formula>0</formula>
    </cfRule>
    <cfRule type="cellIs" dxfId="4124" priority="838" stopIfTrue="1" operator="lessThan">
      <formula>0</formula>
    </cfRule>
  </conditionalFormatting>
  <conditionalFormatting sqref="AU5">
    <cfRule type="cellIs" dxfId="4123" priority="831" stopIfTrue="1" operator="greaterThan">
      <formula>0.03</formula>
    </cfRule>
    <cfRule type="cellIs" dxfId="4122" priority="832" stopIfTrue="1" operator="lessThan">
      <formula>-0.03</formula>
    </cfRule>
  </conditionalFormatting>
  <conditionalFormatting sqref="AU5:AU10">
    <cfRule type="cellIs" dxfId="4121" priority="833" stopIfTrue="1" operator="greaterThan">
      <formula>0</formula>
    </cfRule>
    <cfRule type="cellIs" dxfId="4120" priority="834" stopIfTrue="1" operator="lessThan">
      <formula>0</formula>
    </cfRule>
  </conditionalFormatting>
  <conditionalFormatting sqref="AW5">
    <cfRule type="cellIs" dxfId="4119" priority="827" stopIfTrue="1" operator="greaterThan">
      <formula>0.03</formula>
    </cfRule>
    <cfRule type="cellIs" dxfId="4118" priority="828" stopIfTrue="1" operator="lessThan">
      <formula>-0.03</formula>
    </cfRule>
  </conditionalFormatting>
  <conditionalFormatting sqref="AW5:AW10">
    <cfRule type="cellIs" dxfId="4117" priority="829" stopIfTrue="1" operator="greaterThan">
      <formula>0</formula>
    </cfRule>
    <cfRule type="cellIs" dxfId="4116" priority="830" stopIfTrue="1" operator="lessThan">
      <formula>0</formula>
    </cfRule>
  </conditionalFormatting>
  <conditionalFormatting sqref="AY5">
    <cfRule type="cellIs" dxfId="4115" priority="823" stopIfTrue="1" operator="greaterThan">
      <formula>0.03</formula>
    </cfRule>
    <cfRule type="cellIs" dxfId="4114" priority="824" stopIfTrue="1" operator="lessThan">
      <formula>-0.03</formula>
    </cfRule>
  </conditionalFormatting>
  <conditionalFormatting sqref="AY5:AY10">
    <cfRule type="cellIs" dxfId="4113" priority="825" stopIfTrue="1" operator="greaterThan">
      <formula>0</formula>
    </cfRule>
    <cfRule type="cellIs" dxfId="4112" priority="826" stopIfTrue="1" operator="lessThan">
      <formula>0</formula>
    </cfRule>
  </conditionalFormatting>
  <conditionalFormatting sqref="AP5:AP6">
    <cfRule type="cellIs" dxfId="4111" priority="1333" stopIfTrue="1" operator="greaterThan">
      <formula>0</formula>
    </cfRule>
    <cfRule type="cellIs" dxfId="4110" priority="1334" operator="lessThan">
      <formula>0</formula>
    </cfRule>
  </conditionalFormatting>
  <conditionalFormatting sqref="AP7">
    <cfRule type="cellIs" dxfId="4109" priority="767" stopIfTrue="1" operator="greaterThan">
      <formula>0.03</formula>
    </cfRule>
    <cfRule type="cellIs" dxfId="4108" priority="768" stopIfTrue="1" operator="lessThan">
      <formula>-0.03</formula>
    </cfRule>
  </conditionalFormatting>
  <conditionalFormatting sqref="AP7:AP8">
    <cfRule type="cellIs" dxfId="4107" priority="769" stopIfTrue="1" operator="greaterThan">
      <formula>0</formula>
    </cfRule>
    <cfRule type="cellIs" dxfId="4106" priority="770" operator="lessThan">
      <formula>0</formula>
    </cfRule>
  </conditionalFormatting>
  <conditionalFormatting sqref="AP9">
    <cfRule type="cellIs" dxfId="4105" priority="763" stopIfTrue="1" operator="greaterThan">
      <formula>0.03</formula>
    </cfRule>
    <cfRule type="cellIs" dxfId="4104" priority="764" stopIfTrue="1" operator="lessThan">
      <formula>-0.03</formula>
    </cfRule>
  </conditionalFormatting>
  <conditionalFormatting sqref="AP9:AP10">
    <cfRule type="cellIs" dxfId="4103" priority="765" stopIfTrue="1" operator="greaterThan">
      <formula>0</formula>
    </cfRule>
    <cfRule type="cellIs" dxfId="4102" priority="766" operator="lessThan">
      <formula>0</formula>
    </cfRule>
  </conditionalFormatting>
  <conditionalFormatting sqref="AT5">
    <cfRule type="cellIs" dxfId="4101" priority="709" stopIfTrue="1" operator="greaterThan">
      <formula>0.03</formula>
    </cfRule>
    <cfRule type="cellIs" dxfId="4100" priority="710" stopIfTrue="1" operator="lessThan">
      <formula>-0.03</formula>
    </cfRule>
  </conditionalFormatting>
  <conditionalFormatting sqref="AT5:AT6">
    <cfRule type="cellIs" dxfId="4099" priority="711" stopIfTrue="1" operator="greaterThan">
      <formula>0</formula>
    </cfRule>
    <cfRule type="cellIs" dxfId="4098" priority="712" operator="lessThan">
      <formula>0</formula>
    </cfRule>
  </conditionalFormatting>
  <conditionalFormatting sqref="AT7">
    <cfRule type="cellIs" dxfId="4097" priority="705" stopIfTrue="1" operator="greaterThan">
      <formula>0.03</formula>
    </cfRule>
    <cfRule type="cellIs" dxfId="4096" priority="706" stopIfTrue="1" operator="lessThan">
      <formula>-0.03</formula>
    </cfRule>
  </conditionalFormatting>
  <conditionalFormatting sqref="AT7:AT8">
    <cfRule type="cellIs" dxfId="4095" priority="707" stopIfTrue="1" operator="greaterThan">
      <formula>0</formula>
    </cfRule>
    <cfRule type="cellIs" dxfId="4094" priority="708" operator="lessThan">
      <formula>0</formula>
    </cfRule>
  </conditionalFormatting>
  <conditionalFormatting sqref="AT9">
    <cfRule type="cellIs" dxfId="4093" priority="701" stopIfTrue="1" operator="greaterThan">
      <formula>0.03</formula>
    </cfRule>
    <cfRule type="cellIs" dxfId="4092" priority="702" stopIfTrue="1" operator="lessThan">
      <formula>-0.03</formula>
    </cfRule>
  </conditionalFormatting>
  <conditionalFormatting sqref="AT9:AT10">
    <cfRule type="cellIs" dxfId="4091" priority="703" stopIfTrue="1" operator="greaterThan">
      <formula>0</formula>
    </cfRule>
    <cfRule type="cellIs" dxfId="4090" priority="704" operator="lessThan">
      <formula>0</formula>
    </cfRule>
  </conditionalFormatting>
  <conditionalFormatting sqref="AV5">
    <cfRule type="cellIs" dxfId="4089" priority="697" stopIfTrue="1" operator="greaterThan">
      <formula>0.03</formula>
    </cfRule>
    <cfRule type="cellIs" dxfId="4088" priority="698" stopIfTrue="1" operator="lessThan">
      <formula>-0.03</formula>
    </cfRule>
  </conditionalFormatting>
  <conditionalFormatting sqref="AV5:AV6">
    <cfRule type="cellIs" dxfId="4087" priority="699" stopIfTrue="1" operator="greaterThan">
      <formula>0</formula>
    </cfRule>
    <cfRule type="cellIs" dxfId="4086" priority="700" operator="lessThan">
      <formula>0</formula>
    </cfRule>
  </conditionalFormatting>
  <conditionalFormatting sqref="AV7">
    <cfRule type="cellIs" dxfId="4085" priority="693" stopIfTrue="1" operator="greaterThan">
      <formula>0.03</formula>
    </cfRule>
    <cfRule type="cellIs" dxfId="4084" priority="694" stopIfTrue="1" operator="lessThan">
      <formula>-0.03</formula>
    </cfRule>
  </conditionalFormatting>
  <conditionalFormatting sqref="AV7:AV8">
    <cfRule type="cellIs" dxfId="4083" priority="695" stopIfTrue="1" operator="greaterThan">
      <formula>0</formula>
    </cfRule>
    <cfRule type="cellIs" dxfId="4082" priority="696" operator="lessThan">
      <formula>0</formula>
    </cfRule>
  </conditionalFormatting>
  <conditionalFormatting sqref="AV9">
    <cfRule type="cellIs" dxfId="4081" priority="689" stopIfTrue="1" operator="greaterThan">
      <formula>0.03</formula>
    </cfRule>
    <cfRule type="cellIs" dxfId="4080" priority="690" stopIfTrue="1" operator="lessThan">
      <formula>-0.03</formula>
    </cfRule>
  </conditionalFormatting>
  <conditionalFormatting sqref="AV9:AV10">
    <cfRule type="cellIs" dxfId="4079" priority="691" stopIfTrue="1" operator="greaterThan">
      <formula>0</formula>
    </cfRule>
    <cfRule type="cellIs" dxfId="4078" priority="692" operator="lessThan">
      <formula>0</formula>
    </cfRule>
  </conditionalFormatting>
  <conditionalFormatting sqref="AX5">
    <cfRule type="cellIs" dxfId="4077" priority="685" stopIfTrue="1" operator="greaterThan">
      <formula>0.03</formula>
    </cfRule>
    <cfRule type="cellIs" dxfId="4076" priority="686" stopIfTrue="1" operator="lessThan">
      <formula>-0.03</formula>
    </cfRule>
  </conditionalFormatting>
  <conditionalFormatting sqref="AX5:AX6">
    <cfRule type="cellIs" dxfId="4075" priority="687" stopIfTrue="1" operator="greaterThan">
      <formula>0</formula>
    </cfRule>
    <cfRule type="cellIs" dxfId="4074" priority="688" operator="lessThan">
      <formula>0</formula>
    </cfRule>
  </conditionalFormatting>
  <conditionalFormatting sqref="AX7">
    <cfRule type="cellIs" dxfId="4073" priority="681" stopIfTrue="1" operator="greaterThan">
      <formula>0.03</formula>
    </cfRule>
    <cfRule type="cellIs" dxfId="4072" priority="682" stopIfTrue="1" operator="lessThan">
      <formula>-0.03</formula>
    </cfRule>
  </conditionalFormatting>
  <conditionalFormatting sqref="AX7:AX8">
    <cfRule type="cellIs" dxfId="4071" priority="683" stopIfTrue="1" operator="greaterThan">
      <formula>0</formula>
    </cfRule>
    <cfRule type="cellIs" dxfId="4070" priority="684" operator="lessThan">
      <formula>0</formula>
    </cfRule>
  </conditionalFormatting>
  <conditionalFormatting sqref="AX9">
    <cfRule type="cellIs" dxfId="4069" priority="677" stopIfTrue="1" operator="greaterThan">
      <formula>0.03</formula>
    </cfRule>
    <cfRule type="cellIs" dxfId="4068" priority="678" stopIfTrue="1" operator="lessThan">
      <formula>-0.03</formula>
    </cfRule>
  </conditionalFormatting>
  <conditionalFormatting sqref="AX9:AX10">
    <cfRule type="cellIs" dxfId="4067" priority="679" stopIfTrue="1" operator="greaterThan">
      <formula>0</formula>
    </cfRule>
    <cfRule type="cellIs" dxfId="4066" priority="680" operator="lessThan">
      <formula>0</formula>
    </cfRule>
  </conditionalFormatting>
  <conditionalFormatting sqref="AP11">
    <cfRule type="cellIs" dxfId="4065" priority="589" stopIfTrue="1" operator="greaterThan">
      <formula>0.03</formula>
    </cfRule>
    <cfRule type="cellIs" dxfId="4064" priority="590" stopIfTrue="1" operator="lessThan">
      <formula>-0.03</formula>
    </cfRule>
  </conditionalFormatting>
  <conditionalFormatting sqref="AQ11">
    <cfRule type="cellIs" dxfId="4063" priority="607" stopIfTrue="1" operator="greaterThan">
      <formula>0.03</formula>
    </cfRule>
    <cfRule type="cellIs" dxfId="4062" priority="608" stopIfTrue="1" operator="lessThan">
      <formula>-0.03</formula>
    </cfRule>
  </conditionalFormatting>
  <conditionalFormatting sqref="AQ11:AQ16">
    <cfRule type="cellIs" dxfId="4061" priority="609" stopIfTrue="1" operator="greaterThan">
      <formula>0</formula>
    </cfRule>
    <cfRule type="cellIs" dxfId="4060" priority="610" stopIfTrue="1" operator="lessThan">
      <formula>0</formula>
    </cfRule>
  </conditionalFormatting>
  <conditionalFormatting sqref="AR11:AS11">
    <cfRule type="cellIs" dxfId="4059" priority="603" stopIfTrue="1" operator="greaterThan">
      <formula>0.03</formula>
    </cfRule>
    <cfRule type="cellIs" dxfId="4058" priority="604" stopIfTrue="1" operator="lessThan">
      <formula>-0.03</formula>
    </cfRule>
  </conditionalFormatting>
  <conditionalFormatting sqref="AR11:AS16">
    <cfRule type="cellIs" dxfId="4057" priority="605" stopIfTrue="1" operator="greaterThan">
      <formula>0</formula>
    </cfRule>
    <cfRule type="cellIs" dxfId="4056" priority="606" stopIfTrue="1" operator="lessThan">
      <formula>0</formula>
    </cfRule>
  </conditionalFormatting>
  <conditionalFormatting sqref="AU11">
    <cfRule type="cellIs" dxfId="4055" priority="599" stopIfTrue="1" operator="greaterThan">
      <formula>0.03</formula>
    </cfRule>
    <cfRule type="cellIs" dxfId="4054" priority="600" stopIfTrue="1" operator="lessThan">
      <formula>-0.03</formula>
    </cfRule>
  </conditionalFormatting>
  <conditionalFormatting sqref="AU11:AU16">
    <cfRule type="cellIs" dxfId="4053" priority="601" stopIfTrue="1" operator="greaterThan">
      <formula>0</formula>
    </cfRule>
    <cfRule type="cellIs" dxfId="4052" priority="602" stopIfTrue="1" operator="lessThan">
      <formula>0</formula>
    </cfRule>
  </conditionalFormatting>
  <conditionalFormatting sqref="AW11">
    <cfRule type="cellIs" dxfId="4051" priority="595" stopIfTrue="1" operator="greaterThan">
      <formula>0.03</formula>
    </cfRule>
    <cfRule type="cellIs" dxfId="4050" priority="596" stopIfTrue="1" operator="lessThan">
      <formula>-0.03</formula>
    </cfRule>
  </conditionalFormatting>
  <conditionalFormatting sqref="AW11:AW16">
    <cfRule type="cellIs" dxfId="4049" priority="597" stopIfTrue="1" operator="greaterThan">
      <formula>0</formula>
    </cfRule>
    <cfRule type="cellIs" dxfId="4048" priority="598" stopIfTrue="1" operator="lessThan">
      <formula>0</formula>
    </cfRule>
  </conditionalFormatting>
  <conditionalFormatting sqref="AY11">
    <cfRule type="cellIs" dxfId="4047" priority="591" stopIfTrue="1" operator="greaterThan">
      <formula>0.03</formula>
    </cfRule>
    <cfRule type="cellIs" dxfId="4046" priority="592" stopIfTrue="1" operator="lessThan">
      <formula>-0.03</formula>
    </cfRule>
  </conditionalFormatting>
  <conditionalFormatting sqref="AY11:AY16">
    <cfRule type="cellIs" dxfId="4045" priority="593" stopIfTrue="1" operator="greaterThan">
      <formula>0</formula>
    </cfRule>
    <cfRule type="cellIs" dxfId="4044" priority="594" stopIfTrue="1" operator="lessThan">
      <formula>0</formula>
    </cfRule>
  </conditionalFormatting>
  <conditionalFormatting sqref="AP11:AP12">
    <cfRule type="cellIs" dxfId="4043" priority="611" stopIfTrue="1" operator="greaterThan">
      <formula>0</formula>
    </cfRule>
    <cfRule type="cellIs" dxfId="4042" priority="612" operator="lessThan">
      <formula>0</formula>
    </cfRule>
  </conditionalFormatting>
  <conditionalFormatting sqref="AP13">
    <cfRule type="cellIs" dxfId="4041" priority="585" stopIfTrue="1" operator="greaterThan">
      <formula>0.03</formula>
    </cfRule>
    <cfRule type="cellIs" dxfId="4040" priority="586" stopIfTrue="1" operator="lessThan">
      <formula>-0.03</formula>
    </cfRule>
  </conditionalFormatting>
  <conditionalFormatting sqref="AP13:AP14">
    <cfRule type="cellIs" dxfId="4039" priority="587" stopIfTrue="1" operator="greaterThan">
      <formula>0</formula>
    </cfRule>
    <cfRule type="cellIs" dxfId="4038" priority="588" operator="lessThan">
      <formula>0</formula>
    </cfRule>
  </conditionalFormatting>
  <conditionalFormatting sqref="AP15">
    <cfRule type="cellIs" dxfId="4037" priority="581" stopIfTrue="1" operator="greaterThan">
      <formula>0.03</formula>
    </cfRule>
    <cfRule type="cellIs" dxfId="4036" priority="582" stopIfTrue="1" operator="lessThan">
      <formula>-0.03</formula>
    </cfRule>
  </conditionalFormatting>
  <conditionalFormatting sqref="AP15:AP16">
    <cfRule type="cellIs" dxfId="4035" priority="583" stopIfTrue="1" operator="greaterThan">
      <formula>0</formula>
    </cfRule>
    <cfRule type="cellIs" dxfId="4034" priority="584" operator="lessThan">
      <formula>0</formula>
    </cfRule>
  </conditionalFormatting>
  <conditionalFormatting sqref="AT11">
    <cfRule type="cellIs" dxfId="4033" priority="577" stopIfTrue="1" operator="greaterThan">
      <formula>0.03</formula>
    </cfRule>
    <cfRule type="cellIs" dxfId="4032" priority="578" stopIfTrue="1" operator="lessThan">
      <formula>-0.03</formula>
    </cfRule>
  </conditionalFormatting>
  <conditionalFormatting sqref="AT11:AT12">
    <cfRule type="cellIs" dxfId="4031" priority="579" stopIfTrue="1" operator="greaterThan">
      <formula>0</formula>
    </cfRule>
    <cfRule type="cellIs" dxfId="4030" priority="580" operator="lessThan">
      <formula>0</formula>
    </cfRule>
  </conditionalFormatting>
  <conditionalFormatting sqref="AT13">
    <cfRule type="cellIs" dxfId="4029" priority="573" stopIfTrue="1" operator="greaterThan">
      <formula>0.03</formula>
    </cfRule>
    <cfRule type="cellIs" dxfId="4028" priority="574" stopIfTrue="1" operator="lessThan">
      <formula>-0.03</formula>
    </cfRule>
  </conditionalFormatting>
  <conditionalFormatting sqref="AT13:AT14">
    <cfRule type="cellIs" dxfId="4027" priority="575" stopIfTrue="1" operator="greaterThan">
      <formula>0</formula>
    </cfRule>
    <cfRule type="cellIs" dxfId="4026" priority="576" operator="lessThan">
      <formula>0</formula>
    </cfRule>
  </conditionalFormatting>
  <conditionalFormatting sqref="AT15">
    <cfRule type="cellIs" dxfId="4025" priority="569" stopIfTrue="1" operator="greaterThan">
      <formula>0.03</formula>
    </cfRule>
    <cfRule type="cellIs" dxfId="4024" priority="570" stopIfTrue="1" operator="lessThan">
      <formula>-0.03</formula>
    </cfRule>
  </conditionalFormatting>
  <conditionalFormatting sqref="AT15:AT16">
    <cfRule type="cellIs" dxfId="4023" priority="571" stopIfTrue="1" operator="greaterThan">
      <formula>0</formula>
    </cfRule>
    <cfRule type="cellIs" dxfId="4022" priority="572" operator="lessThan">
      <formula>0</formula>
    </cfRule>
  </conditionalFormatting>
  <conditionalFormatting sqref="AV11">
    <cfRule type="cellIs" dxfId="4021" priority="565" stopIfTrue="1" operator="greaterThan">
      <formula>0.03</formula>
    </cfRule>
    <cfRule type="cellIs" dxfId="4020" priority="566" stopIfTrue="1" operator="lessThan">
      <formula>-0.03</formula>
    </cfRule>
  </conditionalFormatting>
  <conditionalFormatting sqref="AV11:AV12">
    <cfRule type="cellIs" dxfId="4019" priority="567" stopIfTrue="1" operator="greaterThan">
      <formula>0</formula>
    </cfRule>
    <cfRule type="cellIs" dxfId="4018" priority="568" operator="lessThan">
      <formula>0</formula>
    </cfRule>
  </conditionalFormatting>
  <conditionalFormatting sqref="AV13">
    <cfRule type="cellIs" dxfId="4017" priority="561" stopIfTrue="1" operator="greaterThan">
      <formula>0.03</formula>
    </cfRule>
    <cfRule type="cellIs" dxfId="4016" priority="562" stopIfTrue="1" operator="lessThan">
      <formula>-0.03</formula>
    </cfRule>
  </conditionalFormatting>
  <conditionalFormatting sqref="AV13:AV14">
    <cfRule type="cellIs" dxfId="4015" priority="563" stopIfTrue="1" operator="greaterThan">
      <formula>0</formula>
    </cfRule>
    <cfRule type="cellIs" dxfId="4014" priority="564" operator="lessThan">
      <formula>0</formula>
    </cfRule>
  </conditionalFormatting>
  <conditionalFormatting sqref="AV15">
    <cfRule type="cellIs" dxfId="4013" priority="557" stopIfTrue="1" operator="greaterThan">
      <formula>0.03</formula>
    </cfRule>
    <cfRule type="cellIs" dxfId="4012" priority="558" stopIfTrue="1" operator="lessThan">
      <formula>-0.03</formula>
    </cfRule>
  </conditionalFormatting>
  <conditionalFormatting sqref="AV15:AV16">
    <cfRule type="cellIs" dxfId="4011" priority="559" stopIfTrue="1" operator="greaterThan">
      <formula>0</formula>
    </cfRule>
    <cfRule type="cellIs" dxfId="4010" priority="560" operator="lessThan">
      <formula>0</formula>
    </cfRule>
  </conditionalFormatting>
  <conditionalFormatting sqref="AP17 AP23 AP29 AP35">
    <cfRule type="cellIs" dxfId="4009" priority="521" stopIfTrue="1" operator="greaterThan">
      <formula>0.03</formula>
    </cfRule>
    <cfRule type="cellIs" dxfId="4008" priority="522" stopIfTrue="1" operator="lessThan">
      <formula>-0.03</formula>
    </cfRule>
  </conditionalFormatting>
  <conditionalFormatting sqref="AQ17 AQ23 AQ29 AQ35">
    <cfRule type="cellIs" dxfId="4007" priority="539" stopIfTrue="1" operator="greaterThan">
      <formula>0.03</formula>
    </cfRule>
    <cfRule type="cellIs" dxfId="4006" priority="540" stopIfTrue="1" operator="lessThan">
      <formula>-0.03</formula>
    </cfRule>
  </conditionalFormatting>
  <conditionalFormatting sqref="AQ17:AQ40">
    <cfRule type="cellIs" dxfId="4005" priority="541" stopIfTrue="1" operator="greaterThan">
      <formula>0</formula>
    </cfRule>
    <cfRule type="cellIs" dxfId="4004" priority="542" stopIfTrue="1" operator="lessThan">
      <formula>0</formula>
    </cfRule>
  </conditionalFormatting>
  <conditionalFormatting sqref="AR17:AS17 AR23:AS23 AR29:AS29 AR35:AS35">
    <cfRule type="cellIs" dxfId="4003" priority="535" stopIfTrue="1" operator="greaterThan">
      <formula>0.03</formula>
    </cfRule>
    <cfRule type="cellIs" dxfId="4002" priority="536" stopIfTrue="1" operator="lessThan">
      <formula>-0.03</formula>
    </cfRule>
  </conditionalFormatting>
  <conditionalFormatting sqref="AR17:AS40">
    <cfRule type="cellIs" dxfId="4001" priority="537" stopIfTrue="1" operator="greaterThan">
      <formula>0</formula>
    </cfRule>
    <cfRule type="cellIs" dxfId="4000" priority="538" stopIfTrue="1" operator="lessThan">
      <formula>0</formula>
    </cfRule>
  </conditionalFormatting>
  <conditionalFormatting sqref="AU17 AU23 AU29 AU35">
    <cfRule type="cellIs" dxfId="3999" priority="531" stopIfTrue="1" operator="greaterThan">
      <formula>0.03</formula>
    </cfRule>
    <cfRule type="cellIs" dxfId="3998" priority="532" stopIfTrue="1" operator="lessThan">
      <formula>-0.03</formula>
    </cfRule>
  </conditionalFormatting>
  <conditionalFormatting sqref="AU17:AU40">
    <cfRule type="cellIs" dxfId="3997" priority="533" stopIfTrue="1" operator="greaterThan">
      <formula>0</formula>
    </cfRule>
    <cfRule type="cellIs" dxfId="3996" priority="534" stopIfTrue="1" operator="lessThan">
      <formula>0</formula>
    </cfRule>
  </conditionalFormatting>
  <conditionalFormatting sqref="AW17 AW23 AW29 AW35">
    <cfRule type="cellIs" dxfId="3995" priority="527" stopIfTrue="1" operator="greaterThan">
      <formula>0.03</formula>
    </cfRule>
    <cfRule type="cellIs" dxfId="3994" priority="528" stopIfTrue="1" operator="lessThan">
      <formula>-0.03</formula>
    </cfRule>
  </conditionalFormatting>
  <conditionalFormatting sqref="AW17:AW40">
    <cfRule type="cellIs" dxfId="3993" priority="529" stopIfTrue="1" operator="greaterThan">
      <formula>0</formula>
    </cfRule>
    <cfRule type="cellIs" dxfId="3992" priority="530" stopIfTrue="1" operator="lessThan">
      <formula>0</formula>
    </cfRule>
  </conditionalFormatting>
  <conditionalFormatting sqref="AP17:AP18 AP23:AP24 AP29:AP30 AP35:AP36">
    <cfRule type="cellIs" dxfId="3991" priority="543" stopIfTrue="1" operator="greaterThan">
      <formula>0</formula>
    </cfRule>
    <cfRule type="cellIs" dxfId="3990" priority="544" operator="lessThan">
      <formula>0</formula>
    </cfRule>
  </conditionalFormatting>
  <conditionalFormatting sqref="AP19 AP25 AP31 AP37">
    <cfRule type="cellIs" dxfId="3989" priority="517" stopIfTrue="1" operator="greaterThan">
      <formula>0.03</formula>
    </cfRule>
    <cfRule type="cellIs" dxfId="3988" priority="518" stopIfTrue="1" operator="lessThan">
      <formula>-0.03</formula>
    </cfRule>
  </conditionalFormatting>
  <conditionalFormatting sqref="AP19:AP20 AP25:AP26 AP31:AP32 AP37:AP38">
    <cfRule type="cellIs" dxfId="3987" priority="519" stopIfTrue="1" operator="greaterThan">
      <formula>0</formula>
    </cfRule>
    <cfRule type="cellIs" dxfId="3986" priority="520" operator="lessThan">
      <formula>0</formula>
    </cfRule>
  </conditionalFormatting>
  <conditionalFormatting sqref="AP21 AP27 AP33 AP39">
    <cfRule type="cellIs" dxfId="3985" priority="513" stopIfTrue="1" operator="greaterThan">
      <formula>0.03</formula>
    </cfRule>
    <cfRule type="cellIs" dxfId="3984" priority="514" stopIfTrue="1" operator="lessThan">
      <formula>-0.03</formula>
    </cfRule>
  </conditionalFormatting>
  <conditionalFormatting sqref="AP21:AP22 AP27:AP28 AP33:AP34 AP39:AP40">
    <cfRule type="cellIs" dxfId="3983" priority="515" stopIfTrue="1" operator="greaterThan">
      <formula>0</formula>
    </cfRule>
    <cfRule type="cellIs" dxfId="3982" priority="516" operator="lessThan">
      <formula>0</formula>
    </cfRule>
  </conditionalFormatting>
  <conditionalFormatting sqref="AT17 AT23 AT29 AT35">
    <cfRule type="cellIs" dxfId="3981" priority="509" stopIfTrue="1" operator="greaterThan">
      <formula>0.03</formula>
    </cfRule>
    <cfRule type="cellIs" dxfId="3980" priority="510" stopIfTrue="1" operator="lessThan">
      <formula>-0.03</formula>
    </cfRule>
  </conditionalFormatting>
  <conditionalFormatting sqref="AT17:AT18 AT23:AT24 AT29:AT30 AT35:AT36">
    <cfRule type="cellIs" dxfId="3979" priority="511" stopIfTrue="1" operator="greaterThan">
      <formula>0</formula>
    </cfRule>
    <cfRule type="cellIs" dxfId="3978" priority="512" operator="lessThan">
      <formula>0</formula>
    </cfRule>
  </conditionalFormatting>
  <conditionalFormatting sqref="AT19 AT25 AT31 AT37">
    <cfRule type="cellIs" dxfId="3977" priority="505" stopIfTrue="1" operator="greaterThan">
      <formula>0.03</formula>
    </cfRule>
    <cfRule type="cellIs" dxfId="3976" priority="506" stopIfTrue="1" operator="lessThan">
      <formula>-0.03</formula>
    </cfRule>
  </conditionalFormatting>
  <conditionalFormatting sqref="AT19:AT20 AT25:AT26 AT31:AT32 AT37:AT38">
    <cfRule type="cellIs" dxfId="3975" priority="507" stopIfTrue="1" operator="greaterThan">
      <formula>0</formula>
    </cfRule>
    <cfRule type="cellIs" dxfId="3974" priority="508" operator="lessThan">
      <formula>0</formula>
    </cfRule>
  </conditionalFormatting>
  <conditionalFormatting sqref="AT21 AT27 AT33 AT39">
    <cfRule type="cellIs" dxfId="3973" priority="501" stopIfTrue="1" operator="greaterThan">
      <formula>0.03</formula>
    </cfRule>
    <cfRule type="cellIs" dxfId="3972" priority="502" stopIfTrue="1" operator="lessThan">
      <formula>-0.03</formula>
    </cfRule>
  </conditionalFormatting>
  <conditionalFormatting sqref="AT21:AT22 AT27:AT28 AT33:AT34 AT39:AT40">
    <cfRule type="cellIs" dxfId="3971" priority="503" stopIfTrue="1" operator="greaterThan">
      <formula>0</formula>
    </cfRule>
    <cfRule type="cellIs" dxfId="3970" priority="504" operator="lessThan">
      <formula>0</formula>
    </cfRule>
  </conditionalFormatting>
  <conditionalFormatting sqref="AV17 AV23 AV29 AV35">
    <cfRule type="cellIs" dxfId="3969" priority="497" stopIfTrue="1" operator="greaterThan">
      <formula>0.03</formula>
    </cfRule>
    <cfRule type="cellIs" dxfId="3968" priority="498" stopIfTrue="1" operator="lessThan">
      <formula>-0.03</formula>
    </cfRule>
  </conditionalFormatting>
  <conditionalFormatting sqref="AV17:AV18 AV23:AV24 AV29:AV30 AV35:AV36">
    <cfRule type="cellIs" dxfId="3967" priority="499" stopIfTrue="1" operator="greaterThan">
      <formula>0</formula>
    </cfRule>
    <cfRule type="cellIs" dxfId="3966" priority="500" operator="lessThan">
      <formula>0</formula>
    </cfRule>
  </conditionalFormatting>
  <conditionalFormatting sqref="AV19 AV25 AV31 AV37">
    <cfRule type="cellIs" dxfId="3965" priority="493" stopIfTrue="1" operator="greaterThan">
      <formula>0.03</formula>
    </cfRule>
    <cfRule type="cellIs" dxfId="3964" priority="494" stopIfTrue="1" operator="lessThan">
      <formula>-0.03</formula>
    </cfRule>
  </conditionalFormatting>
  <conditionalFormatting sqref="AV19:AV20 AV25:AV26 AV31:AV32 AV37:AV38">
    <cfRule type="cellIs" dxfId="3963" priority="495" stopIfTrue="1" operator="greaterThan">
      <formula>0</formula>
    </cfRule>
    <cfRule type="cellIs" dxfId="3962" priority="496" operator="lessThan">
      <formula>0</formula>
    </cfRule>
  </conditionalFormatting>
  <conditionalFormatting sqref="AV21 AV27 AV33 AV39">
    <cfRule type="cellIs" dxfId="3961" priority="489" stopIfTrue="1" operator="greaterThan">
      <formula>0.03</formula>
    </cfRule>
    <cfRule type="cellIs" dxfId="3960" priority="490" stopIfTrue="1" operator="lessThan">
      <formula>-0.03</formula>
    </cfRule>
  </conditionalFormatting>
  <conditionalFormatting sqref="AV21:AV22 AV27:AV28 AV33:AV34 AV39:AV40">
    <cfRule type="cellIs" dxfId="3959" priority="491" stopIfTrue="1" operator="greaterThan">
      <formula>0</formula>
    </cfRule>
    <cfRule type="cellIs" dxfId="3958" priority="492" operator="lessThan">
      <formula>0</formula>
    </cfRule>
  </conditionalFormatting>
  <conditionalFormatting sqref="B47">
    <cfRule type="cellIs" dxfId="3957" priority="469" stopIfTrue="1" operator="greaterThan">
      <formula>0.03</formula>
    </cfRule>
    <cfRule type="cellIs" dxfId="3956" priority="470" stopIfTrue="1" operator="lessThan">
      <formula>-0.03</formula>
    </cfRule>
  </conditionalFormatting>
  <conditionalFormatting sqref="C47">
    <cfRule type="cellIs" dxfId="3955" priority="471" stopIfTrue="1" operator="greaterThan">
      <formula>0.03</formula>
    </cfRule>
    <cfRule type="cellIs" dxfId="3954" priority="472" stopIfTrue="1" operator="lessThan">
      <formula>-0.03</formula>
    </cfRule>
  </conditionalFormatting>
  <conditionalFormatting sqref="C47:C52">
    <cfRule type="cellIs" dxfId="3953" priority="473" stopIfTrue="1" operator="greaterThan">
      <formula>0</formula>
    </cfRule>
    <cfRule type="cellIs" dxfId="3952" priority="474" stopIfTrue="1" operator="lessThan">
      <formula>0</formula>
    </cfRule>
  </conditionalFormatting>
  <conditionalFormatting sqref="B47:B48">
    <cfRule type="cellIs" dxfId="3951" priority="475" stopIfTrue="1" operator="greaterThan">
      <formula>0</formula>
    </cfRule>
    <cfRule type="cellIs" dxfId="3950" priority="476" operator="lessThan">
      <formula>0</formula>
    </cfRule>
  </conditionalFormatting>
  <conditionalFormatting sqref="B49">
    <cfRule type="cellIs" dxfId="3949" priority="465" stopIfTrue="1" operator="greaterThan">
      <formula>0.03</formula>
    </cfRule>
    <cfRule type="cellIs" dxfId="3948" priority="466" stopIfTrue="1" operator="lessThan">
      <formula>-0.03</formula>
    </cfRule>
  </conditionalFormatting>
  <conditionalFormatting sqref="B49:B50">
    <cfRule type="cellIs" dxfId="3947" priority="467" stopIfTrue="1" operator="greaterThan">
      <formula>0</formula>
    </cfRule>
    <cfRule type="cellIs" dxfId="3946" priority="468" operator="lessThan">
      <formula>0</formula>
    </cfRule>
  </conditionalFormatting>
  <conditionalFormatting sqref="B51">
    <cfRule type="cellIs" dxfId="3945" priority="461" stopIfTrue="1" operator="greaterThan">
      <formula>0.03</formula>
    </cfRule>
    <cfRule type="cellIs" dxfId="3944" priority="462" stopIfTrue="1" operator="lessThan">
      <formula>-0.03</formula>
    </cfRule>
  </conditionalFormatting>
  <conditionalFormatting sqref="B51:B52">
    <cfRule type="cellIs" dxfId="3943" priority="463" stopIfTrue="1" operator="greaterThan">
      <formula>0</formula>
    </cfRule>
    <cfRule type="cellIs" dxfId="3942" priority="464" operator="lessThan">
      <formula>0</formula>
    </cfRule>
  </conditionalFormatting>
  <conditionalFormatting sqref="D47:P47">
    <cfRule type="cellIs" dxfId="3941" priority="457" stopIfTrue="1" operator="greaterThan">
      <formula>0.03</formula>
    </cfRule>
    <cfRule type="cellIs" dxfId="3940" priority="458" stopIfTrue="1" operator="lessThan">
      <formula>-0.03</formula>
    </cfRule>
  </conditionalFormatting>
  <conditionalFormatting sqref="D47:P52">
    <cfRule type="cellIs" dxfId="3939" priority="459" stopIfTrue="1" operator="greaterThan">
      <formula>0</formula>
    </cfRule>
    <cfRule type="cellIs" dxfId="3938" priority="460" stopIfTrue="1" operator="lessThan">
      <formula>0</formula>
    </cfRule>
  </conditionalFormatting>
  <conditionalFormatting sqref="Q47">
    <cfRule type="cellIs" dxfId="3937" priority="449" stopIfTrue="1" operator="greaterThan">
      <formula>0.03</formula>
    </cfRule>
    <cfRule type="cellIs" dxfId="3936" priority="450" stopIfTrue="1" operator="lessThan">
      <formula>-0.03</formula>
    </cfRule>
  </conditionalFormatting>
  <conditionalFormatting sqref="R47">
    <cfRule type="cellIs" dxfId="3935" priority="451" stopIfTrue="1" operator="greaterThan">
      <formula>0.03</formula>
    </cfRule>
    <cfRule type="cellIs" dxfId="3934" priority="452" stopIfTrue="1" operator="lessThan">
      <formula>-0.03</formula>
    </cfRule>
  </conditionalFormatting>
  <conditionalFormatting sqref="R47:R52">
    <cfRule type="cellIs" dxfId="3933" priority="453" stopIfTrue="1" operator="greaterThan">
      <formula>0</formula>
    </cfRule>
    <cfRule type="cellIs" dxfId="3932" priority="454" stopIfTrue="1" operator="lessThan">
      <formula>0</formula>
    </cfRule>
  </conditionalFormatting>
  <conditionalFormatting sqref="Q47:Q48">
    <cfRule type="cellIs" dxfId="3931" priority="455" stopIfTrue="1" operator="greaterThan">
      <formula>0</formula>
    </cfRule>
    <cfRule type="cellIs" dxfId="3930" priority="456" operator="lessThan">
      <formula>0</formula>
    </cfRule>
  </conditionalFormatting>
  <conditionalFormatting sqref="Q49">
    <cfRule type="cellIs" dxfId="3929" priority="445" stopIfTrue="1" operator="greaterThan">
      <formula>0.03</formula>
    </cfRule>
    <cfRule type="cellIs" dxfId="3928" priority="446" stopIfTrue="1" operator="lessThan">
      <formula>-0.03</formula>
    </cfRule>
  </conditionalFormatting>
  <conditionalFormatting sqref="Q49:Q50">
    <cfRule type="cellIs" dxfId="3927" priority="447" stopIfTrue="1" operator="greaterThan">
      <formula>0</formula>
    </cfRule>
    <cfRule type="cellIs" dxfId="3926" priority="448" operator="lessThan">
      <formula>0</formula>
    </cfRule>
  </conditionalFormatting>
  <conditionalFormatting sqref="Q51">
    <cfRule type="cellIs" dxfId="3925" priority="441" stopIfTrue="1" operator="greaterThan">
      <formula>0.03</formula>
    </cfRule>
    <cfRule type="cellIs" dxfId="3924" priority="442" stopIfTrue="1" operator="lessThan">
      <formula>-0.03</formula>
    </cfRule>
  </conditionalFormatting>
  <conditionalFormatting sqref="Q51:Q52">
    <cfRule type="cellIs" dxfId="3923" priority="443" stopIfTrue="1" operator="greaterThan">
      <formula>0</formula>
    </cfRule>
    <cfRule type="cellIs" dxfId="3922" priority="444" operator="lessThan">
      <formula>0</formula>
    </cfRule>
  </conditionalFormatting>
  <conditionalFormatting sqref="S47">
    <cfRule type="cellIs" dxfId="3921" priority="433" stopIfTrue="1" operator="greaterThan">
      <formula>0.03</formula>
    </cfRule>
    <cfRule type="cellIs" dxfId="3920" priority="434" stopIfTrue="1" operator="lessThan">
      <formula>-0.03</formula>
    </cfRule>
  </conditionalFormatting>
  <conditionalFormatting sqref="T47">
    <cfRule type="cellIs" dxfId="3919" priority="435" stopIfTrue="1" operator="greaterThan">
      <formula>0.03</formula>
    </cfRule>
    <cfRule type="cellIs" dxfId="3918" priority="436" stopIfTrue="1" operator="lessThan">
      <formula>-0.03</formula>
    </cfRule>
  </conditionalFormatting>
  <conditionalFormatting sqref="T47:T52">
    <cfRule type="cellIs" dxfId="3917" priority="437" stopIfTrue="1" operator="greaterThan">
      <formula>0</formula>
    </cfRule>
    <cfRule type="cellIs" dxfId="3916" priority="438" stopIfTrue="1" operator="lessThan">
      <formula>0</formula>
    </cfRule>
  </conditionalFormatting>
  <conditionalFormatting sqref="S47:S48">
    <cfRule type="cellIs" dxfId="3915" priority="439" stopIfTrue="1" operator="greaterThan">
      <formula>0</formula>
    </cfRule>
    <cfRule type="cellIs" dxfId="3914" priority="440" operator="lessThan">
      <formula>0</formula>
    </cfRule>
  </conditionalFormatting>
  <conditionalFormatting sqref="S49">
    <cfRule type="cellIs" dxfId="3913" priority="429" stopIfTrue="1" operator="greaterThan">
      <formula>0.03</formula>
    </cfRule>
    <cfRule type="cellIs" dxfId="3912" priority="430" stopIfTrue="1" operator="lessThan">
      <formula>-0.03</formula>
    </cfRule>
  </conditionalFormatting>
  <conditionalFormatting sqref="S49:S50">
    <cfRule type="cellIs" dxfId="3911" priority="431" stopIfTrue="1" operator="greaterThan">
      <formula>0</formula>
    </cfRule>
    <cfRule type="cellIs" dxfId="3910" priority="432" operator="lessThan">
      <formula>0</formula>
    </cfRule>
  </conditionalFormatting>
  <conditionalFormatting sqref="S51">
    <cfRule type="cellIs" dxfId="3909" priority="425" stopIfTrue="1" operator="greaterThan">
      <formula>0.03</formula>
    </cfRule>
    <cfRule type="cellIs" dxfId="3908" priority="426" stopIfTrue="1" operator="lessThan">
      <formula>-0.03</formula>
    </cfRule>
  </conditionalFormatting>
  <conditionalFormatting sqref="S51:S52">
    <cfRule type="cellIs" dxfId="3907" priority="427" stopIfTrue="1" operator="greaterThan">
      <formula>0</formula>
    </cfRule>
    <cfRule type="cellIs" dxfId="3906" priority="428" operator="lessThan">
      <formula>0</formula>
    </cfRule>
  </conditionalFormatting>
  <conditionalFormatting sqref="U47">
    <cfRule type="cellIs" dxfId="3905" priority="417" stopIfTrue="1" operator="greaterThan">
      <formula>0.03</formula>
    </cfRule>
    <cfRule type="cellIs" dxfId="3904" priority="418" stopIfTrue="1" operator="lessThan">
      <formula>-0.03</formula>
    </cfRule>
  </conditionalFormatting>
  <conditionalFormatting sqref="V47">
    <cfRule type="cellIs" dxfId="3903" priority="419" stopIfTrue="1" operator="greaterThan">
      <formula>0.03</formula>
    </cfRule>
    <cfRule type="cellIs" dxfId="3902" priority="420" stopIfTrue="1" operator="lessThan">
      <formula>-0.03</formula>
    </cfRule>
  </conditionalFormatting>
  <conditionalFormatting sqref="V47:V52">
    <cfRule type="cellIs" dxfId="3901" priority="421" stopIfTrue="1" operator="greaterThan">
      <formula>0</formula>
    </cfRule>
    <cfRule type="cellIs" dxfId="3900" priority="422" stopIfTrue="1" operator="lessThan">
      <formula>0</formula>
    </cfRule>
  </conditionalFormatting>
  <conditionalFormatting sqref="U47:U48">
    <cfRule type="cellIs" dxfId="3899" priority="423" stopIfTrue="1" operator="greaterThan">
      <formula>0</formula>
    </cfRule>
    <cfRule type="cellIs" dxfId="3898" priority="424" operator="lessThan">
      <formula>0</formula>
    </cfRule>
  </conditionalFormatting>
  <conditionalFormatting sqref="U49">
    <cfRule type="cellIs" dxfId="3897" priority="413" stopIfTrue="1" operator="greaterThan">
      <formula>0.03</formula>
    </cfRule>
    <cfRule type="cellIs" dxfId="3896" priority="414" stopIfTrue="1" operator="lessThan">
      <formula>-0.03</formula>
    </cfRule>
  </conditionalFormatting>
  <conditionalFormatting sqref="U49:U50">
    <cfRule type="cellIs" dxfId="3895" priority="415" stopIfTrue="1" operator="greaterThan">
      <formula>0</formula>
    </cfRule>
    <cfRule type="cellIs" dxfId="3894" priority="416" operator="lessThan">
      <formula>0</formula>
    </cfRule>
  </conditionalFormatting>
  <conditionalFormatting sqref="U51">
    <cfRule type="cellIs" dxfId="3893" priority="409" stopIfTrue="1" operator="greaterThan">
      <formula>0.03</formula>
    </cfRule>
    <cfRule type="cellIs" dxfId="3892" priority="410" stopIfTrue="1" operator="lessThan">
      <formula>-0.03</formula>
    </cfRule>
  </conditionalFormatting>
  <conditionalFormatting sqref="U51:U52">
    <cfRule type="cellIs" dxfId="3891" priority="411" stopIfTrue="1" operator="greaterThan">
      <formula>0</formula>
    </cfRule>
    <cfRule type="cellIs" dxfId="3890" priority="412" operator="lessThan">
      <formula>0</formula>
    </cfRule>
  </conditionalFormatting>
  <conditionalFormatting sqref="W47">
    <cfRule type="cellIs" dxfId="3889" priority="401" stopIfTrue="1" operator="greaterThan">
      <formula>0.03</formula>
    </cfRule>
    <cfRule type="cellIs" dxfId="3888" priority="402" stopIfTrue="1" operator="lessThan">
      <formula>-0.03</formula>
    </cfRule>
  </conditionalFormatting>
  <conditionalFormatting sqref="X47">
    <cfRule type="cellIs" dxfId="3887" priority="403" stopIfTrue="1" operator="greaterThan">
      <formula>0.03</formula>
    </cfRule>
    <cfRule type="cellIs" dxfId="3886" priority="404" stopIfTrue="1" operator="lessThan">
      <formula>-0.03</formula>
    </cfRule>
  </conditionalFormatting>
  <conditionalFormatting sqref="X47:X52">
    <cfRule type="cellIs" dxfId="3885" priority="405" stopIfTrue="1" operator="greaterThan">
      <formula>0</formula>
    </cfRule>
    <cfRule type="cellIs" dxfId="3884" priority="406" stopIfTrue="1" operator="lessThan">
      <formula>0</formula>
    </cfRule>
  </conditionalFormatting>
  <conditionalFormatting sqref="W47:W48">
    <cfRule type="cellIs" dxfId="3883" priority="407" stopIfTrue="1" operator="greaterThan">
      <formula>0</formula>
    </cfRule>
    <cfRule type="cellIs" dxfId="3882" priority="408" operator="lessThan">
      <formula>0</formula>
    </cfRule>
  </conditionalFormatting>
  <conditionalFormatting sqref="W49">
    <cfRule type="cellIs" dxfId="3881" priority="397" stopIfTrue="1" operator="greaterThan">
      <formula>0.03</formula>
    </cfRule>
    <cfRule type="cellIs" dxfId="3880" priority="398" stopIfTrue="1" operator="lessThan">
      <formula>-0.03</formula>
    </cfRule>
  </conditionalFormatting>
  <conditionalFormatting sqref="W49:W50">
    <cfRule type="cellIs" dxfId="3879" priority="399" stopIfTrue="1" operator="greaterThan">
      <formula>0</formula>
    </cfRule>
    <cfRule type="cellIs" dxfId="3878" priority="400" operator="lessThan">
      <formula>0</formula>
    </cfRule>
  </conditionalFormatting>
  <conditionalFormatting sqref="W51">
    <cfRule type="cellIs" dxfId="3877" priority="393" stopIfTrue="1" operator="greaterThan">
      <formula>0.03</formula>
    </cfRule>
    <cfRule type="cellIs" dxfId="3876" priority="394" stopIfTrue="1" operator="lessThan">
      <formula>-0.03</formula>
    </cfRule>
  </conditionalFormatting>
  <conditionalFormatting sqref="W51:W52">
    <cfRule type="cellIs" dxfId="3875" priority="395" stopIfTrue="1" operator="greaterThan">
      <formula>0</formula>
    </cfRule>
    <cfRule type="cellIs" dxfId="3874" priority="396" operator="lessThan">
      <formula>0</formula>
    </cfRule>
  </conditionalFormatting>
  <conditionalFormatting sqref="Y47">
    <cfRule type="cellIs" dxfId="3873" priority="385" stopIfTrue="1" operator="greaterThan">
      <formula>0.03</formula>
    </cfRule>
    <cfRule type="cellIs" dxfId="3872" priority="386" stopIfTrue="1" operator="lessThan">
      <formula>-0.03</formula>
    </cfRule>
  </conditionalFormatting>
  <conditionalFormatting sqref="Z47">
    <cfRule type="cellIs" dxfId="3871" priority="387" stopIfTrue="1" operator="greaterThan">
      <formula>0.03</formula>
    </cfRule>
    <cfRule type="cellIs" dxfId="3870" priority="388" stopIfTrue="1" operator="lessThan">
      <formula>-0.03</formula>
    </cfRule>
  </conditionalFormatting>
  <conditionalFormatting sqref="Z47:Z52">
    <cfRule type="cellIs" dxfId="3869" priority="389" stopIfTrue="1" operator="greaterThan">
      <formula>0</formula>
    </cfRule>
    <cfRule type="cellIs" dxfId="3868" priority="390" stopIfTrue="1" operator="lessThan">
      <formula>0</formula>
    </cfRule>
  </conditionalFormatting>
  <conditionalFormatting sqref="Y47:Y48">
    <cfRule type="cellIs" dxfId="3867" priority="391" stopIfTrue="1" operator="greaterThan">
      <formula>0</formula>
    </cfRule>
    <cfRule type="cellIs" dxfId="3866" priority="392" operator="lessThan">
      <formula>0</formula>
    </cfRule>
  </conditionalFormatting>
  <conditionalFormatting sqref="Y49">
    <cfRule type="cellIs" dxfId="3865" priority="381" stopIfTrue="1" operator="greaterThan">
      <formula>0.03</formula>
    </cfRule>
    <cfRule type="cellIs" dxfId="3864" priority="382" stopIfTrue="1" operator="lessThan">
      <formula>-0.03</formula>
    </cfRule>
  </conditionalFormatting>
  <conditionalFormatting sqref="Y49:Y50">
    <cfRule type="cellIs" dxfId="3863" priority="383" stopIfTrue="1" operator="greaterThan">
      <formula>0</formula>
    </cfRule>
    <cfRule type="cellIs" dxfId="3862" priority="384" operator="lessThan">
      <formula>0</formula>
    </cfRule>
  </conditionalFormatting>
  <conditionalFormatting sqref="Y51">
    <cfRule type="cellIs" dxfId="3861" priority="377" stopIfTrue="1" operator="greaterThan">
      <formula>0.03</formula>
    </cfRule>
    <cfRule type="cellIs" dxfId="3860" priority="378" stopIfTrue="1" operator="lessThan">
      <formula>-0.03</formula>
    </cfRule>
  </conditionalFormatting>
  <conditionalFormatting sqref="Y51:Y52">
    <cfRule type="cellIs" dxfId="3859" priority="379" stopIfTrue="1" operator="greaterThan">
      <formula>0</formula>
    </cfRule>
    <cfRule type="cellIs" dxfId="3858" priority="380" operator="lessThan">
      <formula>0</formula>
    </cfRule>
  </conditionalFormatting>
  <conditionalFormatting sqref="AA47">
    <cfRule type="cellIs" dxfId="3857" priority="369" stopIfTrue="1" operator="greaterThan">
      <formula>0.03</formula>
    </cfRule>
    <cfRule type="cellIs" dxfId="3856" priority="370" stopIfTrue="1" operator="lessThan">
      <formula>-0.03</formula>
    </cfRule>
  </conditionalFormatting>
  <conditionalFormatting sqref="AB47">
    <cfRule type="cellIs" dxfId="3855" priority="371" stopIfTrue="1" operator="greaterThan">
      <formula>0.03</formula>
    </cfRule>
    <cfRule type="cellIs" dxfId="3854" priority="372" stopIfTrue="1" operator="lessThan">
      <formula>-0.03</formula>
    </cfRule>
  </conditionalFormatting>
  <conditionalFormatting sqref="AB47:AB52">
    <cfRule type="cellIs" dxfId="3853" priority="373" stopIfTrue="1" operator="greaterThan">
      <formula>0</formula>
    </cfRule>
    <cfRule type="cellIs" dxfId="3852" priority="374" stopIfTrue="1" operator="lessThan">
      <formula>0</formula>
    </cfRule>
  </conditionalFormatting>
  <conditionalFormatting sqref="AA47:AA48">
    <cfRule type="cellIs" dxfId="3851" priority="375" stopIfTrue="1" operator="greaterThan">
      <formula>0</formula>
    </cfRule>
    <cfRule type="cellIs" dxfId="3850" priority="376" operator="lessThan">
      <formula>0</formula>
    </cfRule>
  </conditionalFormatting>
  <conditionalFormatting sqref="AA49">
    <cfRule type="cellIs" dxfId="3849" priority="365" stopIfTrue="1" operator="greaterThan">
      <formula>0.03</formula>
    </cfRule>
    <cfRule type="cellIs" dxfId="3848" priority="366" stopIfTrue="1" operator="lessThan">
      <formula>-0.03</formula>
    </cfRule>
  </conditionalFormatting>
  <conditionalFormatting sqref="AA49:AA50">
    <cfRule type="cellIs" dxfId="3847" priority="367" stopIfTrue="1" operator="greaterThan">
      <formula>0</formula>
    </cfRule>
    <cfRule type="cellIs" dxfId="3846" priority="368" operator="lessThan">
      <formula>0</formula>
    </cfRule>
  </conditionalFormatting>
  <conditionalFormatting sqref="AA51">
    <cfRule type="cellIs" dxfId="3845" priority="361" stopIfTrue="1" operator="greaterThan">
      <formula>0.03</formula>
    </cfRule>
    <cfRule type="cellIs" dxfId="3844" priority="362" stopIfTrue="1" operator="lessThan">
      <formula>-0.03</formula>
    </cfRule>
  </conditionalFormatting>
  <conditionalFormatting sqref="AA51:AA52">
    <cfRule type="cellIs" dxfId="3843" priority="363" stopIfTrue="1" operator="greaterThan">
      <formula>0</formula>
    </cfRule>
    <cfRule type="cellIs" dxfId="3842" priority="364" operator="lessThan">
      <formula>0</formula>
    </cfRule>
  </conditionalFormatting>
  <conditionalFormatting sqref="AC47">
    <cfRule type="cellIs" dxfId="3841" priority="353" stopIfTrue="1" operator="greaterThan">
      <formula>0.03</formula>
    </cfRule>
    <cfRule type="cellIs" dxfId="3840" priority="354" stopIfTrue="1" operator="lessThan">
      <formula>-0.03</formula>
    </cfRule>
  </conditionalFormatting>
  <conditionalFormatting sqref="AC47:AC48">
    <cfRule type="cellIs" dxfId="3839" priority="359" stopIfTrue="1" operator="greaterThan">
      <formula>0</formula>
    </cfRule>
    <cfRule type="cellIs" dxfId="3838" priority="360" operator="lessThan">
      <formula>0</formula>
    </cfRule>
  </conditionalFormatting>
  <conditionalFormatting sqref="AC49">
    <cfRule type="cellIs" dxfId="3837" priority="349" stopIfTrue="1" operator="greaterThan">
      <formula>0.03</formula>
    </cfRule>
    <cfRule type="cellIs" dxfId="3836" priority="350" stopIfTrue="1" operator="lessThan">
      <formula>-0.03</formula>
    </cfRule>
  </conditionalFormatting>
  <conditionalFormatting sqref="AC49:AC50">
    <cfRule type="cellIs" dxfId="3835" priority="351" stopIfTrue="1" operator="greaterThan">
      <formula>0</formula>
    </cfRule>
    <cfRule type="cellIs" dxfId="3834" priority="352" operator="lessThan">
      <formula>0</formula>
    </cfRule>
  </conditionalFormatting>
  <conditionalFormatting sqref="AC51">
    <cfRule type="cellIs" dxfId="3833" priority="345" stopIfTrue="1" operator="greaterThan">
      <formula>0.03</formula>
    </cfRule>
    <cfRule type="cellIs" dxfId="3832" priority="346" stopIfTrue="1" operator="lessThan">
      <formula>-0.03</formula>
    </cfRule>
  </conditionalFormatting>
  <conditionalFormatting sqref="AC51:AC52">
    <cfRule type="cellIs" dxfId="3831" priority="347" stopIfTrue="1" operator="greaterThan">
      <formula>0</formula>
    </cfRule>
    <cfRule type="cellIs" dxfId="3830" priority="348" operator="lessThan">
      <formula>0</formula>
    </cfRule>
  </conditionalFormatting>
  <conditionalFormatting sqref="AI47">
    <cfRule type="cellIs" dxfId="3829" priority="337" stopIfTrue="1" operator="greaterThan">
      <formula>0.03</formula>
    </cfRule>
    <cfRule type="cellIs" dxfId="3828" priority="338" stopIfTrue="1" operator="lessThan">
      <formula>-0.03</formula>
    </cfRule>
  </conditionalFormatting>
  <conditionalFormatting sqref="AJ47">
    <cfRule type="cellIs" dxfId="3827" priority="339" stopIfTrue="1" operator="greaterThan">
      <formula>0.03</formula>
    </cfRule>
    <cfRule type="cellIs" dxfId="3826" priority="340" stopIfTrue="1" operator="lessThan">
      <formula>-0.03</formula>
    </cfRule>
  </conditionalFormatting>
  <conditionalFormatting sqref="AJ47:AJ52">
    <cfRule type="cellIs" dxfId="3825" priority="341" stopIfTrue="1" operator="greaterThan">
      <formula>0</formula>
    </cfRule>
    <cfRule type="cellIs" dxfId="3824" priority="342" stopIfTrue="1" operator="lessThan">
      <formula>0</formula>
    </cfRule>
  </conditionalFormatting>
  <conditionalFormatting sqref="AI47:AI48">
    <cfRule type="cellIs" dxfId="3823" priority="343" stopIfTrue="1" operator="greaterThan">
      <formula>0</formula>
    </cfRule>
    <cfRule type="cellIs" dxfId="3822" priority="344" operator="lessThan">
      <formula>0</formula>
    </cfRule>
  </conditionalFormatting>
  <conditionalFormatting sqref="AI49">
    <cfRule type="cellIs" dxfId="3821" priority="333" stopIfTrue="1" operator="greaterThan">
      <formula>0.03</formula>
    </cfRule>
    <cfRule type="cellIs" dxfId="3820" priority="334" stopIfTrue="1" operator="lessThan">
      <formula>-0.03</formula>
    </cfRule>
  </conditionalFormatting>
  <conditionalFormatting sqref="AI49:AI50">
    <cfRule type="cellIs" dxfId="3819" priority="335" stopIfTrue="1" operator="greaterThan">
      <formula>0</formula>
    </cfRule>
    <cfRule type="cellIs" dxfId="3818" priority="336" operator="lessThan">
      <formula>0</formula>
    </cfRule>
  </conditionalFormatting>
  <conditionalFormatting sqref="AI51">
    <cfRule type="cellIs" dxfId="3817" priority="329" stopIfTrue="1" operator="greaterThan">
      <formula>0.03</formula>
    </cfRule>
    <cfRule type="cellIs" dxfId="3816" priority="330" stopIfTrue="1" operator="lessThan">
      <formula>-0.03</formula>
    </cfRule>
  </conditionalFormatting>
  <conditionalFormatting sqref="AI51:AI52">
    <cfRule type="cellIs" dxfId="3815" priority="331" stopIfTrue="1" operator="greaterThan">
      <formula>0</formula>
    </cfRule>
    <cfRule type="cellIs" dxfId="3814" priority="332" operator="lessThan">
      <formula>0</formula>
    </cfRule>
  </conditionalFormatting>
  <conditionalFormatting sqref="AK47">
    <cfRule type="cellIs" dxfId="3813" priority="321" stopIfTrue="1" operator="greaterThan">
      <formula>0.03</formula>
    </cfRule>
    <cfRule type="cellIs" dxfId="3812" priority="322" stopIfTrue="1" operator="lessThan">
      <formula>-0.03</formula>
    </cfRule>
  </conditionalFormatting>
  <conditionalFormatting sqref="AL47">
    <cfRule type="cellIs" dxfId="3811" priority="323" stopIfTrue="1" operator="greaterThan">
      <formula>0.03</formula>
    </cfRule>
    <cfRule type="cellIs" dxfId="3810" priority="324" stopIfTrue="1" operator="lessThan">
      <formula>-0.03</formula>
    </cfRule>
  </conditionalFormatting>
  <conditionalFormatting sqref="AL47:AL52">
    <cfRule type="cellIs" dxfId="3809" priority="325" stopIfTrue="1" operator="greaterThan">
      <formula>0</formula>
    </cfRule>
    <cfRule type="cellIs" dxfId="3808" priority="326" stopIfTrue="1" operator="lessThan">
      <formula>0</formula>
    </cfRule>
  </conditionalFormatting>
  <conditionalFormatting sqref="AK47:AK48">
    <cfRule type="cellIs" dxfId="3807" priority="327" stopIfTrue="1" operator="greaterThan">
      <formula>0</formula>
    </cfRule>
    <cfRule type="cellIs" dxfId="3806" priority="328" operator="lessThan">
      <formula>0</formula>
    </cfRule>
  </conditionalFormatting>
  <conditionalFormatting sqref="AK49">
    <cfRule type="cellIs" dxfId="3805" priority="317" stopIfTrue="1" operator="greaterThan">
      <formula>0.03</formula>
    </cfRule>
    <cfRule type="cellIs" dxfId="3804" priority="318" stopIfTrue="1" operator="lessThan">
      <formula>-0.03</formula>
    </cfRule>
  </conditionalFormatting>
  <conditionalFormatting sqref="AK49:AK50">
    <cfRule type="cellIs" dxfId="3803" priority="319" stopIfTrue="1" operator="greaterThan">
      <formula>0</formula>
    </cfRule>
    <cfRule type="cellIs" dxfId="3802" priority="320" operator="lessThan">
      <formula>0</formula>
    </cfRule>
  </conditionalFormatting>
  <conditionalFormatting sqref="AK51">
    <cfRule type="cellIs" dxfId="3801" priority="313" stopIfTrue="1" operator="greaterThan">
      <formula>0.03</formula>
    </cfRule>
    <cfRule type="cellIs" dxfId="3800" priority="314" stopIfTrue="1" operator="lessThan">
      <formula>-0.03</formula>
    </cfRule>
  </conditionalFormatting>
  <conditionalFormatting sqref="AK51:AK52">
    <cfRule type="cellIs" dxfId="3799" priority="315" stopIfTrue="1" operator="greaterThan">
      <formula>0</formula>
    </cfRule>
    <cfRule type="cellIs" dxfId="3798" priority="316" operator="lessThan">
      <formula>0</formula>
    </cfRule>
  </conditionalFormatting>
  <conditionalFormatting sqref="AD47:AH47">
    <cfRule type="cellIs" dxfId="3797" priority="309" stopIfTrue="1" operator="greaterThan">
      <formula>0.03</formula>
    </cfRule>
    <cfRule type="cellIs" dxfId="3796" priority="310" stopIfTrue="1" operator="lessThan">
      <formula>-0.03</formula>
    </cfRule>
  </conditionalFormatting>
  <conditionalFormatting sqref="AD47:AH52">
    <cfRule type="cellIs" dxfId="3795" priority="311" stopIfTrue="1" operator="greaterThan">
      <formula>0</formula>
    </cfRule>
    <cfRule type="cellIs" dxfId="3794" priority="312" stopIfTrue="1" operator="lessThan">
      <formula>0</formula>
    </cfRule>
  </conditionalFormatting>
  <conditionalFormatting sqref="BA11">
    <cfRule type="cellIs" dxfId="3793" priority="197" stopIfTrue="1" operator="greaterThan">
      <formula>0.03</formula>
    </cfRule>
    <cfRule type="cellIs" dxfId="3792" priority="198" stopIfTrue="1" operator="lessThan">
      <formula>-0.03</formula>
    </cfRule>
  </conditionalFormatting>
  <conditionalFormatting sqref="BA11:BA16">
    <cfRule type="cellIs" dxfId="3791" priority="199" stopIfTrue="1" operator="greaterThan">
      <formula>0</formula>
    </cfRule>
    <cfRule type="cellIs" dxfId="3790" priority="200" stopIfTrue="1" operator="lessThan">
      <formula>0</formula>
    </cfRule>
  </conditionalFormatting>
  <conditionalFormatting sqref="AZ11">
    <cfRule type="cellIs" dxfId="3789" priority="193" stopIfTrue="1" operator="greaterThan">
      <formula>0.03</formula>
    </cfRule>
    <cfRule type="cellIs" dxfId="3788" priority="194" stopIfTrue="1" operator="lessThan">
      <formula>-0.03</formula>
    </cfRule>
  </conditionalFormatting>
  <conditionalFormatting sqref="AZ11:AZ12">
    <cfRule type="cellIs" dxfId="3787" priority="195" stopIfTrue="1" operator="greaterThan">
      <formula>0</formula>
    </cfRule>
    <cfRule type="cellIs" dxfId="3786" priority="196" operator="lessThan">
      <formula>0</formula>
    </cfRule>
  </conditionalFormatting>
  <conditionalFormatting sqref="AZ13">
    <cfRule type="cellIs" dxfId="3785" priority="189" stopIfTrue="1" operator="greaterThan">
      <formula>0.03</formula>
    </cfRule>
    <cfRule type="cellIs" dxfId="3784" priority="190" stopIfTrue="1" operator="lessThan">
      <formula>-0.03</formula>
    </cfRule>
  </conditionalFormatting>
  <conditionalFormatting sqref="AZ13:AZ14">
    <cfRule type="cellIs" dxfId="3783" priority="191" stopIfTrue="1" operator="greaterThan">
      <formula>0</formula>
    </cfRule>
    <cfRule type="cellIs" dxfId="3782" priority="192" operator="lessThan">
      <formula>0</formula>
    </cfRule>
  </conditionalFormatting>
  <conditionalFormatting sqref="AZ15">
    <cfRule type="cellIs" dxfId="3781" priority="185" stopIfTrue="1" operator="greaterThan">
      <formula>0.03</formula>
    </cfRule>
    <cfRule type="cellIs" dxfId="3780" priority="186" stopIfTrue="1" operator="lessThan">
      <formula>-0.03</formula>
    </cfRule>
  </conditionalFormatting>
  <conditionalFormatting sqref="AZ15:AZ16">
    <cfRule type="cellIs" dxfId="3779" priority="187" stopIfTrue="1" operator="greaterThan">
      <formula>0</formula>
    </cfRule>
    <cfRule type="cellIs" dxfId="3778" priority="188" operator="lessThan">
      <formula>0</formula>
    </cfRule>
  </conditionalFormatting>
  <conditionalFormatting sqref="BA5">
    <cfRule type="cellIs" dxfId="3777" priority="181" stopIfTrue="1" operator="greaterThan">
      <formula>0.03</formula>
    </cfRule>
    <cfRule type="cellIs" dxfId="3776" priority="182" stopIfTrue="1" operator="lessThan">
      <formula>-0.03</formula>
    </cfRule>
  </conditionalFormatting>
  <conditionalFormatting sqref="BA5:BA10">
    <cfRule type="cellIs" dxfId="3775" priority="183" stopIfTrue="1" operator="greaterThan">
      <formula>0</formula>
    </cfRule>
    <cfRule type="cellIs" dxfId="3774" priority="184" stopIfTrue="1" operator="lessThan">
      <formula>0</formula>
    </cfRule>
  </conditionalFormatting>
  <conditionalFormatting sqref="AZ5">
    <cfRule type="cellIs" dxfId="3773" priority="177" stopIfTrue="1" operator="greaterThan">
      <formula>0.03</formula>
    </cfRule>
    <cfRule type="cellIs" dxfId="3772" priority="178" stopIfTrue="1" operator="lessThan">
      <formula>-0.03</formula>
    </cfRule>
  </conditionalFormatting>
  <conditionalFormatting sqref="AZ5:AZ6">
    <cfRule type="cellIs" dxfId="3771" priority="179" stopIfTrue="1" operator="greaterThan">
      <formula>0</formula>
    </cfRule>
    <cfRule type="cellIs" dxfId="3770" priority="180" operator="lessThan">
      <formula>0</formula>
    </cfRule>
  </conditionalFormatting>
  <conditionalFormatting sqref="AZ7">
    <cfRule type="cellIs" dxfId="3769" priority="173" stopIfTrue="1" operator="greaterThan">
      <formula>0.03</formula>
    </cfRule>
    <cfRule type="cellIs" dxfId="3768" priority="174" stopIfTrue="1" operator="lessThan">
      <formula>-0.03</formula>
    </cfRule>
  </conditionalFormatting>
  <conditionalFormatting sqref="AZ7:AZ8">
    <cfRule type="cellIs" dxfId="3767" priority="175" stopIfTrue="1" operator="greaterThan">
      <formula>0</formula>
    </cfRule>
    <cfRule type="cellIs" dxfId="3766" priority="176" operator="lessThan">
      <formula>0</formula>
    </cfRule>
  </conditionalFormatting>
  <conditionalFormatting sqref="AZ9">
    <cfRule type="cellIs" dxfId="3765" priority="169" stopIfTrue="1" operator="greaterThan">
      <formula>0.03</formula>
    </cfRule>
    <cfRule type="cellIs" dxfId="3764" priority="170" stopIfTrue="1" operator="lessThan">
      <formula>-0.03</formula>
    </cfRule>
  </conditionalFormatting>
  <conditionalFormatting sqref="AZ9:AZ10">
    <cfRule type="cellIs" dxfId="3763" priority="171" stopIfTrue="1" operator="greaterThan">
      <formula>0</formula>
    </cfRule>
    <cfRule type="cellIs" dxfId="3762" priority="172" operator="lessThan">
      <formula>0</formula>
    </cfRule>
  </conditionalFormatting>
  <conditionalFormatting sqref="BA17">
    <cfRule type="cellIs" dxfId="3761" priority="165" stopIfTrue="1" operator="greaterThan">
      <formula>0.03</formula>
    </cfRule>
    <cfRule type="cellIs" dxfId="3760" priority="166" stopIfTrue="1" operator="lessThan">
      <formula>-0.03</formula>
    </cfRule>
  </conditionalFormatting>
  <conditionalFormatting sqref="BA17:BA22">
    <cfRule type="cellIs" dxfId="3759" priority="167" stopIfTrue="1" operator="greaterThan">
      <formula>0</formula>
    </cfRule>
    <cfRule type="cellIs" dxfId="3758" priority="168" stopIfTrue="1" operator="lessThan">
      <formula>0</formula>
    </cfRule>
  </conditionalFormatting>
  <conditionalFormatting sqref="AZ17">
    <cfRule type="cellIs" dxfId="3757" priority="161" stopIfTrue="1" operator="greaterThan">
      <formula>0.03</formula>
    </cfRule>
    <cfRule type="cellIs" dxfId="3756" priority="162" stopIfTrue="1" operator="lessThan">
      <formula>-0.03</formula>
    </cfRule>
  </conditionalFormatting>
  <conditionalFormatting sqref="AZ17:AZ18">
    <cfRule type="cellIs" dxfId="3755" priority="163" stopIfTrue="1" operator="greaterThan">
      <formula>0</formula>
    </cfRule>
    <cfRule type="cellIs" dxfId="3754" priority="164" operator="lessThan">
      <formula>0</formula>
    </cfRule>
  </conditionalFormatting>
  <conditionalFormatting sqref="AZ19">
    <cfRule type="cellIs" dxfId="3753" priority="157" stopIfTrue="1" operator="greaterThan">
      <formula>0.03</formula>
    </cfRule>
    <cfRule type="cellIs" dxfId="3752" priority="158" stopIfTrue="1" operator="lessThan">
      <formula>-0.03</formula>
    </cfRule>
  </conditionalFormatting>
  <conditionalFormatting sqref="AZ19:AZ20">
    <cfRule type="cellIs" dxfId="3751" priority="159" stopIfTrue="1" operator="greaterThan">
      <formula>0</formula>
    </cfRule>
    <cfRule type="cellIs" dxfId="3750" priority="160" operator="lessThan">
      <formula>0</formula>
    </cfRule>
  </conditionalFormatting>
  <conditionalFormatting sqref="AZ21">
    <cfRule type="cellIs" dxfId="3749" priority="153" stopIfTrue="1" operator="greaterThan">
      <formula>0.03</formula>
    </cfRule>
    <cfRule type="cellIs" dxfId="3748" priority="154" stopIfTrue="1" operator="lessThan">
      <formula>-0.03</formula>
    </cfRule>
  </conditionalFormatting>
  <conditionalFormatting sqref="AZ21:AZ22">
    <cfRule type="cellIs" dxfId="3747" priority="155" stopIfTrue="1" operator="greaterThan">
      <formula>0</formula>
    </cfRule>
    <cfRule type="cellIs" dxfId="3746" priority="156" operator="lessThan">
      <formula>0</formula>
    </cfRule>
  </conditionalFormatting>
  <conditionalFormatting sqref="BA29">
    <cfRule type="cellIs" dxfId="3745" priority="133" stopIfTrue="1" operator="greaterThan">
      <formula>0.03</formula>
    </cfRule>
    <cfRule type="cellIs" dxfId="3744" priority="134" stopIfTrue="1" operator="lessThan">
      <formula>-0.03</formula>
    </cfRule>
  </conditionalFormatting>
  <conditionalFormatting sqref="BA29:BA34">
    <cfRule type="cellIs" dxfId="3743" priority="135" stopIfTrue="1" operator="greaterThan">
      <formula>0</formula>
    </cfRule>
    <cfRule type="cellIs" dxfId="3742" priority="136" stopIfTrue="1" operator="lessThan">
      <formula>0</formula>
    </cfRule>
  </conditionalFormatting>
  <conditionalFormatting sqref="AZ29">
    <cfRule type="cellIs" dxfId="3741" priority="129" stopIfTrue="1" operator="greaterThan">
      <formula>0.03</formula>
    </cfRule>
    <cfRule type="cellIs" dxfId="3740" priority="130" stopIfTrue="1" operator="lessThan">
      <formula>-0.03</formula>
    </cfRule>
  </conditionalFormatting>
  <conditionalFormatting sqref="AZ29:AZ30">
    <cfRule type="cellIs" dxfId="3739" priority="131" stopIfTrue="1" operator="greaterThan">
      <formula>0</formula>
    </cfRule>
    <cfRule type="cellIs" dxfId="3738" priority="132" operator="lessThan">
      <formula>0</formula>
    </cfRule>
  </conditionalFormatting>
  <conditionalFormatting sqref="AZ31">
    <cfRule type="cellIs" dxfId="3737" priority="125" stopIfTrue="1" operator="greaterThan">
      <formula>0.03</formula>
    </cfRule>
    <cfRule type="cellIs" dxfId="3736" priority="126" stopIfTrue="1" operator="lessThan">
      <formula>-0.03</formula>
    </cfRule>
  </conditionalFormatting>
  <conditionalFormatting sqref="AZ31:AZ32">
    <cfRule type="cellIs" dxfId="3735" priority="127" stopIfTrue="1" operator="greaterThan">
      <formula>0</formula>
    </cfRule>
    <cfRule type="cellIs" dxfId="3734" priority="128" operator="lessThan">
      <formula>0</formula>
    </cfRule>
  </conditionalFormatting>
  <conditionalFormatting sqref="AZ33">
    <cfRule type="cellIs" dxfId="3733" priority="121" stopIfTrue="1" operator="greaterThan">
      <formula>0.03</formula>
    </cfRule>
    <cfRule type="cellIs" dxfId="3732" priority="122" stopIfTrue="1" operator="lessThan">
      <formula>-0.03</formula>
    </cfRule>
  </conditionalFormatting>
  <conditionalFormatting sqref="AZ33:AZ34">
    <cfRule type="cellIs" dxfId="3731" priority="123" stopIfTrue="1" operator="greaterThan">
      <formula>0</formula>
    </cfRule>
    <cfRule type="cellIs" dxfId="3730" priority="124" operator="lessThan">
      <formula>0</formula>
    </cfRule>
  </conditionalFormatting>
  <conditionalFormatting sqref="BA23">
    <cfRule type="cellIs" dxfId="3729" priority="117" stopIfTrue="1" operator="greaterThan">
      <formula>0.03</formula>
    </cfRule>
    <cfRule type="cellIs" dxfId="3728" priority="118" stopIfTrue="1" operator="lessThan">
      <formula>-0.03</formula>
    </cfRule>
  </conditionalFormatting>
  <conditionalFormatting sqref="BA23:BA28">
    <cfRule type="cellIs" dxfId="3727" priority="119" stopIfTrue="1" operator="greaterThan">
      <formula>0</formula>
    </cfRule>
    <cfRule type="cellIs" dxfId="3726" priority="120" stopIfTrue="1" operator="lessThan">
      <formula>0</formula>
    </cfRule>
  </conditionalFormatting>
  <conditionalFormatting sqref="AZ23">
    <cfRule type="cellIs" dxfId="3725" priority="113" stopIfTrue="1" operator="greaterThan">
      <formula>0.03</formula>
    </cfRule>
    <cfRule type="cellIs" dxfId="3724" priority="114" stopIfTrue="1" operator="lessThan">
      <formula>-0.03</formula>
    </cfRule>
  </conditionalFormatting>
  <conditionalFormatting sqref="AZ23:AZ24">
    <cfRule type="cellIs" dxfId="3723" priority="115" stopIfTrue="1" operator="greaterThan">
      <formula>0</formula>
    </cfRule>
    <cfRule type="cellIs" dxfId="3722" priority="116" operator="lessThan">
      <formula>0</formula>
    </cfRule>
  </conditionalFormatting>
  <conditionalFormatting sqref="AZ25">
    <cfRule type="cellIs" dxfId="3721" priority="109" stopIfTrue="1" operator="greaterThan">
      <formula>0.03</formula>
    </cfRule>
    <cfRule type="cellIs" dxfId="3720" priority="110" stopIfTrue="1" operator="lessThan">
      <formula>-0.03</formula>
    </cfRule>
  </conditionalFormatting>
  <conditionalFormatting sqref="AZ25:AZ26">
    <cfRule type="cellIs" dxfId="3719" priority="111" stopIfTrue="1" operator="greaterThan">
      <formula>0</formula>
    </cfRule>
    <cfRule type="cellIs" dxfId="3718" priority="112" operator="lessThan">
      <formula>0</formula>
    </cfRule>
  </conditionalFormatting>
  <conditionalFormatting sqref="AZ27">
    <cfRule type="cellIs" dxfId="3717" priority="105" stopIfTrue="1" operator="greaterThan">
      <formula>0.03</formula>
    </cfRule>
    <cfRule type="cellIs" dxfId="3716" priority="106" stopIfTrue="1" operator="lessThan">
      <formula>-0.03</formula>
    </cfRule>
  </conditionalFormatting>
  <conditionalFormatting sqref="AZ27:AZ28">
    <cfRule type="cellIs" dxfId="3715" priority="107" stopIfTrue="1" operator="greaterThan">
      <formula>0</formula>
    </cfRule>
    <cfRule type="cellIs" dxfId="3714" priority="108" operator="lessThan">
      <formula>0</formula>
    </cfRule>
  </conditionalFormatting>
  <conditionalFormatting sqref="BA35">
    <cfRule type="cellIs" dxfId="3713" priority="101" stopIfTrue="1" operator="greaterThan">
      <formula>0.03</formula>
    </cfRule>
    <cfRule type="cellIs" dxfId="3712" priority="102" stopIfTrue="1" operator="lessThan">
      <formula>-0.03</formula>
    </cfRule>
  </conditionalFormatting>
  <conditionalFormatting sqref="BA35:BA40">
    <cfRule type="cellIs" dxfId="3711" priority="103" stopIfTrue="1" operator="greaterThan">
      <formula>0</formula>
    </cfRule>
    <cfRule type="cellIs" dxfId="3710" priority="104" stopIfTrue="1" operator="lessThan">
      <formula>0</formula>
    </cfRule>
  </conditionalFormatting>
  <conditionalFormatting sqref="AZ35">
    <cfRule type="cellIs" dxfId="3709" priority="97" stopIfTrue="1" operator="greaterThan">
      <formula>0.03</formula>
    </cfRule>
    <cfRule type="cellIs" dxfId="3708" priority="98" stopIfTrue="1" operator="lessThan">
      <formula>-0.03</formula>
    </cfRule>
  </conditionalFormatting>
  <conditionalFormatting sqref="AZ35:AZ36">
    <cfRule type="cellIs" dxfId="3707" priority="99" stopIfTrue="1" operator="greaterThan">
      <formula>0</formula>
    </cfRule>
    <cfRule type="cellIs" dxfId="3706" priority="100" operator="lessThan">
      <formula>0</formula>
    </cfRule>
  </conditionalFormatting>
  <conditionalFormatting sqref="AZ37">
    <cfRule type="cellIs" dxfId="3705" priority="93" stopIfTrue="1" operator="greaterThan">
      <formula>0.03</formula>
    </cfRule>
    <cfRule type="cellIs" dxfId="3704" priority="94" stopIfTrue="1" operator="lessThan">
      <formula>-0.03</formula>
    </cfRule>
  </conditionalFormatting>
  <conditionalFormatting sqref="AZ37:AZ38">
    <cfRule type="cellIs" dxfId="3703" priority="95" stopIfTrue="1" operator="greaterThan">
      <formula>0</formula>
    </cfRule>
    <cfRule type="cellIs" dxfId="3702" priority="96" operator="lessThan">
      <formula>0</formula>
    </cfRule>
  </conditionalFormatting>
  <conditionalFormatting sqref="AZ39">
    <cfRule type="cellIs" dxfId="3701" priority="89" stopIfTrue="1" operator="greaterThan">
      <formula>0.03</formula>
    </cfRule>
    <cfRule type="cellIs" dxfId="3700" priority="90" stopIfTrue="1" operator="lessThan">
      <formula>-0.03</formula>
    </cfRule>
  </conditionalFormatting>
  <conditionalFormatting sqref="AZ39:AZ40">
    <cfRule type="cellIs" dxfId="3699" priority="91" stopIfTrue="1" operator="greaterThan">
      <formula>0</formula>
    </cfRule>
    <cfRule type="cellIs" dxfId="3698" priority="92" operator="lessThan">
      <formula>0</formula>
    </cfRule>
  </conditionalFormatting>
  <conditionalFormatting sqref="AX11">
    <cfRule type="cellIs" dxfId="3697" priority="85" stopIfTrue="1" operator="greaterThan">
      <formula>0.03</formula>
    </cfRule>
    <cfRule type="cellIs" dxfId="3696" priority="86" stopIfTrue="1" operator="lessThan">
      <formula>-0.03</formula>
    </cfRule>
  </conditionalFormatting>
  <conditionalFormatting sqref="AX11:AX12">
    <cfRule type="cellIs" dxfId="3695" priority="87" stopIfTrue="1" operator="greaterThan">
      <formula>0</formula>
    </cfRule>
    <cfRule type="cellIs" dxfId="3694" priority="88" operator="lessThan">
      <formula>0</formula>
    </cfRule>
  </conditionalFormatting>
  <conditionalFormatting sqref="AX13">
    <cfRule type="cellIs" dxfId="3693" priority="81" stopIfTrue="1" operator="greaterThan">
      <formula>0.03</formula>
    </cfRule>
    <cfRule type="cellIs" dxfId="3692" priority="82" stopIfTrue="1" operator="lessThan">
      <formula>-0.03</formula>
    </cfRule>
  </conditionalFormatting>
  <conditionalFormatting sqref="AX13:AX14">
    <cfRule type="cellIs" dxfId="3691" priority="83" stopIfTrue="1" operator="greaterThan">
      <formula>0</formula>
    </cfRule>
    <cfRule type="cellIs" dxfId="3690" priority="84" operator="lessThan">
      <formula>0</formula>
    </cfRule>
  </conditionalFormatting>
  <conditionalFormatting sqref="AX15">
    <cfRule type="cellIs" dxfId="3689" priority="77" stopIfTrue="1" operator="greaterThan">
      <formula>0.03</formula>
    </cfRule>
    <cfRule type="cellIs" dxfId="3688" priority="78" stopIfTrue="1" operator="lessThan">
      <formula>-0.03</formula>
    </cfRule>
  </conditionalFormatting>
  <conditionalFormatting sqref="AX15:AX16">
    <cfRule type="cellIs" dxfId="3687" priority="79" stopIfTrue="1" operator="greaterThan">
      <formula>0</formula>
    </cfRule>
    <cfRule type="cellIs" dxfId="3686" priority="80" operator="lessThan">
      <formula>0</formula>
    </cfRule>
  </conditionalFormatting>
  <conditionalFormatting sqref="AY17">
    <cfRule type="cellIs" dxfId="3685" priority="73" stopIfTrue="1" operator="greaterThan">
      <formula>0.03</formula>
    </cfRule>
    <cfRule type="cellIs" dxfId="3684" priority="74" stopIfTrue="1" operator="lessThan">
      <formula>-0.03</formula>
    </cfRule>
  </conditionalFormatting>
  <conditionalFormatting sqref="AY17:AY22">
    <cfRule type="cellIs" dxfId="3683" priority="75" stopIfTrue="1" operator="greaterThan">
      <formula>0</formula>
    </cfRule>
    <cfRule type="cellIs" dxfId="3682" priority="76" stopIfTrue="1" operator="lessThan">
      <formula>0</formula>
    </cfRule>
  </conditionalFormatting>
  <conditionalFormatting sqref="AX17">
    <cfRule type="cellIs" dxfId="3681" priority="69" stopIfTrue="1" operator="greaterThan">
      <formula>0.03</formula>
    </cfRule>
    <cfRule type="cellIs" dxfId="3680" priority="70" stopIfTrue="1" operator="lessThan">
      <formula>-0.03</formula>
    </cfRule>
  </conditionalFormatting>
  <conditionalFormatting sqref="AX17:AX18">
    <cfRule type="cellIs" dxfId="3679" priority="71" stopIfTrue="1" operator="greaterThan">
      <formula>0</formula>
    </cfRule>
    <cfRule type="cellIs" dxfId="3678" priority="72" operator="lessThan">
      <formula>0</formula>
    </cfRule>
  </conditionalFormatting>
  <conditionalFormatting sqref="AX19">
    <cfRule type="cellIs" dxfId="3677" priority="65" stopIfTrue="1" operator="greaterThan">
      <formula>0.03</formula>
    </cfRule>
    <cfRule type="cellIs" dxfId="3676" priority="66" stopIfTrue="1" operator="lessThan">
      <formula>-0.03</formula>
    </cfRule>
  </conditionalFormatting>
  <conditionalFormatting sqref="AX19:AX20">
    <cfRule type="cellIs" dxfId="3675" priority="67" stopIfTrue="1" operator="greaterThan">
      <formula>0</formula>
    </cfRule>
    <cfRule type="cellIs" dxfId="3674" priority="68" operator="lessThan">
      <formula>0</formula>
    </cfRule>
  </conditionalFormatting>
  <conditionalFormatting sqref="AX21">
    <cfRule type="cellIs" dxfId="3673" priority="61" stopIfTrue="1" operator="greaterThan">
      <formula>0.03</formula>
    </cfRule>
    <cfRule type="cellIs" dxfId="3672" priority="62" stopIfTrue="1" operator="lessThan">
      <formula>-0.03</formula>
    </cfRule>
  </conditionalFormatting>
  <conditionalFormatting sqref="AX21:AX22">
    <cfRule type="cellIs" dxfId="3671" priority="63" stopIfTrue="1" operator="greaterThan">
      <formula>0</formula>
    </cfRule>
    <cfRule type="cellIs" dxfId="3670" priority="64" operator="lessThan">
      <formula>0</formula>
    </cfRule>
  </conditionalFormatting>
  <conditionalFormatting sqref="AY23">
    <cfRule type="cellIs" dxfId="3669" priority="57" stopIfTrue="1" operator="greaterThan">
      <formula>0.03</formula>
    </cfRule>
    <cfRule type="cellIs" dxfId="3668" priority="58" stopIfTrue="1" operator="lessThan">
      <formula>-0.03</formula>
    </cfRule>
  </conditionalFormatting>
  <conditionalFormatting sqref="AY23:AY28">
    <cfRule type="cellIs" dxfId="3667" priority="59" stopIfTrue="1" operator="greaterThan">
      <formula>0</formula>
    </cfRule>
    <cfRule type="cellIs" dxfId="3666" priority="60" stopIfTrue="1" operator="lessThan">
      <formula>0</formula>
    </cfRule>
  </conditionalFormatting>
  <conditionalFormatting sqref="AX23">
    <cfRule type="cellIs" dxfId="3665" priority="53" stopIfTrue="1" operator="greaterThan">
      <formula>0.03</formula>
    </cfRule>
    <cfRule type="cellIs" dxfId="3664" priority="54" stopIfTrue="1" operator="lessThan">
      <formula>-0.03</formula>
    </cfRule>
  </conditionalFormatting>
  <conditionalFormatting sqref="AX23:AX24">
    <cfRule type="cellIs" dxfId="3663" priority="55" stopIfTrue="1" operator="greaterThan">
      <formula>0</formula>
    </cfRule>
    <cfRule type="cellIs" dxfId="3662" priority="56" operator="lessThan">
      <formula>0</formula>
    </cfRule>
  </conditionalFormatting>
  <conditionalFormatting sqref="AX25">
    <cfRule type="cellIs" dxfId="3661" priority="49" stopIfTrue="1" operator="greaterThan">
      <formula>0.03</formula>
    </cfRule>
    <cfRule type="cellIs" dxfId="3660" priority="50" stopIfTrue="1" operator="lessThan">
      <formula>-0.03</formula>
    </cfRule>
  </conditionalFormatting>
  <conditionalFormatting sqref="AX25:AX26">
    <cfRule type="cellIs" dxfId="3659" priority="51" stopIfTrue="1" operator="greaterThan">
      <formula>0</formula>
    </cfRule>
    <cfRule type="cellIs" dxfId="3658" priority="52" operator="lessThan">
      <formula>0</formula>
    </cfRule>
  </conditionalFormatting>
  <conditionalFormatting sqref="AX27">
    <cfRule type="cellIs" dxfId="3657" priority="45" stopIfTrue="1" operator="greaterThan">
      <formula>0.03</formula>
    </cfRule>
    <cfRule type="cellIs" dxfId="3656" priority="46" stopIfTrue="1" operator="lessThan">
      <formula>-0.03</formula>
    </cfRule>
  </conditionalFormatting>
  <conditionalFormatting sqref="AX27:AX28">
    <cfRule type="cellIs" dxfId="3655" priority="47" stopIfTrue="1" operator="greaterThan">
      <formula>0</formula>
    </cfRule>
    <cfRule type="cellIs" dxfId="3654" priority="48" operator="lessThan">
      <formula>0</formula>
    </cfRule>
  </conditionalFormatting>
  <conditionalFormatting sqref="AY29">
    <cfRule type="cellIs" dxfId="3653" priority="41" stopIfTrue="1" operator="greaterThan">
      <formula>0.03</formula>
    </cfRule>
    <cfRule type="cellIs" dxfId="3652" priority="42" stopIfTrue="1" operator="lessThan">
      <formula>-0.03</formula>
    </cfRule>
  </conditionalFormatting>
  <conditionalFormatting sqref="AY29:AY34">
    <cfRule type="cellIs" dxfId="3651" priority="43" stopIfTrue="1" operator="greaterThan">
      <formula>0</formula>
    </cfRule>
    <cfRule type="cellIs" dxfId="3650" priority="44" stopIfTrue="1" operator="lessThan">
      <formula>0</formula>
    </cfRule>
  </conditionalFormatting>
  <conditionalFormatting sqref="AX29">
    <cfRule type="cellIs" dxfId="3649" priority="37" stopIfTrue="1" operator="greaterThan">
      <formula>0.03</formula>
    </cfRule>
    <cfRule type="cellIs" dxfId="3648" priority="38" stopIfTrue="1" operator="lessThan">
      <formula>-0.03</formula>
    </cfRule>
  </conditionalFormatting>
  <conditionalFormatting sqref="AX29:AX30">
    <cfRule type="cellIs" dxfId="3647" priority="39" stopIfTrue="1" operator="greaterThan">
      <formula>0</formula>
    </cfRule>
    <cfRule type="cellIs" dxfId="3646" priority="40" operator="lessThan">
      <formula>0</formula>
    </cfRule>
  </conditionalFormatting>
  <conditionalFormatting sqref="AX31">
    <cfRule type="cellIs" dxfId="3645" priority="33" stopIfTrue="1" operator="greaterThan">
      <formula>0.03</formula>
    </cfRule>
    <cfRule type="cellIs" dxfId="3644" priority="34" stopIfTrue="1" operator="lessThan">
      <formula>-0.03</formula>
    </cfRule>
  </conditionalFormatting>
  <conditionalFormatting sqref="AX31:AX32">
    <cfRule type="cellIs" dxfId="3643" priority="35" stopIfTrue="1" operator="greaterThan">
      <formula>0</formula>
    </cfRule>
    <cfRule type="cellIs" dxfId="3642" priority="36" operator="lessThan">
      <formula>0</formula>
    </cfRule>
  </conditionalFormatting>
  <conditionalFormatting sqref="AX33">
    <cfRule type="cellIs" dxfId="3641" priority="29" stopIfTrue="1" operator="greaterThan">
      <formula>0.03</formula>
    </cfRule>
    <cfRule type="cellIs" dxfId="3640" priority="30" stopIfTrue="1" operator="lessThan">
      <formula>-0.03</formula>
    </cfRule>
  </conditionalFormatting>
  <conditionalFormatting sqref="AX33:AX34">
    <cfRule type="cellIs" dxfId="3639" priority="31" stopIfTrue="1" operator="greaterThan">
      <formula>0</formula>
    </cfRule>
    <cfRule type="cellIs" dxfId="3638" priority="32" operator="lessThan">
      <formula>0</formula>
    </cfRule>
  </conditionalFormatting>
  <conditionalFormatting sqref="AY35">
    <cfRule type="cellIs" dxfId="3637" priority="25" stopIfTrue="1" operator="greaterThan">
      <formula>0.03</formula>
    </cfRule>
    <cfRule type="cellIs" dxfId="3636" priority="26" stopIfTrue="1" operator="lessThan">
      <formula>-0.03</formula>
    </cfRule>
  </conditionalFormatting>
  <conditionalFormatting sqref="AY35:AY40">
    <cfRule type="cellIs" dxfId="3635" priority="27" stopIfTrue="1" operator="greaterThan">
      <formula>0</formula>
    </cfRule>
    <cfRule type="cellIs" dxfId="3634" priority="28" stopIfTrue="1" operator="lessThan">
      <formula>0</formula>
    </cfRule>
  </conditionalFormatting>
  <conditionalFormatting sqref="AX35">
    <cfRule type="cellIs" dxfId="3633" priority="21" stopIfTrue="1" operator="greaterThan">
      <formula>0.03</formula>
    </cfRule>
    <cfRule type="cellIs" dxfId="3632" priority="22" stopIfTrue="1" operator="lessThan">
      <formula>-0.03</formula>
    </cfRule>
  </conditionalFormatting>
  <conditionalFormatting sqref="AX35:AX36">
    <cfRule type="cellIs" dxfId="3631" priority="23" stopIfTrue="1" operator="greaterThan">
      <formula>0</formula>
    </cfRule>
    <cfRule type="cellIs" dxfId="3630" priority="24" operator="lessThan">
      <formula>0</formula>
    </cfRule>
  </conditionalFormatting>
  <conditionalFormatting sqref="AX37">
    <cfRule type="cellIs" dxfId="3629" priority="17" stopIfTrue="1" operator="greaterThan">
      <formula>0.03</formula>
    </cfRule>
    <cfRule type="cellIs" dxfId="3628" priority="18" stopIfTrue="1" operator="lessThan">
      <formula>-0.03</formula>
    </cfRule>
  </conditionalFormatting>
  <conditionalFormatting sqref="AX37:AX38">
    <cfRule type="cellIs" dxfId="3627" priority="19" stopIfTrue="1" operator="greaterThan">
      <formula>0</formula>
    </cfRule>
    <cfRule type="cellIs" dxfId="3626" priority="20" operator="lessThan">
      <formula>0</formula>
    </cfRule>
  </conditionalFormatting>
  <conditionalFormatting sqref="AX39">
    <cfRule type="cellIs" dxfId="3625" priority="13" stopIfTrue="1" operator="greaterThan">
      <formula>0.03</formula>
    </cfRule>
    <cfRule type="cellIs" dxfId="3624" priority="14" stopIfTrue="1" operator="lessThan">
      <formula>-0.03</formula>
    </cfRule>
  </conditionalFormatting>
  <conditionalFormatting sqref="AX39:AX40">
    <cfRule type="cellIs" dxfId="3623" priority="15" stopIfTrue="1" operator="greaterThan">
      <formula>0</formula>
    </cfRule>
    <cfRule type="cellIs" dxfId="3622" priority="16" operator="lessThan">
      <formula>0</formula>
    </cfRule>
  </conditionalFormatting>
  <conditionalFormatting sqref="AM47">
    <cfRule type="cellIs" dxfId="3621" priority="9" stopIfTrue="1" operator="greaterThan">
      <formula>0.03</formula>
    </cfRule>
    <cfRule type="cellIs" dxfId="3620" priority="10" stopIfTrue="1" operator="lessThan">
      <formula>-0.03</formula>
    </cfRule>
  </conditionalFormatting>
  <conditionalFormatting sqref="AM47:AM48">
    <cfRule type="cellIs" dxfId="3619" priority="11" stopIfTrue="1" operator="greaterThan">
      <formula>0</formula>
    </cfRule>
    <cfRule type="cellIs" dxfId="3618" priority="12" operator="lessThan">
      <formula>0</formula>
    </cfRule>
  </conditionalFormatting>
  <conditionalFormatting sqref="AM49">
    <cfRule type="cellIs" dxfId="3617" priority="5" stopIfTrue="1" operator="greaterThan">
      <formula>0.03</formula>
    </cfRule>
    <cfRule type="cellIs" dxfId="3616" priority="6" stopIfTrue="1" operator="lessThan">
      <formula>-0.03</formula>
    </cfRule>
  </conditionalFormatting>
  <conditionalFormatting sqref="AM49:AM50">
    <cfRule type="cellIs" dxfId="3615" priority="7" stopIfTrue="1" operator="greaterThan">
      <formula>0</formula>
    </cfRule>
    <cfRule type="cellIs" dxfId="3614" priority="8" operator="lessThan">
      <formula>0</formula>
    </cfRule>
  </conditionalFormatting>
  <conditionalFormatting sqref="AM51">
    <cfRule type="cellIs" dxfId="3613" priority="1" stopIfTrue="1" operator="greaterThan">
      <formula>0.03</formula>
    </cfRule>
    <cfRule type="cellIs" dxfId="3612" priority="2" stopIfTrue="1" operator="lessThan">
      <formula>-0.03</formula>
    </cfRule>
  </conditionalFormatting>
  <conditionalFormatting sqref="AM51:AM52">
    <cfRule type="cellIs" dxfId="3611" priority="3" stopIfTrue="1" operator="greaterThan">
      <formula>0</formula>
    </cfRule>
    <cfRule type="cellIs" dxfId="3610" priority="4" operator="less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D1D0C-A0C7-F94E-95E4-E9A43A7A25E9}">
  <sheetPr codeName="Sheet28"/>
  <dimension ref="A1:FS180"/>
  <sheetViews>
    <sheetView topLeftCell="A3" zoomScale="110" zoomScaleNormal="110" workbookViewId="0">
      <selection activeCell="B5" sqref="B5:B40"/>
    </sheetView>
  </sheetViews>
  <sheetFormatPr baseColWidth="10" defaultColWidth="10.83203125" defaultRowHeight="13" outlineLevelCol="1" x14ac:dyDescent="0.15"/>
  <cols>
    <col min="1" max="2" width="10.83203125" style="1"/>
    <col min="3" max="6" width="12.6640625" style="132" bestFit="1" customWidth="1"/>
    <col min="7" max="7" width="12.1640625" style="132" customWidth="1"/>
    <col min="8" max="8" width="12.6640625" style="132" bestFit="1" customWidth="1"/>
    <col min="9" max="9" width="12.1640625" style="132" customWidth="1"/>
    <col min="10" max="11" width="12.1640625" style="132" bestFit="1" customWidth="1"/>
    <col min="12" max="17" width="11.6640625" style="132" customWidth="1"/>
    <col min="18" max="19" width="12.6640625" style="132" bestFit="1" customWidth="1"/>
    <col min="20" max="20" width="13" style="132" customWidth="1"/>
    <col min="21" max="21" width="14.6640625" style="132" bestFit="1" customWidth="1"/>
    <col min="22" max="24" width="12.6640625" style="132" bestFit="1" customWidth="1"/>
    <col min="25" max="25" width="12.1640625" style="132" customWidth="1"/>
    <col min="26" max="26" width="12.6640625" style="132" bestFit="1" customWidth="1"/>
    <col min="27" max="27" width="12.1640625" style="132" customWidth="1"/>
    <col min="28" max="29" width="12.1640625" style="132" bestFit="1" customWidth="1"/>
    <col min="30" max="35" width="11.6640625" style="132" customWidth="1"/>
    <col min="36" max="36" width="15.6640625" style="132" bestFit="1" customWidth="1"/>
    <col min="37" max="37" width="12.6640625" style="132" bestFit="1" customWidth="1"/>
    <col min="38" max="39" width="12.1640625" style="132" customWidth="1"/>
    <col min="40" max="40" width="1" style="1" customWidth="1"/>
    <col min="41" max="47" width="10.83203125" style="4" outlineLevel="1"/>
    <col min="48" max="51" width="12.1640625" style="4" customWidth="1" outlineLevel="1"/>
    <col min="52" max="69" width="10.83203125" style="4" outlineLevel="1"/>
    <col min="70" max="72" width="12.1640625" style="4" customWidth="1" outlineLevel="1"/>
    <col min="73" max="73" width="8.1640625" style="4" customWidth="1" outlineLevel="1"/>
    <col min="74" max="74" width="12.1640625" style="4" customWidth="1" outlineLevel="1"/>
    <col min="75" max="75" width="8.1640625" style="4" customWidth="1" outlineLevel="1"/>
    <col min="76" max="76" width="12.1640625" style="4" customWidth="1" outlineLevel="1"/>
    <col min="77" max="77" width="8.1640625" style="4" customWidth="1" outlineLevel="1"/>
    <col min="78" max="78" width="12.1640625" style="4" customWidth="1" outlineLevel="1"/>
    <col min="79" max="79" width="8.1640625" style="4" customWidth="1" outlineLevel="1"/>
    <col min="80" max="80" width="12.1640625" style="4" customWidth="1" outlineLevel="1"/>
    <col min="81" max="81" width="8.1640625" style="4" customWidth="1" outlineLevel="1"/>
    <col min="82" max="82" width="12.1640625" style="4" customWidth="1" outlineLevel="1"/>
    <col min="83" max="86" width="8.1640625" style="4" customWidth="1" outlineLevel="1"/>
    <col min="87" max="87" width="12" style="10" customWidth="1" outlineLevel="1"/>
    <col min="88" max="88" width="8.1640625" style="10" customWidth="1" outlineLevel="1"/>
    <col min="89" max="89" width="8.1640625" style="4" customWidth="1" outlineLevel="1"/>
    <col min="90" max="107" width="10.83203125" style="4" outlineLevel="1"/>
    <col min="108" max="108" width="1" style="4" customWidth="1" outlineLevel="1"/>
    <col min="109" max="109" width="10.83203125" style="4" outlineLevel="1"/>
    <col min="110" max="110" width="12.1640625" style="4" customWidth="1" outlineLevel="1"/>
    <col min="111" max="111" width="0.83203125" style="4" customWidth="1" outlineLevel="1"/>
    <col min="112" max="112" width="10.83203125" style="4" outlineLevel="1"/>
    <col min="113" max="113" width="12.1640625" style="4" customWidth="1" outlineLevel="1"/>
    <col min="114" max="114" width="0.83203125" style="4" customWidth="1"/>
    <col min="115" max="128" width="12.1640625" style="4" customWidth="1"/>
    <col min="129" max="129" width="1.33203125" style="1" customWidth="1"/>
    <col min="130" max="148" width="10.83203125" style="4"/>
    <col min="149" max="151" width="12.1640625" style="4" customWidth="1"/>
    <col min="152" max="159" width="12.1640625" style="8" customWidth="1"/>
    <col min="160" max="171" width="12.1640625" style="4" customWidth="1"/>
    <col min="172" max="172" width="10.83203125" style="4"/>
    <col min="173" max="173" width="12.1640625" style="4" customWidth="1"/>
    <col min="174" max="174" width="10.83203125" style="4"/>
    <col min="175" max="175" width="12.1640625" style="4" customWidth="1"/>
    <col min="176" max="16384" width="10.83203125" style="1"/>
  </cols>
  <sheetData>
    <row r="1" spans="1:175" x14ac:dyDescent="0.15">
      <c r="C1" s="296" t="s">
        <v>10</v>
      </c>
      <c r="D1" s="296"/>
      <c r="E1" s="296"/>
      <c r="F1" s="296"/>
      <c r="G1" s="296"/>
      <c r="H1" s="296"/>
      <c r="I1" s="296"/>
      <c r="J1" s="296"/>
      <c r="K1" s="296"/>
      <c r="L1" s="296"/>
      <c r="M1" s="296"/>
      <c r="N1" s="296"/>
      <c r="O1" s="296"/>
      <c r="P1" s="296"/>
      <c r="Q1" s="296"/>
      <c r="R1" s="296"/>
      <c r="S1" s="296"/>
      <c r="T1" s="152"/>
      <c r="U1" s="296" t="s">
        <v>11</v>
      </c>
      <c r="V1" s="296"/>
      <c r="W1" s="296"/>
      <c r="X1" s="296"/>
      <c r="Y1" s="296"/>
      <c r="Z1" s="296"/>
      <c r="AA1" s="296"/>
      <c r="AB1" s="296"/>
      <c r="AC1" s="296"/>
      <c r="AD1" s="296"/>
      <c r="AE1" s="296"/>
      <c r="AF1" s="296"/>
      <c r="AG1" s="296"/>
      <c r="AH1" s="296"/>
      <c r="AI1" s="296"/>
      <c r="AJ1" s="296"/>
      <c r="AK1" s="296"/>
      <c r="AL1" s="134"/>
      <c r="AM1" s="134"/>
      <c r="AN1" s="2"/>
      <c r="AO1" s="279" t="s">
        <v>21</v>
      </c>
      <c r="AP1" s="280"/>
      <c r="AQ1" s="280"/>
      <c r="AR1" s="280"/>
      <c r="AS1" s="280"/>
      <c r="AT1" s="280"/>
      <c r="AU1" s="280"/>
      <c r="AV1" s="280"/>
      <c r="AW1" s="280"/>
      <c r="AX1" s="280"/>
      <c r="AY1" s="280"/>
      <c r="CH1" s="19"/>
      <c r="CK1" s="18"/>
      <c r="CL1" s="272" t="s">
        <v>12</v>
      </c>
      <c r="CM1" s="272"/>
      <c r="CN1" s="272"/>
      <c r="CO1" s="272"/>
      <c r="CP1" s="272"/>
      <c r="CQ1" s="272"/>
      <c r="CR1" s="272"/>
      <c r="CS1" s="272"/>
      <c r="CT1" s="272"/>
      <c r="CU1" s="272"/>
      <c r="CV1" s="272"/>
      <c r="CW1" s="272"/>
      <c r="CX1" s="272"/>
      <c r="CY1" s="272"/>
      <c r="CZ1" s="272"/>
      <c r="DA1" s="272"/>
      <c r="DB1" s="272"/>
      <c r="DC1" s="272"/>
      <c r="DD1" s="272"/>
      <c r="DE1" s="272"/>
      <c r="DF1" s="272"/>
      <c r="DG1" s="272"/>
      <c r="DH1" s="272"/>
      <c r="DI1" s="272"/>
      <c r="DJ1" s="272"/>
      <c r="DK1" s="272"/>
      <c r="DL1" s="272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2"/>
      <c r="DZ1" s="272" t="s">
        <v>48</v>
      </c>
      <c r="EA1" s="272"/>
      <c r="EB1" s="272"/>
      <c r="EC1" s="272"/>
      <c r="ED1" s="272"/>
      <c r="EE1" s="272"/>
      <c r="EF1" s="272"/>
      <c r="EG1" s="272"/>
      <c r="EH1" s="272"/>
      <c r="EI1" s="272"/>
      <c r="EJ1" s="272"/>
      <c r="EK1" s="272"/>
      <c r="EL1" s="272"/>
      <c r="EM1" s="272"/>
      <c r="EN1" s="272"/>
      <c r="EO1" s="272"/>
      <c r="EP1" s="272"/>
      <c r="EQ1" s="272"/>
      <c r="ER1" s="272"/>
      <c r="ES1" s="272"/>
      <c r="ET1" s="272"/>
      <c r="EU1" s="272"/>
      <c r="EV1" s="272"/>
      <c r="EW1" s="272"/>
      <c r="EX1" s="1"/>
      <c r="EY1" s="1"/>
      <c r="EZ1" s="1"/>
      <c r="FA1" s="1"/>
      <c r="FB1" s="1"/>
      <c r="FC1" s="1"/>
      <c r="FD1" s="3"/>
      <c r="FE1" s="3"/>
      <c r="FF1" s="3"/>
      <c r="FG1" s="3"/>
      <c r="FH1" s="3"/>
      <c r="FI1" s="15"/>
      <c r="FK1" s="16"/>
      <c r="FL1" s="3"/>
      <c r="FM1" s="3"/>
      <c r="FN1" s="15"/>
      <c r="FP1" s="1"/>
      <c r="FQ1" s="1"/>
      <c r="FR1" s="1"/>
      <c r="FS1" s="1"/>
    </row>
    <row r="2" spans="1:175" x14ac:dyDescent="0.15">
      <c r="C2" s="296"/>
      <c r="D2" s="296"/>
      <c r="E2" s="296"/>
      <c r="F2" s="296"/>
      <c r="G2" s="296"/>
      <c r="H2" s="296"/>
      <c r="I2" s="296"/>
      <c r="J2" s="296"/>
      <c r="K2" s="296"/>
      <c r="L2" s="296"/>
      <c r="M2" s="296"/>
      <c r="N2" s="296"/>
      <c r="O2" s="296"/>
      <c r="P2" s="296"/>
      <c r="Q2" s="296"/>
      <c r="R2" s="296"/>
      <c r="S2" s="296"/>
      <c r="T2" s="152"/>
      <c r="U2" s="296"/>
      <c r="V2" s="296"/>
      <c r="W2" s="296"/>
      <c r="X2" s="296"/>
      <c r="Y2" s="296"/>
      <c r="Z2" s="296"/>
      <c r="AA2" s="296"/>
      <c r="AB2" s="296"/>
      <c r="AC2" s="296"/>
      <c r="AD2" s="296"/>
      <c r="AE2" s="296"/>
      <c r="AF2" s="296"/>
      <c r="AG2" s="296"/>
      <c r="AH2" s="296"/>
      <c r="AI2" s="296"/>
      <c r="AJ2" s="296"/>
      <c r="AK2" s="296"/>
      <c r="AL2" s="134"/>
      <c r="AM2" s="134"/>
      <c r="AN2" s="2"/>
      <c r="AO2" s="281" t="s">
        <v>13</v>
      </c>
      <c r="AP2" s="264"/>
      <c r="AQ2" s="264"/>
      <c r="AR2" s="264"/>
      <c r="AS2" s="264"/>
      <c r="AT2" s="264" t="s">
        <v>1</v>
      </c>
      <c r="AU2" s="264"/>
      <c r="AV2" s="264" t="s">
        <v>22</v>
      </c>
      <c r="AW2" s="264"/>
      <c r="AX2" s="264" t="s">
        <v>0</v>
      </c>
      <c r="AY2" s="264"/>
      <c r="CH2" s="20"/>
      <c r="CI2" s="20"/>
      <c r="CJ2" s="20"/>
      <c r="CK2" s="18"/>
      <c r="CL2" s="273" t="s">
        <v>13</v>
      </c>
      <c r="CM2" s="274"/>
      <c r="CN2" s="274"/>
      <c r="CO2" s="274"/>
      <c r="CP2" s="274"/>
      <c r="CQ2" s="274"/>
      <c r="CR2" s="274"/>
      <c r="CS2" s="274"/>
      <c r="CT2" s="274"/>
      <c r="CU2" s="274"/>
      <c r="CV2" s="274"/>
      <c r="CW2" s="274"/>
      <c r="CX2" s="274"/>
      <c r="CY2" s="274"/>
      <c r="CZ2" s="274"/>
      <c r="DA2" s="274"/>
      <c r="DB2" s="274"/>
      <c r="DC2" s="275"/>
      <c r="DD2" s="3"/>
      <c r="DE2" s="272" t="s">
        <v>14</v>
      </c>
      <c r="DF2" s="272"/>
      <c r="DG2" s="3"/>
      <c r="DH2" s="272" t="s">
        <v>30</v>
      </c>
      <c r="DI2" s="272"/>
      <c r="DJ2" s="3"/>
      <c r="DK2" s="272" t="s">
        <v>15</v>
      </c>
      <c r="DL2" s="272"/>
      <c r="DM2" s="272" t="s">
        <v>43</v>
      </c>
      <c r="DN2" s="272"/>
      <c r="DO2" s="272" t="s">
        <v>40</v>
      </c>
      <c r="DP2" s="272"/>
      <c r="DQ2" s="272" t="s">
        <v>44</v>
      </c>
      <c r="DR2" s="272"/>
      <c r="DS2" s="273" t="s">
        <v>45</v>
      </c>
      <c r="DT2" s="274"/>
      <c r="DU2" s="274"/>
      <c r="DV2" s="274"/>
      <c r="DW2" s="274"/>
      <c r="DX2" s="275"/>
      <c r="DY2" s="2"/>
      <c r="DZ2" s="273" t="s">
        <v>13</v>
      </c>
      <c r="EA2" s="274"/>
      <c r="EB2" s="274"/>
      <c r="EC2" s="274"/>
      <c r="ED2" s="274"/>
      <c r="EE2" s="274"/>
      <c r="EF2" s="274"/>
      <c r="EG2" s="274"/>
      <c r="EH2" s="274"/>
      <c r="EI2" s="274"/>
      <c r="EJ2" s="274"/>
      <c r="EK2" s="274"/>
      <c r="EL2" s="274"/>
      <c r="EM2" s="274"/>
      <c r="EN2" s="274"/>
      <c r="EO2" s="274"/>
      <c r="EP2" s="274"/>
      <c r="EQ2" s="275"/>
      <c r="ER2" s="272" t="s">
        <v>14</v>
      </c>
      <c r="ES2" s="272"/>
      <c r="ET2" s="272" t="s">
        <v>30</v>
      </c>
      <c r="EU2" s="272"/>
      <c r="EV2" s="284" t="s">
        <v>15</v>
      </c>
      <c r="EW2" s="284"/>
      <c r="EX2" s="284" t="s">
        <v>46</v>
      </c>
      <c r="EY2" s="284"/>
      <c r="EZ2" s="284" t="s">
        <v>47</v>
      </c>
      <c r="FA2" s="284"/>
      <c r="FB2" s="284" t="s">
        <v>41</v>
      </c>
      <c r="FC2" s="284"/>
      <c r="FD2" s="273" t="s">
        <v>45</v>
      </c>
      <c r="FE2" s="274"/>
      <c r="FF2" s="274"/>
      <c r="FG2" s="274"/>
      <c r="FH2" s="274"/>
      <c r="FI2" s="275"/>
      <c r="FK2" s="272" t="s">
        <v>106</v>
      </c>
      <c r="FL2" s="272"/>
      <c r="FM2" s="272" t="s">
        <v>107</v>
      </c>
      <c r="FN2" s="272"/>
      <c r="FP2" s="272" t="s">
        <v>105</v>
      </c>
      <c r="FQ2" s="272"/>
      <c r="FR2" s="272" t="s">
        <v>108</v>
      </c>
      <c r="FS2" s="272"/>
    </row>
    <row r="3" spans="1:175" x14ac:dyDescent="0.15">
      <c r="C3" s="134"/>
      <c r="D3" s="296" t="s">
        <v>13</v>
      </c>
      <c r="E3" s="296"/>
      <c r="F3" s="296"/>
      <c r="G3" s="296"/>
      <c r="H3" s="134"/>
      <c r="I3" s="134"/>
      <c r="J3" s="134"/>
      <c r="K3" s="134"/>
      <c r="L3" s="134"/>
      <c r="M3" s="134"/>
      <c r="N3" s="297" t="s">
        <v>42</v>
      </c>
      <c r="O3" s="297"/>
      <c r="P3" s="297"/>
      <c r="Q3" s="297"/>
      <c r="R3" s="134"/>
      <c r="S3" s="134"/>
      <c r="T3" s="152"/>
      <c r="U3" s="134"/>
      <c r="V3" s="296" t="s">
        <v>13</v>
      </c>
      <c r="W3" s="296"/>
      <c r="X3" s="296"/>
      <c r="Y3" s="296"/>
      <c r="Z3" s="134"/>
      <c r="AA3" s="134"/>
      <c r="AB3" s="134"/>
      <c r="AC3" s="134"/>
      <c r="AD3" s="134"/>
      <c r="AE3" s="134"/>
      <c r="AF3" s="298" t="s">
        <v>42</v>
      </c>
      <c r="AG3" s="298"/>
      <c r="AH3" s="298"/>
      <c r="AI3" s="298"/>
      <c r="AJ3" s="134"/>
      <c r="AK3" s="134"/>
      <c r="AL3" s="134"/>
      <c r="AM3" s="134"/>
      <c r="AN3" s="2"/>
      <c r="AO3" s="13"/>
      <c r="AP3" s="14"/>
      <c r="AQ3" s="14"/>
      <c r="AR3" s="14"/>
      <c r="AS3" s="14"/>
      <c r="AT3" s="14"/>
      <c r="AU3" s="14"/>
      <c r="AV3" s="14"/>
      <c r="AW3" s="14"/>
      <c r="AX3" s="14"/>
      <c r="AY3" s="14"/>
      <c r="CH3" s="19"/>
      <c r="CK3" s="18"/>
      <c r="CL3" s="3"/>
      <c r="CM3" s="3"/>
      <c r="CN3" s="273" t="s">
        <v>13</v>
      </c>
      <c r="CO3" s="274"/>
      <c r="CP3" s="274"/>
      <c r="CQ3" s="275"/>
      <c r="CR3" s="3"/>
      <c r="CS3" s="3"/>
      <c r="CT3" s="3"/>
      <c r="CU3" s="3"/>
      <c r="CV3" s="3"/>
      <c r="CW3" s="3"/>
      <c r="CX3" s="273" t="s">
        <v>42</v>
      </c>
      <c r="CY3" s="274"/>
      <c r="CZ3" s="274"/>
      <c r="DA3" s="275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2"/>
      <c r="DZ3" s="3"/>
      <c r="EA3" s="3"/>
      <c r="EB3" s="273" t="s">
        <v>13</v>
      </c>
      <c r="EC3" s="274"/>
      <c r="ED3" s="274"/>
      <c r="EE3" s="275"/>
      <c r="EF3" s="3"/>
      <c r="EG3" s="3"/>
      <c r="EH3" s="3"/>
      <c r="EI3" s="3"/>
      <c r="EJ3" s="3"/>
      <c r="EK3" s="3"/>
      <c r="EL3" s="273" t="s">
        <v>42</v>
      </c>
      <c r="EM3" s="274"/>
      <c r="EN3" s="274"/>
      <c r="EO3" s="275"/>
      <c r="EP3" s="3"/>
      <c r="EQ3" s="3"/>
      <c r="ER3" s="3"/>
      <c r="ES3" s="3"/>
      <c r="ET3" s="3"/>
      <c r="EU3" s="3"/>
      <c r="EV3" s="6"/>
      <c r="EW3" s="6"/>
      <c r="EX3" s="6"/>
      <c r="EY3" s="6"/>
      <c r="EZ3" s="6"/>
      <c r="FA3" s="6"/>
      <c r="FB3" s="6"/>
      <c r="FC3" s="6"/>
      <c r="FD3" s="3"/>
      <c r="FE3" s="3"/>
      <c r="FF3" s="3"/>
      <c r="FG3" s="3"/>
      <c r="FH3" s="3"/>
      <c r="FI3" s="15"/>
      <c r="FK3" s="16"/>
      <c r="FL3" s="3"/>
      <c r="FM3" s="3"/>
      <c r="FN3" s="15"/>
      <c r="FP3" s="16"/>
      <c r="FQ3" s="3"/>
      <c r="FR3" s="16"/>
      <c r="FS3" s="3"/>
    </row>
    <row r="4" spans="1:175" ht="14" thickBot="1" x14ac:dyDescent="0.2">
      <c r="B4" s="1" t="s">
        <v>6</v>
      </c>
      <c r="C4" s="135" t="s">
        <v>3</v>
      </c>
      <c r="D4" s="135" t="s">
        <v>24</v>
      </c>
      <c r="E4" s="135" t="s">
        <v>25</v>
      </c>
      <c r="F4" s="135" t="s">
        <v>26</v>
      </c>
      <c r="G4" s="135" t="s">
        <v>38</v>
      </c>
      <c r="H4" s="135" t="s">
        <v>5</v>
      </c>
      <c r="I4" s="135" t="s">
        <v>22</v>
      </c>
      <c r="J4" s="135" t="s">
        <v>0</v>
      </c>
      <c r="K4" s="135" t="s">
        <v>39</v>
      </c>
      <c r="L4" s="135" t="s">
        <v>40</v>
      </c>
      <c r="M4" s="135" t="s">
        <v>41</v>
      </c>
      <c r="N4" s="153" t="s">
        <v>24</v>
      </c>
      <c r="O4" s="153" t="s">
        <v>25</v>
      </c>
      <c r="P4" s="153" t="s">
        <v>26</v>
      </c>
      <c r="Q4" s="153" t="s">
        <v>38</v>
      </c>
      <c r="R4" s="135" t="s">
        <v>4</v>
      </c>
      <c r="S4" s="135" t="s">
        <v>7</v>
      </c>
      <c r="T4" s="152"/>
      <c r="U4" s="135" t="s">
        <v>3</v>
      </c>
      <c r="V4" s="135" t="s">
        <v>24</v>
      </c>
      <c r="W4" s="135" t="s">
        <v>25</v>
      </c>
      <c r="X4" s="135" t="s">
        <v>26</v>
      </c>
      <c r="Y4" s="135" t="s">
        <v>38</v>
      </c>
      <c r="Z4" s="135" t="s">
        <v>5</v>
      </c>
      <c r="AA4" s="135" t="s">
        <v>22</v>
      </c>
      <c r="AB4" s="135" t="s">
        <v>0</v>
      </c>
      <c r="AC4" s="135" t="s">
        <v>39</v>
      </c>
      <c r="AD4" s="135" t="s">
        <v>40</v>
      </c>
      <c r="AE4" s="135" t="s">
        <v>41</v>
      </c>
      <c r="AF4" s="154" t="s">
        <v>24</v>
      </c>
      <c r="AG4" s="154" t="s">
        <v>25</v>
      </c>
      <c r="AH4" s="154" t="s">
        <v>26</v>
      </c>
      <c r="AI4" s="154" t="s">
        <v>38</v>
      </c>
      <c r="AJ4" s="135" t="s">
        <v>4</v>
      </c>
      <c r="AK4" s="135" t="s">
        <v>7</v>
      </c>
      <c r="AL4" s="135" t="s">
        <v>77</v>
      </c>
      <c r="AM4" s="135" t="s">
        <v>78</v>
      </c>
      <c r="AN4" s="2"/>
      <c r="AO4" s="251" t="s">
        <v>23</v>
      </c>
      <c r="AP4" s="252"/>
      <c r="AQ4" s="116" t="s">
        <v>24</v>
      </c>
      <c r="AR4" s="116" t="s">
        <v>25</v>
      </c>
      <c r="AS4" s="116" t="s">
        <v>26</v>
      </c>
      <c r="AT4" s="116" t="s">
        <v>23</v>
      </c>
      <c r="AU4" s="116" t="s">
        <v>24</v>
      </c>
      <c r="AV4" s="116" t="s">
        <v>23</v>
      </c>
      <c r="AW4" s="116" t="s">
        <v>24</v>
      </c>
      <c r="AX4" s="116" t="s">
        <v>23</v>
      </c>
      <c r="AY4" s="116" t="s">
        <v>24</v>
      </c>
      <c r="CH4" s="21"/>
      <c r="CK4" s="18"/>
      <c r="CL4" s="3" t="str">
        <f>C4</f>
        <v>Bit-rate</v>
      </c>
      <c r="CM4" s="3" t="str">
        <f>D4</f>
        <v>Y</v>
      </c>
      <c r="CN4" s="3" t="str">
        <f t="shared" ref="CN4:DC4" si="0">D4</f>
        <v>Y</v>
      </c>
      <c r="CO4" s="3" t="str">
        <f t="shared" si="0"/>
        <v>U</v>
      </c>
      <c r="CP4" s="3" t="str">
        <f t="shared" si="0"/>
        <v>V</v>
      </c>
      <c r="CQ4" s="3" t="str">
        <f t="shared" si="0"/>
        <v>YUV</v>
      </c>
      <c r="CR4" s="3" t="str">
        <f t="shared" si="0"/>
        <v>SSIM_Y</v>
      </c>
      <c r="CS4" s="3" t="str">
        <f t="shared" si="0"/>
        <v>MS-SSIM</v>
      </c>
      <c r="CT4" s="3" t="str">
        <f t="shared" si="0"/>
        <v>VMAF</v>
      </c>
      <c r="CU4" s="3" t="str">
        <f t="shared" si="0"/>
        <v>nVMAF</v>
      </c>
      <c r="CV4" s="3" t="str">
        <f t="shared" si="0"/>
        <v>PSNR-HVS</v>
      </c>
      <c r="CW4" s="3" t="str">
        <f t="shared" si="0"/>
        <v>DE-2K</v>
      </c>
      <c r="CX4" s="3" t="str">
        <f t="shared" si="0"/>
        <v>Y</v>
      </c>
      <c r="CY4" s="3" t="str">
        <f t="shared" si="0"/>
        <v>U</v>
      </c>
      <c r="CZ4" s="3" t="str">
        <f t="shared" si="0"/>
        <v>V</v>
      </c>
      <c r="DA4" s="3" t="str">
        <f t="shared" si="0"/>
        <v>YUV</v>
      </c>
      <c r="DB4" s="3" t="str">
        <f t="shared" si="0"/>
        <v>Enc-Time</v>
      </c>
      <c r="DC4" s="3" t="str">
        <f t="shared" si="0"/>
        <v>Dec-Time</v>
      </c>
      <c r="DD4" s="3"/>
      <c r="DE4" s="3" t="s">
        <v>3</v>
      </c>
      <c r="DF4" s="3" t="str">
        <f>Z4</f>
        <v>SSIM_Y</v>
      </c>
      <c r="DG4" s="3"/>
      <c r="DH4" s="3" t="s">
        <v>3</v>
      </c>
      <c r="DI4" s="3" t="str">
        <f>I4</f>
        <v>MS-SSIM</v>
      </c>
      <c r="DJ4" s="3"/>
      <c r="DK4" s="3" t="s">
        <v>3</v>
      </c>
      <c r="DL4" s="3" t="str">
        <f>J4</f>
        <v>VMAF</v>
      </c>
      <c r="DM4" s="3" t="s">
        <v>3</v>
      </c>
      <c r="DN4" s="3" t="str">
        <f>K4</f>
        <v>nVMAF</v>
      </c>
      <c r="DO4" s="3" t="s">
        <v>3</v>
      </c>
      <c r="DP4" s="3" t="str">
        <f>L4</f>
        <v>PSNR-HVS</v>
      </c>
      <c r="DQ4" s="3" t="s">
        <v>3</v>
      </c>
      <c r="DR4" s="3" t="str">
        <f>M4</f>
        <v>DE-2K</v>
      </c>
      <c r="DS4" s="3" t="s">
        <v>3</v>
      </c>
      <c r="DT4" s="3" t="str">
        <f>N4</f>
        <v>Y</v>
      </c>
      <c r="DU4" s="3" t="str">
        <f>N4</f>
        <v>Y</v>
      </c>
      <c r="DV4" s="3" t="str">
        <f>O4</f>
        <v>U</v>
      </c>
      <c r="DW4" s="3" t="str">
        <f>P4</f>
        <v>V</v>
      </c>
      <c r="DX4" s="3" t="str">
        <f>Q4</f>
        <v>YUV</v>
      </c>
      <c r="DY4" s="2"/>
      <c r="DZ4" s="3" t="s">
        <v>3</v>
      </c>
      <c r="EA4" s="3" t="s">
        <v>2</v>
      </c>
      <c r="EB4" s="3" t="str">
        <f t="shared" ref="EB4:EQ4" si="1">V4</f>
        <v>Y</v>
      </c>
      <c r="EC4" s="3" t="str">
        <f t="shared" si="1"/>
        <v>U</v>
      </c>
      <c r="ED4" s="3" t="str">
        <f t="shared" si="1"/>
        <v>V</v>
      </c>
      <c r="EE4" s="3" t="str">
        <f t="shared" si="1"/>
        <v>YUV</v>
      </c>
      <c r="EF4" s="3" t="str">
        <f t="shared" si="1"/>
        <v>SSIM_Y</v>
      </c>
      <c r="EG4" s="3" t="str">
        <f t="shared" si="1"/>
        <v>MS-SSIM</v>
      </c>
      <c r="EH4" s="3" t="str">
        <f t="shared" si="1"/>
        <v>VMAF</v>
      </c>
      <c r="EI4" s="3" t="str">
        <f t="shared" si="1"/>
        <v>nVMAF</v>
      </c>
      <c r="EJ4" s="3" t="str">
        <f t="shared" si="1"/>
        <v>PSNR-HVS</v>
      </c>
      <c r="EK4" s="3" t="str">
        <f t="shared" si="1"/>
        <v>DE-2K</v>
      </c>
      <c r="EL4" s="3" t="str">
        <f t="shared" si="1"/>
        <v>Y</v>
      </c>
      <c r="EM4" s="3" t="str">
        <f t="shared" si="1"/>
        <v>U</v>
      </c>
      <c r="EN4" s="3" t="str">
        <f t="shared" si="1"/>
        <v>V</v>
      </c>
      <c r="EO4" s="3" t="str">
        <f t="shared" si="1"/>
        <v>YUV</v>
      </c>
      <c r="EP4" s="3" t="str">
        <f t="shared" si="1"/>
        <v>Enc-Time</v>
      </c>
      <c r="EQ4" s="3" t="str">
        <f t="shared" si="1"/>
        <v>Dec-Time</v>
      </c>
      <c r="ER4" s="3" t="s">
        <v>3</v>
      </c>
      <c r="ES4" s="3" t="s">
        <v>1</v>
      </c>
      <c r="ET4" s="3" t="s">
        <v>3</v>
      </c>
      <c r="EU4" s="3" t="s">
        <v>1</v>
      </c>
      <c r="EV4" s="6" t="s">
        <v>3</v>
      </c>
      <c r="EW4" s="6" t="s">
        <v>0</v>
      </c>
      <c r="EX4" s="6" t="s">
        <v>3</v>
      </c>
      <c r="EY4" s="6" t="s">
        <v>39</v>
      </c>
      <c r="EZ4" s="6" t="s">
        <v>3</v>
      </c>
      <c r="FA4" s="6" t="s">
        <v>39</v>
      </c>
      <c r="FB4" s="6" t="s">
        <v>3</v>
      </c>
      <c r="FC4" s="6" t="s">
        <v>39</v>
      </c>
      <c r="FD4" s="3" t="s">
        <v>3</v>
      </c>
      <c r="FE4" s="3" t="s">
        <v>24</v>
      </c>
      <c r="FF4" s="3" t="s">
        <v>24</v>
      </c>
      <c r="FG4" s="3" t="s">
        <v>25</v>
      </c>
      <c r="FH4" s="3" t="s">
        <v>26</v>
      </c>
      <c r="FI4" s="15" t="s">
        <v>38</v>
      </c>
      <c r="FK4" s="16" t="s">
        <v>3</v>
      </c>
      <c r="FL4" s="3">
        <f>BH4</f>
        <v>0</v>
      </c>
      <c r="FM4" s="3" t="s">
        <v>3</v>
      </c>
      <c r="FN4" s="15">
        <f>BJ4</f>
        <v>0</v>
      </c>
      <c r="FP4" s="16" t="s">
        <v>3</v>
      </c>
      <c r="FQ4" s="3" t="s">
        <v>104</v>
      </c>
      <c r="FR4" s="16" t="s">
        <v>3</v>
      </c>
      <c r="FS4" s="3" t="s">
        <v>104</v>
      </c>
    </row>
    <row r="5" spans="1:175" ht="13" customHeight="1" x14ac:dyDescent="0.15">
      <c r="A5" s="249" t="s">
        <v>17</v>
      </c>
      <c r="B5" s="38">
        <v>110</v>
      </c>
      <c r="C5" s="129">
        <f>Anchor!L218</f>
        <v>0</v>
      </c>
      <c r="D5" s="129">
        <f>Anchor!M218</f>
        <v>0</v>
      </c>
      <c r="E5" s="129">
        <f>Anchor!N218</f>
        <v>0</v>
      </c>
      <c r="F5" s="129">
        <f>Anchor!O218</f>
        <v>0</v>
      </c>
      <c r="G5" s="130">
        <f>('Summary (Full)'!$B$34*D5+'Summary (Full)'!$B$35*E5+'Summary (Full)'!$B$36*F5)/'Summary (Full)'!$B$37</f>
        <v>0</v>
      </c>
      <c r="H5" s="129">
        <f>Anchor!P218</f>
        <v>0</v>
      </c>
      <c r="I5" s="129">
        <f>Anchor!Q218</f>
        <v>0</v>
      </c>
      <c r="J5" s="129">
        <f>Anchor!R218</f>
        <v>0</v>
      </c>
      <c r="K5" s="129">
        <f>Anchor!S218</f>
        <v>0</v>
      </c>
      <c r="L5" s="129">
        <f>Anchor!T218</f>
        <v>0</v>
      </c>
      <c r="M5" s="129">
        <f>Anchor!U218</f>
        <v>0</v>
      </c>
      <c r="N5" s="129">
        <f>Anchor!V218</f>
        <v>0</v>
      </c>
      <c r="O5" s="129">
        <f>Anchor!W218</f>
        <v>0</v>
      </c>
      <c r="P5" s="129">
        <f>Anchor!X218</f>
        <v>0</v>
      </c>
      <c r="Q5" s="131">
        <f>10*LOG10(1/(('Summary (Full)'!$B$41/10^(N5/10)+'Summary (Full)'!$B$42/10^(O5/10)+'Summary (Full)'!$B$43/10^(P5/10))/'Summary (Full)'!$B$44))</f>
        <v>0</v>
      </c>
      <c r="R5" s="129">
        <f>Anchor!Y218</f>
        <v>0</v>
      </c>
      <c r="S5" s="129">
        <f>Anchor!Z218</f>
        <v>0</v>
      </c>
      <c r="U5" s="129">
        <f>Test!L218</f>
        <v>0</v>
      </c>
      <c r="V5" s="129">
        <f>Test!M218</f>
        <v>0</v>
      </c>
      <c r="W5" s="129">
        <f>Test!N218</f>
        <v>0</v>
      </c>
      <c r="X5" s="129">
        <f>Test!O218</f>
        <v>0</v>
      </c>
      <c r="Y5" s="129">
        <f>('Summary (Full)'!$B$34*V5+'Summary (Full)'!$B$35*W5+'Summary (Full)'!$B$36*X5)/'Summary (Full)'!$B$37</f>
        <v>0</v>
      </c>
      <c r="Z5" s="129">
        <f>Test!P218</f>
        <v>0</v>
      </c>
      <c r="AA5" s="129">
        <f>Test!Q218</f>
        <v>0</v>
      </c>
      <c r="AB5" s="129">
        <f>Test!R218</f>
        <v>0</v>
      </c>
      <c r="AC5" s="129">
        <f>Test!S218</f>
        <v>0</v>
      </c>
      <c r="AD5" s="129">
        <f>Test!T218</f>
        <v>0</v>
      </c>
      <c r="AE5" s="129">
        <f>Test!U218</f>
        <v>0</v>
      </c>
      <c r="AF5" s="129">
        <f>Test!V218</f>
        <v>0</v>
      </c>
      <c r="AG5" s="129">
        <f>Test!W218</f>
        <v>0</v>
      </c>
      <c r="AH5" s="129">
        <f>Test!X218</f>
        <v>0</v>
      </c>
      <c r="AI5" s="129">
        <f>10*LOG10(1/(('Summary (Full)'!$B$41/10^(AF5/10)+'Summary (Full)'!$B$42/10^(AG5/10)+'Summary (Full)'!$B$43/10^(AH5/10))/'Summary (Full)'!$B$44))</f>
        <v>0</v>
      </c>
      <c r="AJ5" s="129">
        <f>Test!Y218</f>
        <v>0</v>
      </c>
      <c r="AK5" s="129">
        <f>Test!Z218</f>
        <v>0</v>
      </c>
      <c r="AL5" s="129" t="e">
        <f>AJ5/R5</f>
        <v>#DIV/0!</v>
      </c>
      <c r="AM5" s="129" t="e">
        <f>AK5/S5</f>
        <v>#DIV/0!</v>
      </c>
      <c r="AO5" s="253" t="s">
        <v>27</v>
      </c>
      <c r="AP5" s="171" t="e" cm="1">
        <f t="array" ref="AP5">bdRateExtend($C5:$C8,D5:D8,$U5:$U8,V5:V8)</f>
        <v>#VALUE!</v>
      </c>
      <c r="AQ5" s="171" t="e" cm="1">
        <f t="array" ref="AQ5">bdRateExtend($C5:$C10,D5:D10,$U5:$U10,V5:V10)</f>
        <v>#VALUE!</v>
      </c>
      <c r="AR5" s="171" t="e" cm="1">
        <f t="array" ref="AR5">bdRateExtend($C5:$C10,E5:E10,$U5:$U10,W5:W10)</f>
        <v>#VALUE!</v>
      </c>
      <c r="AS5" s="171" t="e" cm="1">
        <f t="array" ref="AS5">bdRateExtend($C5:$C10,F5:F10,$U5:$U10,X5:X10)</f>
        <v>#VALUE!</v>
      </c>
      <c r="AT5" s="171" t="e" cm="1">
        <f t="array" ref="AT5">bdRateExtend($C5:$C8,H5:H8,$U5:$U8,Z5:Z8)</f>
        <v>#VALUE!</v>
      </c>
      <c r="AU5" s="171" t="e" cm="1">
        <f t="array" ref="AU5">bdRateExtend($C5:$C10,H5:H10,$U5:$U10,Z5:Z10)</f>
        <v>#VALUE!</v>
      </c>
      <c r="AV5" s="171" t="e" cm="1">
        <f t="array" ref="AV5">bdRateExtend($C5:$C8,I5:I8,$U5:$U8,AA5:AA8)</f>
        <v>#VALUE!</v>
      </c>
      <c r="AW5" s="171" t="e" cm="1">
        <f t="array" ref="AW5">bdRateExtend($C5:$C10,I5:I10,$U5:$U10,AA5:AA10)</f>
        <v>#VALUE!</v>
      </c>
      <c r="AX5" s="171" t="e" cm="1">
        <f t="array" ref="AX5">bdRateExtend($C5:$C8,J5:J8,$U5:$U8,AB5:AB8,"None", FALSE,1)</f>
        <v>#VALUE!</v>
      </c>
      <c r="AY5" s="174" t="e" cm="1">
        <f t="array" ref="AY5">bdRateExtend($C5:$C10,J5:J10,$U5:$U10,AB5:AB10,"None", FALSE,1)</f>
        <v>#VALUE!</v>
      </c>
      <c r="AZ5" s="285" cm="1">
        <f t="array" ref="AZ5">testVMAFRange($C5:$C8,J5:J8,$U5:$U8,AB5:AB8)</f>
        <v>0</v>
      </c>
      <c r="BA5" s="211" cm="1">
        <f t="array" ref="BA5">testVMAFRange($C5:$C10,J5:J10,$U5:$U10,AB5:AB10)</f>
        <v>0</v>
      </c>
      <c r="CH5" s="5"/>
      <c r="CI5" s="11" t="s">
        <v>31</v>
      </c>
      <c r="CJ5" s="10" t="e" cm="1">
        <f t="array" ref="CJ5">MIN(IF(CL1:CL201&gt;0,CL1:CL201))</f>
        <v>#VALUE!</v>
      </c>
      <c r="CK5" s="5"/>
      <c r="CL5" s="4" t="e" cm="1">
        <f t="array" ref="CL5">ConvexHullInterpolate(C5:C40,D5:D40,TRUE,6,'Summary (Full)'!B30,D5:S40)</f>
        <v>#VALUE!</v>
      </c>
      <c r="DE5" s="4" t="e" cm="1">
        <f t="array" ref="DE5">ConvexHullInterpolate(C5:C40,H5:H40,TRUE,6,'Summary (Full)'!B30)</f>
        <v>#VALUE!</v>
      </c>
      <c r="DH5" s="4" t="e" cm="1">
        <f t="array" ref="DH5">ConvexHullInterpolate($C5:$C40,I5:I40,TRUE,6,'Summary (Full)'!B30)</f>
        <v>#VALUE!</v>
      </c>
      <c r="DK5" s="4" t="e" cm="1">
        <f t="array" ref="DK5">ConvexHullInterpolate($C5:$C40,J5:J40,TRUE,6,'Summary (Full)'!B30)</f>
        <v>#VALUE!</v>
      </c>
      <c r="DM5" s="4" t="e" cm="1">
        <f t="array" ref="DM5">ConvexHullInterpolate($C5:$C40,K5:K40,TRUE,6,'Summary (Full)'!B30)</f>
        <v>#VALUE!</v>
      </c>
      <c r="DO5" s="4" t="e" cm="1">
        <f t="array" ref="DO5">ConvexHullInterpolate($C5:$C40,L5:L40,TRUE,6,'Summary (Full)'!B30)</f>
        <v>#VALUE!</v>
      </c>
      <c r="DQ5" s="4" t="e" cm="1">
        <f t="array" ref="DQ5">ConvexHullInterpolate($C5:$C40,M5:M40,TRUE,6,'Summary (Full)'!B30)</f>
        <v>#VALUE!</v>
      </c>
      <c r="DS5" s="4" t="e" cm="1">
        <f t="array" ref="DS5">ConvexHullInterpolate($C5:$C40,N5:N40,TRUE,6,'Summary (Full)'!B30, N5:Q40)</f>
        <v>#VALUE!</v>
      </c>
      <c r="DZ5" s="4" t="e" cm="1">
        <f t="array" ref="DZ5">ConvexHullInterpolate(U5:U40,V5:V40,TRUE,6,'Summary (Full)'!B30,V5:AK40)</f>
        <v>#VALUE!</v>
      </c>
      <c r="ER5" s="4" t="e" cm="1">
        <f t="array" ref="ER5">ConvexHullInterpolate($U5:$U40,Z5:Z40,TRUE,6,'Summary (Full)'!B30)</f>
        <v>#VALUE!</v>
      </c>
      <c r="ET5" s="4" t="e" cm="1">
        <f t="array" ref="ET5">ConvexHullInterpolate($U5:$U40,AA5:AA40,TRUE,6,'Summary (Full)'!B30)</f>
        <v>#VALUE!</v>
      </c>
      <c r="EV5" s="7" t="e" cm="1">
        <f t="array" ref="EV5">ConvexHullInterpolate($U5:$U40,AB5:AB40,TRUE,6,'Summary (Full)'!B30)</f>
        <v>#VALUE!</v>
      </c>
      <c r="EW5" s="7"/>
      <c r="EX5" s="7" t="e" cm="1">
        <f t="array" ref="EX5">ConvexHullInterpolate($U5:$U40,AC5:AC40,TRUE,6,'Summary (Full)'!B30)</f>
        <v>#VALUE!</v>
      </c>
      <c r="EY5" s="7"/>
      <c r="EZ5" s="7" t="e" cm="1">
        <f t="array" ref="EZ5">ConvexHullInterpolate($U5:$U40,AD5:AD40,TRUE,6,'Summary (Full)'!B30)</f>
        <v>#VALUE!</v>
      </c>
      <c r="FA5" s="7"/>
      <c r="FB5" s="7" t="e" cm="1">
        <f t="array" ref="FB5">ConvexHullInterpolate($U5:$U40,AE5:AE40,TRUE,6,'Summary (Full)'!B30)</f>
        <v>#VALUE!</v>
      </c>
      <c r="FC5" s="7"/>
      <c r="FD5" s="4" t="e" cm="1">
        <f t="array" ref="FD5">ConvexHullInterpolate($U5:$U40,AF5:AF40,TRUE,6,'Summary (Full)'!B30, AF5:AI40)</f>
        <v>#VALUE!</v>
      </c>
      <c r="FK5" s="4" t="e" cm="1">
        <f t="array" ref="FK5">ConvexHullInterpolate($C5:$C40,G5:G40,TRUE,6,'Summary (Full)'!B30)</f>
        <v>#VALUE!</v>
      </c>
      <c r="FM5" s="4" t="e" cm="1">
        <f t="array" ref="FM5">ConvexHullInterpolate($C5:$C40,Q5:Q40,TRUE,6,'Summary (Full)'!B30)</f>
        <v>#VALUE!</v>
      </c>
      <c r="FP5" s="4" t="e" cm="1">
        <f t="array" ref="FP5">ConvexHullInterpolate($U5:$U40,Y5:Y40,TRUE,6,'Summary (Full)'!B30)</f>
        <v>#VALUE!</v>
      </c>
      <c r="FR5" s="4" t="e" cm="1">
        <f t="array" ref="FR5">ConvexHullInterpolate($U5:$U40,AI5:AI40,TRUE,6,'Summary (Full)'!B30)</f>
        <v>#VALUE!</v>
      </c>
    </row>
    <row r="6" spans="1:175" x14ac:dyDescent="0.15">
      <c r="A6" s="249"/>
      <c r="B6" s="38">
        <v>135</v>
      </c>
      <c r="C6" s="129">
        <f>Anchor!L219</f>
        <v>0</v>
      </c>
      <c r="D6" s="129">
        <f>Anchor!M219</f>
        <v>0</v>
      </c>
      <c r="E6" s="129">
        <f>Anchor!N219</f>
        <v>0</v>
      </c>
      <c r="F6" s="129">
        <f>Anchor!O219</f>
        <v>0</v>
      </c>
      <c r="G6" s="130">
        <f>('Summary (Full)'!$B$34*D6+'Summary (Full)'!$B$35*E6+'Summary (Full)'!$B$36*F6)/'Summary (Full)'!$B$37</f>
        <v>0</v>
      </c>
      <c r="H6" s="129">
        <f>Anchor!P219</f>
        <v>0</v>
      </c>
      <c r="I6" s="129">
        <f>Anchor!Q219</f>
        <v>0</v>
      </c>
      <c r="J6" s="129">
        <f>Anchor!R219</f>
        <v>0</v>
      </c>
      <c r="K6" s="129">
        <f>Anchor!S219</f>
        <v>0</v>
      </c>
      <c r="L6" s="129">
        <f>Anchor!T219</f>
        <v>0</v>
      </c>
      <c r="M6" s="129">
        <f>Anchor!U219</f>
        <v>0</v>
      </c>
      <c r="N6" s="129">
        <f>Anchor!V219</f>
        <v>0</v>
      </c>
      <c r="O6" s="129">
        <f>Anchor!W219</f>
        <v>0</v>
      </c>
      <c r="P6" s="129">
        <f>Anchor!X219</f>
        <v>0</v>
      </c>
      <c r="Q6" s="131">
        <f>10*LOG10(1/(('Summary (Full)'!$B$41/10^(N6/10)+'Summary (Full)'!$B$42/10^(O6/10)+'Summary (Full)'!$B$43/10^(P6/10))/'Summary (Full)'!$B$44))</f>
        <v>0</v>
      </c>
      <c r="R6" s="129">
        <f>Anchor!Y219</f>
        <v>0</v>
      </c>
      <c r="S6" s="129">
        <f>Anchor!Z219</f>
        <v>0</v>
      </c>
      <c r="U6" s="129">
        <f>Test!L219</f>
        <v>0</v>
      </c>
      <c r="V6" s="129">
        <f>Test!M219</f>
        <v>0</v>
      </c>
      <c r="W6" s="129">
        <f>Test!N219</f>
        <v>0</v>
      </c>
      <c r="X6" s="129">
        <f>Test!O219</f>
        <v>0</v>
      </c>
      <c r="Y6" s="129">
        <f>('Summary (Full)'!$B$34*V6+'Summary (Full)'!$B$35*W6+'Summary (Full)'!$B$36*X6)/'Summary (Full)'!$B$37</f>
        <v>0</v>
      </c>
      <c r="Z6" s="129">
        <f>Test!P219</f>
        <v>0</v>
      </c>
      <c r="AA6" s="129">
        <f>Test!Q219</f>
        <v>0</v>
      </c>
      <c r="AB6" s="129">
        <f>Test!R219</f>
        <v>0</v>
      </c>
      <c r="AC6" s="129">
        <f>Test!S219</f>
        <v>0</v>
      </c>
      <c r="AD6" s="129">
        <f>Test!T219</f>
        <v>0</v>
      </c>
      <c r="AE6" s="129">
        <f>Test!U219</f>
        <v>0</v>
      </c>
      <c r="AF6" s="129">
        <f>Test!V219</f>
        <v>0</v>
      </c>
      <c r="AG6" s="129">
        <f>Test!W219</f>
        <v>0</v>
      </c>
      <c r="AH6" s="129">
        <f>Test!X219</f>
        <v>0</v>
      </c>
      <c r="AI6" s="129">
        <f>10*LOG10(1/(('Summary (Full)'!$B$41/10^(AF6/10)+'Summary (Full)'!$B$42/10^(AG6/10)+'Summary (Full)'!$B$43/10^(AH6/10))/'Summary (Full)'!$B$44))</f>
        <v>0</v>
      </c>
      <c r="AJ6" s="129">
        <f>Test!Y219</f>
        <v>0</v>
      </c>
      <c r="AK6" s="129">
        <f>Test!Z219</f>
        <v>0</v>
      </c>
      <c r="AL6" s="129" t="e">
        <f t="shared" ref="AL6:AM40" si="2">AJ6/R6</f>
        <v>#DIV/0!</v>
      </c>
      <c r="AM6" s="129" t="e">
        <f t="shared" si="2"/>
        <v>#DIV/0!</v>
      </c>
      <c r="AO6" s="254"/>
      <c r="AP6" s="172"/>
      <c r="AQ6" s="172"/>
      <c r="AR6" s="172"/>
      <c r="AS6" s="172"/>
      <c r="AT6" s="172"/>
      <c r="AU6" s="172"/>
      <c r="AV6" s="172"/>
      <c r="AW6" s="172"/>
      <c r="AX6" s="172"/>
      <c r="AY6" s="175"/>
      <c r="AZ6" s="286"/>
      <c r="BA6" s="212"/>
      <c r="CH6" s="5"/>
      <c r="CI6" s="11" t="s">
        <v>32</v>
      </c>
      <c r="CJ6" s="10" t="e">
        <f>MAX(CL1:CL201)</f>
        <v>#VALUE!</v>
      </c>
      <c r="CK6" s="5"/>
      <c r="EV6" s="7"/>
      <c r="EW6" s="7"/>
      <c r="EX6" s="7"/>
      <c r="EY6" s="7"/>
      <c r="EZ6" s="7"/>
      <c r="FA6" s="7"/>
      <c r="FB6" s="7"/>
      <c r="FC6" s="7"/>
    </row>
    <row r="7" spans="1:175" ht="13" customHeight="1" x14ac:dyDescent="0.15">
      <c r="A7" s="249"/>
      <c r="B7" s="38">
        <v>160</v>
      </c>
      <c r="C7" s="129">
        <f>Anchor!L220</f>
        <v>0</v>
      </c>
      <c r="D7" s="129">
        <f>Anchor!M220</f>
        <v>0</v>
      </c>
      <c r="E7" s="129">
        <f>Anchor!N220</f>
        <v>0</v>
      </c>
      <c r="F7" s="129">
        <f>Anchor!O220</f>
        <v>0</v>
      </c>
      <c r="G7" s="130">
        <f>('Summary (Full)'!$B$34*D7+'Summary (Full)'!$B$35*E7+'Summary (Full)'!$B$36*F7)/'Summary (Full)'!$B$37</f>
        <v>0</v>
      </c>
      <c r="H7" s="129">
        <f>Anchor!P220</f>
        <v>0</v>
      </c>
      <c r="I7" s="129">
        <f>Anchor!Q220</f>
        <v>0</v>
      </c>
      <c r="J7" s="129">
        <f>Anchor!R220</f>
        <v>0</v>
      </c>
      <c r="K7" s="129">
        <f>Anchor!S220</f>
        <v>0</v>
      </c>
      <c r="L7" s="129">
        <f>Anchor!T220</f>
        <v>0</v>
      </c>
      <c r="M7" s="129">
        <f>Anchor!U220</f>
        <v>0</v>
      </c>
      <c r="N7" s="129">
        <f>Anchor!V220</f>
        <v>0</v>
      </c>
      <c r="O7" s="129">
        <f>Anchor!W220</f>
        <v>0</v>
      </c>
      <c r="P7" s="129">
        <f>Anchor!X220</f>
        <v>0</v>
      </c>
      <c r="Q7" s="131">
        <f>10*LOG10(1/(('Summary (Full)'!$B$41/10^(N7/10)+'Summary (Full)'!$B$42/10^(O7/10)+'Summary (Full)'!$B$43/10^(P7/10))/'Summary (Full)'!$B$44))</f>
        <v>0</v>
      </c>
      <c r="R7" s="129">
        <f>Anchor!Y220</f>
        <v>0</v>
      </c>
      <c r="S7" s="129">
        <f>Anchor!Z220</f>
        <v>0</v>
      </c>
      <c r="U7" s="129">
        <f>Test!L220</f>
        <v>0</v>
      </c>
      <c r="V7" s="129">
        <f>Test!M220</f>
        <v>0</v>
      </c>
      <c r="W7" s="129">
        <f>Test!N220</f>
        <v>0</v>
      </c>
      <c r="X7" s="129">
        <f>Test!O220</f>
        <v>0</v>
      </c>
      <c r="Y7" s="129">
        <f>('Summary (Full)'!$B$34*V7+'Summary (Full)'!$B$35*W7+'Summary (Full)'!$B$36*X7)/'Summary (Full)'!$B$37</f>
        <v>0</v>
      </c>
      <c r="Z7" s="129">
        <f>Test!P220</f>
        <v>0</v>
      </c>
      <c r="AA7" s="129">
        <f>Test!Q220</f>
        <v>0</v>
      </c>
      <c r="AB7" s="129">
        <f>Test!R220</f>
        <v>0</v>
      </c>
      <c r="AC7" s="129">
        <f>Test!S220</f>
        <v>0</v>
      </c>
      <c r="AD7" s="129">
        <f>Test!T220</f>
        <v>0</v>
      </c>
      <c r="AE7" s="129">
        <f>Test!U220</f>
        <v>0</v>
      </c>
      <c r="AF7" s="129">
        <f>Test!V220</f>
        <v>0</v>
      </c>
      <c r="AG7" s="129">
        <f>Test!W220</f>
        <v>0</v>
      </c>
      <c r="AH7" s="129">
        <f>Test!X220</f>
        <v>0</v>
      </c>
      <c r="AI7" s="129">
        <f>10*LOG10(1/(('Summary (Full)'!$B$41/10^(AF7/10)+'Summary (Full)'!$B$42/10^(AG7/10)+'Summary (Full)'!$B$43/10^(AH7/10))/'Summary (Full)'!$B$44))</f>
        <v>0</v>
      </c>
      <c r="AJ7" s="129">
        <f>Test!Y220</f>
        <v>0</v>
      </c>
      <c r="AK7" s="129">
        <f>Test!Z220</f>
        <v>0</v>
      </c>
      <c r="AL7" s="129" t="e">
        <f t="shared" si="2"/>
        <v>#DIV/0!</v>
      </c>
      <c r="AM7" s="129" t="e">
        <f t="shared" si="2"/>
        <v>#DIV/0!</v>
      </c>
      <c r="AO7" s="254" t="s">
        <v>28</v>
      </c>
      <c r="AP7" s="172" t="e" cm="1">
        <f t="array" ref="AP7">bdRateExtend($C6:$C9,D6:D9,$U6:$U9,V6:V9)</f>
        <v>#VALUE!</v>
      </c>
      <c r="AQ7" s="172"/>
      <c r="AR7" s="172"/>
      <c r="AS7" s="172"/>
      <c r="AT7" s="172" t="e" cm="1">
        <f t="array" ref="AT7">bdRateExtend($C6:$C9,H6:H9,$U6:$U9,Z6:Z9)</f>
        <v>#VALUE!</v>
      </c>
      <c r="AU7" s="172"/>
      <c r="AV7" s="172" t="e" cm="1">
        <f t="array" ref="AV7">bdRateExtend($C6:$C9,I6:I9,$U6:$U9,AA6:AA9)</f>
        <v>#VALUE!</v>
      </c>
      <c r="AW7" s="172"/>
      <c r="AX7" s="172" t="e" cm="1">
        <f t="array" ref="AX7">bdRateExtend($C6:$C9,J6:J9,$U6:$U9,AB6:AB9,"None", FALSE,1)</f>
        <v>#VALUE!</v>
      </c>
      <c r="AY7" s="175"/>
      <c r="AZ7" s="286" cm="1">
        <f t="array" ref="AZ7">testVMAFRange($C6:$C9,J6:J9,$U6:$U9,AB6:AB9)</f>
        <v>0</v>
      </c>
      <c r="BA7" s="212"/>
      <c r="CH7" s="5"/>
      <c r="CI7" s="11" t="s">
        <v>33</v>
      </c>
      <c r="CJ7" s="10" t="e">
        <f>CJ6-CJ5</f>
        <v>#VALUE!</v>
      </c>
      <c r="CK7" s="5"/>
      <c r="EV7" s="7"/>
      <c r="EW7" s="7"/>
      <c r="EX7" s="7"/>
      <c r="EY7" s="7"/>
      <c r="EZ7" s="7"/>
      <c r="FA7" s="7"/>
      <c r="FB7" s="7"/>
      <c r="FC7" s="7"/>
    </row>
    <row r="8" spans="1:175" x14ac:dyDescent="0.15">
      <c r="A8" s="249"/>
      <c r="B8" s="38">
        <v>185</v>
      </c>
      <c r="C8" s="129">
        <f>Anchor!L221</f>
        <v>0</v>
      </c>
      <c r="D8" s="129">
        <f>Anchor!M221</f>
        <v>0</v>
      </c>
      <c r="E8" s="129">
        <f>Anchor!N221</f>
        <v>0</v>
      </c>
      <c r="F8" s="129">
        <f>Anchor!O221</f>
        <v>0</v>
      </c>
      <c r="G8" s="130">
        <f>('Summary (Full)'!$B$34*D8+'Summary (Full)'!$B$35*E8+'Summary (Full)'!$B$36*F8)/'Summary (Full)'!$B$37</f>
        <v>0</v>
      </c>
      <c r="H8" s="129">
        <f>Anchor!P221</f>
        <v>0</v>
      </c>
      <c r="I8" s="129">
        <f>Anchor!Q221</f>
        <v>0</v>
      </c>
      <c r="J8" s="129">
        <f>Anchor!R221</f>
        <v>0</v>
      </c>
      <c r="K8" s="129">
        <f>Anchor!S221</f>
        <v>0</v>
      </c>
      <c r="L8" s="129">
        <f>Anchor!T221</f>
        <v>0</v>
      </c>
      <c r="M8" s="129">
        <f>Anchor!U221</f>
        <v>0</v>
      </c>
      <c r="N8" s="129">
        <f>Anchor!V221</f>
        <v>0</v>
      </c>
      <c r="O8" s="129">
        <f>Anchor!W221</f>
        <v>0</v>
      </c>
      <c r="P8" s="129">
        <f>Anchor!X221</f>
        <v>0</v>
      </c>
      <c r="Q8" s="131">
        <f>10*LOG10(1/(('Summary (Full)'!$B$41/10^(N8/10)+'Summary (Full)'!$B$42/10^(O8/10)+'Summary (Full)'!$B$43/10^(P8/10))/'Summary (Full)'!$B$44))</f>
        <v>0</v>
      </c>
      <c r="R8" s="129">
        <f>Anchor!Y221</f>
        <v>0</v>
      </c>
      <c r="S8" s="129">
        <f>Anchor!Z221</f>
        <v>0</v>
      </c>
      <c r="U8" s="129">
        <f>Test!L221</f>
        <v>0</v>
      </c>
      <c r="V8" s="129">
        <f>Test!M221</f>
        <v>0</v>
      </c>
      <c r="W8" s="129">
        <f>Test!N221</f>
        <v>0</v>
      </c>
      <c r="X8" s="129">
        <f>Test!O221</f>
        <v>0</v>
      </c>
      <c r="Y8" s="129">
        <f>('Summary (Full)'!$B$34*V8+'Summary (Full)'!$B$35*W8+'Summary (Full)'!$B$36*X8)/'Summary (Full)'!$B$37</f>
        <v>0</v>
      </c>
      <c r="Z8" s="129">
        <f>Test!P221</f>
        <v>0</v>
      </c>
      <c r="AA8" s="129">
        <f>Test!Q221</f>
        <v>0</v>
      </c>
      <c r="AB8" s="129">
        <f>Test!R221</f>
        <v>0</v>
      </c>
      <c r="AC8" s="129">
        <f>Test!S221</f>
        <v>0</v>
      </c>
      <c r="AD8" s="129">
        <f>Test!T221</f>
        <v>0</v>
      </c>
      <c r="AE8" s="129">
        <f>Test!U221</f>
        <v>0</v>
      </c>
      <c r="AF8" s="129">
        <f>Test!V221</f>
        <v>0</v>
      </c>
      <c r="AG8" s="129">
        <f>Test!W221</f>
        <v>0</v>
      </c>
      <c r="AH8" s="129">
        <f>Test!X221</f>
        <v>0</v>
      </c>
      <c r="AI8" s="129">
        <f>10*LOG10(1/(('Summary (Full)'!$B$41/10^(AF8/10)+'Summary (Full)'!$B$42/10^(AG8/10)+'Summary (Full)'!$B$43/10^(AH8/10))/'Summary (Full)'!$B$44))</f>
        <v>0</v>
      </c>
      <c r="AJ8" s="129">
        <f>Test!Y221</f>
        <v>0</v>
      </c>
      <c r="AK8" s="129">
        <f>Test!Z221</f>
        <v>0</v>
      </c>
      <c r="AL8" s="129" t="e">
        <f t="shared" si="2"/>
        <v>#DIV/0!</v>
      </c>
      <c r="AM8" s="129" t="e">
        <f t="shared" si="2"/>
        <v>#DIV/0!</v>
      </c>
      <c r="AO8" s="254"/>
      <c r="AP8" s="172"/>
      <c r="AQ8" s="172"/>
      <c r="AR8" s="172"/>
      <c r="AS8" s="172"/>
      <c r="AT8" s="172"/>
      <c r="AU8" s="172"/>
      <c r="AV8" s="172"/>
      <c r="AW8" s="172"/>
      <c r="AX8" s="172"/>
      <c r="AY8" s="175"/>
      <c r="AZ8" s="286"/>
      <c r="BA8" s="212"/>
      <c r="CH8" s="5"/>
      <c r="CI8" s="11" t="s">
        <v>34</v>
      </c>
      <c r="CJ8" s="10" t="e">
        <f>CJ7^(3/4)</f>
        <v>#VALUE!</v>
      </c>
      <c r="CK8" s="5"/>
      <c r="EV8" s="7"/>
      <c r="EW8" s="7"/>
      <c r="EX8" s="7"/>
      <c r="EY8" s="7"/>
      <c r="EZ8" s="7"/>
      <c r="FA8" s="7"/>
      <c r="FB8" s="7"/>
      <c r="FC8" s="7"/>
    </row>
    <row r="9" spans="1:175" ht="13" customHeight="1" x14ac:dyDescent="0.15">
      <c r="A9" s="249"/>
      <c r="B9" s="38">
        <v>210</v>
      </c>
      <c r="C9" s="129">
        <f>Anchor!L222</f>
        <v>0</v>
      </c>
      <c r="D9" s="129">
        <f>Anchor!M222</f>
        <v>0</v>
      </c>
      <c r="E9" s="129">
        <f>Anchor!N222</f>
        <v>0</v>
      </c>
      <c r="F9" s="129">
        <f>Anchor!O222</f>
        <v>0</v>
      </c>
      <c r="G9" s="130">
        <f>('Summary (Full)'!$B$34*D9+'Summary (Full)'!$B$35*E9+'Summary (Full)'!$B$36*F9)/'Summary (Full)'!$B$37</f>
        <v>0</v>
      </c>
      <c r="H9" s="129">
        <f>Anchor!P222</f>
        <v>0</v>
      </c>
      <c r="I9" s="129">
        <f>Anchor!Q222</f>
        <v>0</v>
      </c>
      <c r="J9" s="129">
        <f>Anchor!R222</f>
        <v>0</v>
      </c>
      <c r="K9" s="129">
        <f>Anchor!S222</f>
        <v>0</v>
      </c>
      <c r="L9" s="129">
        <f>Anchor!T222</f>
        <v>0</v>
      </c>
      <c r="M9" s="129">
        <f>Anchor!U222</f>
        <v>0</v>
      </c>
      <c r="N9" s="129">
        <f>Anchor!V222</f>
        <v>0</v>
      </c>
      <c r="O9" s="129">
        <f>Anchor!W222</f>
        <v>0</v>
      </c>
      <c r="P9" s="129">
        <f>Anchor!X222</f>
        <v>0</v>
      </c>
      <c r="Q9" s="131">
        <f>10*LOG10(1/(('Summary (Full)'!$B$41/10^(N9/10)+'Summary (Full)'!$B$42/10^(O9/10)+'Summary (Full)'!$B$43/10^(P9/10))/'Summary (Full)'!$B$44))</f>
        <v>0</v>
      </c>
      <c r="R9" s="129">
        <f>Anchor!Y222</f>
        <v>0</v>
      </c>
      <c r="S9" s="129">
        <f>Anchor!Z222</f>
        <v>0</v>
      </c>
      <c r="U9" s="129">
        <f>Test!L222</f>
        <v>0</v>
      </c>
      <c r="V9" s="129">
        <f>Test!M222</f>
        <v>0</v>
      </c>
      <c r="W9" s="129">
        <f>Test!N222</f>
        <v>0</v>
      </c>
      <c r="X9" s="129">
        <f>Test!O222</f>
        <v>0</v>
      </c>
      <c r="Y9" s="129">
        <f>('Summary (Full)'!$B$34*V9+'Summary (Full)'!$B$35*W9+'Summary (Full)'!$B$36*X9)/'Summary (Full)'!$B$37</f>
        <v>0</v>
      </c>
      <c r="Z9" s="129">
        <f>Test!P222</f>
        <v>0</v>
      </c>
      <c r="AA9" s="129">
        <f>Test!Q222</f>
        <v>0</v>
      </c>
      <c r="AB9" s="129">
        <f>Test!R222</f>
        <v>0</v>
      </c>
      <c r="AC9" s="129">
        <f>Test!S222</f>
        <v>0</v>
      </c>
      <c r="AD9" s="129">
        <f>Test!T222</f>
        <v>0</v>
      </c>
      <c r="AE9" s="129">
        <f>Test!U222</f>
        <v>0</v>
      </c>
      <c r="AF9" s="129">
        <f>Test!V222</f>
        <v>0</v>
      </c>
      <c r="AG9" s="129">
        <f>Test!W222</f>
        <v>0</v>
      </c>
      <c r="AH9" s="129">
        <f>Test!X222</f>
        <v>0</v>
      </c>
      <c r="AI9" s="129">
        <f>10*LOG10(1/(('Summary (Full)'!$B$41/10^(AF9/10)+'Summary (Full)'!$B$42/10^(AG9/10)+'Summary (Full)'!$B$43/10^(AH9/10))/'Summary (Full)'!$B$44))</f>
        <v>0</v>
      </c>
      <c r="AJ9" s="129">
        <f>Test!Y222</f>
        <v>0</v>
      </c>
      <c r="AK9" s="129">
        <f>Test!Z222</f>
        <v>0</v>
      </c>
      <c r="AL9" s="129" t="e">
        <f t="shared" si="2"/>
        <v>#DIV/0!</v>
      </c>
      <c r="AM9" s="129" t="e">
        <f t="shared" si="2"/>
        <v>#DIV/0!</v>
      </c>
      <c r="AO9" s="254" t="s">
        <v>29</v>
      </c>
      <c r="AP9" s="172" t="e" cm="1">
        <f t="array" ref="AP9">bdRateExtend($C7:$C10,D7:D10,$U7:$U10,V7:V10)</f>
        <v>#VALUE!</v>
      </c>
      <c r="AQ9" s="172"/>
      <c r="AR9" s="172"/>
      <c r="AS9" s="172"/>
      <c r="AT9" s="172" t="e" cm="1">
        <f t="array" ref="AT9">bdRateExtend($C7:$C10,H7:H10,$U7:$U10,Z7:Z10)</f>
        <v>#VALUE!</v>
      </c>
      <c r="AU9" s="172"/>
      <c r="AV9" s="172" t="e" cm="1">
        <f t="array" ref="AV9">bdRateExtend($C7:$C10,I7:I10,$U7:$U10,AA7:AA10)</f>
        <v>#VALUE!</v>
      </c>
      <c r="AW9" s="172"/>
      <c r="AX9" s="172" t="e" cm="1">
        <f t="array" ref="AX9">bdRateExtend($C7:$C10,J7:J10,$U7:$U10,AB7:AB10,"None", FALSE,1)</f>
        <v>#VALUE!</v>
      </c>
      <c r="AY9" s="175"/>
      <c r="AZ9" s="286" cm="1">
        <f t="array" ref="AZ9">testVMAFRange($C7:$C10,J7:J10,$U7:$U10,AB7:AB10)</f>
        <v>0</v>
      </c>
      <c r="BA9" s="212"/>
      <c r="CH9" s="5"/>
      <c r="CI9" s="11" t="s">
        <v>35</v>
      </c>
      <c r="CJ9" s="10" t="e">
        <f>CJ7^(1/2)</f>
        <v>#VALUE!</v>
      </c>
      <c r="CK9" s="5"/>
      <c r="EV9" s="7"/>
      <c r="EW9" s="7"/>
      <c r="EX9" s="7"/>
      <c r="EY9" s="7"/>
      <c r="EZ9" s="7"/>
      <c r="FA9" s="7"/>
      <c r="FB9" s="7"/>
      <c r="FC9" s="7"/>
    </row>
    <row r="10" spans="1:175" ht="14" thickBot="1" x14ac:dyDescent="0.2">
      <c r="A10" s="249"/>
      <c r="B10" s="38">
        <v>235</v>
      </c>
      <c r="C10" s="129">
        <f>Anchor!L223</f>
        <v>0</v>
      </c>
      <c r="D10" s="129">
        <f>Anchor!M223</f>
        <v>0</v>
      </c>
      <c r="E10" s="129">
        <f>Anchor!N223</f>
        <v>0</v>
      </c>
      <c r="F10" s="129">
        <f>Anchor!O223</f>
        <v>0</v>
      </c>
      <c r="G10" s="130">
        <f>('Summary (Full)'!$B$34*D10+'Summary (Full)'!$B$35*E10+'Summary (Full)'!$B$36*F10)/'Summary (Full)'!$B$37</f>
        <v>0</v>
      </c>
      <c r="H10" s="129">
        <f>Anchor!P223</f>
        <v>0</v>
      </c>
      <c r="I10" s="129">
        <f>Anchor!Q223</f>
        <v>0</v>
      </c>
      <c r="J10" s="129">
        <f>Anchor!R223</f>
        <v>0</v>
      </c>
      <c r="K10" s="129">
        <f>Anchor!S223</f>
        <v>0</v>
      </c>
      <c r="L10" s="129">
        <f>Anchor!T223</f>
        <v>0</v>
      </c>
      <c r="M10" s="129">
        <f>Anchor!U223</f>
        <v>0</v>
      </c>
      <c r="N10" s="129">
        <f>Anchor!V223</f>
        <v>0</v>
      </c>
      <c r="O10" s="129">
        <f>Anchor!W223</f>
        <v>0</v>
      </c>
      <c r="P10" s="129">
        <f>Anchor!X223</f>
        <v>0</v>
      </c>
      <c r="Q10" s="131">
        <f>10*LOG10(1/(('Summary (Full)'!$B$41/10^(N10/10)+'Summary (Full)'!$B$42/10^(O10/10)+'Summary (Full)'!$B$43/10^(P10/10))/'Summary (Full)'!$B$44))</f>
        <v>0</v>
      </c>
      <c r="R10" s="129">
        <f>Anchor!Y223</f>
        <v>0</v>
      </c>
      <c r="S10" s="129">
        <f>Anchor!Z223</f>
        <v>0</v>
      </c>
      <c r="U10" s="129">
        <f>Test!L223</f>
        <v>0</v>
      </c>
      <c r="V10" s="129">
        <f>Test!M223</f>
        <v>0</v>
      </c>
      <c r="W10" s="129">
        <f>Test!N223</f>
        <v>0</v>
      </c>
      <c r="X10" s="129">
        <f>Test!O223</f>
        <v>0</v>
      </c>
      <c r="Y10" s="129">
        <f>('Summary (Full)'!$B$34*V10+'Summary (Full)'!$B$35*W10+'Summary (Full)'!$B$36*X10)/'Summary (Full)'!$B$37</f>
        <v>0</v>
      </c>
      <c r="Z10" s="129">
        <f>Test!P223</f>
        <v>0</v>
      </c>
      <c r="AA10" s="129">
        <f>Test!Q223</f>
        <v>0</v>
      </c>
      <c r="AB10" s="129">
        <f>Test!R223</f>
        <v>0</v>
      </c>
      <c r="AC10" s="129">
        <f>Test!S223</f>
        <v>0</v>
      </c>
      <c r="AD10" s="129">
        <f>Test!T223</f>
        <v>0</v>
      </c>
      <c r="AE10" s="129">
        <f>Test!U223</f>
        <v>0</v>
      </c>
      <c r="AF10" s="129">
        <f>Test!V223</f>
        <v>0</v>
      </c>
      <c r="AG10" s="129">
        <f>Test!W223</f>
        <v>0</v>
      </c>
      <c r="AH10" s="129">
        <f>Test!X223</f>
        <v>0</v>
      </c>
      <c r="AI10" s="129">
        <f>10*LOG10(1/(('Summary (Full)'!$B$41/10^(AF10/10)+'Summary (Full)'!$B$42/10^(AG10/10)+'Summary (Full)'!$B$43/10^(AH10/10))/'Summary (Full)'!$B$44))</f>
        <v>0</v>
      </c>
      <c r="AJ10" s="129">
        <f>Test!Y223</f>
        <v>0</v>
      </c>
      <c r="AK10" s="129">
        <f>Test!Z223</f>
        <v>0</v>
      </c>
      <c r="AL10" s="129" t="e">
        <f t="shared" si="2"/>
        <v>#DIV/0!</v>
      </c>
      <c r="AM10" s="129" t="e">
        <f t="shared" si="2"/>
        <v>#DIV/0!</v>
      </c>
      <c r="AO10" s="263"/>
      <c r="AP10" s="173"/>
      <c r="AQ10" s="173"/>
      <c r="AR10" s="173"/>
      <c r="AS10" s="173"/>
      <c r="AT10" s="173"/>
      <c r="AU10" s="173"/>
      <c r="AV10" s="173"/>
      <c r="AW10" s="173"/>
      <c r="AX10" s="173"/>
      <c r="AY10" s="188"/>
      <c r="AZ10" s="287"/>
      <c r="BA10" s="240"/>
      <c r="CH10" s="5"/>
      <c r="CI10" s="11" t="s">
        <v>36</v>
      </c>
      <c r="CJ10" s="10" t="e">
        <f>CJ5+CJ9</f>
        <v>#VALUE!</v>
      </c>
      <c r="CK10" s="5"/>
      <c r="EV10" s="7"/>
      <c r="EW10" s="7"/>
      <c r="EX10" s="7"/>
      <c r="EY10" s="7"/>
      <c r="EZ10" s="7"/>
      <c r="FA10" s="7"/>
      <c r="FB10" s="7"/>
      <c r="FC10" s="7"/>
    </row>
    <row r="11" spans="1:175" ht="13" customHeight="1" x14ac:dyDescent="0.15">
      <c r="A11" s="249" t="s">
        <v>18</v>
      </c>
      <c r="B11" s="38">
        <v>110</v>
      </c>
      <c r="C11" s="129">
        <f>Anchor!L224</f>
        <v>0</v>
      </c>
      <c r="D11" s="129">
        <f>Anchor!M224</f>
        <v>0</v>
      </c>
      <c r="E11" s="129">
        <f>Anchor!N224</f>
        <v>0</v>
      </c>
      <c r="F11" s="129">
        <f>Anchor!O224</f>
        <v>0</v>
      </c>
      <c r="G11" s="130">
        <f>('Summary (Full)'!$B$34*D11+'Summary (Full)'!$B$35*E11+'Summary (Full)'!$B$36*F11)/'Summary (Full)'!$B$37</f>
        <v>0</v>
      </c>
      <c r="H11" s="129">
        <f>Anchor!P224</f>
        <v>0</v>
      </c>
      <c r="I11" s="129">
        <f>Anchor!Q224</f>
        <v>0</v>
      </c>
      <c r="J11" s="129">
        <f>Anchor!R224</f>
        <v>0</v>
      </c>
      <c r="K11" s="129">
        <f>Anchor!S224</f>
        <v>0</v>
      </c>
      <c r="L11" s="129">
        <f>Anchor!T224</f>
        <v>0</v>
      </c>
      <c r="M11" s="129">
        <f>Anchor!U224</f>
        <v>0</v>
      </c>
      <c r="N11" s="129">
        <f>Anchor!V224</f>
        <v>0</v>
      </c>
      <c r="O11" s="129">
        <f>Anchor!W224</f>
        <v>0</v>
      </c>
      <c r="P11" s="129">
        <f>Anchor!X224</f>
        <v>0</v>
      </c>
      <c r="Q11" s="131">
        <f>10*LOG10(1/(('Summary (Full)'!$B$41/10^(N11/10)+'Summary (Full)'!$B$42/10^(O11/10)+'Summary (Full)'!$B$43/10^(P11/10))/'Summary (Full)'!$B$44))</f>
        <v>0</v>
      </c>
      <c r="R11" s="129">
        <f>Anchor!Y224</f>
        <v>0</v>
      </c>
      <c r="S11" s="129">
        <f>Anchor!Z224</f>
        <v>0</v>
      </c>
      <c r="U11" s="129">
        <f>Test!L224</f>
        <v>0</v>
      </c>
      <c r="V11" s="129">
        <f>Test!M224</f>
        <v>0</v>
      </c>
      <c r="W11" s="129">
        <f>Test!N224</f>
        <v>0</v>
      </c>
      <c r="X11" s="129">
        <f>Test!O224</f>
        <v>0</v>
      </c>
      <c r="Y11" s="129">
        <f>('Summary (Full)'!$B$34*V11+'Summary (Full)'!$B$35*W11+'Summary (Full)'!$B$36*X11)/'Summary (Full)'!$B$37</f>
        <v>0</v>
      </c>
      <c r="Z11" s="129">
        <f>Test!P224</f>
        <v>0</v>
      </c>
      <c r="AA11" s="129">
        <f>Test!Q224</f>
        <v>0</v>
      </c>
      <c r="AB11" s="129">
        <f>Test!R224</f>
        <v>0</v>
      </c>
      <c r="AC11" s="129">
        <f>Test!S224</f>
        <v>0</v>
      </c>
      <c r="AD11" s="129">
        <f>Test!T224</f>
        <v>0</v>
      </c>
      <c r="AE11" s="129">
        <f>Test!U224</f>
        <v>0</v>
      </c>
      <c r="AF11" s="129">
        <f>Test!V224</f>
        <v>0</v>
      </c>
      <c r="AG11" s="129">
        <f>Test!W224</f>
        <v>0</v>
      </c>
      <c r="AH11" s="129">
        <f>Test!X224</f>
        <v>0</v>
      </c>
      <c r="AI11" s="129">
        <f>10*LOG10(1/(('Summary (Full)'!$B$41/10^(AF11/10)+'Summary (Full)'!$B$42/10^(AG11/10)+'Summary (Full)'!$B$43/10^(AH11/10))/'Summary (Full)'!$B$44))</f>
        <v>0</v>
      </c>
      <c r="AJ11" s="129">
        <f>Test!Y224</f>
        <v>0</v>
      </c>
      <c r="AK11" s="129">
        <f>Test!Z224</f>
        <v>0</v>
      </c>
      <c r="AL11" s="129" t="e">
        <f t="shared" si="2"/>
        <v>#DIV/0!</v>
      </c>
      <c r="AM11" s="129" t="e">
        <f t="shared" si="2"/>
        <v>#DIV/0!</v>
      </c>
      <c r="AO11" s="253" t="s">
        <v>27</v>
      </c>
      <c r="AP11" s="171" t="e" cm="1">
        <f t="array" ref="AP11">bdRateExtend($C11:$C14,D11:D14,$U11:$U14,V11:V14)</f>
        <v>#VALUE!</v>
      </c>
      <c r="AQ11" s="171" t="e" cm="1">
        <f t="array" ref="AQ11">bdRateExtend($C11:$C16,D11:D16,$U11:$U16,V11:V16)</f>
        <v>#VALUE!</v>
      </c>
      <c r="AR11" s="171" t="e" cm="1">
        <f t="array" ref="AR11">bdRateExtend($C11:$C16,E11:E16,$U11:$U16,W11:W16)</f>
        <v>#VALUE!</v>
      </c>
      <c r="AS11" s="171" t="e" cm="1">
        <f t="array" ref="AS11">bdRateExtend($C11:$C16,F11:F16,$U11:$U16,X11:X16)</f>
        <v>#VALUE!</v>
      </c>
      <c r="AT11" s="171" t="e" cm="1">
        <f t="array" ref="AT11">bdRateExtend($C11:$C14,H11:H14,$U11:$U14,Z11:Z14)</f>
        <v>#VALUE!</v>
      </c>
      <c r="AU11" s="171" t="e" cm="1">
        <f t="array" ref="AU11">bdRateExtend($C11:$C16,H11:H16,$U11:$U16,Z11:Z16)</f>
        <v>#VALUE!</v>
      </c>
      <c r="AV11" s="171" t="e" cm="1">
        <f t="array" ref="AV11">bdRateExtend($C11:$C14,I11:I14,$U11:$U14,AA11:AA14)</f>
        <v>#VALUE!</v>
      </c>
      <c r="AW11" s="171" t="e" cm="1">
        <f t="array" ref="AW11">bdRateExtend($C11:$C16,I11:I16,$U11:$U16,AA11:AA16)</f>
        <v>#VALUE!</v>
      </c>
      <c r="AX11" s="171" t="e" cm="1">
        <f t="array" ref="AX11">bdRateExtend($C11:$C14,J11:J14,$U11:$U14,AB11:AB14,"None", FALSE,1)</f>
        <v>#VALUE!</v>
      </c>
      <c r="AY11" s="174" t="e" cm="1">
        <f t="array" ref="AY11">bdRateExtend($C11:$C16,J11:J16,$U11:$U16,AB11:AB16,"None", FALSE,TRUE)</f>
        <v>#VALUE!</v>
      </c>
      <c r="AZ11" s="285" cm="1">
        <f t="array" ref="AZ11">testVMAFRange($C11:$C14,J11:J14,$U11:$U14,AB11:AB14)</f>
        <v>0</v>
      </c>
      <c r="BA11" s="211" cm="1">
        <f t="array" ref="BA11">testVMAFRange($C11:$C16,J11:J16,$U11:$U16,AB11:AB16)</f>
        <v>0</v>
      </c>
      <c r="CI11" s="11" t="s">
        <v>37</v>
      </c>
      <c r="CJ11" s="10" t="e">
        <f>CJ5+CJ8</f>
        <v>#VALUE!</v>
      </c>
      <c r="EV11" s="7"/>
      <c r="EW11" s="7"/>
      <c r="EX11" s="7"/>
      <c r="EY11" s="7"/>
      <c r="EZ11" s="7"/>
      <c r="FA11" s="7"/>
      <c r="FB11" s="7"/>
      <c r="FC11" s="7"/>
    </row>
    <row r="12" spans="1:175" x14ac:dyDescent="0.15">
      <c r="A12" s="249"/>
      <c r="B12" s="38">
        <v>135</v>
      </c>
      <c r="C12" s="129">
        <f>Anchor!L225</f>
        <v>0</v>
      </c>
      <c r="D12" s="129">
        <f>Anchor!M225</f>
        <v>0</v>
      </c>
      <c r="E12" s="129">
        <f>Anchor!N225</f>
        <v>0</v>
      </c>
      <c r="F12" s="129">
        <f>Anchor!O225</f>
        <v>0</v>
      </c>
      <c r="G12" s="130">
        <f>('Summary (Full)'!$B$34*D12+'Summary (Full)'!$B$35*E12+'Summary (Full)'!$B$36*F12)/'Summary (Full)'!$B$37</f>
        <v>0</v>
      </c>
      <c r="H12" s="129">
        <f>Anchor!P225</f>
        <v>0</v>
      </c>
      <c r="I12" s="129">
        <f>Anchor!Q225</f>
        <v>0</v>
      </c>
      <c r="J12" s="129">
        <f>Anchor!R225</f>
        <v>0</v>
      </c>
      <c r="K12" s="129">
        <f>Anchor!S225</f>
        <v>0</v>
      </c>
      <c r="L12" s="129">
        <f>Anchor!T225</f>
        <v>0</v>
      </c>
      <c r="M12" s="129">
        <f>Anchor!U225</f>
        <v>0</v>
      </c>
      <c r="N12" s="129">
        <f>Anchor!V225</f>
        <v>0</v>
      </c>
      <c r="O12" s="129">
        <f>Anchor!W225</f>
        <v>0</v>
      </c>
      <c r="P12" s="129">
        <f>Anchor!X225</f>
        <v>0</v>
      </c>
      <c r="Q12" s="131">
        <f>10*LOG10(1/(('Summary (Full)'!$B$41/10^(N12/10)+'Summary (Full)'!$B$42/10^(O12/10)+'Summary (Full)'!$B$43/10^(P12/10))/'Summary (Full)'!$B$44))</f>
        <v>0</v>
      </c>
      <c r="R12" s="129">
        <f>Anchor!Y225</f>
        <v>0</v>
      </c>
      <c r="S12" s="129">
        <f>Anchor!Z225</f>
        <v>0</v>
      </c>
      <c r="U12" s="129">
        <f>Test!L225</f>
        <v>0</v>
      </c>
      <c r="V12" s="129">
        <f>Test!M225</f>
        <v>0</v>
      </c>
      <c r="W12" s="129">
        <f>Test!N225</f>
        <v>0</v>
      </c>
      <c r="X12" s="129">
        <f>Test!O225</f>
        <v>0</v>
      </c>
      <c r="Y12" s="129">
        <f>('Summary (Full)'!$B$34*V12+'Summary (Full)'!$B$35*W12+'Summary (Full)'!$B$36*X12)/'Summary (Full)'!$B$37</f>
        <v>0</v>
      </c>
      <c r="Z12" s="129">
        <f>Test!P225</f>
        <v>0</v>
      </c>
      <c r="AA12" s="129">
        <f>Test!Q225</f>
        <v>0</v>
      </c>
      <c r="AB12" s="129">
        <f>Test!R225</f>
        <v>0</v>
      </c>
      <c r="AC12" s="129">
        <f>Test!S225</f>
        <v>0</v>
      </c>
      <c r="AD12" s="129">
        <f>Test!T225</f>
        <v>0</v>
      </c>
      <c r="AE12" s="129">
        <f>Test!U225</f>
        <v>0</v>
      </c>
      <c r="AF12" s="129">
        <f>Test!V225</f>
        <v>0</v>
      </c>
      <c r="AG12" s="129">
        <f>Test!W225</f>
        <v>0</v>
      </c>
      <c r="AH12" s="129">
        <f>Test!X225</f>
        <v>0</v>
      </c>
      <c r="AI12" s="129">
        <f>10*LOG10(1/(('Summary (Full)'!$B$41/10^(AF12/10)+'Summary (Full)'!$B$42/10^(AG12/10)+'Summary (Full)'!$B$43/10^(AH12/10))/'Summary (Full)'!$B$44))</f>
        <v>0</v>
      </c>
      <c r="AJ12" s="129">
        <f>Test!Y225</f>
        <v>0</v>
      </c>
      <c r="AK12" s="129">
        <f>Test!Z225</f>
        <v>0</v>
      </c>
      <c r="AL12" s="129" t="e">
        <f t="shared" si="2"/>
        <v>#DIV/0!</v>
      </c>
      <c r="AM12" s="129" t="e">
        <f t="shared" si="2"/>
        <v>#DIV/0!</v>
      </c>
      <c r="AO12" s="254"/>
      <c r="AP12" s="172"/>
      <c r="AQ12" s="172"/>
      <c r="AR12" s="172"/>
      <c r="AS12" s="172"/>
      <c r="AT12" s="172"/>
      <c r="AU12" s="172"/>
      <c r="AV12" s="172"/>
      <c r="AW12" s="172"/>
      <c r="AX12" s="172"/>
      <c r="AY12" s="175"/>
      <c r="AZ12" s="286"/>
      <c r="BA12" s="212"/>
      <c r="EV12" s="7"/>
      <c r="EW12" s="7"/>
      <c r="EX12" s="7"/>
      <c r="EY12" s="7"/>
      <c r="EZ12" s="7"/>
      <c r="FA12" s="7"/>
      <c r="FB12" s="7"/>
      <c r="FC12" s="7"/>
    </row>
    <row r="13" spans="1:175" ht="13" customHeight="1" x14ac:dyDescent="0.15">
      <c r="A13" s="249"/>
      <c r="B13" s="38">
        <v>160</v>
      </c>
      <c r="C13" s="129">
        <f>Anchor!L226</f>
        <v>0</v>
      </c>
      <c r="D13" s="129">
        <f>Anchor!M226</f>
        <v>0</v>
      </c>
      <c r="E13" s="129">
        <f>Anchor!N226</f>
        <v>0</v>
      </c>
      <c r="F13" s="129">
        <f>Anchor!O226</f>
        <v>0</v>
      </c>
      <c r="G13" s="130">
        <f>('Summary (Full)'!$B$34*D13+'Summary (Full)'!$B$35*E13+'Summary (Full)'!$B$36*F13)/'Summary (Full)'!$B$37</f>
        <v>0</v>
      </c>
      <c r="H13" s="129">
        <f>Anchor!P226</f>
        <v>0</v>
      </c>
      <c r="I13" s="129">
        <f>Anchor!Q226</f>
        <v>0</v>
      </c>
      <c r="J13" s="129">
        <f>Anchor!R226</f>
        <v>0</v>
      </c>
      <c r="K13" s="129">
        <f>Anchor!S226</f>
        <v>0</v>
      </c>
      <c r="L13" s="129">
        <f>Anchor!T226</f>
        <v>0</v>
      </c>
      <c r="M13" s="129">
        <f>Anchor!U226</f>
        <v>0</v>
      </c>
      <c r="N13" s="129">
        <f>Anchor!V226</f>
        <v>0</v>
      </c>
      <c r="O13" s="129">
        <f>Anchor!W226</f>
        <v>0</v>
      </c>
      <c r="P13" s="129">
        <f>Anchor!X226</f>
        <v>0</v>
      </c>
      <c r="Q13" s="131">
        <f>10*LOG10(1/(('Summary (Full)'!$B$41/10^(N13/10)+'Summary (Full)'!$B$42/10^(O13/10)+'Summary (Full)'!$B$43/10^(P13/10))/'Summary (Full)'!$B$44))</f>
        <v>0</v>
      </c>
      <c r="R13" s="129">
        <f>Anchor!Y226</f>
        <v>0</v>
      </c>
      <c r="S13" s="129">
        <f>Anchor!Z226</f>
        <v>0</v>
      </c>
      <c r="U13" s="129">
        <f>Test!L226</f>
        <v>0</v>
      </c>
      <c r="V13" s="129">
        <f>Test!M226</f>
        <v>0</v>
      </c>
      <c r="W13" s="129">
        <f>Test!N226</f>
        <v>0</v>
      </c>
      <c r="X13" s="129">
        <f>Test!O226</f>
        <v>0</v>
      </c>
      <c r="Y13" s="129">
        <f>('Summary (Full)'!$B$34*V13+'Summary (Full)'!$B$35*W13+'Summary (Full)'!$B$36*X13)/'Summary (Full)'!$B$37</f>
        <v>0</v>
      </c>
      <c r="Z13" s="129">
        <f>Test!P226</f>
        <v>0</v>
      </c>
      <c r="AA13" s="129">
        <f>Test!Q226</f>
        <v>0</v>
      </c>
      <c r="AB13" s="129">
        <f>Test!R226</f>
        <v>0</v>
      </c>
      <c r="AC13" s="129">
        <f>Test!S226</f>
        <v>0</v>
      </c>
      <c r="AD13" s="129">
        <f>Test!T226</f>
        <v>0</v>
      </c>
      <c r="AE13" s="129">
        <f>Test!U226</f>
        <v>0</v>
      </c>
      <c r="AF13" s="129">
        <f>Test!V226</f>
        <v>0</v>
      </c>
      <c r="AG13" s="129">
        <f>Test!W226</f>
        <v>0</v>
      </c>
      <c r="AH13" s="129">
        <f>Test!X226</f>
        <v>0</v>
      </c>
      <c r="AI13" s="129">
        <f>10*LOG10(1/(('Summary (Full)'!$B$41/10^(AF13/10)+'Summary (Full)'!$B$42/10^(AG13/10)+'Summary (Full)'!$B$43/10^(AH13/10))/'Summary (Full)'!$B$44))</f>
        <v>0</v>
      </c>
      <c r="AJ13" s="129">
        <f>Test!Y226</f>
        <v>0</v>
      </c>
      <c r="AK13" s="129">
        <f>Test!Z226</f>
        <v>0</v>
      </c>
      <c r="AL13" s="129" t="e">
        <f t="shared" si="2"/>
        <v>#DIV/0!</v>
      </c>
      <c r="AM13" s="129" t="e">
        <f t="shared" si="2"/>
        <v>#DIV/0!</v>
      </c>
      <c r="AO13" s="254" t="s">
        <v>28</v>
      </c>
      <c r="AP13" s="172" t="e" cm="1">
        <f t="array" ref="AP13">bdRateExtend($C12:$C15,D12:D15,$U12:$U15,V12:V15)</f>
        <v>#VALUE!</v>
      </c>
      <c r="AQ13" s="172"/>
      <c r="AR13" s="172"/>
      <c r="AS13" s="172"/>
      <c r="AT13" s="172" t="e" cm="1">
        <f t="array" ref="AT13">bdRateExtend($C12:$C15,H12:H15,$U12:$U15,Z12:Z15)</f>
        <v>#VALUE!</v>
      </c>
      <c r="AU13" s="172"/>
      <c r="AV13" s="172" t="e" cm="1">
        <f t="array" ref="AV13">bdRateExtend($C12:$C15,I12:I15,$U12:$U15,AA12:AA15)</f>
        <v>#VALUE!</v>
      </c>
      <c r="AW13" s="172"/>
      <c r="AX13" s="172" t="e" cm="1">
        <f t="array" ref="AX13">bdRateExtend($C12:$C15,J12:J15,$U12:$U15,AB12:AB15,"None", FALSE,1)</f>
        <v>#VALUE!</v>
      </c>
      <c r="AY13" s="175"/>
      <c r="AZ13" s="286" cm="1">
        <f t="array" ref="AZ13">testVMAFRange($C12:$C15,J12:J15,$U12:$U15,AB12:AB15)</f>
        <v>0</v>
      </c>
      <c r="BA13" s="212"/>
      <c r="EV13" s="7"/>
      <c r="EW13" s="7"/>
      <c r="EX13" s="7"/>
      <c r="EY13" s="7"/>
      <c r="EZ13" s="7"/>
      <c r="FA13" s="7"/>
      <c r="FB13" s="7"/>
      <c r="FC13" s="7"/>
    </row>
    <row r="14" spans="1:175" x14ac:dyDescent="0.15">
      <c r="A14" s="249"/>
      <c r="B14" s="38">
        <v>185</v>
      </c>
      <c r="C14" s="129">
        <f>Anchor!L227</f>
        <v>0</v>
      </c>
      <c r="D14" s="129">
        <f>Anchor!M227</f>
        <v>0</v>
      </c>
      <c r="E14" s="129">
        <f>Anchor!N227</f>
        <v>0</v>
      </c>
      <c r="F14" s="129">
        <f>Anchor!O227</f>
        <v>0</v>
      </c>
      <c r="G14" s="130">
        <f>('Summary (Full)'!$B$34*D14+'Summary (Full)'!$B$35*E14+'Summary (Full)'!$B$36*F14)/'Summary (Full)'!$B$37</f>
        <v>0</v>
      </c>
      <c r="H14" s="129">
        <f>Anchor!P227</f>
        <v>0</v>
      </c>
      <c r="I14" s="129">
        <f>Anchor!Q227</f>
        <v>0</v>
      </c>
      <c r="J14" s="129">
        <f>Anchor!R227</f>
        <v>0</v>
      </c>
      <c r="K14" s="129">
        <f>Anchor!S227</f>
        <v>0</v>
      </c>
      <c r="L14" s="129">
        <f>Anchor!T227</f>
        <v>0</v>
      </c>
      <c r="M14" s="129">
        <f>Anchor!U227</f>
        <v>0</v>
      </c>
      <c r="N14" s="129">
        <f>Anchor!V227</f>
        <v>0</v>
      </c>
      <c r="O14" s="129">
        <f>Anchor!W227</f>
        <v>0</v>
      </c>
      <c r="P14" s="129">
        <f>Anchor!X227</f>
        <v>0</v>
      </c>
      <c r="Q14" s="131">
        <f>10*LOG10(1/(('Summary (Full)'!$B$41/10^(N14/10)+'Summary (Full)'!$B$42/10^(O14/10)+'Summary (Full)'!$B$43/10^(P14/10))/'Summary (Full)'!$B$44))</f>
        <v>0</v>
      </c>
      <c r="R14" s="129">
        <f>Anchor!Y227</f>
        <v>0</v>
      </c>
      <c r="S14" s="129">
        <f>Anchor!Z227</f>
        <v>0</v>
      </c>
      <c r="U14" s="129">
        <f>Test!L227</f>
        <v>0</v>
      </c>
      <c r="V14" s="129">
        <f>Test!M227</f>
        <v>0</v>
      </c>
      <c r="W14" s="129">
        <f>Test!N227</f>
        <v>0</v>
      </c>
      <c r="X14" s="129">
        <f>Test!O227</f>
        <v>0</v>
      </c>
      <c r="Y14" s="129">
        <f>('Summary (Full)'!$B$34*V14+'Summary (Full)'!$B$35*W14+'Summary (Full)'!$B$36*X14)/'Summary (Full)'!$B$37</f>
        <v>0</v>
      </c>
      <c r="Z14" s="129">
        <f>Test!P227</f>
        <v>0</v>
      </c>
      <c r="AA14" s="129">
        <f>Test!Q227</f>
        <v>0</v>
      </c>
      <c r="AB14" s="129">
        <f>Test!R227</f>
        <v>0</v>
      </c>
      <c r="AC14" s="129">
        <f>Test!S227</f>
        <v>0</v>
      </c>
      <c r="AD14" s="129">
        <f>Test!T227</f>
        <v>0</v>
      </c>
      <c r="AE14" s="129">
        <f>Test!U227</f>
        <v>0</v>
      </c>
      <c r="AF14" s="129">
        <f>Test!V227</f>
        <v>0</v>
      </c>
      <c r="AG14" s="129">
        <f>Test!W227</f>
        <v>0</v>
      </c>
      <c r="AH14" s="129">
        <f>Test!X227</f>
        <v>0</v>
      </c>
      <c r="AI14" s="129">
        <f>10*LOG10(1/(('Summary (Full)'!$B$41/10^(AF14/10)+'Summary (Full)'!$B$42/10^(AG14/10)+'Summary (Full)'!$B$43/10^(AH14/10))/'Summary (Full)'!$B$44))</f>
        <v>0</v>
      </c>
      <c r="AJ14" s="129">
        <f>Test!Y227</f>
        <v>0</v>
      </c>
      <c r="AK14" s="129">
        <f>Test!Z227</f>
        <v>0</v>
      </c>
      <c r="AL14" s="129" t="e">
        <f t="shared" si="2"/>
        <v>#DIV/0!</v>
      </c>
      <c r="AM14" s="129" t="e">
        <f t="shared" si="2"/>
        <v>#DIV/0!</v>
      </c>
      <c r="AO14" s="254"/>
      <c r="AP14" s="172"/>
      <c r="AQ14" s="172"/>
      <c r="AR14" s="172"/>
      <c r="AS14" s="172"/>
      <c r="AT14" s="172"/>
      <c r="AU14" s="172"/>
      <c r="AV14" s="172"/>
      <c r="AW14" s="172"/>
      <c r="AX14" s="172"/>
      <c r="AY14" s="175"/>
      <c r="AZ14" s="286"/>
      <c r="BA14" s="212"/>
      <c r="EV14" s="7"/>
      <c r="EW14" s="7"/>
      <c r="EX14" s="7"/>
      <c r="EY14" s="7"/>
      <c r="EZ14" s="7"/>
      <c r="FA14" s="7"/>
      <c r="FB14" s="7"/>
      <c r="FC14" s="7"/>
    </row>
    <row r="15" spans="1:175" ht="13" customHeight="1" x14ac:dyDescent="0.15">
      <c r="A15" s="249"/>
      <c r="B15" s="38">
        <v>210</v>
      </c>
      <c r="C15" s="129">
        <f>Anchor!L228</f>
        <v>0</v>
      </c>
      <c r="D15" s="129">
        <f>Anchor!M228</f>
        <v>0</v>
      </c>
      <c r="E15" s="129">
        <f>Anchor!N228</f>
        <v>0</v>
      </c>
      <c r="F15" s="129">
        <f>Anchor!O228</f>
        <v>0</v>
      </c>
      <c r="G15" s="130">
        <f>('Summary (Full)'!$B$34*D15+'Summary (Full)'!$B$35*E15+'Summary (Full)'!$B$36*F15)/'Summary (Full)'!$B$37</f>
        <v>0</v>
      </c>
      <c r="H15" s="129">
        <f>Anchor!P228</f>
        <v>0</v>
      </c>
      <c r="I15" s="129">
        <f>Anchor!Q228</f>
        <v>0</v>
      </c>
      <c r="J15" s="129">
        <f>Anchor!R228</f>
        <v>0</v>
      </c>
      <c r="K15" s="129">
        <f>Anchor!S228</f>
        <v>0</v>
      </c>
      <c r="L15" s="129">
        <f>Anchor!T228</f>
        <v>0</v>
      </c>
      <c r="M15" s="129">
        <f>Anchor!U228</f>
        <v>0</v>
      </c>
      <c r="N15" s="129">
        <f>Anchor!V228</f>
        <v>0</v>
      </c>
      <c r="O15" s="129">
        <f>Anchor!W228</f>
        <v>0</v>
      </c>
      <c r="P15" s="129">
        <f>Anchor!X228</f>
        <v>0</v>
      </c>
      <c r="Q15" s="131">
        <f>10*LOG10(1/(('Summary (Full)'!$B$41/10^(N15/10)+'Summary (Full)'!$B$42/10^(O15/10)+'Summary (Full)'!$B$43/10^(P15/10))/'Summary (Full)'!$B$44))</f>
        <v>0</v>
      </c>
      <c r="R15" s="129">
        <f>Anchor!Y228</f>
        <v>0</v>
      </c>
      <c r="S15" s="129">
        <f>Anchor!Z228</f>
        <v>0</v>
      </c>
      <c r="U15" s="129">
        <f>Test!L228</f>
        <v>0</v>
      </c>
      <c r="V15" s="129">
        <f>Test!M228</f>
        <v>0</v>
      </c>
      <c r="W15" s="129">
        <f>Test!N228</f>
        <v>0</v>
      </c>
      <c r="X15" s="129">
        <f>Test!O228</f>
        <v>0</v>
      </c>
      <c r="Y15" s="129">
        <f>('Summary (Full)'!$B$34*V15+'Summary (Full)'!$B$35*W15+'Summary (Full)'!$B$36*X15)/'Summary (Full)'!$B$37</f>
        <v>0</v>
      </c>
      <c r="Z15" s="129">
        <f>Test!P228</f>
        <v>0</v>
      </c>
      <c r="AA15" s="129">
        <f>Test!Q228</f>
        <v>0</v>
      </c>
      <c r="AB15" s="129">
        <f>Test!R228</f>
        <v>0</v>
      </c>
      <c r="AC15" s="129">
        <f>Test!S228</f>
        <v>0</v>
      </c>
      <c r="AD15" s="129">
        <f>Test!T228</f>
        <v>0</v>
      </c>
      <c r="AE15" s="129">
        <f>Test!U228</f>
        <v>0</v>
      </c>
      <c r="AF15" s="129">
        <f>Test!V228</f>
        <v>0</v>
      </c>
      <c r="AG15" s="129">
        <f>Test!W228</f>
        <v>0</v>
      </c>
      <c r="AH15" s="129">
        <f>Test!X228</f>
        <v>0</v>
      </c>
      <c r="AI15" s="129">
        <f>10*LOG10(1/(('Summary (Full)'!$B$41/10^(AF15/10)+'Summary (Full)'!$B$42/10^(AG15/10)+'Summary (Full)'!$B$43/10^(AH15/10))/'Summary (Full)'!$B$44))</f>
        <v>0</v>
      </c>
      <c r="AJ15" s="129">
        <f>Test!Y228</f>
        <v>0</v>
      </c>
      <c r="AK15" s="129">
        <f>Test!Z228</f>
        <v>0</v>
      </c>
      <c r="AL15" s="129" t="e">
        <f t="shared" si="2"/>
        <v>#DIV/0!</v>
      </c>
      <c r="AM15" s="129" t="e">
        <f t="shared" si="2"/>
        <v>#DIV/0!</v>
      </c>
      <c r="AO15" s="254" t="s">
        <v>29</v>
      </c>
      <c r="AP15" s="172" t="e" cm="1">
        <f t="array" ref="AP15">bdRateExtend($C13:$C16,D13:D16,$U13:$U16,V13:V16)</f>
        <v>#VALUE!</v>
      </c>
      <c r="AQ15" s="172"/>
      <c r="AR15" s="172"/>
      <c r="AS15" s="172"/>
      <c r="AT15" s="172" t="e" cm="1">
        <f t="array" ref="AT15">bdRateExtend($C13:$C16,H13:H16,$U13:$U16,Z13:Z16)</f>
        <v>#VALUE!</v>
      </c>
      <c r="AU15" s="172"/>
      <c r="AV15" s="172" t="e" cm="1">
        <f t="array" ref="AV15">bdRateExtend($C13:$C16,I13:I16,$U13:$U16,AA13:AA16)</f>
        <v>#VALUE!</v>
      </c>
      <c r="AW15" s="172"/>
      <c r="AX15" s="172" t="e" cm="1">
        <f t="array" ref="AX15">bdRateExtend($C13:$C16,J13:J16,$U13:$U16,AB13:AB16,"None", FALSE,1)</f>
        <v>#VALUE!</v>
      </c>
      <c r="AY15" s="175"/>
      <c r="AZ15" s="286" cm="1">
        <f t="array" ref="AZ15">testVMAFRange($C13:$C16,J13:J16,$U13:$U16,AB13:AB16)</f>
        <v>0</v>
      </c>
      <c r="BA15" s="212"/>
      <c r="EV15" s="7"/>
      <c r="EW15" s="7"/>
      <c r="EX15" s="7"/>
      <c r="EY15" s="7"/>
      <c r="EZ15" s="7"/>
      <c r="FA15" s="7"/>
      <c r="FB15" s="7"/>
      <c r="FC15" s="7"/>
    </row>
    <row r="16" spans="1:175" ht="14" thickBot="1" x14ac:dyDescent="0.2">
      <c r="A16" s="249"/>
      <c r="B16" s="38">
        <v>235</v>
      </c>
      <c r="C16" s="129">
        <f>Anchor!L229</f>
        <v>0</v>
      </c>
      <c r="D16" s="129">
        <f>Anchor!M229</f>
        <v>0</v>
      </c>
      <c r="E16" s="129">
        <f>Anchor!N229</f>
        <v>0</v>
      </c>
      <c r="F16" s="129">
        <f>Anchor!O229</f>
        <v>0</v>
      </c>
      <c r="G16" s="130">
        <f>('Summary (Full)'!$B$34*D16+'Summary (Full)'!$B$35*E16+'Summary (Full)'!$B$36*F16)/'Summary (Full)'!$B$37</f>
        <v>0</v>
      </c>
      <c r="H16" s="129">
        <f>Anchor!P229</f>
        <v>0</v>
      </c>
      <c r="I16" s="129">
        <f>Anchor!Q229</f>
        <v>0</v>
      </c>
      <c r="J16" s="129">
        <f>Anchor!R229</f>
        <v>0</v>
      </c>
      <c r="K16" s="129">
        <f>Anchor!S229</f>
        <v>0</v>
      </c>
      <c r="L16" s="129">
        <f>Anchor!T229</f>
        <v>0</v>
      </c>
      <c r="M16" s="129">
        <f>Anchor!U229</f>
        <v>0</v>
      </c>
      <c r="N16" s="129">
        <f>Anchor!V229</f>
        <v>0</v>
      </c>
      <c r="O16" s="129">
        <f>Anchor!W229</f>
        <v>0</v>
      </c>
      <c r="P16" s="129">
        <f>Anchor!X229</f>
        <v>0</v>
      </c>
      <c r="Q16" s="131">
        <f>10*LOG10(1/(('Summary (Full)'!$B$41/10^(N16/10)+'Summary (Full)'!$B$42/10^(O16/10)+'Summary (Full)'!$B$43/10^(P16/10))/'Summary (Full)'!$B$44))</f>
        <v>0</v>
      </c>
      <c r="R16" s="129">
        <f>Anchor!Y229</f>
        <v>0</v>
      </c>
      <c r="S16" s="129">
        <f>Anchor!Z229</f>
        <v>0</v>
      </c>
      <c r="U16" s="129">
        <f>Test!L229</f>
        <v>0</v>
      </c>
      <c r="V16" s="129">
        <f>Test!M229</f>
        <v>0</v>
      </c>
      <c r="W16" s="129">
        <f>Test!N229</f>
        <v>0</v>
      </c>
      <c r="X16" s="129">
        <f>Test!O229</f>
        <v>0</v>
      </c>
      <c r="Y16" s="129">
        <f>('Summary (Full)'!$B$34*V16+'Summary (Full)'!$B$35*W16+'Summary (Full)'!$B$36*X16)/'Summary (Full)'!$B$37</f>
        <v>0</v>
      </c>
      <c r="Z16" s="129">
        <f>Test!P229</f>
        <v>0</v>
      </c>
      <c r="AA16" s="129">
        <f>Test!Q229</f>
        <v>0</v>
      </c>
      <c r="AB16" s="129">
        <f>Test!R229</f>
        <v>0</v>
      </c>
      <c r="AC16" s="129">
        <f>Test!S229</f>
        <v>0</v>
      </c>
      <c r="AD16" s="129">
        <f>Test!T229</f>
        <v>0</v>
      </c>
      <c r="AE16" s="129">
        <f>Test!U229</f>
        <v>0</v>
      </c>
      <c r="AF16" s="129">
        <f>Test!V229</f>
        <v>0</v>
      </c>
      <c r="AG16" s="129">
        <f>Test!W229</f>
        <v>0</v>
      </c>
      <c r="AH16" s="129">
        <f>Test!X229</f>
        <v>0</v>
      </c>
      <c r="AI16" s="129">
        <f>10*LOG10(1/(('Summary (Full)'!$B$41/10^(AF16/10)+'Summary (Full)'!$B$42/10^(AG16/10)+'Summary (Full)'!$B$43/10^(AH16/10))/'Summary (Full)'!$B$44))</f>
        <v>0</v>
      </c>
      <c r="AJ16" s="129">
        <f>Test!Y229</f>
        <v>0</v>
      </c>
      <c r="AK16" s="129">
        <f>Test!Z229</f>
        <v>0</v>
      </c>
      <c r="AL16" s="129" t="e">
        <f t="shared" si="2"/>
        <v>#DIV/0!</v>
      </c>
      <c r="AM16" s="129" t="e">
        <f t="shared" si="2"/>
        <v>#DIV/0!</v>
      </c>
      <c r="AO16" s="263"/>
      <c r="AP16" s="173"/>
      <c r="AQ16" s="173"/>
      <c r="AR16" s="173"/>
      <c r="AS16" s="173"/>
      <c r="AT16" s="173"/>
      <c r="AU16" s="173"/>
      <c r="AV16" s="173"/>
      <c r="AW16" s="173"/>
      <c r="AX16" s="173"/>
      <c r="AY16" s="188"/>
      <c r="AZ16" s="287"/>
      <c r="BA16" s="240"/>
      <c r="EV16" s="7"/>
      <c r="EW16" s="7"/>
      <c r="EX16" s="7"/>
      <c r="EY16" s="7"/>
      <c r="EZ16" s="7"/>
      <c r="FA16" s="7"/>
      <c r="FB16" s="7"/>
      <c r="FC16" s="7"/>
    </row>
    <row r="17" spans="1:159" ht="13" customHeight="1" x14ac:dyDescent="0.15">
      <c r="A17" s="249" t="s">
        <v>8</v>
      </c>
      <c r="B17" s="38">
        <v>110</v>
      </c>
      <c r="C17" s="129">
        <f>Anchor!L230</f>
        <v>0</v>
      </c>
      <c r="D17" s="129">
        <f>Anchor!M230</f>
        <v>0</v>
      </c>
      <c r="E17" s="129">
        <f>Anchor!N230</f>
        <v>0</v>
      </c>
      <c r="F17" s="129">
        <f>Anchor!O230</f>
        <v>0</v>
      </c>
      <c r="G17" s="130">
        <f>('Summary (Full)'!$B$34*D17+'Summary (Full)'!$B$35*E17+'Summary (Full)'!$B$36*F17)/'Summary (Full)'!$B$37</f>
        <v>0</v>
      </c>
      <c r="H17" s="129">
        <f>Anchor!P230</f>
        <v>0</v>
      </c>
      <c r="I17" s="129">
        <f>Anchor!Q230</f>
        <v>0</v>
      </c>
      <c r="J17" s="129">
        <f>Anchor!R230</f>
        <v>0</v>
      </c>
      <c r="K17" s="129">
        <f>Anchor!S230</f>
        <v>0</v>
      </c>
      <c r="L17" s="129">
        <f>Anchor!T230</f>
        <v>0</v>
      </c>
      <c r="M17" s="129">
        <f>Anchor!U230</f>
        <v>0</v>
      </c>
      <c r="N17" s="129">
        <f>Anchor!V230</f>
        <v>0</v>
      </c>
      <c r="O17" s="129">
        <f>Anchor!W230</f>
        <v>0</v>
      </c>
      <c r="P17" s="129">
        <f>Anchor!X230</f>
        <v>0</v>
      </c>
      <c r="Q17" s="131">
        <f>10*LOG10(1/(('Summary (Full)'!$B$41/10^(N17/10)+'Summary (Full)'!$B$42/10^(O17/10)+'Summary (Full)'!$B$43/10^(P17/10))/'Summary (Full)'!$B$44))</f>
        <v>0</v>
      </c>
      <c r="R17" s="129">
        <f>Anchor!Y230</f>
        <v>0</v>
      </c>
      <c r="S17" s="129">
        <f>Anchor!Z230</f>
        <v>0</v>
      </c>
      <c r="U17" s="129">
        <f>Test!L230</f>
        <v>0</v>
      </c>
      <c r="V17" s="129">
        <f>Test!M230</f>
        <v>0</v>
      </c>
      <c r="W17" s="129">
        <f>Test!N230</f>
        <v>0</v>
      </c>
      <c r="X17" s="129">
        <f>Test!O230</f>
        <v>0</v>
      </c>
      <c r="Y17" s="129">
        <f>('Summary (Full)'!$B$34*V17+'Summary (Full)'!$B$35*W17+'Summary (Full)'!$B$36*X17)/'Summary (Full)'!$B$37</f>
        <v>0</v>
      </c>
      <c r="Z17" s="129">
        <f>Test!P230</f>
        <v>0</v>
      </c>
      <c r="AA17" s="129">
        <f>Test!Q230</f>
        <v>0</v>
      </c>
      <c r="AB17" s="129">
        <f>Test!R230</f>
        <v>0</v>
      </c>
      <c r="AC17" s="129">
        <f>Test!S230</f>
        <v>0</v>
      </c>
      <c r="AD17" s="129">
        <f>Test!T230</f>
        <v>0</v>
      </c>
      <c r="AE17" s="129">
        <f>Test!U230</f>
        <v>0</v>
      </c>
      <c r="AF17" s="129">
        <f>Test!V230</f>
        <v>0</v>
      </c>
      <c r="AG17" s="129">
        <f>Test!W230</f>
        <v>0</v>
      </c>
      <c r="AH17" s="129">
        <f>Test!X230</f>
        <v>0</v>
      </c>
      <c r="AI17" s="129">
        <f>10*LOG10(1/(('Summary (Full)'!$B$41/10^(AF17/10)+'Summary (Full)'!$B$42/10^(AG17/10)+'Summary (Full)'!$B$43/10^(AH17/10))/'Summary (Full)'!$B$44))</f>
        <v>0</v>
      </c>
      <c r="AJ17" s="129">
        <f>Test!Y230</f>
        <v>0</v>
      </c>
      <c r="AK17" s="129">
        <f>Test!Z230</f>
        <v>0</v>
      </c>
      <c r="AL17" s="129" t="e">
        <f t="shared" si="2"/>
        <v>#DIV/0!</v>
      </c>
      <c r="AM17" s="129" t="e">
        <f t="shared" si="2"/>
        <v>#DIV/0!</v>
      </c>
      <c r="AO17" s="253" t="s">
        <v>27</v>
      </c>
      <c r="AP17" s="171" t="e" cm="1">
        <f t="array" ref="AP17">bdRateExtend($C17:$C20,D17:D20,$U17:$U20,V17:V20)</f>
        <v>#VALUE!</v>
      </c>
      <c r="AQ17" s="171" t="e" cm="1">
        <f t="array" ref="AQ17">bdRateExtend($C17:$C22,D17:D22,$U17:$U22,V17:V22)</f>
        <v>#VALUE!</v>
      </c>
      <c r="AR17" s="171" t="e" cm="1">
        <f t="array" ref="AR17">bdRateExtend($C17:$C22,E17:E22,$U17:$U22,W17:W22)</f>
        <v>#VALUE!</v>
      </c>
      <c r="AS17" s="171" t="e" cm="1">
        <f t="array" ref="AS17">bdRateExtend($C17:$C22,F17:F22,$U17:$U22,X17:X22)</f>
        <v>#VALUE!</v>
      </c>
      <c r="AT17" s="171" t="e" cm="1">
        <f t="array" ref="AT17">bdRateExtend($C17:$C20,H17:H20,$U17:$U20,Z17:Z20)</f>
        <v>#VALUE!</v>
      </c>
      <c r="AU17" s="171" t="e" cm="1">
        <f t="array" ref="AU17">bdRateExtend($C17:$C22,H17:H22,$U17:$U22,Z17:Z22)</f>
        <v>#VALUE!</v>
      </c>
      <c r="AV17" s="171" t="e" cm="1">
        <f t="array" ref="AV17">bdRateExtend($C17:$C20,I17:I20,$U17:$U20,AA17:AA20)</f>
        <v>#VALUE!</v>
      </c>
      <c r="AW17" s="171" t="e" cm="1">
        <f t="array" ref="AW17">bdRateExtend($C17:$C22,I17:I22,$U17:$U22,AA17:AA22)</f>
        <v>#VALUE!</v>
      </c>
      <c r="AX17" s="171" t="e" cm="1">
        <f t="array" ref="AX17">bdRateExtend($C17:$C20,J17:J20,$U17:$U20,AB17:AB20,"None", FALSE,1)</f>
        <v>#VALUE!</v>
      </c>
      <c r="AY17" s="174" t="e" cm="1">
        <f t="array" ref="AY17">bdRateExtend($C17:$C22,J17:J22,$U17:$U22,AB17:AB22,"None", FALSE,TRUE)</f>
        <v>#VALUE!</v>
      </c>
      <c r="AZ17" s="285" cm="1">
        <f t="array" ref="AZ17">testVMAFRange($C17:$C20,J17:J20,$U17:$U20,AB17:AB20)</f>
        <v>0</v>
      </c>
      <c r="BA17" s="211" cm="1">
        <f t="array" ref="BA17">testVMAFRange($C17:$C22,J17:J22,$U17:$U22,AB17:AB22)</f>
        <v>0</v>
      </c>
      <c r="EV17" s="7"/>
      <c r="EW17" s="7"/>
      <c r="EX17" s="7"/>
      <c r="EY17" s="7"/>
      <c r="EZ17" s="7"/>
      <c r="FA17" s="7"/>
      <c r="FB17" s="7"/>
      <c r="FC17" s="7"/>
    </row>
    <row r="18" spans="1:159" x14ac:dyDescent="0.15">
      <c r="A18" s="249"/>
      <c r="B18" s="38">
        <v>135</v>
      </c>
      <c r="C18" s="129">
        <f>Anchor!L231</f>
        <v>0</v>
      </c>
      <c r="D18" s="129">
        <f>Anchor!M231</f>
        <v>0</v>
      </c>
      <c r="E18" s="129">
        <f>Anchor!N231</f>
        <v>0</v>
      </c>
      <c r="F18" s="129">
        <f>Anchor!O231</f>
        <v>0</v>
      </c>
      <c r="G18" s="130">
        <f>('Summary (Full)'!$B$34*D18+'Summary (Full)'!$B$35*E18+'Summary (Full)'!$B$36*F18)/'Summary (Full)'!$B$37</f>
        <v>0</v>
      </c>
      <c r="H18" s="129">
        <f>Anchor!P231</f>
        <v>0</v>
      </c>
      <c r="I18" s="129">
        <f>Anchor!Q231</f>
        <v>0</v>
      </c>
      <c r="J18" s="129">
        <f>Anchor!R231</f>
        <v>0</v>
      </c>
      <c r="K18" s="129">
        <f>Anchor!S231</f>
        <v>0</v>
      </c>
      <c r="L18" s="129">
        <f>Anchor!T231</f>
        <v>0</v>
      </c>
      <c r="M18" s="129">
        <f>Anchor!U231</f>
        <v>0</v>
      </c>
      <c r="N18" s="129">
        <f>Anchor!V231</f>
        <v>0</v>
      </c>
      <c r="O18" s="129">
        <f>Anchor!W231</f>
        <v>0</v>
      </c>
      <c r="P18" s="129">
        <f>Anchor!X231</f>
        <v>0</v>
      </c>
      <c r="Q18" s="131">
        <f>10*LOG10(1/(('Summary (Full)'!$B$41/10^(N18/10)+'Summary (Full)'!$B$42/10^(O18/10)+'Summary (Full)'!$B$43/10^(P18/10))/'Summary (Full)'!$B$44))</f>
        <v>0</v>
      </c>
      <c r="R18" s="129">
        <f>Anchor!Y231</f>
        <v>0</v>
      </c>
      <c r="S18" s="129">
        <f>Anchor!Z231</f>
        <v>0</v>
      </c>
      <c r="U18" s="129">
        <f>Test!L231</f>
        <v>0</v>
      </c>
      <c r="V18" s="129">
        <f>Test!M231</f>
        <v>0</v>
      </c>
      <c r="W18" s="129">
        <f>Test!N231</f>
        <v>0</v>
      </c>
      <c r="X18" s="129">
        <f>Test!O231</f>
        <v>0</v>
      </c>
      <c r="Y18" s="129">
        <f>('Summary (Full)'!$B$34*V18+'Summary (Full)'!$B$35*W18+'Summary (Full)'!$B$36*X18)/'Summary (Full)'!$B$37</f>
        <v>0</v>
      </c>
      <c r="Z18" s="129">
        <f>Test!P231</f>
        <v>0</v>
      </c>
      <c r="AA18" s="129">
        <f>Test!Q231</f>
        <v>0</v>
      </c>
      <c r="AB18" s="129">
        <f>Test!R231</f>
        <v>0</v>
      </c>
      <c r="AC18" s="129">
        <f>Test!S231</f>
        <v>0</v>
      </c>
      <c r="AD18" s="129">
        <f>Test!T231</f>
        <v>0</v>
      </c>
      <c r="AE18" s="129">
        <f>Test!U231</f>
        <v>0</v>
      </c>
      <c r="AF18" s="129">
        <f>Test!V231</f>
        <v>0</v>
      </c>
      <c r="AG18" s="129">
        <f>Test!W231</f>
        <v>0</v>
      </c>
      <c r="AH18" s="129">
        <f>Test!X231</f>
        <v>0</v>
      </c>
      <c r="AI18" s="129">
        <f>10*LOG10(1/(('Summary (Full)'!$B$41/10^(AF18/10)+'Summary (Full)'!$B$42/10^(AG18/10)+'Summary (Full)'!$B$43/10^(AH18/10))/'Summary (Full)'!$B$44))</f>
        <v>0</v>
      </c>
      <c r="AJ18" s="129">
        <f>Test!Y231</f>
        <v>0</v>
      </c>
      <c r="AK18" s="129">
        <f>Test!Z231</f>
        <v>0</v>
      </c>
      <c r="AL18" s="129" t="e">
        <f t="shared" si="2"/>
        <v>#DIV/0!</v>
      </c>
      <c r="AM18" s="129" t="e">
        <f t="shared" si="2"/>
        <v>#DIV/0!</v>
      </c>
      <c r="AO18" s="254"/>
      <c r="AP18" s="172"/>
      <c r="AQ18" s="172"/>
      <c r="AR18" s="172"/>
      <c r="AS18" s="172"/>
      <c r="AT18" s="172"/>
      <c r="AU18" s="172"/>
      <c r="AV18" s="172"/>
      <c r="AW18" s="172"/>
      <c r="AX18" s="172"/>
      <c r="AY18" s="175"/>
      <c r="AZ18" s="286"/>
      <c r="BA18" s="212"/>
      <c r="EV18" s="7"/>
      <c r="EW18" s="7"/>
      <c r="EX18" s="7"/>
      <c r="EY18" s="7"/>
      <c r="EZ18" s="7"/>
      <c r="FA18" s="7"/>
      <c r="FB18" s="7"/>
      <c r="FC18" s="7"/>
    </row>
    <row r="19" spans="1:159" ht="13" customHeight="1" x14ac:dyDescent="0.15">
      <c r="A19" s="249"/>
      <c r="B19" s="38">
        <v>160</v>
      </c>
      <c r="C19" s="129">
        <f>Anchor!L232</f>
        <v>0</v>
      </c>
      <c r="D19" s="129">
        <f>Anchor!M232</f>
        <v>0</v>
      </c>
      <c r="E19" s="129">
        <f>Anchor!N232</f>
        <v>0</v>
      </c>
      <c r="F19" s="129">
        <f>Anchor!O232</f>
        <v>0</v>
      </c>
      <c r="G19" s="130">
        <f>('Summary (Full)'!$B$34*D19+'Summary (Full)'!$B$35*E19+'Summary (Full)'!$B$36*F19)/'Summary (Full)'!$B$37</f>
        <v>0</v>
      </c>
      <c r="H19" s="129">
        <f>Anchor!P232</f>
        <v>0</v>
      </c>
      <c r="I19" s="129">
        <f>Anchor!Q232</f>
        <v>0</v>
      </c>
      <c r="J19" s="129">
        <f>Anchor!R232</f>
        <v>0</v>
      </c>
      <c r="K19" s="129">
        <f>Anchor!S232</f>
        <v>0</v>
      </c>
      <c r="L19" s="129">
        <f>Anchor!T232</f>
        <v>0</v>
      </c>
      <c r="M19" s="129">
        <f>Anchor!U232</f>
        <v>0</v>
      </c>
      <c r="N19" s="129">
        <f>Anchor!V232</f>
        <v>0</v>
      </c>
      <c r="O19" s="129">
        <f>Anchor!W232</f>
        <v>0</v>
      </c>
      <c r="P19" s="129">
        <f>Anchor!X232</f>
        <v>0</v>
      </c>
      <c r="Q19" s="131">
        <f>10*LOG10(1/(('Summary (Full)'!$B$41/10^(N19/10)+'Summary (Full)'!$B$42/10^(O19/10)+'Summary (Full)'!$B$43/10^(P19/10))/'Summary (Full)'!$B$44))</f>
        <v>0</v>
      </c>
      <c r="R19" s="129">
        <f>Anchor!Y232</f>
        <v>0</v>
      </c>
      <c r="S19" s="129">
        <f>Anchor!Z232</f>
        <v>0</v>
      </c>
      <c r="U19" s="129">
        <f>Test!L232</f>
        <v>0</v>
      </c>
      <c r="V19" s="129">
        <f>Test!M232</f>
        <v>0</v>
      </c>
      <c r="W19" s="129">
        <f>Test!N232</f>
        <v>0</v>
      </c>
      <c r="X19" s="129">
        <f>Test!O232</f>
        <v>0</v>
      </c>
      <c r="Y19" s="129">
        <f>('Summary (Full)'!$B$34*V19+'Summary (Full)'!$B$35*W19+'Summary (Full)'!$B$36*X19)/'Summary (Full)'!$B$37</f>
        <v>0</v>
      </c>
      <c r="Z19" s="129">
        <f>Test!P232</f>
        <v>0</v>
      </c>
      <c r="AA19" s="129">
        <f>Test!Q232</f>
        <v>0</v>
      </c>
      <c r="AB19" s="129">
        <f>Test!R232</f>
        <v>0</v>
      </c>
      <c r="AC19" s="129">
        <f>Test!S232</f>
        <v>0</v>
      </c>
      <c r="AD19" s="129">
        <f>Test!T232</f>
        <v>0</v>
      </c>
      <c r="AE19" s="129">
        <f>Test!U232</f>
        <v>0</v>
      </c>
      <c r="AF19" s="129">
        <f>Test!V232</f>
        <v>0</v>
      </c>
      <c r="AG19" s="129">
        <f>Test!W232</f>
        <v>0</v>
      </c>
      <c r="AH19" s="129">
        <f>Test!X232</f>
        <v>0</v>
      </c>
      <c r="AI19" s="129">
        <f>10*LOG10(1/(('Summary (Full)'!$B$41/10^(AF19/10)+'Summary (Full)'!$B$42/10^(AG19/10)+'Summary (Full)'!$B$43/10^(AH19/10))/'Summary (Full)'!$B$44))</f>
        <v>0</v>
      </c>
      <c r="AJ19" s="129">
        <f>Test!Y232</f>
        <v>0</v>
      </c>
      <c r="AK19" s="129">
        <f>Test!Z232</f>
        <v>0</v>
      </c>
      <c r="AL19" s="129" t="e">
        <f t="shared" si="2"/>
        <v>#DIV/0!</v>
      </c>
      <c r="AM19" s="129" t="e">
        <f t="shared" si="2"/>
        <v>#DIV/0!</v>
      </c>
      <c r="AO19" s="254" t="s">
        <v>28</v>
      </c>
      <c r="AP19" s="172" t="e" cm="1">
        <f t="array" ref="AP19">bdRateExtend($C18:$C21,D18:D21,$U18:$U21,V18:V21)</f>
        <v>#VALUE!</v>
      </c>
      <c r="AQ19" s="172"/>
      <c r="AR19" s="172"/>
      <c r="AS19" s="172"/>
      <c r="AT19" s="172" t="e" cm="1">
        <f t="array" ref="AT19">bdRateExtend($C18:$C21,H18:H21,$U18:$U21,Z18:Z21)</f>
        <v>#VALUE!</v>
      </c>
      <c r="AU19" s="172"/>
      <c r="AV19" s="172" t="e" cm="1">
        <f t="array" ref="AV19">bdRateExtend($C18:$C21,I18:I21,$U18:$U21,AA18:AA21)</f>
        <v>#VALUE!</v>
      </c>
      <c r="AW19" s="172"/>
      <c r="AX19" s="172" t="e" cm="1">
        <f t="array" ref="AX19">bdRateExtend($C18:$C21,J18:J21,$U18:$U21,AB18:AB21,"None", FALSE,1)</f>
        <v>#VALUE!</v>
      </c>
      <c r="AY19" s="175"/>
      <c r="AZ19" s="286" cm="1">
        <f t="array" ref="AZ19">testVMAFRange($C18:$C21,J18:J21,$U18:$U21,AB18:AB21)</f>
        <v>0</v>
      </c>
      <c r="BA19" s="212"/>
      <c r="EV19" s="7"/>
      <c r="EW19" s="7"/>
      <c r="EX19" s="7"/>
      <c r="EY19" s="7"/>
      <c r="EZ19" s="7"/>
      <c r="FA19" s="7"/>
      <c r="FB19" s="7"/>
      <c r="FC19" s="7"/>
    </row>
    <row r="20" spans="1:159" x14ac:dyDescent="0.15">
      <c r="A20" s="249"/>
      <c r="B20" s="38">
        <v>185</v>
      </c>
      <c r="C20" s="129">
        <f>Anchor!L233</f>
        <v>0</v>
      </c>
      <c r="D20" s="129">
        <f>Anchor!M233</f>
        <v>0</v>
      </c>
      <c r="E20" s="129">
        <f>Anchor!N233</f>
        <v>0</v>
      </c>
      <c r="F20" s="129">
        <f>Anchor!O233</f>
        <v>0</v>
      </c>
      <c r="G20" s="130">
        <f>('Summary (Full)'!$B$34*D20+'Summary (Full)'!$B$35*E20+'Summary (Full)'!$B$36*F20)/'Summary (Full)'!$B$37</f>
        <v>0</v>
      </c>
      <c r="H20" s="129">
        <f>Anchor!P233</f>
        <v>0</v>
      </c>
      <c r="I20" s="129">
        <f>Anchor!Q233</f>
        <v>0</v>
      </c>
      <c r="J20" s="129">
        <f>Anchor!R233</f>
        <v>0</v>
      </c>
      <c r="K20" s="129">
        <f>Anchor!S233</f>
        <v>0</v>
      </c>
      <c r="L20" s="129">
        <f>Anchor!T233</f>
        <v>0</v>
      </c>
      <c r="M20" s="129">
        <f>Anchor!U233</f>
        <v>0</v>
      </c>
      <c r="N20" s="129">
        <f>Anchor!V233</f>
        <v>0</v>
      </c>
      <c r="O20" s="129">
        <f>Anchor!W233</f>
        <v>0</v>
      </c>
      <c r="P20" s="129">
        <f>Anchor!X233</f>
        <v>0</v>
      </c>
      <c r="Q20" s="131">
        <f>10*LOG10(1/(('Summary (Full)'!$B$41/10^(N20/10)+'Summary (Full)'!$B$42/10^(O20/10)+'Summary (Full)'!$B$43/10^(P20/10))/'Summary (Full)'!$B$44))</f>
        <v>0</v>
      </c>
      <c r="R20" s="129">
        <f>Anchor!Y233</f>
        <v>0</v>
      </c>
      <c r="S20" s="129">
        <f>Anchor!Z233</f>
        <v>0</v>
      </c>
      <c r="U20" s="129">
        <f>Test!L233</f>
        <v>0</v>
      </c>
      <c r="V20" s="129">
        <f>Test!M233</f>
        <v>0</v>
      </c>
      <c r="W20" s="129">
        <f>Test!N233</f>
        <v>0</v>
      </c>
      <c r="X20" s="129">
        <f>Test!O233</f>
        <v>0</v>
      </c>
      <c r="Y20" s="129">
        <f>('Summary (Full)'!$B$34*V20+'Summary (Full)'!$B$35*W20+'Summary (Full)'!$B$36*X20)/'Summary (Full)'!$B$37</f>
        <v>0</v>
      </c>
      <c r="Z20" s="129">
        <f>Test!P233</f>
        <v>0</v>
      </c>
      <c r="AA20" s="129">
        <f>Test!Q233</f>
        <v>0</v>
      </c>
      <c r="AB20" s="129">
        <f>Test!R233</f>
        <v>0</v>
      </c>
      <c r="AC20" s="129">
        <f>Test!S233</f>
        <v>0</v>
      </c>
      <c r="AD20" s="129">
        <f>Test!T233</f>
        <v>0</v>
      </c>
      <c r="AE20" s="129">
        <f>Test!U233</f>
        <v>0</v>
      </c>
      <c r="AF20" s="129">
        <f>Test!V233</f>
        <v>0</v>
      </c>
      <c r="AG20" s="129">
        <f>Test!W233</f>
        <v>0</v>
      </c>
      <c r="AH20" s="129">
        <f>Test!X233</f>
        <v>0</v>
      </c>
      <c r="AI20" s="129">
        <f>10*LOG10(1/(('Summary (Full)'!$B$41/10^(AF20/10)+'Summary (Full)'!$B$42/10^(AG20/10)+'Summary (Full)'!$B$43/10^(AH20/10))/'Summary (Full)'!$B$44))</f>
        <v>0</v>
      </c>
      <c r="AJ20" s="129">
        <f>Test!Y233</f>
        <v>0</v>
      </c>
      <c r="AK20" s="129">
        <f>Test!Z233</f>
        <v>0</v>
      </c>
      <c r="AL20" s="129" t="e">
        <f t="shared" si="2"/>
        <v>#DIV/0!</v>
      </c>
      <c r="AM20" s="129" t="e">
        <f t="shared" si="2"/>
        <v>#DIV/0!</v>
      </c>
      <c r="AO20" s="254"/>
      <c r="AP20" s="172"/>
      <c r="AQ20" s="172"/>
      <c r="AR20" s="172"/>
      <c r="AS20" s="172"/>
      <c r="AT20" s="172"/>
      <c r="AU20" s="172"/>
      <c r="AV20" s="172"/>
      <c r="AW20" s="172"/>
      <c r="AX20" s="172"/>
      <c r="AY20" s="175"/>
      <c r="AZ20" s="286"/>
      <c r="BA20" s="212"/>
      <c r="EV20" s="7"/>
      <c r="EW20" s="7"/>
      <c r="EX20" s="7"/>
      <c r="EY20" s="7"/>
      <c r="EZ20" s="7"/>
      <c r="FA20" s="7"/>
      <c r="FB20" s="7"/>
      <c r="FC20" s="7"/>
    </row>
    <row r="21" spans="1:159" ht="13" customHeight="1" x14ac:dyDescent="0.15">
      <c r="A21" s="249"/>
      <c r="B21" s="38">
        <v>210</v>
      </c>
      <c r="C21" s="129">
        <f>Anchor!L234</f>
        <v>0</v>
      </c>
      <c r="D21" s="129">
        <f>Anchor!M234</f>
        <v>0</v>
      </c>
      <c r="E21" s="129">
        <f>Anchor!N234</f>
        <v>0</v>
      </c>
      <c r="F21" s="129">
        <f>Anchor!O234</f>
        <v>0</v>
      </c>
      <c r="G21" s="130">
        <f>('Summary (Full)'!$B$34*D21+'Summary (Full)'!$B$35*E21+'Summary (Full)'!$B$36*F21)/'Summary (Full)'!$B$37</f>
        <v>0</v>
      </c>
      <c r="H21" s="129">
        <f>Anchor!P234</f>
        <v>0</v>
      </c>
      <c r="I21" s="129">
        <f>Anchor!Q234</f>
        <v>0</v>
      </c>
      <c r="J21" s="129">
        <f>Anchor!R234</f>
        <v>0</v>
      </c>
      <c r="K21" s="129">
        <f>Anchor!S234</f>
        <v>0</v>
      </c>
      <c r="L21" s="129">
        <f>Anchor!T234</f>
        <v>0</v>
      </c>
      <c r="M21" s="129">
        <f>Anchor!U234</f>
        <v>0</v>
      </c>
      <c r="N21" s="129">
        <f>Anchor!V234</f>
        <v>0</v>
      </c>
      <c r="O21" s="129">
        <f>Anchor!W234</f>
        <v>0</v>
      </c>
      <c r="P21" s="129">
        <f>Anchor!X234</f>
        <v>0</v>
      </c>
      <c r="Q21" s="131">
        <f>10*LOG10(1/(('Summary (Full)'!$B$41/10^(N21/10)+'Summary (Full)'!$B$42/10^(O21/10)+'Summary (Full)'!$B$43/10^(P21/10))/'Summary (Full)'!$B$44))</f>
        <v>0</v>
      </c>
      <c r="R21" s="129">
        <f>Anchor!Y234</f>
        <v>0</v>
      </c>
      <c r="S21" s="129">
        <f>Anchor!Z234</f>
        <v>0</v>
      </c>
      <c r="U21" s="129">
        <f>Test!L234</f>
        <v>0</v>
      </c>
      <c r="V21" s="129">
        <f>Test!M234</f>
        <v>0</v>
      </c>
      <c r="W21" s="129">
        <f>Test!N234</f>
        <v>0</v>
      </c>
      <c r="X21" s="129">
        <f>Test!O234</f>
        <v>0</v>
      </c>
      <c r="Y21" s="129">
        <f>('Summary (Full)'!$B$34*V21+'Summary (Full)'!$B$35*W21+'Summary (Full)'!$B$36*X21)/'Summary (Full)'!$B$37</f>
        <v>0</v>
      </c>
      <c r="Z21" s="129">
        <f>Test!P234</f>
        <v>0</v>
      </c>
      <c r="AA21" s="129">
        <f>Test!Q234</f>
        <v>0</v>
      </c>
      <c r="AB21" s="129">
        <f>Test!R234</f>
        <v>0</v>
      </c>
      <c r="AC21" s="129">
        <f>Test!S234</f>
        <v>0</v>
      </c>
      <c r="AD21" s="129">
        <f>Test!T234</f>
        <v>0</v>
      </c>
      <c r="AE21" s="129">
        <f>Test!U234</f>
        <v>0</v>
      </c>
      <c r="AF21" s="129">
        <f>Test!V234</f>
        <v>0</v>
      </c>
      <c r="AG21" s="129">
        <f>Test!W234</f>
        <v>0</v>
      </c>
      <c r="AH21" s="129">
        <f>Test!X234</f>
        <v>0</v>
      </c>
      <c r="AI21" s="129">
        <f>10*LOG10(1/(('Summary (Full)'!$B$41/10^(AF21/10)+'Summary (Full)'!$B$42/10^(AG21/10)+'Summary (Full)'!$B$43/10^(AH21/10))/'Summary (Full)'!$B$44))</f>
        <v>0</v>
      </c>
      <c r="AJ21" s="129">
        <f>Test!Y234</f>
        <v>0</v>
      </c>
      <c r="AK21" s="129">
        <f>Test!Z234</f>
        <v>0</v>
      </c>
      <c r="AL21" s="129" t="e">
        <f t="shared" si="2"/>
        <v>#DIV/0!</v>
      </c>
      <c r="AM21" s="129" t="e">
        <f t="shared" si="2"/>
        <v>#DIV/0!</v>
      </c>
      <c r="AO21" s="254" t="s">
        <v>29</v>
      </c>
      <c r="AP21" s="172" t="e" cm="1">
        <f t="array" ref="AP21">bdRateExtend($C19:$C22,D19:D22,$U19:$U22,V19:V22)</f>
        <v>#VALUE!</v>
      </c>
      <c r="AQ21" s="172"/>
      <c r="AR21" s="172"/>
      <c r="AS21" s="172"/>
      <c r="AT21" s="172" t="e" cm="1">
        <f t="array" ref="AT21">bdRateExtend($C19:$C22,H19:H22,$U19:$U22,Z19:Z22)</f>
        <v>#VALUE!</v>
      </c>
      <c r="AU21" s="172"/>
      <c r="AV21" s="172" t="e" cm="1">
        <f t="array" ref="AV21">bdRateExtend($C19:$C22,I19:I22,$U19:$U22,AA19:AA22)</f>
        <v>#VALUE!</v>
      </c>
      <c r="AW21" s="172"/>
      <c r="AX21" s="172" t="e" cm="1">
        <f t="array" ref="AX21">bdRateExtend($C19:$C22,J19:J22,$U19:$U22,AB19:AB22,"None", FALSE,1)</f>
        <v>#VALUE!</v>
      </c>
      <c r="AY21" s="175"/>
      <c r="AZ21" s="286" cm="1">
        <f t="array" ref="AZ21">testVMAFRange($C19:$C22,J19:J22,$U19:$U22,AB19:AB22)</f>
        <v>0</v>
      </c>
      <c r="BA21" s="212"/>
      <c r="EV21" s="7"/>
      <c r="EW21" s="7"/>
      <c r="EX21" s="7"/>
      <c r="EY21" s="7"/>
      <c r="EZ21" s="7"/>
      <c r="FA21" s="7"/>
      <c r="FB21" s="7"/>
      <c r="FC21" s="7"/>
    </row>
    <row r="22" spans="1:159" ht="14" thickBot="1" x14ac:dyDescent="0.2">
      <c r="A22" s="249"/>
      <c r="B22" s="38">
        <v>235</v>
      </c>
      <c r="C22" s="129">
        <f>Anchor!L235</f>
        <v>0</v>
      </c>
      <c r="D22" s="129">
        <f>Anchor!M235</f>
        <v>0</v>
      </c>
      <c r="E22" s="129">
        <f>Anchor!N235</f>
        <v>0</v>
      </c>
      <c r="F22" s="129">
        <f>Anchor!O235</f>
        <v>0</v>
      </c>
      <c r="G22" s="130">
        <f>('Summary (Full)'!$B$34*D22+'Summary (Full)'!$B$35*E22+'Summary (Full)'!$B$36*F22)/'Summary (Full)'!$B$37</f>
        <v>0</v>
      </c>
      <c r="H22" s="129">
        <f>Anchor!P235</f>
        <v>0</v>
      </c>
      <c r="I22" s="129">
        <f>Anchor!Q235</f>
        <v>0</v>
      </c>
      <c r="J22" s="129">
        <f>Anchor!R235</f>
        <v>0</v>
      </c>
      <c r="K22" s="129">
        <f>Anchor!S235</f>
        <v>0</v>
      </c>
      <c r="L22" s="129">
        <f>Anchor!T235</f>
        <v>0</v>
      </c>
      <c r="M22" s="129">
        <f>Anchor!U235</f>
        <v>0</v>
      </c>
      <c r="N22" s="129">
        <f>Anchor!V235</f>
        <v>0</v>
      </c>
      <c r="O22" s="129">
        <f>Anchor!W235</f>
        <v>0</v>
      </c>
      <c r="P22" s="129">
        <f>Anchor!X235</f>
        <v>0</v>
      </c>
      <c r="Q22" s="131">
        <f>10*LOG10(1/(('Summary (Full)'!$B$41/10^(N22/10)+'Summary (Full)'!$B$42/10^(O22/10)+'Summary (Full)'!$B$43/10^(P22/10))/'Summary (Full)'!$B$44))</f>
        <v>0</v>
      </c>
      <c r="R22" s="129">
        <f>Anchor!Y235</f>
        <v>0</v>
      </c>
      <c r="S22" s="129">
        <f>Anchor!Z235</f>
        <v>0</v>
      </c>
      <c r="U22" s="129">
        <f>Test!L235</f>
        <v>0</v>
      </c>
      <c r="V22" s="129">
        <f>Test!M235</f>
        <v>0</v>
      </c>
      <c r="W22" s="129">
        <f>Test!N235</f>
        <v>0</v>
      </c>
      <c r="X22" s="129">
        <f>Test!O235</f>
        <v>0</v>
      </c>
      <c r="Y22" s="129">
        <f>('Summary (Full)'!$B$34*V22+'Summary (Full)'!$B$35*W22+'Summary (Full)'!$B$36*X22)/'Summary (Full)'!$B$37</f>
        <v>0</v>
      </c>
      <c r="Z22" s="129">
        <f>Test!P235</f>
        <v>0</v>
      </c>
      <c r="AA22" s="129">
        <f>Test!Q235</f>
        <v>0</v>
      </c>
      <c r="AB22" s="129">
        <f>Test!R235</f>
        <v>0</v>
      </c>
      <c r="AC22" s="129">
        <f>Test!S235</f>
        <v>0</v>
      </c>
      <c r="AD22" s="129">
        <f>Test!T235</f>
        <v>0</v>
      </c>
      <c r="AE22" s="129">
        <f>Test!U235</f>
        <v>0</v>
      </c>
      <c r="AF22" s="129">
        <f>Test!V235</f>
        <v>0</v>
      </c>
      <c r="AG22" s="129">
        <f>Test!W235</f>
        <v>0</v>
      </c>
      <c r="AH22" s="129">
        <f>Test!X235</f>
        <v>0</v>
      </c>
      <c r="AI22" s="129">
        <f>10*LOG10(1/(('Summary (Full)'!$B$41/10^(AF22/10)+'Summary (Full)'!$B$42/10^(AG22/10)+'Summary (Full)'!$B$43/10^(AH22/10))/'Summary (Full)'!$B$44))</f>
        <v>0</v>
      </c>
      <c r="AJ22" s="129">
        <f>Test!Y235</f>
        <v>0</v>
      </c>
      <c r="AK22" s="129">
        <f>Test!Z235</f>
        <v>0</v>
      </c>
      <c r="AL22" s="129" t="e">
        <f t="shared" si="2"/>
        <v>#DIV/0!</v>
      </c>
      <c r="AM22" s="129" t="e">
        <f t="shared" si="2"/>
        <v>#DIV/0!</v>
      </c>
      <c r="AO22" s="263"/>
      <c r="AP22" s="173"/>
      <c r="AQ22" s="173"/>
      <c r="AR22" s="173"/>
      <c r="AS22" s="173"/>
      <c r="AT22" s="173"/>
      <c r="AU22" s="173"/>
      <c r="AV22" s="173"/>
      <c r="AW22" s="173"/>
      <c r="AX22" s="173"/>
      <c r="AY22" s="188"/>
      <c r="AZ22" s="287"/>
      <c r="BA22" s="240"/>
      <c r="EV22" s="7"/>
      <c r="EW22" s="7"/>
      <c r="EX22" s="7"/>
      <c r="EY22" s="7"/>
      <c r="EZ22" s="7"/>
      <c r="FA22" s="7"/>
      <c r="FB22" s="7"/>
      <c r="FC22" s="7"/>
    </row>
    <row r="23" spans="1:159" ht="13" customHeight="1" x14ac:dyDescent="0.15">
      <c r="A23" s="250" t="s">
        <v>19</v>
      </c>
      <c r="B23" s="38">
        <v>110</v>
      </c>
      <c r="C23" s="129">
        <f>Anchor!L236</f>
        <v>0</v>
      </c>
      <c r="D23" s="129">
        <f>Anchor!M236</f>
        <v>0</v>
      </c>
      <c r="E23" s="129">
        <f>Anchor!N236</f>
        <v>0</v>
      </c>
      <c r="F23" s="129">
        <f>Anchor!O236</f>
        <v>0</v>
      </c>
      <c r="G23" s="130">
        <f>('Summary (Full)'!$B$34*D23+'Summary (Full)'!$B$35*E23+'Summary (Full)'!$B$36*F23)/'Summary (Full)'!$B$37</f>
        <v>0</v>
      </c>
      <c r="H23" s="129">
        <f>Anchor!P236</f>
        <v>0</v>
      </c>
      <c r="I23" s="129">
        <f>Anchor!Q236</f>
        <v>0</v>
      </c>
      <c r="J23" s="129">
        <f>Anchor!R236</f>
        <v>0</v>
      </c>
      <c r="K23" s="129">
        <f>Anchor!S236</f>
        <v>0</v>
      </c>
      <c r="L23" s="129">
        <f>Anchor!T236</f>
        <v>0</v>
      </c>
      <c r="M23" s="129">
        <f>Anchor!U236</f>
        <v>0</v>
      </c>
      <c r="N23" s="129">
        <f>Anchor!V236</f>
        <v>0</v>
      </c>
      <c r="O23" s="129">
        <f>Anchor!W236</f>
        <v>0</v>
      </c>
      <c r="P23" s="129">
        <f>Anchor!X236</f>
        <v>0</v>
      </c>
      <c r="Q23" s="131">
        <f>10*LOG10(1/(('Summary (Full)'!$B$41/10^(N23/10)+'Summary (Full)'!$B$42/10^(O23/10)+'Summary (Full)'!$B$43/10^(P23/10))/'Summary (Full)'!$B$44))</f>
        <v>0</v>
      </c>
      <c r="R23" s="129">
        <f>Anchor!Y236</f>
        <v>0</v>
      </c>
      <c r="S23" s="129">
        <f>Anchor!Z236</f>
        <v>0</v>
      </c>
      <c r="U23" s="129">
        <f>Test!L236</f>
        <v>0</v>
      </c>
      <c r="V23" s="129">
        <f>Test!M236</f>
        <v>0</v>
      </c>
      <c r="W23" s="129">
        <f>Test!N236</f>
        <v>0</v>
      </c>
      <c r="X23" s="129">
        <f>Test!O236</f>
        <v>0</v>
      </c>
      <c r="Y23" s="129">
        <f>('Summary (Full)'!$B$34*V23+'Summary (Full)'!$B$35*W23+'Summary (Full)'!$B$36*X23)/'Summary (Full)'!$B$37</f>
        <v>0</v>
      </c>
      <c r="Z23" s="129">
        <f>Test!P236</f>
        <v>0</v>
      </c>
      <c r="AA23" s="129">
        <f>Test!Q236</f>
        <v>0</v>
      </c>
      <c r="AB23" s="129">
        <f>Test!R236</f>
        <v>0</v>
      </c>
      <c r="AC23" s="129">
        <f>Test!S236</f>
        <v>0</v>
      </c>
      <c r="AD23" s="129">
        <f>Test!T236</f>
        <v>0</v>
      </c>
      <c r="AE23" s="129">
        <f>Test!U236</f>
        <v>0</v>
      </c>
      <c r="AF23" s="129">
        <f>Test!V236</f>
        <v>0</v>
      </c>
      <c r="AG23" s="129">
        <f>Test!W236</f>
        <v>0</v>
      </c>
      <c r="AH23" s="129">
        <f>Test!X236</f>
        <v>0</v>
      </c>
      <c r="AI23" s="129">
        <f>10*LOG10(1/(('Summary (Full)'!$B$41/10^(AF23/10)+'Summary (Full)'!$B$42/10^(AG23/10)+'Summary (Full)'!$B$43/10^(AH23/10))/'Summary (Full)'!$B$44))</f>
        <v>0</v>
      </c>
      <c r="AJ23" s="129">
        <f>Test!Y236</f>
        <v>0</v>
      </c>
      <c r="AK23" s="129">
        <f>Test!Z236</f>
        <v>0</v>
      </c>
      <c r="AL23" s="129" t="e">
        <f t="shared" si="2"/>
        <v>#DIV/0!</v>
      </c>
      <c r="AM23" s="129" t="e">
        <f t="shared" si="2"/>
        <v>#DIV/0!</v>
      </c>
      <c r="AO23" s="253" t="s">
        <v>27</v>
      </c>
      <c r="AP23" s="171" t="e" cm="1">
        <f t="array" ref="AP23">bdRateExtend($C23:$C26,D23:D26,$U23:$U26,V23:V26)</f>
        <v>#VALUE!</v>
      </c>
      <c r="AQ23" s="171" t="e" cm="1">
        <f t="array" ref="AQ23">bdRateExtend($C23:$C28,D23:D28,$U23:$U28,V23:V28)</f>
        <v>#VALUE!</v>
      </c>
      <c r="AR23" s="171" t="e" cm="1">
        <f t="array" ref="AR23">bdRateExtend($C23:$C28,E23:E28,$U23:$U28,W23:W28)</f>
        <v>#VALUE!</v>
      </c>
      <c r="AS23" s="171" t="e" cm="1">
        <f t="array" ref="AS23">bdRateExtend($C23:$C28,F23:F28,$U23:$U28,X23:X28)</f>
        <v>#VALUE!</v>
      </c>
      <c r="AT23" s="171" t="e" cm="1">
        <f t="array" ref="AT23">bdRateExtend($C23:$C26,H23:H26,$U23:$U26,Z23:Z26)</f>
        <v>#VALUE!</v>
      </c>
      <c r="AU23" s="171" t="e" cm="1">
        <f t="array" ref="AU23">bdRateExtend($C23:$C28,H23:H28,$U23:$U28,Z23:Z28)</f>
        <v>#VALUE!</v>
      </c>
      <c r="AV23" s="171" t="e" cm="1">
        <f t="array" ref="AV23">bdRateExtend($C23:$C26,I23:I26,$U23:$U26,AA23:AA26)</f>
        <v>#VALUE!</v>
      </c>
      <c r="AW23" s="171" t="e" cm="1">
        <f t="array" ref="AW23">bdRateExtend($C23:$C28,I23:I28,$U23:$U28,AA23:AA28)</f>
        <v>#VALUE!</v>
      </c>
      <c r="AX23" s="171" t="e" cm="1">
        <f t="array" ref="AX23">bdRateExtend($C23:$C26,J23:J26,$U23:$U26,AB23:AB26,"None", FALSE,1)</f>
        <v>#VALUE!</v>
      </c>
      <c r="AY23" s="174" t="e" cm="1">
        <f t="array" ref="AY23">bdRateExtend($C23:$C28,J23:J28,$U23:$U28,AB23:AB28,"None", FALSE,TRUE)</f>
        <v>#VALUE!</v>
      </c>
      <c r="AZ23" s="285" cm="1">
        <f t="array" ref="AZ23">testVMAFRange($C23:$C26,J23:J26,$U23:$U26,AB23:AB26)</f>
        <v>0</v>
      </c>
      <c r="BA23" s="211" cm="1">
        <f t="array" ref="BA23">testVMAFRange($C23:$C28,J23:J28,$U23:$U28,AB23:AB28)</f>
        <v>0</v>
      </c>
      <c r="EV23" s="7"/>
      <c r="EW23" s="7"/>
      <c r="EX23" s="7"/>
      <c r="EY23" s="7"/>
      <c r="EZ23" s="7"/>
      <c r="FA23" s="7"/>
      <c r="FB23" s="7"/>
      <c r="FC23" s="7"/>
    </row>
    <row r="24" spans="1:159" x14ac:dyDescent="0.15">
      <c r="A24" s="250"/>
      <c r="B24" s="38">
        <v>135</v>
      </c>
      <c r="C24" s="129">
        <f>Anchor!L237</f>
        <v>0</v>
      </c>
      <c r="D24" s="129">
        <f>Anchor!M237</f>
        <v>0</v>
      </c>
      <c r="E24" s="129">
        <f>Anchor!N237</f>
        <v>0</v>
      </c>
      <c r="F24" s="129">
        <f>Anchor!O237</f>
        <v>0</v>
      </c>
      <c r="G24" s="130">
        <f>('Summary (Full)'!$B$34*D24+'Summary (Full)'!$B$35*E24+'Summary (Full)'!$B$36*F24)/'Summary (Full)'!$B$37</f>
        <v>0</v>
      </c>
      <c r="H24" s="129">
        <f>Anchor!P237</f>
        <v>0</v>
      </c>
      <c r="I24" s="129">
        <f>Anchor!Q237</f>
        <v>0</v>
      </c>
      <c r="J24" s="129">
        <f>Anchor!R237</f>
        <v>0</v>
      </c>
      <c r="K24" s="129">
        <f>Anchor!S237</f>
        <v>0</v>
      </c>
      <c r="L24" s="129">
        <f>Anchor!T237</f>
        <v>0</v>
      </c>
      <c r="M24" s="129">
        <f>Anchor!U237</f>
        <v>0</v>
      </c>
      <c r="N24" s="129">
        <f>Anchor!V237</f>
        <v>0</v>
      </c>
      <c r="O24" s="129">
        <f>Anchor!W237</f>
        <v>0</v>
      </c>
      <c r="P24" s="129">
        <f>Anchor!X237</f>
        <v>0</v>
      </c>
      <c r="Q24" s="131">
        <f>10*LOG10(1/(('Summary (Full)'!$B$41/10^(N24/10)+'Summary (Full)'!$B$42/10^(O24/10)+'Summary (Full)'!$B$43/10^(P24/10))/'Summary (Full)'!$B$44))</f>
        <v>0</v>
      </c>
      <c r="R24" s="129">
        <f>Anchor!Y237</f>
        <v>0</v>
      </c>
      <c r="S24" s="129">
        <f>Anchor!Z237</f>
        <v>0</v>
      </c>
      <c r="U24" s="129">
        <f>Test!L237</f>
        <v>0</v>
      </c>
      <c r="V24" s="129">
        <f>Test!M237</f>
        <v>0</v>
      </c>
      <c r="W24" s="129">
        <f>Test!N237</f>
        <v>0</v>
      </c>
      <c r="X24" s="129">
        <f>Test!O237</f>
        <v>0</v>
      </c>
      <c r="Y24" s="129">
        <f>('Summary (Full)'!$B$34*V24+'Summary (Full)'!$B$35*W24+'Summary (Full)'!$B$36*X24)/'Summary (Full)'!$B$37</f>
        <v>0</v>
      </c>
      <c r="Z24" s="129">
        <f>Test!P237</f>
        <v>0</v>
      </c>
      <c r="AA24" s="129">
        <f>Test!Q237</f>
        <v>0</v>
      </c>
      <c r="AB24" s="129">
        <f>Test!R237</f>
        <v>0</v>
      </c>
      <c r="AC24" s="129">
        <f>Test!S237</f>
        <v>0</v>
      </c>
      <c r="AD24" s="129">
        <f>Test!T237</f>
        <v>0</v>
      </c>
      <c r="AE24" s="129">
        <f>Test!U237</f>
        <v>0</v>
      </c>
      <c r="AF24" s="129">
        <f>Test!V237</f>
        <v>0</v>
      </c>
      <c r="AG24" s="129">
        <f>Test!W237</f>
        <v>0</v>
      </c>
      <c r="AH24" s="129">
        <f>Test!X237</f>
        <v>0</v>
      </c>
      <c r="AI24" s="129">
        <f>10*LOG10(1/(('Summary (Full)'!$B$41/10^(AF24/10)+'Summary (Full)'!$B$42/10^(AG24/10)+'Summary (Full)'!$B$43/10^(AH24/10))/'Summary (Full)'!$B$44))</f>
        <v>0</v>
      </c>
      <c r="AJ24" s="129">
        <f>Test!Y237</f>
        <v>0</v>
      </c>
      <c r="AK24" s="129">
        <f>Test!Z237</f>
        <v>0</v>
      </c>
      <c r="AL24" s="129" t="e">
        <f t="shared" si="2"/>
        <v>#DIV/0!</v>
      </c>
      <c r="AM24" s="129" t="e">
        <f t="shared" si="2"/>
        <v>#DIV/0!</v>
      </c>
      <c r="AO24" s="254"/>
      <c r="AP24" s="172"/>
      <c r="AQ24" s="172"/>
      <c r="AR24" s="172"/>
      <c r="AS24" s="172"/>
      <c r="AT24" s="172"/>
      <c r="AU24" s="172"/>
      <c r="AV24" s="172"/>
      <c r="AW24" s="172"/>
      <c r="AX24" s="172"/>
      <c r="AY24" s="175"/>
      <c r="AZ24" s="286"/>
      <c r="BA24" s="212"/>
      <c r="EV24" s="7"/>
      <c r="EW24" s="7"/>
      <c r="EX24" s="7"/>
      <c r="EY24" s="7"/>
      <c r="EZ24" s="7"/>
      <c r="FA24" s="7"/>
      <c r="FB24" s="7"/>
      <c r="FC24" s="7"/>
    </row>
    <row r="25" spans="1:159" ht="13" customHeight="1" x14ac:dyDescent="0.15">
      <c r="A25" s="250"/>
      <c r="B25" s="38">
        <v>160</v>
      </c>
      <c r="C25" s="129">
        <f>Anchor!L238</f>
        <v>0</v>
      </c>
      <c r="D25" s="129">
        <f>Anchor!M238</f>
        <v>0</v>
      </c>
      <c r="E25" s="129">
        <f>Anchor!N238</f>
        <v>0</v>
      </c>
      <c r="F25" s="129">
        <f>Anchor!O238</f>
        <v>0</v>
      </c>
      <c r="G25" s="130">
        <f>('Summary (Full)'!$B$34*D25+'Summary (Full)'!$B$35*E25+'Summary (Full)'!$B$36*F25)/'Summary (Full)'!$B$37</f>
        <v>0</v>
      </c>
      <c r="H25" s="129">
        <f>Anchor!P238</f>
        <v>0</v>
      </c>
      <c r="I25" s="129">
        <f>Anchor!Q238</f>
        <v>0</v>
      </c>
      <c r="J25" s="129">
        <f>Anchor!R238</f>
        <v>0</v>
      </c>
      <c r="K25" s="129">
        <f>Anchor!S238</f>
        <v>0</v>
      </c>
      <c r="L25" s="129">
        <f>Anchor!T238</f>
        <v>0</v>
      </c>
      <c r="M25" s="129">
        <f>Anchor!U238</f>
        <v>0</v>
      </c>
      <c r="N25" s="129">
        <f>Anchor!V238</f>
        <v>0</v>
      </c>
      <c r="O25" s="129">
        <f>Anchor!W238</f>
        <v>0</v>
      </c>
      <c r="P25" s="129">
        <f>Anchor!X238</f>
        <v>0</v>
      </c>
      <c r="Q25" s="131">
        <f>10*LOG10(1/(('Summary (Full)'!$B$41/10^(N25/10)+'Summary (Full)'!$B$42/10^(O25/10)+'Summary (Full)'!$B$43/10^(P25/10))/'Summary (Full)'!$B$44))</f>
        <v>0</v>
      </c>
      <c r="R25" s="129">
        <f>Anchor!Y238</f>
        <v>0</v>
      </c>
      <c r="S25" s="129">
        <f>Anchor!Z238</f>
        <v>0</v>
      </c>
      <c r="U25" s="129">
        <f>Test!L238</f>
        <v>0</v>
      </c>
      <c r="V25" s="129">
        <f>Test!M238</f>
        <v>0</v>
      </c>
      <c r="W25" s="129">
        <f>Test!N238</f>
        <v>0</v>
      </c>
      <c r="X25" s="129">
        <f>Test!O238</f>
        <v>0</v>
      </c>
      <c r="Y25" s="129">
        <f>('Summary (Full)'!$B$34*V25+'Summary (Full)'!$B$35*W25+'Summary (Full)'!$B$36*X25)/'Summary (Full)'!$B$37</f>
        <v>0</v>
      </c>
      <c r="Z25" s="129">
        <f>Test!P238</f>
        <v>0</v>
      </c>
      <c r="AA25" s="129">
        <f>Test!Q238</f>
        <v>0</v>
      </c>
      <c r="AB25" s="129">
        <f>Test!R238</f>
        <v>0</v>
      </c>
      <c r="AC25" s="129">
        <f>Test!S238</f>
        <v>0</v>
      </c>
      <c r="AD25" s="129">
        <f>Test!T238</f>
        <v>0</v>
      </c>
      <c r="AE25" s="129">
        <f>Test!U238</f>
        <v>0</v>
      </c>
      <c r="AF25" s="129">
        <f>Test!V238</f>
        <v>0</v>
      </c>
      <c r="AG25" s="129">
        <f>Test!W238</f>
        <v>0</v>
      </c>
      <c r="AH25" s="129">
        <f>Test!X238</f>
        <v>0</v>
      </c>
      <c r="AI25" s="129">
        <f>10*LOG10(1/(('Summary (Full)'!$B$41/10^(AF25/10)+'Summary (Full)'!$B$42/10^(AG25/10)+'Summary (Full)'!$B$43/10^(AH25/10))/'Summary (Full)'!$B$44))</f>
        <v>0</v>
      </c>
      <c r="AJ25" s="129">
        <f>Test!Y238</f>
        <v>0</v>
      </c>
      <c r="AK25" s="129">
        <f>Test!Z238</f>
        <v>0</v>
      </c>
      <c r="AL25" s="129" t="e">
        <f t="shared" si="2"/>
        <v>#DIV/0!</v>
      </c>
      <c r="AM25" s="129" t="e">
        <f t="shared" si="2"/>
        <v>#DIV/0!</v>
      </c>
      <c r="AO25" s="254" t="s">
        <v>28</v>
      </c>
      <c r="AP25" s="172" t="e" cm="1">
        <f t="array" ref="AP25">bdRateExtend($C24:$C27,D24:D27,$U24:$U27,V24:V27)</f>
        <v>#VALUE!</v>
      </c>
      <c r="AQ25" s="172"/>
      <c r="AR25" s="172"/>
      <c r="AS25" s="172"/>
      <c r="AT25" s="172" t="e" cm="1">
        <f t="array" ref="AT25">bdRateExtend($C24:$C27,H24:H27,$U24:$U27,Z24:Z27)</f>
        <v>#VALUE!</v>
      </c>
      <c r="AU25" s="172"/>
      <c r="AV25" s="172" t="e" cm="1">
        <f t="array" ref="AV25">bdRateExtend($C24:$C27,I24:I27,$U24:$U27,AA24:AA27)</f>
        <v>#VALUE!</v>
      </c>
      <c r="AW25" s="172"/>
      <c r="AX25" s="172" t="e" cm="1">
        <f t="array" ref="AX25">bdRateExtend($C24:$C27,J24:J27,$U24:$U27,AB24:AB27,"None", FALSE,1)</f>
        <v>#VALUE!</v>
      </c>
      <c r="AY25" s="175"/>
      <c r="AZ25" s="286" cm="1">
        <f t="array" ref="AZ25">testVMAFRange($C24:$C27,J24:J27,$U24:$U27,AB24:AB27)</f>
        <v>0</v>
      </c>
      <c r="BA25" s="212"/>
      <c r="EV25" s="7"/>
      <c r="EW25" s="7"/>
      <c r="EX25" s="7"/>
      <c r="EY25" s="7"/>
      <c r="EZ25" s="7"/>
      <c r="FA25" s="7"/>
      <c r="FB25" s="7"/>
      <c r="FC25" s="7"/>
    </row>
    <row r="26" spans="1:159" x14ac:dyDescent="0.15">
      <c r="A26" s="250"/>
      <c r="B26" s="38">
        <v>185</v>
      </c>
      <c r="C26" s="129">
        <f>Anchor!L239</f>
        <v>0</v>
      </c>
      <c r="D26" s="129">
        <f>Anchor!M239</f>
        <v>0</v>
      </c>
      <c r="E26" s="129">
        <f>Anchor!N239</f>
        <v>0</v>
      </c>
      <c r="F26" s="129">
        <f>Anchor!O239</f>
        <v>0</v>
      </c>
      <c r="G26" s="130">
        <f>('Summary (Full)'!$B$34*D26+'Summary (Full)'!$B$35*E26+'Summary (Full)'!$B$36*F26)/'Summary (Full)'!$B$37</f>
        <v>0</v>
      </c>
      <c r="H26" s="129">
        <f>Anchor!P239</f>
        <v>0</v>
      </c>
      <c r="I26" s="129">
        <f>Anchor!Q239</f>
        <v>0</v>
      </c>
      <c r="J26" s="129">
        <f>Anchor!R239</f>
        <v>0</v>
      </c>
      <c r="K26" s="129">
        <f>Anchor!S239</f>
        <v>0</v>
      </c>
      <c r="L26" s="129">
        <f>Anchor!T239</f>
        <v>0</v>
      </c>
      <c r="M26" s="129">
        <f>Anchor!U239</f>
        <v>0</v>
      </c>
      <c r="N26" s="129">
        <f>Anchor!V239</f>
        <v>0</v>
      </c>
      <c r="O26" s="129">
        <f>Anchor!W239</f>
        <v>0</v>
      </c>
      <c r="P26" s="129">
        <f>Anchor!X239</f>
        <v>0</v>
      </c>
      <c r="Q26" s="131">
        <f>10*LOG10(1/(('Summary (Full)'!$B$41/10^(N26/10)+'Summary (Full)'!$B$42/10^(O26/10)+'Summary (Full)'!$B$43/10^(P26/10))/'Summary (Full)'!$B$44))</f>
        <v>0</v>
      </c>
      <c r="R26" s="129">
        <f>Anchor!Y239</f>
        <v>0</v>
      </c>
      <c r="S26" s="129">
        <f>Anchor!Z239</f>
        <v>0</v>
      </c>
      <c r="U26" s="129">
        <f>Test!L239</f>
        <v>0</v>
      </c>
      <c r="V26" s="129">
        <f>Test!M239</f>
        <v>0</v>
      </c>
      <c r="W26" s="129">
        <f>Test!N239</f>
        <v>0</v>
      </c>
      <c r="X26" s="129">
        <f>Test!O239</f>
        <v>0</v>
      </c>
      <c r="Y26" s="129">
        <f>('Summary (Full)'!$B$34*V26+'Summary (Full)'!$B$35*W26+'Summary (Full)'!$B$36*X26)/'Summary (Full)'!$B$37</f>
        <v>0</v>
      </c>
      <c r="Z26" s="129">
        <f>Test!P239</f>
        <v>0</v>
      </c>
      <c r="AA26" s="129">
        <f>Test!Q239</f>
        <v>0</v>
      </c>
      <c r="AB26" s="129">
        <f>Test!R239</f>
        <v>0</v>
      </c>
      <c r="AC26" s="129">
        <f>Test!S239</f>
        <v>0</v>
      </c>
      <c r="AD26" s="129">
        <f>Test!T239</f>
        <v>0</v>
      </c>
      <c r="AE26" s="129">
        <f>Test!U239</f>
        <v>0</v>
      </c>
      <c r="AF26" s="129">
        <f>Test!V239</f>
        <v>0</v>
      </c>
      <c r="AG26" s="129">
        <f>Test!W239</f>
        <v>0</v>
      </c>
      <c r="AH26" s="129">
        <f>Test!X239</f>
        <v>0</v>
      </c>
      <c r="AI26" s="129">
        <f>10*LOG10(1/(('Summary (Full)'!$B$41/10^(AF26/10)+'Summary (Full)'!$B$42/10^(AG26/10)+'Summary (Full)'!$B$43/10^(AH26/10))/'Summary (Full)'!$B$44))</f>
        <v>0</v>
      </c>
      <c r="AJ26" s="129">
        <f>Test!Y239</f>
        <v>0</v>
      </c>
      <c r="AK26" s="129">
        <f>Test!Z239</f>
        <v>0</v>
      </c>
      <c r="AL26" s="129" t="e">
        <f t="shared" si="2"/>
        <v>#DIV/0!</v>
      </c>
      <c r="AM26" s="129" t="e">
        <f t="shared" si="2"/>
        <v>#DIV/0!</v>
      </c>
      <c r="AO26" s="254"/>
      <c r="AP26" s="172"/>
      <c r="AQ26" s="172"/>
      <c r="AR26" s="172"/>
      <c r="AS26" s="172"/>
      <c r="AT26" s="172"/>
      <c r="AU26" s="172"/>
      <c r="AV26" s="172"/>
      <c r="AW26" s="172"/>
      <c r="AX26" s="172"/>
      <c r="AY26" s="175"/>
      <c r="AZ26" s="286"/>
      <c r="BA26" s="212"/>
      <c r="EV26" s="7"/>
      <c r="EW26" s="7"/>
      <c r="EX26" s="7"/>
      <c r="EY26" s="7"/>
      <c r="EZ26" s="7"/>
      <c r="FA26" s="7"/>
      <c r="FB26" s="7"/>
      <c r="FC26" s="7"/>
    </row>
    <row r="27" spans="1:159" ht="13" customHeight="1" x14ac:dyDescent="0.15">
      <c r="A27" s="250"/>
      <c r="B27" s="38">
        <v>210</v>
      </c>
      <c r="C27" s="129">
        <f>Anchor!L240</f>
        <v>0</v>
      </c>
      <c r="D27" s="129">
        <f>Anchor!M240</f>
        <v>0</v>
      </c>
      <c r="E27" s="129">
        <f>Anchor!N240</f>
        <v>0</v>
      </c>
      <c r="F27" s="129">
        <f>Anchor!O240</f>
        <v>0</v>
      </c>
      <c r="G27" s="130">
        <f>('Summary (Full)'!$B$34*D27+'Summary (Full)'!$B$35*E27+'Summary (Full)'!$B$36*F27)/'Summary (Full)'!$B$37</f>
        <v>0</v>
      </c>
      <c r="H27" s="129">
        <f>Anchor!P240</f>
        <v>0</v>
      </c>
      <c r="I27" s="129">
        <f>Anchor!Q240</f>
        <v>0</v>
      </c>
      <c r="J27" s="129">
        <f>Anchor!R240</f>
        <v>0</v>
      </c>
      <c r="K27" s="129">
        <f>Anchor!S240</f>
        <v>0</v>
      </c>
      <c r="L27" s="129">
        <f>Anchor!T240</f>
        <v>0</v>
      </c>
      <c r="M27" s="129">
        <f>Anchor!U240</f>
        <v>0</v>
      </c>
      <c r="N27" s="129">
        <f>Anchor!V240</f>
        <v>0</v>
      </c>
      <c r="O27" s="129">
        <f>Anchor!W240</f>
        <v>0</v>
      </c>
      <c r="P27" s="129">
        <f>Anchor!X240</f>
        <v>0</v>
      </c>
      <c r="Q27" s="131">
        <f>10*LOG10(1/(('Summary (Full)'!$B$41/10^(N27/10)+'Summary (Full)'!$B$42/10^(O27/10)+'Summary (Full)'!$B$43/10^(P27/10))/'Summary (Full)'!$B$44))</f>
        <v>0</v>
      </c>
      <c r="R27" s="129">
        <f>Anchor!Y240</f>
        <v>0</v>
      </c>
      <c r="S27" s="129">
        <f>Anchor!Z240</f>
        <v>0</v>
      </c>
      <c r="U27" s="129">
        <f>Test!L240</f>
        <v>0</v>
      </c>
      <c r="V27" s="129">
        <f>Test!M240</f>
        <v>0</v>
      </c>
      <c r="W27" s="129">
        <f>Test!N240</f>
        <v>0</v>
      </c>
      <c r="X27" s="129">
        <f>Test!O240</f>
        <v>0</v>
      </c>
      <c r="Y27" s="129">
        <f>('Summary (Full)'!$B$34*V27+'Summary (Full)'!$B$35*W27+'Summary (Full)'!$B$36*X27)/'Summary (Full)'!$B$37</f>
        <v>0</v>
      </c>
      <c r="Z27" s="129">
        <f>Test!P240</f>
        <v>0</v>
      </c>
      <c r="AA27" s="129">
        <f>Test!Q240</f>
        <v>0</v>
      </c>
      <c r="AB27" s="129">
        <f>Test!R240</f>
        <v>0</v>
      </c>
      <c r="AC27" s="129">
        <f>Test!S240</f>
        <v>0</v>
      </c>
      <c r="AD27" s="129">
        <f>Test!T240</f>
        <v>0</v>
      </c>
      <c r="AE27" s="129">
        <f>Test!U240</f>
        <v>0</v>
      </c>
      <c r="AF27" s="129">
        <f>Test!V240</f>
        <v>0</v>
      </c>
      <c r="AG27" s="129">
        <f>Test!W240</f>
        <v>0</v>
      </c>
      <c r="AH27" s="129">
        <f>Test!X240</f>
        <v>0</v>
      </c>
      <c r="AI27" s="129">
        <f>10*LOG10(1/(('Summary (Full)'!$B$41/10^(AF27/10)+'Summary (Full)'!$B$42/10^(AG27/10)+'Summary (Full)'!$B$43/10^(AH27/10))/'Summary (Full)'!$B$44))</f>
        <v>0</v>
      </c>
      <c r="AJ27" s="129">
        <f>Test!Y240</f>
        <v>0</v>
      </c>
      <c r="AK27" s="129">
        <f>Test!Z240</f>
        <v>0</v>
      </c>
      <c r="AL27" s="129" t="e">
        <f t="shared" si="2"/>
        <v>#DIV/0!</v>
      </c>
      <c r="AM27" s="129" t="e">
        <f t="shared" si="2"/>
        <v>#DIV/0!</v>
      </c>
      <c r="AO27" s="254" t="s">
        <v>29</v>
      </c>
      <c r="AP27" s="172" t="e" cm="1">
        <f t="array" ref="AP27">bdRateExtend($C25:$C28,D25:D28,$U25:$U28,V25:V28)</f>
        <v>#VALUE!</v>
      </c>
      <c r="AQ27" s="172"/>
      <c r="AR27" s="172"/>
      <c r="AS27" s="172"/>
      <c r="AT27" s="172" t="e" cm="1">
        <f t="array" ref="AT27">bdRateExtend($C25:$C28,H25:H28,$U25:$U28,Z25:Z28)</f>
        <v>#VALUE!</v>
      </c>
      <c r="AU27" s="172"/>
      <c r="AV27" s="172" t="e" cm="1">
        <f t="array" ref="AV27">bdRateExtend($C25:$C28,I25:I28,$U25:$U28,AA25:AA28)</f>
        <v>#VALUE!</v>
      </c>
      <c r="AW27" s="172"/>
      <c r="AX27" s="172" t="e" cm="1">
        <f t="array" ref="AX27">bdRateExtend($C25:$C28,J25:J28,$U25:$U28,AB25:AB28,"None", FALSE,1)</f>
        <v>#VALUE!</v>
      </c>
      <c r="AY27" s="175"/>
      <c r="AZ27" s="286" cm="1">
        <f t="array" ref="AZ27">testVMAFRange($C25:$C28,J25:J28,$U25:$U28,AB25:AB28)</f>
        <v>0</v>
      </c>
      <c r="BA27" s="212"/>
      <c r="EV27" s="7"/>
      <c r="EW27" s="7"/>
      <c r="EX27" s="7"/>
      <c r="EY27" s="7"/>
      <c r="EZ27" s="7"/>
      <c r="FA27" s="7"/>
      <c r="FB27" s="7"/>
      <c r="FC27" s="7"/>
    </row>
    <row r="28" spans="1:159" ht="14" thickBot="1" x14ac:dyDescent="0.2">
      <c r="A28" s="250"/>
      <c r="B28" s="38">
        <v>235</v>
      </c>
      <c r="C28" s="129">
        <f>Anchor!L241</f>
        <v>0</v>
      </c>
      <c r="D28" s="129">
        <f>Anchor!M241</f>
        <v>0</v>
      </c>
      <c r="E28" s="129">
        <f>Anchor!N241</f>
        <v>0</v>
      </c>
      <c r="F28" s="129">
        <f>Anchor!O241</f>
        <v>0</v>
      </c>
      <c r="G28" s="130">
        <f>('Summary (Full)'!$B$34*D28+'Summary (Full)'!$B$35*E28+'Summary (Full)'!$B$36*F28)/'Summary (Full)'!$B$37</f>
        <v>0</v>
      </c>
      <c r="H28" s="129">
        <f>Anchor!P241</f>
        <v>0</v>
      </c>
      <c r="I28" s="129">
        <f>Anchor!Q241</f>
        <v>0</v>
      </c>
      <c r="J28" s="129">
        <f>Anchor!R241</f>
        <v>0</v>
      </c>
      <c r="K28" s="129">
        <f>Anchor!S241</f>
        <v>0</v>
      </c>
      <c r="L28" s="129">
        <f>Anchor!T241</f>
        <v>0</v>
      </c>
      <c r="M28" s="129">
        <f>Anchor!U241</f>
        <v>0</v>
      </c>
      <c r="N28" s="129">
        <f>Anchor!V241</f>
        <v>0</v>
      </c>
      <c r="O28" s="129">
        <f>Anchor!W241</f>
        <v>0</v>
      </c>
      <c r="P28" s="129">
        <f>Anchor!X241</f>
        <v>0</v>
      </c>
      <c r="Q28" s="131">
        <f>10*LOG10(1/(('Summary (Full)'!$B$41/10^(N28/10)+'Summary (Full)'!$B$42/10^(O28/10)+'Summary (Full)'!$B$43/10^(P28/10))/'Summary (Full)'!$B$44))</f>
        <v>0</v>
      </c>
      <c r="R28" s="129">
        <f>Anchor!Y241</f>
        <v>0</v>
      </c>
      <c r="S28" s="129">
        <f>Anchor!Z241</f>
        <v>0</v>
      </c>
      <c r="U28" s="129">
        <f>Test!L241</f>
        <v>0</v>
      </c>
      <c r="V28" s="129">
        <f>Test!M241</f>
        <v>0</v>
      </c>
      <c r="W28" s="129">
        <f>Test!N241</f>
        <v>0</v>
      </c>
      <c r="X28" s="129">
        <f>Test!O241</f>
        <v>0</v>
      </c>
      <c r="Y28" s="129">
        <f>('Summary (Full)'!$B$34*V28+'Summary (Full)'!$B$35*W28+'Summary (Full)'!$B$36*X28)/'Summary (Full)'!$B$37</f>
        <v>0</v>
      </c>
      <c r="Z28" s="129">
        <f>Test!P241</f>
        <v>0</v>
      </c>
      <c r="AA28" s="129">
        <f>Test!Q241</f>
        <v>0</v>
      </c>
      <c r="AB28" s="129">
        <f>Test!R241</f>
        <v>0</v>
      </c>
      <c r="AC28" s="129">
        <f>Test!S241</f>
        <v>0</v>
      </c>
      <c r="AD28" s="129">
        <f>Test!T241</f>
        <v>0</v>
      </c>
      <c r="AE28" s="129">
        <f>Test!U241</f>
        <v>0</v>
      </c>
      <c r="AF28" s="129">
        <f>Test!V241</f>
        <v>0</v>
      </c>
      <c r="AG28" s="129">
        <f>Test!W241</f>
        <v>0</v>
      </c>
      <c r="AH28" s="129">
        <f>Test!X241</f>
        <v>0</v>
      </c>
      <c r="AI28" s="129">
        <f>10*LOG10(1/(('Summary (Full)'!$B$41/10^(AF28/10)+'Summary (Full)'!$B$42/10^(AG28/10)+'Summary (Full)'!$B$43/10^(AH28/10))/'Summary (Full)'!$B$44))</f>
        <v>0</v>
      </c>
      <c r="AJ28" s="129">
        <f>Test!Y241</f>
        <v>0</v>
      </c>
      <c r="AK28" s="129">
        <f>Test!Z241</f>
        <v>0</v>
      </c>
      <c r="AL28" s="129" t="e">
        <f t="shared" si="2"/>
        <v>#DIV/0!</v>
      </c>
      <c r="AM28" s="129" t="e">
        <f t="shared" si="2"/>
        <v>#DIV/0!</v>
      </c>
      <c r="AO28" s="263"/>
      <c r="AP28" s="173"/>
      <c r="AQ28" s="173"/>
      <c r="AR28" s="173"/>
      <c r="AS28" s="173"/>
      <c r="AT28" s="173"/>
      <c r="AU28" s="173"/>
      <c r="AV28" s="173"/>
      <c r="AW28" s="173"/>
      <c r="AX28" s="173"/>
      <c r="AY28" s="188"/>
      <c r="AZ28" s="287"/>
      <c r="BA28" s="240"/>
      <c r="EV28" s="7"/>
      <c r="EW28" s="7"/>
      <c r="EX28" s="7"/>
      <c r="EY28" s="7"/>
      <c r="EZ28" s="7"/>
      <c r="FA28" s="7"/>
      <c r="FB28" s="7"/>
      <c r="FC28" s="7"/>
    </row>
    <row r="29" spans="1:159" ht="13" customHeight="1" x14ac:dyDescent="0.15">
      <c r="A29" s="250" t="s">
        <v>9</v>
      </c>
      <c r="B29" s="38">
        <v>110</v>
      </c>
      <c r="C29" s="129">
        <f>Anchor!L242</f>
        <v>0</v>
      </c>
      <c r="D29" s="129">
        <f>Anchor!M242</f>
        <v>0</v>
      </c>
      <c r="E29" s="129">
        <f>Anchor!N242</f>
        <v>0</v>
      </c>
      <c r="F29" s="129">
        <f>Anchor!O242</f>
        <v>0</v>
      </c>
      <c r="G29" s="130">
        <f>('Summary (Full)'!$B$34*D29+'Summary (Full)'!$B$35*E29+'Summary (Full)'!$B$36*F29)/'Summary (Full)'!$B$37</f>
        <v>0</v>
      </c>
      <c r="H29" s="129">
        <f>Anchor!P242</f>
        <v>0</v>
      </c>
      <c r="I29" s="129">
        <f>Anchor!Q242</f>
        <v>0</v>
      </c>
      <c r="J29" s="129">
        <f>Anchor!R242</f>
        <v>0</v>
      </c>
      <c r="K29" s="129">
        <f>Anchor!S242</f>
        <v>0</v>
      </c>
      <c r="L29" s="129">
        <f>Anchor!T242</f>
        <v>0</v>
      </c>
      <c r="M29" s="129">
        <f>Anchor!U242</f>
        <v>0</v>
      </c>
      <c r="N29" s="129">
        <f>Anchor!V242</f>
        <v>0</v>
      </c>
      <c r="O29" s="129">
        <f>Anchor!W242</f>
        <v>0</v>
      </c>
      <c r="P29" s="129">
        <f>Anchor!X242</f>
        <v>0</v>
      </c>
      <c r="Q29" s="131">
        <f>10*LOG10(1/(('Summary (Full)'!$B$41/10^(N29/10)+'Summary (Full)'!$B$42/10^(O29/10)+'Summary (Full)'!$B$43/10^(P29/10))/'Summary (Full)'!$B$44))</f>
        <v>0</v>
      </c>
      <c r="R29" s="129">
        <f>Anchor!Y242</f>
        <v>0</v>
      </c>
      <c r="S29" s="129">
        <f>Anchor!Z242</f>
        <v>0</v>
      </c>
      <c r="U29" s="129">
        <f>Test!L242</f>
        <v>0</v>
      </c>
      <c r="V29" s="129">
        <f>Test!M242</f>
        <v>0</v>
      </c>
      <c r="W29" s="129">
        <f>Test!N242</f>
        <v>0</v>
      </c>
      <c r="X29" s="129">
        <f>Test!O242</f>
        <v>0</v>
      </c>
      <c r="Y29" s="129">
        <f>('Summary (Full)'!$B$34*V29+'Summary (Full)'!$B$35*W29+'Summary (Full)'!$B$36*X29)/'Summary (Full)'!$B$37</f>
        <v>0</v>
      </c>
      <c r="Z29" s="129">
        <f>Test!P242</f>
        <v>0</v>
      </c>
      <c r="AA29" s="129">
        <f>Test!Q242</f>
        <v>0</v>
      </c>
      <c r="AB29" s="129">
        <f>Test!R242</f>
        <v>0</v>
      </c>
      <c r="AC29" s="129">
        <f>Test!S242</f>
        <v>0</v>
      </c>
      <c r="AD29" s="129">
        <f>Test!T242</f>
        <v>0</v>
      </c>
      <c r="AE29" s="129">
        <f>Test!U242</f>
        <v>0</v>
      </c>
      <c r="AF29" s="129">
        <f>Test!V242</f>
        <v>0</v>
      </c>
      <c r="AG29" s="129">
        <f>Test!W242</f>
        <v>0</v>
      </c>
      <c r="AH29" s="129">
        <f>Test!X242</f>
        <v>0</v>
      </c>
      <c r="AI29" s="129">
        <f>10*LOG10(1/(('Summary (Full)'!$B$41/10^(AF29/10)+'Summary (Full)'!$B$42/10^(AG29/10)+'Summary (Full)'!$B$43/10^(AH29/10))/'Summary (Full)'!$B$44))</f>
        <v>0</v>
      </c>
      <c r="AJ29" s="129">
        <f>Test!Y242</f>
        <v>0</v>
      </c>
      <c r="AK29" s="129">
        <f>Test!Z242</f>
        <v>0</v>
      </c>
      <c r="AL29" s="129" t="e">
        <f t="shared" si="2"/>
        <v>#DIV/0!</v>
      </c>
      <c r="AM29" s="129" t="e">
        <f t="shared" si="2"/>
        <v>#DIV/0!</v>
      </c>
      <c r="AO29" s="253" t="s">
        <v>27</v>
      </c>
      <c r="AP29" s="171" t="e" cm="1">
        <f t="array" ref="AP29">bdRateExtend($C29:$C32,D29:D32,$U29:$U32,V29:V32)</f>
        <v>#VALUE!</v>
      </c>
      <c r="AQ29" s="171" t="e" cm="1">
        <f t="array" ref="AQ29">bdRateExtend($C29:$C34,D29:D34,$U29:$U34,V29:V34)</f>
        <v>#VALUE!</v>
      </c>
      <c r="AR29" s="171" t="e" cm="1">
        <f t="array" ref="AR29">bdRateExtend($C29:$C34,E29:E34,$U29:$U34,W29:W34)</f>
        <v>#VALUE!</v>
      </c>
      <c r="AS29" s="171" t="e" cm="1">
        <f t="array" ref="AS29">bdRateExtend($C29:$C34,F29:F34,$U29:$U34,X29:X34)</f>
        <v>#VALUE!</v>
      </c>
      <c r="AT29" s="171" t="e" cm="1">
        <f t="array" ref="AT29">bdRateExtend($C29:$C32,H29:H32,$U29:$U32,Z29:Z32)</f>
        <v>#VALUE!</v>
      </c>
      <c r="AU29" s="171" t="e" cm="1">
        <f t="array" ref="AU29">bdRateExtend($C29:$C34,H29:H34,$U29:$U34,Z29:Z34)</f>
        <v>#VALUE!</v>
      </c>
      <c r="AV29" s="171" t="e" cm="1">
        <f t="array" ref="AV29">bdRateExtend($C29:$C32,I29:I32,$U29:$U32,AA29:AA32)</f>
        <v>#VALUE!</v>
      </c>
      <c r="AW29" s="171" t="e" cm="1">
        <f t="array" ref="AW29">bdRateExtend($C29:$C34,I29:I34,$U29:$U34,AA29:AA34)</f>
        <v>#VALUE!</v>
      </c>
      <c r="AX29" s="171" t="e" cm="1">
        <f t="array" ref="AX29">bdRateExtend($C29:$C32,J29:J32,$U29:$U32,AB29:AB32,"None", FALSE,1)</f>
        <v>#VALUE!</v>
      </c>
      <c r="AY29" s="174" t="e" cm="1">
        <f t="array" ref="AY29">bdRateExtend($C29:$C34,J29:J34,$U29:$U34,AB29:AB34,"None", FALSE,TRUE)</f>
        <v>#VALUE!</v>
      </c>
      <c r="AZ29" s="285" cm="1">
        <f t="array" ref="AZ29">testVMAFRange($C29:$C32,J29:J32,$U29:$U32,AB29:AB32)</f>
        <v>0</v>
      </c>
      <c r="BA29" s="211" cm="1">
        <f t="array" ref="BA29">testVMAFRange($C29:$C34,J29:J34,$U29:$U34,AB29:AB34)</f>
        <v>0</v>
      </c>
      <c r="EV29" s="7"/>
      <c r="EW29" s="7"/>
      <c r="EX29" s="7"/>
      <c r="EY29" s="7"/>
      <c r="EZ29" s="7"/>
      <c r="FA29" s="7"/>
      <c r="FB29" s="7"/>
      <c r="FC29" s="7"/>
    </row>
    <row r="30" spans="1:159" x14ac:dyDescent="0.15">
      <c r="A30" s="250"/>
      <c r="B30" s="38">
        <v>135</v>
      </c>
      <c r="C30" s="129">
        <f>Anchor!L243</f>
        <v>0</v>
      </c>
      <c r="D30" s="129">
        <f>Anchor!M243</f>
        <v>0</v>
      </c>
      <c r="E30" s="129">
        <f>Anchor!N243</f>
        <v>0</v>
      </c>
      <c r="F30" s="129">
        <f>Anchor!O243</f>
        <v>0</v>
      </c>
      <c r="G30" s="130">
        <f>('Summary (Full)'!$B$34*D30+'Summary (Full)'!$B$35*E30+'Summary (Full)'!$B$36*F30)/'Summary (Full)'!$B$37</f>
        <v>0</v>
      </c>
      <c r="H30" s="129">
        <f>Anchor!P243</f>
        <v>0</v>
      </c>
      <c r="I30" s="129">
        <f>Anchor!Q243</f>
        <v>0</v>
      </c>
      <c r="J30" s="129">
        <f>Anchor!R243</f>
        <v>0</v>
      </c>
      <c r="K30" s="129">
        <f>Anchor!S243</f>
        <v>0</v>
      </c>
      <c r="L30" s="129">
        <f>Anchor!T243</f>
        <v>0</v>
      </c>
      <c r="M30" s="129">
        <f>Anchor!U243</f>
        <v>0</v>
      </c>
      <c r="N30" s="129">
        <f>Anchor!V243</f>
        <v>0</v>
      </c>
      <c r="O30" s="129">
        <f>Anchor!W243</f>
        <v>0</v>
      </c>
      <c r="P30" s="129">
        <f>Anchor!X243</f>
        <v>0</v>
      </c>
      <c r="Q30" s="131">
        <f>10*LOG10(1/(('Summary (Full)'!$B$41/10^(N30/10)+'Summary (Full)'!$B$42/10^(O30/10)+'Summary (Full)'!$B$43/10^(P30/10))/'Summary (Full)'!$B$44))</f>
        <v>0</v>
      </c>
      <c r="R30" s="129">
        <f>Anchor!Y243</f>
        <v>0</v>
      </c>
      <c r="S30" s="129">
        <f>Anchor!Z243</f>
        <v>0</v>
      </c>
      <c r="U30" s="129">
        <f>Test!L243</f>
        <v>0</v>
      </c>
      <c r="V30" s="129">
        <f>Test!M243</f>
        <v>0</v>
      </c>
      <c r="W30" s="129">
        <f>Test!N243</f>
        <v>0</v>
      </c>
      <c r="X30" s="129">
        <f>Test!O243</f>
        <v>0</v>
      </c>
      <c r="Y30" s="129">
        <f>('Summary (Full)'!$B$34*V30+'Summary (Full)'!$B$35*W30+'Summary (Full)'!$B$36*X30)/'Summary (Full)'!$B$37</f>
        <v>0</v>
      </c>
      <c r="Z30" s="129">
        <f>Test!P243</f>
        <v>0</v>
      </c>
      <c r="AA30" s="129">
        <f>Test!Q243</f>
        <v>0</v>
      </c>
      <c r="AB30" s="129">
        <f>Test!R243</f>
        <v>0</v>
      </c>
      <c r="AC30" s="129">
        <f>Test!S243</f>
        <v>0</v>
      </c>
      <c r="AD30" s="129">
        <f>Test!T243</f>
        <v>0</v>
      </c>
      <c r="AE30" s="129">
        <f>Test!U243</f>
        <v>0</v>
      </c>
      <c r="AF30" s="129">
        <f>Test!V243</f>
        <v>0</v>
      </c>
      <c r="AG30" s="129">
        <f>Test!W243</f>
        <v>0</v>
      </c>
      <c r="AH30" s="129">
        <f>Test!X243</f>
        <v>0</v>
      </c>
      <c r="AI30" s="129">
        <f>10*LOG10(1/(('Summary (Full)'!$B$41/10^(AF30/10)+'Summary (Full)'!$B$42/10^(AG30/10)+'Summary (Full)'!$B$43/10^(AH30/10))/'Summary (Full)'!$B$44))</f>
        <v>0</v>
      </c>
      <c r="AJ30" s="129">
        <f>Test!Y243</f>
        <v>0</v>
      </c>
      <c r="AK30" s="129">
        <f>Test!Z243</f>
        <v>0</v>
      </c>
      <c r="AL30" s="129" t="e">
        <f t="shared" si="2"/>
        <v>#DIV/0!</v>
      </c>
      <c r="AM30" s="129" t="e">
        <f t="shared" si="2"/>
        <v>#DIV/0!</v>
      </c>
      <c r="AO30" s="254"/>
      <c r="AP30" s="172"/>
      <c r="AQ30" s="172"/>
      <c r="AR30" s="172"/>
      <c r="AS30" s="172"/>
      <c r="AT30" s="172"/>
      <c r="AU30" s="172"/>
      <c r="AV30" s="172"/>
      <c r="AW30" s="172"/>
      <c r="AX30" s="172"/>
      <c r="AY30" s="175"/>
      <c r="AZ30" s="286"/>
      <c r="BA30" s="212"/>
      <c r="EV30" s="7"/>
      <c r="EW30" s="7"/>
      <c r="EX30" s="7"/>
      <c r="EY30" s="7"/>
      <c r="EZ30" s="7"/>
      <c r="FA30" s="7"/>
      <c r="FB30" s="7"/>
      <c r="FC30" s="7"/>
    </row>
    <row r="31" spans="1:159" ht="13" customHeight="1" x14ac:dyDescent="0.15">
      <c r="A31" s="250"/>
      <c r="B31" s="38">
        <v>160</v>
      </c>
      <c r="C31" s="129">
        <f>Anchor!L244</f>
        <v>0</v>
      </c>
      <c r="D31" s="129">
        <f>Anchor!M244</f>
        <v>0</v>
      </c>
      <c r="E31" s="129">
        <f>Anchor!N244</f>
        <v>0</v>
      </c>
      <c r="F31" s="129">
        <f>Anchor!O244</f>
        <v>0</v>
      </c>
      <c r="G31" s="130">
        <f>('Summary (Full)'!$B$34*D31+'Summary (Full)'!$B$35*E31+'Summary (Full)'!$B$36*F31)/'Summary (Full)'!$B$37</f>
        <v>0</v>
      </c>
      <c r="H31" s="129">
        <f>Anchor!P244</f>
        <v>0</v>
      </c>
      <c r="I31" s="129">
        <f>Anchor!Q244</f>
        <v>0</v>
      </c>
      <c r="J31" s="129">
        <f>Anchor!R244</f>
        <v>0</v>
      </c>
      <c r="K31" s="129">
        <f>Anchor!S244</f>
        <v>0</v>
      </c>
      <c r="L31" s="129">
        <f>Anchor!T244</f>
        <v>0</v>
      </c>
      <c r="M31" s="129">
        <f>Anchor!U244</f>
        <v>0</v>
      </c>
      <c r="N31" s="129">
        <f>Anchor!V244</f>
        <v>0</v>
      </c>
      <c r="O31" s="129">
        <f>Anchor!W244</f>
        <v>0</v>
      </c>
      <c r="P31" s="129">
        <f>Anchor!X244</f>
        <v>0</v>
      </c>
      <c r="Q31" s="131">
        <f>10*LOG10(1/(('Summary (Full)'!$B$41/10^(N31/10)+'Summary (Full)'!$B$42/10^(O31/10)+'Summary (Full)'!$B$43/10^(P31/10))/'Summary (Full)'!$B$44))</f>
        <v>0</v>
      </c>
      <c r="R31" s="129">
        <f>Anchor!Y244</f>
        <v>0</v>
      </c>
      <c r="S31" s="129">
        <f>Anchor!Z244</f>
        <v>0</v>
      </c>
      <c r="U31" s="129">
        <f>Test!L244</f>
        <v>0</v>
      </c>
      <c r="V31" s="129">
        <f>Test!M244</f>
        <v>0</v>
      </c>
      <c r="W31" s="129">
        <f>Test!N244</f>
        <v>0</v>
      </c>
      <c r="X31" s="129">
        <f>Test!O244</f>
        <v>0</v>
      </c>
      <c r="Y31" s="129">
        <f>('Summary (Full)'!$B$34*V31+'Summary (Full)'!$B$35*W31+'Summary (Full)'!$B$36*X31)/'Summary (Full)'!$B$37</f>
        <v>0</v>
      </c>
      <c r="Z31" s="129">
        <f>Test!P244</f>
        <v>0</v>
      </c>
      <c r="AA31" s="129">
        <f>Test!Q244</f>
        <v>0</v>
      </c>
      <c r="AB31" s="129">
        <f>Test!R244</f>
        <v>0</v>
      </c>
      <c r="AC31" s="129">
        <f>Test!S244</f>
        <v>0</v>
      </c>
      <c r="AD31" s="129">
        <f>Test!T244</f>
        <v>0</v>
      </c>
      <c r="AE31" s="129">
        <f>Test!U244</f>
        <v>0</v>
      </c>
      <c r="AF31" s="129">
        <f>Test!V244</f>
        <v>0</v>
      </c>
      <c r="AG31" s="129">
        <f>Test!W244</f>
        <v>0</v>
      </c>
      <c r="AH31" s="129">
        <f>Test!X244</f>
        <v>0</v>
      </c>
      <c r="AI31" s="129">
        <f>10*LOG10(1/(('Summary (Full)'!$B$41/10^(AF31/10)+'Summary (Full)'!$B$42/10^(AG31/10)+'Summary (Full)'!$B$43/10^(AH31/10))/'Summary (Full)'!$B$44))</f>
        <v>0</v>
      </c>
      <c r="AJ31" s="129">
        <f>Test!Y244</f>
        <v>0</v>
      </c>
      <c r="AK31" s="129">
        <f>Test!Z244</f>
        <v>0</v>
      </c>
      <c r="AL31" s="129" t="e">
        <f t="shared" si="2"/>
        <v>#DIV/0!</v>
      </c>
      <c r="AM31" s="129" t="e">
        <f t="shared" si="2"/>
        <v>#DIV/0!</v>
      </c>
      <c r="AO31" s="254" t="s">
        <v>28</v>
      </c>
      <c r="AP31" s="172" t="e" cm="1">
        <f t="array" ref="AP31">bdRateExtend($C30:$C33,D30:D33,$U30:$U33,V30:V33)</f>
        <v>#VALUE!</v>
      </c>
      <c r="AQ31" s="172"/>
      <c r="AR31" s="172"/>
      <c r="AS31" s="172"/>
      <c r="AT31" s="172" t="e" cm="1">
        <f t="array" ref="AT31">bdRateExtend($C30:$C33,H30:H33,$U30:$U33,Z30:Z33)</f>
        <v>#VALUE!</v>
      </c>
      <c r="AU31" s="172"/>
      <c r="AV31" s="172" t="e" cm="1">
        <f t="array" ref="AV31">bdRateExtend($C30:$C33,I30:I33,$U30:$U33,AA30:AA33)</f>
        <v>#VALUE!</v>
      </c>
      <c r="AW31" s="172"/>
      <c r="AX31" s="172" t="e" cm="1">
        <f t="array" ref="AX31">bdRateExtend($C30:$C33,J30:J33,$U30:$U33,AB30:AB33,"None", FALSE,1)</f>
        <v>#VALUE!</v>
      </c>
      <c r="AY31" s="175"/>
      <c r="AZ31" s="286" cm="1">
        <f t="array" ref="AZ31">testVMAFRange($C30:$C33,J30:J33,$U30:$U33,AB30:AB33)</f>
        <v>0</v>
      </c>
      <c r="BA31" s="212"/>
      <c r="EV31" s="7"/>
      <c r="EW31" s="7"/>
      <c r="EX31" s="7"/>
      <c r="EY31" s="7"/>
      <c r="EZ31" s="7"/>
      <c r="FA31" s="7"/>
      <c r="FB31" s="7"/>
      <c r="FC31" s="7"/>
    </row>
    <row r="32" spans="1:159" x14ac:dyDescent="0.15">
      <c r="A32" s="250"/>
      <c r="B32" s="38">
        <v>185</v>
      </c>
      <c r="C32" s="129">
        <f>Anchor!L245</f>
        <v>0</v>
      </c>
      <c r="D32" s="129">
        <f>Anchor!M245</f>
        <v>0</v>
      </c>
      <c r="E32" s="129">
        <f>Anchor!N245</f>
        <v>0</v>
      </c>
      <c r="F32" s="129">
        <f>Anchor!O245</f>
        <v>0</v>
      </c>
      <c r="G32" s="130">
        <f>('Summary (Full)'!$B$34*D32+'Summary (Full)'!$B$35*E32+'Summary (Full)'!$B$36*F32)/'Summary (Full)'!$B$37</f>
        <v>0</v>
      </c>
      <c r="H32" s="129">
        <f>Anchor!P245</f>
        <v>0</v>
      </c>
      <c r="I32" s="129">
        <f>Anchor!Q245</f>
        <v>0</v>
      </c>
      <c r="J32" s="129">
        <f>Anchor!R245</f>
        <v>0</v>
      </c>
      <c r="K32" s="129">
        <f>Anchor!S245</f>
        <v>0</v>
      </c>
      <c r="L32" s="129">
        <f>Anchor!T245</f>
        <v>0</v>
      </c>
      <c r="M32" s="129">
        <f>Anchor!U245</f>
        <v>0</v>
      </c>
      <c r="N32" s="129">
        <f>Anchor!V245</f>
        <v>0</v>
      </c>
      <c r="O32" s="129">
        <f>Anchor!W245</f>
        <v>0</v>
      </c>
      <c r="P32" s="129">
        <f>Anchor!X245</f>
        <v>0</v>
      </c>
      <c r="Q32" s="131">
        <f>10*LOG10(1/(('Summary (Full)'!$B$41/10^(N32/10)+'Summary (Full)'!$B$42/10^(O32/10)+'Summary (Full)'!$B$43/10^(P32/10))/'Summary (Full)'!$B$44))</f>
        <v>0</v>
      </c>
      <c r="R32" s="129">
        <f>Anchor!Y245</f>
        <v>0</v>
      </c>
      <c r="S32" s="129">
        <f>Anchor!Z245</f>
        <v>0</v>
      </c>
      <c r="U32" s="129">
        <f>Test!L245</f>
        <v>0</v>
      </c>
      <c r="V32" s="129">
        <f>Test!M245</f>
        <v>0</v>
      </c>
      <c r="W32" s="129">
        <f>Test!N245</f>
        <v>0</v>
      </c>
      <c r="X32" s="129">
        <f>Test!O245</f>
        <v>0</v>
      </c>
      <c r="Y32" s="129">
        <f>('Summary (Full)'!$B$34*V32+'Summary (Full)'!$B$35*W32+'Summary (Full)'!$B$36*X32)/'Summary (Full)'!$B$37</f>
        <v>0</v>
      </c>
      <c r="Z32" s="129">
        <f>Test!P245</f>
        <v>0</v>
      </c>
      <c r="AA32" s="129">
        <f>Test!Q245</f>
        <v>0</v>
      </c>
      <c r="AB32" s="129">
        <f>Test!R245</f>
        <v>0</v>
      </c>
      <c r="AC32" s="129">
        <f>Test!S245</f>
        <v>0</v>
      </c>
      <c r="AD32" s="129">
        <f>Test!T245</f>
        <v>0</v>
      </c>
      <c r="AE32" s="129">
        <f>Test!U245</f>
        <v>0</v>
      </c>
      <c r="AF32" s="129">
        <f>Test!V245</f>
        <v>0</v>
      </c>
      <c r="AG32" s="129">
        <f>Test!W245</f>
        <v>0</v>
      </c>
      <c r="AH32" s="129">
        <f>Test!X245</f>
        <v>0</v>
      </c>
      <c r="AI32" s="129">
        <f>10*LOG10(1/(('Summary (Full)'!$B$41/10^(AF32/10)+'Summary (Full)'!$B$42/10^(AG32/10)+'Summary (Full)'!$B$43/10^(AH32/10))/'Summary (Full)'!$B$44))</f>
        <v>0</v>
      </c>
      <c r="AJ32" s="129">
        <f>Test!Y245</f>
        <v>0</v>
      </c>
      <c r="AK32" s="129">
        <f>Test!Z245</f>
        <v>0</v>
      </c>
      <c r="AL32" s="129" t="e">
        <f t="shared" si="2"/>
        <v>#DIV/0!</v>
      </c>
      <c r="AM32" s="129" t="e">
        <f t="shared" si="2"/>
        <v>#DIV/0!</v>
      </c>
      <c r="AO32" s="254"/>
      <c r="AP32" s="172"/>
      <c r="AQ32" s="172"/>
      <c r="AR32" s="172"/>
      <c r="AS32" s="172"/>
      <c r="AT32" s="172"/>
      <c r="AU32" s="172"/>
      <c r="AV32" s="172"/>
      <c r="AW32" s="172"/>
      <c r="AX32" s="172"/>
      <c r="AY32" s="175"/>
      <c r="AZ32" s="286"/>
      <c r="BA32" s="212"/>
      <c r="EV32" s="7"/>
      <c r="EW32" s="7"/>
      <c r="EX32" s="7"/>
      <c r="EY32" s="7"/>
      <c r="EZ32" s="7"/>
      <c r="FA32" s="7"/>
      <c r="FB32" s="7"/>
      <c r="FC32" s="7"/>
    </row>
    <row r="33" spans="1:159" ht="13" customHeight="1" x14ac:dyDescent="0.15">
      <c r="A33" s="250"/>
      <c r="B33" s="38">
        <v>210</v>
      </c>
      <c r="C33" s="129">
        <f>Anchor!L246</f>
        <v>0</v>
      </c>
      <c r="D33" s="129">
        <f>Anchor!M246</f>
        <v>0</v>
      </c>
      <c r="E33" s="129">
        <f>Anchor!N246</f>
        <v>0</v>
      </c>
      <c r="F33" s="129">
        <f>Anchor!O246</f>
        <v>0</v>
      </c>
      <c r="G33" s="130">
        <f>('Summary (Full)'!$B$34*D33+'Summary (Full)'!$B$35*E33+'Summary (Full)'!$B$36*F33)/'Summary (Full)'!$B$37</f>
        <v>0</v>
      </c>
      <c r="H33" s="129">
        <f>Anchor!P246</f>
        <v>0</v>
      </c>
      <c r="I33" s="129">
        <f>Anchor!Q246</f>
        <v>0</v>
      </c>
      <c r="J33" s="129">
        <f>Anchor!R246</f>
        <v>0</v>
      </c>
      <c r="K33" s="129">
        <f>Anchor!S246</f>
        <v>0</v>
      </c>
      <c r="L33" s="129">
        <f>Anchor!T246</f>
        <v>0</v>
      </c>
      <c r="M33" s="129">
        <f>Anchor!U246</f>
        <v>0</v>
      </c>
      <c r="N33" s="129">
        <f>Anchor!V246</f>
        <v>0</v>
      </c>
      <c r="O33" s="129">
        <f>Anchor!W246</f>
        <v>0</v>
      </c>
      <c r="P33" s="129">
        <f>Anchor!X246</f>
        <v>0</v>
      </c>
      <c r="Q33" s="131">
        <f>10*LOG10(1/(('Summary (Full)'!$B$41/10^(N33/10)+'Summary (Full)'!$B$42/10^(O33/10)+'Summary (Full)'!$B$43/10^(P33/10))/'Summary (Full)'!$B$44))</f>
        <v>0</v>
      </c>
      <c r="R33" s="129">
        <f>Anchor!Y246</f>
        <v>0</v>
      </c>
      <c r="S33" s="129">
        <f>Anchor!Z246</f>
        <v>0</v>
      </c>
      <c r="U33" s="129">
        <f>Test!L246</f>
        <v>0</v>
      </c>
      <c r="V33" s="129">
        <f>Test!M246</f>
        <v>0</v>
      </c>
      <c r="W33" s="129">
        <f>Test!N246</f>
        <v>0</v>
      </c>
      <c r="X33" s="129">
        <f>Test!O246</f>
        <v>0</v>
      </c>
      <c r="Y33" s="129">
        <f>('Summary (Full)'!$B$34*V33+'Summary (Full)'!$B$35*W33+'Summary (Full)'!$B$36*X33)/'Summary (Full)'!$B$37</f>
        <v>0</v>
      </c>
      <c r="Z33" s="129">
        <f>Test!P246</f>
        <v>0</v>
      </c>
      <c r="AA33" s="129">
        <f>Test!Q246</f>
        <v>0</v>
      </c>
      <c r="AB33" s="129">
        <f>Test!R246</f>
        <v>0</v>
      </c>
      <c r="AC33" s="129">
        <f>Test!S246</f>
        <v>0</v>
      </c>
      <c r="AD33" s="129">
        <f>Test!T246</f>
        <v>0</v>
      </c>
      <c r="AE33" s="129">
        <f>Test!U246</f>
        <v>0</v>
      </c>
      <c r="AF33" s="129">
        <f>Test!V246</f>
        <v>0</v>
      </c>
      <c r="AG33" s="129">
        <f>Test!W246</f>
        <v>0</v>
      </c>
      <c r="AH33" s="129">
        <f>Test!X246</f>
        <v>0</v>
      </c>
      <c r="AI33" s="129">
        <f>10*LOG10(1/(('Summary (Full)'!$B$41/10^(AF33/10)+'Summary (Full)'!$B$42/10^(AG33/10)+'Summary (Full)'!$B$43/10^(AH33/10))/'Summary (Full)'!$B$44))</f>
        <v>0</v>
      </c>
      <c r="AJ33" s="129">
        <f>Test!Y246</f>
        <v>0</v>
      </c>
      <c r="AK33" s="129">
        <f>Test!Z246</f>
        <v>0</v>
      </c>
      <c r="AL33" s="129" t="e">
        <f t="shared" si="2"/>
        <v>#DIV/0!</v>
      </c>
      <c r="AM33" s="129" t="e">
        <f t="shared" si="2"/>
        <v>#DIV/0!</v>
      </c>
      <c r="AO33" s="254" t="s">
        <v>29</v>
      </c>
      <c r="AP33" s="172" t="e" cm="1">
        <f t="array" ref="AP33">bdRateExtend($C31:$C34,D31:D34,$U31:$U34,V31:V34)</f>
        <v>#VALUE!</v>
      </c>
      <c r="AQ33" s="172"/>
      <c r="AR33" s="172"/>
      <c r="AS33" s="172"/>
      <c r="AT33" s="172" t="e" cm="1">
        <f t="array" ref="AT33">bdRateExtend($C31:$C34,H31:H34,$U31:$U34,Z31:Z34)</f>
        <v>#VALUE!</v>
      </c>
      <c r="AU33" s="172"/>
      <c r="AV33" s="172" t="e" cm="1">
        <f t="array" ref="AV33">bdRateExtend($C31:$C34,I31:I34,$U31:$U34,AA31:AA34)</f>
        <v>#VALUE!</v>
      </c>
      <c r="AW33" s="172"/>
      <c r="AX33" s="172" t="e" cm="1">
        <f t="array" ref="AX33">bdRateExtend($C31:$C34,J31:J34,$U31:$U34,AB31:AB34,"None", FALSE,1)</f>
        <v>#VALUE!</v>
      </c>
      <c r="AY33" s="175"/>
      <c r="AZ33" s="286" cm="1">
        <f t="array" ref="AZ33">testVMAFRange($C31:$C34,J31:J34,$U31:$U34,AB31:AB34)</f>
        <v>0</v>
      </c>
      <c r="BA33" s="212"/>
      <c r="EV33" s="7"/>
      <c r="EW33" s="7"/>
      <c r="EX33" s="7"/>
      <c r="EY33" s="7"/>
      <c r="EZ33" s="7"/>
      <c r="FA33" s="7"/>
      <c r="FB33" s="7"/>
      <c r="FC33" s="7"/>
    </row>
    <row r="34" spans="1:159" ht="14" thickBot="1" x14ac:dyDescent="0.2">
      <c r="A34" s="250"/>
      <c r="B34" s="38">
        <v>235</v>
      </c>
      <c r="C34" s="129">
        <f>Anchor!L247</f>
        <v>0</v>
      </c>
      <c r="D34" s="129">
        <f>Anchor!M247</f>
        <v>0</v>
      </c>
      <c r="E34" s="129">
        <f>Anchor!N247</f>
        <v>0</v>
      </c>
      <c r="F34" s="129">
        <f>Anchor!O247</f>
        <v>0</v>
      </c>
      <c r="G34" s="130">
        <f>('Summary (Full)'!$B$34*D34+'Summary (Full)'!$B$35*E34+'Summary (Full)'!$B$36*F34)/'Summary (Full)'!$B$37</f>
        <v>0</v>
      </c>
      <c r="H34" s="129">
        <f>Anchor!P247</f>
        <v>0</v>
      </c>
      <c r="I34" s="129">
        <f>Anchor!Q247</f>
        <v>0</v>
      </c>
      <c r="J34" s="129">
        <f>Anchor!R247</f>
        <v>0</v>
      </c>
      <c r="K34" s="129">
        <f>Anchor!S247</f>
        <v>0</v>
      </c>
      <c r="L34" s="129">
        <f>Anchor!T247</f>
        <v>0</v>
      </c>
      <c r="M34" s="129">
        <f>Anchor!U247</f>
        <v>0</v>
      </c>
      <c r="N34" s="129">
        <f>Anchor!V247</f>
        <v>0</v>
      </c>
      <c r="O34" s="129">
        <f>Anchor!W247</f>
        <v>0</v>
      </c>
      <c r="P34" s="129">
        <f>Anchor!X247</f>
        <v>0</v>
      </c>
      <c r="Q34" s="131">
        <f>10*LOG10(1/(('Summary (Full)'!$B$41/10^(N34/10)+'Summary (Full)'!$B$42/10^(O34/10)+'Summary (Full)'!$B$43/10^(P34/10))/'Summary (Full)'!$B$44))</f>
        <v>0</v>
      </c>
      <c r="R34" s="129">
        <f>Anchor!Y247</f>
        <v>0</v>
      </c>
      <c r="S34" s="129">
        <f>Anchor!Z247</f>
        <v>0</v>
      </c>
      <c r="U34" s="129">
        <f>Test!L247</f>
        <v>0</v>
      </c>
      <c r="V34" s="129">
        <f>Test!M247</f>
        <v>0</v>
      </c>
      <c r="W34" s="129">
        <f>Test!N247</f>
        <v>0</v>
      </c>
      <c r="X34" s="129">
        <f>Test!O247</f>
        <v>0</v>
      </c>
      <c r="Y34" s="129">
        <f>('Summary (Full)'!$B$34*V34+'Summary (Full)'!$B$35*W34+'Summary (Full)'!$B$36*X34)/'Summary (Full)'!$B$37</f>
        <v>0</v>
      </c>
      <c r="Z34" s="129">
        <f>Test!P247</f>
        <v>0</v>
      </c>
      <c r="AA34" s="129">
        <f>Test!Q247</f>
        <v>0</v>
      </c>
      <c r="AB34" s="129">
        <f>Test!R247</f>
        <v>0</v>
      </c>
      <c r="AC34" s="129">
        <f>Test!S247</f>
        <v>0</v>
      </c>
      <c r="AD34" s="129">
        <f>Test!T247</f>
        <v>0</v>
      </c>
      <c r="AE34" s="129">
        <f>Test!U247</f>
        <v>0</v>
      </c>
      <c r="AF34" s="129">
        <f>Test!V247</f>
        <v>0</v>
      </c>
      <c r="AG34" s="129">
        <f>Test!W247</f>
        <v>0</v>
      </c>
      <c r="AH34" s="129">
        <f>Test!X247</f>
        <v>0</v>
      </c>
      <c r="AI34" s="129">
        <f>10*LOG10(1/(('Summary (Full)'!$B$41/10^(AF34/10)+'Summary (Full)'!$B$42/10^(AG34/10)+'Summary (Full)'!$B$43/10^(AH34/10))/'Summary (Full)'!$B$44))</f>
        <v>0</v>
      </c>
      <c r="AJ34" s="129">
        <f>Test!Y247</f>
        <v>0</v>
      </c>
      <c r="AK34" s="129">
        <f>Test!Z247</f>
        <v>0</v>
      </c>
      <c r="AL34" s="129" t="e">
        <f t="shared" si="2"/>
        <v>#DIV/0!</v>
      </c>
      <c r="AM34" s="129" t="e">
        <f t="shared" si="2"/>
        <v>#DIV/0!</v>
      </c>
      <c r="AO34" s="263"/>
      <c r="AP34" s="173"/>
      <c r="AQ34" s="173"/>
      <c r="AR34" s="173"/>
      <c r="AS34" s="173"/>
      <c r="AT34" s="173"/>
      <c r="AU34" s="173"/>
      <c r="AV34" s="173"/>
      <c r="AW34" s="173"/>
      <c r="AX34" s="173"/>
      <c r="AY34" s="188"/>
      <c r="AZ34" s="287"/>
      <c r="BA34" s="240"/>
      <c r="EV34" s="7"/>
      <c r="EW34" s="7"/>
      <c r="EX34" s="7"/>
      <c r="EY34" s="7"/>
      <c r="EZ34" s="7"/>
      <c r="FA34" s="7"/>
      <c r="FB34" s="7"/>
      <c r="FC34" s="7"/>
    </row>
    <row r="35" spans="1:159" ht="13" customHeight="1" x14ac:dyDescent="0.15">
      <c r="A35" s="250" t="s">
        <v>20</v>
      </c>
      <c r="B35" s="38">
        <v>110</v>
      </c>
      <c r="C35" s="129">
        <f>Anchor!L248</f>
        <v>0</v>
      </c>
      <c r="D35" s="129">
        <f>Anchor!M248</f>
        <v>0</v>
      </c>
      <c r="E35" s="129">
        <f>Anchor!N248</f>
        <v>0</v>
      </c>
      <c r="F35" s="129">
        <f>Anchor!O248</f>
        <v>0</v>
      </c>
      <c r="G35" s="130">
        <f>('Summary (Full)'!$B$34*D35+'Summary (Full)'!$B$35*E35+'Summary (Full)'!$B$36*F35)/'Summary (Full)'!$B$37</f>
        <v>0</v>
      </c>
      <c r="H35" s="129">
        <f>Anchor!P248</f>
        <v>0</v>
      </c>
      <c r="I35" s="129">
        <f>Anchor!Q248</f>
        <v>0</v>
      </c>
      <c r="J35" s="129">
        <f>Anchor!R248</f>
        <v>0</v>
      </c>
      <c r="K35" s="129">
        <f>Anchor!S248</f>
        <v>0</v>
      </c>
      <c r="L35" s="129">
        <f>Anchor!T248</f>
        <v>0</v>
      </c>
      <c r="M35" s="129">
        <f>Anchor!U248</f>
        <v>0</v>
      </c>
      <c r="N35" s="129">
        <f>Anchor!V248</f>
        <v>0</v>
      </c>
      <c r="O35" s="129">
        <f>Anchor!W248</f>
        <v>0</v>
      </c>
      <c r="P35" s="129">
        <f>Anchor!X248</f>
        <v>0</v>
      </c>
      <c r="Q35" s="131">
        <f>10*LOG10(1/(('Summary (Full)'!$B$41/10^(N35/10)+'Summary (Full)'!$B$42/10^(O35/10)+'Summary (Full)'!$B$43/10^(P35/10))/'Summary (Full)'!$B$44))</f>
        <v>0</v>
      </c>
      <c r="R35" s="129">
        <f>Anchor!Y248</f>
        <v>0</v>
      </c>
      <c r="S35" s="129">
        <f>Anchor!Z248</f>
        <v>0</v>
      </c>
      <c r="U35" s="129">
        <f>Test!L248</f>
        <v>0</v>
      </c>
      <c r="V35" s="129">
        <f>Test!M248</f>
        <v>0</v>
      </c>
      <c r="W35" s="129">
        <f>Test!N248</f>
        <v>0</v>
      </c>
      <c r="X35" s="129">
        <f>Test!O248</f>
        <v>0</v>
      </c>
      <c r="Y35" s="129">
        <f>('Summary (Full)'!$B$34*V35+'Summary (Full)'!$B$35*W35+'Summary (Full)'!$B$36*X35)/'Summary (Full)'!$B$37</f>
        <v>0</v>
      </c>
      <c r="Z35" s="129">
        <f>Test!P248</f>
        <v>0</v>
      </c>
      <c r="AA35" s="129">
        <f>Test!Q248</f>
        <v>0</v>
      </c>
      <c r="AB35" s="129">
        <f>Test!R248</f>
        <v>0</v>
      </c>
      <c r="AC35" s="129">
        <f>Test!S248</f>
        <v>0</v>
      </c>
      <c r="AD35" s="129">
        <f>Test!T248</f>
        <v>0</v>
      </c>
      <c r="AE35" s="129">
        <f>Test!U248</f>
        <v>0</v>
      </c>
      <c r="AF35" s="129">
        <f>Test!V248</f>
        <v>0</v>
      </c>
      <c r="AG35" s="129">
        <f>Test!W248</f>
        <v>0</v>
      </c>
      <c r="AH35" s="129">
        <f>Test!X248</f>
        <v>0</v>
      </c>
      <c r="AI35" s="129">
        <f>10*LOG10(1/(('Summary (Full)'!$B$41/10^(AF35/10)+'Summary (Full)'!$B$42/10^(AG35/10)+'Summary (Full)'!$B$43/10^(AH35/10))/'Summary (Full)'!$B$44))</f>
        <v>0</v>
      </c>
      <c r="AJ35" s="129">
        <f>Test!Y248</f>
        <v>0</v>
      </c>
      <c r="AK35" s="129">
        <f>Test!Z248</f>
        <v>0</v>
      </c>
      <c r="AL35" s="129" t="e">
        <f t="shared" si="2"/>
        <v>#DIV/0!</v>
      </c>
      <c r="AM35" s="129" t="e">
        <f t="shared" si="2"/>
        <v>#DIV/0!</v>
      </c>
      <c r="AO35" s="253" t="s">
        <v>27</v>
      </c>
      <c r="AP35" s="171" t="e" cm="1">
        <f t="array" ref="AP35">bdRateExtend($C35:$C38,D35:D38,$U35:$U38,V35:V38)</f>
        <v>#VALUE!</v>
      </c>
      <c r="AQ35" s="171" t="e" cm="1">
        <f t="array" ref="AQ35">bdRateExtend($C35:$C40,D35:D40,$U35:$U40,V35:V40)</f>
        <v>#VALUE!</v>
      </c>
      <c r="AR35" s="171" t="e" cm="1">
        <f t="array" ref="AR35">bdRateExtend($C35:$C40,E35:E40,$U35:$U40,W35:W40)</f>
        <v>#VALUE!</v>
      </c>
      <c r="AS35" s="171" t="e" cm="1">
        <f t="array" ref="AS35">bdRateExtend($C35:$C40,F35:F40,$U35:$U40,X35:X40)</f>
        <v>#VALUE!</v>
      </c>
      <c r="AT35" s="171" t="e" cm="1">
        <f t="array" ref="AT35">bdRateExtend($C35:$C38,H35:H38,$U35:$U38,Z35:Z38)</f>
        <v>#VALUE!</v>
      </c>
      <c r="AU35" s="171" t="e" cm="1">
        <f t="array" ref="AU35">bdRateExtend($C35:$C40,H35:H40,$U35:$U40,Z35:Z40)</f>
        <v>#VALUE!</v>
      </c>
      <c r="AV35" s="171" t="e" cm="1">
        <f t="array" ref="AV35">bdRateExtend($C35:$C38,I35:I38,$U35:$U38,AA35:AA38)</f>
        <v>#VALUE!</v>
      </c>
      <c r="AW35" s="171" t="e" cm="1">
        <f t="array" ref="AW35">bdRateExtend($C35:$C40,I35:I40,$U35:$U40,AA35:AA40)</f>
        <v>#VALUE!</v>
      </c>
      <c r="AX35" s="171" t="e" cm="1">
        <f t="array" ref="AX35">bdRateExtend($C35:$C38,J35:J38,$U35:$U38,AB35:AB38,"None", FALSE,1)</f>
        <v>#VALUE!</v>
      </c>
      <c r="AY35" s="174" t="e" cm="1">
        <f t="array" ref="AY35">bdRateExtend($C35:$C40,J35:J40,$U35:$U40,AB35:AB40,"None", FALSE,TRUE)</f>
        <v>#VALUE!</v>
      </c>
      <c r="AZ35" s="285" cm="1">
        <f t="array" ref="AZ35">testVMAFRange($C35:$C38,J35:J38,$U35:$U38,AB35:AB38)</f>
        <v>0</v>
      </c>
      <c r="BA35" s="211" cm="1">
        <f t="array" ref="BA35">testVMAFRange($C35:$C40,J35:J40,$U35:$U40,AB35:AB40)</f>
        <v>0</v>
      </c>
      <c r="EV35" s="7"/>
      <c r="EW35" s="7"/>
      <c r="EX35" s="7"/>
      <c r="EY35" s="7"/>
      <c r="EZ35" s="7"/>
      <c r="FA35" s="7"/>
      <c r="FB35" s="7"/>
      <c r="FC35" s="7"/>
    </row>
    <row r="36" spans="1:159" x14ac:dyDescent="0.15">
      <c r="A36" s="250"/>
      <c r="B36" s="38">
        <v>135</v>
      </c>
      <c r="C36" s="129">
        <f>Anchor!L249</f>
        <v>0</v>
      </c>
      <c r="D36" s="129">
        <f>Anchor!M249</f>
        <v>0</v>
      </c>
      <c r="E36" s="129">
        <f>Anchor!N249</f>
        <v>0</v>
      </c>
      <c r="F36" s="129">
        <f>Anchor!O249</f>
        <v>0</v>
      </c>
      <c r="G36" s="130">
        <f>('Summary (Full)'!$B$34*D36+'Summary (Full)'!$B$35*E36+'Summary (Full)'!$B$36*F36)/'Summary (Full)'!$B$37</f>
        <v>0</v>
      </c>
      <c r="H36" s="129">
        <f>Anchor!P249</f>
        <v>0</v>
      </c>
      <c r="I36" s="129">
        <f>Anchor!Q249</f>
        <v>0</v>
      </c>
      <c r="J36" s="129">
        <f>Anchor!R249</f>
        <v>0</v>
      </c>
      <c r="K36" s="129">
        <f>Anchor!S249</f>
        <v>0</v>
      </c>
      <c r="L36" s="129">
        <f>Anchor!T249</f>
        <v>0</v>
      </c>
      <c r="M36" s="129">
        <f>Anchor!U249</f>
        <v>0</v>
      </c>
      <c r="N36" s="129">
        <f>Anchor!V249</f>
        <v>0</v>
      </c>
      <c r="O36" s="129">
        <f>Anchor!W249</f>
        <v>0</v>
      </c>
      <c r="P36" s="129">
        <f>Anchor!X249</f>
        <v>0</v>
      </c>
      <c r="Q36" s="131">
        <f>10*LOG10(1/(('Summary (Full)'!$B$41/10^(N36/10)+'Summary (Full)'!$B$42/10^(O36/10)+'Summary (Full)'!$B$43/10^(P36/10))/'Summary (Full)'!$B$44))</f>
        <v>0</v>
      </c>
      <c r="R36" s="129">
        <f>Anchor!Y249</f>
        <v>0</v>
      </c>
      <c r="S36" s="129">
        <f>Anchor!Z249</f>
        <v>0</v>
      </c>
      <c r="U36" s="129">
        <f>Test!L249</f>
        <v>0</v>
      </c>
      <c r="V36" s="129">
        <f>Test!M249</f>
        <v>0</v>
      </c>
      <c r="W36" s="129">
        <f>Test!N249</f>
        <v>0</v>
      </c>
      <c r="X36" s="129">
        <f>Test!O249</f>
        <v>0</v>
      </c>
      <c r="Y36" s="129">
        <f>('Summary (Full)'!$B$34*V36+'Summary (Full)'!$B$35*W36+'Summary (Full)'!$B$36*X36)/'Summary (Full)'!$B$37</f>
        <v>0</v>
      </c>
      <c r="Z36" s="129">
        <f>Test!P249</f>
        <v>0</v>
      </c>
      <c r="AA36" s="129">
        <f>Test!Q249</f>
        <v>0</v>
      </c>
      <c r="AB36" s="129">
        <f>Test!R249</f>
        <v>0</v>
      </c>
      <c r="AC36" s="129">
        <f>Test!S249</f>
        <v>0</v>
      </c>
      <c r="AD36" s="129">
        <f>Test!T249</f>
        <v>0</v>
      </c>
      <c r="AE36" s="129">
        <f>Test!U249</f>
        <v>0</v>
      </c>
      <c r="AF36" s="129">
        <f>Test!V249</f>
        <v>0</v>
      </c>
      <c r="AG36" s="129">
        <f>Test!W249</f>
        <v>0</v>
      </c>
      <c r="AH36" s="129">
        <f>Test!X249</f>
        <v>0</v>
      </c>
      <c r="AI36" s="129">
        <f>10*LOG10(1/(('Summary (Full)'!$B$41/10^(AF36/10)+'Summary (Full)'!$B$42/10^(AG36/10)+'Summary (Full)'!$B$43/10^(AH36/10))/'Summary (Full)'!$B$44))</f>
        <v>0</v>
      </c>
      <c r="AJ36" s="129">
        <f>Test!Y249</f>
        <v>0</v>
      </c>
      <c r="AK36" s="129">
        <f>Test!Z249</f>
        <v>0</v>
      </c>
      <c r="AL36" s="129" t="e">
        <f t="shared" si="2"/>
        <v>#DIV/0!</v>
      </c>
      <c r="AM36" s="129" t="e">
        <f t="shared" si="2"/>
        <v>#DIV/0!</v>
      </c>
      <c r="AO36" s="254"/>
      <c r="AP36" s="172"/>
      <c r="AQ36" s="172"/>
      <c r="AR36" s="172"/>
      <c r="AS36" s="172"/>
      <c r="AT36" s="172"/>
      <c r="AU36" s="172"/>
      <c r="AV36" s="172"/>
      <c r="AW36" s="172"/>
      <c r="AX36" s="172"/>
      <c r="AY36" s="175"/>
      <c r="AZ36" s="286"/>
      <c r="BA36" s="212"/>
      <c r="EV36" s="7"/>
      <c r="EW36" s="7"/>
      <c r="EX36" s="7"/>
      <c r="EY36" s="7"/>
      <c r="EZ36" s="7"/>
      <c r="FA36" s="7"/>
      <c r="FB36" s="7"/>
      <c r="FC36" s="7"/>
    </row>
    <row r="37" spans="1:159" ht="13" customHeight="1" x14ac:dyDescent="0.15">
      <c r="A37" s="250"/>
      <c r="B37" s="38">
        <v>160</v>
      </c>
      <c r="C37" s="129">
        <f>Anchor!L250</f>
        <v>0</v>
      </c>
      <c r="D37" s="129">
        <f>Anchor!M250</f>
        <v>0</v>
      </c>
      <c r="E37" s="129">
        <f>Anchor!N250</f>
        <v>0</v>
      </c>
      <c r="F37" s="129">
        <f>Anchor!O250</f>
        <v>0</v>
      </c>
      <c r="G37" s="130">
        <f>('Summary (Full)'!$B$34*D37+'Summary (Full)'!$B$35*E37+'Summary (Full)'!$B$36*F37)/'Summary (Full)'!$B$37</f>
        <v>0</v>
      </c>
      <c r="H37" s="129">
        <f>Anchor!P250</f>
        <v>0</v>
      </c>
      <c r="I37" s="129">
        <f>Anchor!Q250</f>
        <v>0</v>
      </c>
      <c r="J37" s="129">
        <f>Anchor!R250</f>
        <v>0</v>
      </c>
      <c r="K37" s="129">
        <f>Anchor!S250</f>
        <v>0</v>
      </c>
      <c r="L37" s="129">
        <f>Anchor!T250</f>
        <v>0</v>
      </c>
      <c r="M37" s="129">
        <f>Anchor!U250</f>
        <v>0</v>
      </c>
      <c r="N37" s="129">
        <f>Anchor!V250</f>
        <v>0</v>
      </c>
      <c r="O37" s="129">
        <f>Anchor!W250</f>
        <v>0</v>
      </c>
      <c r="P37" s="129">
        <f>Anchor!X250</f>
        <v>0</v>
      </c>
      <c r="Q37" s="131">
        <f>10*LOG10(1/(('Summary (Full)'!$B$41/10^(N37/10)+'Summary (Full)'!$B$42/10^(O37/10)+'Summary (Full)'!$B$43/10^(P37/10))/'Summary (Full)'!$B$44))</f>
        <v>0</v>
      </c>
      <c r="R37" s="129">
        <f>Anchor!Y250</f>
        <v>0</v>
      </c>
      <c r="S37" s="129">
        <f>Anchor!Z250</f>
        <v>0</v>
      </c>
      <c r="U37" s="129">
        <f>Test!L250</f>
        <v>0</v>
      </c>
      <c r="V37" s="129">
        <f>Test!M250</f>
        <v>0</v>
      </c>
      <c r="W37" s="129">
        <f>Test!N250</f>
        <v>0</v>
      </c>
      <c r="X37" s="129">
        <f>Test!O250</f>
        <v>0</v>
      </c>
      <c r="Y37" s="129">
        <f>('Summary (Full)'!$B$34*V37+'Summary (Full)'!$B$35*W37+'Summary (Full)'!$B$36*X37)/'Summary (Full)'!$B$37</f>
        <v>0</v>
      </c>
      <c r="Z37" s="129">
        <f>Test!P250</f>
        <v>0</v>
      </c>
      <c r="AA37" s="129">
        <f>Test!Q250</f>
        <v>0</v>
      </c>
      <c r="AB37" s="129">
        <f>Test!R250</f>
        <v>0</v>
      </c>
      <c r="AC37" s="129">
        <f>Test!S250</f>
        <v>0</v>
      </c>
      <c r="AD37" s="129">
        <f>Test!T250</f>
        <v>0</v>
      </c>
      <c r="AE37" s="129">
        <f>Test!U250</f>
        <v>0</v>
      </c>
      <c r="AF37" s="129">
        <f>Test!V250</f>
        <v>0</v>
      </c>
      <c r="AG37" s="129">
        <f>Test!W250</f>
        <v>0</v>
      </c>
      <c r="AH37" s="129">
        <f>Test!X250</f>
        <v>0</v>
      </c>
      <c r="AI37" s="129">
        <f>10*LOG10(1/(('Summary (Full)'!$B$41/10^(AF37/10)+'Summary (Full)'!$B$42/10^(AG37/10)+'Summary (Full)'!$B$43/10^(AH37/10))/'Summary (Full)'!$B$44))</f>
        <v>0</v>
      </c>
      <c r="AJ37" s="129">
        <f>Test!Y250</f>
        <v>0</v>
      </c>
      <c r="AK37" s="129">
        <f>Test!Z250</f>
        <v>0</v>
      </c>
      <c r="AL37" s="129" t="e">
        <f t="shared" si="2"/>
        <v>#DIV/0!</v>
      </c>
      <c r="AM37" s="129" t="e">
        <f t="shared" si="2"/>
        <v>#DIV/0!</v>
      </c>
      <c r="AO37" s="254" t="s">
        <v>28</v>
      </c>
      <c r="AP37" s="172" t="e" cm="1">
        <f t="array" ref="AP37">bdRateExtend($C36:$C39,D36:D39,$U36:$U39,V36:V39)</f>
        <v>#VALUE!</v>
      </c>
      <c r="AQ37" s="172"/>
      <c r="AR37" s="172"/>
      <c r="AS37" s="172"/>
      <c r="AT37" s="172" t="e" cm="1">
        <f t="array" ref="AT37">bdRateExtend($C36:$C39,H36:H39,$U36:$U39,Z36:Z39)</f>
        <v>#VALUE!</v>
      </c>
      <c r="AU37" s="172"/>
      <c r="AV37" s="172" t="e" cm="1">
        <f t="array" ref="AV37">bdRateExtend($C36:$C39,I36:I39,$U36:$U39,AA36:AA39)</f>
        <v>#VALUE!</v>
      </c>
      <c r="AW37" s="172"/>
      <c r="AX37" s="172" t="e" cm="1">
        <f t="array" ref="AX37">bdRateExtend($C36:$C39,J36:J39,$U36:$U39,AB36:AB39,"None", FALSE,1)</f>
        <v>#VALUE!</v>
      </c>
      <c r="AY37" s="175"/>
      <c r="AZ37" s="286" cm="1">
        <f t="array" ref="AZ37">testVMAFRange($C36:$C39,J36:J39,$U36:$U39,AB36:AB39)</f>
        <v>0</v>
      </c>
      <c r="BA37" s="212"/>
      <c r="EV37" s="7"/>
      <c r="EW37" s="7"/>
      <c r="EX37" s="7"/>
      <c r="EY37" s="7"/>
      <c r="EZ37" s="7"/>
      <c r="FA37" s="7"/>
      <c r="FB37" s="7"/>
      <c r="FC37" s="7"/>
    </row>
    <row r="38" spans="1:159" x14ac:dyDescent="0.15">
      <c r="A38" s="250"/>
      <c r="B38" s="38">
        <v>185</v>
      </c>
      <c r="C38" s="129">
        <f>Anchor!L251</f>
        <v>0</v>
      </c>
      <c r="D38" s="129">
        <f>Anchor!M251</f>
        <v>0</v>
      </c>
      <c r="E38" s="129">
        <f>Anchor!N251</f>
        <v>0</v>
      </c>
      <c r="F38" s="129">
        <f>Anchor!O251</f>
        <v>0</v>
      </c>
      <c r="G38" s="130">
        <f>('Summary (Full)'!$B$34*D38+'Summary (Full)'!$B$35*E38+'Summary (Full)'!$B$36*F38)/'Summary (Full)'!$B$37</f>
        <v>0</v>
      </c>
      <c r="H38" s="129">
        <f>Anchor!P251</f>
        <v>0</v>
      </c>
      <c r="I38" s="129">
        <f>Anchor!Q251</f>
        <v>0</v>
      </c>
      <c r="J38" s="129">
        <f>Anchor!R251</f>
        <v>0</v>
      </c>
      <c r="K38" s="129">
        <f>Anchor!S251</f>
        <v>0</v>
      </c>
      <c r="L38" s="129">
        <f>Anchor!T251</f>
        <v>0</v>
      </c>
      <c r="M38" s="129">
        <f>Anchor!U251</f>
        <v>0</v>
      </c>
      <c r="N38" s="129">
        <f>Anchor!V251</f>
        <v>0</v>
      </c>
      <c r="O38" s="129">
        <f>Anchor!W251</f>
        <v>0</v>
      </c>
      <c r="P38" s="129">
        <f>Anchor!X251</f>
        <v>0</v>
      </c>
      <c r="Q38" s="131">
        <f>10*LOG10(1/(('Summary (Full)'!$B$41/10^(N38/10)+'Summary (Full)'!$B$42/10^(O38/10)+'Summary (Full)'!$B$43/10^(P38/10))/'Summary (Full)'!$B$44))</f>
        <v>0</v>
      </c>
      <c r="R38" s="129">
        <f>Anchor!Y251</f>
        <v>0</v>
      </c>
      <c r="S38" s="129">
        <f>Anchor!Z251</f>
        <v>0</v>
      </c>
      <c r="U38" s="129">
        <f>Test!L251</f>
        <v>0</v>
      </c>
      <c r="V38" s="129">
        <f>Test!M251</f>
        <v>0</v>
      </c>
      <c r="W38" s="129">
        <f>Test!N251</f>
        <v>0</v>
      </c>
      <c r="X38" s="129">
        <f>Test!O251</f>
        <v>0</v>
      </c>
      <c r="Y38" s="129">
        <f>('Summary (Full)'!$B$34*V38+'Summary (Full)'!$B$35*W38+'Summary (Full)'!$B$36*X38)/'Summary (Full)'!$B$37</f>
        <v>0</v>
      </c>
      <c r="Z38" s="129">
        <f>Test!P251</f>
        <v>0</v>
      </c>
      <c r="AA38" s="129">
        <f>Test!Q251</f>
        <v>0</v>
      </c>
      <c r="AB38" s="129">
        <f>Test!R251</f>
        <v>0</v>
      </c>
      <c r="AC38" s="129">
        <f>Test!S251</f>
        <v>0</v>
      </c>
      <c r="AD38" s="129">
        <f>Test!T251</f>
        <v>0</v>
      </c>
      <c r="AE38" s="129">
        <f>Test!U251</f>
        <v>0</v>
      </c>
      <c r="AF38" s="129">
        <f>Test!V251</f>
        <v>0</v>
      </c>
      <c r="AG38" s="129">
        <f>Test!W251</f>
        <v>0</v>
      </c>
      <c r="AH38" s="129">
        <f>Test!X251</f>
        <v>0</v>
      </c>
      <c r="AI38" s="129">
        <f>10*LOG10(1/(('Summary (Full)'!$B$41/10^(AF38/10)+'Summary (Full)'!$B$42/10^(AG38/10)+'Summary (Full)'!$B$43/10^(AH38/10))/'Summary (Full)'!$B$44))</f>
        <v>0</v>
      </c>
      <c r="AJ38" s="129">
        <f>Test!Y251</f>
        <v>0</v>
      </c>
      <c r="AK38" s="129">
        <f>Test!Z251</f>
        <v>0</v>
      </c>
      <c r="AL38" s="129" t="e">
        <f t="shared" si="2"/>
        <v>#DIV/0!</v>
      </c>
      <c r="AM38" s="129" t="e">
        <f t="shared" si="2"/>
        <v>#DIV/0!</v>
      </c>
      <c r="AO38" s="254"/>
      <c r="AP38" s="172"/>
      <c r="AQ38" s="172"/>
      <c r="AR38" s="172"/>
      <c r="AS38" s="172"/>
      <c r="AT38" s="172"/>
      <c r="AU38" s="172"/>
      <c r="AV38" s="172"/>
      <c r="AW38" s="172"/>
      <c r="AX38" s="172"/>
      <c r="AY38" s="175"/>
      <c r="AZ38" s="286"/>
      <c r="BA38" s="212"/>
      <c r="EV38" s="7"/>
      <c r="EW38" s="7"/>
      <c r="EX38" s="7"/>
      <c r="EY38" s="7"/>
      <c r="EZ38" s="7"/>
      <c r="FA38" s="7"/>
      <c r="FB38" s="7"/>
      <c r="FC38" s="7"/>
    </row>
    <row r="39" spans="1:159" ht="13" customHeight="1" x14ac:dyDescent="0.15">
      <c r="A39" s="250"/>
      <c r="B39" s="38">
        <v>210</v>
      </c>
      <c r="C39" s="129">
        <f>Anchor!L252</f>
        <v>0</v>
      </c>
      <c r="D39" s="129">
        <f>Anchor!M252</f>
        <v>0</v>
      </c>
      <c r="E39" s="129">
        <f>Anchor!N252</f>
        <v>0</v>
      </c>
      <c r="F39" s="129">
        <f>Anchor!O252</f>
        <v>0</v>
      </c>
      <c r="G39" s="130">
        <f>('Summary (Full)'!$B$34*D39+'Summary (Full)'!$B$35*E39+'Summary (Full)'!$B$36*F39)/'Summary (Full)'!$B$37</f>
        <v>0</v>
      </c>
      <c r="H39" s="129">
        <f>Anchor!P252</f>
        <v>0</v>
      </c>
      <c r="I39" s="129">
        <f>Anchor!Q252</f>
        <v>0</v>
      </c>
      <c r="J39" s="129">
        <f>Anchor!R252</f>
        <v>0</v>
      </c>
      <c r="K39" s="129">
        <f>Anchor!S252</f>
        <v>0</v>
      </c>
      <c r="L39" s="129">
        <f>Anchor!T252</f>
        <v>0</v>
      </c>
      <c r="M39" s="129">
        <f>Anchor!U252</f>
        <v>0</v>
      </c>
      <c r="N39" s="129">
        <f>Anchor!V252</f>
        <v>0</v>
      </c>
      <c r="O39" s="129">
        <f>Anchor!W252</f>
        <v>0</v>
      </c>
      <c r="P39" s="129">
        <f>Anchor!X252</f>
        <v>0</v>
      </c>
      <c r="Q39" s="131">
        <f>10*LOG10(1/(('Summary (Full)'!$B$41/10^(N39/10)+'Summary (Full)'!$B$42/10^(O39/10)+'Summary (Full)'!$B$43/10^(P39/10))/'Summary (Full)'!$B$44))</f>
        <v>0</v>
      </c>
      <c r="R39" s="129">
        <f>Anchor!Y252</f>
        <v>0</v>
      </c>
      <c r="S39" s="129">
        <f>Anchor!Z252</f>
        <v>0</v>
      </c>
      <c r="U39" s="129">
        <f>Test!L252</f>
        <v>0</v>
      </c>
      <c r="V39" s="129">
        <f>Test!M252</f>
        <v>0</v>
      </c>
      <c r="W39" s="129">
        <f>Test!N252</f>
        <v>0</v>
      </c>
      <c r="X39" s="129">
        <f>Test!O252</f>
        <v>0</v>
      </c>
      <c r="Y39" s="129">
        <f>('Summary (Full)'!$B$34*V39+'Summary (Full)'!$B$35*W39+'Summary (Full)'!$B$36*X39)/'Summary (Full)'!$B$37</f>
        <v>0</v>
      </c>
      <c r="Z39" s="129">
        <f>Test!P252</f>
        <v>0</v>
      </c>
      <c r="AA39" s="129">
        <f>Test!Q252</f>
        <v>0</v>
      </c>
      <c r="AB39" s="129">
        <f>Test!R252</f>
        <v>0</v>
      </c>
      <c r="AC39" s="129">
        <f>Test!S252</f>
        <v>0</v>
      </c>
      <c r="AD39" s="129">
        <f>Test!T252</f>
        <v>0</v>
      </c>
      <c r="AE39" s="129">
        <f>Test!U252</f>
        <v>0</v>
      </c>
      <c r="AF39" s="129">
        <f>Test!V252</f>
        <v>0</v>
      </c>
      <c r="AG39" s="129">
        <f>Test!W252</f>
        <v>0</v>
      </c>
      <c r="AH39" s="129">
        <f>Test!X252</f>
        <v>0</v>
      </c>
      <c r="AI39" s="129">
        <f>10*LOG10(1/(('Summary (Full)'!$B$41/10^(AF39/10)+'Summary (Full)'!$B$42/10^(AG39/10)+'Summary (Full)'!$B$43/10^(AH39/10))/'Summary (Full)'!$B$44))</f>
        <v>0</v>
      </c>
      <c r="AJ39" s="129">
        <f>Test!Y252</f>
        <v>0</v>
      </c>
      <c r="AK39" s="129">
        <f>Test!Z252</f>
        <v>0</v>
      </c>
      <c r="AL39" s="129" t="e">
        <f t="shared" si="2"/>
        <v>#DIV/0!</v>
      </c>
      <c r="AM39" s="129" t="e">
        <f t="shared" si="2"/>
        <v>#DIV/0!</v>
      </c>
      <c r="AO39" s="254" t="s">
        <v>29</v>
      </c>
      <c r="AP39" s="172" t="e" cm="1">
        <f t="array" ref="AP39">bdRateExtend($C37:$C40,D37:D40,$U37:$U40,V37:V40)</f>
        <v>#VALUE!</v>
      </c>
      <c r="AQ39" s="172"/>
      <c r="AR39" s="172"/>
      <c r="AS39" s="172"/>
      <c r="AT39" s="172" t="e" cm="1">
        <f t="array" ref="AT39">bdRateExtend($C37:$C40,H37:H40,$U37:$U40,Z37:Z40)</f>
        <v>#VALUE!</v>
      </c>
      <c r="AU39" s="172"/>
      <c r="AV39" s="172" t="e" cm="1">
        <f t="array" ref="AV39">bdRateExtend($C37:$C40,I37:I40,$U37:$U40,AA37:AA40)</f>
        <v>#VALUE!</v>
      </c>
      <c r="AW39" s="172"/>
      <c r="AX39" s="172" t="e" cm="1">
        <f t="array" ref="AX39">bdRateExtend($C37:$C40,J37:J40,$U37:$U40,AB37:AB40,"None", FALSE,1)</f>
        <v>#VALUE!</v>
      </c>
      <c r="AY39" s="175"/>
      <c r="AZ39" s="286" cm="1">
        <f t="array" ref="AZ39">testVMAFRange($C37:$C40,J37:J40,$U37:$U40,AB37:AB40)</f>
        <v>0</v>
      </c>
      <c r="BA39" s="212"/>
      <c r="EV39" s="7"/>
      <c r="EW39" s="7"/>
      <c r="EX39" s="7"/>
      <c r="EY39" s="7"/>
      <c r="EZ39" s="7"/>
      <c r="FA39" s="7"/>
      <c r="FB39" s="7"/>
      <c r="FC39" s="7"/>
    </row>
    <row r="40" spans="1:159" ht="14" thickBot="1" x14ac:dyDescent="0.2">
      <c r="A40" s="250"/>
      <c r="B40" s="38">
        <v>235</v>
      </c>
      <c r="C40" s="129">
        <f>Anchor!L253</f>
        <v>0</v>
      </c>
      <c r="D40" s="129">
        <f>Anchor!M253</f>
        <v>0</v>
      </c>
      <c r="E40" s="129">
        <f>Anchor!N253</f>
        <v>0</v>
      </c>
      <c r="F40" s="129">
        <f>Anchor!O253</f>
        <v>0</v>
      </c>
      <c r="G40" s="130">
        <f>('Summary (Full)'!$B$34*D40+'Summary (Full)'!$B$35*E40+'Summary (Full)'!$B$36*F40)/'Summary (Full)'!$B$37</f>
        <v>0</v>
      </c>
      <c r="H40" s="129">
        <f>Anchor!P253</f>
        <v>0</v>
      </c>
      <c r="I40" s="129">
        <f>Anchor!Q253</f>
        <v>0</v>
      </c>
      <c r="J40" s="129">
        <f>Anchor!R253</f>
        <v>0</v>
      </c>
      <c r="K40" s="129">
        <f>Anchor!S253</f>
        <v>0</v>
      </c>
      <c r="L40" s="129">
        <f>Anchor!T253</f>
        <v>0</v>
      </c>
      <c r="M40" s="129">
        <f>Anchor!U253</f>
        <v>0</v>
      </c>
      <c r="N40" s="129">
        <f>Anchor!V253</f>
        <v>0</v>
      </c>
      <c r="O40" s="129">
        <f>Anchor!W253</f>
        <v>0</v>
      </c>
      <c r="P40" s="129">
        <f>Anchor!X253</f>
        <v>0</v>
      </c>
      <c r="Q40" s="131">
        <f>10*LOG10(1/(('Summary (Full)'!$B$41/10^(N40/10)+'Summary (Full)'!$B$42/10^(O40/10)+'Summary (Full)'!$B$43/10^(P40/10))/'Summary (Full)'!$B$44))</f>
        <v>0</v>
      </c>
      <c r="R40" s="129">
        <f>Anchor!Y253</f>
        <v>0</v>
      </c>
      <c r="S40" s="129">
        <f>Anchor!Z253</f>
        <v>0</v>
      </c>
      <c r="U40" s="129">
        <f>Test!L253</f>
        <v>0</v>
      </c>
      <c r="V40" s="129">
        <f>Test!M253</f>
        <v>0</v>
      </c>
      <c r="W40" s="129">
        <f>Test!N253</f>
        <v>0</v>
      </c>
      <c r="X40" s="129">
        <f>Test!O253</f>
        <v>0</v>
      </c>
      <c r="Y40" s="129">
        <f>('Summary (Full)'!$B$34*V40+'Summary (Full)'!$B$35*W40+'Summary (Full)'!$B$36*X40)/'Summary (Full)'!$B$37</f>
        <v>0</v>
      </c>
      <c r="Z40" s="129">
        <f>Test!P253</f>
        <v>0</v>
      </c>
      <c r="AA40" s="129">
        <f>Test!Q253</f>
        <v>0</v>
      </c>
      <c r="AB40" s="129">
        <f>Test!R253</f>
        <v>0</v>
      </c>
      <c r="AC40" s="129">
        <f>Test!S253</f>
        <v>0</v>
      </c>
      <c r="AD40" s="129">
        <f>Test!T253</f>
        <v>0</v>
      </c>
      <c r="AE40" s="129">
        <f>Test!U253</f>
        <v>0</v>
      </c>
      <c r="AF40" s="129">
        <f>Test!V253</f>
        <v>0</v>
      </c>
      <c r="AG40" s="129">
        <f>Test!W253</f>
        <v>0</v>
      </c>
      <c r="AH40" s="129">
        <f>Test!X253</f>
        <v>0</v>
      </c>
      <c r="AI40" s="129">
        <f>10*LOG10(1/(('Summary (Full)'!$B$41/10^(AF40/10)+'Summary (Full)'!$B$42/10^(AG40/10)+'Summary (Full)'!$B$43/10^(AH40/10))/'Summary (Full)'!$B$44))</f>
        <v>0</v>
      </c>
      <c r="AJ40" s="129">
        <f>Test!Y253</f>
        <v>0</v>
      </c>
      <c r="AK40" s="129">
        <f>Test!Z253</f>
        <v>0</v>
      </c>
      <c r="AL40" s="129" t="e">
        <f t="shared" si="2"/>
        <v>#DIV/0!</v>
      </c>
      <c r="AM40" s="129" t="e">
        <f t="shared" si="2"/>
        <v>#DIV/0!</v>
      </c>
      <c r="AO40" s="263"/>
      <c r="AP40" s="173"/>
      <c r="AQ40" s="173"/>
      <c r="AR40" s="173"/>
      <c r="AS40" s="173"/>
      <c r="AT40" s="173"/>
      <c r="AU40" s="173"/>
      <c r="AV40" s="173"/>
      <c r="AW40" s="173"/>
      <c r="AX40" s="173"/>
      <c r="AY40" s="188"/>
      <c r="AZ40" s="287"/>
      <c r="BA40" s="240"/>
      <c r="EV40" s="7"/>
      <c r="EW40" s="7"/>
      <c r="EX40" s="7"/>
      <c r="EY40" s="7"/>
      <c r="EZ40" s="7"/>
      <c r="FA40" s="7"/>
      <c r="FB40" s="7"/>
      <c r="FC40" s="7"/>
    </row>
    <row r="41" spans="1:159" x14ac:dyDescent="0.15">
      <c r="EV41" s="7"/>
      <c r="EW41" s="7"/>
      <c r="EX41" s="7"/>
      <c r="EY41" s="7"/>
      <c r="EZ41" s="7"/>
      <c r="FA41" s="7"/>
      <c r="FB41" s="7"/>
      <c r="FC41" s="7"/>
    </row>
    <row r="42" spans="1:159" ht="14" thickBot="1" x14ac:dyDescent="0.2">
      <c r="EV42" s="7"/>
      <c r="EW42" s="7"/>
      <c r="EX42" s="7"/>
      <c r="EY42" s="7"/>
      <c r="EZ42" s="7"/>
      <c r="FA42" s="7"/>
      <c r="FB42" s="7"/>
      <c r="FC42" s="7"/>
    </row>
    <row r="43" spans="1:159" x14ac:dyDescent="0.15">
      <c r="A43" s="265" t="s">
        <v>76</v>
      </c>
      <c r="B43" s="266"/>
      <c r="C43" s="266"/>
      <c r="D43" s="266"/>
      <c r="E43" s="266"/>
      <c r="F43" s="266"/>
      <c r="G43" s="266"/>
      <c r="H43" s="266"/>
      <c r="I43" s="266"/>
      <c r="J43" s="266"/>
      <c r="K43" s="266"/>
      <c r="L43" s="266"/>
      <c r="M43" s="266"/>
      <c r="N43" s="266"/>
      <c r="O43" s="266"/>
      <c r="P43" s="266"/>
      <c r="Q43" s="266"/>
      <c r="R43" s="266"/>
      <c r="S43" s="266"/>
      <c r="T43" s="266"/>
      <c r="U43" s="266"/>
      <c r="V43" s="266"/>
      <c r="W43" s="147"/>
      <c r="X43" s="147"/>
      <c r="Y43" s="147"/>
      <c r="Z43" s="147"/>
      <c r="AA43" s="147"/>
      <c r="AB43" s="147"/>
      <c r="AC43" s="147"/>
      <c r="AD43" s="147"/>
      <c r="AE43" s="147"/>
      <c r="AF43" s="147"/>
      <c r="AG43" s="147"/>
      <c r="AH43" s="147"/>
      <c r="AI43" s="148"/>
      <c r="AJ43" s="148"/>
      <c r="AK43" s="148"/>
      <c r="AL43" s="149"/>
      <c r="EV43" s="7"/>
      <c r="EW43" s="7"/>
      <c r="EX43" s="7"/>
      <c r="EY43" s="7"/>
      <c r="EZ43" s="7"/>
      <c r="FA43" s="7"/>
      <c r="FB43" s="7"/>
      <c r="FC43" s="7"/>
    </row>
    <row r="44" spans="1:159" x14ac:dyDescent="0.15">
      <c r="A44" s="267" t="s">
        <v>13</v>
      </c>
      <c r="B44" s="268"/>
      <c r="C44" s="268"/>
      <c r="D44" s="268"/>
      <c r="E44" s="268"/>
      <c r="F44" s="268"/>
      <c r="G44" s="268"/>
      <c r="H44" s="268"/>
      <c r="I44" s="268"/>
      <c r="J44" s="268"/>
      <c r="K44" s="268"/>
      <c r="L44" s="268"/>
      <c r="M44" s="136"/>
      <c r="N44" s="136"/>
      <c r="O44" s="136"/>
      <c r="P44" s="136"/>
      <c r="Q44" s="294" t="s">
        <v>1</v>
      </c>
      <c r="R44" s="294"/>
      <c r="S44" s="294" t="s">
        <v>22</v>
      </c>
      <c r="T44" s="294"/>
      <c r="U44" s="294" t="s">
        <v>0</v>
      </c>
      <c r="V44" s="294"/>
      <c r="W44" s="294" t="s">
        <v>49</v>
      </c>
      <c r="X44" s="294"/>
      <c r="Y44" s="295" t="s">
        <v>40</v>
      </c>
      <c r="Z44" s="295"/>
      <c r="AA44" s="295" t="s">
        <v>44</v>
      </c>
      <c r="AB44" s="295"/>
      <c r="AC44" s="295" t="s">
        <v>45</v>
      </c>
      <c r="AD44" s="295"/>
      <c r="AE44" s="295"/>
      <c r="AF44" s="295"/>
      <c r="AG44" s="295"/>
      <c r="AH44" s="295"/>
      <c r="AI44" s="288" t="s">
        <v>13</v>
      </c>
      <c r="AJ44" s="288"/>
      <c r="AK44" s="289" t="s">
        <v>42</v>
      </c>
      <c r="AL44" s="290"/>
      <c r="EV44" s="7"/>
      <c r="EW44" s="7"/>
      <c r="EX44" s="7"/>
      <c r="EY44" s="7"/>
      <c r="EZ44" s="7"/>
      <c r="FA44" s="7"/>
      <c r="FB44" s="7"/>
      <c r="FC44" s="7"/>
    </row>
    <row r="45" spans="1:159" x14ac:dyDescent="0.15">
      <c r="A45" s="95"/>
      <c r="B45" s="93"/>
      <c r="C45" s="294" t="s">
        <v>13</v>
      </c>
      <c r="D45" s="294"/>
      <c r="E45" s="294"/>
      <c r="F45" s="294"/>
      <c r="G45" s="136"/>
      <c r="H45" s="136"/>
      <c r="I45" s="136"/>
      <c r="J45" s="136"/>
      <c r="K45" s="136"/>
      <c r="L45" s="136"/>
      <c r="M45" s="294" t="s">
        <v>42</v>
      </c>
      <c r="N45" s="294"/>
      <c r="O45" s="294"/>
      <c r="P45" s="294"/>
      <c r="Q45" s="136"/>
      <c r="R45" s="136"/>
      <c r="S45" s="136"/>
      <c r="T45" s="136"/>
      <c r="U45" s="136"/>
      <c r="V45" s="136"/>
      <c r="W45" s="136"/>
      <c r="X45" s="136"/>
      <c r="Y45" s="136"/>
      <c r="Z45" s="136"/>
      <c r="AA45" s="136"/>
      <c r="AB45" s="136"/>
      <c r="AC45" s="136"/>
      <c r="AD45" s="136"/>
      <c r="AE45" s="136"/>
      <c r="AF45" s="136"/>
      <c r="AG45" s="136"/>
      <c r="AH45" s="136"/>
      <c r="AI45" s="150"/>
      <c r="AJ45" s="150"/>
      <c r="AK45" s="150"/>
      <c r="AL45" s="151"/>
      <c r="EV45" s="7"/>
      <c r="EW45" s="7"/>
      <c r="EX45" s="7"/>
      <c r="EY45" s="7"/>
      <c r="EZ45" s="7"/>
      <c r="FA45" s="7"/>
      <c r="FB45" s="7"/>
      <c r="FC45" s="7"/>
    </row>
    <row r="46" spans="1:159" ht="17" customHeight="1" thickBot="1" x14ac:dyDescent="0.2">
      <c r="A46" s="269" t="s">
        <v>23</v>
      </c>
      <c r="B46" s="270"/>
      <c r="C46" s="137" t="s">
        <v>24</v>
      </c>
      <c r="D46" s="137" t="s">
        <v>25</v>
      </c>
      <c r="E46" s="137" t="s">
        <v>26</v>
      </c>
      <c r="F46" s="137" t="s">
        <v>38</v>
      </c>
      <c r="G46" s="137" t="s">
        <v>5</v>
      </c>
      <c r="H46" s="137" t="s">
        <v>22</v>
      </c>
      <c r="I46" s="137" t="s">
        <v>0</v>
      </c>
      <c r="J46" s="137" t="s">
        <v>39</v>
      </c>
      <c r="K46" s="137" t="s">
        <v>40</v>
      </c>
      <c r="L46" s="137" t="s">
        <v>41</v>
      </c>
      <c r="M46" s="137" t="s">
        <v>24</v>
      </c>
      <c r="N46" s="137" t="s">
        <v>25</v>
      </c>
      <c r="O46" s="137" t="s">
        <v>26</v>
      </c>
      <c r="P46" s="137" t="s">
        <v>38</v>
      </c>
      <c r="Q46" s="137" t="s">
        <v>23</v>
      </c>
      <c r="R46" s="137" t="s">
        <v>24</v>
      </c>
      <c r="S46" s="137" t="s">
        <v>23</v>
      </c>
      <c r="T46" s="137" t="s">
        <v>24</v>
      </c>
      <c r="U46" s="137" t="s">
        <v>23</v>
      </c>
      <c r="V46" s="137" t="s">
        <v>24</v>
      </c>
      <c r="W46" s="137" t="s">
        <v>23</v>
      </c>
      <c r="X46" s="137" t="s">
        <v>24</v>
      </c>
      <c r="Y46" s="137" t="s">
        <v>23</v>
      </c>
      <c r="Z46" s="137" t="s">
        <v>24</v>
      </c>
      <c r="AA46" s="137" t="s">
        <v>23</v>
      </c>
      <c r="AB46" s="137" t="s">
        <v>24</v>
      </c>
      <c r="AC46" s="137" t="s">
        <v>23</v>
      </c>
      <c r="AD46" s="137" t="s">
        <v>24</v>
      </c>
      <c r="AE46" s="137" t="s">
        <v>24</v>
      </c>
      <c r="AF46" s="137" t="s">
        <v>25</v>
      </c>
      <c r="AG46" s="137" t="s">
        <v>26</v>
      </c>
      <c r="AH46" s="137" t="s">
        <v>38</v>
      </c>
      <c r="AI46" s="291" t="s">
        <v>38</v>
      </c>
      <c r="AJ46" s="291"/>
      <c r="AK46" s="292" t="s">
        <v>38</v>
      </c>
      <c r="AL46" s="293"/>
      <c r="EV46" s="7"/>
      <c r="EW46" s="7"/>
      <c r="EX46" s="7"/>
      <c r="EY46" s="7"/>
      <c r="EZ46" s="7"/>
      <c r="FA46" s="7"/>
      <c r="FB46" s="7"/>
      <c r="FC46" s="7"/>
    </row>
    <row r="47" spans="1:159" x14ac:dyDescent="0.15">
      <c r="A47" s="253" t="s">
        <v>27</v>
      </c>
      <c r="B47" s="171" t="e">
        <f>bdRateROI($CL5:$CL63,CM5:CM63,$DZ5:$DZ63,EA5:EA63,CJ11,CJ6,1, 0, TRUE)</f>
        <v>#VALUE!</v>
      </c>
      <c r="C47" s="171" t="e">
        <f t="shared" ref="C47:H47" si="3">bdRateExtend($CL5:$CL63,CN5:CN63,$DZ5:$DZ63,EB5:EB63, "None", FALSE, 0, TRUE)</f>
        <v>#VALUE!</v>
      </c>
      <c r="D47" s="171" t="e">
        <f t="shared" si="3"/>
        <v>#VALUE!</v>
      </c>
      <c r="E47" s="171" t="e">
        <f t="shared" si="3"/>
        <v>#VALUE!</v>
      </c>
      <c r="F47" s="171" t="e">
        <f t="shared" si="3"/>
        <v>#VALUE!</v>
      </c>
      <c r="G47" s="171" t="e">
        <f t="shared" si="3"/>
        <v>#VALUE!</v>
      </c>
      <c r="H47" s="171" t="e">
        <f t="shared" si="3"/>
        <v>#VALUE!</v>
      </c>
      <c r="I47" s="171" t="e">
        <f>bdRateExtend($CL5:$CL63,CT5:CT63,$DZ5:$DZ63,EH5:EH63,"None", FALSE,2,TRUE)</f>
        <v>#VALUE!</v>
      </c>
      <c r="J47" s="171" t="e">
        <f>bdRateExtend($CL5:$CL63,CU5:CU63,$DZ5:$DZ63,EI5:EI63,"None", FALSE,2,TRUE)</f>
        <v>#VALUE!</v>
      </c>
      <c r="K47" s="171" t="e">
        <f t="shared" ref="K47:P47" si="4">bdRateExtend($CL5:$CL63,CV5:CV63,$DZ5:$DZ63,EJ5:EJ63, "None", FALSE, 0, TRUE)</f>
        <v>#VALUE!</v>
      </c>
      <c r="L47" s="171" t="e">
        <f t="shared" si="4"/>
        <v>#VALUE!</v>
      </c>
      <c r="M47" s="171" t="e">
        <f t="shared" si="4"/>
        <v>#VALUE!</v>
      </c>
      <c r="N47" s="171" t="e">
        <f t="shared" si="4"/>
        <v>#VALUE!</v>
      </c>
      <c r="O47" s="171" t="e">
        <f t="shared" si="4"/>
        <v>#VALUE!</v>
      </c>
      <c r="P47" s="171" t="e">
        <f t="shared" si="4"/>
        <v>#VALUE!</v>
      </c>
      <c r="Q47" s="171" t="e">
        <f>bdRateROI($DE5:$DE63,DF5:DF63,$ER5:$ER63,ES5:ES63,CJ11,CJ6,1, 0, TRUE)</f>
        <v>#VALUE!</v>
      </c>
      <c r="R47" s="171" t="e">
        <f>bdRateExtend($DE5:$DE63,DF5:DF63,$ER5:$ER63,ES5:ES63, "None", FALSE, 0, TRUE)</f>
        <v>#VALUE!</v>
      </c>
      <c r="S47" s="171" t="e">
        <f>bdRateROI($DH5:$DH63,DI5:DI63,$ET5:$ET63,EU5:EU63,CJ11,CJ6,1, 0, TRUE)</f>
        <v>#VALUE!</v>
      </c>
      <c r="T47" s="171" t="e">
        <f>bdRateExtend($DH5:$DH63,DI5:DI63,$ET5:$ET63,EU5:EU63, "None", FALSE, 0, TRUE)</f>
        <v>#VALUE!</v>
      </c>
      <c r="U47" s="171" t="e">
        <f>bdRateROI($DK5:$DK63,DL5:DL63,$EV5:$EV63,EW5:EW63,$CJ11,$CJ6,1,2,TRUE)</f>
        <v>#VALUE!</v>
      </c>
      <c r="V47" s="171" t="e">
        <f>bdRateExtend($DK5:$DK63,DL5:DL63,$EV5:$EV63,EW5:EW63,"None", FALSE,2,TRUE)</f>
        <v>#VALUE!</v>
      </c>
      <c r="W47" s="171" t="e">
        <f>bdRateROI(DM5:DM63,DN5:DN63,EX5:EX63,EY5:EY63,$CJ11,$CJ6,1,2,TRUE)</f>
        <v>#VALUE!</v>
      </c>
      <c r="X47" s="171" t="e">
        <f>bdRateExtend(DM5:DM63,DN5:DN63,EX5:EX63,EY5:EY63,"None", FALSE,2,TRUE)</f>
        <v>#VALUE!</v>
      </c>
      <c r="Y47" s="171" t="e">
        <f>bdRateROI(DO5:DO63,DP5:DP63,EZ5:EZ63,FA5:FA63,$CJ11,$CJ6,1, 0, TRUE)</f>
        <v>#VALUE!</v>
      </c>
      <c r="Z47" s="171" t="e">
        <f>bdRateExtend(DO5:DO63,DP5:DP63,EZ5:EZ63,FA5:FA63, "None", FALSE, 0, TRUE)</f>
        <v>#VALUE!</v>
      </c>
      <c r="AA47" s="171" t="e">
        <f>bdRateROI(DQ5:DQ63,DR5:DR63,FB5:FB63,FC5:FC63,$CJ11,$CJ6,1, 0, TRUE)</f>
        <v>#VALUE!</v>
      </c>
      <c r="AB47" s="171" t="e">
        <f>bdRateExtend(DQ5:DQ63,DR5:DR63,FB5:FB63,FC5:FC63, "None", FALSE, 0, TRUE)</f>
        <v>#VALUE!</v>
      </c>
      <c r="AC47" s="171" t="e">
        <f>bdRateROI(DS5:DS63,DT5:DT63,FD5:FD63,FE5:FE63,$CJ11,$CJ6,1, 0, TRUE)</f>
        <v>#VALUE!</v>
      </c>
      <c r="AD47" s="171" t="e">
        <f>bdRateExtend(DS5:DS63,DT5:DT63,FD5:FD63,FE5:FE63, "None", FALSE, 0, TRUE)</f>
        <v>#VALUE!</v>
      </c>
      <c r="AE47" s="171" t="e">
        <f>bdRateExtend($DS5:$DS63,DU5:DU63,$FD5:$FD63,FF5:FF63, "None", FALSE, 0, TRUE)</f>
        <v>#VALUE!</v>
      </c>
      <c r="AF47" s="171" t="e">
        <f>bdRateExtend($DS5:$DS63,DV5:DV63,$FD5:$FD63,FG5:FG63, "None", FALSE, 0, TRUE)</f>
        <v>#VALUE!</v>
      </c>
      <c r="AG47" s="171" t="e">
        <f>bdRateExtend($DS5:$DS63,DW5:DW63,$FD5:$FD63,FH5:FH63, "None", FALSE, 0, TRUE)</f>
        <v>#VALUE!</v>
      </c>
      <c r="AH47" s="171" t="e">
        <f>bdRateExtend($DS5:$DS63,DX5:DX63,$FD5:$FD63,FI5:FI63, "None", FALSE, 0, TRUE)</f>
        <v>#VALUE!</v>
      </c>
      <c r="AI47" s="171" t="e">
        <f>bdRateROI($FK5:$FK63,FL5:FL63,$FP5:$FP63,FQ5:FQ63,$CJ11,$CJ6,1, 0, TRUE)</f>
        <v>#VALUE!</v>
      </c>
      <c r="AJ47" s="171" t="e">
        <f>bdRateExtend($FK5:$FK63,FL5:FL63,$FP5:$FP63,FQ5:FQ63, "None", FALSE, 0, TRUE)</f>
        <v>#VALUE!</v>
      </c>
      <c r="AK47" s="171" t="e">
        <f>bdRateROI($FM5:$FM63,FN5:FN63,$FR5:$FR63,FS5:FS63,$CJ11,$CJ6,1, 0, TRUE)</f>
        <v>#VALUE!</v>
      </c>
      <c r="AL47" s="174" t="e">
        <f>bdRateExtend($FM5:$FM63,FN5:FN63,$FR5:$FR63,FS5:FS63, "None", FALSE, 0, TRUE)</f>
        <v>#VALUE!</v>
      </c>
      <c r="EV47" s="7"/>
      <c r="EW47" s="7"/>
      <c r="EX47" s="7"/>
      <c r="EY47" s="7"/>
      <c r="EZ47" s="7"/>
      <c r="FA47" s="7"/>
      <c r="FB47" s="7"/>
      <c r="FC47" s="7"/>
    </row>
    <row r="48" spans="1:159" x14ac:dyDescent="0.15">
      <c r="A48" s="254"/>
      <c r="B48" s="172"/>
      <c r="C48" s="172"/>
      <c r="D48" s="172"/>
      <c r="E48" s="172"/>
      <c r="F48" s="172"/>
      <c r="G48" s="172"/>
      <c r="H48" s="172"/>
      <c r="I48" s="172"/>
      <c r="J48" s="172"/>
      <c r="K48" s="172"/>
      <c r="L48" s="172"/>
      <c r="M48" s="172"/>
      <c r="N48" s="172"/>
      <c r="O48" s="172"/>
      <c r="P48" s="172"/>
      <c r="Q48" s="172"/>
      <c r="R48" s="172"/>
      <c r="S48" s="172"/>
      <c r="T48" s="172"/>
      <c r="U48" s="172"/>
      <c r="V48" s="172"/>
      <c r="W48" s="172"/>
      <c r="X48" s="172"/>
      <c r="Y48" s="172"/>
      <c r="Z48" s="172"/>
      <c r="AA48" s="172"/>
      <c r="AB48" s="172"/>
      <c r="AC48" s="172"/>
      <c r="AD48" s="172"/>
      <c r="AE48" s="172"/>
      <c r="AF48" s="172"/>
      <c r="AG48" s="172"/>
      <c r="AH48" s="172"/>
      <c r="AI48" s="172"/>
      <c r="AJ48" s="172"/>
      <c r="AK48" s="172"/>
      <c r="AL48" s="175"/>
      <c r="EV48" s="7"/>
      <c r="EW48" s="7"/>
      <c r="EX48" s="7"/>
      <c r="EY48" s="7"/>
      <c r="EZ48" s="7"/>
      <c r="FA48" s="7"/>
      <c r="FB48" s="7"/>
      <c r="FC48" s="7"/>
    </row>
    <row r="49" spans="1:159" x14ac:dyDescent="0.15">
      <c r="A49" s="254" t="s">
        <v>28</v>
      </c>
      <c r="B49" s="172" t="e">
        <f>bdRateROI($CL5:$CL63,CM5:CM63,$DZ5:$DZ63,EA5:EA63,CJ10,CJ11,1, 0, TRUE)</f>
        <v>#VALUE!</v>
      </c>
      <c r="C49" s="172"/>
      <c r="D49" s="172"/>
      <c r="E49" s="172"/>
      <c r="F49" s="172"/>
      <c r="G49" s="172"/>
      <c r="H49" s="172"/>
      <c r="I49" s="172"/>
      <c r="J49" s="172"/>
      <c r="K49" s="172"/>
      <c r="L49" s="172"/>
      <c r="M49" s="172"/>
      <c r="N49" s="172"/>
      <c r="O49" s="172"/>
      <c r="P49" s="172"/>
      <c r="Q49" s="172" t="e">
        <f>bdRateROI($DE5:$DE63,DF5:DF63,$ER5:$ER63,ES5:ES63,CJ10,CJ11,1, 0, TRUE)</f>
        <v>#VALUE!</v>
      </c>
      <c r="R49" s="172"/>
      <c r="S49" s="172" t="e">
        <f>bdRateROI($DH5:$DH63,DI5:DI63,$ET5:$ET63,EU5:EU63,CJ10,CJ11,1, 0, TRUE)</f>
        <v>#VALUE!</v>
      </c>
      <c r="T49" s="172"/>
      <c r="U49" s="172" t="e">
        <f>bdRateROI($DK5:$DK63,DL5:DL63,$EV5:$EV63,EW5:EW63,$CJ$10,$CJ$11,1,2,TRUE)</f>
        <v>#VALUE!</v>
      </c>
      <c r="V49" s="172"/>
      <c r="W49" s="172" t="e">
        <f>bdRateROI(DM5:DM63,DN5:DN63,EX5:EX63,EY5:EY63,$CJ$10,$CJ$11,1,2,TRUE)</f>
        <v>#VALUE!</v>
      </c>
      <c r="X49" s="172"/>
      <c r="Y49" s="172" t="e">
        <f>bdRateROI(DO5:DO63,DP5:DP63,EZ5:EZ63,FA5:FA63,$CJ$10,$CJ$11,1, 0, TRUE)</f>
        <v>#VALUE!</v>
      </c>
      <c r="Z49" s="172"/>
      <c r="AA49" s="172" t="e">
        <f>bdRateROI(DQ5:DQ63,DR5:DR63,FB5:FB63,FC5:FC63,$CJ$10,$CJ$11,1, 0, TRUE)</f>
        <v>#VALUE!</v>
      </c>
      <c r="AB49" s="172"/>
      <c r="AC49" s="172" t="e">
        <f>bdRateROI(DS5:DS63,DT5:DT63,FD5:FD63,FE5:FE63,$CJ$10,$CJ$11,1, 0, TRUE)</f>
        <v>#VALUE!</v>
      </c>
      <c r="AD49" s="172"/>
      <c r="AE49" s="172"/>
      <c r="AF49" s="172"/>
      <c r="AG49" s="172"/>
      <c r="AH49" s="172"/>
      <c r="AI49" s="172" t="e">
        <f>bdRateROI($FK5:$FK63,FL5:FL63,$FP5:$FP63,FQ5:FQ63,$CJ$10,$CJ$11,1, 0, TRUE)</f>
        <v>#VALUE!</v>
      </c>
      <c r="AJ49" s="172"/>
      <c r="AK49" s="172" t="e">
        <f>bdRateROI($FM5:$FM63,FN5:FN63,$FR5:$FR63,FS5:FS63,$CJ$10,$CJ$11,1, 0, TRUE)</f>
        <v>#VALUE!</v>
      </c>
      <c r="AL49" s="175"/>
      <c r="EV49" s="7"/>
      <c r="EW49" s="7"/>
      <c r="EX49" s="7"/>
      <c r="EY49" s="7"/>
      <c r="EZ49" s="7"/>
      <c r="FA49" s="7"/>
      <c r="FB49" s="7"/>
      <c r="FC49" s="7"/>
    </row>
    <row r="50" spans="1:159" x14ac:dyDescent="0.15">
      <c r="A50" s="254"/>
      <c r="B50" s="172"/>
      <c r="C50" s="172"/>
      <c r="D50" s="172"/>
      <c r="E50" s="172"/>
      <c r="F50" s="172"/>
      <c r="G50" s="172"/>
      <c r="H50" s="172"/>
      <c r="I50" s="172"/>
      <c r="J50" s="172"/>
      <c r="K50" s="172"/>
      <c r="L50" s="172"/>
      <c r="M50" s="172"/>
      <c r="N50" s="172"/>
      <c r="O50" s="172"/>
      <c r="P50" s="172"/>
      <c r="Q50" s="172"/>
      <c r="R50" s="172"/>
      <c r="S50" s="172"/>
      <c r="T50" s="172"/>
      <c r="U50" s="172"/>
      <c r="V50" s="172"/>
      <c r="W50" s="172"/>
      <c r="X50" s="172"/>
      <c r="Y50" s="172"/>
      <c r="Z50" s="172"/>
      <c r="AA50" s="172"/>
      <c r="AB50" s="172"/>
      <c r="AC50" s="172"/>
      <c r="AD50" s="172"/>
      <c r="AE50" s="172"/>
      <c r="AF50" s="172"/>
      <c r="AG50" s="172"/>
      <c r="AH50" s="172"/>
      <c r="AI50" s="172"/>
      <c r="AJ50" s="172"/>
      <c r="AK50" s="172"/>
      <c r="AL50" s="175"/>
      <c r="EV50" s="7"/>
      <c r="EW50" s="7"/>
      <c r="EX50" s="7"/>
      <c r="EY50" s="7"/>
      <c r="EZ50" s="7"/>
      <c r="FA50" s="7"/>
      <c r="FB50" s="7"/>
      <c r="FC50" s="7"/>
    </row>
    <row r="51" spans="1:159" x14ac:dyDescent="0.15">
      <c r="A51" s="254" t="s">
        <v>29</v>
      </c>
      <c r="B51" s="172" t="e">
        <f>bdRateROI($CL5:$CL63,CM5:CM63,$DZ5:$DZ63,EA5:EA63,CJ5,CJ10,1, 0, TRUE)</f>
        <v>#VALUE!</v>
      </c>
      <c r="C51" s="172"/>
      <c r="D51" s="172"/>
      <c r="E51" s="172"/>
      <c r="F51" s="172"/>
      <c r="G51" s="172"/>
      <c r="H51" s="172"/>
      <c r="I51" s="172"/>
      <c r="J51" s="172"/>
      <c r="K51" s="172"/>
      <c r="L51" s="172"/>
      <c r="M51" s="172"/>
      <c r="N51" s="172"/>
      <c r="O51" s="172"/>
      <c r="P51" s="172"/>
      <c r="Q51" s="172" t="e">
        <f>bdRateROI($DE5:$DE63,DF5:DF63,$ER5:$ER63,ES5:ES63,CJ5,CJ10,1, 0, TRUE)</f>
        <v>#VALUE!</v>
      </c>
      <c r="R51" s="172"/>
      <c r="S51" s="172" t="e">
        <f>bdRateROI($DH5:$DH63,DI5:DI63,$ET5:$ET63,EU5:EU63,CJ5,CJ10,1, 0, TRUE)</f>
        <v>#VALUE!</v>
      </c>
      <c r="T51" s="172"/>
      <c r="U51" s="172" t="e">
        <f>bdRateROI($DK5:$DK63,DL5:DL63,$EV5:$EV63,EW5:EW63,$CJ$5,$CJ$10,1,2,TRUE)</f>
        <v>#VALUE!</v>
      </c>
      <c r="V51" s="172"/>
      <c r="W51" s="172" t="e">
        <f>bdRateROI(DM5:DM63,DN5:DN63,EX5:EX63,EY5:EY63,$CJ$5,$CJ$10,1,2,TRUE)</f>
        <v>#VALUE!</v>
      </c>
      <c r="X51" s="172"/>
      <c r="Y51" s="172" t="e">
        <f>bdRateROI(DO5:DO63,DP5:DP63,EZ5:EZ63,FA5:FA63,$CJ$5,$CJ$10,1, 0, TRUE)</f>
        <v>#VALUE!</v>
      </c>
      <c r="Z51" s="172"/>
      <c r="AA51" s="172" t="e">
        <f>bdRateROI(DQ5:DQ63,DR5:DR63,FB5:FB63,FC5:FC63,$CJ$5,$CJ$10,1, 0, TRUE)</f>
        <v>#VALUE!</v>
      </c>
      <c r="AB51" s="172"/>
      <c r="AC51" s="172" t="e">
        <f>bdRateROI(DS5:DS63,DT5:DT63,FD5:FD63,FE5:FE63,$CJ$5,$CJ$10,1, 0, TRUE)</f>
        <v>#VALUE!</v>
      </c>
      <c r="AD51" s="172"/>
      <c r="AE51" s="172"/>
      <c r="AF51" s="172"/>
      <c r="AG51" s="172"/>
      <c r="AH51" s="172"/>
      <c r="AI51" s="172" t="e">
        <f>bdRateROI($FK5:$FK63,FL5:FL63,$FP5:$FP63,FQ5:FQ63,$CJ$5,$CJ$10,1, 0, TRUE)</f>
        <v>#VALUE!</v>
      </c>
      <c r="AJ51" s="172"/>
      <c r="AK51" s="172" t="e">
        <f>bdRateROI($FM5:$FM63,FN5:FN63,$FR5:$FR63,FS5:FS63,$CJ$5,$CJ$10,1, 0, TRUE)</f>
        <v>#VALUE!</v>
      </c>
      <c r="AL51" s="175"/>
      <c r="EV51" s="7"/>
      <c r="EW51" s="7"/>
      <c r="EX51" s="7"/>
      <c r="EY51" s="7"/>
      <c r="EZ51" s="7"/>
      <c r="FA51" s="7"/>
      <c r="FB51" s="7"/>
      <c r="FC51" s="7"/>
    </row>
    <row r="52" spans="1:159" ht="14" thickBot="1" x14ac:dyDescent="0.2">
      <c r="A52" s="263"/>
      <c r="B52" s="173"/>
      <c r="C52" s="173"/>
      <c r="D52" s="173"/>
      <c r="E52" s="173"/>
      <c r="F52" s="173"/>
      <c r="G52" s="173"/>
      <c r="H52" s="173"/>
      <c r="I52" s="173"/>
      <c r="J52" s="173"/>
      <c r="K52" s="173"/>
      <c r="L52" s="173"/>
      <c r="M52" s="173"/>
      <c r="N52" s="173"/>
      <c r="O52" s="173"/>
      <c r="P52" s="173"/>
      <c r="Q52" s="173"/>
      <c r="R52" s="173"/>
      <c r="S52" s="173"/>
      <c r="T52" s="173"/>
      <c r="U52" s="173"/>
      <c r="V52" s="173"/>
      <c r="W52" s="173"/>
      <c r="X52" s="173"/>
      <c r="Y52" s="173"/>
      <c r="Z52" s="173"/>
      <c r="AA52" s="173"/>
      <c r="AB52" s="173"/>
      <c r="AC52" s="173"/>
      <c r="AD52" s="173"/>
      <c r="AE52" s="173"/>
      <c r="AF52" s="173"/>
      <c r="AG52" s="173"/>
      <c r="AH52" s="173"/>
      <c r="AI52" s="173"/>
      <c r="AJ52" s="173"/>
      <c r="AK52" s="173"/>
      <c r="AL52" s="188"/>
      <c r="EV52" s="7"/>
      <c r="EW52" s="7"/>
      <c r="EX52" s="7"/>
      <c r="EY52" s="7"/>
      <c r="EZ52" s="7"/>
      <c r="FA52" s="7"/>
      <c r="FB52" s="7"/>
      <c r="FC52" s="7"/>
    </row>
    <row r="53" spans="1:159" x14ac:dyDescent="0.15">
      <c r="EV53" s="7"/>
      <c r="EW53" s="7"/>
      <c r="EX53" s="7"/>
      <c r="EY53" s="7"/>
      <c r="EZ53" s="7"/>
      <c r="FA53" s="7"/>
      <c r="FB53" s="7"/>
      <c r="FC53" s="7"/>
    </row>
    <row r="54" spans="1:159" x14ac:dyDescent="0.15">
      <c r="AP54" s="9"/>
      <c r="EV54" s="7"/>
      <c r="EW54" s="7"/>
      <c r="EX54" s="7"/>
      <c r="EY54" s="7"/>
      <c r="EZ54" s="7"/>
      <c r="FA54" s="7"/>
      <c r="FB54" s="7"/>
      <c r="FC54" s="7"/>
    </row>
    <row r="55" spans="1:159" x14ac:dyDescent="0.15">
      <c r="AP55" s="9"/>
      <c r="EV55" s="7"/>
      <c r="EW55" s="7"/>
      <c r="EX55" s="7"/>
      <c r="EY55" s="7"/>
      <c r="EZ55" s="7"/>
      <c r="FA55" s="7"/>
      <c r="FB55" s="7"/>
      <c r="FC55" s="7"/>
    </row>
    <row r="56" spans="1:159" x14ac:dyDescent="0.15">
      <c r="C56" s="132">
        <f>COUNTIFS(C5:C40, "&lt;&gt;",C5:C40, "&lt;&gt;0")</f>
        <v>0</v>
      </c>
      <c r="U56" s="132">
        <f>COUNTIFS(U5:U40, "&lt;&gt;",U5:U40, "&lt;&gt;0")</f>
        <v>0</v>
      </c>
      <c r="AM56" s="132" t="e">
        <f>U56/C56</f>
        <v>#DIV/0!</v>
      </c>
      <c r="EV56" s="7"/>
      <c r="EW56" s="7"/>
      <c r="EX56" s="7"/>
      <c r="EY56" s="7"/>
      <c r="EZ56" s="7"/>
      <c r="FA56" s="7"/>
      <c r="FB56" s="7"/>
      <c r="FC56" s="7"/>
    </row>
    <row r="57" spans="1:159" x14ac:dyDescent="0.15">
      <c r="R57" s="132" t="e">
        <f>GEOMEAN(R5:R40)</f>
        <v>#NUM!</v>
      </c>
      <c r="S57" s="132" t="e">
        <f>GEOMEAN(S5:S40)</f>
        <v>#NUM!</v>
      </c>
      <c r="AJ57" s="132" t="e">
        <f>GEOMEAN(AJ5:AJ40)</f>
        <v>#NUM!</v>
      </c>
      <c r="AK57" s="132" t="e">
        <f>GEOMEAN(AK5:AK40)</f>
        <v>#NUM!</v>
      </c>
      <c r="AL57" s="132" t="e">
        <f>GEOMEAN(AL5:AL40)</f>
        <v>#DIV/0!</v>
      </c>
      <c r="AM57" s="132" t="e">
        <f>GEOMEAN(AM5:AM40)</f>
        <v>#DIV/0!</v>
      </c>
      <c r="EV57" s="7"/>
      <c r="EW57" s="7"/>
      <c r="EX57" s="7"/>
      <c r="EY57" s="7"/>
      <c r="EZ57" s="7"/>
      <c r="FA57" s="7"/>
      <c r="FB57" s="7"/>
      <c r="FC57" s="7"/>
    </row>
    <row r="58" spans="1:159" x14ac:dyDescent="0.15">
      <c r="R58" s="132">
        <f>SUM(R5:R40)</f>
        <v>0</v>
      </c>
      <c r="S58" s="132">
        <f>SUM(S5:S40)</f>
        <v>0</v>
      </c>
      <c r="AJ58" s="132">
        <f>SUM(AJ5:AJ40)</f>
        <v>0</v>
      </c>
      <c r="AK58" s="132">
        <f>SUM(AK5:AK40)</f>
        <v>0</v>
      </c>
      <c r="AL58" s="132" t="e">
        <f>AVERAGE(AL5:AL40)</f>
        <v>#DIV/0!</v>
      </c>
      <c r="AM58" s="132" t="e">
        <f>AVERAGE(AM5:AM40)</f>
        <v>#DIV/0!</v>
      </c>
      <c r="EV58" s="7"/>
      <c r="EW58" s="7"/>
      <c r="EX58" s="7"/>
      <c r="EY58" s="7"/>
      <c r="EZ58" s="7"/>
      <c r="FA58" s="7"/>
      <c r="FB58" s="7"/>
      <c r="FC58" s="7"/>
    </row>
    <row r="59" spans="1:159" x14ac:dyDescent="0.15">
      <c r="R59" s="132">
        <f>MAX(R5:R40)</f>
        <v>0</v>
      </c>
      <c r="S59" s="132">
        <f>MAX(S5:S40)</f>
        <v>0</v>
      </c>
      <c r="AJ59" s="132">
        <f>MAX(AJ5:AJ40)</f>
        <v>0</v>
      </c>
      <c r="AK59" s="132">
        <f>MAX(AK5:AK40)</f>
        <v>0</v>
      </c>
      <c r="AL59" s="132" t="e">
        <f>MAX(AL5:AL40)</f>
        <v>#DIV/0!</v>
      </c>
      <c r="AM59" s="132" t="e">
        <f>MAX(AM5:AM40)</f>
        <v>#DIV/0!</v>
      </c>
      <c r="EV59" s="7"/>
      <c r="EW59" s="7"/>
      <c r="EX59" s="7"/>
      <c r="EY59" s="7"/>
      <c r="EZ59" s="7"/>
      <c r="FA59" s="7"/>
      <c r="FB59" s="7"/>
      <c r="FC59" s="7"/>
    </row>
    <row r="60" spans="1:159" x14ac:dyDescent="0.15">
      <c r="R60" s="132">
        <f>MIN(R5:R40)</f>
        <v>0</v>
      </c>
      <c r="S60" s="132">
        <f>MIN(S5:S40)</f>
        <v>0</v>
      </c>
      <c r="AJ60" s="132">
        <f>MIN(AJ5:AJ40)</f>
        <v>0</v>
      </c>
      <c r="AK60" s="132">
        <f>MIN(AK5:AK40)</f>
        <v>0</v>
      </c>
      <c r="AL60" s="132" t="e">
        <f>MIN(AL5:AL40)</f>
        <v>#DIV/0!</v>
      </c>
      <c r="AM60" s="132" t="e">
        <f>MIN(AM5:AM40)</f>
        <v>#DIV/0!</v>
      </c>
      <c r="EV60" s="7"/>
      <c r="EW60" s="7"/>
      <c r="EX60" s="7"/>
      <c r="EY60" s="7"/>
      <c r="EZ60" s="7"/>
      <c r="FA60" s="7"/>
      <c r="FB60" s="7"/>
      <c r="FC60" s="7"/>
    </row>
    <row r="61" spans="1:159" x14ac:dyDescent="0.15">
      <c r="AJ61" s="132" t="e">
        <f>AJ57/R57</f>
        <v>#NUM!</v>
      </c>
      <c r="AK61" s="132" t="e">
        <f>AK57/S57</f>
        <v>#NUM!</v>
      </c>
      <c r="EV61" s="7"/>
      <c r="EW61" s="7"/>
      <c r="EX61" s="7"/>
      <c r="EY61" s="7"/>
      <c r="EZ61" s="7"/>
      <c r="FA61" s="7"/>
      <c r="FB61" s="7"/>
      <c r="FC61" s="7"/>
    </row>
    <row r="62" spans="1:159" x14ac:dyDescent="0.15">
      <c r="EV62" s="7"/>
      <c r="EW62" s="7"/>
      <c r="EX62" s="7"/>
      <c r="EY62" s="7"/>
      <c r="EZ62" s="7"/>
      <c r="FA62" s="7"/>
      <c r="FB62" s="7"/>
      <c r="FC62" s="7"/>
    </row>
    <row r="63" spans="1:159" x14ac:dyDescent="0.15">
      <c r="EV63" s="7"/>
      <c r="EW63" s="7"/>
      <c r="EX63" s="7"/>
      <c r="EY63" s="7"/>
      <c r="EZ63" s="7"/>
      <c r="FA63" s="7"/>
      <c r="FB63" s="7"/>
      <c r="FC63" s="7"/>
    </row>
    <row r="64" spans="1:159" x14ac:dyDescent="0.15">
      <c r="EV64" s="7"/>
      <c r="EW64" s="7"/>
      <c r="EX64" s="7"/>
      <c r="EY64" s="7"/>
      <c r="EZ64" s="7"/>
      <c r="FA64" s="7"/>
      <c r="FB64" s="7"/>
      <c r="FC64" s="7"/>
    </row>
    <row r="65" spans="152:159" x14ac:dyDescent="0.15">
      <c r="EV65" s="7"/>
      <c r="EW65" s="7"/>
      <c r="EX65" s="7"/>
      <c r="EY65" s="7"/>
      <c r="EZ65" s="7"/>
      <c r="FA65" s="7"/>
      <c r="FB65" s="7"/>
      <c r="FC65" s="7"/>
    </row>
    <row r="66" spans="152:159" x14ac:dyDescent="0.15">
      <c r="EV66" s="7"/>
      <c r="EW66" s="7"/>
      <c r="EX66" s="7"/>
      <c r="EY66" s="7"/>
      <c r="EZ66" s="7"/>
      <c r="FA66" s="7"/>
      <c r="FB66" s="7"/>
      <c r="FC66" s="7"/>
    </row>
    <row r="67" spans="152:159" x14ac:dyDescent="0.15">
      <c r="EV67" s="7"/>
      <c r="EW67" s="7"/>
      <c r="EX67" s="7"/>
      <c r="EY67" s="7"/>
      <c r="EZ67" s="7"/>
      <c r="FA67" s="7"/>
      <c r="FB67" s="7"/>
      <c r="FC67" s="7"/>
    </row>
    <row r="68" spans="152:159" x14ac:dyDescent="0.15">
      <c r="EV68" s="7"/>
      <c r="EW68" s="7"/>
      <c r="EX68" s="7"/>
      <c r="EY68" s="7"/>
      <c r="EZ68" s="7"/>
      <c r="FA68" s="7"/>
      <c r="FB68" s="7"/>
      <c r="FC68" s="7"/>
    </row>
    <row r="69" spans="152:159" x14ac:dyDescent="0.15">
      <c r="EV69" s="7"/>
      <c r="EW69" s="7"/>
      <c r="EX69" s="7"/>
      <c r="EY69" s="7"/>
      <c r="EZ69" s="7"/>
      <c r="FA69" s="7"/>
      <c r="FB69" s="7"/>
      <c r="FC69" s="7"/>
    </row>
    <row r="70" spans="152:159" x14ac:dyDescent="0.15">
      <c r="EV70" s="7"/>
      <c r="EW70" s="7"/>
      <c r="EX70" s="7"/>
      <c r="EY70" s="7"/>
      <c r="EZ70" s="7"/>
      <c r="FA70" s="7"/>
      <c r="FB70" s="7"/>
      <c r="FC70" s="7"/>
    </row>
    <row r="71" spans="152:159" x14ac:dyDescent="0.15">
      <c r="EV71" s="7"/>
      <c r="EW71" s="7"/>
      <c r="EX71" s="7"/>
      <c r="EY71" s="7"/>
      <c r="EZ71" s="7"/>
      <c r="FA71" s="7"/>
      <c r="FB71" s="7"/>
      <c r="FC71" s="7"/>
    </row>
    <row r="72" spans="152:159" x14ac:dyDescent="0.15">
      <c r="EV72" s="7"/>
      <c r="EW72" s="7"/>
      <c r="EX72" s="7"/>
      <c r="EY72" s="7"/>
      <c r="EZ72" s="7"/>
      <c r="FA72" s="7"/>
      <c r="FB72" s="7"/>
      <c r="FC72" s="7"/>
    </row>
    <row r="73" spans="152:159" x14ac:dyDescent="0.15">
      <c r="EV73" s="7"/>
      <c r="EW73" s="7"/>
      <c r="EX73" s="7"/>
      <c r="EY73" s="7"/>
      <c r="EZ73" s="7"/>
      <c r="FA73" s="7"/>
      <c r="FB73" s="7"/>
      <c r="FC73" s="7"/>
    </row>
    <row r="74" spans="152:159" x14ac:dyDescent="0.15">
      <c r="EV74" s="7"/>
      <c r="EW74" s="7"/>
      <c r="EX74" s="7"/>
      <c r="EY74" s="7"/>
      <c r="EZ74" s="7"/>
      <c r="FA74" s="7"/>
      <c r="FB74" s="7"/>
      <c r="FC74" s="7"/>
    </row>
    <row r="75" spans="152:159" x14ac:dyDescent="0.15">
      <c r="EV75" s="7"/>
      <c r="EW75" s="7"/>
      <c r="EX75" s="7"/>
      <c r="EY75" s="7"/>
      <c r="EZ75" s="7"/>
      <c r="FA75" s="7"/>
      <c r="FB75" s="7"/>
      <c r="FC75" s="7"/>
    </row>
    <row r="76" spans="152:159" x14ac:dyDescent="0.15">
      <c r="EV76" s="7"/>
      <c r="EW76" s="7"/>
      <c r="EX76" s="7"/>
      <c r="EY76" s="7"/>
      <c r="EZ76" s="7"/>
      <c r="FA76" s="7"/>
      <c r="FB76" s="7"/>
      <c r="FC76" s="7"/>
    </row>
    <row r="77" spans="152:159" x14ac:dyDescent="0.15">
      <c r="EV77" s="7"/>
      <c r="EW77" s="7"/>
      <c r="EX77" s="7"/>
      <c r="EY77" s="7"/>
      <c r="EZ77" s="7"/>
      <c r="FA77" s="7"/>
      <c r="FB77" s="7"/>
      <c r="FC77" s="7"/>
    </row>
    <row r="78" spans="152:159" x14ac:dyDescent="0.15">
      <c r="EV78" s="7"/>
      <c r="EW78" s="7"/>
      <c r="EX78" s="7"/>
      <c r="EY78" s="7"/>
      <c r="EZ78" s="7"/>
      <c r="FA78" s="7"/>
      <c r="FB78" s="7"/>
      <c r="FC78" s="7"/>
    </row>
    <row r="79" spans="152:159" x14ac:dyDescent="0.15">
      <c r="EV79" s="7"/>
      <c r="EW79" s="7"/>
      <c r="EX79" s="7"/>
      <c r="EY79" s="7"/>
      <c r="EZ79" s="7"/>
      <c r="FA79" s="7"/>
      <c r="FB79" s="7"/>
      <c r="FC79" s="7"/>
    </row>
    <row r="80" spans="152:159" x14ac:dyDescent="0.15">
      <c r="EV80" s="7"/>
      <c r="EW80" s="7"/>
      <c r="EX80" s="7"/>
      <c r="EY80" s="7"/>
      <c r="EZ80" s="7"/>
      <c r="FA80" s="7"/>
      <c r="FB80" s="7"/>
      <c r="FC80" s="7"/>
    </row>
    <row r="81" spans="152:159" x14ac:dyDescent="0.15">
      <c r="EV81" s="7"/>
      <c r="EW81" s="7"/>
      <c r="EX81" s="7"/>
      <c r="EY81" s="7"/>
      <c r="EZ81" s="7"/>
      <c r="FA81" s="7"/>
      <c r="FB81" s="7"/>
      <c r="FC81" s="7"/>
    </row>
    <row r="82" spans="152:159" x14ac:dyDescent="0.15">
      <c r="EV82" s="7"/>
      <c r="EW82" s="7"/>
      <c r="EX82" s="7"/>
      <c r="EY82" s="7"/>
      <c r="EZ82" s="7"/>
      <c r="FA82" s="7"/>
      <c r="FB82" s="7"/>
      <c r="FC82" s="7"/>
    </row>
    <row r="83" spans="152:159" x14ac:dyDescent="0.15">
      <c r="EV83" s="7"/>
      <c r="EW83" s="7"/>
      <c r="EX83" s="7"/>
      <c r="EY83" s="7"/>
      <c r="EZ83" s="7"/>
      <c r="FA83" s="7"/>
      <c r="FB83" s="7"/>
      <c r="FC83" s="7"/>
    </row>
    <row r="84" spans="152:159" x14ac:dyDescent="0.15">
      <c r="EV84" s="7"/>
      <c r="EW84" s="7"/>
      <c r="EX84" s="7"/>
      <c r="EY84" s="7"/>
      <c r="EZ84" s="7"/>
      <c r="FA84" s="7"/>
      <c r="FB84" s="7"/>
      <c r="FC84" s="7"/>
    </row>
    <row r="85" spans="152:159" x14ac:dyDescent="0.15">
      <c r="EV85" s="7"/>
      <c r="EW85" s="7"/>
      <c r="EX85" s="7"/>
      <c r="EY85" s="7"/>
      <c r="EZ85" s="7"/>
      <c r="FA85" s="7"/>
      <c r="FB85" s="7"/>
      <c r="FC85" s="7"/>
    </row>
    <row r="86" spans="152:159" x14ac:dyDescent="0.15">
      <c r="EV86" s="7"/>
      <c r="EW86" s="7"/>
      <c r="EX86" s="7"/>
      <c r="EY86" s="7"/>
      <c r="EZ86" s="7"/>
      <c r="FA86" s="7"/>
      <c r="FB86" s="7"/>
      <c r="FC86" s="7"/>
    </row>
    <row r="87" spans="152:159" x14ac:dyDescent="0.15">
      <c r="EV87" s="7"/>
      <c r="EW87" s="7"/>
      <c r="EX87" s="7"/>
      <c r="EY87" s="7"/>
      <c r="EZ87" s="7"/>
      <c r="FA87" s="7"/>
      <c r="FB87" s="7"/>
      <c r="FC87" s="7"/>
    </row>
    <row r="88" spans="152:159" x14ac:dyDescent="0.15">
      <c r="EV88" s="7"/>
      <c r="EW88" s="7"/>
      <c r="EX88" s="7"/>
      <c r="EY88" s="7"/>
      <c r="EZ88" s="7"/>
      <c r="FA88" s="7"/>
      <c r="FB88" s="7"/>
      <c r="FC88" s="7"/>
    </row>
    <row r="89" spans="152:159" x14ac:dyDescent="0.15">
      <c r="EV89" s="7"/>
      <c r="EW89" s="7"/>
      <c r="EX89" s="7"/>
      <c r="EY89" s="7"/>
      <c r="EZ89" s="7"/>
      <c r="FA89" s="7"/>
      <c r="FB89" s="7"/>
      <c r="FC89" s="7"/>
    </row>
    <row r="90" spans="152:159" x14ac:dyDescent="0.15">
      <c r="EV90" s="7"/>
      <c r="EW90" s="7"/>
      <c r="EX90" s="7"/>
      <c r="EY90" s="7"/>
      <c r="EZ90" s="7"/>
      <c r="FA90" s="7"/>
      <c r="FB90" s="7"/>
      <c r="FC90" s="7"/>
    </row>
    <row r="91" spans="152:159" x14ac:dyDescent="0.15">
      <c r="EV91" s="7"/>
      <c r="EW91" s="7"/>
      <c r="EX91" s="7"/>
      <c r="EY91" s="7"/>
      <c r="EZ91" s="7"/>
      <c r="FA91" s="7"/>
      <c r="FB91" s="7"/>
      <c r="FC91" s="7"/>
    </row>
    <row r="92" spans="152:159" x14ac:dyDescent="0.15">
      <c r="EV92" s="7"/>
      <c r="EW92" s="7"/>
      <c r="EX92" s="7"/>
      <c r="EY92" s="7"/>
      <c r="EZ92" s="7"/>
      <c r="FA92" s="7"/>
      <c r="FB92" s="7"/>
      <c r="FC92" s="7"/>
    </row>
    <row r="93" spans="152:159" x14ac:dyDescent="0.15">
      <c r="EV93" s="7"/>
      <c r="EW93" s="7"/>
      <c r="EX93" s="7"/>
      <c r="EY93" s="7"/>
      <c r="EZ93" s="7"/>
      <c r="FA93" s="7"/>
      <c r="FB93" s="7"/>
      <c r="FC93" s="7"/>
    </row>
    <row r="94" spans="152:159" x14ac:dyDescent="0.15">
      <c r="EV94" s="7"/>
      <c r="EW94" s="7"/>
      <c r="EX94" s="7"/>
      <c r="EY94" s="7"/>
      <c r="EZ94" s="7"/>
      <c r="FA94" s="7"/>
      <c r="FB94" s="7"/>
      <c r="FC94" s="7"/>
    </row>
    <row r="95" spans="152:159" x14ac:dyDescent="0.15">
      <c r="EV95" s="7"/>
      <c r="EW95" s="7"/>
      <c r="EX95" s="7"/>
      <c r="EY95" s="7"/>
      <c r="EZ95" s="7"/>
      <c r="FA95" s="7"/>
      <c r="FB95" s="7"/>
      <c r="FC95" s="7"/>
    </row>
    <row r="96" spans="152:159" x14ac:dyDescent="0.15">
      <c r="EV96" s="7"/>
      <c r="EW96" s="7"/>
      <c r="EX96" s="7"/>
      <c r="EY96" s="7"/>
      <c r="EZ96" s="7"/>
      <c r="FA96" s="7"/>
      <c r="FB96" s="7"/>
      <c r="FC96" s="7"/>
    </row>
    <row r="97" spans="152:159" x14ac:dyDescent="0.15">
      <c r="EV97" s="7"/>
      <c r="EW97" s="7"/>
      <c r="EX97" s="7"/>
      <c r="EY97" s="7"/>
      <c r="EZ97" s="7"/>
      <c r="FA97" s="7"/>
      <c r="FB97" s="7"/>
      <c r="FC97" s="7"/>
    </row>
    <row r="98" spans="152:159" x14ac:dyDescent="0.15">
      <c r="EV98" s="7"/>
      <c r="EW98" s="7"/>
      <c r="EX98" s="7"/>
      <c r="EY98" s="7"/>
      <c r="EZ98" s="7"/>
      <c r="FA98" s="7"/>
      <c r="FB98" s="7"/>
      <c r="FC98" s="7"/>
    </row>
    <row r="99" spans="152:159" x14ac:dyDescent="0.15">
      <c r="EV99" s="7"/>
      <c r="EW99" s="7"/>
      <c r="EX99" s="7"/>
      <c r="EY99" s="7"/>
      <c r="EZ99" s="7"/>
      <c r="FA99" s="7"/>
      <c r="FB99" s="7"/>
      <c r="FC99" s="7"/>
    </row>
    <row r="100" spans="152:159" x14ac:dyDescent="0.15">
      <c r="EV100" s="7"/>
      <c r="EW100" s="7"/>
      <c r="EX100" s="7"/>
      <c r="EY100" s="7"/>
      <c r="EZ100" s="7"/>
      <c r="FA100" s="7"/>
      <c r="FB100" s="7"/>
      <c r="FC100" s="7"/>
    </row>
    <row r="101" spans="152:159" x14ac:dyDescent="0.15">
      <c r="EV101" s="7"/>
      <c r="EW101" s="7"/>
      <c r="EX101" s="7"/>
      <c r="EY101" s="7"/>
      <c r="EZ101" s="7"/>
      <c r="FA101" s="7"/>
      <c r="FB101" s="7"/>
      <c r="FC101" s="7"/>
    </row>
    <row r="102" spans="152:159" x14ac:dyDescent="0.15">
      <c r="EV102" s="7"/>
      <c r="EW102" s="7"/>
      <c r="EX102" s="7"/>
      <c r="EY102" s="7"/>
      <c r="EZ102" s="7"/>
      <c r="FA102" s="7"/>
      <c r="FB102" s="7"/>
      <c r="FC102" s="7"/>
    </row>
    <row r="103" spans="152:159" x14ac:dyDescent="0.15">
      <c r="EV103" s="7"/>
      <c r="EW103" s="7"/>
      <c r="EX103" s="7"/>
      <c r="EY103" s="7"/>
      <c r="EZ103" s="7"/>
      <c r="FA103" s="7"/>
      <c r="FB103" s="7"/>
      <c r="FC103" s="7"/>
    </row>
    <row r="104" spans="152:159" x14ac:dyDescent="0.15">
      <c r="EV104" s="7"/>
      <c r="EW104" s="7"/>
      <c r="EX104" s="7"/>
      <c r="EY104" s="7"/>
      <c r="EZ104" s="7"/>
      <c r="FA104" s="7"/>
      <c r="FB104" s="7"/>
      <c r="FC104" s="7"/>
    </row>
    <row r="105" spans="152:159" x14ac:dyDescent="0.15">
      <c r="EV105" s="7"/>
      <c r="EW105" s="7"/>
      <c r="EX105" s="7"/>
      <c r="EY105" s="7"/>
      <c r="EZ105" s="7"/>
      <c r="FA105" s="7"/>
      <c r="FB105" s="7"/>
      <c r="FC105" s="7"/>
    </row>
    <row r="106" spans="152:159" x14ac:dyDescent="0.15">
      <c r="EV106" s="7"/>
      <c r="EW106" s="7"/>
      <c r="EX106" s="7"/>
      <c r="EY106" s="7"/>
      <c r="EZ106" s="7"/>
      <c r="FA106" s="7"/>
      <c r="FB106" s="7"/>
      <c r="FC106" s="7"/>
    </row>
    <row r="107" spans="152:159" x14ac:dyDescent="0.15">
      <c r="EV107" s="7"/>
      <c r="EW107" s="7"/>
      <c r="EX107" s="7"/>
      <c r="EY107" s="7"/>
      <c r="EZ107" s="7"/>
      <c r="FA107" s="7"/>
      <c r="FB107" s="7"/>
      <c r="FC107" s="7"/>
    </row>
    <row r="108" spans="152:159" x14ac:dyDescent="0.15">
      <c r="EV108" s="7"/>
      <c r="EW108" s="7"/>
      <c r="EX108" s="7"/>
      <c r="EY108" s="7"/>
      <c r="EZ108" s="7"/>
      <c r="FA108" s="7"/>
      <c r="FB108" s="7"/>
      <c r="FC108" s="7"/>
    </row>
    <row r="109" spans="152:159" x14ac:dyDescent="0.15">
      <c r="EV109" s="7"/>
      <c r="EW109" s="7"/>
      <c r="EX109" s="7"/>
      <c r="EY109" s="7"/>
      <c r="EZ109" s="7"/>
      <c r="FA109" s="7"/>
      <c r="FB109" s="7"/>
      <c r="FC109" s="7"/>
    </row>
    <row r="110" spans="152:159" x14ac:dyDescent="0.15">
      <c r="EV110" s="7"/>
      <c r="EW110" s="7"/>
      <c r="EX110" s="7"/>
      <c r="EY110" s="7"/>
      <c r="EZ110" s="7"/>
      <c r="FA110" s="7"/>
      <c r="FB110" s="7"/>
      <c r="FC110" s="7"/>
    </row>
    <row r="111" spans="152:159" x14ac:dyDescent="0.15">
      <c r="EV111" s="7"/>
      <c r="EW111" s="7"/>
      <c r="EX111" s="7"/>
      <c r="EY111" s="7"/>
      <c r="EZ111" s="7"/>
      <c r="FA111" s="7"/>
      <c r="FB111" s="7"/>
      <c r="FC111" s="7"/>
    </row>
    <row r="112" spans="152:159" x14ac:dyDescent="0.15">
      <c r="EV112" s="7"/>
      <c r="EW112" s="7"/>
      <c r="EX112" s="7"/>
      <c r="EY112" s="7"/>
      <c r="EZ112" s="7"/>
      <c r="FA112" s="7"/>
      <c r="FB112" s="7"/>
      <c r="FC112" s="7"/>
    </row>
    <row r="113" spans="152:159" x14ac:dyDescent="0.15">
      <c r="EV113" s="7"/>
      <c r="EW113" s="7"/>
      <c r="EX113" s="7"/>
      <c r="EY113" s="7"/>
      <c r="EZ113" s="7"/>
      <c r="FA113" s="7"/>
      <c r="FB113" s="7"/>
      <c r="FC113" s="7"/>
    </row>
    <row r="114" spans="152:159" x14ac:dyDescent="0.15">
      <c r="EV114" s="7"/>
      <c r="EW114" s="7"/>
      <c r="EX114" s="7"/>
      <c r="EY114" s="7"/>
      <c r="EZ114" s="7"/>
      <c r="FA114" s="7"/>
      <c r="FB114" s="7"/>
      <c r="FC114" s="7"/>
    </row>
    <row r="115" spans="152:159" x14ac:dyDescent="0.15">
      <c r="EV115" s="7"/>
      <c r="EW115" s="7"/>
      <c r="EX115" s="7"/>
      <c r="EY115" s="7"/>
      <c r="EZ115" s="7"/>
      <c r="FA115" s="7"/>
      <c r="FB115" s="7"/>
      <c r="FC115" s="7"/>
    </row>
    <row r="116" spans="152:159" x14ac:dyDescent="0.15">
      <c r="EV116" s="7"/>
      <c r="EW116" s="7"/>
      <c r="EX116" s="7"/>
      <c r="EY116" s="7"/>
      <c r="EZ116" s="7"/>
      <c r="FA116" s="7"/>
      <c r="FB116" s="7"/>
      <c r="FC116" s="7"/>
    </row>
    <row r="117" spans="152:159" x14ac:dyDescent="0.15">
      <c r="EV117" s="7"/>
      <c r="EW117" s="7"/>
      <c r="EX117" s="7"/>
      <c r="EY117" s="7"/>
      <c r="EZ117" s="7"/>
      <c r="FA117" s="7"/>
      <c r="FB117" s="7"/>
      <c r="FC117" s="7"/>
    </row>
    <row r="118" spans="152:159" x14ac:dyDescent="0.15">
      <c r="EV118" s="7"/>
      <c r="EW118" s="7"/>
      <c r="EX118" s="7"/>
      <c r="EY118" s="7"/>
      <c r="EZ118" s="7"/>
      <c r="FA118" s="7"/>
      <c r="FB118" s="7"/>
      <c r="FC118" s="7"/>
    </row>
    <row r="119" spans="152:159" x14ac:dyDescent="0.15">
      <c r="EV119" s="7"/>
      <c r="EW119" s="7"/>
      <c r="EX119" s="7"/>
      <c r="EY119" s="7"/>
      <c r="EZ119" s="7"/>
      <c r="FA119" s="7"/>
      <c r="FB119" s="7"/>
      <c r="FC119" s="7"/>
    </row>
    <row r="120" spans="152:159" x14ac:dyDescent="0.15">
      <c r="EV120" s="7"/>
      <c r="EW120" s="7"/>
      <c r="EX120" s="7"/>
      <c r="EY120" s="7"/>
      <c r="EZ120" s="7"/>
      <c r="FA120" s="7"/>
      <c r="FB120" s="7"/>
      <c r="FC120" s="7"/>
    </row>
    <row r="121" spans="152:159" x14ac:dyDescent="0.15">
      <c r="EV121" s="7"/>
      <c r="EW121" s="7"/>
      <c r="EX121" s="7"/>
      <c r="EY121" s="7"/>
      <c r="EZ121" s="7"/>
      <c r="FA121" s="7"/>
      <c r="FB121" s="7"/>
      <c r="FC121" s="7"/>
    </row>
    <row r="122" spans="152:159" x14ac:dyDescent="0.15">
      <c r="EV122" s="7"/>
      <c r="EW122" s="7"/>
      <c r="EX122" s="7"/>
      <c r="EY122" s="7"/>
      <c r="EZ122" s="7"/>
      <c r="FA122" s="7"/>
      <c r="FB122" s="7"/>
      <c r="FC122" s="7"/>
    </row>
    <row r="123" spans="152:159" x14ac:dyDescent="0.15">
      <c r="EV123" s="7"/>
      <c r="EW123" s="7"/>
      <c r="EX123" s="7"/>
      <c r="EY123" s="7"/>
      <c r="EZ123" s="7"/>
      <c r="FA123" s="7"/>
      <c r="FB123" s="7"/>
      <c r="FC123" s="7"/>
    </row>
    <row r="124" spans="152:159" x14ac:dyDescent="0.15">
      <c r="EV124" s="7"/>
      <c r="EW124" s="7"/>
      <c r="EX124" s="7"/>
      <c r="EY124" s="7"/>
      <c r="EZ124" s="7"/>
      <c r="FA124" s="7"/>
      <c r="FB124" s="7"/>
      <c r="FC124" s="7"/>
    </row>
    <row r="125" spans="152:159" x14ac:dyDescent="0.15">
      <c r="EV125" s="7"/>
      <c r="EW125" s="7"/>
      <c r="EX125" s="7"/>
      <c r="EY125" s="7"/>
      <c r="EZ125" s="7"/>
      <c r="FA125" s="7"/>
      <c r="FB125" s="7"/>
      <c r="FC125" s="7"/>
    </row>
    <row r="126" spans="152:159" x14ac:dyDescent="0.15">
      <c r="EV126" s="7"/>
      <c r="EW126" s="7"/>
      <c r="EX126" s="7"/>
      <c r="EY126" s="7"/>
      <c r="EZ126" s="7"/>
      <c r="FA126" s="7"/>
      <c r="FB126" s="7"/>
      <c r="FC126" s="7"/>
    </row>
    <row r="127" spans="152:159" x14ac:dyDescent="0.15">
      <c r="EV127" s="7"/>
      <c r="EW127" s="7"/>
      <c r="EX127" s="7"/>
      <c r="EY127" s="7"/>
      <c r="EZ127" s="7"/>
      <c r="FA127" s="7"/>
      <c r="FB127" s="7"/>
      <c r="FC127" s="7"/>
    </row>
    <row r="128" spans="152:159" x14ac:dyDescent="0.15">
      <c r="EV128" s="7"/>
      <c r="EW128" s="7"/>
      <c r="EX128" s="7"/>
      <c r="EY128" s="7"/>
      <c r="EZ128" s="7"/>
      <c r="FA128" s="7"/>
      <c r="FB128" s="7"/>
      <c r="FC128" s="7"/>
    </row>
    <row r="129" spans="152:159" x14ac:dyDescent="0.15">
      <c r="EV129" s="7"/>
      <c r="EW129" s="7"/>
      <c r="EX129" s="7"/>
      <c r="EY129" s="7"/>
      <c r="EZ129" s="7"/>
      <c r="FA129" s="7"/>
      <c r="FB129" s="7"/>
      <c r="FC129" s="7"/>
    </row>
    <row r="130" spans="152:159" x14ac:dyDescent="0.15">
      <c r="EV130" s="7"/>
      <c r="EW130" s="7"/>
      <c r="EX130" s="7"/>
      <c r="EY130" s="7"/>
      <c r="EZ130" s="7"/>
      <c r="FA130" s="7"/>
      <c r="FB130" s="7"/>
      <c r="FC130" s="7"/>
    </row>
    <row r="131" spans="152:159" x14ac:dyDescent="0.15">
      <c r="EV131" s="7"/>
      <c r="EW131" s="7"/>
      <c r="EX131" s="7"/>
      <c r="EY131" s="7"/>
      <c r="EZ131" s="7"/>
      <c r="FA131" s="7"/>
      <c r="FB131" s="7"/>
      <c r="FC131" s="7"/>
    </row>
    <row r="132" spans="152:159" x14ac:dyDescent="0.15">
      <c r="EV132" s="7"/>
      <c r="EW132" s="7"/>
      <c r="EX132" s="7"/>
      <c r="EY132" s="7"/>
      <c r="EZ132" s="7"/>
      <c r="FA132" s="7"/>
      <c r="FB132" s="7"/>
      <c r="FC132" s="7"/>
    </row>
    <row r="133" spans="152:159" x14ac:dyDescent="0.15">
      <c r="EV133" s="7"/>
      <c r="EW133" s="7"/>
      <c r="EX133" s="7"/>
      <c r="EY133" s="7"/>
      <c r="EZ133" s="7"/>
      <c r="FA133" s="7"/>
      <c r="FB133" s="7"/>
      <c r="FC133" s="7"/>
    </row>
    <row r="134" spans="152:159" x14ac:dyDescent="0.15">
      <c r="EV134" s="7"/>
      <c r="EW134" s="7"/>
      <c r="EX134" s="7"/>
      <c r="EY134" s="7"/>
      <c r="EZ134" s="7"/>
      <c r="FA134" s="7"/>
      <c r="FB134" s="7"/>
      <c r="FC134" s="7"/>
    </row>
    <row r="135" spans="152:159" x14ac:dyDescent="0.15">
      <c r="EV135" s="7"/>
      <c r="EW135" s="7"/>
      <c r="EX135" s="7"/>
      <c r="EY135" s="7"/>
      <c r="EZ135" s="7"/>
      <c r="FA135" s="7"/>
      <c r="FB135" s="7"/>
      <c r="FC135" s="7"/>
    </row>
    <row r="136" spans="152:159" x14ac:dyDescent="0.15">
      <c r="EV136" s="7"/>
      <c r="EW136" s="7"/>
      <c r="EX136" s="7"/>
      <c r="EY136" s="7"/>
      <c r="EZ136" s="7"/>
      <c r="FA136" s="7"/>
      <c r="FB136" s="7"/>
      <c r="FC136" s="7"/>
    </row>
    <row r="137" spans="152:159" x14ac:dyDescent="0.15">
      <c r="EV137" s="7"/>
      <c r="EW137" s="7"/>
      <c r="EX137" s="7"/>
      <c r="EY137" s="7"/>
      <c r="EZ137" s="7"/>
      <c r="FA137" s="7"/>
      <c r="FB137" s="7"/>
      <c r="FC137" s="7"/>
    </row>
    <row r="138" spans="152:159" x14ac:dyDescent="0.15">
      <c r="EV138" s="7"/>
      <c r="EW138" s="7"/>
      <c r="EX138" s="7"/>
      <c r="EY138" s="7"/>
      <c r="EZ138" s="7"/>
      <c r="FA138" s="7"/>
      <c r="FB138" s="7"/>
      <c r="FC138" s="7"/>
    </row>
    <row r="139" spans="152:159" x14ac:dyDescent="0.15">
      <c r="EV139" s="7"/>
      <c r="EW139" s="7"/>
      <c r="EX139" s="7"/>
      <c r="EY139" s="7"/>
      <c r="EZ139" s="7"/>
      <c r="FA139" s="7"/>
      <c r="FB139" s="7"/>
      <c r="FC139" s="7"/>
    </row>
    <row r="140" spans="152:159" x14ac:dyDescent="0.15">
      <c r="EV140" s="7"/>
      <c r="EW140" s="7"/>
      <c r="EX140" s="7"/>
      <c r="EY140" s="7"/>
      <c r="EZ140" s="7"/>
      <c r="FA140" s="7"/>
      <c r="FB140" s="7"/>
      <c r="FC140" s="7"/>
    </row>
    <row r="141" spans="152:159" x14ac:dyDescent="0.15">
      <c r="EV141" s="7"/>
      <c r="EW141" s="7"/>
      <c r="EX141" s="7"/>
      <c r="EY141" s="7"/>
      <c r="EZ141" s="7"/>
      <c r="FA141" s="7"/>
      <c r="FB141" s="7"/>
      <c r="FC141" s="7"/>
    </row>
    <row r="142" spans="152:159" x14ac:dyDescent="0.15">
      <c r="EV142" s="7"/>
      <c r="EW142" s="7"/>
      <c r="EX142" s="7"/>
      <c r="EY142" s="7"/>
      <c r="EZ142" s="7"/>
      <c r="FA142" s="7"/>
      <c r="FB142" s="7"/>
      <c r="FC142" s="7"/>
    </row>
    <row r="143" spans="152:159" x14ac:dyDescent="0.15">
      <c r="EV143" s="7"/>
      <c r="EW143" s="7"/>
      <c r="EX143" s="7"/>
      <c r="EY143" s="7"/>
      <c r="EZ143" s="7"/>
      <c r="FA143" s="7"/>
      <c r="FB143" s="7"/>
      <c r="FC143" s="7"/>
    </row>
    <row r="144" spans="152:159" x14ac:dyDescent="0.15">
      <c r="EV144" s="7"/>
      <c r="EW144" s="7"/>
      <c r="EX144" s="7"/>
      <c r="EY144" s="7"/>
      <c r="EZ144" s="7"/>
      <c r="FA144" s="7"/>
      <c r="FB144" s="7"/>
      <c r="FC144" s="7"/>
    </row>
    <row r="145" spans="152:159" x14ac:dyDescent="0.15">
      <c r="EV145" s="7"/>
      <c r="EW145" s="7"/>
      <c r="EX145" s="7"/>
      <c r="EY145" s="7"/>
      <c r="EZ145" s="7"/>
      <c r="FA145" s="7"/>
      <c r="FB145" s="7"/>
      <c r="FC145" s="7"/>
    </row>
    <row r="146" spans="152:159" x14ac:dyDescent="0.15">
      <c r="EV146" s="7"/>
      <c r="EW146" s="7"/>
      <c r="EX146" s="7"/>
      <c r="EY146" s="7"/>
      <c r="EZ146" s="7"/>
      <c r="FA146" s="7"/>
      <c r="FB146" s="7"/>
      <c r="FC146" s="7"/>
    </row>
    <row r="147" spans="152:159" x14ac:dyDescent="0.15">
      <c r="EV147" s="7"/>
      <c r="EW147" s="7"/>
      <c r="EX147" s="7"/>
      <c r="EY147" s="7"/>
      <c r="EZ147" s="7"/>
      <c r="FA147" s="7"/>
      <c r="FB147" s="7"/>
      <c r="FC147" s="7"/>
    </row>
    <row r="148" spans="152:159" x14ac:dyDescent="0.15">
      <c r="EV148" s="7"/>
      <c r="EW148" s="7"/>
      <c r="EX148" s="7"/>
      <c r="EY148" s="7"/>
      <c r="EZ148" s="7"/>
      <c r="FA148" s="7"/>
      <c r="FB148" s="7"/>
      <c r="FC148" s="7"/>
    </row>
    <row r="149" spans="152:159" x14ac:dyDescent="0.15">
      <c r="EV149" s="7"/>
      <c r="EW149" s="7"/>
      <c r="EX149" s="7"/>
      <c r="EY149" s="7"/>
      <c r="EZ149" s="7"/>
      <c r="FA149" s="7"/>
      <c r="FB149" s="7"/>
      <c r="FC149" s="7"/>
    </row>
    <row r="150" spans="152:159" x14ac:dyDescent="0.15">
      <c r="EV150" s="7"/>
      <c r="EW150" s="7"/>
      <c r="EX150" s="7"/>
      <c r="EY150" s="7"/>
      <c r="EZ150" s="7"/>
      <c r="FA150" s="7"/>
      <c r="FB150" s="7"/>
      <c r="FC150" s="7"/>
    </row>
    <row r="151" spans="152:159" x14ac:dyDescent="0.15">
      <c r="EV151" s="7"/>
      <c r="EW151" s="7"/>
      <c r="EX151" s="7"/>
      <c r="EY151" s="7"/>
      <c r="EZ151" s="7"/>
      <c r="FA151" s="7"/>
      <c r="FB151" s="7"/>
      <c r="FC151" s="7"/>
    </row>
    <row r="152" spans="152:159" x14ac:dyDescent="0.15">
      <c r="EV152" s="7"/>
      <c r="EW152" s="7"/>
      <c r="EX152" s="7"/>
      <c r="EY152" s="7"/>
      <c r="EZ152" s="7"/>
      <c r="FA152" s="7"/>
      <c r="FB152" s="7"/>
      <c r="FC152" s="7"/>
    </row>
    <row r="153" spans="152:159" x14ac:dyDescent="0.15">
      <c r="EV153" s="7"/>
      <c r="EW153" s="7"/>
      <c r="EX153" s="7"/>
      <c r="EY153" s="7"/>
      <c r="EZ153" s="7"/>
      <c r="FA153" s="7"/>
      <c r="FB153" s="7"/>
      <c r="FC153" s="7"/>
    </row>
    <row r="154" spans="152:159" x14ac:dyDescent="0.15">
      <c r="EV154" s="7"/>
      <c r="EW154" s="7"/>
      <c r="EX154" s="7"/>
      <c r="EY154" s="7"/>
      <c r="EZ154" s="7"/>
      <c r="FA154" s="7"/>
      <c r="FB154" s="7"/>
      <c r="FC154" s="7"/>
    </row>
    <row r="155" spans="152:159" x14ac:dyDescent="0.15">
      <c r="EV155" s="7"/>
      <c r="EW155" s="7"/>
      <c r="EX155" s="7"/>
      <c r="EY155" s="7"/>
      <c r="EZ155" s="7"/>
      <c r="FA155" s="7"/>
      <c r="FB155" s="7"/>
      <c r="FC155" s="7"/>
    </row>
    <row r="156" spans="152:159" x14ac:dyDescent="0.15">
      <c r="EV156" s="7"/>
      <c r="EW156" s="7"/>
      <c r="EX156" s="7"/>
      <c r="EY156" s="7"/>
      <c r="EZ156" s="7"/>
      <c r="FA156" s="7"/>
      <c r="FB156" s="7"/>
      <c r="FC156" s="7"/>
    </row>
    <row r="157" spans="152:159" x14ac:dyDescent="0.15">
      <c r="EV157" s="7"/>
      <c r="EW157" s="7"/>
      <c r="EX157" s="7"/>
      <c r="EY157" s="7"/>
      <c r="EZ157" s="7"/>
      <c r="FA157" s="7"/>
      <c r="FB157" s="7"/>
      <c r="FC157" s="7"/>
    </row>
    <row r="158" spans="152:159" x14ac:dyDescent="0.15">
      <c r="EV158" s="7"/>
      <c r="EW158" s="7"/>
      <c r="EX158" s="7"/>
      <c r="EY158" s="7"/>
      <c r="EZ158" s="7"/>
      <c r="FA158" s="7"/>
      <c r="FB158" s="7"/>
      <c r="FC158" s="7"/>
    </row>
    <row r="159" spans="152:159" x14ac:dyDescent="0.15">
      <c r="EV159" s="7"/>
      <c r="EW159" s="7"/>
      <c r="EX159" s="7"/>
      <c r="EY159" s="7"/>
      <c r="EZ159" s="7"/>
      <c r="FA159" s="7"/>
      <c r="FB159" s="7"/>
      <c r="FC159" s="7"/>
    </row>
    <row r="160" spans="152:159" x14ac:dyDescent="0.15">
      <c r="EV160" s="7"/>
      <c r="EW160" s="7"/>
      <c r="EX160" s="7"/>
      <c r="EY160" s="7"/>
      <c r="EZ160" s="7"/>
      <c r="FA160" s="7"/>
      <c r="FB160" s="7"/>
      <c r="FC160" s="7"/>
    </row>
    <row r="161" spans="152:159" x14ac:dyDescent="0.15">
      <c r="EV161" s="7"/>
      <c r="EW161" s="7"/>
      <c r="EX161" s="7"/>
      <c r="EY161" s="7"/>
      <c r="EZ161" s="7"/>
      <c r="FA161" s="7"/>
      <c r="FB161" s="7"/>
      <c r="FC161" s="7"/>
    </row>
    <row r="162" spans="152:159" x14ac:dyDescent="0.15">
      <c r="EV162" s="7"/>
      <c r="EW162" s="7"/>
      <c r="EX162" s="7"/>
      <c r="EY162" s="7"/>
      <c r="EZ162" s="7"/>
      <c r="FA162" s="7"/>
      <c r="FB162" s="7"/>
      <c r="FC162" s="7"/>
    </row>
    <row r="163" spans="152:159" x14ac:dyDescent="0.15">
      <c r="EV163" s="7"/>
      <c r="EW163" s="7"/>
      <c r="EX163" s="7"/>
      <c r="EY163" s="7"/>
      <c r="EZ163" s="7"/>
      <c r="FA163" s="7"/>
      <c r="FB163" s="7"/>
      <c r="FC163" s="7"/>
    </row>
    <row r="164" spans="152:159" x14ac:dyDescent="0.15">
      <c r="EV164" s="7"/>
      <c r="EW164" s="7"/>
      <c r="EX164" s="7"/>
      <c r="EY164" s="7"/>
      <c r="EZ164" s="7"/>
      <c r="FA164" s="7"/>
      <c r="FB164" s="7"/>
      <c r="FC164" s="7"/>
    </row>
    <row r="165" spans="152:159" x14ac:dyDescent="0.15">
      <c r="EV165" s="7"/>
      <c r="EW165" s="7"/>
      <c r="EX165" s="7"/>
      <c r="EY165" s="7"/>
      <c r="EZ165" s="7"/>
      <c r="FA165" s="7"/>
      <c r="FB165" s="7"/>
      <c r="FC165" s="7"/>
    </row>
    <row r="166" spans="152:159" x14ac:dyDescent="0.15">
      <c r="EV166" s="7"/>
      <c r="EW166" s="7"/>
      <c r="EX166" s="7"/>
      <c r="EY166" s="7"/>
      <c r="EZ166" s="7"/>
      <c r="FA166" s="7"/>
      <c r="FB166" s="7"/>
      <c r="FC166" s="7"/>
    </row>
    <row r="167" spans="152:159" x14ac:dyDescent="0.15">
      <c r="EV167" s="7"/>
      <c r="EW167" s="7"/>
      <c r="EX167" s="7"/>
      <c r="EY167" s="7"/>
      <c r="EZ167" s="7"/>
      <c r="FA167" s="7"/>
      <c r="FB167" s="7"/>
      <c r="FC167" s="7"/>
    </row>
    <row r="168" spans="152:159" x14ac:dyDescent="0.15">
      <c r="EV168" s="7"/>
      <c r="EW168" s="7"/>
      <c r="EX168" s="7"/>
      <c r="EY168" s="7"/>
      <c r="EZ168" s="7"/>
      <c r="FA168" s="7"/>
      <c r="FB168" s="7"/>
      <c r="FC168" s="7"/>
    </row>
    <row r="169" spans="152:159" x14ac:dyDescent="0.15">
      <c r="EV169" s="7"/>
      <c r="EW169" s="7"/>
      <c r="EX169" s="7"/>
      <c r="EY169" s="7"/>
      <c r="EZ169" s="7"/>
      <c r="FA169" s="7"/>
      <c r="FB169" s="7"/>
      <c r="FC169" s="7"/>
    </row>
    <row r="170" spans="152:159" x14ac:dyDescent="0.15">
      <c r="EV170" s="7"/>
      <c r="EW170" s="7"/>
      <c r="EX170" s="7"/>
      <c r="EY170" s="7"/>
      <c r="EZ170" s="7"/>
      <c r="FA170" s="7"/>
      <c r="FB170" s="7"/>
      <c r="FC170" s="7"/>
    </row>
    <row r="171" spans="152:159" x14ac:dyDescent="0.15">
      <c r="EV171" s="7"/>
      <c r="EW171" s="7"/>
      <c r="EX171" s="7"/>
      <c r="EY171" s="7"/>
      <c r="EZ171" s="7"/>
      <c r="FA171" s="7"/>
      <c r="FB171" s="7"/>
      <c r="FC171" s="7"/>
    </row>
    <row r="172" spans="152:159" x14ac:dyDescent="0.15">
      <c r="EV172" s="7"/>
      <c r="EW172" s="7"/>
      <c r="EX172" s="7"/>
      <c r="EY172" s="7"/>
      <c r="EZ172" s="7"/>
      <c r="FA172" s="7"/>
      <c r="FB172" s="7"/>
      <c r="FC172" s="7"/>
    </row>
    <row r="173" spans="152:159" x14ac:dyDescent="0.15">
      <c r="EV173" s="7"/>
      <c r="EW173" s="7"/>
      <c r="EX173" s="7"/>
      <c r="EY173" s="7"/>
      <c r="EZ173" s="7"/>
      <c r="FA173" s="7"/>
      <c r="FB173" s="7"/>
      <c r="FC173" s="7"/>
    </row>
    <row r="174" spans="152:159" x14ac:dyDescent="0.15">
      <c r="EV174" s="7"/>
      <c r="EW174" s="7"/>
      <c r="EX174" s="7"/>
      <c r="EY174" s="7"/>
      <c r="EZ174" s="7"/>
      <c r="FA174" s="7"/>
      <c r="FB174" s="7"/>
      <c r="FC174" s="7"/>
    </row>
    <row r="175" spans="152:159" x14ac:dyDescent="0.15">
      <c r="EV175" s="7"/>
      <c r="EW175" s="7"/>
      <c r="EX175" s="7"/>
      <c r="EY175" s="7"/>
      <c r="EZ175" s="7"/>
      <c r="FA175" s="7"/>
      <c r="FB175" s="7"/>
      <c r="FC175" s="7"/>
    </row>
    <row r="176" spans="152:159" x14ac:dyDescent="0.15">
      <c r="EV176" s="7"/>
      <c r="EW176" s="7"/>
      <c r="EX176" s="7"/>
      <c r="EY176" s="7"/>
      <c r="EZ176" s="7"/>
      <c r="FA176" s="7"/>
      <c r="FB176" s="7"/>
      <c r="FC176" s="7"/>
    </row>
    <row r="177" spans="152:159" x14ac:dyDescent="0.15">
      <c r="EV177" s="7"/>
      <c r="EW177" s="7"/>
      <c r="EX177" s="7"/>
      <c r="EY177" s="7"/>
      <c r="EZ177" s="7"/>
      <c r="FA177" s="7"/>
      <c r="FB177" s="7"/>
      <c r="FC177" s="7"/>
    </row>
    <row r="178" spans="152:159" x14ac:dyDescent="0.15">
      <c r="EV178" s="7"/>
      <c r="EW178" s="7"/>
      <c r="EX178" s="7"/>
      <c r="EY178" s="7"/>
      <c r="EZ178" s="7"/>
      <c r="FA178" s="7"/>
      <c r="FB178" s="7"/>
      <c r="FC178" s="7"/>
    </row>
    <row r="179" spans="152:159" x14ac:dyDescent="0.15">
      <c r="EV179" s="7"/>
      <c r="EW179" s="7"/>
      <c r="EX179" s="7"/>
      <c r="EY179" s="7"/>
      <c r="EZ179" s="7"/>
      <c r="FA179" s="7"/>
      <c r="FB179" s="7"/>
      <c r="FC179" s="7"/>
    </row>
    <row r="180" spans="152:159" x14ac:dyDescent="0.15">
      <c r="EV180" s="7"/>
      <c r="EW180" s="7"/>
      <c r="EX180" s="7"/>
      <c r="EY180" s="7"/>
      <c r="EZ180" s="7"/>
      <c r="FA180" s="7"/>
      <c r="FB180" s="7"/>
      <c r="FC180" s="7"/>
    </row>
  </sheetData>
  <sheetProtection sheet="1" objects="1" scenarios="1" formatCells="0" formatColumns="0" formatRows="0"/>
  <mergeCells count="270">
    <mergeCell ref="CL2:DC2"/>
    <mergeCell ref="DE2:DF2"/>
    <mergeCell ref="DH2:DI2"/>
    <mergeCell ref="DK2:DL2"/>
    <mergeCell ref="C1:S2"/>
    <mergeCell ref="U1:AK2"/>
    <mergeCell ref="AO1:AY1"/>
    <mergeCell ref="CL1:DL1"/>
    <mergeCell ref="DZ1:EW1"/>
    <mergeCell ref="AO2:AS2"/>
    <mergeCell ref="AT2:AU2"/>
    <mergeCell ref="AV2:AW2"/>
    <mergeCell ref="AX2:AY2"/>
    <mergeCell ref="ET2:EU2"/>
    <mergeCell ref="EV2:EW2"/>
    <mergeCell ref="EX2:EY2"/>
    <mergeCell ref="EZ2:FA2"/>
    <mergeCell ref="FB2:FC2"/>
    <mergeCell ref="FD2:FI2"/>
    <mergeCell ref="DM2:DN2"/>
    <mergeCell ref="DO2:DP2"/>
    <mergeCell ref="DQ2:DR2"/>
    <mergeCell ref="DS2:DX2"/>
    <mergeCell ref="DZ2:EQ2"/>
    <mergeCell ref="ER2:ES2"/>
    <mergeCell ref="CN3:CQ3"/>
    <mergeCell ref="CX3:DA3"/>
    <mergeCell ref="EB3:EE3"/>
    <mergeCell ref="EL3:EO3"/>
    <mergeCell ref="AO4:AP4"/>
    <mergeCell ref="D3:G3"/>
    <mergeCell ref="N3:Q3"/>
    <mergeCell ref="V3:Y3"/>
    <mergeCell ref="AF3:AI3"/>
    <mergeCell ref="AX7:AX8"/>
    <mergeCell ref="AT5:AT6"/>
    <mergeCell ref="AU5:AU10"/>
    <mergeCell ref="AV5:AV6"/>
    <mergeCell ref="AW5:AW10"/>
    <mergeCell ref="AX5:AX6"/>
    <mergeCell ref="AY5:AY10"/>
    <mergeCell ref="AT9:AT10"/>
    <mergeCell ref="AV9:AV10"/>
    <mergeCell ref="AX9:AX10"/>
    <mergeCell ref="A11:A16"/>
    <mergeCell ref="AO11:AO12"/>
    <mergeCell ref="AP11:AP12"/>
    <mergeCell ref="AQ11:AQ16"/>
    <mergeCell ref="AR11:AR16"/>
    <mergeCell ref="AO7:AO8"/>
    <mergeCell ref="AP7:AP8"/>
    <mergeCell ref="AT7:AT8"/>
    <mergeCell ref="AV7:AV8"/>
    <mergeCell ref="A5:A10"/>
    <mergeCell ref="AO5:AO6"/>
    <mergeCell ref="AP5:AP6"/>
    <mergeCell ref="AQ5:AQ10"/>
    <mergeCell ref="AR5:AR10"/>
    <mergeCell ref="AS5:AS10"/>
    <mergeCell ref="AO9:AO10"/>
    <mergeCell ref="AP9:AP10"/>
    <mergeCell ref="AY11:AY16"/>
    <mergeCell ref="AO13:AO14"/>
    <mergeCell ref="AP13:AP14"/>
    <mergeCell ref="AT13:AT14"/>
    <mergeCell ref="AV13:AV14"/>
    <mergeCell ref="AX13:AX14"/>
    <mergeCell ref="AO15:AO16"/>
    <mergeCell ref="AP15:AP16"/>
    <mergeCell ref="AT15:AT16"/>
    <mergeCell ref="AV15:AV16"/>
    <mergeCell ref="AS11:AS16"/>
    <mergeCell ref="AT11:AT12"/>
    <mergeCell ref="AU11:AU16"/>
    <mergeCell ref="AV11:AV12"/>
    <mergeCell ref="AW11:AW16"/>
    <mergeCell ref="AX11:AX12"/>
    <mergeCell ref="AX15:AX16"/>
    <mergeCell ref="AT17:AT18"/>
    <mergeCell ref="AU17:AU22"/>
    <mergeCell ref="AV17:AV18"/>
    <mergeCell ref="AW17:AW22"/>
    <mergeCell ref="AX17:AX18"/>
    <mergeCell ref="AY17:AY22"/>
    <mergeCell ref="AT19:AT20"/>
    <mergeCell ref="AV19:AV20"/>
    <mergeCell ref="AX19:AX20"/>
    <mergeCell ref="AT21:AT22"/>
    <mergeCell ref="AV21:AV22"/>
    <mergeCell ref="AX21:AX22"/>
    <mergeCell ref="A17:A22"/>
    <mergeCell ref="AO17:AO18"/>
    <mergeCell ref="AP17:AP18"/>
    <mergeCell ref="AQ17:AQ22"/>
    <mergeCell ref="AR17:AR22"/>
    <mergeCell ref="AS17:AS22"/>
    <mergeCell ref="AO19:AO20"/>
    <mergeCell ref="AP19:AP20"/>
    <mergeCell ref="AO21:AO22"/>
    <mergeCell ref="AP21:AP22"/>
    <mergeCell ref="A29:A34"/>
    <mergeCell ref="AO29:AO30"/>
    <mergeCell ref="AP29:AP30"/>
    <mergeCell ref="AQ29:AQ34"/>
    <mergeCell ref="AR29:AR34"/>
    <mergeCell ref="AS29:AS34"/>
    <mergeCell ref="AV23:AV24"/>
    <mergeCell ref="AW23:AW28"/>
    <mergeCell ref="AX23:AX24"/>
    <mergeCell ref="AO25:AO26"/>
    <mergeCell ref="AP25:AP26"/>
    <mergeCell ref="AT25:AT26"/>
    <mergeCell ref="AV25:AV26"/>
    <mergeCell ref="AX25:AX26"/>
    <mergeCell ref="AO27:AO28"/>
    <mergeCell ref="AT29:AT30"/>
    <mergeCell ref="AU29:AU34"/>
    <mergeCell ref="AV29:AV30"/>
    <mergeCell ref="AW29:AW34"/>
    <mergeCell ref="AX29:AX30"/>
    <mergeCell ref="A23:A28"/>
    <mergeCell ref="AO23:AO24"/>
    <mergeCell ref="AP23:AP24"/>
    <mergeCell ref="AQ23:AQ28"/>
    <mergeCell ref="AY29:AY34"/>
    <mergeCell ref="AP27:AP28"/>
    <mergeCell ref="AT27:AT28"/>
    <mergeCell ref="AV27:AV28"/>
    <mergeCell ref="AX27:AX28"/>
    <mergeCell ref="AY23:AY28"/>
    <mergeCell ref="AO31:AO32"/>
    <mergeCell ref="AP31:AP32"/>
    <mergeCell ref="AT31:AT32"/>
    <mergeCell ref="AV31:AV32"/>
    <mergeCell ref="AX31:AX32"/>
    <mergeCell ref="AO33:AO34"/>
    <mergeCell ref="AP33:AP34"/>
    <mergeCell ref="AT33:AT34"/>
    <mergeCell ref="AV33:AV34"/>
    <mergeCell ref="AX33:AX34"/>
    <mergeCell ref="AR23:AR28"/>
    <mergeCell ref="AS23:AS28"/>
    <mergeCell ref="AT23:AT24"/>
    <mergeCell ref="AU23:AU28"/>
    <mergeCell ref="AT35:AT36"/>
    <mergeCell ref="AU35:AU40"/>
    <mergeCell ref="AV35:AV36"/>
    <mergeCell ref="AW35:AW40"/>
    <mergeCell ref="AX35:AX36"/>
    <mergeCell ref="AY35:AY40"/>
    <mergeCell ref="AT37:AT38"/>
    <mergeCell ref="AV37:AV38"/>
    <mergeCell ref="AX37:AX38"/>
    <mergeCell ref="AT39:AT40"/>
    <mergeCell ref="AV39:AV40"/>
    <mergeCell ref="AX39:AX40"/>
    <mergeCell ref="AP39:AP40"/>
    <mergeCell ref="A43:V43"/>
    <mergeCell ref="A44:L44"/>
    <mergeCell ref="Q44:R44"/>
    <mergeCell ref="S44:T44"/>
    <mergeCell ref="U44:V44"/>
    <mergeCell ref="W44:X44"/>
    <mergeCell ref="Y44:Z44"/>
    <mergeCell ref="AA44:AB44"/>
    <mergeCell ref="A35:A40"/>
    <mergeCell ref="AC44:AH44"/>
    <mergeCell ref="Q49:Q50"/>
    <mergeCell ref="S49:S50"/>
    <mergeCell ref="U49:U50"/>
    <mergeCell ref="W49:W50"/>
    <mergeCell ref="Y47:Y48"/>
    <mergeCell ref="Z47:Z52"/>
    <mergeCell ref="AA47:AA48"/>
    <mergeCell ref="AB47:AB52"/>
    <mergeCell ref="AC47:AC48"/>
    <mergeCell ref="Y51:Y52"/>
    <mergeCell ref="S47:S48"/>
    <mergeCell ref="T47:T52"/>
    <mergeCell ref="U47:U48"/>
    <mergeCell ref="V47:V52"/>
    <mergeCell ref="W47:W48"/>
    <mergeCell ref="AA51:AA52"/>
    <mergeCell ref="AC51:AC52"/>
    <mergeCell ref="Y49:Y50"/>
    <mergeCell ref="AA49:AA50"/>
    <mergeCell ref="AC49:AC50"/>
    <mergeCell ref="C45:F45"/>
    <mergeCell ref="M45:P45"/>
    <mergeCell ref="A46:B46"/>
    <mergeCell ref="A47:A48"/>
    <mergeCell ref="B47:B48"/>
    <mergeCell ref="C47:C52"/>
    <mergeCell ref="D47:D52"/>
    <mergeCell ref="E47:E52"/>
    <mergeCell ref="F47:F52"/>
    <mergeCell ref="A49:A50"/>
    <mergeCell ref="B49:B50"/>
    <mergeCell ref="AF47:AF52"/>
    <mergeCell ref="AG47:AG52"/>
    <mergeCell ref="AH47:AH52"/>
    <mergeCell ref="A51:A52"/>
    <mergeCell ref="B51:B52"/>
    <mergeCell ref="Q51:Q52"/>
    <mergeCell ref="S51:S52"/>
    <mergeCell ref="U51:U52"/>
    <mergeCell ref="W51:W52"/>
    <mergeCell ref="AE47:AE52"/>
    <mergeCell ref="X47:X52"/>
    <mergeCell ref="M47:M52"/>
    <mergeCell ref="N47:N52"/>
    <mergeCell ref="O47:O52"/>
    <mergeCell ref="P47:P52"/>
    <mergeCell ref="Q47:Q48"/>
    <mergeCell ref="R47:R52"/>
    <mergeCell ref="G47:G52"/>
    <mergeCell ref="H47:H52"/>
    <mergeCell ref="I47:I52"/>
    <mergeCell ref="J47:J52"/>
    <mergeCell ref="K47:K52"/>
    <mergeCell ref="L47:L52"/>
    <mergeCell ref="AD47:AD52"/>
    <mergeCell ref="FK2:FL2"/>
    <mergeCell ref="FM2:FN2"/>
    <mergeCell ref="FP2:FQ2"/>
    <mergeCell ref="FR2:FS2"/>
    <mergeCell ref="AI44:AJ44"/>
    <mergeCell ref="AK44:AL44"/>
    <mergeCell ref="AI46:AJ46"/>
    <mergeCell ref="AK46:AL46"/>
    <mergeCell ref="AI47:AI48"/>
    <mergeCell ref="AJ47:AJ52"/>
    <mergeCell ref="AK47:AK48"/>
    <mergeCell ref="AL47:AL52"/>
    <mergeCell ref="AI49:AI50"/>
    <mergeCell ref="AK49:AK50"/>
    <mergeCell ref="AI51:AI52"/>
    <mergeCell ref="AK51:AK52"/>
    <mergeCell ref="AO35:AO36"/>
    <mergeCell ref="AP35:AP36"/>
    <mergeCell ref="AQ35:AQ40"/>
    <mergeCell ref="AR35:AR40"/>
    <mergeCell ref="AS35:AS40"/>
    <mergeCell ref="AO37:AO38"/>
    <mergeCell ref="AP37:AP38"/>
    <mergeCell ref="AO39:AO40"/>
    <mergeCell ref="AZ5:AZ6"/>
    <mergeCell ref="BA5:BA10"/>
    <mergeCell ref="AZ7:AZ8"/>
    <mergeCell ref="AZ9:AZ10"/>
    <mergeCell ref="AZ11:AZ12"/>
    <mergeCell ref="BA11:BA16"/>
    <mergeCell ref="AZ13:AZ14"/>
    <mergeCell ref="AZ15:AZ16"/>
    <mergeCell ref="AZ17:AZ18"/>
    <mergeCell ref="BA17:BA22"/>
    <mergeCell ref="AZ19:AZ20"/>
    <mergeCell ref="AZ21:AZ22"/>
    <mergeCell ref="AZ23:AZ24"/>
    <mergeCell ref="BA23:BA28"/>
    <mergeCell ref="AZ25:AZ26"/>
    <mergeCell ref="AZ27:AZ28"/>
    <mergeCell ref="AZ29:AZ30"/>
    <mergeCell ref="BA29:BA34"/>
    <mergeCell ref="AZ31:AZ32"/>
    <mergeCell ref="AZ33:AZ34"/>
    <mergeCell ref="AZ35:AZ36"/>
    <mergeCell ref="BA35:BA40"/>
    <mergeCell ref="AZ37:AZ38"/>
    <mergeCell ref="AZ39:AZ40"/>
  </mergeCells>
  <conditionalFormatting sqref="AP5">
    <cfRule type="cellIs" dxfId="3609" priority="653" stopIfTrue="1" operator="greaterThan">
      <formula>0.03</formula>
    </cfRule>
    <cfRule type="cellIs" dxfId="3608" priority="654" stopIfTrue="1" operator="lessThan">
      <formula>-0.03</formula>
    </cfRule>
  </conditionalFormatting>
  <conditionalFormatting sqref="AQ5">
    <cfRule type="cellIs" dxfId="3607" priority="671" stopIfTrue="1" operator="greaterThan">
      <formula>0.03</formula>
    </cfRule>
    <cfRule type="cellIs" dxfId="3606" priority="672" stopIfTrue="1" operator="lessThan">
      <formula>-0.03</formula>
    </cfRule>
  </conditionalFormatting>
  <conditionalFormatting sqref="CH5">
    <cfRule type="cellIs" dxfId="3605" priority="673" stopIfTrue="1" operator="greaterThan">
      <formula>0.03</formula>
    </cfRule>
    <cfRule type="cellIs" dxfId="3604" priority="674" stopIfTrue="1" operator="lessThan">
      <formula>-0.03</formula>
    </cfRule>
  </conditionalFormatting>
  <conditionalFormatting sqref="AQ5:AQ10">
    <cfRule type="cellIs" dxfId="3603" priority="675" stopIfTrue="1" operator="greaterThan">
      <formula>0</formula>
    </cfRule>
    <cfRule type="cellIs" dxfId="3602" priority="676" stopIfTrue="1" operator="lessThan">
      <formula>0</formula>
    </cfRule>
  </conditionalFormatting>
  <conditionalFormatting sqref="AR5:AS5">
    <cfRule type="cellIs" dxfId="3601" priority="667" stopIfTrue="1" operator="greaterThan">
      <formula>0.03</formula>
    </cfRule>
    <cfRule type="cellIs" dxfId="3600" priority="668" stopIfTrue="1" operator="lessThan">
      <formula>-0.03</formula>
    </cfRule>
  </conditionalFormatting>
  <conditionalFormatting sqref="AR5:AS10">
    <cfRule type="cellIs" dxfId="3599" priority="669" stopIfTrue="1" operator="greaterThan">
      <formula>0</formula>
    </cfRule>
    <cfRule type="cellIs" dxfId="3598" priority="670" stopIfTrue="1" operator="lessThan">
      <formula>0</formula>
    </cfRule>
  </conditionalFormatting>
  <conditionalFormatting sqref="AU5">
    <cfRule type="cellIs" dxfId="3597" priority="663" stopIfTrue="1" operator="greaterThan">
      <formula>0.03</formula>
    </cfRule>
    <cfRule type="cellIs" dxfId="3596" priority="664" stopIfTrue="1" operator="lessThan">
      <formula>-0.03</formula>
    </cfRule>
  </conditionalFormatting>
  <conditionalFormatting sqref="AU5:AU10">
    <cfRule type="cellIs" dxfId="3595" priority="665" stopIfTrue="1" operator="greaterThan">
      <formula>0</formula>
    </cfRule>
    <cfRule type="cellIs" dxfId="3594" priority="666" stopIfTrue="1" operator="lessThan">
      <formula>0</formula>
    </cfRule>
  </conditionalFormatting>
  <conditionalFormatting sqref="AW5">
    <cfRule type="cellIs" dxfId="3593" priority="659" stopIfTrue="1" operator="greaterThan">
      <formula>0.03</formula>
    </cfRule>
    <cfRule type="cellIs" dxfId="3592" priority="660" stopIfTrue="1" operator="lessThan">
      <formula>-0.03</formula>
    </cfRule>
  </conditionalFormatting>
  <conditionalFormatting sqref="AW5:AW10">
    <cfRule type="cellIs" dxfId="3591" priority="661" stopIfTrue="1" operator="greaterThan">
      <formula>0</formula>
    </cfRule>
    <cfRule type="cellIs" dxfId="3590" priority="662" stopIfTrue="1" operator="lessThan">
      <formula>0</formula>
    </cfRule>
  </conditionalFormatting>
  <conditionalFormatting sqref="AY5">
    <cfRule type="cellIs" dxfId="3589" priority="655" stopIfTrue="1" operator="greaterThan">
      <formula>0.03</formula>
    </cfRule>
    <cfRule type="cellIs" dxfId="3588" priority="656" stopIfTrue="1" operator="lessThan">
      <formula>-0.03</formula>
    </cfRule>
  </conditionalFormatting>
  <conditionalFormatting sqref="AY5:AY10">
    <cfRule type="cellIs" dxfId="3587" priority="657" stopIfTrue="1" operator="greaterThan">
      <formula>0</formula>
    </cfRule>
    <cfRule type="cellIs" dxfId="3586" priority="658" stopIfTrue="1" operator="lessThan">
      <formula>0</formula>
    </cfRule>
  </conditionalFormatting>
  <conditionalFormatting sqref="AP5:AP6">
    <cfRule type="cellIs" dxfId="3585" priority="677" stopIfTrue="1" operator="greaterThan">
      <formula>0</formula>
    </cfRule>
    <cfRule type="cellIs" dxfId="3584" priority="678" operator="lessThan">
      <formula>0</formula>
    </cfRule>
  </conditionalFormatting>
  <conditionalFormatting sqref="AP7">
    <cfRule type="cellIs" dxfId="3583" priority="649" stopIfTrue="1" operator="greaterThan">
      <formula>0.03</formula>
    </cfRule>
    <cfRule type="cellIs" dxfId="3582" priority="650" stopIfTrue="1" operator="lessThan">
      <formula>-0.03</formula>
    </cfRule>
  </conditionalFormatting>
  <conditionalFormatting sqref="AP7:AP8">
    <cfRule type="cellIs" dxfId="3581" priority="651" stopIfTrue="1" operator="greaterThan">
      <formula>0</formula>
    </cfRule>
    <cfRule type="cellIs" dxfId="3580" priority="652" operator="lessThan">
      <formula>0</formula>
    </cfRule>
  </conditionalFormatting>
  <conditionalFormatting sqref="AP9">
    <cfRule type="cellIs" dxfId="3579" priority="645" stopIfTrue="1" operator="greaterThan">
      <formula>0.03</formula>
    </cfRule>
    <cfRule type="cellIs" dxfId="3578" priority="646" stopIfTrue="1" operator="lessThan">
      <formula>-0.03</formula>
    </cfRule>
  </conditionalFormatting>
  <conditionalFormatting sqref="AP9:AP10">
    <cfRule type="cellIs" dxfId="3577" priority="647" stopIfTrue="1" operator="greaterThan">
      <formula>0</formula>
    </cfRule>
    <cfRule type="cellIs" dxfId="3576" priority="648" operator="lessThan">
      <formula>0</formula>
    </cfRule>
  </conditionalFormatting>
  <conditionalFormatting sqref="AT5">
    <cfRule type="cellIs" dxfId="3575" priority="641" stopIfTrue="1" operator="greaterThan">
      <formula>0.03</formula>
    </cfRule>
    <cfRule type="cellIs" dxfId="3574" priority="642" stopIfTrue="1" operator="lessThan">
      <formula>-0.03</formula>
    </cfRule>
  </conditionalFormatting>
  <conditionalFormatting sqref="AT5:AT6">
    <cfRule type="cellIs" dxfId="3573" priority="643" stopIfTrue="1" operator="greaterThan">
      <formula>0</formula>
    </cfRule>
    <cfRule type="cellIs" dxfId="3572" priority="644" operator="lessThan">
      <formula>0</formula>
    </cfRule>
  </conditionalFormatting>
  <conditionalFormatting sqref="AT7">
    <cfRule type="cellIs" dxfId="3571" priority="637" stopIfTrue="1" operator="greaterThan">
      <formula>0.03</formula>
    </cfRule>
    <cfRule type="cellIs" dxfId="3570" priority="638" stopIfTrue="1" operator="lessThan">
      <formula>-0.03</formula>
    </cfRule>
  </conditionalFormatting>
  <conditionalFormatting sqref="AT7:AT8">
    <cfRule type="cellIs" dxfId="3569" priority="639" stopIfTrue="1" operator="greaterThan">
      <formula>0</formula>
    </cfRule>
    <cfRule type="cellIs" dxfId="3568" priority="640" operator="lessThan">
      <formula>0</formula>
    </cfRule>
  </conditionalFormatting>
  <conditionalFormatting sqref="AT9">
    <cfRule type="cellIs" dxfId="3567" priority="633" stopIfTrue="1" operator="greaterThan">
      <formula>0.03</formula>
    </cfRule>
    <cfRule type="cellIs" dxfId="3566" priority="634" stopIfTrue="1" operator="lessThan">
      <formula>-0.03</formula>
    </cfRule>
  </conditionalFormatting>
  <conditionalFormatting sqref="AT9:AT10">
    <cfRule type="cellIs" dxfId="3565" priority="635" stopIfTrue="1" operator="greaterThan">
      <formula>0</formula>
    </cfRule>
    <cfRule type="cellIs" dxfId="3564" priority="636" operator="lessThan">
      <formula>0</formula>
    </cfRule>
  </conditionalFormatting>
  <conditionalFormatting sqref="AV5">
    <cfRule type="cellIs" dxfId="3563" priority="629" stopIfTrue="1" operator="greaterThan">
      <formula>0.03</formula>
    </cfRule>
    <cfRule type="cellIs" dxfId="3562" priority="630" stopIfTrue="1" operator="lessThan">
      <formula>-0.03</formula>
    </cfRule>
  </conditionalFormatting>
  <conditionalFormatting sqref="AV5:AV6">
    <cfRule type="cellIs" dxfId="3561" priority="631" stopIfTrue="1" operator="greaterThan">
      <formula>0</formula>
    </cfRule>
    <cfRule type="cellIs" dxfId="3560" priority="632" operator="lessThan">
      <formula>0</formula>
    </cfRule>
  </conditionalFormatting>
  <conditionalFormatting sqref="AV7">
    <cfRule type="cellIs" dxfId="3559" priority="625" stopIfTrue="1" operator="greaterThan">
      <formula>0.03</formula>
    </cfRule>
    <cfRule type="cellIs" dxfId="3558" priority="626" stopIfTrue="1" operator="lessThan">
      <formula>-0.03</formula>
    </cfRule>
  </conditionalFormatting>
  <conditionalFormatting sqref="AV7:AV8">
    <cfRule type="cellIs" dxfId="3557" priority="627" stopIfTrue="1" operator="greaterThan">
      <formula>0</formula>
    </cfRule>
    <cfRule type="cellIs" dxfId="3556" priority="628" operator="lessThan">
      <formula>0</formula>
    </cfRule>
  </conditionalFormatting>
  <conditionalFormatting sqref="AV9">
    <cfRule type="cellIs" dxfId="3555" priority="621" stopIfTrue="1" operator="greaterThan">
      <formula>0.03</formula>
    </cfRule>
    <cfRule type="cellIs" dxfId="3554" priority="622" stopIfTrue="1" operator="lessThan">
      <formula>-0.03</formula>
    </cfRule>
  </conditionalFormatting>
  <conditionalFormatting sqref="AV9:AV10">
    <cfRule type="cellIs" dxfId="3553" priority="623" stopIfTrue="1" operator="greaterThan">
      <formula>0</formula>
    </cfRule>
    <cfRule type="cellIs" dxfId="3552" priority="624" operator="lessThan">
      <formula>0</formula>
    </cfRule>
  </conditionalFormatting>
  <conditionalFormatting sqref="AX5">
    <cfRule type="cellIs" dxfId="3551" priority="617" stopIfTrue="1" operator="greaterThan">
      <formula>0.03</formula>
    </cfRule>
    <cfRule type="cellIs" dxfId="3550" priority="618" stopIfTrue="1" operator="lessThan">
      <formula>-0.03</formula>
    </cfRule>
  </conditionalFormatting>
  <conditionalFormatting sqref="AX5:AX6">
    <cfRule type="cellIs" dxfId="3549" priority="619" stopIfTrue="1" operator="greaterThan">
      <formula>0</formula>
    </cfRule>
    <cfRule type="cellIs" dxfId="3548" priority="620" operator="lessThan">
      <formula>0</formula>
    </cfRule>
  </conditionalFormatting>
  <conditionalFormatting sqref="AX7">
    <cfRule type="cellIs" dxfId="3547" priority="613" stopIfTrue="1" operator="greaterThan">
      <formula>0.03</formula>
    </cfRule>
    <cfRule type="cellIs" dxfId="3546" priority="614" stopIfTrue="1" operator="lessThan">
      <formula>-0.03</formula>
    </cfRule>
  </conditionalFormatting>
  <conditionalFormatting sqref="AX7:AX8">
    <cfRule type="cellIs" dxfId="3545" priority="615" stopIfTrue="1" operator="greaterThan">
      <formula>0</formula>
    </cfRule>
    <cfRule type="cellIs" dxfId="3544" priority="616" operator="lessThan">
      <formula>0</formula>
    </cfRule>
  </conditionalFormatting>
  <conditionalFormatting sqref="AX9">
    <cfRule type="cellIs" dxfId="3543" priority="609" stopIfTrue="1" operator="greaterThan">
      <formula>0.03</formula>
    </cfRule>
    <cfRule type="cellIs" dxfId="3542" priority="610" stopIfTrue="1" operator="lessThan">
      <formula>-0.03</formula>
    </cfRule>
  </conditionalFormatting>
  <conditionalFormatting sqref="AX9:AX10">
    <cfRule type="cellIs" dxfId="3541" priority="611" stopIfTrue="1" operator="greaterThan">
      <formula>0</formula>
    </cfRule>
    <cfRule type="cellIs" dxfId="3540" priority="612" operator="lessThan">
      <formula>0</formula>
    </cfRule>
  </conditionalFormatting>
  <conditionalFormatting sqref="AP11">
    <cfRule type="cellIs" dxfId="3539" priority="585" stopIfTrue="1" operator="greaterThan">
      <formula>0.03</formula>
    </cfRule>
    <cfRule type="cellIs" dxfId="3538" priority="586" stopIfTrue="1" operator="lessThan">
      <formula>-0.03</formula>
    </cfRule>
  </conditionalFormatting>
  <conditionalFormatting sqref="AQ11">
    <cfRule type="cellIs" dxfId="3537" priority="603" stopIfTrue="1" operator="greaterThan">
      <formula>0.03</formula>
    </cfRule>
    <cfRule type="cellIs" dxfId="3536" priority="604" stopIfTrue="1" operator="lessThan">
      <formula>-0.03</formula>
    </cfRule>
  </conditionalFormatting>
  <conditionalFormatting sqref="AQ11:AQ16">
    <cfRule type="cellIs" dxfId="3535" priority="605" stopIfTrue="1" operator="greaterThan">
      <formula>0</formula>
    </cfRule>
    <cfRule type="cellIs" dxfId="3534" priority="606" stopIfTrue="1" operator="lessThan">
      <formula>0</formula>
    </cfRule>
  </conditionalFormatting>
  <conditionalFormatting sqref="AR11:AS11">
    <cfRule type="cellIs" dxfId="3533" priority="599" stopIfTrue="1" operator="greaterThan">
      <formula>0.03</formula>
    </cfRule>
    <cfRule type="cellIs" dxfId="3532" priority="600" stopIfTrue="1" operator="lessThan">
      <formula>-0.03</formula>
    </cfRule>
  </conditionalFormatting>
  <conditionalFormatting sqref="AR11:AS16">
    <cfRule type="cellIs" dxfId="3531" priority="601" stopIfTrue="1" operator="greaterThan">
      <formula>0</formula>
    </cfRule>
    <cfRule type="cellIs" dxfId="3530" priority="602" stopIfTrue="1" operator="lessThan">
      <formula>0</formula>
    </cfRule>
  </conditionalFormatting>
  <conditionalFormatting sqref="AU11">
    <cfRule type="cellIs" dxfId="3529" priority="595" stopIfTrue="1" operator="greaterThan">
      <formula>0.03</formula>
    </cfRule>
    <cfRule type="cellIs" dxfId="3528" priority="596" stopIfTrue="1" operator="lessThan">
      <formula>-0.03</formula>
    </cfRule>
  </conditionalFormatting>
  <conditionalFormatting sqref="AU11:AU16">
    <cfRule type="cellIs" dxfId="3527" priority="597" stopIfTrue="1" operator="greaterThan">
      <formula>0</formula>
    </cfRule>
    <cfRule type="cellIs" dxfId="3526" priority="598" stopIfTrue="1" operator="lessThan">
      <formula>0</formula>
    </cfRule>
  </conditionalFormatting>
  <conditionalFormatting sqref="AW11">
    <cfRule type="cellIs" dxfId="3525" priority="591" stopIfTrue="1" operator="greaterThan">
      <formula>0.03</formula>
    </cfRule>
    <cfRule type="cellIs" dxfId="3524" priority="592" stopIfTrue="1" operator="lessThan">
      <formula>-0.03</formula>
    </cfRule>
  </conditionalFormatting>
  <conditionalFormatting sqref="AW11:AW16">
    <cfRule type="cellIs" dxfId="3523" priority="593" stopIfTrue="1" operator="greaterThan">
      <formula>0</formula>
    </cfRule>
    <cfRule type="cellIs" dxfId="3522" priority="594" stopIfTrue="1" operator="lessThan">
      <formula>0</formula>
    </cfRule>
  </conditionalFormatting>
  <conditionalFormatting sqref="AY11">
    <cfRule type="cellIs" dxfId="3521" priority="587" stopIfTrue="1" operator="greaterThan">
      <formula>0.03</formula>
    </cfRule>
    <cfRule type="cellIs" dxfId="3520" priority="588" stopIfTrue="1" operator="lessThan">
      <formula>-0.03</formula>
    </cfRule>
  </conditionalFormatting>
  <conditionalFormatting sqref="AY11:AY16">
    <cfRule type="cellIs" dxfId="3519" priority="589" stopIfTrue="1" operator="greaterThan">
      <formula>0</formula>
    </cfRule>
    <cfRule type="cellIs" dxfId="3518" priority="590" stopIfTrue="1" operator="lessThan">
      <formula>0</formula>
    </cfRule>
  </conditionalFormatting>
  <conditionalFormatting sqref="AP11:AP12">
    <cfRule type="cellIs" dxfId="3517" priority="607" stopIfTrue="1" operator="greaterThan">
      <formula>0</formula>
    </cfRule>
    <cfRule type="cellIs" dxfId="3516" priority="608" operator="lessThan">
      <formula>0</formula>
    </cfRule>
  </conditionalFormatting>
  <conditionalFormatting sqref="AP13">
    <cfRule type="cellIs" dxfId="3515" priority="581" stopIfTrue="1" operator="greaterThan">
      <formula>0.03</formula>
    </cfRule>
    <cfRule type="cellIs" dxfId="3514" priority="582" stopIfTrue="1" operator="lessThan">
      <formula>-0.03</formula>
    </cfRule>
  </conditionalFormatting>
  <conditionalFormatting sqref="AP13:AP14">
    <cfRule type="cellIs" dxfId="3513" priority="583" stopIfTrue="1" operator="greaterThan">
      <formula>0</formula>
    </cfRule>
    <cfRule type="cellIs" dxfId="3512" priority="584" operator="lessThan">
      <formula>0</formula>
    </cfRule>
  </conditionalFormatting>
  <conditionalFormatting sqref="AP15">
    <cfRule type="cellIs" dxfId="3511" priority="577" stopIfTrue="1" operator="greaterThan">
      <formula>0.03</formula>
    </cfRule>
    <cfRule type="cellIs" dxfId="3510" priority="578" stopIfTrue="1" operator="lessThan">
      <formula>-0.03</formula>
    </cfRule>
  </conditionalFormatting>
  <conditionalFormatting sqref="AP15:AP16">
    <cfRule type="cellIs" dxfId="3509" priority="579" stopIfTrue="1" operator="greaterThan">
      <formula>0</formula>
    </cfRule>
    <cfRule type="cellIs" dxfId="3508" priority="580" operator="lessThan">
      <formula>0</formula>
    </cfRule>
  </conditionalFormatting>
  <conditionalFormatting sqref="AT11">
    <cfRule type="cellIs" dxfId="3507" priority="573" stopIfTrue="1" operator="greaterThan">
      <formula>0.03</formula>
    </cfRule>
    <cfRule type="cellIs" dxfId="3506" priority="574" stopIfTrue="1" operator="lessThan">
      <formula>-0.03</formula>
    </cfRule>
  </conditionalFormatting>
  <conditionalFormatting sqref="AT11:AT12">
    <cfRule type="cellIs" dxfId="3505" priority="575" stopIfTrue="1" operator="greaterThan">
      <formula>0</formula>
    </cfRule>
    <cfRule type="cellIs" dxfId="3504" priority="576" operator="lessThan">
      <formula>0</formula>
    </cfRule>
  </conditionalFormatting>
  <conditionalFormatting sqref="AT13">
    <cfRule type="cellIs" dxfId="3503" priority="569" stopIfTrue="1" operator="greaterThan">
      <formula>0.03</formula>
    </cfRule>
    <cfRule type="cellIs" dxfId="3502" priority="570" stopIfTrue="1" operator="lessThan">
      <formula>-0.03</formula>
    </cfRule>
  </conditionalFormatting>
  <conditionalFormatting sqref="AT13:AT14">
    <cfRule type="cellIs" dxfId="3501" priority="571" stopIfTrue="1" operator="greaterThan">
      <formula>0</formula>
    </cfRule>
    <cfRule type="cellIs" dxfId="3500" priority="572" operator="lessThan">
      <formula>0</formula>
    </cfRule>
  </conditionalFormatting>
  <conditionalFormatting sqref="AT15">
    <cfRule type="cellIs" dxfId="3499" priority="565" stopIfTrue="1" operator="greaterThan">
      <formula>0.03</formula>
    </cfRule>
    <cfRule type="cellIs" dxfId="3498" priority="566" stopIfTrue="1" operator="lessThan">
      <formula>-0.03</formula>
    </cfRule>
  </conditionalFormatting>
  <conditionalFormatting sqref="AT15:AT16">
    <cfRule type="cellIs" dxfId="3497" priority="567" stopIfTrue="1" operator="greaterThan">
      <formula>0</formula>
    </cfRule>
    <cfRule type="cellIs" dxfId="3496" priority="568" operator="lessThan">
      <formula>0</formula>
    </cfRule>
  </conditionalFormatting>
  <conditionalFormatting sqref="AV11">
    <cfRule type="cellIs" dxfId="3495" priority="561" stopIfTrue="1" operator="greaterThan">
      <formula>0.03</formula>
    </cfRule>
    <cfRule type="cellIs" dxfId="3494" priority="562" stopIfTrue="1" operator="lessThan">
      <formula>-0.03</formula>
    </cfRule>
  </conditionalFormatting>
  <conditionalFormatting sqref="AV11:AV12">
    <cfRule type="cellIs" dxfId="3493" priority="563" stopIfTrue="1" operator="greaterThan">
      <formula>0</formula>
    </cfRule>
    <cfRule type="cellIs" dxfId="3492" priority="564" operator="lessThan">
      <formula>0</formula>
    </cfRule>
  </conditionalFormatting>
  <conditionalFormatting sqref="AV13">
    <cfRule type="cellIs" dxfId="3491" priority="557" stopIfTrue="1" operator="greaterThan">
      <formula>0.03</formula>
    </cfRule>
    <cfRule type="cellIs" dxfId="3490" priority="558" stopIfTrue="1" operator="lessThan">
      <formula>-0.03</formula>
    </cfRule>
  </conditionalFormatting>
  <conditionalFormatting sqref="AV13:AV14">
    <cfRule type="cellIs" dxfId="3489" priority="559" stopIfTrue="1" operator="greaterThan">
      <formula>0</formula>
    </cfRule>
    <cfRule type="cellIs" dxfId="3488" priority="560" operator="lessThan">
      <formula>0</formula>
    </cfRule>
  </conditionalFormatting>
  <conditionalFormatting sqref="AV15">
    <cfRule type="cellIs" dxfId="3487" priority="553" stopIfTrue="1" operator="greaterThan">
      <formula>0.03</formula>
    </cfRule>
    <cfRule type="cellIs" dxfId="3486" priority="554" stopIfTrue="1" operator="lessThan">
      <formula>-0.03</formula>
    </cfRule>
  </conditionalFormatting>
  <conditionalFormatting sqref="AV15:AV16">
    <cfRule type="cellIs" dxfId="3485" priority="555" stopIfTrue="1" operator="greaterThan">
      <formula>0</formula>
    </cfRule>
    <cfRule type="cellIs" dxfId="3484" priority="556" operator="lessThan">
      <formula>0</formula>
    </cfRule>
  </conditionalFormatting>
  <conditionalFormatting sqref="AP17 AP23 AP29 AP35">
    <cfRule type="cellIs" dxfId="3483" priority="533" stopIfTrue="1" operator="greaterThan">
      <formula>0.03</formula>
    </cfRule>
    <cfRule type="cellIs" dxfId="3482" priority="534" stopIfTrue="1" operator="lessThan">
      <formula>-0.03</formula>
    </cfRule>
  </conditionalFormatting>
  <conditionalFormatting sqref="AQ17 AQ23 AQ29 AQ35">
    <cfRule type="cellIs" dxfId="3481" priority="547" stopIfTrue="1" operator="greaterThan">
      <formula>0.03</formula>
    </cfRule>
    <cfRule type="cellIs" dxfId="3480" priority="548" stopIfTrue="1" operator="lessThan">
      <formula>-0.03</formula>
    </cfRule>
  </conditionalFormatting>
  <conditionalFormatting sqref="AQ17:AQ40">
    <cfRule type="cellIs" dxfId="3479" priority="549" stopIfTrue="1" operator="greaterThan">
      <formula>0</formula>
    </cfRule>
    <cfRule type="cellIs" dxfId="3478" priority="550" stopIfTrue="1" operator="lessThan">
      <formula>0</formula>
    </cfRule>
  </conditionalFormatting>
  <conditionalFormatting sqref="AR17:AS17 AR23:AS23 AR29:AS29 AR35:AS35">
    <cfRule type="cellIs" dxfId="3477" priority="543" stopIfTrue="1" operator="greaterThan">
      <formula>0.03</formula>
    </cfRule>
    <cfRule type="cellIs" dxfId="3476" priority="544" stopIfTrue="1" operator="lessThan">
      <formula>-0.03</formula>
    </cfRule>
  </conditionalFormatting>
  <conditionalFormatting sqref="AR17:AS40">
    <cfRule type="cellIs" dxfId="3475" priority="545" stopIfTrue="1" operator="greaterThan">
      <formula>0</formula>
    </cfRule>
    <cfRule type="cellIs" dxfId="3474" priority="546" stopIfTrue="1" operator="lessThan">
      <formula>0</formula>
    </cfRule>
  </conditionalFormatting>
  <conditionalFormatting sqref="AU17 AU23 AU29 AU35">
    <cfRule type="cellIs" dxfId="3473" priority="539" stopIfTrue="1" operator="greaterThan">
      <formula>0.03</formula>
    </cfRule>
    <cfRule type="cellIs" dxfId="3472" priority="540" stopIfTrue="1" operator="lessThan">
      <formula>-0.03</formula>
    </cfRule>
  </conditionalFormatting>
  <conditionalFormatting sqref="AU17:AU40">
    <cfRule type="cellIs" dxfId="3471" priority="541" stopIfTrue="1" operator="greaterThan">
      <formula>0</formula>
    </cfRule>
    <cfRule type="cellIs" dxfId="3470" priority="542" stopIfTrue="1" operator="lessThan">
      <formula>0</formula>
    </cfRule>
  </conditionalFormatting>
  <conditionalFormatting sqref="AW17 AW23 AW29 AW35">
    <cfRule type="cellIs" dxfId="3469" priority="535" stopIfTrue="1" operator="greaterThan">
      <formula>0.03</formula>
    </cfRule>
    <cfRule type="cellIs" dxfId="3468" priority="536" stopIfTrue="1" operator="lessThan">
      <formula>-0.03</formula>
    </cfRule>
  </conditionalFormatting>
  <conditionalFormatting sqref="AW17:AW40">
    <cfRule type="cellIs" dxfId="3467" priority="537" stopIfTrue="1" operator="greaterThan">
      <formula>0</formula>
    </cfRule>
    <cfRule type="cellIs" dxfId="3466" priority="538" stopIfTrue="1" operator="lessThan">
      <formula>0</formula>
    </cfRule>
  </conditionalFormatting>
  <conditionalFormatting sqref="AP17:AP18 AP23:AP24 AP29:AP30 AP35:AP36">
    <cfRule type="cellIs" dxfId="3465" priority="551" stopIfTrue="1" operator="greaterThan">
      <formula>0</formula>
    </cfRule>
    <cfRule type="cellIs" dxfId="3464" priority="552" operator="lessThan">
      <formula>0</formula>
    </cfRule>
  </conditionalFormatting>
  <conditionalFormatting sqref="AP19 AP25 AP31 AP37">
    <cfRule type="cellIs" dxfId="3463" priority="529" stopIfTrue="1" operator="greaterThan">
      <formula>0.03</formula>
    </cfRule>
    <cfRule type="cellIs" dxfId="3462" priority="530" stopIfTrue="1" operator="lessThan">
      <formula>-0.03</formula>
    </cfRule>
  </conditionalFormatting>
  <conditionalFormatting sqref="AP19:AP20 AP25:AP26 AP31:AP32 AP37:AP38">
    <cfRule type="cellIs" dxfId="3461" priority="531" stopIfTrue="1" operator="greaterThan">
      <formula>0</formula>
    </cfRule>
    <cfRule type="cellIs" dxfId="3460" priority="532" operator="lessThan">
      <formula>0</formula>
    </cfRule>
  </conditionalFormatting>
  <conditionalFormatting sqref="AP21 AP27 AP33 AP39">
    <cfRule type="cellIs" dxfId="3459" priority="525" stopIfTrue="1" operator="greaterThan">
      <formula>0.03</formula>
    </cfRule>
    <cfRule type="cellIs" dxfId="3458" priority="526" stopIfTrue="1" operator="lessThan">
      <formula>-0.03</formula>
    </cfRule>
  </conditionalFormatting>
  <conditionalFormatting sqref="AP21:AP22 AP27:AP28 AP33:AP34 AP39:AP40">
    <cfRule type="cellIs" dxfId="3457" priority="527" stopIfTrue="1" operator="greaterThan">
      <formula>0</formula>
    </cfRule>
    <cfRule type="cellIs" dxfId="3456" priority="528" operator="lessThan">
      <formula>0</formula>
    </cfRule>
  </conditionalFormatting>
  <conditionalFormatting sqref="AT17 AT23 AT29 AT35">
    <cfRule type="cellIs" dxfId="3455" priority="521" stopIfTrue="1" operator="greaterThan">
      <formula>0.03</formula>
    </cfRule>
    <cfRule type="cellIs" dxfId="3454" priority="522" stopIfTrue="1" operator="lessThan">
      <formula>-0.03</formula>
    </cfRule>
  </conditionalFormatting>
  <conditionalFormatting sqref="AT17:AT18 AT23:AT24 AT29:AT30 AT35:AT36">
    <cfRule type="cellIs" dxfId="3453" priority="523" stopIfTrue="1" operator="greaterThan">
      <formula>0</formula>
    </cfRule>
    <cfRule type="cellIs" dxfId="3452" priority="524" operator="lessThan">
      <formula>0</formula>
    </cfRule>
  </conditionalFormatting>
  <conditionalFormatting sqref="AT19 AT25 AT31 AT37">
    <cfRule type="cellIs" dxfId="3451" priority="517" stopIfTrue="1" operator="greaterThan">
      <formula>0.03</formula>
    </cfRule>
    <cfRule type="cellIs" dxfId="3450" priority="518" stopIfTrue="1" operator="lessThan">
      <formula>-0.03</formula>
    </cfRule>
  </conditionalFormatting>
  <conditionalFormatting sqref="AT19:AT20 AT25:AT26 AT31:AT32 AT37:AT38">
    <cfRule type="cellIs" dxfId="3449" priority="519" stopIfTrue="1" operator="greaterThan">
      <formula>0</formula>
    </cfRule>
    <cfRule type="cellIs" dxfId="3448" priority="520" operator="lessThan">
      <formula>0</formula>
    </cfRule>
  </conditionalFormatting>
  <conditionalFormatting sqref="AT21 AT27 AT33 AT39">
    <cfRule type="cellIs" dxfId="3447" priority="513" stopIfTrue="1" operator="greaterThan">
      <formula>0.03</formula>
    </cfRule>
    <cfRule type="cellIs" dxfId="3446" priority="514" stopIfTrue="1" operator="lessThan">
      <formula>-0.03</formula>
    </cfRule>
  </conditionalFormatting>
  <conditionalFormatting sqref="AT21:AT22 AT27:AT28 AT33:AT34 AT39:AT40">
    <cfRule type="cellIs" dxfId="3445" priority="515" stopIfTrue="1" operator="greaterThan">
      <formula>0</formula>
    </cfRule>
    <cfRule type="cellIs" dxfId="3444" priority="516" operator="lessThan">
      <formula>0</formula>
    </cfRule>
  </conditionalFormatting>
  <conditionalFormatting sqref="AV17 AV23 AV29 AV35">
    <cfRule type="cellIs" dxfId="3443" priority="509" stopIfTrue="1" operator="greaterThan">
      <formula>0.03</formula>
    </cfRule>
    <cfRule type="cellIs" dxfId="3442" priority="510" stopIfTrue="1" operator="lessThan">
      <formula>-0.03</formula>
    </cfRule>
  </conditionalFormatting>
  <conditionalFormatting sqref="AV17:AV18 AV23:AV24 AV29:AV30 AV35:AV36">
    <cfRule type="cellIs" dxfId="3441" priority="511" stopIfTrue="1" operator="greaterThan">
      <formula>0</formula>
    </cfRule>
    <cfRule type="cellIs" dxfId="3440" priority="512" operator="lessThan">
      <formula>0</formula>
    </cfRule>
  </conditionalFormatting>
  <conditionalFormatting sqref="AV19 AV25 AV31 AV37">
    <cfRule type="cellIs" dxfId="3439" priority="505" stopIfTrue="1" operator="greaterThan">
      <formula>0.03</formula>
    </cfRule>
    <cfRule type="cellIs" dxfId="3438" priority="506" stopIfTrue="1" operator="lessThan">
      <formula>-0.03</formula>
    </cfRule>
  </conditionalFormatting>
  <conditionalFormatting sqref="AV19:AV20 AV25:AV26 AV31:AV32 AV37:AV38">
    <cfRule type="cellIs" dxfId="3437" priority="507" stopIfTrue="1" operator="greaterThan">
      <formula>0</formula>
    </cfRule>
    <cfRule type="cellIs" dxfId="3436" priority="508" operator="lessThan">
      <formula>0</formula>
    </cfRule>
  </conditionalFormatting>
  <conditionalFormatting sqref="AV21 AV27 AV33 AV39">
    <cfRule type="cellIs" dxfId="3435" priority="501" stopIfTrue="1" operator="greaterThan">
      <formula>0.03</formula>
    </cfRule>
    <cfRule type="cellIs" dxfId="3434" priority="502" stopIfTrue="1" operator="lessThan">
      <formula>-0.03</formula>
    </cfRule>
  </conditionalFormatting>
  <conditionalFormatting sqref="AV21:AV22 AV27:AV28 AV33:AV34 AV39:AV40">
    <cfRule type="cellIs" dxfId="3433" priority="503" stopIfTrue="1" operator="greaterThan">
      <formula>0</formula>
    </cfRule>
    <cfRule type="cellIs" dxfId="3432" priority="504" operator="lessThan">
      <formula>0</formula>
    </cfRule>
  </conditionalFormatting>
  <conditionalFormatting sqref="BA11">
    <cfRule type="cellIs" dxfId="3431" priority="333" stopIfTrue="1" operator="greaterThan">
      <formula>0.03</formula>
    </cfRule>
    <cfRule type="cellIs" dxfId="3430" priority="334" stopIfTrue="1" operator="lessThan">
      <formula>-0.03</formula>
    </cfRule>
  </conditionalFormatting>
  <conditionalFormatting sqref="BA11:BA16">
    <cfRule type="cellIs" dxfId="3429" priority="335" stopIfTrue="1" operator="greaterThan">
      <formula>0</formula>
    </cfRule>
    <cfRule type="cellIs" dxfId="3428" priority="336" stopIfTrue="1" operator="lessThan">
      <formula>0</formula>
    </cfRule>
  </conditionalFormatting>
  <conditionalFormatting sqref="AZ11">
    <cfRule type="cellIs" dxfId="3427" priority="329" stopIfTrue="1" operator="greaterThan">
      <formula>0.03</formula>
    </cfRule>
    <cfRule type="cellIs" dxfId="3426" priority="330" stopIfTrue="1" operator="lessThan">
      <formula>-0.03</formula>
    </cfRule>
  </conditionalFormatting>
  <conditionalFormatting sqref="AZ11:AZ12">
    <cfRule type="cellIs" dxfId="3425" priority="331" stopIfTrue="1" operator="greaterThan">
      <formula>0</formula>
    </cfRule>
    <cfRule type="cellIs" dxfId="3424" priority="332" operator="lessThan">
      <formula>0</formula>
    </cfRule>
  </conditionalFormatting>
  <conditionalFormatting sqref="AZ13">
    <cfRule type="cellIs" dxfId="3423" priority="325" stopIfTrue="1" operator="greaterThan">
      <formula>0.03</formula>
    </cfRule>
    <cfRule type="cellIs" dxfId="3422" priority="326" stopIfTrue="1" operator="lessThan">
      <formula>-0.03</formula>
    </cfRule>
  </conditionalFormatting>
  <conditionalFormatting sqref="AZ13:AZ14">
    <cfRule type="cellIs" dxfId="3421" priority="327" stopIfTrue="1" operator="greaterThan">
      <formula>0</formula>
    </cfRule>
    <cfRule type="cellIs" dxfId="3420" priority="328" operator="lessThan">
      <formula>0</formula>
    </cfRule>
  </conditionalFormatting>
  <conditionalFormatting sqref="AZ15">
    <cfRule type="cellIs" dxfId="3419" priority="321" stopIfTrue="1" operator="greaterThan">
      <formula>0.03</formula>
    </cfRule>
    <cfRule type="cellIs" dxfId="3418" priority="322" stopIfTrue="1" operator="lessThan">
      <formula>-0.03</formula>
    </cfRule>
  </conditionalFormatting>
  <conditionalFormatting sqref="AZ15:AZ16">
    <cfRule type="cellIs" dxfId="3417" priority="323" stopIfTrue="1" operator="greaterThan">
      <formula>0</formula>
    </cfRule>
    <cfRule type="cellIs" dxfId="3416" priority="324" operator="lessThan">
      <formula>0</formula>
    </cfRule>
  </conditionalFormatting>
  <conditionalFormatting sqref="BA5">
    <cfRule type="cellIs" dxfId="3415" priority="317" stopIfTrue="1" operator="greaterThan">
      <formula>0.03</formula>
    </cfRule>
    <cfRule type="cellIs" dxfId="3414" priority="318" stopIfTrue="1" operator="lessThan">
      <formula>-0.03</formula>
    </cfRule>
  </conditionalFormatting>
  <conditionalFormatting sqref="BA5:BA10">
    <cfRule type="cellIs" dxfId="3413" priority="319" stopIfTrue="1" operator="greaterThan">
      <formula>0</formula>
    </cfRule>
    <cfRule type="cellIs" dxfId="3412" priority="320" stopIfTrue="1" operator="lessThan">
      <formula>0</formula>
    </cfRule>
  </conditionalFormatting>
  <conditionalFormatting sqref="AZ5">
    <cfRule type="cellIs" dxfId="3411" priority="313" stopIfTrue="1" operator="greaterThan">
      <formula>0.03</formula>
    </cfRule>
    <cfRule type="cellIs" dxfId="3410" priority="314" stopIfTrue="1" operator="lessThan">
      <formula>-0.03</formula>
    </cfRule>
  </conditionalFormatting>
  <conditionalFormatting sqref="AZ5:AZ6">
    <cfRule type="cellIs" dxfId="3409" priority="315" stopIfTrue="1" operator="greaterThan">
      <formula>0</formula>
    </cfRule>
    <cfRule type="cellIs" dxfId="3408" priority="316" operator="lessThan">
      <formula>0</formula>
    </cfRule>
  </conditionalFormatting>
  <conditionalFormatting sqref="AZ7">
    <cfRule type="cellIs" dxfId="3407" priority="309" stopIfTrue="1" operator="greaterThan">
      <formula>0.03</formula>
    </cfRule>
    <cfRule type="cellIs" dxfId="3406" priority="310" stopIfTrue="1" operator="lessThan">
      <formula>-0.03</formula>
    </cfRule>
  </conditionalFormatting>
  <conditionalFormatting sqref="AZ7:AZ8">
    <cfRule type="cellIs" dxfId="3405" priority="311" stopIfTrue="1" operator="greaterThan">
      <formula>0</formula>
    </cfRule>
    <cfRule type="cellIs" dxfId="3404" priority="312" operator="lessThan">
      <formula>0</formula>
    </cfRule>
  </conditionalFormatting>
  <conditionalFormatting sqref="AZ9">
    <cfRule type="cellIs" dxfId="3403" priority="305" stopIfTrue="1" operator="greaterThan">
      <formula>0.03</formula>
    </cfRule>
    <cfRule type="cellIs" dxfId="3402" priority="306" stopIfTrue="1" operator="lessThan">
      <formula>-0.03</formula>
    </cfRule>
  </conditionalFormatting>
  <conditionalFormatting sqref="AZ9:AZ10">
    <cfRule type="cellIs" dxfId="3401" priority="307" stopIfTrue="1" operator="greaterThan">
      <formula>0</formula>
    </cfRule>
    <cfRule type="cellIs" dxfId="3400" priority="308" operator="lessThan">
      <formula>0</formula>
    </cfRule>
  </conditionalFormatting>
  <conditionalFormatting sqref="BA17">
    <cfRule type="cellIs" dxfId="3399" priority="301" stopIfTrue="1" operator="greaterThan">
      <formula>0.03</formula>
    </cfRule>
    <cfRule type="cellIs" dxfId="3398" priority="302" stopIfTrue="1" operator="lessThan">
      <formula>-0.03</formula>
    </cfRule>
  </conditionalFormatting>
  <conditionalFormatting sqref="BA17:BA22">
    <cfRule type="cellIs" dxfId="3397" priority="303" stopIfTrue="1" operator="greaterThan">
      <formula>0</formula>
    </cfRule>
    <cfRule type="cellIs" dxfId="3396" priority="304" stopIfTrue="1" operator="lessThan">
      <formula>0</formula>
    </cfRule>
  </conditionalFormatting>
  <conditionalFormatting sqref="AZ17">
    <cfRule type="cellIs" dxfId="3395" priority="297" stopIfTrue="1" operator="greaterThan">
      <formula>0.03</formula>
    </cfRule>
    <cfRule type="cellIs" dxfId="3394" priority="298" stopIfTrue="1" operator="lessThan">
      <formula>-0.03</formula>
    </cfRule>
  </conditionalFormatting>
  <conditionalFormatting sqref="AZ17:AZ18">
    <cfRule type="cellIs" dxfId="3393" priority="299" stopIfTrue="1" operator="greaterThan">
      <formula>0</formula>
    </cfRule>
    <cfRule type="cellIs" dxfId="3392" priority="300" operator="lessThan">
      <formula>0</formula>
    </cfRule>
  </conditionalFormatting>
  <conditionalFormatting sqref="AZ19">
    <cfRule type="cellIs" dxfId="3391" priority="293" stopIfTrue="1" operator="greaterThan">
      <formula>0.03</formula>
    </cfRule>
    <cfRule type="cellIs" dxfId="3390" priority="294" stopIfTrue="1" operator="lessThan">
      <formula>-0.03</formula>
    </cfRule>
  </conditionalFormatting>
  <conditionalFormatting sqref="AZ19:AZ20">
    <cfRule type="cellIs" dxfId="3389" priority="295" stopIfTrue="1" operator="greaterThan">
      <formula>0</formula>
    </cfRule>
    <cfRule type="cellIs" dxfId="3388" priority="296" operator="lessThan">
      <formula>0</formula>
    </cfRule>
  </conditionalFormatting>
  <conditionalFormatting sqref="AZ21">
    <cfRule type="cellIs" dxfId="3387" priority="289" stopIfTrue="1" operator="greaterThan">
      <formula>0.03</formula>
    </cfRule>
    <cfRule type="cellIs" dxfId="3386" priority="290" stopIfTrue="1" operator="lessThan">
      <formula>-0.03</formula>
    </cfRule>
  </conditionalFormatting>
  <conditionalFormatting sqref="AZ21:AZ22">
    <cfRule type="cellIs" dxfId="3385" priority="291" stopIfTrue="1" operator="greaterThan">
      <formula>0</formula>
    </cfRule>
    <cfRule type="cellIs" dxfId="3384" priority="292" operator="lessThan">
      <formula>0</formula>
    </cfRule>
  </conditionalFormatting>
  <conditionalFormatting sqref="BA29">
    <cfRule type="cellIs" dxfId="3383" priority="285" stopIfTrue="1" operator="greaterThan">
      <formula>0.03</formula>
    </cfRule>
    <cfRule type="cellIs" dxfId="3382" priority="286" stopIfTrue="1" operator="lessThan">
      <formula>-0.03</formula>
    </cfRule>
  </conditionalFormatting>
  <conditionalFormatting sqref="BA29:BA34">
    <cfRule type="cellIs" dxfId="3381" priority="287" stopIfTrue="1" operator="greaterThan">
      <formula>0</formula>
    </cfRule>
    <cfRule type="cellIs" dxfId="3380" priority="288" stopIfTrue="1" operator="lessThan">
      <formula>0</formula>
    </cfRule>
  </conditionalFormatting>
  <conditionalFormatting sqref="AZ29">
    <cfRule type="cellIs" dxfId="3379" priority="281" stopIfTrue="1" operator="greaterThan">
      <formula>0.03</formula>
    </cfRule>
    <cfRule type="cellIs" dxfId="3378" priority="282" stopIfTrue="1" operator="lessThan">
      <formula>-0.03</formula>
    </cfRule>
  </conditionalFormatting>
  <conditionalFormatting sqref="AZ29:AZ30">
    <cfRule type="cellIs" dxfId="3377" priority="283" stopIfTrue="1" operator="greaterThan">
      <formula>0</formula>
    </cfRule>
    <cfRule type="cellIs" dxfId="3376" priority="284" operator="lessThan">
      <formula>0</formula>
    </cfRule>
  </conditionalFormatting>
  <conditionalFormatting sqref="AZ31">
    <cfRule type="cellIs" dxfId="3375" priority="277" stopIfTrue="1" operator="greaterThan">
      <formula>0.03</formula>
    </cfRule>
    <cfRule type="cellIs" dxfId="3374" priority="278" stopIfTrue="1" operator="lessThan">
      <formula>-0.03</formula>
    </cfRule>
  </conditionalFormatting>
  <conditionalFormatting sqref="AZ31:AZ32">
    <cfRule type="cellIs" dxfId="3373" priority="279" stopIfTrue="1" operator="greaterThan">
      <formula>0</formula>
    </cfRule>
    <cfRule type="cellIs" dxfId="3372" priority="280" operator="lessThan">
      <formula>0</formula>
    </cfRule>
  </conditionalFormatting>
  <conditionalFormatting sqref="AZ33">
    <cfRule type="cellIs" dxfId="3371" priority="273" stopIfTrue="1" operator="greaterThan">
      <formula>0.03</formula>
    </cfRule>
    <cfRule type="cellIs" dxfId="3370" priority="274" stopIfTrue="1" operator="lessThan">
      <formula>-0.03</formula>
    </cfRule>
  </conditionalFormatting>
  <conditionalFormatting sqref="AZ33:AZ34">
    <cfRule type="cellIs" dxfId="3369" priority="275" stopIfTrue="1" operator="greaterThan">
      <formula>0</formula>
    </cfRule>
    <cfRule type="cellIs" dxfId="3368" priority="276" operator="lessThan">
      <formula>0</formula>
    </cfRule>
  </conditionalFormatting>
  <conditionalFormatting sqref="BA23">
    <cfRule type="cellIs" dxfId="3367" priority="269" stopIfTrue="1" operator="greaterThan">
      <formula>0.03</formula>
    </cfRule>
    <cfRule type="cellIs" dxfId="3366" priority="270" stopIfTrue="1" operator="lessThan">
      <formula>-0.03</formula>
    </cfRule>
  </conditionalFormatting>
  <conditionalFormatting sqref="BA23:BA28">
    <cfRule type="cellIs" dxfId="3365" priority="271" stopIfTrue="1" operator="greaterThan">
      <formula>0</formula>
    </cfRule>
    <cfRule type="cellIs" dxfId="3364" priority="272" stopIfTrue="1" operator="lessThan">
      <formula>0</formula>
    </cfRule>
  </conditionalFormatting>
  <conditionalFormatting sqref="AZ23">
    <cfRule type="cellIs" dxfId="3363" priority="265" stopIfTrue="1" operator="greaterThan">
      <formula>0.03</formula>
    </cfRule>
    <cfRule type="cellIs" dxfId="3362" priority="266" stopIfTrue="1" operator="lessThan">
      <formula>-0.03</formula>
    </cfRule>
  </conditionalFormatting>
  <conditionalFormatting sqref="AZ23:AZ24">
    <cfRule type="cellIs" dxfId="3361" priority="267" stopIfTrue="1" operator="greaterThan">
      <formula>0</formula>
    </cfRule>
    <cfRule type="cellIs" dxfId="3360" priority="268" operator="lessThan">
      <formula>0</formula>
    </cfRule>
  </conditionalFormatting>
  <conditionalFormatting sqref="AZ25">
    <cfRule type="cellIs" dxfId="3359" priority="261" stopIfTrue="1" operator="greaterThan">
      <formula>0.03</formula>
    </cfRule>
    <cfRule type="cellIs" dxfId="3358" priority="262" stopIfTrue="1" operator="lessThan">
      <formula>-0.03</formula>
    </cfRule>
  </conditionalFormatting>
  <conditionalFormatting sqref="AZ25:AZ26">
    <cfRule type="cellIs" dxfId="3357" priority="263" stopIfTrue="1" operator="greaterThan">
      <formula>0</formula>
    </cfRule>
    <cfRule type="cellIs" dxfId="3356" priority="264" operator="lessThan">
      <formula>0</formula>
    </cfRule>
  </conditionalFormatting>
  <conditionalFormatting sqref="AZ27">
    <cfRule type="cellIs" dxfId="3355" priority="257" stopIfTrue="1" operator="greaterThan">
      <formula>0.03</formula>
    </cfRule>
    <cfRule type="cellIs" dxfId="3354" priority="258" stopIfTrue="1" operator="lessThan">
      <formula>-0.03</formula>
    </cfRule>
  </conditionalFormatting>
  <conditionalFormatting sqref="AZ27:AZ28">
    <cfRule type="cellIs" dxfId="3353" priority="259" stopIfTrue="1" operator="greaterThan">
      <formula>0</formula>
    </cfRule>
    <cfRule type="cellIs" dxfId="3352" priority="260" operator="lessThan">
      <formula>0</formula>
    </cfRule>
  </conditionalFormatting>
  <conditionalFormatting sqref="BA35">
    <cfRule type="cellIs" dxfId="3351" priority="253" stopIfTrue="1" operator="greaterThan">
      <formula>0.03</formula>
    </cfRule>
    <cfRule type="cellIs" dxfId="3350" priority="254" stopIfTrue="1" operator="lessThan">
      <formula>-0.03</formula>
    </cfRule>
  </conditionalFormatting>
  <conditionalFormatting sqref="BA35:BA40">
    <cfRule type="cellIs" dxfId="3349" priority="255" stopIfTrue="1" operator="greaterThan">
      <formula>0</formula>
    </cfRule>
    <cfRule type="cellIs" dxfId="3348" priority="256" stopIfTrue="1" operator="lessThan">
      <formula>0</formula>
    </cfRule>
  </conditionalFormatting>
  <conditionalFormatting sqref="AZ35">
    <cfRule type="cellIs" dxfId="3347" priority="249" stopIfTrue="1" operator="greaterThan">
      <formula>0.03</formula>
    </cfRule>
    <cfRule type="cellIs" dxfId="3346" priority="250" stopIfTrue="1" operator="lessThan">
      <formula>-0.03</formula>
    </cfRule>
  </conditionalFormatting>
  <conditionalFormatting sqref="AZ35:AZ36">
    <cfRule type="cellIs" dxfId="3345" priority="251" stopIfTrue="1" operator="greaterThan">
      <formula>0</formula>
    </cfRule>
    <cfRule type="cellIs" dxfId="3344" priority="252" operator="lessThan">
      <formula>0</formula>
    </cfRule>
  </conditionalFormatting>
  <conditionalFormatting sqref="AZ37">
    <cfRule type="cellIs" dxfId="3343" priority="245" stopIfTrue="1" operator="greaterThan">
      <formula>0.03</formula>
    </cfRule>
    <cfRule type="cellIs" dxfId="3342" priority="246" stopIfTrue="1" operator="lessThan">
      <formula>-0.03</formula>
    </cfRule>
  </conditionalFormatting>
  <conditionalFormatting sqref="AZ37:AZ38">
    <cfRule type="cellIs" dxfId="3341" priority="247" stopIfTrue="1" operator="greaterThan">
      <formula>0</formula>
    </cfRule>
    <cfRule type="cellIs" dxfId="3340" priority="248" operator="lessThan">
      <formula>0</formula>
    </cfRule>
  </conditionalFormatting>
  <conditionalFormatting sqref="AZ39">
    <cfRule type="cellIs" dxfId="3339" priority="241" stopIfTrue="1" operator="greaterThan">
      <formula>0.03</formula>
    </cfRule>
    <cfRule type="cellIs" dxfId="3338" priority="242" stopIfTrue="1" operator="lessThan">
      <formula>-0.03</formula>
    </cfRule>
  </conditionalFormatting>
  <conditionalFormatting sqref="AZ39:AZ40">
    <cfRule type="cellIs" dxfId="3337" priority="243" stopIfTrue="1" operator="greaterThan">
      <formula>0</formula>
    </cfRule>
    <cfRule type="cellIs" dxfId="3336" priority="244" operator="lessThan">
      <formula>0</formula>
    </cfRule>
  </conditionalFormatting>
  <conditionalFormatting sqref="AX11">
    <cfRule type="cellIs" dxfId="3335" priority="237" stopIfTrue="1" operator="greaterThan">
      <formula>0.03</formula>
    </cfRule>
    <cfRule type="cellIs" dxfId="3334" priority="238" stopIfTrue="1" operator="lessThan">
      <formula>-0.03</formula>
    </cfRule>
  </conditionalFormatting>
  <conditionalFormatting sqref="AX11:AX12">
    <cfRule type="cellIs" dxfId="3333" priority="239" stopIfTrue="1" operator="greaterThan">
      <formula>0</formula>
    </cfRule>
    <cfRule type="cellIs" dxfId="3332" priority="240" operator="lessThan">
      <formula>0</formula>
    </cfRule>
  </conditionalFormatting>
  <conditionalFormatting sqref="AX13">
    <cfRule type="cellIs" dxfId="3331" priority="233" stopIfTrue="1" operator="greaterThan">
      <formula>0.03</formula>
    </cfRule>
    <cfRule type="cellIs" dxfId="3330" priority="234" stopIfTrue="1" operator="lessThan">
      <formula>-0.03</formula>
    </cfRule>
  </conditionalFormatting>
  <conditionalFormatting sqref="AX13:AX14">
    <cfRule type="cellIs" dxfId="3329" priority="235" stopIfTrue="1" operator="greaterThan">
      <formula>0</formula>
    </cfRule>
    <cfRule type="cellIs" dxfId="3328" priority="236" operator="lessThan">
      <formula>0</formula>
    </cfRule>
  </conditionalFormatting>
  <conditionalFormatting sqref="AX15">
    <cfRule type="cellIs" dxfId="3327" priority="229" stopIfTrue="1" operator="greaterThan">
      <formula>0.03</formula>
    </cfRule>
    <cfRule type="cellIs" dxfId="3326" priority="230" stopIfTrue="1" operator="lessThan">
      <formula>-0.03</formula>
    </cfRule>
  </conditionalFormatting>
  <conditionalFormatting sqref="AX15:AX16">
    <cfRule type="cellIs" dxfId="3325" priority="231" stopIfTrue="1" operator="greaterThan">
      <formula>0</formula>
    </cfRule>
    <cfRule type="cellIs" dxfId="3324" priority="232" operator="lessThan">
      <formula>0</formula>
    </cfRule>
  </conditionalFormatting>
  <conditionalFormatting sqref="AY17">
    <cfRule type="cellIs" dxfId="3323" priority="225" stopIfTrue="1" operator="greaterThan">
      <formula>0.03</formula>
    </cfRule>
    <cfRule type="cellIs" dxfId="3322" priority="226" stopIfTrue="1" operator="lessThan">
      <formula>-0.03</formula>
    </cfRule>
  </conditionalFormatting>
  <conditionalFormatting sqref="AY17:AY22">
    <cfRule type="cellIs" dxfId="3321" priority="227" stopIfTrue="1" operator="greaterThan">
      <formula>0</formula>
    </cfRule>
    <cfRule type="cellIs" dxfId="3320" priority="228" stopIfTrue="1" operator="lessThan">
      <formula>0</formula>
    </cfRule>
  </conditionalFormatting>
  <conditionalFormatting sqref="AX17">
    <cfRule type="cellIs" dxfId="3319" priority="221" stopIfTrue="1" operator="greaterThan">
      <formula>0.03</formula>
    </cfRule>
    <cfRule type="cellIs" dxfId="3318" priority="222" stopIfTrue="1" operator="lessThan">
      <formula>-0.03</formula>
    </cfRule>
  </conditionalFormatting>
  <conditionalFormatting sqref="AX17:AX18">
    <cfRule type="cellIs" dxfId="3317" priority="223" stopIfTrue="1" operator="greaterThan">
      <formula>0</formula>
    </cfRule>
    <cfRule type="cellIs" dxfId="3316" priority="224" operator="lessThan">
      <formula>0</formula>
    </cfRule>
  </conditionalFormatting>
  <conditionalFormatting sqref="AX19">
    <cfRule type="cellIs" dxfId="3315" priority="217" stopIfTrue="1" operator="greaterThan">
      <formula>0.03</formula>
    </cfRule>
    <cfRule type="cellIs" dxfId="3314" priority="218" stopIfTrue="1" operator="lessThan">
      <formula>-0.03</formula>
    </cfRule>
  </conditionalFormatting>
  <conditionalFormatting sqref="AX19:AX20">
    <cfRule type="cellIs" dxfId="3313" priority="219" stopIfTrue="1" operator="greaterThan">
      <formula>0</formula>
    </cfRule>
    <cfRule type="cellIs" dxfId="3312" priority="220" operator="lessThan">
      <formula>0</formula>
    </cfRule>
  </conditionalFormatting>
  <conditionalFormatting sqref="AX21">
    <cfRule type="cellIs" dxfId="3311" priority="213" stopIfTrue="1" operator="greaterThan">
      <formula>0.03</formula>
    </cfRule>
    <cfRule type="cellIs" dxfId="3310" priority="214" stopIfTrue="1" operator="lessThan">
      <formula>-0.03</formula>
    </cfRule>
  </conditionalFormatting>
  <conditionalFormatting sqref="AX21:AX22">
    <cfRule type="cellIs" dxfId="3309" priority="215" stopIfTrue="1" operator="greaterThan">
      <formula>0</formula>
    </cfRule>
    <cfRule type="cellIs" dxfId="3308" priority="216" operator="lessThan">
      <formula>0</formula>
    </cfRule>
  </conditionalFormatting>
  <conditionalFormatting sqref="AY23">
    <cfRule type="cellIs" dxfId="3307" priority="209" stopIfTrue="1" operator="greaterThan">
      <formula>0.03</formula>
    </cfRule>
    <cfRule type="cellIs" dxfId="3306" priority="210" stopIfTrue="1" operator="lessThan">
      <formula>-0.03</formula>
    </cfRule>
  </conditionalFormatting>
  <conditionalFormatting sqref="AY23:AY28">
    <cfRule type="cellIs" dxfId="3305" priority="211" stopIfTrue="1" operator="greaterThan">
      <formula>0</formula>
    </cfRule>
    <cfRule type="cellIs" dxfId="3304" priority="212" stopIfTrue="1" operator="lessThan">
      <formula>0</formula>
    </cfRule>
  </conditionalFormatting>
  <conditionalFormatting sqref="AX23">
    <cfRule type="cellIs" dxfId="3303" priority="205" stopIfTrue="1" operator="greaterThan">
      <formula>0.03</formula>
    </cfRule>
    <cfRule type="cellIs" dxfId="3302" priority="206" stopIfTrue="1" operator="lessThan">
      <formula>-0.03</formula>
    </cfRule>
  </conditionalFormatting>
  <conditionalFormatting sqref="AX23:AX24">
    <cfRule type="cellIs" dxfId="3301" priority="207" stopIfTrue="1" operator="greaterThan">
      <formula>0</formula>
    </cfRule>
    <cfRule type="cellIs" dxfId="3300" priority="208" operator="lessThan">
      <formula>0</formula>
    </cfRule>
  </conditionalFormatting>
  <conditionalFormatting sqref="AX25">
    <cfRule type="cellIs" dxfId="3299" priority="201" stopIfTrue="1" operator="greaterThan">
      <formula>0.03</formula>
    </cfRule>
    <cfRule type="cellIs" dxfId="3298" priority="202" stopIfTrue="1" operator="lessThan">
      <formula>-0.03</formula>
    </cfRule>
  </conditionalFormatting>
  <conditionalFormatting sqref="AX25:AX26">
    <cfRule type="cellIs" dxfId="3297" priority="203" stopIfTrue="1" operator="greaterThan">
      <formula>0</formula>
    </cfRule>
    <cfRule type="cellIs" dxfId="3296" priority="204" operator="lessThan">
      <formula>0</formula>
    </cfRule>
  </conditionalFormatting>
  <conditionalFormatting sqref="AX27">
    <cfRule type="cellIs" dxfId="3295" priority="197" stopIfTrue="1" operator="greaterThan">
      <formula>0.03</formula>
    </cfRule>
    <cfRule type="cellIs" dxfId="3294" priority="198" stopIfTrue="1" operator="lessThan">
      <formula>-0.03</formula>
    </cfRule>
  </conditionalFormatting>
  <conditionalFormatting sqref="AX27:AX28">
    <cfRule type="cellIs" dxfId="3293" priority="199" stopIfTrue="1" operator="greaterThan">
      <formula>0</formula>
    </cfRule>
    <cfRule type="cellIs" dxfId="3292" priority="200" operator="lessThan">
      <formula>0</formula>
    </cfRule>
  </conditionalFormatting>
  <conditionalFormatting sqref="AY29">
    <cfRule type="cellIs" dxfId="3291" priority="193" stopIfTrue="1" operator="greaterThan">
      <formula>0.03</formula>
    </cfRule>
    <cfRule type="cellIs" dxfId="3290" priority="194" stopIfTrue="1" operator="lessThan">
      <formula>-0.03</formula>
    </cfRule>
  </conditionalFormatting>
  <conditionalFormatting sqref="AY29:AY34">
    <cfRule type="cellIs" dxfId="3289" priority="195" stopIfTrue="1" operator="greaterThan">
      <formula>0</formula>
    </cfRule>
    <cfRule type="cellIs" dxfId="3288" priority="196" stopIfTrue="1" operator="lessThan">
      <formula>0</formula>
    </cfRule>
  </conditionalFormatting>
  <conditionalFormatting sqref="AX29">
    <cfRule type="cellIs" dxfId="3287" priority="189" stopIfTrue="1" operator="greaterThan">
      <formula>0.03</formula>
    </cfRule>
    <cfRule type="cellIs" dxfId="3286" priority="190" stopIfTrue="1" operator="lessThan">
      <formula>-0.03</formula>
    </cfRule>
  </conditionalFormatting>
  <conditionalFormatting sqref="AX29:AX30">
    <cfRule type="cellIs" dxfId="3285" priority="191" stopIfTrue="1" operator="greaterThan">
      <formula>0</formula>
    </cfRule>
    <cfRule type="cellIs" dxfId="3284" priority="192" operator="lessThan">
      <formula>0</formula>
    </cfRule>
  </conditionalFormatting>
  <conditionalFormatting sqref="AX31">
    <cfRule type="cellIs" dxfId="3283" priority="185" stopIfTrue="1" operator="greaterThan">
      <formula>0.03</formula>
    </cfRule>
    <cfRule type="cellIs" dxfId="3282" priority="186" stopIfTrue="1" operator="lessThan">
      <formula>-0.03</formula>
    </cfRule>
  </conditionalFormatting>
  <conditionalFormatting sqref="AX31:AX32">
    <cfRule type="cellIs" dxfId="3281" priority="187" stopIfTrue="1" operator="greaterThan">
      <formula>0</formula>
    </cfRule>
    <cfRule type="cellIs" dxfId="3280" priority="188" operator="lessThan">
      <formula>0</formula>
    </cfRule>
  </conditionalFormatting>
  <conditionalFormatting sqref="AX33">
    <cfRule type="cellIs" dxfId="3279" priority="181" stopIfTrue="1" operator="greaterThan">
      <formula>0.03</formula>
    </cfRule>
    <cfRule type="cellIs" dxfId="3278" priority="182" stopIfTrue="1" operator="lessThan">
      <formula>-0.03</formula>
    </cfRule>
  </conditionalFormatting>
  <conditionalFormatting sqref="AX33:AX34">
    <cfRule type="cellIs" dxfId="3277" priority="183" stopIfTrue="1" operator="greaterThan">
      <formula>0</formula>
    </cfRule>
    <cfRule type="cellIs" dxfId="3276" priority="184" operator="lessThan">
      <formula>0</formula>
    </cfRule>
  </conditionalFormatting>
  <conditionalFormatting sqref="AY35">
    <cfRule type="cellIs" dxfId="3275" priority="177" stopIfTrue="1" operator="greaterThan">
      <formula>0.03</formula>
    </cfRule>
    <cfRule type="cellIs" dxfId="3274" priority="178" stopIfTrue="1" operator="lessThan">
      <formula>-0.03</formula>
    </cfRule>
  </conditionalFormatting>
  <conditionalFormatting sqref="AY35:AY40">
    <cfRule type="cellIs" dxfId="3273" priority="179" stopIfTrue="1" operator="greaterThan">
      <formula>0</formula>
    </cfRule>
    <cfRule type="cellIs" dxfId="3272" priority="180" stopIfTrue="1" operator="lessThan">
      <formula>0</formula>
    </cfRule>
  </conditionalFormatting>
  <conditionalFormatting sqref="AX35">
    <cfRule type="cellIs" dxfId="3271" priority="173" stopIfTrue="1" operator="greaterThan">
      <formula>0.03</formula>
    </cfRule>
    <cfRule type="cellIs" dxfId="3270" priority="174" stopIfTrue="1" operator="lessThan">
      <formula>-0.03</formula>
    </cfRule>
  </conditionalFormatting>
  <conditionalFormatting sqref="AX35:AX36">
    <cfRule type="cellIs" dxfId="3269" priority="175" stopIfTrue="1" operator="greaterThan">
      <formula>0</formula>
    </cfRule>
    <cfRule type="cellIs" dxfId="3268" priority="176" operator="lessThan">
      <formula>0</formula>
    </cfRule>
  </conditionalFormatting>
  <conditionalFormatting sqref="AX37">
    <cfRule type="cellIs" dxfId="3267" priority="169" stopIfTrue="1" operator="greaterThan">
      <formula>0.03</formula>
    </cfRule>
    <cfRule type="cellIs" dxfId="3266" priority="170" stopIfTrue="1" operator="lessThan">
      <formula>-0.03</formula>
    </cfRule>
  </conditionalFormatting>
  <conditionalFormatting sqref="AX37:AX38">
    <cfRule type="cellIs" dxfId="3265" priority="171" stopIfTrue="1" operator="greaterThan">
      <formula>0</formula>
    </cfRule>
    <cfRule type="cellIs" dxfId="3264" priority="172" operator="lessThan">
      <formula>0</formula>
    </cfRule>
  </conditionalFormatting>
  <conditionalFormatting sqref="AX39">
    <cfRule type="cellIs" dxfId="3263" priority="165" stopIfTrue="1" operator="greaterThan">
      <formula>0.03</formula>
    </cfRule>
    <cfRule type="cellIs" dxfId="3262" priority="166" stopIfTrue="1" operator="lessThan">
      <formula>-0.03</formula>
    </cfRule>
  </conditionalFormatting>
  <conditionalFormatting sqref="AX39:AX40">
    <cfRule type="cellIs" dxfId="3261" priority="167" stopIfTrue="1" operator="greaterThan">
      <formula>0</formula>
    </cfRule>
    <cfRule type="cellIs" dxfId="3260" priority="168" operator="lessThan">
      <formula>0</formula>
    </cfRule>
  </conditionalFormatting>
  <conditionalFormatting sqref="B47">
    <cfRule type="cellIs" dxfId="3259" priority="157" stopIfTrue="1" operator="greaterThan">
      <formula>0.03</formula>
    </cfRule>
    <cfRule type="cellIs" dxfId="3258" priority="158" stopIfTrue="1" operator="lessThan">
      <formula>-0.03</formula>
    </cfRule>
  </conditionalFormatting>
  <conditionalFormatting sqref="C47">
    <cfRule type="cellIs" dxfId="3257" priority="159" stopIfTrue="1" operator="greaterThan">
      <formula>0.03</formula>
    </cfRule>
    <cfRule type="cellIs" dxfId="3256" priority="160" stopIfTrue="1" operator="lessThan">
      <formula>-0.03</formula>
    </cfRule>
  </conditionalFormatting>
  <conditionalFormatting sqref="C47:C52">
    <cfRule type="cellIs" dxfId="3255" priority="161" stopIfTrue="1" operator="greaterThan">
      <formula>0</formula>
    </cfRule>
    <cfRule type="cellIs" dxfId="3254" priority="162" stopIfTrue="1" operator="lessThan">
      <formula>0</formula>
    </cfRule>
  </conditionalFormatting>
  <conditionalFormatting sqref="B47:B48">
    <cfRule type="cellIs" dxfId="3253" priority="163" stopIfTrue="1" operator="greaterThan">
      <formula>0</formula>
    </cfRule>
    <cfRule type="cellIs" dxfId="3252" priority="164" operator="lessThan">
      <formula>0</formula>
    </cfRule>
  </conditionalFormatting>
  <conditionalFormatting sqref="B49">
    <cfRule type="cellIs" dxfId="3251" priority="153" stopIfTrue="1" operator="greaterThan">
      <formula>0.03</formula>
    </cfRule>
    <cfRule type="cellIs" dxfId="3250" priority="154" stopIfTrue="1" operator="lessThan">
      <formula>-0.03</formula>
    </cfRule>
  </conditionalFormatting>
  <conditionalFormatting sqref="B49:B50">
    <cfRule type="cellIs" dxfId="3249" priority="155" stopIfTrue="1" operator="greaterThan">
      <formula>0</formula>
    </cfRule>
    <cfRule type="cellIs" dxfId="3248" priority="156" operator="lessThan">
      <formula>0</formula>
    </cfRule>
  </conditionalFormatting>
  <conditionalFormatting sqref="B51">
    <cfRule type="cellIs" dxfId="3247" priority="149" stopIfTrue="1" operator="greaterThan">
      <formula>0.03</formula>
    </cfRule>
    <cfRule type="cellIs" dxfId="3246" priority="150" stopIfTrue="1" operator="lessThan">
      <formula>-0.03</formula>
    </cfRule>
  </conditionalFormatting>
  <conditionalFormatting sqref="B51:B52">
    <cfRule type="cellIs" dxfId="3245" priority="151" stopIfTrue="1" operator="greaterThan">
      <formula>0</formula>
    </cfRule>
    <cfRule type="cellIs" dxfId="3244" priority="152" operator="lessThan">
      <formula>0</formula>
    </cfRule>
  </conditionalFormatting>
  <conditionalFormatting sqref="D47:P47">
    <cfRule type="cellIs" dxfId="3243" priority="145" stopIfTrue="1" operator="greaterThan">
      <formula>0.03</formula>
    </cfRule>
    <cfRule type="cellIs" dxfId="3242" priority="146" stopIfTrue="1" operator="lessThan">
      <formula>-0.03</formula>
    </cfRule>
  </conditionalFormatting>
  <conditionalFormatting sqref="D47:P52">
    <cfRule type="cellIs" dxfId="3241" priority="147" stopIfTrue="1" operator="greaterThan">
      <formula>0</formula>
    </cfRule>
    <cfRule type="cellIs" dxfId="3240" priority="148" stopIfTrue="1" operator="lessThan">
      <formula>0</formula>
    </cfRule>
  </conditionalFormatting>
  <conditionalFormatting sqref="Q47">
    <cfRule type="cellIs" dxfId="3239" priority="137" stopIfTrue="1" operator="greaterThan">
      <formula>0.03</formula>
    </cfRule>
    <cfRule type="cellIs" dxfId="3238" priority="138" stopIfTrue="1" operator="lessThan">
      <formula>-0.03</formula>
    </cfRule>
  </conditionalFormatting>
  <conditionalFormatting sqref="R47">
    <cfRule type="cellIs" dxfId="3237" priority="139" stopIfTrue="1" operator="greaterThan">
      <formula>0.03</formula>
    </cfRule>
    <cfRule type="cellIs" dxfId="3236" priority="140" stopIfTrue="1" operator="lessThan">
      <formula>-0.03</formula>
    </cfRule>
  </conditionalFormatting>
  <conditionalFormatting sqref="R47:R52">
    <cfRule type="cellIs" dxfId="3235" priority="141" stopIfTrue="1" operator="greaterThan">
      <formula>0</formula>
    </cfRule>
    <cfRule type="cellIs" dxfId="3234" priority="142" stopIfTrue="1" operator="lessThan">
      <formula>0</formula>
    </cfRule>
  </conditionalFormatting>
  <conditionalFormatting sqref="Q47:Q48">
    <cfRule type="cellIs" dxfId="3233" priority="143" stopIfTrue="1" operator="greaterThan">
      <formula>0</formula>
    </cfRule>
    <cfRule type="cellIs" dxfId="3232" priority="144" operator="lessThan">
      <formula>0</formula>
    </cfRule>
  </conditionalFormatting>
  <conditionalFormatting sqref="Q49">
    <cfRule type="cellIs" dxfId="3231" priority="133" stopIfTrue="1" operator="greaterThan">
      <formula>0.03</formula>
    </cfRule>
    <cfRule type="cellIs" dxfId="3230" priority="134" stopIfTrue="1" operator="lessThan">
      <formula>-0.03</formula>
    </cfRule>
  </conditionalFormatting>
  <conditionalFormatting sqref="Q49:Q50">
    <cfRule type="cellIs" dxfId="3229" priority="135" stopIfTrue="1" operator="greaterThan">
      <formula>0</formula>
    </cfRule>
    <cfRule type="cellIs" dxfId="3228" priority="136" operator="lessThan">
      <formula>0</formula>
    </cfRule>
  </conditionalFormatting>
  <conditionalFormatting sqref="Q51">
    <cfRule type="cellIs" dxfId="3227" priority="129" stopIfTrue="1" operator="greaterThan">
      <formula>0.03</formula>
    </cfRule>
    <cfRule type="cellIs" dxfId="3226" priority="130" stopIfTrue="1" operator="lessThan">
      <formula>-0.03</formula>
    </cfRule>
  </conditionalFormatting>
  <conditionalFormatting sqref="Q51:Q52">
    <cfRule type="cellIs" dxfId="3225" priority="131" stopIfTrue="1" operator="greaterThan">
      <formula>0</formula>
    </cfRule>
    <cfRule type="cellIs" dxfId="3224" priority="132" operator="lessThan">
      <formula>0</formula>
    </cfRule>
  </conditionalFormatting>
  <conditionalFormatting sqref="S47">
    <cfRule type="cellIs" dxfId="3223" priority="121" stopIfTrue="1" operator="greaterThan">
      <formula>0.03</formula>
    </cfRule>
    <cfRule type="cellIs" dxfId="3222" priority="122" stopIfTrue="1" operator="lessThan">
      <formula>-0.03</formula>
    </cfRule>
  </conditionalFormatting>
  <conditionalFormatting sqref="T47">
    <cfRule type="cellIs" dxfId="3221" priority="123" stopIfTrue="1" operator="greaterThan">
      <formula>0.03</formula>
    </cfRule>
    <cfRule type="cellIs" dxfId="3220" priority="124" stopIfTrue="1" operator="lessThan">
      <formula>-0.03</formula>
    </cfRule>
  </conditionalFormatting>
  <conditionalFormatting sqref="T47:T52">
    <cfRule type="cellIs" dxfId="3219" priority="125" stopIfTrue="1" operator="greaterThan">
      <formula>0</formula>
    </cfRule>
    <cfRule type="cellIs" dxfId="3218" priority="126" stopIfTrue="1" operator="lessThan">
      <formula>0</formula>
    </cfRule>
  </conditionalFormatting>
  <conditionalFormatting sqref="S47:S48">
    <cfRule type="cellIs" dxfId="3217" priority="127" stopIfTrue="1" operator="greaterThan">
      <formula>0</formula>
    </cfRule>
    <cfRule type="cellIs" dxfId="3216" priority="128" operator="lessThan">
      <formula>0</formula>
    </cfRule>
  </conditionalFormatting>
  <conditionalFormatting sqref="S49">
    <cfRule type="cellIs" dxfId="3215" priority="117" stopIfTrue="1" operator="greaterThan">
      <formula>0.03</formula>
    </cfRule>
    <cfRule type="cellIs" dxfId="3214" priority="118" stopIfTrue="1" operator="lessThan">
      <formula>-0.03</formula>
    </cfRule>
  </conditionalFormatting>
  <conditionalFormatting sqref="S49:S50">
    <cfRule type="cellIs" dxfId="3213" priority="119" stopIfTrue="1" operator="greaterThan">
      <formula>0</formula>
    </cfRule>
    <cfRule type="cellIs" dxfId="3212" priority="120" operator="lessThan">
      <formula>0</formula>
    </cfRule>
  </conditionalFormatting>
  <conditionalFormatting sqref="S51">
    <cfRule type="cellIs" dxfId="3211" priority="113" stopIfTrue="1" operator="greaterThan">
      <formula>0.03</formula>
    </cfRule>
    <cfRule type="cellIs" dxfId="3210" priority="114" stopIfTrue="1" operator="lessThan">
      <formula>-0.03</formula>
    </cfRule>
  </conditionalFormatting>
  <conditionalFormatting sqref="S51:S52">
    <cfRule type="cellIs" dxfId="3209" priority="115" stopIfTrue="1" operator="greaterThan">
      <formula>0</formula>
    </cfRule>
    <cfRule type="cellIs" dxfId="3208" priority="116" operator="lessThan">
      <formula>0</formula>
    </cfRule>
  </conditionalFormatting>
  <conditionalFormatting sqref="U47">
    <cfRule type="cellIs" dxfId="3207" priority="105" stopIfTrue="1" operator="greaterThan">
      <formula>0.03</formula>
    </cfRule>
    <cfRule type="cellIs" dxfId="3206" priority="106" stopIfTrue="1" operator="lessThan">
      <formula>-0.03</formula>
    </cfRule>
  </conditionalFormatting>
  <conditionalFormatting sqref="V47">
    <cfRule type="cellIs" dxfId="3205" priority="107" stopIfTrue="1" operator="greaterThan">
      <formula>0.03</formula>
    </cfRule>
    <cfRule type="cellIs" dxfId="3204" priority="108" stopIfTrue="1" operator="lessThan">
      <formula>-0.03</formula>
    </cfRule>
  </conditionalFormatting>
  <conditionalFormatting sqref="V47:V52">
    <cfRule type="cellIs" dxfId="3203" priority="109" stopIfTrue="1" operator="greaterThan">
      <formula>0</formula>
    </cfRule>
    <cfRule type="cellIs" dxfId="3202" priority="110" stopIfTrue="1" operator="lessThan">
      <formula>0</formula>
    </cfRule>
  </conditionalFormatting>
  <conditionalFormatting sqref="U47:U48">
    <cfRule type="cellIs" dxfId="3201" priority="111" stopIfTrue="1" operator="greaterThan">
      <formula>0</formula>
    </cfRule>
    <cfRule type="cellIs" dxfId="3200" priority="112" operator="lessThan">
      <formula>0</formula>
    </cfRule>
  </conditionalFormatting>
  <conditionalFormatting sqref="U49">
    <cfRule type="cellIs" dxfId="3199" priority="101" stopIfTrue="1" operator="greaterThan">
      <formula>0.03</formula>
    </cfRule>
    <cfRule type="cellIs" dxfId="3198" priority="102" stopIfTrue="1" operator="lessThan">
      <formula>-0.03</formula>
    </cfRule>
  </conditionalFormatting>
  <conditionalFormatting sqref="U49:U50">
    <cfRule type="cellIs" dxfId="3197" priority="103" stopIfTrue="1" operator="greaterThan">
      <formula>0</formula>
    </cfRule>
    <cfRule type="cellIs" dxfId="3196" priority="104" operator="lessThan">
      <formula>0</formula>
    </cfRule>
  </conditionalFormatting>
  <conditionalFormatting sqref="U51">
    <cfRule type="cellIs" dxfId="3195" priority="97" stopIfTrue="1" operator="greaterThan">
      <formula>0.03</formula>
    </cfRule>
    <cfRule type="cellIs" dxfId="3194" priority="98" stopIfTrue="1" operator="lessThan">
      <formula>-0.03</formula>
    </cfRule>
  </conditionalFormatting>
  <conditionalFormatting sqref="U51:U52">
    <cfRule type="cellIs" dxfId="3193" priority="99" stopIfTrue="1" operator="greaterThan">
      <formula>0</formula>
    </cfRule>
    <cfRule type="cellIs" dxfId="3192" priority="100" operator="lessThan">
      <formula>0</formula>
    </cfRule>
  </conditionalFormatting>
  <conditionalFormatting sqref="W47">
    <cfRule type="cellIs" dxfId="3191" priority="89" stopIfTrue="1" operator="greaterThan">
      <formula>0.03</formula>
    </cfRule>
    <cfRule type="cellIs" dxfId="3190" priority="90" stopIfTrue="1" operator="lessThan">
      <formula>-0.03</formula>
    </cfRule>
  </conditionalFormatting>
  <conditionalFormatting sqref="X47">
    <cfRule type="cellIs" dxfId="3189" priority="91" stopIfTrue="1" operator="greaterThan">
      <formula>0.03</formula>
    </cfRule>
    <cfRule type="cellIs" dxfId="3188" priority="92" stopIfTrue="1" operator="lessThan">
      <formula>-0.03</formula>
    </cfRule>
  </conditionalFormatting>
  <conditionalFormatting sqref="X47:X52">
    <cfRule type="cellIs" dxfId="3187" priority="93" stopIfTrue="1" operator="greaterThan">
      <formula>0</formula>
    </cfRule>
    <cfRule type="cellIs" dxfId="3186" priority="94" stopIfTrue="1" operator="lessThan">
      <formula>0</formula>
    </cfRule>
  </conditionalFormatting>
  <conditionalFormatting sqref="W47:W48">
    <cfRule type="cellIs" dxfId="3185" priority="95" stopIfTrue="1" operator="greaterThan">
      <formula>0</formula>
    </cfRule>
    <cfRule type="cellIs" dxfId="3184" priority="96" operator="lessThan">
      <formula>0</formula>
    </cfRule>
  </conditionalFormatting>
  <conditionalFormatting sqref="W49">
    <cfRule type="cellIs" dxfId="3183" priority="85" stopIfTrue="1" operator="greaterThan">
      <formula>0.03</formula>
    </cfRule>
    <cfRule type="cellIs" dxfId="3182" priority="86" stopIfTrue="1" operator="lessThan">
      <formula>-0.03</formula>
    </cfRule>
  </conditionalFormatting>
  <conditionalFormatting sqref="W49:W50">
    <cfRule type="cellIs" dxfId="3181" priority="87" stopIfTrue="1" operator="greaterThan">
      <formula>0</formula>
    </cfRule>
    <cfRule type="cellIs" dxfId="3180" priority="88" operator="lessThan">
      <formula>0</formula>
    </cfRule>
  </conditionalFormatting>
  <conditionalFormatting sqref="W51">
    <cfRule type="cellIs" dxfId="3179" priority="81" stopIfTrue="1" operator="greaterThan">
      <formula>0.03</formula>
    </cfRule>
    <cfRule type="cellIs" dxfId="3178" priority="82" stopIfTrue="1" operator="lessThan">
      <formula>-0.03</formula>
    </cfRule>
  </conditionalFormatting>
  <conditionalFormatting sqref="W51:W52">
    <cfRule type="cellIs" dxfId="3177" priority="83" stopIfTrue="1" operator="greaterThan">
      <formula>0</formula>
    </cfRule>
    <cfRule type="cellIs" dxfId="3176" priority="84" operator="lessThan">
      <formula>0</formula>
    </cfRule>
  </conditionalFormatting>
  <conditionalFormatting sqref="Y47">
    <cfRule type="cellIs" dxfId="3175" priority="73" stopIfTrue="1" operator="greaterThan">
      <formula>0.03</formula>
    </cfRule>
    <cfRule type="cellIs" dxfId="3174" priority="74" stopIfTrue="1" operator="lessThan">
      <formula>-0.03</formula>
    </cfRule>
  </conditionalFormatting>
  <conditionalFormatting sqref="Z47">
    <cfRule type="cellIs" dxfId="3173" priority="75" stopIfTrue="1" operator="greaterThan">
      <formula>0.03</formula>
    </cfRule>
    <cfRule type="cellIs" dxfId="3172" priority="76" stopIfTrue="1" operator="lessThan">
      <formula>-0.03</formula>
    </cfRule>
  </conditionalFormatting>
  <conditionalFormatting sqref="Z47:Z52">
    <cfRule type="cellIs" dxfId="3171" priority="77" stopIfTrue="1" operator="greaterThan">
      <formula>0</formula>
    </cfRule>
    <cfRule type="cellIs" dxfId="3170" priority="78" stopIfTrue="1" operator="lessThan">
      <formula>0</formula>
    </cfRule>
  </conditionalFormatting>
  <conditionalFormatting sqref="Y47:Y48">
    <cfRule type="cellIs" dxfId="3169" priority="79" stopIfTrue="1" operator="greaterThan">
      <formula>0</formula>
    </cfRule>
    <cfRule type="cellIs" dxfId="3168" priority="80" operator="lessThan">
      <formula>0</formula>
    </cfRule>
  </conditionalFormatting>
  <conditionalFormatting sqref="Y49">
    <cfRule type="cellIs" dxfId="3167" priority="69" stopIfTrue="1" operator="greaterThan">
      <formula>0.03</formula>
    </cfRule>
    <cfRule type="cellIs" dxfId="3166" priority="70" stopIfTrue="1" operator="lessThan">
      <formula>-0.03</formula>
    </cfRule>
  </conditionalFormatting>
  <conditionalFormatting sqref="Y49:Y50">
    <cfRule type="cellIs" dxfId="3165" priority="71" stopIfTrue="1" operator="greaterThan">
      <formula>0</formula>
    </cfRule>
    <cfRule type="cellIs" dxfId="3164" priority="72" operator="lessThan">
      <formula>0</formula>
    </cfRule>
  </conditionalFormatting>
  <conditionalFormatting sqref="Y51">
    <cfRule type="cellIs" dxfId="3163" priority="65" stopIfTrue="1" operator="greaterThan">
      <formula>0.03</formula>
    </cfRule>
    <cfRule type="cellIs" dxfId="3162" priority="66" stopIfTrue="1" operator="lessThan">
      <formula>-0.03</formula>
    </cfRule>
  </conditionalFormatting>
  <conditionalFormatting sqref="Y51:Y52">
    <cfRule type="cellIs" dxfId="3161" priority="67" stopIfTrue="1" operator="greaterThan">
      <formula>0</formula>
    </cfRule>
    <cfRule type="cellIs" dxfId="3160" priority="68" operator="lessThan">
      <formula>0</formula>
    </cfRule>
  </conditionalFormatting>
  <conditionalFormatting sqref="AA47">
    <cfRule type="cellIs" dxfId="3159" priority="57" stopIfTrue="1" operator="greaterThan">
      <formula>0.03</formula>
    </cfRule>
    <cfRule type="cellIs" dxfId="3158" priority="58" stopIfTrue="1" operator="lessThan">
      <formula>-0.03</formula>
    </cfRule>
  </conditionalFormatting>
  <conditionalFormatting sqref="AB47">
    <cfRule type="cellIs" dxfId="3157" priority="59" stopIfTrue="1" operator="greaterThan">
      <formula>0.03</formula>
    </cfRule>
    <cfRule type="cellIs" dxfId="3156" priority="60" stopIfTrue="1" operator="lessThan">
      <formula>-0.03</formula>
    </cfRule>
  </conditionalFormatting>
  <conditionalFormatting sqref="AB47:AB52">
    <cfRule type="cellIs" dxfId="3155" priority="61" stopIfTrue="1" operator="greaterThan">
      <formula>0</formula>
    </cfRule>
    <cfRule type="cellIs" dxfId="3154" priority="62" stopIfTrue="1" operator="lessThan">
      <formula>0</formula>
    </cfRule>
  </conditionalFormatting>
  <conditionalFormatting sqref="AA47:AA48">
    <cfRule type="cellIs" dxfId="3153" priority="63" stopIfTrue="1" operator="greaterThan">
      <formula>0</formula>
    </cfRule>
    <cfRule type="cellIs" dxfId="3152" priority="64" operator="lessThan">
      <formula>0</formula>
    </cfRule>
  </conditionalFormatting>
  <conditionalFormatting sqref="AA49">
    <cfRule type="cellIs" dxfId="3151" priority="53" stopIfTrue="1" operator="greaterThan">
      <formula>0.03</formula>
    </cfRule>
    <cfRule type="cellIs" dxfId="3150" priority="54" stopIfTrue="1" operator="lessThan">
      <formula>-0.03</formula>
    </cfRule>
  </conditionalFormatting>
  <conditionalFormatting sqref="AA49:AA50">
    <cfRule type="cellIs" dxfId="3149" priority="55" stopIfTrue="1" operator="greaterThan">
      <formula>0</formula>
    </cfRule>
    <cfRule type="cellIs" dxfId="3148" priority="56" operator="lessThan">
      <formula>0</formula>
    </cfRule>
  </conditionalFormatting>
  <conditionalFormatting sqref="AA51">
    <cfRule type="cellIs" dxfId="3147" priority="49" stopIfTrue="1" operator="greaterThan">
      <formula>0.03</formula>
    </cfRule>
    <cfRule type="cellIs" dxfId="3146" priority="50" stopIfTrue="1" operator="lessThan">
      <formula>-0.03</formula>
    </cfRule>
  </conditionalFormatting>
  <conditionalFormatting sqref="AA51:AA52">
    <cfRule type="cellIs" dxfId="3145" priority="51" stopIfTrue="1" operator="greaterThan">
      <formula>0</formula>
    </cfRule>
    <cfRule type="cellIs" dxfId="3144" priority="52" operator="lessThan">
      <formula>0</formula>
    </cfRule>
  </conditionalFormatting>
  <conditionalFormatting sqref="AC47">
    <cfRule type="cellIs" dxfId="3143" priority="45" stopIfTrue="1" operator="greaterThan">
      <formula>0.03</formula>
    </cfRule>
    <cfRule type="cellIs" dxfId="3142" priority="46" stopIfTrue="1" operator="lessThan">
      <formula>-0.03</formula>
    </cfRule>
  </conditionalFormatting>
  <conditionalFormatting sqref="AC47:AC48">
    <cfRule type="cellIs" dxfId="3141" priority="47" stopIfTrue="1" operator="greaterThan">
      <formula>0</formula>
    </cfRule>
    <cfRule type="cellIs" dxfId="3140" priority="48" operator="lessThan">
      <formula>0</formula>
    </cfRule>
  </conditionalFormatting>
  <conditionalFormatting sqref="AC49">
    <cfRule type="cellIs" dxfId="3139" priority="41" stopIfTrue="1" operator="greaterThan">
      <formula>0.03</formula>
    </cfRule>
    <cfRule type="cellIs" dxfId="3138" priority="42" stopIfTrue="1" operator="lessThan">
      <formula>-0.03</formula>
    </cfRule>
  </conditionalFormatting>
  <conditionalFormatting sqref="AC49:AC50">
    <cfRule type="cellIs" dxfId="3137" priority="43" stopIfTrue="1" operator="greaterThan">
      <formula>0</formula>
    </cfRule>
    <cfRule type="cellIs" dxfId="3136" priority="44" operator="lessThan">
      <formula>0</formula>
    </cfRule>
  </conditionalFormatting>
  <conditionalFormatting sqref="AC51">
    <cfRule type="cellIs" dxfId="3135" priority="37" stopIfTrue="1" operator="greaterThan">
      <formula>0.03</formula>
    </cfRule>
    <cfRule type="cellIs" dxfId="3134" priority="38" stopIfTrue="1" operator="lessThan">
      <formula>-0.03</formula>
    </cfRule>
  </conditionalFormatting>
  <conditionalFormatting sqref="AC51:AC52">
    <cfRule type="cellIs" dxfId="3133" priority="39" stopIfTrue="1" operator="greaterThan">
      <formula>0</formula>
    </cfRule>
    <cfRule type="cellIs" dxfId="3132" priority="40" operator="lessThan">
      <formula>0</formula>
    </cfRule>
  </conditionalFormatting>
  <conditionalFormatting sqref="AI47">
    <cfRule type="cellIs" dxfId="3131" priority="29" stopIfTrue="1" operator="greaterThan">
      <formula>0.03</formula>
    </cfRule>
    <cfRule type="cellIs" dxfId="3130" priority="30" stopIfTrue="1" operator="lessThan">
      <formula>-0.03</formula>
    </cfRule>
  </conditionalFormatting>
  <conditionalFormatting sqref="AJ47">
    <cfRule type="cellIs" dxfId="3129" priority="31" stopIfTrue="1" operator="greaterThan">
      <formula>0.03</formula>
    </cfRule>
    <cfRule type="cellIs" dxfId="3128" priority="32" stopIfTrue="1" operator="lessThan">
      <formula>-0.03</formula>
    </cfRule>
  </conditionalFormatting>
  <conditionalFormatting sqref="AJ47:AJ52">
    <cfRule type="cellIs" dxfId="3127" priority="33" stopIfTrue="1" operator="greaterThan">
      <formula>0</formula>
    </cfRule>
    <cfRule type="cellIs" dxfId="3126" priority="34" stopIfTrue="1" operator="lessThan">
      <formula>0</formula>
    </cfRule>
  </conditionalFormatting>
  <conditionalFormatting sqref="AI47:AI48">
    <cfRule type="cellIs" dxfId="3125" priority="35" stopIfTrue="1" operator="greaterThan">
      <formula>0</formula>
    </cfRule>
    <cfRule type="cellIs" dxfId="3124" priority="36" operator="lessThan">
      <formula>0</formula>
    </cfRule>
  </conditionalFormatting>
  <conditionalFormatting sqref="AI49">
    <cfRule type="cellIs" dxfId="3123" priority="25" stopIfTrue="1" operator="greaterThan">
      <formula>0.03</formula>
    </cfRule>
    <cfRule type="cellIs" dxfId="3122" priority="26" stopIfTrue="1" operator="lessThan">
      <formula>-0.03</formula>
    </cfRule>
  </conditionalFormatting>
  <conditionalFormatting sqref="AI49:AI50">
    <cfRule type="cellIs" dxfId="3121" priority="27" stopIfTrue="1" operator="greaterThan">
      <formula>0</formula>
    </cfRule>
    <cfRule type="cellIs" dxfId="3120" priority="28" operator="lessThan">
      <formula>0</formula>
    </cfRule>
  </conditionalFormatting>
  <conditionalFormatting sqref="AI51">
    <cfRule type="cellIs" dxfId="3119" priority="21" stopIfTrue="1" operator="greaterThan">
      <formula>0.03</formula>
    </cfRule>
    <cfRule type="cellIs" dxfId="3118" priority="22" stopIfTrue="1" operator="lessThan">
      <formula>-0.03</formula>
    </cfRule>
  </conditionalFormatting>
  <conditionalFormatting sqref="AI51:AI52">
    <cfRule type="cellIs" dxfId="3117" priority="23" stopIfTrue="1" operator="greaterThan">
      <formula>0</formula>
    </cfRule>
    <cfRule type="cellIs" dxfId="3116" priority="24" operator="lessThan">
      <formula>0</formula>
    </cfRule>
  </conditionalFormatting>
  <conditionalFormatting sqref="AK47">
    <cfRule type="cellIs" dxfId="3115" priority="13" stopIfTrue="1" operator="greaterThan">
      <formula>0.03</formula>
    </cfRule>
    <cfRule type="cellIs" dxfId="3114" priority="14" stopIfTrue="1" operator="lessThan">
      <formula>-0.03</formula>
    </cfRule>
  </conditionalFormatting>
  <conditionalFormatting sqref="AL47">
    <cfRule type="cellIs" dxfId="3113" priority="15" stopIfTrue="1" operator="greaterThan">
      <formula>0.03</formula>
    </cfRule>
    <cfRule type="cellIs" dxfId="3112" priority="16" stopIfTrue="1" operator="lessThan">
      <formula>-0.03</formula>
    </cfRule>
  </conditionalFormatting>
  <conditionalFormatting sqref="AL47:AL52">
    <cfRule type="cellIs" dxfId="3111" priority="17" stopIfTrue="1" operator="greaterThan">
      <formula>0</formula>
    </cfRule>
    <cfRule type="cellIs" dxfId="3110" priority="18" stopIfTrue="1" operator="lessThan">
      <formula>0</formula>
    </cfRule>
  </conditionalFormatting>
  <conditionalFormatting sqref="AK47:AK48">
    <cfRule type="cellIs" dxfId="3109" priority="19" stopIfTrue="1" operator="greaterThan">
      <formula>0</formula>
    </cfRule>
    <cfRule type="cellIs" dxfId="3108" priority="20" operator="lessThan">
      <formula>0</formula>
    </cfRule>
  </conditionalFormatting>
  <conditionalFormatting sqref="AK49">
    <cfRule type="cellIs" dxfId="3107" priority="9" stopIfTrue="1" operator="greaterThan">
      <formula>0.03</formula>
    </cfRule>
    <cfRule type="cellIs" dxfId="3106" priority="10" stopIfTrue="1" operator="lessThan">
      <formula>-0.03</formula>
    </cfRule>
  </conditionalFormatting>
  <conditionalFormatting sqref="AK49:AK50">
    <cfRule type="cellIs" dxfId="3105" priority="11" stopIfTrue="1" operator="greaterThan">
      <formula>0</formula>
    </cfRule>
    <cfRule type="cellIs" dxfId="3104" priority="12" operator="lessThan">
      <formula>0</formula>
    </cfRule>
  </conditionalFormatting>
  <conditionalFormatting sqref="AK51">
    <cfRule type="cellIs" dxfId="3103" priority="5" stopIfTrue="1" operator="greaterThan">
      <formula>0.03</formula>
    </cfRule>
    <cfRule type="cellIs" dxfId="3102" priority="6" stopIfTrue="1" operator="lessThan">
      <formula>-0.03</formula>
    </cfRule>
  </conditionalFormatting>
  <conditionalFormatting sqref="AK51:AK52">
    <cfRule type="cellIs" dxfId="3101" priority="7" stopIfTrue="1" operator="greaterThan">
      <formula>0</formula>
    </cfRule>
    <cfRule type="cellIs" dxfId="3100" priority="8" operator="lessThan">
      <formula>0</formula>
    </cfRule>
  </conditionalFormatting>
  <conditionalFormatting sqref="AD47:AH47">
    <cfRule type="cellIs" dxfId="3099" priority="1" stopIfTrue="1" operator="greaterThan">
      <formula>0.03</formula>
    </cfRule>
    <cfRule type="cellIs" dxfId="3098" priority="2" stopIfTrue="1" operator="lessThan">
      <formula>-0.03</formula>
    </cfRule>
  </conditionalFormatting>
  <conditionalFormatting sqref="AD47:AH52">
    <cfRule type="cellIs" dxfId="3097" priority="3" stopIfTrue="1" operator="greaterThan">
      <formula>0</formula>
    </cfRule>
    <cfRule type="cellIs" dxfId="3096" priority="4" stopIfTrue="1" operator="less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75371-56E5-CC47-AE81-01E277E25DC4}">
  <sheetPr codeName="Sheet23"/>
  <dimension ref="A1:FS180"/>
  <sheetViews>
    <sheetView zoomScale="110" zoomScaleNormal="110" workbookViewId="0">
      <selection activeCell="B5" sqref="B5:B40"/>
    </sheetView>
  </sheetViews>
  <sheetFormatPr baseColWidth="10" defaultColWidth="10.83203125" defaultRowHeight="13" outlineLevelCol="1" x14ac:dyDescent="0.15"/>
  <cols>
    <col min="1" max="2" width="10.83203125" style="1"/>
    <col min="3" max="6" width="12.33203125" style="1" bestFit="1" customWidth="1"/>
    <col min="7" max="7" width="12.1640625" style="1" customWidth="1"/>
    <col min="8" max="8" width="12.33203125" style="1" bestFit="1" customWidth="1"/>
    <col min="9" max="9" width="12.1640625" style="1" customWidth="1"/>
    <col min="10" max="11" width="11.83203125" style="1" bestFit="1" customWidth="1"/>
    <col min="12" max="17" width="11.6640625" style="1" customWidth="1"/>
    <col min="18" max="19" width="12.33203125" style="1" bestFit="1" customWidth="1"/>
    <col min="20" max="20" width="13" style="1" customWidth="1"/>
    <col min="21" max="21" width="14.33203125" style="1" bestFit="1" customWidth="1"/>
    <col min="22" max="24" width="12.33203125" style="1" bestFit="1" customWidth="1"/>
    <col min="25" max="25" width="12.1640625" style="1" customWidth="1"/>
    <col min="26" max="26" width="12.33203125" style="1" bestFit="1" customWidth="1"/>
    <col min="27" max="27" width="12.1640625" style="1" customWidth="1"/>
    <col min="28" max="29" width="11.83203125" style="1" bestFit="1" customWidth="1"/>
    <col min="30" max="35" width="11.6640625" style="1" customWidth="1"/>
    <col min="36" max="36" width="14.6640625" style="1" bestFit="1" customWidth="1"/>
    <col min="37" max="37" width="12.33203125" style="1" bestFit="1" customWidth="1"/>
    <col min="38" max="39" width="12.1640625" style="1" customWidth="1"/>
    <col min="40" max="40" width="9.83203125" style="1" customWidth="1"/>
    <col min="41" max="47" width="10.83203125" style="4" outlineLevel="1"/>
    <col min="48" max="51" width="12.1640625" style="4" customWidth="1" outlineLevel="1"/>
    <col min="52" max="69" width="10.83203125" style="4" outlineLevel="1"/>
    <col min="70" max="72" width="12.1640625" style="4" customWidth="1" outlineLevel="1"/>
    <col min="73" max="73" width="8.1640625" style="4" customWidth="1" outlineLevel="1"/>
    <col min="74" max="74" width="12.1640625" style="4" customWidth="1" outlineLevel="1"/>
    <col min="75" max="75" width="8.1640625" style="4" customWidth="1" outlineLevel="1"/>
    <col min="76" max="76" width="12.1640625" style="4" customWidth="1" outlineLevel="1"/>
    <col min="77" max="77" width="8.1640625" style="4" customWidth="1" outlineLevel="1"/>
    <col min="78" max="78" width="12.1640625" style="4" customWidth="1" outlineLevel="1"/>
    <col min="79" max="79" width="8.1640625" style="4" customWidth="1" outlineLevel="1"/>
    <col min="80" max="80" width="12.1640625" style="4" customWidth="1" outlineLevel="1"/>
    <col min="81" max="81" width="8.1640625" style="4" customWidth="1" outlineLevel="1"/>
    <col min="82" max="82" width="12.1640625" style="4" customWidth="1" outlineLevel="1"/>
    <col min="83" max="86" width="8.1640625" style="4" customWidth="1" outlineLevel="1"/>
    <col min="87" max="87" width="12" style="10" customWidth="1" outlineLevel="1"/>
    <col min="88" max="88" width="8.1640625" style="10" customWidth="1" outlineLevel="1"/>
    <col min="89" max="89" width="8.1640625" style="4" customWidth="1" outlineLevel="1"/>
    <col min="90" max="107" width="10.83203125" style="4" outlineLevel="1"/>
    <col min="108" max="108" width="1" style="4" customWidth="1" outlineLevel="1"/>
    <col min="109" max="109" width="10.83203125" style="4" outlineLevel="1"/>
    <col min="110" max="110" width="12.1640625" style="4" customWidth="1" outlineLevel="1"/>
    <col min="111" max="111" width="0.83203125" style="4" customWidth="1" outlineLevel="1"/>
    <col min="112" max="112" width="10.83203125" style="4" outlineLevel="1"/>
    <col min="113" max="113" width="12.1640625" style="4" customWidth="1" outlineLevel="1"/>
    <col min="114" max="114" width="0.83203125" style="4" customWidth="1"/>
    <col min="115" max="128" width="12.1640625" style="4" customWidth="1"/>
    <col min="129" max="129" width="1.33203125" style="1" customWidth="1"/>
    <col min="130" max="148" width="10.83203125" style="4"/>
    <col min="149" max="151" width="12.1640625" style="4" customWidth="1"/>
    <col min="152" max="159" width="12.1640625" style="8" customWidth="1"/>
    <col min="160" max="171" width="12.1640625" style="4" customWidth="1"/>
    <col min="172" max="172" width="10.83203125" style="4"/>
    <col min="173" max="173" width="12.1640625" style="4" customWidth="1"/>
    <col min="174" max="174" width="10.83203125" style="4"/>
    <col min="175" max="175" width="12.1640625" style="4" customWidth="1"/>
    <col min="176" max="16384" width="10.83203125" style="1"/>
  </cols>
  <sheetData>
    <row r="1" spans="1:175" x14ac:dyDescent="0.15">
      <c r="C1" s="276" t="s">
        <v>10</v>
      </c>
      <c r="D1" s="276"/>
      <c r="E1" s="276"/>
      <c r="F1" s="276"/>
      <c r="G1" s="276"/>
      <c r="H1" s="276"/>
      <c r="I1" s="276"/>
      <c r="J1" s="276"/>
      <c r="K1" s="276"/>
      <c r="L1" s="276"/>
      <c r="M1" s="276"/>
      <c r="N1" s="276"/>
      <c r="O1" s="276"/>
      <c r="P1" s="276"/>
      <c r="Q1" s="276"/>
      <c r="R1" s="276"/>
      <c r="S1" s="276"/>
      <c r="T1" s="2"/>
      <c r="U1" s="276" t="s">
        <v>11</v>
      </c>
      <c r="V1" s="276"/>
      <c r="W1" s="276"/>
      <c r="X1" s="276"/>
      <c r="Y1" s="276"/>
      <c r="Z1" s="276"/>
      <c r="AA1" s="276"/>
      <c r="AB1" s="276"/>
      <c r="AC1" s="276"/>
      <c r="AD1" s="276"/>
      <c r="AE1" s="276"/>
      <c r="AF1" s="276"/>
      <c r="AG1" s="276"/>
      <c r="AH1" s="276"/>
      <c r="AI1" s="276"/>
      <c r="AJ1" s="276"/>
      <c r="AK1" s="276"/>
      <c r="AL1" s="12"/>
      <c r="AM1" s="12"/>
      <c r="AN1" s="2"/>
      <c r="AO1" s="279" t="s">
        <v>21</v>
      </c>
      <c r="AP1" s="280"/>
      <c r="AQ1" s="280"/>
      <c r="AR1" s="280"/>
      <c r="AS1" s="280"/>
      <c r="AT1" s="280"/>
      <c r="AU1" s="280"/>
      <c r="AV1" s="280"/>
      <c r="AW1" s="280"/>
      <c r="AX1" s="280"/>
      <c r="AY1" s="280"/>
      <c r="CH1" s="19"/>
      <c r="CK1" s="18"/>
      <c r="CL1" s="272" t="s">
        <v>12</v>
      </c>
      <c r="CM1" s="272"/>
      <c r="CN1" s="272"/>
      <c r="CO1" s="272"/>
      <c r="CP1" s="272"/>
      <c r="CQ1" s="272"/>
      <c r="CR1" s="272"/>
      <c r="CS1" s="272"/>
      <c r="CT1" s="272"/>
      <c r="CU1" s="272"/>
      <c r="CV1" s="272"/>
      <c r="CW1" s="272"/>
      <c r="CX1" s="272"/>
      <c r="CY1" s="272"/>
      <c r="CZ1" s="272"/>
      <c r="DA1" s="272"/>
      <c r="DB1" s="272"/>
      <c r="DC1" s="272"/>
      <c r="DD1" s="272"/>
      <c r="DE1" s="272"/>
      <c r="DF1" s="272"/>
      <c r="DG1" s="272"/>
      <c r="DH1" s="272"/>
      <c r="DI1" s="272"/>
      <c r="DJ1" s="272"/>
      <c r="DK1" s="272"/>
      <c r="DL1" s="272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2"/>
      <c r="DZ1" s="272" t="s">
        <v>48</v>
      </c>
      <c r="EA1" s="272"/>
      <c r="EB1" s="272"/>
      <c r="EC1" s="272"/>
      <c r="ED1" s="272"/>
      <c r="EE1" s="272"/>
      <c r="EF1" s="272"/>
      <c r="EG1" s="272"/>
      <c r="EH1" s="272"/>
      <c r="EI1" s="272"/>
      <c r="EJ1" s="272"/>
      <c r="EK1" s="272"/>
      <c r="EL1" s="272"/>
      <c r="EM1" s="272"/>
      <c r="EN1" s="272"/>
      <c r="EO1" s="272"/>
      <c r="EP1" s="272"/>
      <c r="EQ1" s="272"/>
      <c r="ER1" s="272"/>
      <c r="ES1" s="272"/>
      <c r="ET1" s="272"/>
      <c r="EU1" s="272"/>
      <c r="EV1" s="272"/>
      <c r="EW1" s="272"/>
      <c r="EX1" s="1"/>
      <c r="EY1" s="1"/>
      <c r="EZ1" s="1"/>
      <c r="FA1" s="1"/>
      <c r="FB1" s="1"/>
      <c r="FC1" s="1"/>
      <c r="FD1" s="3"/>
      <c r="FE1" s="3"/>
      <c r="FF1" s="3"/>
      <c r="FG1" s="3"/>
      <c r="FH1" s="3"/>
      <c r="FI1" s="15"/>
      <c r="FK1" s="16"/>
      <c r="FL1" s="3"/>
      <c r="FM1" s="3"/>
      <c r="FN1" s="15"/>
      <c r="FP1" s="1"/>
      <c r="FQ1" s="1"/>
      <c r="FR1" s="1"/>
      <c r="FS1" s="1"/>
    </row>
    <row r="2" spans="1:175" x14ac:dyDescent="0.15">
      <c r="C2" s="276"/>
      <c r="D2" s="276"/>
      <c r="E2" s="276"/>
      <c r="F2" s="276"/>
      <c r="G2" s="276"/>
      <c r="H2" s="276"/>
      <c r="I2" s="276"/>
      <c r="J2" s="276"/>
      <c r="K2" s="276"/>
      <c r="L2" s="276"/>
      <c r="M2" s="276"/>
      <c r="N2" s="276"/>
      <c r="O2" s="276"/>
      <c r="P2" s="276"/>
      <c r="Q2" s="276"/>
      <c r="R2" s="276"/>
      <c r="S2" s="276"/>
      <c r="T2" s="2"/>
      <c r="U2" s="276"/>
      <c r="V2" s="276"/>
      <c r="W2" s="276"/>
      <c r="X2" s="276"/>
      <c r="Y2" s="276"/>
      <c r="Z2" s="276"/>
      <c r="AA2" s="276"/>
      <c r="AB2" s="276"/>
      <c r="AC2" s="276"/>
      <c r="AD2" s="276"/>
      <c r="AE2" s="276"/>
      <c r="AF2" s="276"/>
      <c r="AG2" s="276"/>
      <c r="AH2" s="276"/>
      <c r="AI2" s="276"/>
      <c r="AJ2" s="276"/>
      <c r="AK2" s="276"/>
      <c r="AL2" s="12"/>
      <c r="AM2" s="12"/>
      <c r="AN2" s="2"/>
      <c r="AO2" s="281" t="s">
        <v>13</v>
      </c>
      <c r="AP2" s="264"/>
      <c r="AQ2" s="264"/>
      <c r="AR2" s="264"/>
      <c r="AS2" s="264"/>
      <c r="AT2" s="264" t="s">
        <v>1</v>
      </c>
      <c r="AU2" s="264"/>
      <c r="AV2" s="264" t="s">
        <v>22</v>
      </c>
      <c r="AW2" s="264"/>
      <c r="AX2" s="264" t="s">
        <v>0</v>
      </c>
      <c r="AY2" s="264"/>
      <c r="CH2" s="20"/>
      <c r="CI2" s="20"/>
      <c r="CJ2" s="20"/>
      <c r="CK2" s="18"/>
      <c r="CL2" s="273" t="s">
        <v>13</v>
      </c>
      <c r="CM2" s="274"/>
      <c r="CN2" s="274"/>
      <c r="CO2" s="274"/>
      <c r="CP2" s="274"/>
      <c r="CQ2" s="274"/>
      <c r="CR2" s="274"/>
      <c r="CS2" s="274"/>
      <c r="CT2" s="274"/>
      <c r="CU2" s="274"/>
      <c r="CV2" s="274"/>
      <c r="CW2" s="274"/>
      <c r="CX2" s="274"/>
      <c r="CY2" s="274"/>
      <c r="CZ2" s="274"/>
      <c r="DA2" s="274"/>
      <c r="DB2" s="274"/>
      <c r="DC2" s="275"/>
      <c r="DD2" s="3"/>
      <c r="DE2" s="272" t="s">
        <v>14</v>
      </c>
      <c r="DF2" s="272"/>
      <c r="DG2" s="3"/>
      <c r="DH2" s="272" t="s">
        <v>30</v>
      </c>
      <c r="DI2" s="272"/>
      <c r="DJ2" s="3"/>
      <c r="DK2" s="272" t="s">
        <v>15</v>
      </c>
      <c r="DL2" s="272"/>
      <c r="DM2" s="272" t="s">
        <v>43</v>
      </c>
      <c r="DN2" s="272"/>
      <c r="DO2" s="272" t="s">
        <v>40</v>
      </c>
      <c r="DP2" s="272"/>
      <c r="DQ2" s="272" t="s">
        <v>44</v>
      </c>
      <c r="DR2" s="272"/>
      <c r="DS2" s="273" t="s">
        <v>45</v>
      </c>
      <c r="DT2" s="274"/>
      <c r="DU2" s="274"/>
      <c r="DV2" s="274"/>
      <c r="DW2" s="274"/>
      <c r="DX2" s="275"/>
      <c r="DY2" s="2"/>
      <c r="DZ2" s="273" t="s">
        <v>13</v>
      </c>
      <c r="EA2" s="274"/>
      <c r="EB2" s="274"/>
      <c r="EC2" s="274"/>
      <c r="ED2" s="274"/>
      <c r="EE2" s="274"/>
      <c r="EF2" s="274"/>
      <c r="EG2" s="274"/>
      <c r="EH2" s="274"/>
      <c r="EI2" s="274"/>
      <c r="EJ2" s="274"/>
      <c r="EK2" s="274"/>
      <c r="EL2" s="274"/>
      <c r="EM2" s="274"/>
      <c r="EN2" s="274"/>
      <c r="EO2" s="274"/>
      <c r="EP2" s="274"/>
      <c r="EQ2" s="275"/>
      <c r="ER2" s="272" t="s">
        <v>14</v>
      </c>
      <c r="ES2" s="272"/>
      <c r="ET2" s="272" t="s">
        <v>30</v>
      </c>
      <c r="EU2" s="272"/>
      <c r="EV2" s="284" t="s">
        <v>15</v>
      </c>
      <c r="EW2" s="284"/>
      <c r="EX2" s="284" t="s">
        <v>46</v>
      </c>
      <c r="EY2" s="284"/>
      <c r="EZ2" s="284" t="s">
        <v>47</v>
      </c>
      <c r="FA2" s="284"/>
      <c r="FB2" s="284" t="s">
        <v>41</v>
      </c>
      <c r="FC2" s="284"/>
      <c r="FD2" s="273" t="s">
        <v>45</v>
      </c>
      <c r="FE2" s="274"/>
      <c r="FF2" s="274"/>
      <c r="FG2" s="274"/>
      <c r="FH2" s="274"/>
      <c r="FI2" s="275"/>
      <c r="FK2" s="272" t="s">
        <v>106</v>
      </c>
      <c r="FL2" s="272"/>
      <c r="FM2" s="272" t="s">
        <v>107</v>
      </c>
      <c r="FN2" s="272"/>
      <c r="FP2" s="272" t="s">
        <v>105</v>
      </c>
      <c r="FQ2" s="272"/>
      <c r="FR2" s="272" t="s">
        <v>108</v>
      </c>
      <c r="FS2" s="272"/>
    </row>
    <row r="3" spans="1:175" x14ac:dyDescent="0.15">
      <c r="C3" s="12"/>
      <c r="D3" s="276" t="s">
        <v>13</v>
      </c>
      <c r="E3" s="276"/>
      <c r="F3" s="276"/>
      <c r="G3" s="276"/>
      <c r="H3" s="12"/>
      <c r="I3" s="12"/>
      <c r="J3" s="12"/>
      <c r="K3" s="12"/>
      <c r="L3" s="12"/>
      <c r="M3" s="12"/>
      <c r="N3" s="278" t="s">
        <v>42</v>
      </c>
      <c r="O3" s="278"/>
      <c r="P3" s="278"/>
      <c r="Q3" s="278"/>
      <c r="R3" s="12"/>
      <c r="S3" s="12"/>
      <c r="T3" s="2"/>
      <c r="U3" s="12"/>
      <c r="V3" s="276" t="s">
        <v>13</v>
      </c>
      <c r="W3" s="276"/>
      <c r="X3" s="276"/>
      <c r="Y3" s="276"/>
      <c r="Z3" s="12"/>
      <c r="AA3" s="12"/>
      <c r="AB3" s="12"/>
      <c r="AC3" s="12"/>
      <c r="AD3" s="12"/>
      <c r="AE3" s="12"/>
      <c r="AF3" s="277" t="s">
        <v>42</v>
      </c>
      <c r="AG3" s="277"/>
      <c r="AH3" s="277"/>
      <c r="AI3" s="277"/>
      <c r="AJ3" s="12"/>
      <c r="AK3" s="12"/>
      <c r="AL3" s="12"/>
      <c r="AM3" s="12"/>
      <c r="AN3" s="2"/>
      <c r="AO3" s="13"/>
      <c r="AP3" s="14"/>
      <c r="AQ3" s="14"/>
      <c r="AR3" s="14"/>
      <c r="AS3" s="14"/>
      <c r="AT3" s="14"/>
      <c r="AU3" s="14"/>
      <c r="AV3" s="14"/>
      <c r="AW3" s="14"/>
      <c r="AX3" s="14"/>
      <c r="AY3" s="14"/>
      <c r="CH3" s="19"/>
      <c r="CK3" s="18"/>
      <c r="CL3" s="3"/>
      <c r="CM3" s="3"/>
      <c r="CN3" s="273" t="s">
        <v>13</v>
      </c>
      <c r="CO3" s="274"/>
      <c r="CP3" s="274"/>
      <c r="CQ3" s="275"/>
      <c r="CR3" s="3"/>
      <c r="CS3" s="3"/>
      <c r="CT3" s="3"/>
      <c r="CU3" s="3"/>
      <c r="CV3" s="3"/>
      <c r="CW3" s="3"/>
      <c r="CX3" s="273" t="s">
        <v>42</v>
      </c>
      <c r="CY3" s="274"/>
      <c r="CZ3" s="274"/>
      <c r="DA3" s="275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2"/>
      <c r="DZ3" s="3"/>
      <c r="EA3" s="3"/>
      <c r="EB3" s="273" t="s">
        <v>13</v>
      </c>
      <c r="EC3" s="274"/>
      <c r="ED3" s="274"/>
      <c r="EE3" s="275"/>
      <c r="EF3" s="3"/>
      <c r="EG3" s="3"/>
      <c r="EH3" s="3"/>
      <c r="EI3" s="3"/>
      <c r="EJ3" s="3"/>
      <c r="EK3" s="3"/>
      <c r="EL3" s="273" t="s">
        <v>42</v>
      </c>
      <c r="EM3" s="274"/>
      <c r="EN3" s="274"/>
      <c r="EO3" s="275"/>
      <c r="EP3" s="3"/>
      <c r="EQ3" s="3"/>
      <c r="ER3" s="3"/>
      <c r="ES3" s="3"/>
      <c r="ET3" s="3"/>
      <c r="EU3" s="3"/>
      <c r="EV3" s="6"/>
      <c r="EW3" s="6"/>
      <c r="EX3" s="6"/>
      <c r="EY3" s="6"/>
      <c r="EZ3" s="6"/>
      <c r="FA3" s="6"/>
      <c r="FB3" s="6"/>
      <c r="FC3" s="6"/>
      <c r="FD3" s="3"/>
      <c r="FE3" s="3"/>
      <c r="FF3" s="3"/>
      <c r="FG3" s="3"/>
      <c r="FH3" s="3"/>
      <c r="FI3" s="15"/>
      <c r="FK3" s="16"/>
      <c r="FL3" s="3"/>
      <c r="FM3" s="3"/>
      <c r="FN3" s="15"/>
      <c r="FP3" s="16"/>
      <c r="FQ3" s="3"/>
      <c r="FR3" s="16"/>
      <c r="FS3" s="3"/>
    </row>
    <row r="4" spans="1:175" ht="14" thickBot="1" x14ac:dyDescent="0.2">
      <c r="B4" s="1" t="s">
        <v>6</v>
      </c>
      <c r="C4" s="36" t="s">
        <v>3</v>
      </c>
      <c r="D4" s="36" t="s">
        <v>24</v>
      </c>
      <c r="E4" s="36" t="s">
        <v>25</v>
      </c>
      <c r="F4" s="36" t="s">
        <v>26</v>
      </c>
      <c r="G4" s="36" t="s">
        <v>38</v>
      </c>
      <c r="H4" s="36" t="s">
        <v>5</v>
      </c>
      <c r="I4" s="36" t="s">
        <v>22</v>
      </c>
      <c r="J4" s="36" t="s">
        <v>0</v>
      </c>
      <c r="K4" s="36" t="s">
        <v>39</v>
      </c>
      <c r="L4" s="36" t="s">
        <v>40</v>
      </c>
      <c r="M4" s="36" t="s">
        <v>41</v>
      </c>
      <c r="N4" s="37" t="s">
        <v>24</v>
      </c>
      <c r="O4" s="37" t="s">
        <v>25</v>
      </c>
      <c r="P4" s="37" t="s">
        <v>26</v>
      </c>
      <c r="Q4" s="37" t="s">
        <v>38</v>
      </c>
      <c r="R4" s="36" t="s">
        <v>4</v>
      </c>
      <c r="S4" s="36" t="s">
        <v>7</v>
      </c>
      <c r="T4" s="2"/>
      <c r="U4" s="36" t="s">
        <v>3</v>
      </c>
      <c r="V4" s="36" t="s">
        <v>24</v>
      </c>
      <c r="W4" s="36" t="s">
        <v>25</v>
      </c>
      <c r="X4" s="36" t="s">
        <v>26</v>
      </c>
      <c r="Y4" s="36" t="s">
        <v>38</v>
      </c>
      <c r="Z4" s="36" t="s">
        <v>5</v>
      </c>
      <c r="AA4" s="36" t="s">
        <v>22</v>
      </c>
      <c r="AB4" s="36" t="s">
        <v>0</v>
      </c>
      <c r="AC4" s="36" t="s">
        <v>39</v>
      </c>
      <c r="AD4" s="36" t="s">
        <v>40</v>
      </c>
      <c r="AE4" s="36" t="s">
        <v>41</v>
      </c>
      <c r="AF4" s="39" t="s">
        <v>24</v>
      </c>
      <c r="AG4" s="39" t="s">
        <v>25</v>
      </c>
      <c r="AH4" s="39" t="s">
        <v>26</v>
      </c>
      <c r="AI4" s="39" t="s">
        <v>38</v>
      </c>
      <c r="AJ4" s="36" t="s">
        <v>4</v>
      </c>
      <c r="AK4" s="36" t="s">
        <v>7</v>
      </c>
      <c r="AL4" s="36" t="s">
        <v>77</v>
      </c>
      <c r="AM4" s="36" t="s">
        <v>78</v>
      </c>
      <c r="AN4" s="2"/>
      <c r="AO4" s="251" t="s">
        <v>23</v>
      </c>
      <c r="AP4" s="252"/>
      <c r="AQ4" s="116" t="s">
        <v>24</v>
      </c>
      <c r="AR4" s="116" t="s">
        <v>25</v>
      </c>
      <c r="AS4" s="116" t="s">
        <v>26</v>
      </c>
      <c r="AT4" s="116" t="s">
        <v>23</v>
      </c>
      <c r="AU4" s="116" t="s">
        <v>24</v>
      </c>
      <c r="AV4" s="116" t="s">
        <v>23</v>
      </c>
      <c r="AW4" s="116" t="s">
        <v>24</v>
      </c>
      <c r="AX4" s="116" t="s">
        <v>23</v>
      </c>
      <c r="AY4" s="116" t="s">
        <v>24</v>
      </c>
      <c r="CH4" s="21"/>
      <c r="CK4" s="18"/>
      <c r="CL4" s="3" t="str">
        <f>C4</f>
        <v>Bit-rate</v>
      </c>
      <c r="CM4" s="3" t="str">
        <f>D4</f>
        <v>Y</v>
      </c>
      <c r="CN4" s="3" t="str">
        <f t="shared" ref="CN4:DC4" si="0">D4</f>
        <v>Y</v>
      </c>
      <c r="CO4" s="3" t="str">
        <f t="shared" si="0"/>
        <v>U</v>
      </c>
      <c r="CP4" s="3" t="str">
        <f t="shared" si="0"/>
        <v>V</v>
      </c>
      <c r="CQ4" s="3" t="str">
        <f t="shared" si="0"/>
        <v>YUV</v>
      </c>
      <c r="CR4" s="3" t="str">
        <f t="shared" si="0"/>
        <v>SSIM_Y</v>
      </c>
      <c r="CS4" s="3" t="str">
        <f t="shared" si="0"/>
        <v>MS-SSIM</v>
      </c>
      <c r="CT4" s="3" t="str">
        <f t="shared" si="0"/>
        <v>VMAF</v>
      </c>
      <c r="CU4" s="3" t="str">
        <f t="shared" si="0"/>
        <v>nVMAF</v>
      </c>
      <c r="CV4" s="3" t="str">
        <f t="shared" si="0"/>
        <v>PSNR-HVS</v>
      </c>
      <c r="CW4" s="3" t="str">
        <f t="shared" si="0"/>
        <v>DE-2K</v>
      </c>
      <c r="CX4" s="3" t="str">
        <f t="shared" si="0"/>
        <v>Y</v>
      </c>
      <c r="CY4" s="3" t="str">
        <f t="shared" si="0"/>
        <v>U</v>
      </c>
      <c r="CZ4" s="3" t="str">
        <f t="shared" si="0"/>
        <v>V</v>
      </c>
      <c r="DA4" s="3" t="str">
        <f t="shared" si="0"/>
        <v>YUV</v>
      </c>
      <c r="DB4" s="3" t="str">
        <f t="shared" si="0"/>
        <v>Enc-Time</v>
      </c>
      <c r="DC4" s="3" t="str">
        <f t="shared" si="0"/>
        <v>Dec-Time</v>
      </c>
      <c r="DD4" s="3"/>
      <c r="DE4" s="3" t="s">
        <v>3</v>
      </c>
      <c r="DF4" s="3" t="str">
        <f>Z4</f>
        <v>SSIM_Y</v>
      </c>
      <c r="DG4" s="3"/>
      <c r="DH4" s="3" t="s">
        <v>3</v>
      </c>
      <c r="DI4" s="3" t="str">
        <f>I4</f>
        <v>MS-SSIM</v>
      </c>
      <c r="DJ4" s="3"/>
      <c r="DK4" s="3" t="s">
        <v>3</v>
      </c>
      <c r="DL4" s="3" t="str">
        <f>J4</f>
        <v>VMAF</v>
      </c>
      <c r="DM4" s="3" t="s">
        <v>3</v>
      </c>
      <c r="DN4" s="3" t="str">
        <f>K4</f>
        <v>nVMAF</v>
      </c>
      <c r="DO4" s="3" t="s">
        <v>3</v>
      </c>
      <c r="DP4" s="3" t="str">
        <f>L4</f>
        <v>PSNR-HVS</v>
      </c>
      <c r="DQ4" s="3" t="s">
        <v>3</v>
      </c>
      <c r="DR4" s="3" t="str">
        <f>M4</f>
        <v>DE-2K</v>
      </c>
      <c r="DS4" s="3" t="s">
        <v>3</v>
      </c>
      <c r="DT4" s="3" t="str">
        <f>N4</f>
        <v>Y</v>
      </c>
      <c r="DU4" s="3" t="str">
        <f>N4</f>
        <v>Y</v>
      </c>
      <c r="DV4" s="3" t="str">
        <f>O4</f>
        <v>U</v>
      </c>
      <c r="DW4" s="3" t="str">
        <f>P4</f>
        <v>V</v>
      </c>
      <c r="DX4" s="3" t="str">
        <f>Q4</f>
        <v>YUV</v>
      </c>
      <c r="DY4" s="2"/>
      <c r="DZ4" s="3" t="s">
        <v>3</v>
      </c>
      <c r="EA4" s="3" t="s">
        <v>2</v>
      </c>
      <c r="EB4" s="3" t="str">
        <f t="shared" ref="EB4:EQ4" si="1">V4</f>
        <v>Y</v>
      </c>
      <c r="EC4" s="3" t="str">
        <f t="shared" si="1"/>
        <v>U</v>
      </c>
      <c r="ED4" s="3" t="str">
        <f t="shared" si="1"/>
        <v>V</v>
      </c>
      <c r="EE4" s="3" t="str">
        <f t="shared" si="1"/>
        <v>YUV</v>
      </c>
      <c r="EF4" s="3" t="str">
        <f t="shared" si="1"/>
        <v>SSIM_Y</v>
      </c>
      <c r="EG4" s="3" t="str">
        <f t="shared" si="1"/>
        <v>MS-SSIM</v>
      </c>
      <c r="EH4" s="3" t="str">
        <f t="shared" si="1"/>
        <v>VMAF</v>
      </c>
      <c r="EI4" s="3" t="str">
        <f t="shared" si="1"/>
        <v>nVMAF</v>
      </c>
      <c r="EJ4" s="3" t="str">
        <f t="shared" si="1"/>
        <v>PSNR-HVS</v>
      </c>
      <c r="EK4" s="3" t="str">
        <f t="shared" si="1"/>
        <v>DE-2K</v>
      </c>
      <c r="EL4" s="3" t="str">
        <f t="shared" si="1"/>
        <v>Y</v>
      </c>
      <c r="EM4" s="3" t="str">
        <f t="shared" si="1"/>
        <v>U</v>
      </c>
      <c r="EN4" s="3" t="str">
        <f t="shared" si="1"/>
        <v>V</v>
      </c>
      <c r="EO4" s="3" t="str">
        <f t="shared" si="1"/>
        <v>YUV</v>
      </c>
      <c r="EP4" s="3" t="str">
        <f t="shared" si="1"/>
        <v>Enc-Time</v>
      </c>
      <c r="EQ4" s="3" t="str">
        <f t="shared" si="1"/>
        <v>Dec-Time</v>
      </c>
      <c r="ER4" s="3" t="s">
        <v>3</v>
      </c>
      <c r="ES4" s="3" t="s">
        <v>1</v>
      </c>
      <c r="ET4" s="3" t="s">
        <v>3</v>
      </c>
      <c r="EU4" s="3" t="s">
        <v>1</v>
      </c>
      <c r="EV4" s="6" t="s">
        <v>3</v>
      </c>
      <c r="EW4" s="6" t="s">
        <v>0</v>
      </c>
      <c r="EX4" s="6" t="s">
        <v>3</v>
      </c>
      <c r="EY4" s="6" t="s">
        <v>39</v>
      </c>
      <c r="EZ4" s="6" t="s">
        <v>3</v>
      </c>
      <c r="FA4" s="6" t="s">
        <v>39</v>
      </c>
      <c r="FB4" s="6" t="s">
        <v>3</v>
      </c>
      <c r="FC4" s="6" t="s">
        <v>39</v>
      </c>
      <c r="FD4" s="3" t="s">
        <v>3</v>
      </c>
      <c r="FE4" s="3" t="s">
        <v>24</v>
      </c>
      <c r="FF4" s="3" t="s">
        <v>24</v>
      </c>
      <c r="FG4" s="3" t="s">
        <v>25</v>
      </c>
      <c r="FH4" s="3" t="s">
        <v>26</v>
      </c>
      <c r="FI4" s="15" t="s">
        <v>38</v>
      </c>
      <c r="FK4" s="16" t="s">
        <v>3</v>
      </c>
      <c r="FL4" s="3">
        <f>BH4</f>
        <v>0</v>
      </c>
      <c r="FM4" s="3" t="s">
        <v>3</v>
      </c>
      <c r="FN4" s="15">
        <f>BJ4</f>
        <v>0</v>
      </c>
      <c r="FP4" s="16" t="s">
        <v>3</v>
      </c>
      <c r="FQ4" s="3" t="s">
        <v>104</v>
      </c>
      <c r="FR4" s="16" t="s">
        <v>3</v>
      </c>
      <c r="FS4" s="3" t="s">
        <v>104</v>
      </c>
    </row>
    <row r="5" spans="1:175" ht="13" customHeight="1" x14ac:dyDescent="0.15">
      <c r="A5" s="249" t="s">
        <v>17</v>
      </c>
      <c r="B5" s="38">
        <v>110</v>
      </c>
      <c r="C5" s="129">
        <f>Anchor!L38</f>
        <v>0</v>
      </c>
      <c r="D5" s="129">
        <f>Anchor!M38</f>
        <v>0</v>
      </c>
      <c r="E5" s="129">
        <f>Anchor!N38</f>
        <v>0</v>
      </c>
      <c r="F5" s="129">
        <f>Anchor!O38</f>
        <v>0</v>
      </c>
      <c r="G5" s="130">
        <f>('Summary (Full)'!$B$34*D5+'Summary (Full)'!$B$35*E5+'Summary (Full)'!$B$36*F5)/'Summary (Full)'!$B$37</f>
        <v>0</v>
      </c>
      <c r="H5" s="129">
        <f>Anchor!P38</f>
        <v>0</v>
      </c>
      <c r="I5" s="129">
        <f>Anchor!Q38</f>
        <v>0</v>
      </c>
      <c r="J5" s="129">
        <f>Anchor!R38</f>
        <v>0</v>
      </c>
      <c r="K5" s="129">
        <f>Anchor!S38</f>
        <v>0</v>
      </c>
      <c r="L5" s="129">
        <f>Anchor!T38</f>
        <v>0</v>
      </c>
      <c r="M5" s="129">
        <f>Anchor!U38</f>
        <v>0</v>
      </c>
      <c r="N5" s="129">
        <f>Anchor!V38</f>
        <v>0</v>
      </c>
      <c r="O5" s="129">
        <f>Anchor!W38</f>
        <v>0</v>
      </c>
      <c r="P5" s="129">
        <f>Anchor!X38</f>
        <v>0</v>
      </c>
      <c r="Q5" s="131">
        <f>10*LOG10(1/(('Summary (Full)'!$B$41/10^(N5/10)+'Summary (Full)'!$B$42/10^(O5/10)+'Summary (Full)'!$B$43/10^(P5/10))/'Summary (Full)'!$B$44))</f>
        <v>0</v>
      </c>
      <c r="R5" s="129">
        <f>Anchor!Y38</f>
        <v>0</v>
      </c>
      <c r="S5" s="129">
        <f>Anchor!Z38</f>
        <v>0</v>
      </c>
      <c r="T5" s="132"/>
      <c r="U5" s="129">
        <f>Test!L38</f>
        <v>0</v>
      </c>
      <c r="V5" s="129">
        <f>Test!M38</f>
        <v>0</v>
      </c>
      <c r="W5" s="129">
        <f>Test!N38</f>
        <v>0</v>
      </c>
      <c r="X5" s="129">
        <f>Test!O38</f>
        <v>0</v>
      </c>
      <c r="Y5" s="129">
        <f>('Summary (Full)'!$B$34*V5+'Summary (Full)'!$B$35*W5+'Summary (Full)'!$B$36*X5)/'Summary (Full)'!$B$37</f>
        <v>0</v>
      </c>
      <c r="Z5" s="129">
        <f>Test!P38</f>
        <v>0</v>
      </c>
      <c r="AA5" s="129">
        <f>Test!Q38</f>
        <v>0</v>
      </c>
      <c r="AB5" s="129">
        <f>Test!R38</f>
        <v>0</v>
      </c>
      <c r="AC5" s="129">
        <f>Test!S38</f>
        <v>0</v>
      </c>
      <c r="AD5" s="129">
        <f>Test!T38</f>
        <v>0</v>
      </c>
      <c r="AE5" s="129">
        <f>Test!U38</f>
        <v>0</v>
      </c>
      <c r="AF5" s="129">
        <f>Test!V38</f>
        <v>0</v>
      </c>
      <c r="AG5" s="129">
        <f>Test!W38</f>
        <v>0</v>
      </c>
      <c r="AH5" s="129">
        <f>Test!X38</f>
        <v>0</v>
      </c>
      <c r="AI5" s="129">
        <f>10*LOG10(1/(('Summary (Full)'!$B$41/10^(AF5/10)+'Summary (Full)'!$B$42/10^(AG5/10)+'Summary (Full)'!$B$43/10^(AH5/10))/'Summary (Full)'!$B$44))</f>
        <v>0</v>
      </c>
      <c r="AJ5" s="129">
        <f>Test!Y38</f>
        <v>0</v>
      </c>
      <c r="AK5" s="129">
        <f>Test!Z38</f>
        <v>0</v>
      </c>
      <c r="AL5" s="129" t="e">
        <f>AJ5/R5</f>
        <v>#DIV/0!</v>
      </c>
      <c r="AM5" s="129" t="e">
        <f>AK5/S5</f>
        <v>#DIV/0!</v>
      </c>
      <c r="AO5" s="253" t="s">
        <v>27</v>
      </c>
      <c r="AP5" s="171" t="e" cm="1">
        <f t="array" ref="AP5">bdRateExtend($C5:$C8,D5:D8,$U5:$U8,V5:V8)</f>
        <v>#VALUE!</v>
      </c>
      <c r="AQ5" s="171" t="e" cm="1">
        <f t="array" ref="AQ5">bdRateExtend($C5:$C10,D5:D10,$U5:$U10,V5:V10)</f>
        <v>#VALUE!</v>
      </c>
      <c r="AR5" s="171" t="e" cm="1">
        <f t="array" ref="AR5">bdRateExtend($C5:$C10,E5:E10,$U5:$U10,W5:W10)</f>
        <v>#VALUE!</v>
      </c>
      <c r="AS5" s="171" t="e" cm="1">
        <f t="array" ref="AS5">bdRateExtend($C5:$C10,F5:F10,$U5:$U10,X5:X10)</f>
        <v>#VALUE!</v>
      </c>
      <c r="AT5" s="171" t="e" cm="1">
        <f t="array" ref="AT5">bdRateExtend($C5:$C8,H5:H8,$U5:$U8,Z5:Z8)</f>
        <v>#VALUE!</v>
      </c>
      <c r="AU5" s="171" t="e" cm="1">
        <f t="array" ref="AU5">bdRateExtend($C5:$C10,H5:H10,$U5:$U10,Z5:Z10)</f>
        <v>#VALUE!</v>
      </c>
      <c r="AV5" s="171" t="e" cm="1">
        <f t="array" ref="AV5">bdRateExtend($C5:$C8,I5:I8,$U5:$U8,AA5:AA8)</f>
        <v>#VALUE!</v>
      </c>
      <c r="AW5" s="171" t="e" cm="1">
        <f t="array" ref="AW5">bdRateExtend($C5:$C10,I5:I10,$U5:$U10,AA5:AA10)</f>
        <v>#VALUE!</v>
      </c>
      <c r="AX5" s="171" t="e" cm="1">
        <f t="array" ref="AX5">bdRateExtend($C5:$C8,J5:J8,$U5:$U8,AB5:AB8,"None", FALSE,1)</f>
        <v>#VALUE!</v>
      </c>
      <c r="AY5" s="174" t="e" cm="1">
        <f t="array" ref="AY5">bdRateExtend($C5:$C10,J5:J10,$U5:$U10,AB5:AB10,"None", FALSE,1)</f>
        <v>#VALUE!</v>
      </c>
      <c r="AZ5" s="285" cm="1">
        <f t="array" ref="AZ5">testVMAFRange($C5:$C8,J5:J8,$U5:$U8,AB5:AB8)</f>
        <v>0</v>
      </c>
      <c r="BA5" s="211" cm="1">
        <f t="array" ref="BA5">testVMAFRange($C5:$C10,J5:J10,$U5:$U10,AB5:AB10)</f>
        <v>0</v>
      </c>
      <c r="CH5" s="5"/>
      <c r="CI5" s="11" t="s">
        <v>31</v>
      </c>
      <c r="CJ5" s="10" t="e" cm="1">
        <f t="array" ref="CJ5">MIN(IF(CL1:CL201&gt;0,CL1:CL201))</f>
        <v>#VALUE!</v>
      </c>
      <c r="CK5" s="5"/>
      <c r="CL5" s="4" t="e" cm="1">
        <f t="array" ref="CL5">ConvexHullInterpolate(C5:C40,D5:D40,TRUE,6,'Summary (Full)'!B30,D5:S40)</f>
        <v>#VALUE!</v>
      </c>
      <c r="DE5" s="4" t="e" cm="1">
        <f t="array" ref="DE5">ConvexHullInterpolate(C5:C40,H5:H40,TRUE,6,'Summary (Full)'!B30)</f>
        <v>#VALUE!</v>
      </c>
      <c r="DH5" s="4" t="e" cm="1">
        <f t="array" ref="DH5">ConvexHullInterpolate($C5:$C40,I5:I40,TRUE,6,'Summary (Full)'!B30)</f>
        <v>#VALUE!</v>
      </c>
      <c r="DK5" s="4" t="e" cm="1">
        <f t="array" ref="DK5">ConvexHullInterpolate($C5:$C40,J5:J40,TRUE,6,'Summary (Full)'!B30)</f>
        <v>#VALUE!</v>
      </c>
      <c r="DM5" s="4" t="e" cm="1">
        <f t="array" ref="DM5">ConvexHullInterpolate($C5:$C40,K5:K40,TRUE,6,'Summary (Full)'!B30)</f>
        <v>#VALUE!</v>
      </c>
      <c r="DO5" s="4" t="e" cm="1">
        <f t="array" ref="DO5">ConvexHullInterpolate($C5:$C40,L5:L40,TRUE,6,'Summary (Full)'!B30)</f>
        <v>#VALUE!</v>
      </c>
      <c r="DQ5" s="4" t="e" cm="1">
        <f t="array" ref="DQ5">ConvexHullInterpolate($C5:$C40,M5:M40,TRUE,6,'Summary (Full)'!B30)</f>
        <v>#VALUE!</v>
      </c>
      <c r="DS5" s="4" t="e" cm="1">
        <f t="array" ref="DS5">ConvexHullInterpolate($C5:$C40,N5:N40,TRUE,6,'Summary (Full)'!B30, N5:Q40)</f>
        <v>#VALUE!</v>
      </c>
      <c r="DZ5" s="4" t="e" cm="1">
        <f t="array" ref="DZ5">ConvexHullInterpolate(U5:U40,V5:V40,TRUE,6,'Summary (Full)'!B30,V5:AK40)</f>
        <v>#VALUE!</v>
      </c>
      <c r="ER5" s="4" t="e" cm="1">
        <f t="array" ref="ER5">ConvexHullInterpolate($U5:$U40,Z5:Z40,TRUE,6,'Summary (Full)'!B30)</f>
        <v>#VALUE!</v>
      </c>
      <c r="ET5" s="4" t="e" cm="1">
        <f t="array" ref="ET5">ConvexHullInterpolate($U5:$U40,AA5:AA40,TRUE,6,'Summary (Full)'!B30)</f>
        <v>#VALUE!</v>
      </c>
      <c r="EV5" s="7" t="e" cm="1">
        <f t="array" ref="EV5">ConvexHullInterpolate($U5:$U40,AB5:AB40,TRUE,6,'Summary (Full)'!B30)</f>
        <v>#VALUE!</v>
      </c>
      <c r="EW5" s="7"/>
      <c r="EX5" s="7" t="e" cm="1">
        <f t="array" ref="EX5">ConvexHullInterpolate($U5:$U40,AC5:AC40,TRUE,6,'Summary (Full)'!B30)</f>
        <v>#VALUE!</v>
      </c>
      <c r="EY5" s="7"/>
      <c r="EZ5" s="7" t="e" cm="1">
        <f t="array" ref="EZ5">ConvexHullInterpolate($U5:$U40,AD5:AD40,TRUE,6,'Summary (Full)'!B30)</f>
        <v>#VALUE!</v>
      </c>
      <c r="FA5" s="7"/>
      <c r="FB5" s="7" t="e" cm="1">
        <f t="array" ref="FB5">ConvexHullInterpolate($U5:$U40,AE5:AE40,TRUE,6,'Summary (Full)'!B30)</f>
        <v>#VALUE!</v>
      </c>
      <c r="FC5" s="7"/>
      <c r="FD5" s="4" t="e" cm="1">
        <f t="array" ref="FD5">ConvexHullInterpolate($U5:$U40,AF5:AF40,TRUE,6,'Summary (Full)'!B30, AF5:AI40)</f>
        <v>#VALUE!</v>
      </c>
      <c r="FK5" s="4" t="e" cm="1">
        <f t="array" ref="FK5">ConvexHullInterpolate($C5:$C40,G5:G40,TRUE,6,'Summary (Full)'!B30)</f>
        <v>#VALUE!</v>
      </c>
      <c r="FM5" s="4" t="e" cm="1">
        <f t="array" ref="FM5">ConvexHullInterpolate($C5:$C40,Q5:Q40,TRUE,6,'Summary (Full)'!B30)</f>
        <v>#VALUE!</v>
      </c>
      <c r="FP5" s="4" t="e" cm="1">
        <f t="array" ref="FP5">ConvexHullInterpolate($U5:$U40,Y5:Y40,TRUE,6,'Summary (Full)'!B30)</f>
        <v>#VALUE!</v>
      </c>
      <c r="FR5" s="4" t="e" cm="1">
        <f t="array" ref="FR5">ConvexHullInterpolate($U5:$U40,AI5:AI40,TRUE,6,'Summary (Full)'!B30)</f>
        <v>#VALUE!</v>
      </c>
    </row>
    <row r="6" spans="1:175" x14ac:dyDescent="0.15">
      <c r="A6" s="249"/>
      <c r="B6" s="38">
        <v>135</v>
      </c>
      <c r="C6" s="129">
        <f>Anchor!L39</f>
        <v>0</v>
      </c>
      <c r="D6" s="129">
        <f>Anchor!M39</f>
        <v>0</v>
      </c>
      <c r="E6" s="129">
        <f>Anchor!N39</f>
        <v>0</v>
      </c>
      <c r="F6" s="129">
        <f>Anchor!O39</f>
        <v>0</v>
      </c>
      <c r="G6" s="130">
        <f>('Summary (Full)'!$B$34*D6+'Summary (Full)'!$B$35*E6+'Summary (Full)'!$B$36*F6)/'Summary (Full)'!$B$37</f>
        <v>0</v>
      </c>
      <c r="H6" s="129">
        <f>Anchor!P39</f>
        <v>0</v>
      </c>
      <c r="I6" s="129">
        <f>Anchor!Q39</f>
        <v>0</v>
      </c>
      <c r="J6" s="129">
        <f>Anchor!R39</f>
        <v>0</v>
      </c>
      <c r="K6" s="129">
        <f>Anchor!S39</f>
        <v>0</v>
      </c>
      <c r="L6" s="129">
        <f>Anchor!T39</f>
        <v>0</v>
      </c>
      <c r="M6" s="129">
        <f>Anchor!U39</f>
        <v>0</v>
      </c>
      <c r="N6" s="129">
        <f>Anchor!V39</f>
        <v>0</v>
      </c>
      <c r="O6" s="129">
        <f>Anchor!W39</f>
        <v>0</v>
      </c>
      <c r="P6" s="129">
        <f>Anchor!X39</f>
        <v>0</v>
      </c>
      <c r="Q6" s="131">
        <f>10*LOG10(1/(('Summary (Full)'!$B$41/10^(N6/10)+'Summary (Full)'!$B$42/10^(O6/10)+'Summary (Full)'!$B$43/10^(P6/10))/'Summary (Full)'!$B$44))</f>
        <v>0</v>
      </c>
      <c r="R6" s="129">
        <f>Anchor!Y39</f>
        <v>0</v>
      </c>
      <c r="S6" s="129">
        <f>Anchor!Z39</f>
        <v>0</v>
      </c>
      <c r="T6" s="132"/>
      <c r="U6" s="129">
        <f>Test!L39</f>
        <v>0</v>
      </c>
      <c r="V6" s="129">
        <f>Test!M39</f>
        <v>0</v>
      </c>
      <c r="W6" s="129">
        <f>Test!N39</f>
        <v>0</v>
      </c>
      <c r="X6" s="129">
        <f>Test!O39</f>
        <v>0</v>
      </c>
      <c r="Y6" s="129">
        <f>('Summary (Full)'!$B$34*V6+'Summary (Full)'!$B$35*W6+'Summary (Full)'!$B$36*X6)/'Summary (Full)'!$B$37</f>
        <v>0</v>
      </c>
      <c r="Z6" s="129">
        <f>Test!P39</f>
        <v>0</v>
      </c>
      <c r="AA6" s="129">
        <f>Test!Q39</f>
        <v>0</v>
      </c>
      <c r="AB6" s="129">
        <f>Test!R39</f>
        <v>0</v>
      </c>
      <c r="AC6" s="129">
        <f>Test!S39</f>
        <v>0</v>
      </c>
      <c r="AD6" s="129">
        <f>Test!T39</f>
        <v>0</v>
      </c>
      <c r="AE6" s="129">
        <f>Test!U39</f>
        <v>0</v>
      </c>
      <c r="AF6" s="129">
        <f>Test!V39</f>
        <v>0</v>
      </c>
      <c r="AG6" s="129">
        <f>Test!W39</f>
        <v>0</v>
      </c>
      <c r="AH6" s="129">
        <f>Test!X39</f>
        <v>0</v>
      </c>
      <c r="AI6" s="129">
        <f>10*LOG10(1/(('Summary (Full)'!$B$41/10^(AF6/10)+'Summary (Full)'!$B$42/10^(AG6/10)+'Summary (Full)'!$B$43/10^(AH6/10))/'Summary (Full)'!$B$44))</f>
        <v>0</v>
      </c>
      <c r="AJ6" s="129">
        <f>Test!Y39</f>
        <v>0</v>
      </c>
      <c r="AK6" s="129">
        <f>Test!Z39</f>
        <v>0</v>
      </c>
      <c r="AL6" s="129" t="e">
        <f t="shared" ref="AL6:AM40" si="2">AJ6/R6</f>
        <v>#DIV/0!</v>
      </c>
      <c r="AM6" s="129" t="e">
        <f t="shared" si="2"/>
        <v>#DIV/0!</v>
      </c>
      <c r="AO6" s="254"/>
      <c r="AP6" s="172"/>
      <c r="AQ6" s="172"/>
      <c r="AR6" s="172"/>
      <c r="AS6" s="172"/>
      <c r="AT6" s="172"/>
      <c r="AU6" s="172"/>
      <c r="AV6" s="172"/>
      <c r="AW6" s="172"/>
      <c r="AX6" s="172"/>
      <c r="AY6" s="175"/>
      <c r="AZ6" s="286"/>
      <c r="BA6" s="212"/>
      <c r="CH6" s="5"/>
      <c r="CI6" s="11" t="s">
        <v>32</v>
      </c>
      <c r="CJ6" s="10" t="e">
        <f>MAX(CL1:CL201)</f>
        <v>#VALUE!</v>
      </c>
      <c r="CK6" s="5"/>
      <c r="EV6" s="7"/>
      <c r="EW6" s="7"/>
      <c r="EX6" s="7"/>
      <c r="EY6" s="7"/>
      <c r="EZ6" s="7"/>
      <c r="FA6" s="7"/>
      <c r="FB6" s="7"/>
      <c r="FC6" s="7"/>
    </row>
    <row r="7" spans="1:175" ht="13" customHeight="1" x14ac:dyDescent="0.15">
      <c r="A7" s="249"/>
      <c r="B7" s="38">
        <v>160</v>
      </c>
      <c r="C7" s="129">
        <f>Anchor!L40</f>
        <v>0</v>
      </c>
      <c r="D7" s="129">
        <f>Anchor!M40</f>
        <v>0</v>
      </c>
      <c r="E7" s="129">
        <f>Anchor!N40</f>
        <v>0</v>
      </c>
      <c r="F7" s="129">
        <f>Anchor!O40</f>
        <v>0</v>
      </c>
      <c r="G7" s="130">
        <f>('Summary (Full)'!$B$34*D7+'Summary (Full)'!$B$35*E7+'Summary (Full)'!$B$36*F7)/'Summary (Full)'!$B$37</f>
        <v>0</v>
      </c>
      <c r="H7" s="129">
        <f>Anchor!P40</f>
        <v>0</v>
      </c>
      <c r="I7" s="129">
        <f>Anchor!Q40</f>
        <v>0</v>
      </c>
      <c r="J7" s="129">
        <f>Anchor!R40</f>
        <v>0</v>
      </c>
      <c r="K7" s="129">
        <f>Anchor!S40</f>
        <v>0</v>
      </c>
      <c r="L7" s="129">
        <f>Anchor!T40</f>
        <v>0</v>
      </c>
      <c r="M7" s="129">
        <f>Anchor!U40</f>
        <v>0</v>
      </c>
      <c r="N7" s="129">
        <f>Anchor!V40</f>
        <v>0</v>
      </c>
      <c r="O7" s="129">
        <f>Anchor!W40</f>
        <v>0</v>
      </c>
      <c r="P7" s="129">
        <f>Anchor!X40</f>
        <v>0</v>
      </c>
      <c r="Q7" s="131">
        <f>10*LOG10(1/(('Summary (Full)'!$B$41/10^(N7/10)+'Summary (Full)'!$B$42/10^(O7/10)+'Summary (Full)'!$B$43/10^(P7/10))/'Summary (Full)'!$B$44))</f>
        <v>0</v>
      </c>
      <c r="R7" s="129">
        <f>Anchor!Y40</f>
        <v>0</v>
      </c>
      <c r="S7" s="129">
        <f>Anchor!Z40</f>
        <v>0</v>
      </c>
      <c r="T7" s="132"/>
      <c r="U7" s="129">
        <f>Test!L40</f>
        <v>0</v>
      </c>
      <c r="V7" s="129">
        <f>Test!M40</f>
        <v>0</v>
      </c>
      <c r="W7" s="129">
        <f>Test!N40</f>
        <v>0</v>
      </c>
      <c r="X7" s="129">
        <f>Test!O40</f>
        <v>0</v>
      </c>
      <c r="Y7" s="129">
        <f>('Summary (Full)'!$B$34*V7+'Summary (Full)'!$B$35*W7+'Summary (Full)'!$B$36*X7)/'Summary (Full)'!$B$37</f>
        <v>0</v>
      </c>
      <c r="Z7" s="129">
        <f>Test!P40</f>
        <v>0</v>
      </c>
      <c r="AA7" s="129">
        <f>Test!Q40</f>
        <v>0</v>
      </c>
      <c r="AB7" s="129">
        <f>Test!R40</f>
        <v>0</v>
      </c>
      <c r="AC7" s="129">
        <f>Test!S40</f>
        <v>0</v>
      </c>
      <c r="AD7" s="129">
        <f>Test!T40</f>
        <v>0</v>
      </c>
      <c r="AE7" s="129">
        <f>Test!U40</f>
        <v>0</v>
      </c>
      <c r="AF7" s="129">
        <f>Test!V40</f>
        <v>0</v>
      </c>
      <c r="AG7" s="129">
        <f>Test!W40</f>
        <v>0</v>
      </c>
      <c r="AH7" s="129">
        <f>Test!X40</f>
        <v>0</v>
      </c>
      <c r="AI7" s="129">
        <f>10*LOG10(1/(('Summary (Full)'!$B$41/10^(AF7/10)+'Summary (Full)'!$B$42/10^(AG7/10)+'Summary (Full)'!$B$43/10^(AH7/10))/'Summary (Full)'!$B$44))</f>
        <v>0</v>
      </c>
      <c r="AJ7" s="129">
        <f>Test!Y40</f>
        <v>0</v>
      </c>
      <c r="AK7" s="129">
        <f>Test!Z40</f>
        <v>0</v>
      </c>
      <c r="AL7" s="129" t="e">
        <f t="shared" si="2"/>
        <v>#DIV/0!</v>
      </c>
      <c r="AM7" s="129" t="e">
        <f t="shared" si="2"/>
        <v>#DIV/0!</v>
      </c>
      <c r="AO7" s="254" t="s">
        <v>28</v>
      </c>
      <c r="AP7" s="172" t="e" cm="1">
        <f t="array" ref="AP7">bdRateExtend($C6:$C9,D6:D9,$U6:$U9,V6:V9)</f>
        <v>#VALUE!</v>
      </c>
      <c r="AQ7" s="172"/>
      <c r="AR7" s="172"/>
      <c r="AS7" s="172"/>
      <c r="AT7" s="172" t="e" cm="1">
        <f t="array" ref="AT7">bdRateExtend($C6:$C9,H6:H9,$U6:$U9,Z6:Z9)</f>
        <v>#VALUE!</v>
      </c>
      <c r="AU7" s="172"/>
      <c r="AV7" s="172" t="e" cm="1">
        <f t="array" ref="AV7">bdRateExtend($C6:$C9,I6:I9,$U6:$U9,AA6:AA9)</f>
        <v>#VALUE!</v>
      </c>
      <c r="AW7" s="172"/>
      <c r="AX7" s="172" t="e" cm="1">
        <f t="array" ref="AX7">bdRateExtend($C6:$C9,J6:J9,$U6:$U9,AB6:AB9,"None", FALSE,1)</f>
        <v>#VALUE!</v>
      </c>
      <c r="AY7" s="175"/>
      <c r="AZ7" s="286" cm="1">
        <f t="array" ref="AZ7">testVMAFRange($C6:$C9,J6:J9,$U6:$U9,AB6:AB9)</f>
        <v>0</v>
      </c>
      <c r="BA7" s="212"/>
      <c r="CH7" s="5"/>
      <c r="CI7" s="11" t="s">
        <v>33</v>
      </c>
      <c r="CJ7" s="10" t="e">
        <f>CJ6-CJ5</f>
        <v>#VALUE!</v>
      </c>
      <c r="CK7" s="5"/>
      <c r="EV7" s="7"/>
      <c r="EW7" s="7"/>
      <c r="EX7" s="7"/>
      <c r="EY7" s="7"/>
      <c r="EZ7" s="7"/>
      <c r="FA7" s="7"/>
      <c r="FB7" s="7"/>
      <c r="FC7" s="7"/>
    </row>
    <row r="8" spans="1:175" x14ac:dyDescent="0.15">
      <c r="A8" s="249"/>
      <c r="B8" s="38">
        <v>185</v>
      </c>
      <c r="C8" s="129">
        <f>Anchor!L41</f>
        <v>0</v>
      </c>
      <c r="D8" s="129">
        <f>Anchor!M41</f>
        <v>0</v>
      </c>
      <c r="E8" s="129">
        <f>Anchor!N41</f>
        <v>0</v>
      </c>
      <c r="F8" s="129">
        <f>Anchor!O41</f>
        <v>0</v>
      </c>
      <c r="G8" s="130">
        <f>('Summary (Full)'!$B$34*D8+'Summary (Full)'!$B$35*E8+'Summary (Full)'!$B$36*F8)/'Summary (Full)'!$B$37</f>
        <v>0</v>
      </c>
      <c r="H8" s="129">
        <f>Anchor!P41</f>
        <v>0</v>
      </c>
      <c r="I8" s="129">
        <f>Anchor!Q41</f>
        <v>0</v>
      </c>
      <c r="J8" s="129">
        <f>Anchor!R41</f>
        <v>0</v>
      </c>
      <c r="K8" s="129">
        <f>Anchor!S41</f>
        <v>0</v>
      </c>
      <c r="L8" s="129">
        <f>Anchor!T41</f>
        <v>0</v>
      </c>
      <c r="M8" s="129">
        <f>Anchor!U41</f>
        <v>0</v>
      </c>
      <c r="N8" s="129">
        <f>Anchor!V41</f>
        <v>0</v>
      </c>
      <c r="O8" s="129">
        <f>Anchor!W41</f>
        <v>0</v>
      </c>
      <c r="P8" s="129">
        <f>Anchor!X41</f>
        <v>0</v>
      </c>
      <c r="Q8" s="131">
        <f>10*LOG10(1/(('Summary (Full)'!$B$41/10^(N8/10)+'Summary (Full)'!$B$42/10^(O8/10)+'Summary (Full)'!$B$43/10^(P8/10))/'Summary (Full)'!$B$44))</f>
        <v>0</v>
      </c>
      <c r="R8" s="129">
        <f>Anchor!Y41</f>
        <v>0</v>
      </c>
      <c r="S8" s="129">
        <f>Anchor!Z41</f>
        <v>0</v>
      </c>
      <c r="T8" s="132"/>
      <c r="U8" s="129">
        <f>Test!L41</f>
        <v>0</v>
      </c>
      <c r="V8" s="129">
        <f>Test!M41</f>
        <v>0</v>
      </c>
      <c r="W8" s="129">
        <f>Test!N41</f>
        <v>0</v>
      </c>
      <c r="X8" s="129">
        <f>Test!O41</f>
        <v>0</v>
      </c>
      <c r="Y8" s="129">
        <f>('Summary (Full)'!$B$34*V8+'Summary (Full)'!$B$35*W8+'Summary (Full)'!$B$36*X8)/'Summary (Full)'!$B$37</f>
        <v>0</v>
      </c>
      <c r="Z8" s="129">
        <f>Test!P41</f>
        <v>0</v>
      </c>
      <c r="AA8" s="129">
        <f>Test!Q41</f>
        <v>0</v>
      </c>
      <c r="AB8" s="129">
        <f>Test!R41</f>
        <v>0</v>
      </c>
      <c r="AC8" s="129">
        <f>Test!S41</f>
        <v>0</v>
      </c>
      <c r="AD8" s="129">
        <f>Test!T41</f>
        <v>0</v>
      </c>
      <c r="AE8" s="129">
        <f>Test!U41</f>
        <v>0</v>
      </c>
      <c r="AF8" s="129">
        <f>Test!V41</f>
        <v>0</v>
      </c>
      <c r="AG8" s="129">
        <f>Test!W41</f>
        <v>0</v>
      </c>
      <c r="AH8" s="129">
        <f>Test!X41</f>
        <v>0</v>
      </c>
      <c r="AI8" s="129">
        <f>10*LOG10(1/(('Summary (Full)'!$B$41/10^(AF8/10)+'Summary (Full)'!$B$42/10^(AG8/10)+'Summary (Full)'!$B$43/10^(AH8/10))/'Summary (Full)'!$B$44))</f>
        <v>0</v>
      </c>
      <c r="AJ8" s="129">
        <f>Test!Y41</f>
        <v>0</v>
      </c>
      <c r="AK8" s="129">
        <f>Test!Z41</f>
        <v>0</v>
      </c>
      <c r="AL8" s="129" t="e">
        <f t="shared" si="2"/>
        <v>#DIV/0!</v>
      </c>
      <c r="AM8" s="129" t="e">
        <f t="shared" si="2"/>
        <v>#DIV/0!</v>
      </c>
      <c r="AO8" s="254"/>
      <c r="AP8" s="172"/>
      <c r="AQ8" s="172"/>
      <c r="AR8" s="172"/>
      <c r="AS8" s="172"/>
      <c r="AT8" s="172"/>
      <c r="AU8" s="172"/>
      <c r="AV8" s="172"/>
      <c r="AW8" s="172"/>
      <c r="AX8" s="172"/>
      <c r="AY8" s="175"/>
      <c r="AZ8" s="286"/>
      <c r="BA8" s="212"/>
      <c r="CH8" s="5"/>
      <c r="CI8" s="11" t="s">
        <v>34</v>
      </c>
      <c r="CJ8" s="10" t="e">
        <f>CJ7^(3/4)</f>
        <v>#VALUE!</v>
      </c>
      <c r="CK8" s="5"/>
      <c r="EV8" s="7"/>
      <c r="EW8" s="7"/>
      <c r="EX8" s="7"/>
      <c r="EY8" s="7"/>
      <c r="EZ8" s="7"/>
      <c r="FA8" s="7"/>
      <c r="FB8" s="7"/>
      <c r="FC8" s="7"/>
    </row>
    <row r="9" spans="1:175" ht="13" customHeight="1" x14ac:dyDescent="0.15">
      <c r="A9" s="249"/>
      <c r="B9" s="38">
        <v>210</v>
      </c>
      <c r="C9" s="129">
        <f>Anchor!L42</f>
        <v>0</v>
      </c>
      <c r="D9" s="129">
        <f>Anchor!M42</f>
        <v>0</v>
      </c>
      <c r="E9" s="129">
        <f>Anchor!N42</f>
        <v>0</v>
      </c>
      <c r="F9" s="129">
        <f>Anchor!O42</f>
        <v>0</v>
      </c>
      <c r="G9" s="130">
        <f>('Summary (Full)'!$B$34*D9+'Summary (Full)'!$B$35*E9+'Summary (Full)'!$B$36*F9)/'Summary (Full)'!$B$37</f>
        <v>0</v>
      </c>
      <c r="H9" s="129">
        <f>Anchor!P42</f>
        <v>0</v>
      </c>
      <c r="I9" s="129">
        <f>Anchor!Q42</f>
        <v>0</v>
      </c>
      <c r="J9" s="129">
        <f>Anchor!R42</f>
        <v>0</v>
      </c>
      <c r="K9" s="129">
        <f>Anchor!S42</f>
        <v>0</v>
      </c>
      <c r="L9" s="129">
        <f>Anchor!T42</f>
        <v>0</v>
      </c>
      <c r="M9" s="129">
        <f>Anchor!U42</f>
        <v>0</v>
      </c>
      <c r="N9" s="129">
        <f>Anchor!V42</f>
        <v>0</v>
      </c>
      <c r="O9" s="129">
        <f>Anchor!W42</f>
        <v>0</v>
      </c>
      <c r="P9" s="129">
        <f>Anchor!X42</f>
        <v>0</v>
      </c>
      <c r="Q9" s="131">
        <f>10*LOG10(1/(('Summary (Full)'!$B$41/10^(N9/10)+'Summary (Full)'!$B$42/10^(O9/10)+'Summary (Full)'!$B$43/10^(P9/10))/'Summary (Full)'!$B$44))</f>
        <v>0</v>
      </c>
      <c r="R9" s="129">
        <f>Anchor!Y42</f>
        <v>0</v>
      </c>
      <c r="S9" s="129">
        <f>Anchor!Z42</f>
        <v>0</v>
      </c>
      <c r="T9" s="132"/>
      <c r="U9" s="129">
        <f>Test!L42</f>
        <v>0</v>
      </c>
      <c r="V9" s="129">
        <f>Test!M42</f>
        <v>0</v>
      </c>
      <c r="W9" s="129">
        <f>Test!N42</f>
        <v>0</v>
      </c>
      <c r="X9" s="129">
        <f>Test!O42</f>
        <v>0</v>
      </c>
      <c r="Y9" s="129">
        <f>('Summary (Full)'!$B$34*V9+'Summary (Full)'!$B$35*W9+'Summary (Full)'!$B$36*X9)/'Summary (Full)'!$B$37</f>
        <v>0</v>
      </c>
      <c r="Z9" s="129">
        <f>Test!P42</f>
        <v>0</v>
      </c>
      <c r="AA9" s="129">
        <f>Test!Q42</f>
        <v>0</v>
      </c>
      <c r="AB9" s="129">
        <f>Test!R42</f>
        <v>0</v>
      </c>
      <c r="AC9" s="129">
        <f>Test!S42</f>
        <v>0</v>
      </c>
      <c r="AD9" s="129">
        <f>Test!T42</f>
        <v>0</v>
      </c>
      <c r="AE9" s="129">
        <f>Test!U42</f>
        <v>0</v>
      </c>
      <c r="AF9" s="129">
        <f>Test!V42</f>
        <v>0</v>
      </c>
      <c r="AG9" s="129">
        <f>Test!W42</f>
        <v>0</v>
      </c>
      <c r="AH9" s="129">
        <f>Test!X42</f>
        <v>0</v>
      </c>
      <c r="AI9" s="129">
        <f>10*LOG10(1/(('Summary (Full)'!$B$41/10^(AF9/10)+'Summary (Full)'!$B$42/10^(AG9/10)+'Summary (Full)'!$B$43/10^(AH9/10))/'Summary (Full)'!$B$44))</f>
        <v>0</v>
      </c>
      <c r="AJ9" s="129">
        <f>Test!Y42</f>
        <v>0</v>
      </c>
      <c r="AK9" s="129">
        <f>Test!Z42</f>
        <v>0</v>
      </c>
      <c r="AL9" s="129" t="e">
        <f t="shared" si="2"/>
        <v>#DIV/0!</v>
      </c>
      <c r="AM9" s="129" t="e">
        <f t="shared" si="2"/>
        <v>#DIV/0!</v>
      </c>
      <c r="AO9" s="254" t="s">
        <v>29</v>
      </c>
      <c r="AP9" s="172" t="e" cm="1">
        <f t="array" ref="AP9">bdRateExtend($C7:$C10,D7:D10,$U7:$U10,V7:V10)</f>
        <v>#VALUE!</v>
      </c>
      <c r="AQ9" s="172"/>
      <c r="AR9" s="172"/>
      <c r="AS9" s="172"/>
      <c r="AT9" s="172" t="e" cm="1">
        <f t="array" ref="AT9">bdRateExtend($C7:$C10,H7:H10,$U7:$U10,Z7:Z10)</f>
        <v>#VALUE!</v>
      </c>
      <c r="AU9" s="172"/>
      <c r="AV9" s="172" t="e" cm="1">
        <f t="array" ref="AV9">bdRateExtend($C7:$C10,I7:I10,$U7:$U10,AA7:AA10)</f>
        <v>#VALUE!</v>
      </c>
      <c r="AW9" s="172"/>
      <c r="AX9" s="172" t="e" cm="1">
        <f t="array" ref="AX9">bdRateExtend($C7:$C10,J7:J10,$U7:$U10,AB7:AB10,"None", FALSE,1)</f>
        <v>#VALUE!</v>
      </c>
      <c r="AY9" s="175"/>
      <c r="AZ9" s="286" cm="1">
        <f t="array" ref="AZ9">testVMAFRange($C7:$C10,J7:J10,$U7:$U10,AB7:AB10)</f>
        <v>0</v>
      </c>
      <c r="BA9" s="212"/>
      <c r="CH9" s="5"/>
      <c r="CI9" s="11" t="s">
        <v>35</v>
      </c>
      <c r="CJ9" s="10" t="e">
        <f>CJ7^(1/2)</f>
        <v>#VALUE!</v>
      </c>
      <c r="CK9" s="5"/>
      <c r="EV9" s="7"/>
      <c r="EW9" s="7"/>
      <c r="EX9" s="7"/>
      <c r="EY9" s="7"/>
      <c r="EZ9" s="7"/>
      <c r="FA9" s="7"/>
      <c r="FB9" s="7"/>
      <c r="FC9" s="7"/>
    </row>
    <row r="10" spans="1:175" ht="14" thickBot="1" x14ac:dyDescent="0.2">
      <c r="A10" s="249"/>
      <c r="B10" s="38">
        <v>235</v>
      </c>
      <c r="C10" s="129">
        <f>Anchor!L43</f>
        <v>0</v>
      </c>
      <c r="D10" s="129">
        <f>Anchor!M43</f>
        <v>0</v>
      </c>
      <c r="E10" s="129">
        <f>Anchor!N43</f>
        <v>0</v>
      </c>
      <c r="F10" s="129">
        <f>Anchor!O43</f>
        <v>0</v>
      </c>
      <c r="G10" s="130">
        <f>('Summary (Full)'!$B$34*D10+'Summary (Full)'!$B$35*E10+'Summary (Full)'!$B$36*F10)/'Summary (Full)'!$B$37</f>
        <v>0</v>
      </c>
      <c r="H10" s="129">
        <f>Anchor!P43</f>
        <v>0</v>
      </c>
      <c r="I10" s="129">
        <f>Anchor!Q43</f>
        <v>0</v>
      </c>
      <c r="J10" s="129">
        <f>Anchor!R43</f>
        <v>0</v>
      </c>
      <c r="K10" s="129">
        <f>Anchor!S43</f>
        <v>0</v>
      </c>
      <c r="L10" s="129">
        <f>Anchor!T43</f>
        <v>0</v>
      </c>
      <c r="M10" s="129">
        <f>Anchor!U43</f>
        <v>0</v>
      </c>
      <c r="N10" s="129">
        <f>Anchor!V43</f>
        <v>0</v>
      </c>
      <c r="O10" s="129">
        <f>Anchor!W43</f>
        <v>0</v>
      </c>
      <c r="P10" s="129">
        <f>Anchor!X43</f>
        <v>0</v>
      </c>
      <c r="Q10" s="131">
        <f>10*LOG10(1/(('Summary (Full)'!$B$41/10^(N10/10)+'Summary (Full)'!$B$42/10^(O10/10)+'Summary (Full)'!$B$43/10^(P10/10))/'Summary (Full)'!$B$44))</f>
        <v>0</v>
      </c>
      <c r="R10" s="129">
        <f>Anchor!Y43</f>
        <v>0</v>
      </c>
      <c r="S10" s="129">
        <f>Anchor!Z43</f>
        <v>0</v>
      </c>
      <c r="T10" s="132"/>
      <c r="U10" s="129">
        <f>Test!L43</f>
        <v>0</v>
      </c>
      <c r="V10" s="129">
        <f>Test!M43</f>
        <v>0</v>
      </c>
      <c r="W10" s="129">
        <f>Test!N43</f>
        <v>0</v>
      </c>
      <c r="X10" s="129">
        <f>Test!O43</f>
        <v>0</v>
      </c>
      <c r="Y10" s="129">
        <f>('Summary (Full)'!$B$34*V10+'Summary (Full)'!$B$35*W10+'Summary (Full)'!$B$36*X10)/'Summary (Full)'!$B$37</f>
        <v>0</v>
      </c>
      <c r="Z10" s="129">
        <f>Test!P43</f>
        <v>0</v>
      </c>
      <c r="AA10" s="129">
        <f>Test!Q43</f>
        <v>0</v>
      </c>
      <c r="AB10" s="129">
        <f>Test!R43</f>
        <v>0</v>
      </c>
      <c r="AC10" s="129">
        <f>Test!S43</f>
        <v>0</v>
      </c>
      <c r="AD10" s="129">
        <f>Test!T43</f>
        <v>0</v>
      </c>
      <c r="AE10" s="129">
        <f>Test!U43</f>
        <v>0</v>
      </c>
      <c r="AF10" s="129">
        <f>Test!V43</f>
        <v>0</v>
      </c>
      <c r="AG10" s="129">
        <f>Test!W43</f>
        <v>0</v>
      </c>
      <c r="AH10" s="129">
        <f>Test!X43</f>
        <v>0</v>
      </c>
      <c r="AI10" s="129">
        <f>10*LOG10(1/(('Summary (Full)'!$B$41/10^(AF10/10)+'Summary (Full)'!$B$42/10^(AG10/10)+'Summary (Full)'!$B$43/10^(AH10/10))/'Summary (Full)'!$B$44))</f>
        <v>0</v>
      </c>
      <c r="AJ10" s="129">
        <f>Test!Y43</f>
        <v>0</v>
      </c>
      <c r="AK10" s="129">
        <f>Test!Z43</f>
        <v>0</v>
      </c>
      <c r="AL10" s="129" t="e">
        <f t="shared" si="2"/>
        <v>#DIV/0!</v>
      </c>
      <c r="AM10" s="129" t="e">
        <f t="shared" si="2"/>
        <v>#DIV/0!</v>
      </c>
      <c r="AO10" s="263"/>
      <c r="AP10" s="173"/>
      <c r="AQ10" s="173"/>
      <c r="AR10" s="173"/>
      <c r="AS10" s="173"/>
      <c r="AT10" s="173"/>
      <c r="AU10" s="173"/>
      <c r="AV10" s="173"/>
      <c r="AW10" s="173"/>
      <c r="AX10" s="173"/>
      <c r="AY10" s="188"/>
      <c r="AZ10" s="287"/>
      <c r="BA10" s="240"/>
      <c r="CH10" s="5"/>
      <c r="CI10" s="11" t="s">
        <v>36</v>
      </c>
      <c r="CJ10" s="10" t="e">
        <f>CJ5+CJ9</f>
        <v>#VALUE!</v>
      </c>
      <c r="CK10" s="5"/>
      <c r="EV10" s="7"/>
      <c r="EW10" s="7"/>
      <c r="EX10" s="7"/>
      <c r="EY10" s="7"/>
      <c r="EZ10" s="7"/>
      <c r="FA10" s="7"/>
      <c r="FB10" s="7"/>
      <c r="FC10" s="7"/>
    </row>
    <row r="11" spans="1:175" ht="13" customHeight="1" x14ac:dyDescent="0.15">
      <c r="A11" s="249" t="s">
        <v>18</v>
      </c>
      <c r="B11" s="38">
        <v>110</v>
      </c>
      <c r="C11" s="129">
        <f>Anchor!L44</f>
        <v>0</v>
      </c>
      <c r="D11" s="129">
        <f>Anchor!M44</f>
        <v>0</v>
      </c>
      <c r="E11" s="129">
        <f>Anchor!N44</f>
        <v>0</v>
      </c>
      <c r="F11" s="129">
        <f>Anchor!O44</f>
        <v>0</v>
      </c>
      <c r="G11" s="130">
        <f>('Summary (Full)'!$B$34*D11+'Summary (Full)'!$B$35*E11+'Summary (Full)'!$B$36*F11)/'Summary (Full)'!$B$37</f>
        <v>0</v>
      </c>
      <c r="H11" s="129">
        <f>Anchor!P44</f>
        <v>0</v>
      </c>
      <c r="I11" s="129">
        <f>Anchor!Q44</f>
        <v>0</v>
      </c>
      <c r="J11" s="129">
        <f>Anchor!R44</f>
        <v>0</v>
      </c>
      <c r="K11" s="129">
        <f>Anchor!S44</f>
        <v>0</v>
      </c>
      <c r="L11" s="129">
        <f>Anchor!T44</f>
        <v>0</v>
      </c>
      <c r="M11" s="129">
        <f>Anchor!U44</f>
        <v>0</v>
      </c>
      <c r="N11" s="129">
        <f>Anchor!V44</f>
        <v>0</v>
      </c>
      <c r="O11" s="129">
        <f>Anchor!W44</f>
        <v>0</v>
      </c>
      <c r="P11" s="129">
        <f>Anchor!X44</f>
        <v>0</v>
      </c>
      <c r="Q11" s="131">
        <f>10*LOG10(1/(('Summary (Full)'!$B$41/10^(N11/10)+'Summary (Full)'!$B$42/10^(O11/10)+'Summary (Full)'!$B$43/10^(P11/10))/'Summary (Full)'!$B$44))</f>
        <v>0</v>
      </c>
      <c r="R11" s="129">
        <f>Anchor!Y44</f>
        <v>0</v>
      </c>
      <c r="S11" s="129">
        <f>Anchor!Z44</f>
        <v>0</v>
      </c>
      <c r="T11" s="132"/>
      <c r="U11" s="129">
        <f>Test!L44</f>
        <v>0</v>
      </c>
      <c r="V11" s="129">
        <f>Test!M44</f>
        <v>0</v>
      </c>
      <c r="W11" s="129">
        <f>Test!N44</f>
        <v>0</v>
      </c>
      <c r="X11" s="129">
        <f>Test!O44</f>
        <v>0</v>
      </c>
      <c r="Y11" s="129">
        <f>('Summary (Full)'!$B$34*V11+'Summary (Full)'!$B$35*W11+'Summary (Full)'!$B$36*X11)/'Summary (Full)'!$B$37</f>
        <v>0</v>
      </c>
      <c r="Z11" s="129">
        <f>Test!P44</f>
        <v>0</v>
      </c>
      <c r="AA11" s="129">
        <f>Test!Q44</f>
        <v>0</v>
      </c>
      <c r="AB11" s="129">
        <f>Test!R44</f>
        <v>0</v>
      </c>
      <c r="AC11" s="129">
        <f>Test!S44</f>
        <v>0</v>
      </c>
      <c r="AD11" s="129">
        <f>Test!T44</f>
        <v>0</v>
      </c>
      <c r="AE11" s="129">
        <f>Test!U44</f>
        <v>0</v>
      </c>
      <c r="AF11" s="129">
        <f>Test!V44</f>
        <v>0</v>
      </c>
      <c r="AG11" s="129">
        <f>Test!W44</f>
        <v>0</v>
      </c>
      <c r="AH11" s="129">
        <f>Test!X44</f>
        <v>0</v>
      </c>
      <c r="AI11" s="129">
        <f>10*LOG10(1/(('Summary (Full)'!$B$41/10^(AF11/10)+'Summary (Full)'!$B$42/10^(AG11/10)+'Summary (Full)'!$B$43/10^(AH11/10))/'Summary (Full)'!$B$44))</f>
        <v>0</v>
      </c>
      <c r="AJ11" s="129">
        <f>Test!Y44</f>
        <v>0</v>
      </c>
      <c r="AK11" s="129">
        <f>Test!Z44</f>
        <v>0</v>
      </c>
      <c r="AL11" s="129" t="e">
        <f t="shared" si="2"/>
        <v>#DIV/0!</v>
      </c>
      <c r="AM11" s="129" t="e">
        <f t="shared" si="2"/>
        <v>#DIV/0!</v>
      </c>
      <c r="AO11" s="253" t="s">
        <v>27</v>
      </c>
      <c r="AP11" s="171" t="e" cm="1">
        <f t="array" ref="AP11">bdRateExtend($C11:$C14,D11:D14,$U11:$U14,V11:V14)</f>
        <v>#VALUE!</v>
      </c>
      <c r="AQ11" s="171" t="e" cm="1">
        <f t="array" ref="AQ11">bdRateExtend($C11:$C16,D11:D16,$U11:$U16,V11:V16)</f>
        <v>#VALUE!</v>
      </c>
      <c r="AR11" s="171" t="e" cm="1">
        <f t="array" ref="AR11">bdRateExtend($C11:$C16,E11:E16,$U11:$U16,W11:W16)</f>
        <v>#VALUE!</v>
      </c>
      <c r="AS11" s="171" t="e" cm="1">
        <f t="array" ref="AS11">bdRateExtend($C11:$C16,F11:F16,$U11:$U16,X11:X16)</f>
        <v>#VALUE!</v>
      </c>
      <c r="AT11" s="171" t="e" cm="1">
        <f t="array" ref="AT11">bdRateExtend($C11:$C14,H11:H14,$U11:$U14,Z11:Z14)</f>
        <v>#VALUE!</v>
      </c>
      <c r="AU11" s="171" t="e" cm="1">
        <f t="array" ref="AU11">bdRateExtend($C11:$C16,H11:H16,$U11:$U16,Z11:Z16)</f>
        <v>#VALUE!</v>
      </c>
      <c r="AV11" s="171" t="e" cm="1">
        <f t="array" ref="AV11">bdRateExtend($C11:$C14,I11:I14,$U11:$U14,AA11:AA14)</f>
        <v>#VALUE!</v>
      </c>
      <c r="AW11" s="171" t="e" cm="1">
        <f t="array" ref="AW11">bdRateExtend($C11:$C16,I11:I16,$U11:$U16,AA11:AA16)</f>
        <v>#VALUE!</v>
      </c>
      <c r="AX11" s="171" t="e" cm="1">
        <f t="array" ref="AX11">bdRateExtend($C11:$C14,J11:J14,$U11:$U14,AB11:AB14,"None", FALSE,1)</f>
        <v>#VALUE!</v>
      </c>
      <c r="AY11" s="174" t="e" cm="1">
        <f t="array" ref="AY11">bdRateExtend($C11:$C16,J11:J16,$U11:$U16,AB11:AB16,"None", FALSE,TRUE)</f>
        <v>#VALUE!</v>
      </c>
      <c r="AZ11" s="285" cm="1">
        <f t="array" ref="AZ11">testVMAFRange($C11:$C14,J11:J14,$U11:$U14,AB11:AB14)</f>
        <v>0</v>
      </c>
      <c r="BA11" s="211" cm="1">
        <f t="array" ref="BA11">testVMAFRange($C11:$C16,J11:J16,$U11:$U16,AB11:AB16)</f>
        <v>0</v>
      </c>
      <c r="CI11" s="11" t="s">
        <v>37</v>
      </c>
      <c r="CJ11" s="10" t="e">
        <f>CJ5+CJ8</f>
        <v>#VALUE!</v>
      </c>
      <c r="EV11" s="7"/>
      <c r="EW11" s="7"/>
      <c r="EX11" s="7"/>
      <c r="EY11" s="7"/>
      <c r="EZ11" s="7"/>
      <c r="FA11" s="7"/>
      <c r="FB11" s="7"/>
      <c r="FC11" s="7"/>
    </row>
    <row r="12" spans="1:175" x14ac:dyDescent="0.15">
      <c r="A12" s="249"/>
      <c r="B12" s="38">
        <v>135</v>
      </c>
      <c r="C12" s="129">
        <f>Anchor!L45</f>
        <v>0</v>
      </c>
      <c r="D12" s="129">
        <f>Anchor!M45</f>
        <v>0</v>
      </c>
      <c r="E12" s="129">
        <f>Anchor!N45</f>
        <v>0</v>
      </c>
      <c r="F12" s="129">
        <f>Anchor!O45</f>
        <v>0</v>
      </c>
      <c r="G12" s="130">
        <f>('Summary (Full)'!$B$34*D12+'Summary (Full)'!$B$35*E12+'Summary (Full)'!$B$36*F12)/'Summary (Full)'!$B$37</f>
        <v>0</v>
      </c>
      <c r="H12" s="129">
        <f>Anchor!P45</f>
        <v>0</v>
      </c>
      <c r="I12" s="129">
        <f>Anchor!Q45</f>
        <v>0</v>
      </c>
      <c r="J12" s="129">
        <f>Anchor!R45</f>
        <v>0</v>
      </c>
      <c r="K12" s="129">
        <f>Anchor!S45</f>
        <v>0</v>
      </c>
      <c r="L12" s="129">
        <f>Anchor!T45</f>
        <v>0</v>
      </c>
      <c r="M12" s="129">
        <f>Anchor!U45</f>
        <v>0</v>
      </c>
      <c r="N12" s="129">
        <f>Anchor!V45</f>
        <v>0</v>
      </c>
      <c r="O12" s="129">
        <f>Anchor!W45</f>
        <v>0</v>
      </c>
      <c r="P12" s="129">
        <f>Anchor!X45</f>
        <v>0</v>
      </c>
      <c r="Q12" s="131">
        <f>10*LOG10(1/(('Summary (Full)'!$B$41/10^(N12/10)+'Summary (Full)'!$B$42/10^(O12/10)+'Summary (Full)'!$B$43/10^(P12/10))/'Summary (Full)'!$B$44))</f>
        <v>0</v>
      </c>
      <c r="R12" s="129">
        <f>Anchor!Y45</f>
        <v>0</v>
      </c>
      <c r="S12" s="129">
        <f>Anchor!Z45</f>
        <v>0</v>
      </c>
      <c r="T12" s="132"/>
      <c r="U12" s="129">
        <f>Test!L45</f>
        <v>0</v>
      </c>
      <c r="V12" s="129">
        <f>Test!M45</f>
        <v>0</v>
      </c>
      <c r="W12" s="129">
        <f>Test!N45</f>
        <v>0</v>
      </c>
      <c r="X12" s="129">
        <f>Test!O45</f>
        <v>0</v>
      </c>
      <c r="Y12" s="129">
        <f>('Summary (Full)'!$B$34*V12+'Summary (Full)'!$B$35*W12+'Summary (Full)'!$B$36*X12)/'Summary (Full)'!$B$37</f>
        <v>0</v>
      </c>
      <c r="Z12" s="129">
        <f>Test!P45</f>
        <v>0</v>
      </c>
      <c r="AA12" s="129">
        <f>Test!Q45</f>
        <v>0</v>
      </c>
      <c r="AB12" s="129">
        <f>Test!R45</f>
        <v>0</v>
      </c>
      <c r="AC12" s="129">
        <f>Test!S45</f>
        <v>0</v>
      </c>
      <c r="AD12" s="129">
        <f>Test!T45</f>
        <v>0</v>
      </c>
      <c r="AE12" s="129">
        <f>Test!U45</f>
        <v>0</v>
      </c>
      <c r="AF12" s="129">
        <f>Test!V45</f>
        <v>0</v>
      </c>
      <c r="AG12" s="129">
        <f>Test!W45</f>
        <v>0</v>
      </c>
      <c r="AH12" s="129">
        <f>Test!X45</f>
        <v>0</v>
      </c>
      <c r="AI12" s="129">
        <f>10*LOG10(1/(('Summary (Full)'!$B$41/10^(AF12/10)+'Summary (Full)'!$B$42/10^(AG12/10)+'Summary (Full)'!$B$43/10^(AH12/10))/'Summary (Full)'!$B$44))</f>
        <v>0</v>
      </c>
      <c r="AJ12" s="129">
        <f>Test!Y45</f>
        <v>0</v>
      </c>
      <c r="AK12" s="129">
        <f>Test!Z45</f>
        <v>0</v>
      </c>
      <c r="AL12" s="129" t="e">
        <f t="shared" si="2"/>
        <v>#DIV/0!</v>
      </c>
      <c r="AM12" s="129" t="e">
        <f t="shared" si="2"/>
        <v>#DIV/0!</v>
      </c>
      <c r="AO12" s="254"/>
      <c r="AP12" s="172"/>
      <c r="AQ12" s="172"/>
      <c r="AR12" s="172"/>
      <c r="AS12" s="172"/>
      <c r="AT12" s="172"/>
      <c r="AU12" s="172"/>
      <c r="AV12" s="172"/>
      <c r="AW12" s="172"/>
      <c r="AX12" s="172"/>
      <c r="AY12" s="175"/>
      <c r="AZ12" s="286"/>
      <c r="BA12" s="212"/>
      <c r="EV12" s="7"/>
      <c r="EW12" s="7"/>
      <c r="EX12" s="7"/>
      <c r="EY12" s="7"/>
      <c r="EZ12" s="7"/>
      <c r="FA12" s="7"/>
      <c r="FB12" s="7"/>
      <c r="FC12" s="7"/>
    </row>
    <row r="13" spans="1:175" ht="13" customHeight="1" x14ac:dyDescent="0.15">
      <c r="A13" s="249"/>
      <c r="B13" s="38">
        <v>160</v>
      </c>
      <c r="C13" s="129">
        <f>Anchor!L46</f>
        <v>0</v>
      </c>
      <c r="D13" s="129">
        <f>Anchor!M46</f>
        <v>0</v>
      </c>
      <c r="E13" s="129">
        <f>Anchor!N46</f>
        <v>0</v>
      </c>
      <c r="F13" s="129">
        <f>Anchor!O46</f>
        <v>0</v>
      </c>
      <c r="G13" s="130">
        <f>('Summary (Full)'!$B$34*D13+'Summary (Full)'!$B$35*E13+'Summary (Full)'!$B$36*F13)/'Summary (Full)'!$B$37</f>
        <v>0</v>
      </c>
      <c r="H13" s="129">
        <f>Anchor!P46</f>
        <v>0</v>
      </c>
      <c r="I13" s="129">
        <f>Anchor!Q46</f>
        <v>0</v>
      </c>
      <c r="J13" s="129">
        <f>Anchor!R46</f>
        <v>0</v>
      </c>
      <c r="K13" s="129">
        <f>Anchor!S46</f>
        <v>0</v>
      </c>
      <c r="L13" s="129">
        <f>Anchor!T46</f>
        <v>0</v>
      </c>
      <c r="M13" s="129">
        <f>Anchor!U46</f>
        <v>0</v>
      </c>
      <c r="N13" s="129">
        <f>Anchor!V46</f>
        <v>0</v>
      </c>
      <c r="O13" s="129">
        <f>Anchor!W46</f>
        <v>0</v>
      </c>
      <c r="P13" s="129">
        <f>Anchor!X46</f>
        <v>0</v>
      </c>
      <c r="Q13" s="131">
        <f>10*LOG10(1/(('Summary (Full)'!$B$41/10^(N13/10)+'Summary (Full)'!$B$42/10^(O13/10)+'Summary (Full)'!$B$43/10^(P13/10))/'Summary (Full)'!$B$44))</f>
        <v>0</v>
      </c>
      <c r="R13" s="129">
        <f>Anchor!Y46</f>
        <v>0</v>
      </c>
      <c r="S13" s="129">
        <f>Anchor!Z46</f>
        <v>0</v>
      </c>
      <c r="T13" s="132"/>
      <c r="U13" s="129">
        <f>Test!L46</f>
        <v>0</v>
      </c>
      <c r="V13" s="129">
        <f>Test!M46</f>
        <v>0</v>
      </c>
      <c r="W13" s="129">
        <f>Test!N46</f>
        <v>0</v>
      </c>
      <c r="X13" s="129">
        <f>Test!O46</f>
        <v>0</v>
      </c>
      <c r="Y13" s="129">
        <f>('Summary (Full)'!$B$34*V13+'Summary (Full)'!$B$35*W13+'Summary (Full)'!$B$36*X13)/'Summary (Full)'!$B$37</f>
        <v>0</v>
      </c>
      <c r="Z13" s="129">
        <f>Test!P46</f>
        <v>0</v>
      </c>
      <c r="AA13" s="129">
        <f>Test!Q46</f>
        <v>0</v>
      </c>
      <c r="AB13" s="129">
        <f>Test!R46</f>
        <v>0</v>
      </c>
      <c r="AC13" s="129">
        <f>Test!S46</f>
        <v>0</v>
      </c>
      <c r="AD13" s="129">
        <f>Test!T46</f>
        <v>0</v>
      </c>
      <c r="AE13" s="129">
        <f>Test!U46</f>
        <v>0</v>
      </c>
      <c r="AF13" s="129">
        <f>Test!V46</f>
        <v>0</v>
      </c>
      <c r="AG13" s="129">
        <f>Test!W46</f>
        <v>0</v>
      </c>
      <c r="AH13" s="129">
        <f>Test!X46</f>
        <v>0</v>
      </c>
      <c r="AI13" s="129">
        <f>10*LOG10(1/(('Summary (Full)'!$B$41/10^(AF13/10)+'Summary (Full)'!$B$42/10^(AG13/10)+'Summary (Full)'!$B$43/10^(AH13/10))/'Summary (Full)'!$B$44))</f>
        <v>0</v>
      </c>
      <c r="AJ13" s="129">
        <f>Test!Y46</f>
        <v>0</v>
      </c>
      <c r="AK13" s="129">
        <f>Test!Z46</f>
        <v>0</v>
      </c>
      <c r="AL13" s="129" t="e">
        <f t="shared" si="2"/>
        <v>#DIV/0!</v>
      </c>
      <c r="AM13" s="129" t="e">
        <f t="shared" si="2"/>
        <v>#DIV/0!</v>
      </c>
      <c r="AO13" s="254" t="s">
        <v>28</v>
      </c>
      <c r="AP13" s="172" t="e" cm="1">
        <f t="array" ref="AP13">bdRateExtend($C12:$C15,D12:D15,$U12:$U15,V12:V15)</f>
        <v>#VALUE!</v>
      </c>
      <c r="AQ13" s="172"/>
      <c r="AR13" s="172"/>
      <c r="AS13" s="172"/>
      <c r="AT13" s="172" t="e" cm="1">
        <f t="array" ref="AT13">bdRateExtend($C12:$C15,H12:H15,$U12:$U15,Z12:Z15)</f>
        <v>#VALUE!</v>
      </c>
      <c r="AU13" s="172"/>
      <c r="AV13" s="172" t="e" cm="1">
        <f t="array" ref="AV13">bdRateExtend($C12:$C15,I12:I15,$U12:$U15,AA12:AA15)</f>
        <v>#VALUE!</v>
      </c>
      <c r="AW13" s="172"/>
      <c r="AX13" s="172" t="e" cm="1">
        <f t="array" ref="AX13">bdRateExtend($C12:$C15,J12:J15,$U12:$U15,AB12:AB15,"None", FALSE,1)</f>
        <v>#VALUE!</v>
      </c>
      <c r="AY13" s="175"/>
      <c r="AZ13" s="286" cm="1">
        <f t="array" ref="AZ13">testVMAFRange($C12:$C15,J12:J15,$U12:$U15,AB12:AB15)</f>
        <v>0</v>
      </c>
      <c r="BA13" s="212"/>
      <c r="EV13" s="7"/>
      <c r="EW13" s="7"/>
      <c r="EX13" s="7"/>
      <c r="EY13" s="7"/>
      <c r="EZ13" s="7"/>
      <c r="FA13" s="7"/>
      <c r="FB13" s="7"/>
      <c r="FC13" s="7"/>
    </row>
    <row r="14" spans="1:175" x14ac:dyDescent="0.15">
      <c r="A14" s="249"/>
      <c r="B14" s="38">
        <v>185</v>
      </c>
      <c r="C14" s="129">
        <f>Anchor!L47</f>
        <v>0</v>
      </c>
      <c r="D14" s="129">
        <f>Anchor!M47</f>
        <v>0</v>
      </c>
      <c r="E14" s="129">
        <f>Anchor!N47</f>
        <v>0</v>
      </c>
      <c r="F14" s="129">
        <f>Anchor!O47</f>
        <v>0</v>
      </c>
      <c r="G14" s="130">
        <f>('Summary (Full)'!$B$34*D14+'Summary (Full)'!$B$35*E14+'Summary (Full)'!$B$36*F14)/'Summary (Full)'!$B$37</f>
        <v>0</v>
      </c>
      <c r="H14" s="129">
        <f>Anchor!P47</f>
        <v>0</v>
      </c>
      <c r="I14" s="129">
        <f>Anchor!Q47</f>
        <v>0</v>
      </c>
      <c r="J14" s="129">
        <f>Anchor!R47</f>
        <v>0</v>
      </c>
      <c r="K14" s="129">
        <f>Anchor!S47</f>
        <v>0</v>
      </c>
      <c r="L14" s="129">
        <f>Anchor!T47</f>
        <v>0</v>
      </c>
      <c r="M14" s="129">
        <f>Anchor!U47</f>
        <v>0</v>
      </c>
      <c r="N14" s="129">
        <f>Anchor!V47</f>
        <v>0</v>
      </c>
      <c r="O14" s="129">
        <f>Anchor!W47</f>
        <v>0</v>
      </c>
      <c r="P14" s="129">
        <f>Anchor!X47</f>
        <v>0</v>
      </c>
      <c r="Q14" s="131">
        <f>10*LOG10(1/(('Summary (Full)'!$B$41/10^(N14/10)+'Summary (Full)'!$B$42/10^(O14/10)+'Summary (Full)'!$B$43/10^(P14/10))/'Summary (Full)'!$B$44))</f>
        <v>0</v>
      </c>
      <c r="R14" s="129">
        <f>Anchor!Y47</f>
        <v>0</v>
      </c>
      <c r="S14" s="129">
        <f>Anchor!Z47</f>
        <v>0</v>
      </c>
      <c r="T14" s="132"/>
      <c r="U14" s="129">
        <f>Test!L47</f>
        <v>0</v>
      </c>
      <c r="V14" s="129">
        <f>Test!M47</f>
        <v>0</v>
      </c>
      <c r="W14" s="129">
        <f>Test!N47</f>
        <v>0</v>
      </c>
      <c r="X14" s="129">
        <f>Test!O47</f>
        <v>0</v>
      </c>
      <c r="Y14" s="129">
        <f>('Summary (Full)'!$B$34*V14+'Summary (Full)'!$B$35*W14+'Summary (Full)'!$B$36*X14)/'Summary (Full)'!$B$37</f>
        <v>0</v>
      </c>
      <c r="Z14" s="129">
        <f>Test!P47</f>
        <v>0</v>
      </c>
      <c r="AA14" s="129">
        <f>Test!Q47</f>
        <v>0</v>
      </c>
      <c r="AB14" s="129">
        <f>Test!R47</f>
        <v>0</v>
      </c>
      <c r="AC14" s="129">
        <f>Test!S47</f>
        <v>0</v>
      </c>
      <c r="AD14" s="129">
        <f>Test!T47</f>
        <v>0</v>
      </c>
      <c r="AE14" s="129">
        <f>Test!U47</f>
        <v>0</v>
      </c>
      <c r="AF14" s="129">
        <f>Test!V47</f>
        <v>0</v>
      </c>
      <c r="AG14" s="129">
        <f>Test!W47</f>
        <v>0</v>
      </c>
      <c r="AH14" s="129">
        <f>Test!X47</f>
        <v>0</v>
      </c>
      <c r="AI14" s="129">
        <f>10*LOG10(1/(('Summary (Full)'!$B$41/10^(AF14/10)+'Summary (Full)'!$B$42/10^(AG14/10)+'Summary (Full)'!$B$43/10^(AH14/10))/'Summary (Full)'!$B$44))</f>
        <v>0</v>
      </c>
      <c r="AJ14" s="129">
        <f>Test!Y47</f>
        <v>0</v>
      </c>
      <c r="AK14" s="129">
        <f>Test!Z47</f>
        <v>0</v>
      </c>
      <c r="AL14" s="129" t="e">
        <f t="shared" si="2"/>
        <v>#DIV/0!</v>
      </c>
      <c r="AM14" s="129" t="e">
        <f t="shared" si="2"/>
        <v>#DIV/0!</v>
      </c>
      <c r="AO14" s="254"/>
      <c r="AP14" s="172"/>
      <c r="AQ14" s="172"/>
      <c r="AR14" s="172"/>
      <c r="AS14" s="172"/>
      <c r="AT14" s="172"/>
      <c r="AU14" s="172"/>
      <c r="AV14" s="172"/>
      <c r="AW14" s="172"/>
      <c r="AX14" s="172"/>
      <c r="AY14" s="175"/>
      <c r="AZ14" s="286"/>
      <c r="BA14" s="212"/>
      <c r="EV14" s="7"/>
      <c r="EW14" s="7"/>
      <c r="EX14" s="7"/>
      <c r="EY14" s="7"/>
      <c r="EZ14" s="7"/>
      <c r="FA14" s="7"/>
      <c r="FB14" s="7"/>
      <c r="FC14" s="7"/>
    </row>
    <row r="15" spans="1:175" ht="13" customHeight="1" x14ac:dyDescent="0.15">
      <c r="A15" s="249"/>
      <c r="B15" s="38">
        <v>210</v>
      </c>
      <c r="C15" s="129">
        <f>Anchor!L48</f>
        <v>0</v>
      </c>
      <c r="D15" s="129">
        <f>Anchor!M48</f>
        <v>0</v>
      </c>
      <c r="E15" s="129">
        <f>Anchor!N48</f>
        <v>0</v>
      </c>
      <c r="F15" s="129">
        <f>Anchor!O48</f>
        <v>0</v>
      </c>
      <c r="G15" s="130">
        <f>('Summary (Full)'!$B$34*D15+'Summary (Full)'!$B$35*E15+'Summary (Full)'!$B$36*F15)/'Summary (Full)'!$B$37</f>
        <v>0</v>
      </c>
      <c r="H15" s="129">
        <f>Anchor!P48</f>
        <v>0</v>
      </c>
      <c r="I15" s="129">
        <f>Anchor!Q48</f>
        <v>0</v>
      </c>
      <c r="J15" s="129">
        <f>Anchor!R48</f>
        <v>0</v>
      </c>
      <c r="K15" s="129">
        <f>Anchor!S48</f>
        <v>0</v>
      </c>
      <c r="L15" s="129">
        <f>Anchor!T48</f>
        <v>0</v>
      </c>
      <c r="M15" s="129">
        <f>Anchor!U48</f>
        <v>0</v>
      </c>
      <c r="N15" s="129">
        <f>Anchor!V48</f>
        <v>0</v>
      </c>
      <c r="O15" s="129">
        <f>Anchor!W48</f>
        <v>0</v>
      </c>
      <c r="P15" s="129">
        <f>Anchor!X48</f>
        <v>0</v>
      </c>
      <c r="Q15" s="131">
        <f>10*LOG10(1/(('Summary (Full)'!$B$41/10^(N15/10)+'Summary (Full)'!$B$42/10^(O15/10)+'Summary (Full)'!$B$43/10^(P15/10))/'Summary (Full)'!$B$44))</f>
        <v>0</v>
      </c>
      <c r="R15" s="129">
        <f>Anchor!Y48</f>
        <v>0</v>
      </c>
      <c r="S15" s="129">
        <f>Anchor!Z48</f>
        <v>0</v>
      </c>
      <c r="T15" s="132"/>
      <c r="U15" s="129">
        <f>Test!L48</f>
        <v>0</v>
      </c>
      <c r="V15" s="129">
        <f>Test!M48</f>
        <v>0</v>
      </c>
      <c r="W15" s="129">
        <f>Test!N48</f>
        <v>0</v>
      </c>
      <c r="X15" s="129">
        <f>Test!O48</f>
        <v>0</v>
      </c>
      <c r="Y15" s="129">
        <f>('Summary (Full)'!$B$34*V15+'Summary (Full)'!$B$35*W15+'Summary (Full)'!$B$36*X15)/'Summary (Full)'!$B$37</f>
        <v>0</v>
      </c>
      <c r="Z15" s="129">
        <f>Test!P48</f>
        <v>0</v>
      </c>
      <c r="AA15" s="129">
        <f>Test!Q48</f>
        <v>0</v>
      </c>
      <c r="AB15" s="129">
        <f>Test!R48</f>
        <v>0</v>
      </c>
      <c r="AC15" s="129">
        <f>Test!S48</f>
        <v>0</v>
      </c>
      <c r="AD15" s="129">
        <f>Test!T48</f>
        <v>0</v>
      </c>
      <c r="AE15" s="129">
        <f>Test!U48</f>
        <v>0</v>
      </c>
      <c r="AF15" s="129">
        <f>Test!V48</f>
        <v>0</v>
      </c>
      <c r="AG15" s="129">
        <f>Test!W48</f>
        <v>0</v>
      </c>
      <c r="AH15" s="129">
        <f>Test!X48</f>
        <v>0</v>
      </c>
      <c r="AI15" s="129">
        <f>10*LOG10(1/(('Summary (Full)'!$B$41/10^(AF15/10)+'Summary (Full)'!$B$42/10^(AG15/10)+'Summary (Full)'!$B$43/10^(AH15/10))/'Summary (Full)'!$B$44))</f>
        <v>0</v>
      </c>
      <c r="AJ15" s="129">
        <f>Test!Y48</f>
        <v>0</v>
      </c>
      <c r="AK15" s="129">
        <f>Test!Z48</f>
        <v>0</v>
      </c>
      <c r="AL15" s="129" t="e">
        <f t="shared" si="2"/>
        <v>#DIV/0!</v>
      </c>
      <c r="AM15" s="129" t="e">
        <f t="shared" si="2"/>
        <v>#DIV/0!</v>
      </c>
      <c r="AO15" s="254" t="s">
        <v>29</v>
      </c>
      <c r="AP15" s="172" t="e" cm="1">
        <f t="array" ref="AP15">bdRateExtend($C13:$C16,D13:D16,$U13:$U16,V13:V16)</f>
        <v>#VALUE!</v>
      </c>
      <c r="AQ15" s="172"/>
      <c r="AR15" s="172"/>
      <c r="AS15" s="172"/>
      <c r="AT15" s="172" t="e" cm="1">
        <f t="array" ref="AT15">bdRateExtend($C13:$C16,H13:H16,$U13:$U16,Z13:Z16)</f>
        <v>#VALUE!</v>
      </c>
      <c r="AU15" s="172"/>
      <c r="AV15" s="172" t="e" cm="1">
        <f t="array" ref="AV15">bdRateExtend($C13:$C16,I13:I16,$U13:$U16,AA13:AA16)</f>
        <v>#VALUE!</v>
      </c>
      <c r="AW15" s="172"/>
      <c r="AX15" s="172" t="e" cm="1">
        <f t="array" ref="AX15">bdRateExtend($C13:$C16,J13:J16,$U13:$U16,AB13:AB16,"None", FALSE,1)</f>
        <v>#VALUE!</v>
      </c>
      <c r="AY15" s="175"/>
      <c r="AZ15" s="286" cm="1">
        <f t="array" ref="AZ15">testVMAFRange($C13:$C16,J13:J16,$U13:$U16,AB13:AB16)</f>
        <v>0</v>
      </c>
      <c r="BA15" s="212"/>
      <c r="EV15" s="7"/>
      <c r="EW15" s="7"/>
      <c r="EX15" s="7"/>
      <c r="EY15" s="7"/>
      <c r="EZ15" s="7"/>
      <c r="FA15" s="7"/>
      <c r="FB15" s="7"/>
      <c r="FC15" s="7"/>
    </row>
    <row r="16" spans="1:175" ht="14" thickBot="1" x14ac:dyDescent="0.2">
      <c r="A16" s="249"/>
      <c r="B16" s="38">
        <v>235</v>
      </c>
      <c r="C16" s="129">
        <f>Anchor!L49</f>
        <v>0</v>
      </c>
      <c r="D16" s="129">
        <f>Anchor!M49</f>
        <v>0</v>
      </c>
      <c r="E16" s="129">
        <f>Anchor!N49</f>
        <v>0</v>
      </c>
      <c r="F16" s="129">
        <f>Anchor!O49</f>
        <v>0</v>
      </c>
      <c r="G16" s="130">
        <f>('Summary (Full)'!$B$34*D16+'Summary (Full)'!$B$35*E16+'Summary (Full)'!$B$36*F16)/'Summary (Full)'!$B$37</f>
        <v>0</v>
      </c>
      <c r="H16" s="129">
        <f>Anchor!P49</f>
        <v>0</v>
      </c>
      <c r="I16" s="129">
        <f>Anchor!Q49</f>
        <v>0</v>
      </c>
      <c r="J16" s="129">
        <f>Anchor!R49</f>
        <v>0</v>
      </c>
      <c r="K16" s="129">
        <f>Anchor!S49</f>
        <v>0</v>
      </c>
      <c r="L16" s="129">
        <f>Anchor!T49</f>
        <v>0</v>
      </c>
      <c r="M16" s="129">
        <f>Anchor!U49</f>
        <v>0</v>
      </c>
      <c r="N16" s="129">
        <f>Anchor!V49</f>
        <v>0</v>
      </c>
      <c r="O16" s="129">
        <f>Anchor!W49</f>
        <v>0</v>
      </c>
      <c r="P16" s="129">
        <f>Anchor!X49</f>
        <v>0</v>
      </c>
      <c r="Q16" s="131">
        <f>10*LOG10(1/(('Summary (Full)'!$B$41/10^(N16/10)+'Summary (Full)'!$B$42/10^(O16/10)+'Summary (Full)'!$B$43/10^(P16/10))/'Summary (Full)'!$B$44))</f>
        <v>0</v>
      </c>
      <c r="R16" s="129">
        <f>Anchor!Y49</f>
        <v>0</v>
      </c>
      <c r="S16" s="129">
        <f>Anchor!Z49</f>
        <v>0</v>
      </c>
      <c r="T16" s="132"/>
      <c r="U16" s="129">
        <f>Test!L49</f>
        <v>0</v>
      </c>
      <c r="V16" s="129">
        <f>Test!M49</f>
        <v>0</v>
      </c>
      <c r="W16" s="129">
        <f>Test!N49</f>
        <v>0</v>
      </c>
      <c r="X16" s="129">
        <f>Test!O49</f>
        <v>0</v>
      </c>
      <c r="Y16" s="129">
        <f>('Summary (Full)'!$B$34*V16+'Summary (Full)'!$B$35*W16+'Summary (Full)'!$B$36*X16)/'Summary (Full)'!$B$37</f>
        <v>0</v>
      </c>
      <c r="Z16" s="129">
        <f>Test!P49</f>
        <v>0</v>
      </c>
      <c r="AA16" s="129">
        <f>Test!Q49</f>
        <v>0</v>
      </c>
      <c r="AB16" s="129">
        <f>Test!R49</f>
        <v>0</v>
      </c>
      <c r="AC16" s="129">
        <f>Test!S49</f>
        <v>0</v>
      </c>
      <c r="AD16" s="129">
        <f>Test!T49</f>
        <v>0</v>
      </c>
      <c r="AE16" s="129">
        <f>Test!U49</f>
        <v>0</v>
      </c>
      <c r="AF16" s="129">
        <f>Test!V49</f>
        <v>0</v>
      </c>
      <c r="AG16" s="129">
        <f>Test!W49</f>
        <v>0</v>
      </c>
      <c r="AH16" s="129">
        <f>Test!X49</f>
        <v>0</v>
      </c>
      <c r="AI16" s="129">
        <f>10*LOG10(1/(('Summary (Full)'!$B$41/10^(AF16/10)+'Summary (Full)'!$B$42/10^(AG16/10)+'Summary (Full)'!$B$43/10^(AH16/10))/'Summary (Full)'!$B$44))</f>
        <v>0</v>
      </c>
      <c r="AJ16" s="129">
        <f>Test!Y49</f>
        <v>0</v>
      </c>
      <c r="AK16" s="129">
        <f>Test!Z49</f>
        <v>0</v>
      </c>
      <c r="AL16" s="129" t="e">
        <f t="shared" si="2"/>
        <v>#DIV/0!</v>
      </c>
      <c r="AM16" s="129" t="e">
        <f t="shared" si="2"/>
        <v>#DIV/0!</v>
      </c>
      <c r="AO16" s="263"/>
      <c r="AP16" s="173"/>
      <c r="AQ16" s="173"/>
      <c r="AR16" s="173"/>
      <c r="AS16" s="173"/>
      <c r="AT16" s="173"/>
      <c r="AU16" s="173"/>
      <c r="AV16" s="173"/>
      <c r="AW16" s="173"/>
      <c r="AX16" s="173"/>
      <c r="AY16" s="188"/>
      <c r="AZ16" s="287"/>
      <c r="BA16" s="240"/>
      <c r="EV16" s="7"/>
      <c r="EW16" s="7"/>
      <c r="EX16" s="7"/>
      <c r="EY16" s="7"/>
      <c r="EZ16" s="7"/>
      <c r="FA16" s="7"/>
      <c r="FB16" s="7"/>
      <c r="FC16" s="7"/>
    </row>
    <row r="17" spans="1:159" ht="13" customHeight="1" x14ac:dyDescent="0.15">
      <c r="A17" s="249" t="s">
        <v>8</v>
      </c>
      <c r="B17" s="38">
        <v>110</v>
      </c>
      <c r="C17" s="129">
        <f>Anchor!L50</f>
        <v>0</v>
      </c>
      <c r="D17" s="129">
        <f>Anchor!M50</f>
        <v>0</v>
      </c>
      <c r="E17" s="129">
        <f>Anchor!N50</f>
        <v>0</v>
      </c>
      <c r="F17" s="129">
        <f>Anchor!O50</f>
        <v>0</v>
      </c>
      <c r="G17" s="130">
        <f>('Summary (Full)'!$B$34*D17+'Summary (Full)'!$B$35*E17+'Summary (Full)'!$B$36*F17)/'Summary (Full)'!$B$37</f>
        <v>0</v>
      </c>
      <c r="H17" s="129">
        <f>Anchor!P50</f>
        <v>0</v>
      </c>
      <c r="I17" s="129">
        <f>Anchor!Q50</f>
        <v>0</v>
      </c>
      <c r="J17" s="129">
        <f>Anchor!R50</f>
        <v>0</v>
      </c>
      <c r="K17" s="129">
        <f>Anchor!S50</f>
        <v>0</v>
      </c>
      <c r="L17" s="129">
        <f>Anchor!T50</f>
        <v>0</v>
      </c>
      <c r="M17" s="129">
        <f>Anchor!U50</f>
        <v>0</v>
      </c>
      <c r="N17" s="129">
        <f>Anchor!V50</f>
        <v>0</v>
      </c>
      <c r="O17" s="129">
        <f>Anchor!W50</f>
        <v>0</v>
      </c>
      <c r="P17" s="129">
        <f>Anchor!X50</f>
        <v>0</v>
      </c>
      <c r="Q17" s="131">
        <f>10*LOG10(1/(('Summary (Full)'!$B$41/10^(N17/10)+'Summary (Full)'!$B$42/10^(O17/10)+'Summary (Full)'!$B$43/10^(P17/10))/'Summary (Full)'!$B$44))</f>
        <v>0</v>
      </c>
      <c r="R17" s="129">
        <f>Anchor!Y50</f>
        <v>0</v>
      </c>
      <c r="S17" s="129">
        <f>Anchor!Z50</f>
        <v>0</v>
      </c>
      <c r="T17" s="132"/>
      <c r="U17" s="129">
        <f>Test!L50</f>
        <v>0</v>
      </c>
      <c r="V17" s="129">
        <f>Test!M50</f>
        <v>0</v>
      </c>
      <c r="W17" s="129">
        <f>Test!N50</f>
        <v>0</v>
      </c>
      <c r="X17" s="129">
        <f>Test!O50</f>
        <v>0</v>
      </c>
      <c r="Y17" s="129">
        <f>('Summary (Full)'!$B$34*V17+'Summary (Full)'!$B$35*W17+'Summary (Full)'!$B$36*X17)/'Summary (Full)'!$B$37</f>
        <v>0</v>
      </c>
      <c r="Z17" s="129">
        <f>Test!P50</f>
        <v>0</v>
      </c>
      <c r="AA17" s="129">
        <f>Test!Q50</f>
        <v>0</v>
      </c>
      <c r="AB17" s="129">
        <f>Test!R50</f>
        <v>0</v>
      </c>
      <c r="AC17" s="129">
        <f>Test!S50</f>
        <v>0</v>
      </c>
      <c r="AD17" s="129">
        <f>Test!T50</f>
        <v>0</v>
      </c>
      <c r="AE17" s="129">
        <f>Test!U50</f>
        <v>0</v>
      </c>
      <c r="AF17" s="129">
        <f>Test!V50</f>
        <v>0</v>
      </c>
      <c r="AG17" s="129">
        <f>Test!W50</f>
        <v>0</v>
      </c>
      <c r="AH17" s="129">
        <f>Test!X50</f>
        <v>0</v>
      </c>
      <c r="AI17" s="129">
        <f>10*LOG10(1/(('Summary (Full)'!$B$41/10^(AF17/10)+'Summary (Full)'!$B$42/10^(AG17/10)+'Summary (Full)'!$B$43/10^(AH17/10))/'Summary (Full)'!$B$44))</f>
        <v>0</v>
      </c>
      <c r="AJ17" s="129">
        <f>Test!Y50</f>
        <v>0</v>
      </c>
      <c r="AK17" s="129">
        <f>Test!Z50</f>
        <v>0</v>
      </c>
      <c r="AL17" s="129" t="e">
        <f t="shared" si="2"/>
        <v>#DIV/0!</v>
      </c>
      <c r="AM17" s="129" t="e">
        <f t="shared" si="2"/>
        <v>#DIV/0!</v>
      </c>
      <c r="AO17" s="253" t="s">
        <v>27</v>
      </c>
      <c r="AP17" s="171" t="e" cm="1">
        <f t="array" ref="AP17">bdRateExtend($C17:$C20,D17:D20,$U17:$U20,V17:V20)</f>
        <v>#VALUE!</v>
      </c>
      <c r="AQ17" s="171" t="e" cm="1">
        <f t="array" ref="AQ17">bdRateExtend($C17:$C22,D17:D22,$U17:$U22,V17:V22)</f>
        <v>#VALUE!</v>
      </c>
      <c r="AR17" s="171" t="e" cm="1">
        <f t="array" ref="AR17">bdRateExtend($C17:$C22,E17:E22,$U17:$U22,W17:W22)</f>
        <v>#VALUE!</v>
      </c>
      <c r="AS17" s="171" t="e" cm="1">
        <f t="array" ref="AS17">bdRateExtend($C17:$C22,F17:F22,$U17:$U22,X17:X22)</f>
        <v>#VALUE!</v>
      </c>
      <c r="AT17" s="171" t="e" cm="1">
        <f t="array" ref="AT17">bdRateExtend($C17:$C20,H17:H20,$U17:$U20,Z17:Z20)</f>
        <v>#VALUE!</v>
      </c>
      <c r="AU17" s="171" t="e" cm="1">
        <f t="array" ref="AU17">bdRateExtend($C17:$C22,H17:H22,$U17:$U22,Z17:Z22)</f>
        <v>#VALUE!</v>
      </c>
      <c r="AV17" s="171" t="e" cm="1">
        <f t="array" ref="AV17">bdRateExtend($C17:$C20,I17:I20,$U17:$U20,AA17:AA20)</f>
        <v>#VALUE!</v>
      </c>
      <c r="AW17" s="171" t="e" cm="1">
        <f t="array" ref="AW17">bdRateExtend($C17:$C22,I17:I22,$U17:$U22,AA17:AA22)</f>
        <v>#VALUE!</v>
      </c>
      <c r="AX17" s="171" t="e" cm="1">
        <f t="array" ref="AX17">bdRateExtend($C17:$C20,J17:J20,$U17:$U20,AB17:AB20,"None", FALSE,1)</f>
        <v>#VALUE!</v>
      </c>
      <c r="AY17" s="174" t="e" cm="1">
        <f t="array" ref="AY17">bdRateExtend($C17:$C22,J17:J22,$U17:$U22,AB17:AB22,"None", FALSE,TRUE)</f>
        <v>#VALUE!</v>
      </c>
      <c r="AZ17" s="285" cm="1">
        <f t="array" ref="AZ17">testVMAFRange($C17:$C20,J17:J20,$U17:$U20,AB17:AB20)</f>
        <v>0</v>
      </c>
      <c r="BA17" s="211" cm="1">
        <f t="array" ref="BA17">testVMAFRange($C17:$C22,J17:J22,$U17:$U22,AB17:AB22)</f>
        <v>0</v>
      </c>
      <c r="EV17" s="7"/>
      <c r="EW17" s="7"/>
      <c r="EX17" s="7"/>
      <c r="EY17" s="7"/>
      <c r="EZ17" s="7"/>
      <c r="FA17" s="7"/>
      <c r="FB17" s="7"/>
      <c r="FC17" s="7"/>
    </row>
    <row r="18" spans="1:159" x14ac:dyDescent="0.15">
      <c r="A18" s="249"/>
      <c r="B18" s="38">
        <v>135</v>
      </c>
      <c r="C18" s="129">
        <f>Anchor!L51</f>
        <v>0</v>
      </c>
      <c r="D18" s="129">
        <f>Anchor!M51</f>
        <v>0</v>
      </c>
      <c r="E18" s="129">
        <f>Anchor!N51</f>
        <v>0</v>
      </c>
      <c r="F18" s="129">
        <f>Anchor!O51</f>
        <v>0</v>
      </c>
      <c r="G18" s="130">
        <f>('Summary (Full)'!$B$34*D18+'Summary (Full)'!$B$35*E18+'Summary (Full)'!$B$36*F18)/'Summary (Full)'!$B$37</f>
        <v>0</v>
      </c>
      <c r="H18" s="129">
        <f>Anchor!P51</f>
        <v>0</v>
      </c>
      <c r="I18" s="129">
        <f>Anchor!Q51</f>
        <v>0</v>
      </c>
      <c r="J18" s="129">
        <f>Anchor!R51</f>
        <v>0</v>
      </c>
      <c r="K18" s="129">
        <f>Anchor!S51</f>
        <v>0</v>
      </c>
      <c r="L18" s="129">
        <f>Anchor!T51</f>
        <v>0</v>
      </c>
      <c r="M18" s="129">
        <f>Anchor!U51</f>
        <v>0</v>
      </c>
      <c r="N18" s="129">
        <f>Anchor!V51</f>
        <v>0</v>
      </c>
      <c r="O18" s="129">
        <f>Anchor!W51</f>
        <v>0</v>
      </c>
      <c r="P18" s="129">
        <f>Anchor!X51</f>
        <v>0</v>
      </c>
      <c r="Q18" s="131">
        <f>10*LOG10(1/(('Summary (Full)'!$B$41/10^(N18/10)+'Summary (Full)'!$B$42/10^(O18/10)+'Summary (Full)'!$B$43/10^(P18/10))/'Summary (Full)'!$B$44))</f>
        <v>0</v>
      </c>
      <c r="R18" s="129">
        <f>Anchor!Y51</f>
        <v>0</v>
      </c>
      <c r="S18" s="129">
        <f>Anchor!Z51</f>
        <v>0</v>
      </c>
      <c r="T18" s="132"/>
      <c r="U18" s="129">
        <f>Test!L51</f>
        <v>0</v>
      </c>
      <c r="V18" s="129">
        <f>Test!M51</f>
        <v>0</v>
      </c>
      <c r="W18" s="129">
        <f>Test!N51</f>
        <v>0</v>
      </c>
      <c r="X18" s="129">
        <f>Test!O51</f>
        <v>0</v>
      </c>
      <c r="Y18" s="129">
        <f>('Summary (Full)'!$B$34*V18+'Summary (Full)'!$B$35*W18+'Summary (Full)'!$B$36*X18)/'Summary (Full)'!$B$37</f>
        <v>0</v>
      </c>
      <c r="Z18" s="129">
        <f>Test!P51</f>
        <v>0</v>
      </c>
      <c r="AA18" s="129">
        <f>Test!Q51</f>
        <v>0</v>
      </c>
      <c r="AB18" s="129">
        <f>Test!R51</f>
        <v>0</v>
      </c>
      <c r="AC18" s="129">
        <f>Test!S51</f>
        <v>0</v>
      </c>
      <c r="AD18" s="129">
        <f>Test!T51</f>
        <v>0</v>
      </c>
      <c r="AE18" s="129">
        <f>Test!U51</f>
        <v>0</v>
      </c>
      <c r="AF18" s="129">
        <f>Test!V51</f>
        <v>0</v>
      </c>
      <c r="AG18" s="129">
        <f>Test!W51</f>
        <v>0</v>
      </c>
      <c r="AH18" s="129">
        <f>Test!X51</f>
        <v>0</v>
      </c>
      <c r="AI18" s="129">
        <f>10*LOG10(1/(('Summary (Full)'!$B$41/10^(AF18/10)+'Summary (Full)'!$B$42/10^(AG18/10)+'Summary (Full)'!$B$43/10^(AH18/10))/'Summary (Full)'!$B$44))</f>
        <v>0</v>
      </c>
      <c r="AJ18" s="129">
        <f>Test!Y51</f>
        <v>0</v>
      </c>
      <c r="AK18" s="129">
        <f>Test!Z51</f>
        <v>0</v>
      </c>
      <c r="AL18" s="129" t="e">
        <f t="shared" si="2"/>
        <v>#DIV/0!</v>
      </c>
      <c r="AM18" s="129" t="e">
        <f t="shared" si="2"/>
        <v>#DIV/0!</v>
      </c>
      <c r="AO18" s="254"/>
      <c r="AP18" s="172"/>
      <c r="AQ18" s="172"/>
      <c r="AR18" s="172"/>
      <c r="AS18" s="172"/>
      <c r="AT18" s="172"/>
      <c r="AU18" s="172"/>
      <c r="AV18" s="172"/>
      <c r="AW18" s="172"/>
      <c r="AX18" s="172"/>
      <c r="AY18" s="175"/>
      <c r="AZ18" s="286"/>
      <c r="BA18" s="212"/>
      <c r="EV18" s="7"/>
      <c r="EW18" s="7"/>
      <c r="EX18" s="7"/>
      <c r="EY18" s="7"/>
      <c r="EZ18" s="7"/>
      <c r="FA18" s="7"/>
      <c r="FB18" s="7"/>
      <c r="FC18" s="7"/>
    </row>
    <row r="19" spans="1:159" ht="13" customHeight="1" x14ac:dyDescent="0.15">
      <c r="A19" s="249"/>
      <c r="B19" s="38">
        <v>160</v>
      </c>
      <c r="C19" s="129">
        <f>Anchor!L52</f>
        <v>0</v>
      </c>
      <c r="D19" s="129">
        <f>Anchor!M52</f>
        <v>0</v>
      </c>
      <c r="E19" s="129">
        <f>Anchor!N52</f>
        <v>0</v>
      </c>
      <c r="F19" s="129">
        <f>Anchor!O52</f>
        <v>0</v>
      </c>
      <c r="G19" s="130">
        <f>('Summary (Full)'!$B$34*D19+'Summary (Full)'!$B$35*E19+'Summary (Full)'!$B$36*F19)/'Summary (Full)'!$B$37</f>
        <v>0</v>
      </c>
      <c r="H19" s="129">
        <f>Anchor!P52</f>
        <v>0</v>
      </c>
      <c r="I19" s="129">
        <f>Anchor!Q52</f>
        <v>0</v>
      </c>
      <c r="J19" s="129">
        <f>Anchor!R52</f>
        <v>0</v>
      </c>
      <c r="K19" s="129">
        <f>Anchor!S52</f>
        <v>0</v>
      </c>
      <c r="L19" s="129">
        <f>Anchor!T52</f>
        <v>0</v>
      </c>
      <c r="M19" s="129">
        <f>Anchor!U52</f>
        <v>0</v>
      </c>
      <c r="N19" s="129">
        <f>Anchor!V52</f>
        <v>0</v>
      </c>
      <c r="O19" s="129">
        <f>Anchor!W52</f>
        <v>0</v>
      </c>
      <c r="P19" s="129">
        <f>Anchor!X52</f>
        <v>0</v>
      </c>
      <c r="Q19" s="131">
        <f>10*LOG10(1/(('Summary (Full)'!$B$41/10^(N19/10)+'Summary (Full)'!$B$42/10^(O19/10)+'Summary (Full)'!$B$43/10^(P19/10))/'Summary (Full)'!$B$44))</f>
        <v>0</v>
      </c>
      <c r="R19" s="129">
        <f>Anchor!Y52</f>
        <v>0</v>
      </c>
      <c r="S19" s="129">
        <f>Anchor!Z52</f>
        <v>0</v>
      </c>
      <c r="T19" s="132"/>
      <c r="U19" s="129">
        <f>Test!L52</f>
        <v>0</v>
      </c>
      <c r="V19" s="129">
        <f>Test!M52</f>
        <v>0</v>
      </c>
      <c r="W19" s="129">
        <f>Test!N52</f>
        <v>0</v>
      </c>
      <c r="X19" s="129">
        <f>Test!O52</f>
        <v>0</v>
      </c>
      <c r="Y19" s="129">
        <f>('Summary (Full)'!$B$34*V19+'Summary (Full)'!$B$35*W19+'Summary (Full)'!$B$36*X19)/'Summary (Full)'!$B$37</f>
        <v>0</v>
      </c>
      <c r="Z19" s="129">
        <f>Test!P52</f>
        <v>0</v>
      </c>
      <c r="AA19" s="129">
        <f>Test!Q52</f>
        <v>0</v>
      </c>
      <c r="AB19" s="129">
        <f>Test!R52</f>
        <v>0</v>
      </c>
      <c r="AC19" s="129">
        <f>Test!S52</f>
        <v>0</v>
      </c>
      <c r="AD19" s="129">
        <f>Test!T52</f>
        <v>0</v>
      </c>
      <c r="AE19" s="129">
        <f>Test!U52</f>
        <v>0</v>
      </c>
      <c r="AF19" s="129">
        <f>Test!V52</f>
        <v>0</v>
      </c>
      <c r="AG19" s="129">
        <f>Test!W52</f>
        <v>0</v>
      </c>
      <c r="AH19" s="129">
        <f>Test!X52</f>
        <v>0</v>
      </c>
      <c r="AI19" s="129">
        <f>10*LOG10(1/(('Summary (Full)'!$B$41/10^(AF19/10)+'Summary (Full)'!$B$42/10^(AG19/10)+'Summary (Full)'!$B$43/10^(AH19/10))/'Summary (Full)'!$B$44))</f>
        <v>0</v>
      </c>
      <c r="AJ19" s="129">
        <f>Test!Y52</f>
        <v>0</v>
      </c>
      <c r="AK19" s="129">
        <f>Test!Z52</f>
        <v>0</v>
      </c>
      <c r="AL19" s="129" t="e">
        <f t="shared" si="2"/>
        <v>#DIV/0!</v>
      </c>
      <c r="AM19" s="129" t="e">
        <f t="shared" si="2"/>
        <v>#DIV/0!</v>
      </c>
      <c r="AO19" s="254" t="s">
        <v>28</v>
      </c>
      <c r="AP19" s="172" t="e" cm="1">
        <f t="array" ref="AP19">bdRateExtend($C18:$C21,D18:D21,$U18:$U21,V18:V21)</f>
        <v>#VALUE!</v>
      </c>
      <c r="AQ19" s="172"/>
      <c r="AR19" s="172"/>
      <c r="AS19" s="172"/>
      <c r="AT19" s="172" t="e" cm="1">
        <f t="array" ref="AT19">bdRateExtend($C18:$C21,H18:H21,$U18:$U21,Z18:Z21)</f>
        <v>#VALUE!</v>
      </c>
      <c r="AU19" s="172"/>
      <c r="AV19" s="172" t="e" cm="1">
        <f t="array" ref="AV19">bdRateExtend($C18:$C21,I18:I21,$U18:$U21,AA18:AA21)</f>
        <v>#VALUE!</v>
      </c>
      <c r="AW19" s="172"/>
      <c r="AX19" s="172" t="e" cm="1">
        <f t="array" ref="AX19">bdRateExtend($C18:$C21,J18:J21,$U18:$U21,AB18:AB21,"None", FALSE,1)</f>
        <v>#VALUE!</v>
      </c>
      <c r="AY19" s="175"/>
      <c r="AZ19" s="286" cm="1">
        <f t="array" ref="AZ19">testVMAFRange($C18:$C21,J18:J21,$U18:$U21,AB18:AB21)</f>
        <v>0</v>
      </c>
      <c r="BA19" s="212"/>
      <c r="EV19" s="7"/>
      <c r="EW19" s="7"/>
      <c r="EX19" s="7"/>
      <c r="EY19" s="7"/>
      <c r="EZ19" s="7"/>
      <c r="FA19" s="7"/>
      <c r="FB19" s="7"/>
      <c r="FC19" s="7"/>
    </row>
    <row r="20" spans="1:159" x14ac:dyDescent="0.15">
      <c r="A20" s="249"/>
      <c r="B20" s="38">
        <v>185</v>
      </c>
      <c r="C20" s="129">
        <f>Anchor!L53</f>
        <v>0</v>
      </c>
      <c r="D20" s="129">
        <f>Anchor!M53</f>
        <v>0</v>
      </c>
      <c r="E20" s="129">
        <f>Anchor!N53</f>
        <v>0</v>
      </c>
      <c r="F20" s="129">
        <f>Anchor!O53</f>
        <v>0</v>
      </c>
      <c r="G20" s="130">
        <f>('Summary (Full)'!$B$34*D20+'Summary (Full)'!$B$35*E20+'Summary (Full)'!$B$36*F20)/'Summary (Full)'!$B$37</f>
        <v>0</v>
      </c>
      <c r="H20" s="129">
        <f>Anchor!P53</f>
        <v>0</v>
      </c>
      <c r="I20" s="129">
        <f>Anchor!Q53</f>
        <v>0</v>
      </c>
      <c r="J20" s="129">
        <f>Anchor!R53</f>
        <v>0</v>
      </c>
      <c r="K20" s="129">
        <f>Anchor!S53</f>
        <v>0</v>
      </c>
      <c r="L20" s="129">
        <f>Anchor!T53</f>
        <v>0</v>
      </c>
      <c r="M20" s="129">
        <f>Anchor!U53</f>
        <v>0</v>
      </c>
      <c r="N20" s="129">
        <f>Anchor!V53</f>
        <v>0</v>
      </c>
      <c r="O20" s="129">
        <f>Anchor!W53</f>
        <v>0</v>
      </c>
      <c r="P20" s="129">
        <f>Anchor!X53</f>
        <v>0</v>
      </c>
      <c r="Q20" s="131">
        <f>10*LOG10(1/(('Summary (Full)'!$B$41/10^(N20/10)+'Summary (Full)'!$B$42/10^(O20/10)+'Summary (Full)'!$B$43/10^(P20/10))/'Summary (Full)'!$B$44))</f>
        <v>0</v>
      </c>
      <c r="R20" s="129">
        <f>Anchor!Y53</f>
        <v>0</v>
      </c>
      <c r="S20" s="129">
        <f>Anchor!Z53</f>
        <v>0</v>
      </c>
      <c r="T20" s="132"/>
      <c r="U20" s="129">
        <f>Test!L53</f>
        <v>0</v>
      </c>
      <c r="V20" s="129">
        <f>Test!M53</f>
        <v>0</v>
      </c>
      <c r="W20" s="129">
        <f>Test!N53</f>
        <v>0</v>
      </c>
      <c r="X20" s="129">
        <f>Test!O53</f>
        <v>0</v>
      </c>
      <c r="Y20" s="129">
        <f>('Summary (Full)'!$B$34*V20+'Summary (Full)'!$B$35*W20+'Summary (Full)'!$B$36*X20)/'Summary (Full)'!$B$37</f>
        <v>0</v>
      </c>
      <c r="Z20" s="129">
        <f>Test!P53</f>
        <v>0</v>
      </c>
      <c r="AA20" s="129">
        <f>Test!Q53</f>
        <v>0</v>
      </c>
      <c r="AB20" s="129">
        <f>Test!R53</f>
        <v>0</v>
      </c>
      <c r="AC20" s="129">
        <f>Test!S53</f>
        <v>0</v>
      </c>
      <c r="AD20" s="129">
        <f>Test!T53</f>
        <v>0</v>
      </c>
      <c r="AE20" s="129">
        <f>Test!U53</f>
        <v>0</v>
      </c>
      <c r="AF20" s="129">
        <f>Test!V53</f>
        <v>0</v>
      </c>
      <c r="AG20" s="129">
        <f>Test!W53</f>
        <v>0</v>
      </c>
      <c r="AH20" s="129">
        <f>Test!X53</f>
        <v>0</v>
      </c>
      <c r="AI20" s="129">
        <f>10*LOG10(1/(('Summary (Full)'!$B$41/10^(AF20/10)+'Summary (Full)'!$B$42/10^(AG20/10)+'Summary (Full)'!$B$43/10^(AH20/10))/'Summary (Full)'!$B$44))</f>
        <v>0</v>
      </c>
      <c r="AJ20" s="129">
        <f>Test!Y53</f>
        <v>0</v>
      </c>
      <c r="AK20" s="129">
        <f>Test!Z53</f>
        <v>0</v>
      </c>
      <c r="AL20" s="129" t="e">
        <f t="shared" si="2"/>
        <v>#DIV/0!</v>
      </c>
      <c r="AM20" s="129" t="e">
        <f t="shared" si="2"/>
        <v>#DIV/0!</v>
      </c>
      <c r="AO20" s="254"/>
      <c r="AP20" s="172"/>
      <c r="AQ20" s="172"/>
      <c r="AR20" s="172"/>
      <c r="AS20" s="172"/>
      <c r="AT20" s="172"/>
      <c r="AU20" s="172"/>
      <c r="AV20" s="172"/>
      <c r="AW20" s="172"/>
      <c r="AX20" s="172"/>
      <c r="AY20" s="175"/>
      <c r="AZ20" s="286"/>
      <c r="BA20" s="212"/>
      <c r="EV20" s="7"/>
      <c r="EW20" s="7"/>
      <c r="EX20" s="7"/>
      <c r="EY20" s="7"/>
      <c r="EZ20" s="7"/>
      <c r="FA20" s="7"/>
      <c r="FB20" s="7"/>
      <c r="FC20" s="7"/>
    </row>
    <row r="21" spans="1:159" ht="13" customHeight="1" x14ac:dyDescent="0.15">
      <c r="A21" s="249"/>
      <c r="B21" s="38">
        <v>210</v>
      </c>
      <c r="C21" s="129">
        <f>Anchor!L54</f>
        <v>0</v>
      </c>
      <c r="D21" s="129">
        <f>Anchor!M54</f>
        <v>0</v>
      </c>
      <c r="E21" s="129">
        <f>Anchor!N54</f>
        <v>0</v>
      </c>
      <c r="F21" s="129">
        <f>Anchor!O54</f>
        <v>0</v>
      </c>
      <c r="G21" s="130">
        <f>('Summary (Full)'!$B$34*D21+'Summary (Full)'!$B$35*E21+'Summary (Full)'!$B$36*F21)/'Summary (Full)'!$B$37</f>
        <v>0</v>
      </c>
      <c r="H21" s="129">
        <f>Anchor!P54</f>
        <v>0</v>
      </c>
      <c r="I21" s="129">
        <f>Anchor!Q54</f>
        <v>0</v>
      </c>
      <c r="J21" s="129">
        <f>Anchor!R54</f>
        <v>0</v>
      </c>
      <c r="K21" s="129">
        <f>Anchor!S54</f>
        <v>0</v>
      </c>
      <c r="L21" s="129">
        <f>Anchor!T54</f>
        <v>0</v>
      </c>
      <c r="M21" s="129">
        <f>Anchor!U54</f>
        <v>0</v>
      </c>
      <c r="N21" s="129">
        <f>Anchor!V54</f>
        <v>0</v>
      </c>
      <c r="O21" s="129">
        <f>Anchor!W54</f>
        <v>0</v>
      </c>
      <c r="P21" s="129">
        <f>Anchor!X54</f>
        <v>0</v>
      </c>
      <c r="Q21" s="131">
        <f>10*LOG10(1/(('Summary (Full)'!$B$41/10^(N21/10)+'Summary (Full)'!$B$42/10^(O21/10)+'Summary (Full)'!$B$43/10^(P21/10))/'Summary (Full)'!$B$44))</f>
        <v>0</v>
      </c>
      <c r="R21" s="129">
        <f>Anchor!Y54</f>
        <v>0</v>
      </c>
      <c r="S21" s="129">
        <f>Anchor!Z54</f>
        <v>0</v>
      </c>
      <c r="T21" s="132"/>
      <c r="U21" s="129">
        <f>Test!L54</f>
        <v>0</v>
      </c>
      <c r="V21" s="129">
        <f>Test!M54</f>
        <v>0</v>
      </c>
      <c r="W21" s="129">
        <f>Test!N54</f>
        <v>0</v>
      </c>
      <c r="X21" s="129">
        <f>Test!O54</f>
        <v>0</v>
      </c>
      <c r="Y21" s="129">
        <f>('Summary (Full)'!$B$34*V21+'Summary (Full)'!$B$35*W21+'Summary (Full)'!$B$36*X21)/'Summary (Full)'!$B$37</f>
        <v>0</v>
      </c>
      <c r="Z21" s="129">
        <f>Test!P54</f>
        <v>0</v>
      </c>
      <c r="AA21" s="129">
        <f>Test!Q54</f>
        <v>0</v>
      </c>
      <c r="AB21" s="129">
        <f>Test!R54</f>
        <v>0</v>
      </c>
      <c r="AC21" s="129">
        <f>Test!S54</f>
        <v>0</v>
      </c>
      <c r="AD21" s="129">
        <f>Test!T54</f>
        <v>0</v>
      </c>
      <c r="AE21" s="129">
        <f>Test!U54</f>
        <v>0</v>
      </c>
      <c r="AF21" s="129">
        <f>Test!V54</f>
        <v>0</v>
      </c>
      <c r="AG21" s="129">
        <f>Test!W54</f>
        <v>0</v>
      </c>
      <c r="AH21" s="129">
        <f>Test!X54</f>
        <v>0</v>
      </c>
      <c r="AI21" s="129">
        <f>10*LOG10(1/(('Summary (Full)'!$B$41/10^(AF21/10)+'Summary (Full)'!$B$42/10^(AG21/10)+'Summary (Full)'!$B$43/10^(AH21/10))/'Summary (Full)'!$B$44))</f>
        <v>0</v>
      </c>
      <c r="AJ21" s="129">
        <f>Test!Y54</f>
        <v>0</v>
      </c>
      <c r="AK21" s="129">
        <f>Test!Z54</f>
        <v>0</v>
      </c>
      <c r="AL21" s="129" t="e">
        <f t="shared" si="2"/>
        <v>#DIV/0!</v>
      </c>
      <c r="AM21" s="129" t="e">
        <f t="shared" si="2"/>
        <v>#DIV/0!</v>
      </c>
      <c r="AO21" s="254" t="s">
        <v>29</v>
      </c>
      <c r="AP21" s="172" t="e" cm="1">
        <f t="array" ref="AP21">bdRateExtend($C19:$C22,D19:D22,$U19:$U22,V19:V22)</f>
        <v>#VALUE!</v>
      </c>
      <c r="AQ21" s="172"/>
      <c r="AR21" s="172"/>
      <c r="AS21" s="172"/>
      <c r="AT21" s="172" t="e" cm="1">
        <f t="array" ref="AT21">bdRateExtend($C19:$C22,H19:H22,$U19:$U22,Z19:Z22)</f>
        <v>#VALUE!</v>
      </c>
      <c r="AU21" s="172"/>
      <c r="AV21" s="172" t="e" cm="1">
        <f t="array" ref="AV21">bdRateExtend($C19:$C22,I19:I22,$U19:$U22,AA19:AA22)</f>
        <v>#VALUE!</v>
      </c>
      <c r="AW21" s="172"/>
      <c r="AX21" s="172" t="e" cm="1">
        <f t="array" ref="AX21">bdRateExtend($C19:$C22,J19:J22,$U19:$U22,AB19:AB22,"None", FALSE,1)</f>
        <v>#VALUE!</v>
      </c>
      <c r="AY21" s="175"/>
      <c r="AZ21" s="286" cm="1">
        <f t="array" ref="AZ21">testVMAFRange($C19:$C22,J19:J22,$U19:$U22,AB19:AB22)</f>
        <v>0</v>
      </c>
      <c r="BA21" s="212"/>
      <c r="EV21" s="7"/>
      <c r="EW21" s="7"/>
      <c r="EX21" s="7"/>
      <c r="EY21" s="7"/>
      <c r="EZ21" s="7"/>
      <c r="FA21" s="7"/>
      <c r="FB21" s="7"/>
      <c r="FC21" s="7"/>
    </row>
    <row r="22" spans="1:159" ht="14" thickBot="1" x14ac:dyDescent="0.2">
      <c r="A22" s="249"/>
      <c r="B22" s="38">
        <v>235</v>
      </c>
      <c r="C22" s="129">
        <f>Anchor!L55</f>
        <v>0</v>
      </c>
      <c r="D22" s="129">
        <f>Anchor!M55</f>
        <v>0</v>
      </c>
      <c r="E22" s="129">
        <f>Anchor!N55</f>
        <v>0</v>
      </c>
      <c r="F22" s="129">
        <f>Anchor!O55</f>
        <v>0</v>
      </c>
      <c r="G22" s="130">
        <f>('Summary (Full)'!$B$34*D22+'Summary (Full)'!$B$35*E22+'Summary (Full)'!$B$36*F22)/'Summary (Full)'!$B$37</f>
        <v>0</v>
      </c>
      <c r="H22" s="129">
        <f>Anchor!P55</f>
        <v>0</v>
      </c>
      <c r="I22" s="129">
        <f>Anchor!Q55</f>
        <v>0</v>
      </c>
      <c r="J22" s="129">
        <f>Anchor!R55</f>
        <v>0</v>
      </c>
      <c r="K22" s="129">
        <f>Anchor!S55</f>
        <v>0</v>
      </c>
      <c r="L22" s="129">
        <f>Anchor!T55</f>
        <v>0</v>
      </c>
      <c r="M22" s="129">
        <f>Anchor!U55</f>
        <v>0</v>
      </c>
      <c r="N22" s="129">
        <f>Anchor!V55</f>
        <v>0</v>
      </c>
      <c r="O22" s="129">
        <f>Anchor!W55</f>
        <v>0</v>
      </c>
      <c r="P22" s="129">
        <f>Anchor!X55</f>
        <v>0</v>
      </c>
      <c r="Q22" s="131">
        <f>10*LOG10(1/(('Summary (Full)'!$B$41/10^(N22/10)+'Summary (Full)'!$B$42/10^(O22/10)+'Summary (Full)'!$B$43/10^(P22/10))/'Summary (Full)'!$B$44))</f>
        <v>0</v>
      </c>
      <c r="R22" s="129">
        <f>Anchor!Y55</f>
        <v>0</v>
      </c>
      <c r="S22" s="129">
        <f>Anchor!Z55</f>
        <v>0</v>
      </c>
      <c r="T22" s="132"/>
      <c r="U22" s="129">
        <f>Test!L55</f>
        <v>0</v>
      </c>
      <c r="V22" s="129">
        <f>Test!M55</f>
        <v>0</v>
      </c>
      <c r="W22" s="129">
        <f>Test!N55</f>
        <v>0</v>
      </c>
      <c r="X22" s="129">
        <f>Test!O55</f>
        <v>0</v>
      </c>
      <c r="Y22" s="129">
        <f>('Summary (Full)'!$B$34*V22+'Summary (Full)'!$B$35*W22+'Summary (Full)'!$B$36*X22)/'Summary (Full)'!$B$37</f>
        <v>0</v>
      </c>
      <c r="Z22" s="129">
        <f>Test!P55</f>
        <v>0</v>
      </c>
      <c r="AA22" s="129">
        <f>Test!Q55</f>
        <v>0</v>
      </c>
      <c r="AB22" s="129">
        <f>Test!R55</f>
        <v>0</v>
      </c>
      <c r="AC22" s="129">
        <f>Test!S55</f>
        <v>0</v>
      </c>
      <c r="AD22" s="129">
        <f>Test!T55</f>
        <v>0</v>
      </c>
      <c r="AE22" s="129">
        <f>Test!U55</f>
        <v>0</v>
      </c>
      <c r="AF22" s="129">
        <f>Test!V55</f>
        <v>0</v>
      </c>
      <c r="AG22" s="129">
        <f>Test!W55</f>
        <v>0</v>
      </c>
      <c r="AH22" s="129">
        <f>Test!X55</f>
        <v>0</v>
      </c>
      <c r="AI22" s="129">
        <f>10*LOG10(1/(('Summary (Full)'!$B$41/10^(AF22/10)+'Summary (Full)'!$B$42/10^(AG22/10)+'Summary (Full)'!$B$43/10^(AH22/10))/'Summary (Full)'!$B$44))</f>
        <v>0</v>
      </c>
      <c r="AJ22" s="129">
        <f>Test!Y55</f>
        <v>0</v>
      </c>
      <c r="AK22" s="129">
        <f>Test!Z55</f>
        <v>0</v>
      </c>
      <c r="AL22" s="129" t="e">
        <f t="shared" si="2"/>
        <v>#DIV/0!</v>
      </c>
      <c r="AM22" s="129" t="e">
        <f t="shared" si="2"/>
        <v>#DIV/0!</v>
      </c>
      <c r="AO22" s="263"/>
      <c r="AP22" s="173"/>
      <c r="AQ22" s="173"/>
      <c r="AR22" s="173"/>
      <c r="AS22" s="173"/>
      <c r="AT22" s="173"/>
      <c r="AU22" s="173"/>
      <c r="AV22" s="173"/>
      <c r="AW22" s="173"/>
      <c r="AX22" s="173"/>
      <c r="AY22" s="188"/>
      <c r="AZ22" s="287"/>
      <c r="BA22" s="240"/>
      <c r="EV22" s="7"/>
      <c r="EW22" s="7"/>
      <c r="EX22" s="7"/>
      <c r="EY22" s="7"/>
      <c r="EZ22" s="7"/>
      <c r="FA22" s="7"/>
      <c r="FB22" s="7"/>
      <c r="FC22" s="7"/>
    </row>
    <row r="23" spans="1:159" ht="13" customHeight="1" x14ac:dyDescent="0.15">
      <c r="A23" s="250" t="s">
        <v>19</v>
      </c>
      <c r="B23" s="38">
        <v>110</v>
      </c>
      <c r="C23" s="129">
        <f>Anchor!L56</f>
        <v>0</v>
      </c>
      <c r="D23" s="129">
        <f>Anchor!M56</f>
        <v>0</v>
      </c>
      <c r="E23" s="129">
        <f>Anchor!N56</f>
        <v>0</v>
      </c>
      <c r="F23" s="129">
        <f>Anchor!O56</f>
        <v>0</v>
      </c>
      <c r="G23" s="130">
        <f>('Summary (Full)'!$B$34*D23+'Summary (Full)'!$B$35*E23+'Summary (Full)'!$B$36*F23)/'Summary (Full)'!$B$37</f>
        <v>0</v>
      </c>
      <c r="H23" s="129">
        <f>Anchor!P56</f>
        <v>0</v>
      </c>
      <c r="I23" s="129">
        <f>Anchor!Q56</f>
        <v>0</v>
      </c>
      <c r="J23" s="129">
        <f>Anchor!R56</f>
        <v>0</v>
      </c>
      <c r="K23" s="129">
        <f>Anchor!S56</f>
        <v>0</v>
      </c>
      <c r="L23" s="129">
        <f>Anchor!T56</f>
        <v>0</v>
      </c>
      <c r="M23" s="129">
        <f>Anchor!U56</f>
        <v>0</v>
      </c>
      <c r="N23" s="129">
        <f>Anchor!V56</f>
        <v>0</v>
      </c>
      <c r="O23" s="129">
        <f>Anchor!W56</f>
        <v>0</v>
      </c>
      <c r="P23" s="129">
        <f>Anchor!X56</f>
        <v>0</v>
      </c>
      <c r="Q23" s="131">
        <f>10*LOG10(1/(('Summary (Full)'!$B$41/10^(N23/10)+'Summary (Full)'!$B$42/10^(O23/10)+'Summary (Full)'!$B$43/10^(P23/10))/'Summary (Full)'!$B$44))</f>
        <v>0</v>
      </c>
      <c r="R23" s="129">
        <f>Anchor!Y56</f>
        <v>0</v>
      </c>
      <c r="S23" s="129">
        <f>Anchor!Z56</f>
        <v>0</v>
      </c>
      <c r="T23" s="132"/>
      <c r="U23" s="129">
        <f>Test!L56</f>
        <v>0</v>
      </c>
      <c r="V23" s="129">
        <f>Test!M56</f>
        <v>0</v>
      </c>
      <c r="W23" s="129">
        <f>Test!N56</f>
        <v>0</v>
      </c>
      <c r="X23" s="129">
        <f>Test!O56</f>
        <v>0</v>
      </c>
      <c r="Y23" s="129">
        <f>('Summary (Full)'!$B$34*V23+'Summary (Full)'!$B$35*W23+'Summary (Full)'!$B$36*X23)/'Summary (Full)'!$B$37</f>
        <v>0</v>
      </c>
      <c r="Z23" s="129">
        <f>Test!P56</f>
        <v>0</v>
      </c>
      <c r="AA23" s="129">
        <f>Test!Q56</f>
        <v>0</v>
      </c>
      <c r="AB23" s="129">
        <f>Test!R56</f>
        <v>0</v>
      </c>
      <c r="AC23" s="129">
        <f>Test!S56</f>
        <v>0</v>
      </c>
      <c r="AD23" s="129">
        <f>Test!T56</f>
        <v>0</v>
      </c>
      <c r="AE23" s="129">
        <f>Test!U56</f>
        <v>0</v>
      </c>
      <c r="AF23" s="129">
        <f>Test!V56</f>
        <v>0</v>
      </c>
      <c r="AG23" s="129">
        <f>Test!W56</f>
        <v>0</v>
      </c>
      <c r="AH23" s="129">
        <f>Test!X56</f>
        <v>0</v>
      </c>
      <c r="AI23" s="129">
        <f>10*LOG10(1/(('Summary (Full)'!$B$41/10^(AF23/10)+'Summary (Full)'!$B$42/10^(AG23/10)+'Summary (Full)'!$B$43/10^(AH23/10))/'Summary (Full)'!$B$44))</f>
        <v>0</v>
      </c>
      <c r="AJ23" s="129">
        <f>Test!Y56</f>
        <v>0</v>
      </c>
      <c r="AK23" s="129">
        <f>Test!Z56</f>
        <v>0</v>
      </c>
      <c r="AL23" s="129" t="e">
        <f t="shared" si="2"/>
        <v>#DIV/0!</v>
      </c>
      <c r="AM23" s="129" t="e">
        <f t="shared" si="2"/>
        <v>#DIV/0!</v>
      </c>
      <c r="AO23" s="253" t="s">
        <v>27</v>
      </c>
      <c r="AP23" s="171" t="e" cm="1">
        <f t="array" ref="AP23">bdRateExtend($C23:$C26,D23:D26,$U23:$U26,V23:V26)</f>
        <v>#VALUE!</v>
      </c>
      <c r="AQ23" s="171" t="e" cm="1">
        <f t="array" ref="AQ23">bdRateExtend($C23:$C28,D23:D28,$U23:$U28,V23:V28)</f>
        <v>#VALUE!</v>
      </c>
      <c r="AR23" s="171" t="e" cm="1">
        <f t="array" ref="AR23">bdRateExtend($C23:$C28,E23:E28,$U23:$U28,W23:W28)</f>
        <v>#VALUE!</v>
      </c>
      <c r="AS23" s="171" t="e" cm="1">
        <f t="array" ref="AS23">bdRateExtend($C23:$C28,F23:F28,$U23:$U28,X23:X28)</f>
        <v>#VALUE!</v>
      </c>
      <c r="AT23" s="171" t="e" cm="1">
        <f t="array" ref="AT23">bdRateExtend($C23:$C26,H23:H26,$U23:$U26,Z23:Z26)</f>
        <v>#VALUE!</v>
      </c>
      <c r="AU23" s="171" t="e" cm="1">
        <f t="array" ref="AU23">bdRateExtend($C23:$C28,H23:H28,$U23:$U28,Z23:Z28)</f>
        <v>#VALUE!</v>
      </c>
      <c r="AV23" s="171" t="e" cm="1">
        <f t="array" ref="AV23">bdRateExtend($C23:$C26,I23:I26,$U23:$U26,AA23:AA26)</f>
        <v>#VALUE!</v>
      </c>
      <c r="AW23" s="171" t="e" cm="1">
        <f t="array" ref="AW23">bdRateExtend($C23:$C28,I23:I28,$U23:$U28,AA23:AA28)</f>
        <v>#VALUE!</v>
      </c>
      <c r="AX23" s="171" t="e" cm="1">
        <f t="array" ref="AX23">bdRateExtend($C23:$C26,J23:J26,$U23:$U26,AB23:AB26,"None", FALSE,1)</f>
        <v>#VALUE!</v>
      </c>
      <c r="AY23" s="174" t="e" cm="1">
        <f t="array" ref="AY23">bdRateExtend($C23:$C28,J23:J28,$U23:$U28,AB23:AB28,"None", FALSE,TRUE)</f>
        <v>#VALUE!</v>
      </c>
      <c r="AZ23" s="285" cm="1">
        <f t="array" ref="AZ23">testVMAFRange($C23:$C26,J23:J26,$U23:$U26,AB23:AB26)</f>
        <v>0</v>
      </c>
      <c r="BA23" s="211" cm="1">
        <f t="array" ref="BA23">testVMAFRange($C23:$C28,J23:J28,$U23:$U28,AB23:AB28)</f>
        <v>0</v>
      </c>
      <c r="EV23" s="7"/>
      <c r="EW23" s="7"/>
      <c r="EX23" s="7"/>
      <c r="EY23" s="7"/>
      <c r="EZ23" s="7"/>
      <c r="FA23" s="7"/>
      <c r="FB23" s="7"/>
      <c r="FC23" s="7"/>
    </row>
    <row r="24" spans="1:159" x14ac:dyDescent="0.15">
      <c r="A24" s="250"/>
      <c r="B24" s="38">
        <v>135</v>
      </c>
      <c r="C24" s="129">
        <f>Anchor!L57</f>
        <v>0</v>
      </c>
      <c r="D24" s="129">
        <f>Anchor!M57</f>
        <v>0</v>
      </c>
      <c r="E24" s="129">
        <f>Anchor!N57</f>
        <v>0</v>
      </c>
      <c r="F24" s="129">
        <f>Anchor!O57</f>
        <v>0</v>
      </c>
      <c r="G24" s="130">
        <f>('Summary (Full)'!$B$34*D24+'Summary (Full)'!$B$35*E24+'Summary (Full)'!$B$36*F24)/'Summary (Full)'!$B$37</f>
        <v>0</v>
      </c>
      <c r="H24" s="129">
        <f>Anchor!P57</f>
        <v>0</v>
      </c>
      <c r="I24" s="129">
        <f>Anchor!Q57</f>
        <v>0</v>
      </c>
      <c r="J24" s="129">
        <f>Anchor!R57</f>
        <v>0</v>
      </c>
      <c r="K24" s="129">
        <f>Anchor!S57</f>
        <v>0</v>
      </c>
      <c r="L24" s="129">
        <f>Anchor!T57</f>
        <v>0</v>
      </c>
      <c r="M24" s="129">
        <f>Anchor!U57</f>
        <v>0</v>
      </c>
      <c r="N24" s="129">
        <f>Anchor!V57</f>
        <v>0</v>
      </c>
      <c r="O24" s="129">
        <f>Anchor!W57</f>
        <v>0</v>
      </c>
      <c r="P24" s="129">
        <f>Anchor!X57</f>
        <v>0</v>
      </c>
      <c r="Q24" s="131">
        <f>10*LOG10(1/(('Summary (Full)'!$B$41/10^(N24/10)+'Summary (Full)'!$B$42/10^(O24/10)+'Summary (Full)'!$B$43/10^(P24/10))/'Summary (Full)'!$B$44))</f>
        <v>0</v>
      </c>
      <c r="R24" s="129">
        <f>Anchor!Y57</f>
        <v>0</v>
      </c>
      <c r="S24" s="129">
        <f>Anchor!Z57</f>
        <v>0</v>
      </c>
      <c r="T24" s="132"/>
      <c r="U24" s="129">
        <f>Test!L57</f>
        <v>0</v>
      </c>
      <c r="V24" s="129">
        <f>Test!M57</f>
        <v>0</v>
      </c>
      <c r="W24" s="129">
        <f>Test!N57</f>
        <v>0</v>
      </c>
      <c r="X24" s="129">
        <f>Test!O57</f>
        <v>0</v>
      </c>
      <c r="Y24" s="129">
        <f>('Summary (Full)'!$B$34*V24+'Summary (Full)'!$B$35*W24+'Summary (Full)'!$B$36*X24)/'Summary (Full)'!$B$37</f>
        <v>0</v>
      </c>
      <c r="Z24" s="129">
        <f>Test!P57</f>
        <v>0</v>
      </c>
      <c r="AA24" s="129">
        <f>Test!Q57</f>
        <v>0</v>
      </c>
      <c r="AB24" s="129">
        <f>Test!R57</f>
        <v>0</v>
      </c>
      <c r="AC24" s="129">
        <f>Test!S57</f>
        <v>0</v>
      </c>
      <c r="AD24" s="129">
        <f>Test!T57</f>
        <v>0</v>
      </c>
      <c r="AE24" s="129">
        <f>Test!U57</f>
        <v>0</v>
      </c>
      <c r="AF24" s="129">
        <f>Test!V57</f>
        <v>0</v>
      </c>
      <c r="AG24" s="129">
        <f>Test!W57</f>
        <v>0</v>
      </c>
      <c r="AH24" s="129">
        <f>Test!X57</f>
        <v>0</v>
      </c>
      <c r="AI24" s="129">
        <f>10*LOG10(1/(('Summary (Full)'!$B$41/10^(AF24/10)+'Summary (Full)'!$B$42/10^(AG24/10)+'Summary (Full)'!$B$43/10^(AH24/10))/'Summary (Full)'!$B$44))</f>
        <v>0</v>
      </c>
      <c r="AJ24" s="129">
        <f>Test!Y57</f>
        <v>0</v>
      </c>
      <c r="AK24" s="129">
        <f>Test!Z57</f>
        <v>0</v>
      </c>
      <c r="AL24" s="129" t="e">
        <f t="shared" si="2"/>
        <v>#DIV/0!</v>
      </c>
      <c r="AM24" s="129" t="e">
        <f t="shared" si="2"/>
        <v>#DIV/0!</v>
      </c>
      <c r="AO24" s="254"/>
      <c r="AP24" s="172"/>
      <c r="AQ24" s="172"/>
      <c r="AR24" s="172"/>
      <c r="AS24" s="172"/>
      <c r="AT24" s="172"/>
      <c r="AU24" s="172"/>
      <c r="AV24" s="172"/>
      <c r="AW24" s="172"/>
      <c r="AX24" s="172"/>
      <c r="AY24" s="175"/>
      <c r="AZ24" s="286"/>
      <c r="BA24" s="212"/>
      <c r="EV24" s="7"/>
      <c r="EW24" s="7"/>
      <c r="EX24" s="7"/>
      <c r="EY24" s="7"/>
      <c r="EZ24" s="7"/>
      <c r="FA24" s="7"/>
      <c r="FB24" s="7"/>
      <c r="FC24" s="7"/>
    </row>
    <row r="25" spans="1:159" ht="13" customHeight="1" x14ac:dyDescent="0.15">
      <c r="A25" s="250"/>
      <c r="B25" s="38">
        <v>160</v>
      </c>
      <c r="C25" s="129">
        <f>Anchor!L58</f>
        <v>0</v>
      </c>
      <c r="D25" s="129">
        <f>Anchor!M58</f>
        <v>0</v>
      </c>
      <c r="E25" s="129">
        <f>Anchor!N58</f>
        <v>0</v>
      </c>
      <c r="F25" s="129">
        <f>Anchor!O58</f>
        <v>0</v>
      </c>
      <c r="G25" s="130">
        <f>('Summary (Full)'!$B$34*D25+'Summary (Full)'!$B$35*E25+'Summary (Full)'!$B$36*F25)/'Summary (Full)'!$B$37</f>
        <v>0</v>
      </c>
      <c r="H25" s="129">
        <f>Anchor!P58</f>
        <v>0</v>
      </c>
      <c r="I25" s="129">
        <f>Anchor!Q58</f>
        <v>0</v>
      </c>
      <c r="J25" s="129">
        <f>Anchor!R58</f>
        <v>0</v>
      </c>
      <c r="K25" s="129">
        <f>Anchor!S58</f>
        <v>0</v>
      </c>
      <c r="L25" s="129">
        <f>Anchor!T58</f>
        <v>0</v>
      </c>
      <c r="M25" s="129">
        <f>Anchor!U58</f>
        <v>0</v>
      </c>
      <c r="N25" s="129">
        <f>Anchor!V58</f>
        <v>0</v>
      </c>
      <c r="O25" s="129">
        <f>Anchor!W58</f>
        <v>0</v>
      </c>
      <c r="P25" s="129">
        <f>Anchor!X58</f>
        <v>0</v>
      </c>
      <c r="Q25" s="131">
        <f>10*LOG10(1/(('Summary (Full)'!$B$41/10^(N25/10)+'Summary (Full)'!$B$42/10^(O25/10)+'Summary (Full)'!$B$43/10^(P25/10))/'Summary (Full)'!$B$44))</f>
        <v>0</v>
      </c>
      <c r="R25" s="129">
        <f>Anchor!Y58</f>
        <v>0</v>
      </c>
      <c r="S25" s="129">
        <f>Anchor!Z58</f>
        <v>0</v>
      </c>
      <c r="T25" s="132"/>
      <c r="U25" s="129">
        <f>Test!L58</f>
        <v>0</v>
      </c>
      <c r="V25" s="129">
        <f>Test!M58</f>
        <v>0</v>
      </c>
      <c r="W25" s="129">
        <f>Test!N58</f>
        <v>0</v>
      </c>
      <c r="X25" s="129">
        <f>Test!O58</f>
        <v>0</v>
      </c>
      <c r="Y25" s="129">
        <f>('Summary (Full)'!$B$34*V25+'Summary (Full)'!$B$35*W25+'Summary (Full)'!$B$36*X25)/'Summary (Full)'!$B$37</f>
        <v>0</v>
      </c>
      <c r="Z25" s="129">
        <f>Test!P58</f>
        <v>0</v>
      </c>
      <c r="AA25" s="129">
        <f>Test!Q58</f>
        <v>0</v>
      </c>
      <c r="AB25" s="129">
        <f>Test!R58</f>
        <v>0</v>
      </c>
      <c r="AC25" s="129">
        <f>Test!S58</f>
        <v>0</v>
      </c>
      <c r="AD25" s="129">
        <f>Test!T58</f>
        <v>0</v>
      </c>
      <c r="AE25" s="129">
        <f>Test!U58</f>
        <v>0</v>
      </c>
      <c r="AF25" s="129">
        <f>Test!V58</f>
        <v>0</v>
      </c>
      <c r="AG25" s="129">
        <f>Test!W58</f>
        <v>0</v>
      </c>
      <c r="AH25" s="129">
        <f>Test!X58</f>
        <v>0</v>
      </c>
      <c r="AI25" s="129">
        <f>10*LOG10(1/(('Summary (Full)'!$B$41/10^(AF25/10)+'Summary (Full)'!$B$42/10^(AG25/10)+'Summary (Full)'!$B$43/10^(AH25/10))/'Summary (Full)'!$B$44))</f>
        <v>0</v>
      </c>
      <c r="AJ25" s="129">
        <f>Test!Y58</f>
        <v>0</v>
      </c>
      <c r="AK25" s="129">
        <f>Test!Z58</f>
        <v>0</v>
      </c>
      <c r="AL25" s="129" t="e">
        <f t="shared" si="2"/>
        <v>#DIV/0!</v>
      </c>
      <c r="AM25" s="129" t="e">
        <f t="shared" si="2"/>
        <v>#DIV/0!</v>
      </c>
      <c r="AO25" s="254" t="s">
        <v>28</v>
      </c>
      <c r="AP25" s="172" t="e" cm="1">
        <f t="array" ref="AP25">bdRateExtend($C24:$C27,D24:D27,$U24:$U27,V24:V27)</f>
        <v>#VALUE!</v>
      </c>
      <c r="AQ25" s="172"/>
      <c r="AR25" s="172"/>
      <c r="AS25" s="172"/>
      <c r="AT25" s="172" t="e" cm="1">
        <f t="array" ref="AT25">bdRateExtend($C24:$C27,H24:H27,$U24:$U27,Z24:Z27)</f>
        <v>#VALUE!</v>
      </c>
      <c r="AU25" s="172"/>
      <c r="AV25" s="172" t="e" cm="1">
        <f t="array" ref="AV25">bdRateExtend($C24:$C27,I24:I27,$U24:$U27,AA24:AA27)</f>
        <v>#VALUE!</v>
      </c>
      <c r="AW25" s="172"/>
      <c r="AX25" s="172" t="e" cm="1">
        <f t="array" ref="AX25">bdRateExtend($C24:$C27,J24:J27,$U24:$U27,AB24:AB27,"None", FALSE,1)</f>
        <v>#VALUE!</v>
      </c>
      <c r="AY25" s="175"/>
      <c r="AZ25" s="286" cm="1">
        <f t="array" ref="AZ25">testVMAFRange($C24:$C27,J24:J27,$U24:$U27,AB24:AB27)</f>
        <v>0</v>
      </c>
      <c r="BA25" s="212"/>
      <c r="EV25" s="7"/>
      <c r="EW25" s="7"/>
      <c r="EX25" s="7"/>
      <c r="EY25" s="7"/>
      <c r="EZ25" s="7"/>
      <c r="FA25" s="7"/>
      <c r="FB25" s="7"/>
      <c r="FC25" s="7"/>
    </row>
    <row r="26" spans="1:159" x14ac:dyDescent="0.15">
      <c r="A26" s="250"/>
      <c r="B26" s="38">
        <v>185</v>
      </c>
      <c r="C26" s="129">
        <f>Anchor!L59</f>
        <v>0</v>
      </c>
      <c r="D26" s="129">
        <f>Anchor!M59</f>
        <v>0</v>
      </c>
      <c r="E26" s="129">
        <f>Anchor!N59</f>
        <v>0</v>
      </c>
      <c r="F26" s="129">
        <f>Anchor!O59</f>
        <v>0</v>
      </c>
      <c r="G26" s="130">
        <f>('Summary (Full)'!$B$34*D26+'Summary (Full)'!$B$35*E26+'Summary (Full)'!$B$36*F26)/'Summary (Full)'!$B$37</f>
        <v>0</v>
      </c>
      <c r="H26" s="129">
        <f>Anchor!P59</f>
        <v>0</v>
      </c>
      <c r="I26" s="129">
        <f>Anchor!Q59</f>
        <v>0</v>
      </c>
      <c r="J26" s="129">
        <f>Anchor!R59</f>
        <v>0</v>
      </c>
      <c r="K26" s="129">
        <f>Anchor!S59</f>
        <v>0</v>
      </c>
      <c r="L26" s="129">
        <f>Anchor!T59</f>
        <v>0</v>
      </c>
      <c r="M26" s="129">
        <f>Anchor!U59</f>
        <v>0</v>
      </c>
      <c r="N26" s="129">
        <f>Anchor!V59</f>
        <v>0</v>
      </c>
      <c r="O26" s="129">
        <f>Anchor!W59</f>
        <v>0</v>
      </c>
      <c r="P26" s="129">
        <f>Anchor!X59</f>
        <v>0</v>
      </c>
      <c r="Q26" s="131">
        <f>10*LOG10(1/(('Summary (Full)'!$B$41/10^(N26/10)+'Summary (Full)'!$B$42/10^(O26/10)+'Summary (Full)'!$B$43/10^(P26/10))/'Summary (Full)'!$B$44))</f>
        <v>0</v>
      </c>
      <c r="R26" s="129">
        <f>Anchor!Y59</f>
        <v>0</v>
      </c>
      <c r="S26" s="129">
        <f>Anchor!Z59</f>
        <v>0</v>
      </c>
      <c r="T26" s="132"/>
      <c r="U26" s="129">
        <f>Test!L59</f>
        <v>0</v>
      </c>
      <c r="V26" s="129">
        <f>Test!M59</f>
        <v>0</v>
      </c>
      <c r="W26" s="129">
        <f>Test!N59</f>
        <v>0</v>
      </c>
      <c r="X26" s="129">
        <f>Test!O59</f>
        <v>0</v>
      </c>
      <c r="Y26" s="129">
        <f>('Summary (Full)'!$B$34*V26+'Summary (Full)'!$B$35*W26+'Summary (Full)'!$B$36*X26)/'Summary (Full)'!$B$37</f>
        <v>0</v>
      </c>
      <c r="Z26" s="129">
        <f>Test!P59</f>
        <v>0</v>
      </c>
      <c r="AA26" s="129">
        <f>Test!Q59</f>
        <v>0</v>
      </c>
      <c r="AB26" s="129">
        <f>Test!R59</f>
        <v>0</v>
      </c>
      <c r="AC26" s="129">
        <f>Test!S59</f>
        <v>0</v>
      </c>
      <c r="AD26" s="129">
        <f>Test!T59</f>
        <v>0</v>
      </c>
      <c r="AE26" s="129">
        <f>Test!U59</f>
        <v>0</v>
      </c>
      <c r="AF26" s="129">
        <f>Test!V59</f>
        <v>0</v>
      </c>
      <c r="AG26" s="129">
        <f>Test!W59</f>
        <v>0</v>
      </c>
      <c r="AH26" s="129">
        <f>Test!X59</f>
        <v>0</v>
      </c>
      <c r="AI26" s="129">
        <f>10*LOG10(1/(('Summary (Full)'!$B$41/10^(AF26/10)+'Summary (Full)'!$B$42/10^(AG26/10)+'Summary (Full)'!$B$43/10^(AH26/10))/'Summary (Full)'!$B$44))</f>
        <v>0</v>
      </c>
      <c r="AJ26" s="129">
        <f>Test!Y59</f>
        <v>0</v>
      </c>
      <c r="AK26" s="129">
        <f>Test!Z59</f>
        <v>0</v>
      </c>
      <c r="AL26" s="129" t="e">
        <f t="shared" si="2"/>
        <v>#DIV/0!</v>
      </c>
      <c r="AM26" s="129" t="e">
        <f t="shared" si="2"/>
        <v>#DIV/0!</v>
      </c>
      <c r="AO26" s="254"/>
      <c r="AP26" s="172"/>
      <c r="AQ26" s="172"/>
      <c r="AR26" s="172"/>
      <c r="AS26" s="172"/>
      <c r="AT26" s="172"/>
      <c r="AU26" s="172"/>
      <c r="AV26" s="172"/>
      <c r="AW26" s="172"/>
      <c r="AX26" s="172"/>
      <c r="AY26" s="175"/>
      <c r="AZ26" s="286"/>
      <c r="BA26" s="212"/>
      <c r="EV26" s="7"/>
      <c r="EW26" s="7"/>
      <c r="EX26" s="7"/>
      <c r="EY26" s="7"/>
      <c r="EZ26" s="7"/>
      <c r="FA26" s="7"/>
      <c r="FB26" s="7"/>
      <c r="FC26" s="7"/>
    </row>
    <row r="27" spans="1:159" ht="13" customHeight="1" x14ac:dyDescent="0.15">
      <c r="A27" s="250"/>
      <c r="B27" s="38">
        <v>210</v>
      </c>
      <c r="C27" s="129">
        <f>Anchor!L60</f>
        <v>0</v>
      </c>
      <c r="D27" s="129">
        <f>Anchor!M60</f>
        <v>0</v>
      </c>
      <c r="E27" s="129">
        <f>Anchor!N60</f>
        <v>0</v>
      </c>
      <c r="F27" s="129">
        <f>Anchor!O60</f>
        <v>0</v>
      </c>
      <c r="G27" s="130">
        <f>('Summary (Full)'!$B$34*D27+'Summary (Full)'!$B$35*E27+'Summary (Full)'!$B$36*F27)/'Summary (Full)'!$B$37</f>
        <v>0</v>
      </c>
      <c r="H27" s="129">
        <f>Anchor!P60</f>
        <v>0</v>
      </c>
      <c r="I27" s="129">
        <f>Anchor!Q60</f>
        <v>0</v>
      </c>
      <c r="J27" s="129">
        <f>Anchor!R60</f>
        <v>0</v>
      </c>
      <c r="K27" s="129">
        <f>Anchor!S60</f>
        <v>0</v>
      </c>
      <c r="L27" s="129">
        <f>Anchor!T60</f>
        <v>0</v>
      </c>
      <c r="M27" s="129">
        <f>Anchor!U60</f>
        <v>0</v>
      </c>
      <c r="N27" s="129">
        <f>Anchor!V60</f>
        <v>0</v>
      </c>
      <c r="O27" s="129">
        <f>Anchor!W60</f>
        <v>0</v>
      </c>
      <c r="P27" s="129">
        <f>Anchor!X60</f>
        <v>0</v>
      </c>
      <c r="Q27" s="131">
        <f>10*LOG10(1/(('Summary (Full)'!$B$41/10^(N27/10)+'Summary (Full)'!$B$42/10^(O27/10)+'Summary (Full)'!$B$43/10^(P27/10))/'Summary (Full)'!$B$44))</f>
        <v>0</v>
      </c>
      <c r="R27" s="129">
        <f>Anchor!Y60</f>
        <v>0</v>
      </c>
      <c r="S27" s="129">
        <f>Anchor!Z60</f>
        <v>0</v>
      </c>
      <c r="T27" s="132"/>
      <c r="U27" s="129">
        <f>Test!L60</f>
        <v>0</v>
      </c>
      <c r="V27" s="129">
        <f>Test!M60</f>
        <v>0</v>
      </c>
      <c r="W27" s="129">
        <f>Test!N60</f>
        <v>0</v>
      </c>
      <c r="X27" s="129">
        <f>Test!O60</f>
        <v>0</v>
      </c>
      <c r="Y27" s="129">
        <f>('Summary (Full)'!$B$34*V27+'Summary (Full)'!$B$35*W27+'Summary (Full)'!$B$36*X27)/'Summary (Full)'!$B$37</f>
        <v>0</v>
      </c>
      <c r="Z27" s="129">
        <f>Test!P60</f>
        <v>0</v>
      </c>
      <c r="AA27" s="129">
        <f>Test!Q60</f>
        <v>0</v>
      </c>
      <c r="AB27" s="129">
        <f>Test!R60</f>
        <v>0</v>
      </c>
      <c r="AC27" s="129">
        <f>Test!S60</f>
        <v>0</v>
      </c>
      <c r="AD27" s="129">
        <f>Test!T60</f>
        <v>0</v>
      </c>
      <c r="AE27" s="129">
        <f>Test!U60</f>
        <v>0</v>
      </c>
      <c r="AF27" s="129">
        <f>Test!V60</f>
        <v>0</v>
      </c>
      <c r="AG27" s="129">
        <f>Test!W60</f>
        <v>0</v>
      </c>
      <c r="AH27" s="129">
        <f>Test!X60</f>
        <v>0</v>
      </c>
      <c r="AI27" s="129">
        <f>10*LOG10(1/(('Summary (Full)'!$B$41/10^(AF27/10)+'Summary (Full)'!$B$42/10^(AG27/10)+'Summary (Full)'!$B$43/10^(AH27/10))/'Summary (Full)'!$B$44))</f>
        <v>0</v>
      </c>
      <c r="AJ27" s="129">
        <f>Test!Y60</f>
        <v>0</v>
      </c>
      <c r="AK27" s="129">
        <f>Test!Z60</f>
        <v>0</v>
      </c>
      <c r="AL27" s="129" t="e">
        <f t="shared" si="2"/>
        <v>#DIV/0!</v>
      </c>
      <c r="AM27" s="129" t="e">
        <f t="shared" si="2"/>
        <v>#DIV/0!</v>
      </c>
      <c r="AO27" s="254" t="s">
        <v>29</v>
      </c>
      <c r="AP27" s="172" t="e" cm="1">
        <f t="array" ref="AP27">bdRateExtend($C25:$C28,D25:D28,$U25:$U28,V25:V28)</f>
        <v>#VALUE!</v>
      </c>
      <c r="AQ27" s="172"/>
      <c r="AR27" s="172"/>
      <c r="AS27" s="172"/>
      <c r="AT27" s="172" t="e" cm="1">
        <f t="array" ref="AT27">bdRateExtend($C25:$C28,H25:H28,$U25:$U28,Z25:Z28)</f>
        <v>#VALUE!</v>
      </c>
      <c r="AU27" s="172"/>
      <c r="AV27" s="172" t="e" cm="1">
        <f t="array" ref="AV27">bdRateExtend($C25:$C28,I25:I28,$U25:$U28,AA25:AA28)</f>
        <v>#VALUE!</v>
      </c>
      <c r="AW27" s="172"/>
      <c r="AX27" s="172" t="e" cm="1">
        <f t="array" ref="AX27">bdRateExtend($C25:$C28,J25:J28,$U25:$U28,AB25:AB28,"None", FALSE,1)</f>
        <v>#VALUE!</v>
      </c>
      <c r="AY27" s="175"/>
      <c r="AZ27" s="286" cm="1">
        <f t="array" ref="AZ27">testVMAFRange($C25:$C28,J25:J28,$U25:$U28,AB25:AB28)</f>
        <v>0</v>
      </c>
      <c r="BA27" s="212"/>
      <c r="EV27" s="7"/>
      <c r="EW27" s="7"/>
      <c r="EX27" s="7"/>
      <c r="EY27" s="7"/>
      <c r="EZ27" s="7"/>
      <c r="FA27" s="7"/>
      <c r="FB27" s="7"/>
      <c r="FC27" s="7"/>
    </row>
    <row r="28" spans="1:159" ht="14" thickBot="1" x14ac:dyDescent="0.2">
      <c r="A28" s="250"/>
      <c r="B28" s="38">
        <v>235</v>
      </c>
      <c r="C28" s="129">
        <f>Anchor!L61</f>
        <v>0</v>
      </c>
      <c r="D28" s="129">
        <f>Anchor!M61</f>
        <v>0</v>
      </c>
      <c r="E28" s="129">
        <f>Anchor!N61</f>
        <v>0</v>
      </c>
      <c r="F28" s="129">
        <f>Anchor!O61</f>
        <v>0</v>
      </c>
      <c r="G28" s="130">
        <f>('Summary (Full)'!$B$34*D28+'Summary (Full)'!$B$35*E28+'Summary (Full)'!$B$36*F28)/'Summary (Full)'!$B$37</f>
        <v>0</v>
      </c>
      <c r="H28" s="129">
        <f>Anchor!P61</f>
        <v>0</v>
      </c>
      <c r="I28" s="129">
        <f>Anchor!Q61</f>
        <v>0</v>
      </c>
      <c r="J28" s="129">
        <f>Anchor!R61</f>
        <v>0</v>
      </c>
      <c r="K28" s="129">
        <f>Anchor!S61</f>
        <v>0</v>
      </c>
      <c r="L28" s="129">
        <f>Anchor!T61</f>
        <v>0</v>
      </c>
      <c r="M28" s="129">
        <f>Anchor!U61</f>
        <v>0</v>
      </c>
      <c r="N28" s="129">
        <f>Anchor!V61</f>
        <v>0</v>
      </c>
      <c r="O28" s="129">
        <f>Anchor!W61</f>
        <v>0</v>
      </c>
      <c r="P28" s="129">
        <f>Anchor!X61</f>
        <v>0</v>
      </c>
      <c r="Q28" s="131">
        <f>10*LOG10(1/(('Summary (Full)'!$B$41/10^(N28/10)+'Summary (Full)'!$B$42/10^(O28/10)+'Summary (Full)'!$B$43/10^(P28/10))/'Summary (Full)'!$B$44))</f>
        <v>0</v>
      </c>
      <c r="R28" s="129">
        <f>Anchor!Y61</f>
        <v>0</v>
      </c>
      <c r="S28" s="129">
        <f>Anchor!Z61</f>
        <v>0</v>
      </c>
      <c r="T28" s="132"/>
      <c r="U28" s="129">
        <f>Test!L61</f>
        <v>0</v>
      </c>
      <c r="V28" s="129">
        <f>Test!M61</f>
        <v>0</v>
      </c>
      <c r="W28" s="129">
        <f>Test!N61</f>
        <v>0</v>
      </c>
      <c r="X28" s="129">
        <f>Test!O61</f>
        <v>0</v>
      </c>
      <c r="Y28" s="129">
        <f>('Summary (Full)'!$B$34*V28+'Summary (Full)'!$B$35*W28+'Summary (Full)'!$B$36*X28)/'Summary (Full)'!$B$37</f>
        <v>0</v>
      </c>
      <c r="Z28" s="129">
        <f>Test!P61</f>
        <v>0</v>
      </c>
      <c r="AA28" s="129">
        <f>Test!Q61</f>
        <v>0</v>
      </c>
      <c r="AB28" s="129">
        <f>Test!R61</f>
        <v>0</v>
      </c>
      <c r="AC28" s="129">
        <f>Test!S61</f>
        <v>0</v>
      </c>
      <c r="AD28" s="129">
        <f>Test!T61</f>
        <v>0</v>
      </c>
      <c r="AE28" s="129">
        <f>Test!U61</f>
        <v>0</v>
      </c>
      <c r="AF28" s="129">
        <f>Test!V61</f>
        <v>0</v>
      </c>
      <c r="AG28" s="129">
        <f>Test!W61</f>
        <v>0</v>
      </c>
      <c r="AH28" s="129">
        <f>Test!X61</f>
        <v>0</v>
      </c>
      <c r="AI28" s="129">
        <f>10*LOG10(1/(('Summary (Full)'!$B$41/10^(AF28/10)+'Summary (Full)'!$B$42/10^(AG28/10)+'Summary (Full)'!$B$43/10^(AH28/10))/'Summary (Full)'!$B$44))</f>
        <v>0</v>
      </c>
      <c r="AJ28" s="129">
        <f>Test!Y61</f>
        <v>0</v>
      </c>
      <c r="AK28" s="129">
        <f>Test!Z61</f>
        <v>0</v>
      </c>
      <c r="AL28" s="129" t="e">
        <f t="shared" si="2"/>
        <v>#DIV/0!</v>
      </c>
      <c r="AM28" s="129" t="e">
        <f t="shared" si="2"/>
        <v>#DIV/0!</v>
      </c>
      <c r="AO28" s="263"/>
      <c r="AP28" s="173"/>
      <c r="AQ28" s="173"/>
      <c r="AR28" s="173"/>
      <c r="AS28" s="173"/>
      <c r="AT28" s="173"/>
      <c r="AU28" s="173"/>
      <c r="AV28" s="173"/>
      <c r="AW28" s="173"/>
      <c r="AX28" s="173"/>
      <c r="AY28" s="188"/>
      <c r="AZ28" s="287"/>
      <c r="BA28" s="240"/>
      <c r="EV28" s="7"/>
      <c r="EW28" s="7"/>
      <c r="EX28" s="7"/>
      <c r="EY28" s="7"/>
      <c r="EZ28" s="7"/>
      <c r="FA28" s="7"/>
      <c r="FB28" s="7"/>
      <c r="FC28" s="7"/>
    </row>
    <row r="29" spans="1:159" ht="13" customHeight="1" x14ac:dyDescent="0.15">
      <c r="A29" s="250" t="s">
        <v>9</v>
      </c>
      <c r="B29" s="38">
        <v>110</v>
      </c>
      <c r="C29" s="129">
        <f>Anchor!L62</f>
        <v>0</v>
      </c>
      <c r="D29" s="129">
        <f>Anchor!M62</f>
        <v>0</v>
      </c>
      <c r="E29" s="129">
        <f>Anchor!N62</f>
        <v>0</v>
      </c>
      <c r="F29" s="129">
        <f>Anchor!O62</f>
        <v>0</v>
      </c>
      <c r="G29" s="130">
        <f>('Summary (Full)'!$B$34*D29+'Summary (Full)'!$B$35*E29+'Summary (Full)'!$B$36*F29)/'Summary (Full)'!$B$37</f>
        <v>0</v>
      </c>
      <c r="H29" s="129">
        <f>Anchor!P62</f>
        <v>0</v>
      </c>
      <c r="I29" s="129">
        <f>Anchor!Q62</f>
        <v>0</v>
      </c>
      <c r="J29" s="129">
        <f>Anchor!R62</f>
        <v>0</v>
      </c>
      <c r="K29" s="129">
        <f>Anchor!S62</f>
        <v>0</v>
      </c>
      <c r="L29" s="129">
        <f>Anchor!T62</f>
        <v>0</v>
      </c>
      <c r="M29" s="129">
        <f>Anchor!U62</f>
        <v>0</v>
      </c>
      <c r="N29" s="129">
        <f>Anchor!V62</f>
        <v>0</v>
      </c>
      <c r="O29" s="129">
        <f>Anchor!W62</f>
        <v>0</v>
      </c>
      <c r="P29" s="129">
        <f>Anchor!X62</f>
        <v>0</v>
      </c>
      <c r="Q29" s="131">
        <f>10*LOG10(1/(('Summary (Full)'!$B$41/10^(N29/10)+'Summary (Full)'!$B$42/10^(O29/10)+'Summary (Full)'!$B$43/10^(P29/10))/'Summary (Full)'!$B$44))</f>
        <v>0</v>
      </c>
      <c r="R29" s="129">
        <f>Anchor!Y62</f>
        <v>0</v>
      </c>
      <c r="S29" s="129">
        <f>Anchor!Z62</f>
        <v>0</v>
      </c>
      <c r="T29" s="132"/>
      <c r="U29" s="129">
        <f>Test!L62</f>
        <v>0</v>
      </c>
      <c r="V29" s="129">
        <f>Test!M62</f>
        <v>0</v>
      </c>
      <c r="W29" s="129">
        <f>Test!N62</f>
        <v>0</v>
      </c>
      <c r="X29" s="129">
        <f>Test!O62</f>
        <v>0</v>
      </c>
      <c r="Y29" s="129">
        <f>('Summary (Full)'!$B$34*V29+'Summary (Full)'!$B$35*W29+'Summary (Full)'!$B$36*X29)/'Summary (Full)'!$B$37</f>
        <v>0</v>
      </c>
      <c r="Z29" s="129">
        <f>Test!P62</f>
        <v>0</v>
      </c>
      <c r="AA29" s="129">
        <f>Test!Q62</f>
        <v>0</v>
      </c>
      <c r="AB29" s="129">
        <f>Test!R62</f>
        <v>0</v>
      </c>
      <c r="AC29" s="129">
        <f>Test!S62</f>
        <v>0</v>
      </c>
      <c r="AD29" s="129">
        <f>Test!T62</f>
        <v>0</v>
      </c>
      <c r="AE29" s="129">
        <f>Test!U62</f>
        <v>0</v>
      </c>
      <c r="AF29" s="129">
        <f>Test!V62</f>
        <v>0</v>
      </c>
      <c r="AG29" s="129">
        <f>Test!W62</f>
        <v>0</v>
      </c>
      <c r="AH29" s="129">
        <f>Test!X62</f>
        <v>0</v>
      </c>
      <c r="AI29" s="129">
        <f>10*LOG10(1/(('Summary (Full)'!$B$41/10^(AF29/10)+'Summary (Full)'!$B$42/10^(AG29/10)+'Summary (Full)'!$B$43/10^(AH29/10))/'Summary (Full)'!$B$44))</f>
        <v>0</v>
      </c>
      <c r="AJ29" s="129">
        <f>Test!Y62</f>
        <v>0</v>
      </c>
      <c r="AK29" s="129">
        <f>Test!Z62</f>
        <v>0</v>
      </c>
      <c r="AL29" s="129" t="e">
        <f t="shared" si="2"/>
        <v>#DIV/0!</v>
      </c>
      <c r="AM29" s="129" t="e">
        <f t="shared" si="2"/>
        <v>#DIV/0!</v>
      </c>
      <c r="AO29" s="253" t="s">
        <v>27</v>
      </c>
      <c r="AP29" s="171" t="e" cm="1">
        <f t="array" ref="AP29">bdRateExtend($C29:$C32,D29:D32,$U29:$U32,V29:V32)</f>
        <v>#VALUE!</v>
      </c>
      <c r="AQ29" s="171" t="e" cm="1">
        <f t="array" ref="AQ29">bdRateExtend($C29:$C34,D29:D34,$U29:$U34,V29:V34)</f>
        <v>#VALUE!</v>
      </c>
      <c r="AR29" s="171" t="e" cm="1">
        <f t="array" ref="AR29">bdRateExtend($C29:$C34,E29:E34,$U29:$U34,W29:W34)</f>
        <v>#VALUE!</v>
      </c>
      <c r="AS29" s="171" t="e" cm="1">
        <f t="array" ref="AS29">bdRateExtend($C29:$C34,F29:F34,$U29:$U34,X29:X34)</f>
        <v>#VALUE!</v>
      </c>
      <c r="AT29" s="171" t="e" cm="1">
        <f t="array" ref="AT29">bdRateExtend($C29:$C32,H29:H32,$U29:$U32,Z29:Z32)</f>
        <v>#VALUE!</v>
      </c>
      <c r="AU29" s="171" t="e" cm="1">
        <f t="array" ref="AU29">bdRateExtend($C29:$C34,H29:H34,$U29:$U34,Z29:Z34)</f>
        <v>#VALUE!</v>
      </c>
      <c r="AV29" s="171" t="e" cm="1">
        <f t="array" ref="AV29">bdRateExtend($C29:$C32,I29:I32,$U29:$U32,AA29:AA32)</f>
        <v>#VALUE!</v>
      </c>
      <c r="AW29" s="171" t="e" cm="1">
        <f t="array" ref="AW29">bdRateExtend($C29:$C34,I29:I34,$U29:$U34,AA29:AA34)</f>
        <v>#VALUE!</v>
      </c>
      <c r="AX29" s="171" t="e" cm="1">
        <f t="array" ref="AX29">bdRateExtend($C29:$C32,J29:J32,$U29:$U32,AB29:AB32,"None", FALSE,1)</f>
        <v>#VALUE!</v>
      </c>
      <c r="AY29" s="174" t="e" cm="1">
        <f t="array" ref="AY29">bdRateExtend($C29:$C34,J29:J34,$U29:$U34,AB29:AB34,"None", FALSE,TRUE)</f>
        <v>#VALUE!</v>
      </c>
      <c r="AZ29" s="285" cm="1">
        <f t="array" ref="AZ29">testVMAFRange($C29:$C32,J29:J32,$U29:$U32,AB29:AB32)</f>
        <v>0</v>
      </c>
      <c r="BA29" s="211" cm="1">
        <f t="array" ref="BA29">testVMAFRange($C29:$C34,J29:J34,$U29:$U34,AB29:AB34)</f>
        <v>0</v>
      </c>
      <c r="EV29" s="7"/>
      <c r="EW29" s="7"/>
      <c r="EX29" s="7"/>
      <c r="EY29" s="7"/>
      <c r="EZ29" s="7"/>
      <c r="FA29" s="7"/>
      <c r="FB29" s="7"/>
      <c r="FC29" s="7"/>
    </row>
    <row r="30" spans="1:159" x14ac:dyDescent="0.15">
      <c r="A30" s="250"/>
      <c r="B30" s="38">
        <v>135</v>
      </c>
      <c r="C30" s="129">
        <f>Anchor!L63</f>
        <v>0</v>
      </c>
      <c r="D30" s="129">
        <f>Anchor!M63</f>
        <v>0</v>
      </c>
      <c r="E30" s="129">
        <f>Anchor!N63</f>
        <v>0</v>
      </c>
      <c r="F30" s="129">
        <f>Anchor!O63</f>
        <v>0</v>
      </c>
      <c r="G30" s="130">
        <f>('Summary (Full)'!$B$34*D30+'Summary (Full)'!$B$35*E30+'Summary (Full)'!$B$36*F30)/'Summary (Full)'!$B$37</f>
        <v>0</v>
      </c>
      <c r="H30" s="129">
        <f>Anchor!P63</f>
        <v>0</v>
      </c>
      <c r="I30" s="129">
        <f>Anchor!Q63</f>
        <v>0</v>
      </c>
      <c r="J30" s="129">
        <f>Anchor!R63</f>
        <v>0</v>
      </c>
      <c r="K30" s="129">
        <f>Anchor!S63</f>
        <v>0</v>
      </c>
      <c r="L30" s="129">
        <f>Anchor!T63</f>
        <v>0</v>
      </c>
      <c r="M30" s="129">
        <f>Anchor!U63</f>
        <v>0</v>
      </c>
      <c r="N30" s="129">
        <f>Anchor!V63</f>
        <v>0</v>
      </c>
      <c r="O30" s="129">
        <f>Anchor!W63</f>
        <v>0</v>
      </c>
      <c r="P30" s="129">
        <f>Anchor!X63</f>
        <v>0</v>
      </c>
      <c r="Q30" s="131">
        <f>10*LOG10(1/(('Summary (Full)'!$B$41/10^(N30/10)+'Summary (Full)'!$B$42/10^(O30/10)+'Summary (Full)'!$B$43/10^(P30/10))/'Summary (Full)'!$B$44))</f>
        <v>0</v>
      </c>
      <c r="R30" s="129">
        <f>Anchor!Y63</f>
        <v>0</v>
      </c>
      <c r="S30" s="129">
        <f>Anchor!Z63</f>
        <v>0</v>
      </c>
      <c r="T30" s="132"/>
      <c r="U30" s="129">
        <f>Test!L63</f>
        <v>0</v>
      </c>
      <c r="V30" s="129">
        <f>Test!M63</f>
        <v>0</v>
      </c>
      <c r="W30" s="129">
        <f>Test!N63</f>
        <v>0</v>
      </c>
      <c r="X30" s="129">
        <f>Test!O63</f>
        <v>0</v>
      </c>
      <c r="Y30" s="129">
        <f>('Summary (Full)'!$B$34*V30+'Summary (Full)'!$B$35*W30+'Summary (Full)'!$B$36*X30)/'Summary (Full)'!$B$37</f>
        <v>0</v>
      </c>
      <c r="Z30" s="129">
        <f>Test!P63</f>
        <v>0</v>
      </c>
      <c r="AA30" s="129">
        <f>Test!Q63</f>
        <v>0</v>
      </c>
      <c r="AB30" s="129">
        <f>Test!R63</f>
        <v>0</v>
      </c>
      <c r="AC30" s="129">
        <f>Test!S63</f>
        <v>0</v>
      </c>
      <c r="AD30" s="129">
        <f>Test!T63</f>
        <v>0</v>
      </c>
      <c r="AE30" s="129">
        <f>Test!U63</f>
        <v>0</v>
      </c>
      <c r="AF30" s="129">
        <f>Test!V63</f>
        <v>0</v>
      </c>
      <c r="AG30" s="129">
        <f>Test!W63</f>
        <v>0</v>
      </c>
      <c r="AH30" s="129">
        <f>Test!X63</f>
        <v>0</v>
      </c>
      <c r="AI30" s="129">
        <f>10*LOG10(1/(('Summary (Full)'!$B$41/10^(AF30/10)+'Summary (Full)'!$B$42/10^(AG30/10)+'Summary (Full)'!$B$43/10^(AH30/10))/'Summary (Full)'!$B$44))</f>
        <v>0</v>
      </c>
      <c r="AJ30" s="129">
        <f>Test!Y63</f>
        <v>0</v>
      </c>
      <c r="AK30" s="129">
        <f>Test!Z63</f>
        <v>0</v>
      </c>
      <c r="AL30" s="129" t="e">
        <f t="shared" si="2"/>
        <v>#DIV/0!</v>
      </c>
      <c r="AM30" s="129" t="e">
        <f t="shared" si="2"/>
        <v>#DIV/0!</v>
      </c>
      <c r="AO30" s="254"/>
      <c r="AP30" s="172"/>
      <c r="AQ30" s="172"/>
      <c r="AR30" s="172"/>
      <c r="AS30" s="172"/>
      <c r="AT30" s="172"/>
      <c r="AU30" s="172"/>
      <c r="AV30" s="172"/>
      <c r="AW30" s="172"/>
      <c r="AX30" s="172"/>
      <c r="AY30" s="175"/>
      <c r="AZ30" s="286"/>
      <c r="BA30" s="212"/>
      <c r="EV30" s="7"/>
      <c r="EW30" s="7"/>
      <c r="EX30" s="7"/>
      <c r="EY30" s="7"/>
      <c r="EZ30" s="7"/>
      <c r="FA30" s="7"/>
      <c r="FB30" s="7"/>
      <c r="FC30" s="7"/>
    </row>
    <row r="31" spans="1:159" ht="13" customHeight="1" x14ac:dyDescent="0.15">
      <c r="A31" s="250"/>
      <c r="B31" s="38">
        <v>160</v>
      </c>
      <c r="C31" s="129">
        <f>Anchor!L64</f>
        <v>0</v>
      </c>
      <c r="D31" s="129">
        <f>Anchor!M64</f>
        <v>0</v>
      </c>
      <c r="E31" s="129">
        <f>Anchor!N64</f>
        <v>0</v>
      </c>
      <c r="F31" s="129">
        <f>Anchor!O64</f>
        <v>0</v>
      </c>
      <c r="G31" s="130">
        <f>('Summary (Full)'!$B$34*D31+'Summary (Full)'!$B$35*E31+'Summary (Full)'!$B$36*F31)/'Summary (Full)'!$B$37</f>
        <v>0</v>
      </c>
      <c r="H31" s="129">
        <f>Anchor!P64</f>
        <v>0</v>
      </c>
      <c r="I31" s="129">
        <f>Anchor!Q64</f>
        <v>0</v>
      </c>
      <c r="J31" s="129">
        <f>Anchor!R64</f>
        <v>0</v>
      </c>
      <c r="K31" s="129">
        <f>Anchor!S64</f>
        <v>0</v>
      </c>
      <c r="L31" s="129">
        <f>Anchor!T64</f>
        <v>0</v>
      </c>
      <c r="M31" s="129">
        <f>Anchor!U64</f>
        <v>0</v>
      </c>
      <c r="N31" s="129">
        <f>Anchor!V64</f>
        <v>0</v>
      </c>
      <c r="O31" s="129">
        <f>Anchor!W64</f>
        <v>0</v>
      </c>
      <c r="P31" s="129">
        <f>Anchor!X64</f>
        <v>0</v>
      </c>
      <c r="Q31" s="131">
        <f>10*LOG10(1/(('Summary (Full)'!$B$41/10^(N31/10)+'Summary (Full)'!$B$42/10^(O31/10)+'Summary (Full)'!$B$43/10^(P31/10))/'Summary (Full)'!$B$44))</f>
        <v>0</v>
      </c>
      <c r="R31" s="129">
        <f>Anchor!Y64</f>
        <v>0</v>
      </c>
      <c r="S31" s="129">
        <f>Anchor!Z64</f>
        <v>0</v>
      </c>
      <c r="T31" s="132"/>
      <c r="U31" s="129">
        <f>Test!L64</f>
        <v>0</v>
      </c>
      <c r="V31" s="129">
        <f>Test!M64</f>
        <v>0</v>
      </c>
      <c r="W31" s="129">
        <f>Test!N64</f>
        <v>0</v>
      </c>
      <c r="X31" s="129">
        <f>Test!O64</f>
        <v>0</v>
      </c>
      <c r="Y31" s="129">
        <f>('Summary (Full)'!$B$34*V31+'Summary (Full)'!$B$35*W31+'Summary (Full)'!$B$36*X31)/'Summary (Full)'!$B$37</f>
        <v>0</v>
      </c>
      <c r="Z31" s="129">
        <f>Test!P64</f>
        <v>0</v>
      </c>
      <c r="AA31" s="129">
        <f>Test!Q64</f>
        <v>0</v>
      </c>
      <c r="AB31" s="129">
        <f>Test!R64</f>
        <v>0</v>
      </c>
      <c r="AC31" s="129">
        <f>Test!S64</f>
        <v>0</v>
      </c>
      <c r="AD31" s="129">
        <f>Test!T64</f>
        <v>0</v>
      </c>
      <c r="AE31" s="129">
        <f>Test!U64</f>
        <v>0</v>
      </c>
      <c r="AF31" s="129">
        <f>Test!V64</f>
        <v>0</v>
      </c>
      <c r="AG31" s="129">
        <f>Test!W64</f>
        <v>0</v>
      </c>
      <c r="AH31" s="129">
        <f>Test!X64</f>
        <v>0</v>
      </c>
      <c r="AI31" s="129">
        <f>10*LOG10(1/(('Summary (Full)'!$B$41/10^(AF31/10)+'Summary (Full)'!$B$42/10^(AG31/10)+'Summary (Full)'!$B$43/10^(AH31/10))/'Summary (Full)'!$B$44))</f>
        <v>0</v>
      </c>
      <c r="AJ31" s="129">
        <f>Test!Y64</f>
        <v>0</v>
      </c>
      <c r="AK31" s="129">
        <f>Test!Z64</f>
        <v>0</v>
      </c>
      <c r="AL31" s="129" t="e">
        <f t="shared" si="2"/>
        <v>#DIV/0!</v>
      </c>
      <c r="AM31" s="129" t="e">
        <f t="shared" si="2"/>
        <v>#DIV/0!</v>
      </c>
      <c r="AO31" s="254" t="s">
        <v>28</v>
      </c>
      <c r="AP31" s="172" t="e" cm="1">
        <f t="array" ref="AP31">bdRateExtend($C30:$C33,D30:D33,$U30:$U33,V30:V33)</f>
        <v>#VALUE!</v>
      </c>
      <c r="AQ31" s="172"/>
      <c r="AR31" s="172"/>
      <c r="AS31" s="172"/>
      <c r="AT31" s="172" t="e" cm="1">
        <f t="array" ref="AT31">bdRateExtend($C30:$C33,H30:H33,$U30:$U33,Z30:Z33)</f>
        <v>#VALUE!</v>
      </c>
      <c r="AU31" s="172"/>
      <c r="AV31" s="172" t="e" cm="1">
        <f t="array" ref="AV31">bdRateExtend($C30:$C33,I30:I33,$U30:$U33,AA30:AA33)</f>
        <v>#VALUE!</v>
      </c>
      <c r="AW31" s="172"/>
      <c r="AX31" s="172" t="e" cm="1">
        <f t="array" ref="AX31">bdRateExtend($C30:$C33,J30:J33,$U30:$U33,AB30:AB33,"None", FALSE,1)</f>
        <v>#VALUE!</v>
      </c>
      <c r="AY31" s="175"/>
      <c r="AZ31" s="286" cm="1">
        <f t="array" ref="AZ31">testVMAFRange($C30:$C33,J30:J33,$U30:$U33,AB30:AB33)</f>
        <v>0</v>
      </c>
      <c r="BA31" s="212"/>
      <c r="EV31" s="7"/>
      <c r="EW31" s="7"/>
      <c r="EX31" s="7"/>
      <c r="EY31" s="7"/>
      <c r="EZ31" s="7"/>
      <c r="FA31" s="7"/>
      <c r="FB31" s="7"/>
      <c r="FC31" s="7"/>
    </row>
    <row r="32" spans="1:159" x14ac:dyDescent="0.15">
      <c r="A32" s="250"/>
      <c r="B32" s="38">
        <v>185</v>
      </c>
      <c r="C32" s="129">
        <f>Anchor!L65</f>
        <v>0</v>
      </c>
      <c r="D32" s="129">
        <f>Anchor!M65</f>
        <v>0</v>
      </c>
      <c r="E32" s="129">
        <f>Anchor!N65</f>
        <v>0</v>
      </c>
      <c r="F32" s="129">
        <f>Anchor!O65</f>
        <v>0</v>
      </c>
      <c r="G32" s="130">
        <f>('Summary (Full)'!$B$34*D32+'Summary (Full)'!$B$35*E32+'Summary (Full)'!$B$36*F32)/'Summary (Full)'!$B$37</f>
        <v>0</v>
      </c>
      <c r="H32" s="129">
        <f>Anchor!P65</f>
        <v>0</v>
      </c>
      <c r="I32" s="129">
        <f>Anchor!Q65</f>
        <v>0</v>
      </c>
      <c r="J32" s="129">
        <f>Anchor!R65</f>
        <v>0</v>
      </c>
      <c r="K32" s="129">
        <f>Anchor!S65</f>
        <v>0</v>
      </c>
      <c r="L32" s="129">
        <f>Anchor!T65</f>
        <v>0</v>
      </c>
      <c r="M32" s="129">
        <f>Anchor!U65</f>
        <v>0</v>
      </c>
      <c r="N32" s="129">
        <f>Anchor!V65</f>
        <v>0</v>
      </c>
      <c r="O32" s="129">
        <f>Anchor!W65</f>
        <v>0</v>
      </c>
      <c r="P32" s="129">
        <f>Anchor!X65</f>
        <v>0</v>
      </c>
      <c r="Q32" s="131">
        <f>10*LOG10(1/(('Summary (Full)'!$B$41/10^(N32/10)+'Summary (Full)'!$B$42/10^(O32/10)+'Summary (Full)'!$B$43/10^(P32/10))/'Summary (Full)'!$B$44))</f>
        <v>0</v>
      </c>
      <c r="R32" s="129">
        <f>Anchor!Y65</f>
        <v>0</v>
      </c>
      <c r="S32" s="129">
        <f>Anchor!Z65</f>
        <v>0</v>
      </c>
      <c r="T32" s="132"/>
      <c r="U32" s="129">
        <f>Test!L65</f>
        <v>0</v>
      </c>
      <c r="V32" s="129">
        <f>Test!M65</f>
        <v>0</v>
      </c>
      <c r="W32" s="129">
        <f>Test!N65</f>
        <v>0</v>
      </c>
      <c r="X32" s="129">
        <f>Test!O65</f>
        <v>0</v>
      </c>
      <c r="Y32" s="129">
        <f>('Summary (Full)'!$B$34*V32+'Summary (Full)'!$B$35*W32+'Summary (Full)'!$B$36*X32)/'Summary (Full)'!$B$37</f>
        <v>0</v>
      </c>
      <c r="Z32" s="129">
        <f>Test!P65</f>
        <v>0</v>
      </c>
      <c r="AA32" s="129">
        <f>Test!Q65</f>
        <v>0</v>
      </c>
      <c r="AB32" s="129">
        <f>Test!R65</f>
        <v>0</v>
      </c>
      <c r="AC32" s="129">
        <f>Test!S65</f>
        <v>0</v>
      </c>
      <c r="AD32" s="129">
        <f>Test!T65</f>
        <v>0</v>
      </c>
      <c r="AE32" s="129">
        <f>Test!U65</f>
        <v>0</v>
      </c>
      <c r="AF32" s="129">
        <f>Test!V65</f>
        <v>0</v>
      </c>
      <c r="AG32" s="129">
        <f>Test!W65</f>
        <v>0</v>
      </c>
      <c r="AH32" s="129">
        <f>Test!X65</f>
        <v>0</v>
      </c>
      <c r="AI32" s="129">
        <f>10*LOG10(1/(('Summary (Full)'!$B$41/10^(AF32/10)+'Summary (Full)'!$B$42/10^(AG32/10)+'Summary (Full)'!$B$43/10^(AH32/10))/'Summary (Full)'!$B$44))</f>
        <v>0</v>
      </c>
      <c r="AJ32" s="129">
        <f>Test!Y65</f>
        <v>0</v>
      </c>
      <c r="AK32" s="129">
        <f>Test!Z65</f>
        <v>0</v>
      </c>
      <c r="AL32" s="129" t="e">
        <f t="shared" si="2"/>
        <v>#DIV/0!</v>
      </c>
      <c r="AM32" s="129" t="e">
        <f t="shared" si="2"/>
        <v>#DIV/0!</v>
      </c>
      <c r="AO32" s="254"/>
      <c r="AP32" s="172"/>
      <c r="AQ32" s="172"/>
      <c r="AR32" s="172"/>
      <c r="AS32" s="172"/>
      <c r="AT32" s="172"/>
      <c r="AU32" s="172"/>
      <c r="AV32" s="172"/>
      <c r="AW32" s="172"/>
      <c r="AX32" s="172"/>
      <c r="AY32" s="175"/>
      <c r="AZ32" s="286"/>
      <c r="BA32" s="212"/>
      <c r="EV32" s="7"/>
      <c r="EW32" s="7"/>
      <c r="EX32" s="7"/>
      <c r="EY32" s="7"/>
      <c r="EZ32" s="7"/>
      <c r="FA32" s="7"/>
      <c r="FB32" s="7"/>
      <c r="FC32" s="7"/>
    </row>
    <row r="33" spans="1:159" ht="13" customHeight="1" x14ac:dyDescent="0.15">
      <c r="A33" s="250"/>
      <c r="B33" s="38">
        <v>210</v>
      </c>
      <c r="C33" s="129">
        <f>Anchor!L66</f>
        <v>0</v>
      </c>
      <c r="D33" s="129">
        <f>Anchor!M66</f>
        <v>0</v>
      </c>
      <c r="E33" s="129">
        <f>Anchor!N66</f>
        <v>0</v>
      </c>
      <c r="F33" s="129">
        <f>Anchor!O66</f>
        <v>0</v>
      </c>
      <c r="G33" s="130">
        <f>('Summary (Full)'!$B$34*D33+'Summary (Full)'!$B$35*E33+'Summary (Full)'!$B$36*F33)/'Summary (Full)'!$B$37</f>
        <v>0</v>
      </c>
      <c r="H33" s="129">
        <f>Anchor!P66</f>
        <v>0</v>
      </c>
      <c r="I33" s="129">
        <f>Anchor!Q66</f>
        <v>0</v>
      </c>
      <c r="J33" s="129">
        <f>Anchor!R66</f>
        <v>0</v>
      </c>
      <c r="K33" s="129">
        <f>Anchor!S66</f>
        <v>0</v>
      </c>
      <c r="L33" s="129">
        <f>Anchor!T66</f>
        <v>0</v>
      </c>
      <c r="M33" s="129">
        <f>Anchor!U66</f>
        <v>0</v>
      </c>
      <c r="N33" s="129">
        <f>Anchor!V66</f>
        <v>0</v>
      </c>
      <c r="O33" s="129">
        <f>Anchor!W66</f>
        <v>0</v>
      </c>
      <c r="P33" s="129">
        <f>Anchor!X66</f>
        <v>0</v>
      </c>
      <c r="Q33" s="131">
        <f>10*LOG10(1/(('Summary (Full)'!$B$41/10^(N33/10)+'Summary (Full)'!$B$42/10^(O33/10)+'Summary (Full)'!$B$43/10^(P33/10))/'Summary (Full)'!$B$44))</f>
        <v>0</v>
      </c>
      <c r="R33" s="129">
        <f>Anchor!Y66</f>
        <v>0</v>
      </c>
      <c r="S33" s="129">
        <f>Anchor!Z66</f>
        <v>0</v>
      </c>
      <c r="T33" s="132"/>
      <c r="U33" s="129">
        <f>Test!L66</f>
        <v>0</v>
      </c>
      <c r="V33" s="129">
        <f>Test!M66</f>
        <v>0</v>
      </c>
      <c r="W33" s="129">
        <f>Test!N66</f>
        <v>0</v>
      </c>
      <c r="X33" s="129">
        <f>Test!O66</f>
        <v>0</v>
      </c>
      <c r="Y33" s="129">
        <f>('Summary (Full)'!$B$34*V33+'Summary (Full)'!$B$35*W33+'Summary (Full)'!$B$36*X33)/'Summary (Full)'!$B$37</f>
        <v>0</v>
      </c>
      <c r="Z33" s="129">
        <f>Test!P66</f>
        <v>0</v>
      </c>
      <c r="AA33" s="129">
        <f>Test!Q66</f>
        <v>0</v>
      </c>
      <c r="AB33" s="129">
        <f>Test!R66</f>
        <v>0</v>
      </c>
      <c r="AC33" s="129">
        <f>Test!S66</f>
        <v>0</v>
      </c>
      <c r="AD33" s="129">
        <f>Test!T66</f>
        <v>0</v>
      </c>
      <c r="AE33" s="129">
        <f>Test!U66</f>
        <v>0</v>
      </c>
      <c r="AF33" s="129">
        <f>Test!V66</f>
        <v>0</v>
      </c>
      <c r="AG33" s="129">
        <f>Test!W66</f>
        <v>0</v>
      </c>
      <c r="AH33" s="129">
        <f>Test!X66</f>
        <v>0</v>
      </c>
      <c r="AI33" s="129">
        <f>10*LOG10(1/(('Summary (Full)'!$B$41/10^(AF33/10)+'Summary (Full)'!$B$42/10^(AG33/10)+'Summary (Full)'!$B$43/10^(AH33/10))/'Summary (Full)'!$B$44))</f>
        <v>0</v>
      </c>
      <c r="AJ33" s="129">
        <f>Test!Y66</f>
        <v>0</v>
      </c>
      <c r="AK33" s="129">
        <f>Test!Z66</f>
        <v>0</v>
      </c>
      <c r="AL33" s="129" t="e">
        <f t="shared" si="2"/>
        <v>#DIV/0!</v>
      </c>
      <c r="AM33" s="129" t="e">
        <f t="shared" si="2"/>
        <v>#DIV/0!</v>
      </c>
      <c r="AO33" s="254" t="s">
        <v>29</v>
      </c>
      <c r="AP33" s="172" t="e" cm="1">
        <f t="array" ref="AP33">bdRateExtend($C31:$C34,D31:D34,$U31:$U34,V31:V34)</f>
        <v>#VALUE!</v>
      </c>
      <c r="AQ33" s="172"/>
      <c r="AR33" s="172"/>
      <c r="AS33" s="172"/>
      <c r="AT33" s="172" t="e" cm="1">
        <f t="array" ref="AT33">bdRateExtend($C31:$C34,H31:H34,$U31:$U34,Z31:Z34)</f>
        <v>#VALUE!</v>
      </c>
      <c r="AU33" s="172"/>
      <c r="AV33" s="172" t="e" cm="1">
        <f t="array" ref="AV33">bdRateExtend($C31:$C34,I31:I34,$U31:$U34,AA31:AA34)</f>
        <v>#VALUE!</v>
      </c>
      <c r="AW33" s="172"/>
      <c r="AX33" s="172" t="e" cm="1">
        <f t="array" ref="AX33">bdRateExtend($C31:$C34,J31:J34,$U31:$U34,AB31:AB34,"None", FALSE,1)</f>
        <v>#VALUE!</v>
      </c>
      <c r="AY33" s="175"/>
      <c r="AZ33" s="286" cm="1">
        <f t="array" ref="AZ33">testVMAFRange($C31:$C34,J31:J34,$U31:$U34,AB31:AB34)</f>
        <v>0</v>
      </c>
      <c r="BA33" s="212"/>
      <c r="EV33" s="7"/>
      <c r="EW33" s="7"/>
      <c r="EX33" s="7"/>
      <c r="EY33" s="7"/>
      <c r="EZ33" s="7"/>
      <c r="FA33" s="7"/>
      <c r="FB33" s="7"/>
      <c r="FC33" s="7"/>
    </row>
    <row r="34" spans="1:159" ht="14" thickBot="1" x14ac:dyDescent="0.2">
      <c r="A34" s="250"/>
      <c r="B34" s="38">
        <v>235</v>
      </c>
      <c r="C34" s="129">
        <f>Anchor!L67</f>
        <v>0</v>
      </c>
      <c r="D34" s="129">
        <f>Anchor!M67</f>
        <v>0</v>
      </c>
      <c r="E34" s="129">
        <f>Anchor!N67</f>
        <v>0</v>
      </c>
      <c r="F34" s="129">
        <f>Anchor!O67</f>
        <v>0</v>
      </c>
      <c r="G34" s="130">
        <f>('Summary (Full)'!$B$34*D34+'Summary (Full)'!$B$35*E34+'Summary (Full)'!$B$36*F34)/'Summary (Full)'!$B$37</f>
        <v>0</v>
      </c>
      <c r="H34" s="129">
        <f>Anchor!P67</f>
        <v>0</v>
      </c>
      <c r="I34" s="129">
        <f>Anchor!Q67</f>
        <v>0</v>
      </c>
      <c r="J34" s="129">
        <f>Anchor!R67</f>
        <v>0</v>
      </c>
      <c r="K34" s="129">
        <f>Anchor!S67</f>
        <v>0</v>
      </c>
      <c r="L34" s="129">
        <f>Anchor!T67</f>
        <v>0</v>
      </c>
      <c r="M34" s="129">
        <f>Anchor!U67</f>
        <v>0</v>
      </c>
      <c r="N34" s="129">
        <f>Anchor!V67</f>
        <v>0</v>
      </c>
      <c r="O34" s="129">
        <f>Anchor!W67</f>
        <v>0</v>
      </c>
      <c r="P34" s="129">
        <f>Anchor!X67</f>
        <v>0</v>
      </c>
      <c r="Q34" s="131">
        <f>10*LOG10(1/(('Summary (Full)'!$B$41/10^(N34/10)+'Summary (Full)'!$B$42/10^(O34/10)+'Summary (Full)'!$B$43/10^(P34/10))/'Summary (Full)'!$B$44))</f>
        <v>0</v>
      </c>
      <c r="R34" s="129">
        <f>Anchor!Y67</f>
        <v>0</v>
      </c>
      <c r="S34" s="129">
        <f>Anchor!Z67</f>
        <v>0</v>
      </c>
      <c r="T34" s="132"/>
      <c r="U34" s="129">
        <f>Test!L67</f>
        <v>0</v>
      </c>
      <c r="V34" s="129">
        <f>Test!M67</f>
        <v>0</v>
      </c>
      <c r="W34" s="129">
        <f>Test!N67</f>
        <v>0</v>
      </c>
      <c r="X34" s="129">
        <f>Test!O67</f>
        <v>0</v>
      </c>
      <c r="Y34" s="129">
        <f>('Summary (Full)'!$B$34*V34+'Summary (Full)'!$B$35*W34+'Summary (Full)'!$B$36*X34)/'Summary (Full)'!$B$37</f>
        <v>0</v>
      </c>
      <c r="Z34" s="129">
        <f>Test!P67</f>
        <v>0</v>
      </c>
      <c r="AA34" s="129">
        <f>Test!Q67</f>
        <v>0</v>
      </c>
      <c r="AB34" s="129">
        <f>Test!R67</f>
        <v>0</v>
      </c>
      <c r="AC34" s="129">
        <f>Test!S67</f>
        <v>0</v>
      </c>
      <c r="AD34" s="129">
        <f>Test!T67</f>
        <v>0</v>
      </c>
      <c r="AE34" s="129">
        <f>Test!U67</f>
        <v>0</v>
      </c>
      <c r="AF34" s="129">
        <f>Test!V67</f>
        <v>0</v>
      </c>
      <c r="AG34" s="129">
        <f>Test!W67</f>
        <v>0</v>
      </c>
      <c r="AH34" s="129">
        <f>Test!X67</f>
        <v>0</v>
      </c>
      <c r="AI34" s="129">
        <f>10*LOG10(1/(('Summary (Full)'!$B$41/10^(AF34/10)+'Summary (Full)'!$B$42/10^(AG34/10)+'Summary (Full)'!$B$43/10^(AH34/10))/'Summary (Full)'!$B$44))</f>
        <v>0</v>
      </c>
      <c r="AJ34" s="129">
        <f>Test!Y67</f>
        <v>0</v>
      </c>
      <c r="AK34" s="129">
        <f>Test!Z67</f>
        <v>0</v>
      </c>
      <c r="AL34" s="129" t="e">
        <f t="shared" si="2"/>
        <v>#DIV/0!</v>
      </c>
      <c r="AM34" s="129" t="e">
        <f t="shared" si="2"/>
        <v>#DIV/0!</v>
      </c>
      <c r="AO34" s="263"/>
      <c r="AP34" s="173"/>
      <c r="AQ34" s="173"/>
      <c r="AR34" s="173"/>
      <c r="AS34" s="173"/>
      <c r="AT34" s="173"/>
      <c r="AU34" s="173"/>
      <c r="AV34" s="173"/>
      <c r="AW34" s="173"/>
      <c r="AX34" s="173"/>
      <c r="AY34" s="188"/>
      <c r="AZ34" s="287"/>
      <c r="BA34" s="240"/>
      <c r="EV34" s="7"/>
      <c r="EW34" s="7"/>
      <c r="EX34" s="7"/>
      <c r="EY34" s="7"/>
      <c r="EZ34" s="7"/>
      <c r="FA34" s="7"/>
      <c r="FB34" s="7"/>
      <c r="FC34" s="7"/>
    </row>
    <row r="35" spans="1:159" ht="13" customHeight="1" x14ac:dyDescent="0.15">
      <c r="A35" s="250" t="s">
        <v>20</v>
      </c>
      <c r="B35" s="38">
        <v>110</v>
      </c>
      <c r="C35" s="129">
        <f>Anchor!L68</f>
        <v>0</v>
      </c>
      <c r="D35" s="129">
        <f>Anchor!M68</f>
        <v>0</v>
      </c>
      <c r="E35" s="129">
        <f>Anchor!N68</f>
        <v>0</v>
      </c>
      <c r="F35" s="129">
        <f>Anchor!O68</f>
        <v>0</v>
      </c>
      <c r="G35" s="130">
        <f>('Summary (Full)'!$B$34*D35+'Summary (Full)'!$B$35*E35+'Summary (Full)'!$B$36*F35)/'Summary (Full)'!$B$37</f>
        <v>0</v>
      </c>
      <c r="H35" s="129">
        <f>Anchor!P68</f>
        <v>0</v>
      </c>
      <c r="I35" s="129">
        <f>Anchor!Q68</f>
        <v>0</v>
      </c>
      <c r="J35" s="129">
        <f>Anchor!R68</f>
        <v>0</v>
      </c>
      <c r="K35" s="129">
        <f>Anchor!S68</f>
        <v>0</v>
      </c>
      <c r="L35" s="129">
        <f>Anchor!T68</f>
        <v>0</v>
      </c>
      <c r="M35" s="129">
        <f>Anchor!U68</f>
        <v>0</v>
      </c>
      <c r="N35" s="129">
        <f>Anchor!V68</f>
        <v>0</v>
      </c>
      <c r="O35" s="129">
        <f>Anchor!W68</f>
        <v>0</v>
      </c>
      <c r="P35" s="129">
        <f>Anchor!X68</f>
        <v>0</v>
      </c>
      <c r="Q35" s="131">
        <f>10*LOG10(1/(('Summary (Full)'!$B$41/10^(N35/10)+'Summary (Full)'!$B$42/10^(O35/10)+'Summary (Full)'!$B$43/10^(P35/10))/'Summary (Full)'!$B$44))</f>
        <v>0</v>
      </c>
      <c r="R35" s="129">
        <f>Anchor!Y68</f>
        <v>0</v>
      </c>
      <c r="S35" s="129">
        <f>Anchor!Z68</f>
        <v>0</v>
      </c>
      <c r="T35" s="132"/>
      <c r="U35" s="129">
        <f>Test!L68</f>
        <v>0</v>
      </c>
      <c r="V35" s="129">
        <f>Test!M68</f>
        <v>0</v>
      </c>
      <c r="W35" s="129">
        <f>Test!N68</f>
        <v>0</v>
      </c>
      <c r="X35" s="129">
        <f>Test!O68</f>
        <v>0</v>
      </c>
      <c r="Y35" s="129">
        <f>('Summary (Full)'!$B$34*V35+'Summary (Full)'!$B$35*W35+'Summary (Full)'!$B$36*X35)/'Summary (Full)'!$B$37</f>
        <v>0</v>
      </c>
      <c r="Z35" s="129">
        <f>Test!P68</f>
        <v>0</v>
      </c>
      <c r="AA35" s="129">
        <f>Test!Q68</f>
        <v>0</v>
      </c>
      <c r="AB35" s="129">
        <f>Test!R68</f>
        <v>0</v>
      </c>
      <c r="AC35" s="129">
        <f>Test!S68</f>
        <v>0</v>
      </c>
      <c r="AD35" s="129">
        <f>Test!T68</f>
        <v>0</v>
      </c>
      <c r="AE35" s="129">
        <f>Test!U68</f>
        <v>0</v>
      </c>
      <c r="AF35" s="129">
        <f>Test!V68</f>
        <v>0</v>
      </c>
      <c r="AG35" s="129">
        <f>Test!W68</f>
        <v>0</v>
      </c>
      <c r="AH35" s="129">
        <f>Test!X68</f>
        <v>0</v>
      </c>
      <c r="AI35" s="129">
        <f>10*LOG10(1/(('Summary (Full)'!$B$41/10^(AF35/10)+'Summary (Full)'!$B$42/10^(AG35/10)+'Summary (Full)'!$B$43/10^(AH35/10))/'Summary (Full)'!$B$44))</f>
        <v>0</v>
      </c>
      <c r="AJ35" s="129">
        <f>Test!Y68</f>
        <v>0</v>
      </c>
      <c r="AK35" s="129">
        <f>Test!Z68</f>
        <v>0</v>
      </c>
      <c r="AL35" s="129" t="e">
        <f t="shared" si="2"/>
        <v>#DIV/0!</v>
      </c>
      <c r="AM35" s="129" t="e">
        <f t="shared" si="2"/>
        <v>#DIV/0!</v>
      </c>
      <c r="AO35" s="253" t="s">
        <v>27</v>
      </c>
      <c r="AP35" s="171" t="e" cm="1">
        <f t="array" ref="AP35">bdRateExtend($C35:$C38,D35:D38,$U35:$U38,V35:V38)</f>
        <v>#VALUE!</v>
      </c>
      <c r="AQ35" s="171" t="e" cm="1">
        <f t="array" ref="AQ35">bdRateExtend($C35:$C40,D35:D40,$U35:$U40,V35:V40)</f>
        <v>#VALUE!</v>
      </c>
      <c r="AR35" s="171" t="e" cm="1">
        <f t="array" ref="AR35">bdRateExtend($C35:$C40,E35:E40,$U35:$U40,W35:W40)</f>
        <v>#VALUE!</v>
      </c>
      <c r="AS35" s="171" t="e" cm="1">
        <f t="array" ref="AS35">bdRateExtend($C35:$C40,F35:F40,$U35:$U40,X35:X40)</f>
        <v>#VALUE!</v>
      </c>
      <c r="AT35" s="171" t="e" cm="1">
        <f t="array" ref="AT35">bdRateExtend($C35:$C38,H35:H38,$U35:$U38,Z35:Z38)</f>
        <v>#VALUE!</v>
      </c>
      <c r="AU35" s="171" t="e" cm="1">
        <f t="array" ref="AU35">bdRateExtend($C35:$C40,H35:H40,$U35:$U40,Z35:Z40)</f>
        <v>#VALUE!</v>
      </c>
      <c r="AV35" s="171" t="e" cm="1">
        <f t="array" ref="AV35">bdRateExtend($C35:$C38,I35:I38,$U35:$U38,AA35:AA38)</f>
        <v>#VALUE!</v>
      </c>
      <c r="AW35" s="171" t="e" cm="1">
        <f t="array" ref="AW35">bdRateExtend($C35:$C40,I35:I40,$U35:$U40,AA35:AA40)</f>
        <v>#VALUE!</v>
      </c>
      <c r="AX35" s="171" t="e" cm="1">
        <f t="array" ref="AX35">bdRateExtend($C35:$C38,J35:J38,$U35:$U38,AB35:AB38,"None", FALSE,1)</f>
        <v>#VALUE!</v>
      </c>
      <c r="AY35" s="174" t="e" cm="1">
        <f t="array" ref="AY35">bdRateExtend($C35:$C40,J35:J40,$U35:$U40,AB35:AB40,"None", FALSE,TRUE)</f>
        <v>#VALUE!</v>
      </c>
      <c r="AZ35" s="285" cm="1">
        <f t="array" ref="AZ35">testVMAFRange($C35:$C38,J35:J38,$U35:$U38,AB35:AB38)</f>
        <v>0</v>
      </c>
      <c r="BA35" s="211" cm="1">
        <f t="array" ref="BA35">testVMAFRange($C35:$C40,J35:J40,$U35:$U40,AB35:AB40)</f>
        <v>0</v>
      </c>
      <c r="EV35" s="7"/>
      <c r="EW35" s="7"/>
      <c r="EX35" s="7"/>
      <c r="EY35" s="7"/>
      <c r="EZ35" s="7"/>
      <c r="FA35" s="7"/>
      <c r="FB35" s="7"/>
      <c r="FC35" s="7"/>
    </row>
    <row r="36" spans="1:159" x14ac:dyDescent="0.15">
      <c r="A36" s="250"/>
      <c r="B36" s="38">
        <v>135</v>
      </c>
      <c r="C36" s="129">
        <f>Anchor!L69</f>
        <v>0</v>
      </c>
      <c r="D36" s="129">
        <f>Anchor!M69</f>
        <v>0</v>
      </c>
      <c r="E36" s="129">
        <f>Anchor!N69</f>
        <v>0</v>
      </c>
      <c r="F36" s="129">
        <f>Anchor!O69</f>
        <v>0</v>
      </c>
      <c r="G36" s="130">
        <f>('Summary (Full)'!$B$34*D36+'Summary (Full)'!$B$35*E36+'Summary (Full)'!$B$36*F36)/'Summary (Full)'!$B$37</f>
        <v>0</v>
      </c>
      <c r="H36" s="129">
        <f>Anchor!P69</f>
        <v>0</v>
      </c>
      <c r="I36" s="129">
        <f>Anchor!Q69</f>
        <v>0</v>
      </c>
      <c r="J36" s="129">
        <f>Anchor!R69</f>
        <v>0</v>
      </c>
      <c r="K36" s="129">
        <f>Anchor!S69</f>
        <v>0</v>
      </c>
      <c r="L36" s="129">
        <f>Anchor!T69</f>
        <v>0</v>
      </c>
      <c r="M36" s="129">
        <f>Anchor!U69</f>
        <v>0</v>
      </c>
      <c r="N36" s="129">
        <f>Anchor!V69</f>
        <v>0</v>
      </c>
      <c r="O36" s="129">
        <f>Anchor!W69</f>
        <v>0</v>
      </c>
      <c r="P36" s="129">
        <f>Anchor!X69</f>
        <v>0</v>
      </c>
      <c r="Q36" s="131">
        <f>10*LOG10(1/(('Summary (Full)'!$B$41/10^(N36/10)+'Summary (Full)'!$B$42/10^(O36/10)+'Summary (Full)'!$B$43/10^(P36/10))/'Summary (Full)'!$B$44))</f>
        <v>0</v>
      </c>
      <c r="R36" s="129">
        <f>Anchor!Y69</f>
        <v>0</v>
      </c>
      <c r="S36" s="129">
        <f>Anchor!Z69</f>
        <v>0</v>
      </c>
      <c r="T36" s="132"/>
      <c r="U36" s="129">
        <f>Test!L69</f>
        <v>0</v>
      </c>
      <c r="V36" s="129">
        <f>Test!M69</f>
        <v>0</v>
      </c>
      <c r="W36" s="129">
        <f>Test!N69</f>
        <v>0</v>
      </c>
      <c r="X36" s="129">
        <f>Test!O69</f>
        <v>0</v>
      </c>
      <c r="Y36" s="129">
        <f>('Summary (Full)'!$B$34*V36+'Summary (Full)'!$B$35*W36+'Summary (Full)'!$B$36*X36)/'Summary (Full)'!$B$37</f>
        <v>0</v>
      </c>
      <c r="Z36" s="129">
        <f>Test!P69</f>
        <v>0</v>
      </c>
      <c r="AA36" s="129">
        <f>Test!Q69</f>
        <v>0</v>
      </c>
      <c r="AB36" s="129">
        <f>Test!R69</f>
        <v>0</v>
      </c>
      <c r="AC36" s="129">
        <f>Test!S69</f>
        <v>0</v>
      </c>
      <c r="AD36" s="129">
        <f>Test!T69</f>
        <v>0</v>
      </c>
      <c r="AE36" s="129">
        <f>Test!U69</f>
        <v>0</v>
      </c>
      <c r="AF36" s="129">
        <f>Test!V69</f>
        <v>0</v>
      </c>
      <c r="AG36" s="129">
        <f>Test!W69</f>
        <v>0</v>
      </c>
      <c r="AH36" s="129">
        <f>Test!X69</f>
        <v>0</v>
      </c>
      <c r="AI36" s="129">
        <f>10*LOG10(1/(('Summary (Full)'!$B$41/10^(AF36/10)+'Summary (Full)'!$B$42/10^(AG36/10)+'Summary (Full)'!$B$43/10^(AH36/10))/'Summary (Full)'!$B$44))</f>
        <v>0</v>
      </c>
      <c r="AJ36" s="129">
        <f>Test!Y69</f>
        <v>0</v>
      </c>
      <c r="AK36" s="129">
        <f>Test!Z69</f>
        <v>0</v>
      </c>
      <c r="AL36" s="129" t="e">
        <f t="shared" si="2"/>
        <v>#DIV/0!</v>
      </c>
      <c r="AM36" s="129" t="e">
        <f t="shared" si="2"/>
        <v>#DIV/0!</v>
      </c>
      <c r="AO36" s="254"/>
      <c r="AP36" s="172"/>
      <c r="AQ36" s="172"/>
      <c r="AR36" s="172"/>
      <c r="AS36" s="172"/>
      <c r="AT36" s="172"/>
      <c r="AU36" s="172"/>
      <c r="AV36" s="172"/>
      <c r="AW36" s="172"/>
      <c r="AX36" s="172"/>
      <c r="AY36" s="175"/>
      <c r="AZ36" s="286"/>
      <c r="BA36" s="212"/>
      <c r="EV36" s="7"/>
      <c r="EW36" s="7"/>
      <c r="EX36" s="7"/>
      <c r="EY36" s="7"/>
      <c r="EZ36" s="7"/>
      <c r="FA36" s="7"/>
      <c r="FB36" s="7"/>
      <c r="FC36" s="7"/>
    </row>
    <row r="37" spans="1:159" ht="13" customHeight="1" x14ac:dyDescent="0.15">
      <c r="A37" s="250"/>
      <c r="B37" s="38">
        <v>160</v>
      </c>
      <c r="C37" s="129">
        <f>Anchor!L70</f>
        <v>0</v>
      </c>
      <c r="D37" s="129">
        <f>Anchor!M70</f>
        <v>0</v>
      </c>
      <c r="E37" s="129">
        <f>Anchor!N70</f>
        <v>0</v>
      </c>
      <c r="F37" s="129">
        <f>Anchor!O70</f>
        <v>0</v>
      </c>
      <c r="G37" s="130">
        <f>('Summary (Full)'!$B$34*D37+'Summary (Full)'!$B$35*E37+'Summary (Full)'!$B$36*F37)/'Summary (Full)'!$B$37</f>
        <v>0</v>
      </c>
      <c r="H37" s="129">
        <f>Anchor!P70</f>
        <v>0</v>
      </c>
      <c r="I37" s="129">
        <f>Anchor!Q70</f>
        <v>0</v>
      </c>
      <c r="J37" s="129">
        <f>Anchor!R70</f>
        <v>0</v>
      </c>
      <c r="K37" s="129">
        <f>Anchor!S70</f>
        <v>0</v>
      </c>
      <c r="L37" s="129">
        <f>Anchor!T70</f>
        <v>0</v>
      </c>
      <c r="M37" s="129">
        <f>Anchor!U70</f>
        <v>0</v>
      </c>
      <c r="N37" s="129">
        <f>Anchor!V70</f>
        <v>0</v>
      </c>
      <c r="O37" s="129">
        <f>Anchor!W70</f>
        <v>0</v>
      </c>
      <c r="P37" s="129">
        <f>Anchor!X70</f>
        <v>0</v>
      </c>
      <c r="Q37" s="131">
        <f>10*LOG10(1/(('Summary (Full)'!$B$41/10^(N37/10)+'Summary (Full)'!$B$42/10^(O37/10)+'Summary (Full)'!$B$43/10^(P37/10))/'Summary (Full)'!$B$44))</f>
        <v>0</v>
      </c>
      <c r="R37" s="129">
        <f>Anchor!Y70</f>
        <v>0</v>
      </c>
      <c r="S37" s="129">
        <f>Anchor!Z70</f>
        <v>0</v>
      </c>
      <c r="T37" s="132"/>
      <c r="U37" s="129">
        <f>Test!L70</f>
        <v>0</v>
      </c>
      <c r="V37" s="129">
        <f>Test!M70</f>
        <v>0</v>
      </c>
      <c r="W37" s="129">
        <f>Test!N70</f>
        <v>0</v>
      </c>
      <c r="X37" s="129">
        <f>Test!O70</f>
        <v>0</v>
      </c>
      <c r="Y37" s="129">
        <f>('Summary (Full)'!$B$34*V37+'Summary (Full)'!$B$35*W37+'Summary (Full)'!$B$36*X37)/'Summary (Full)'!$B$37</f>
        <v>0</v>
      </c>
      <c r="Z37" s="129">
        <f>Test!P70</f>
        <v>0</v>
      </c>
      <c r="AA37" s="129">
        <f>Test!Q70</f>
        <v>0</v>
      </c>
      <c r="AB37" s="129">
        <f>Test!R70</f>
        <v>0</v>
      </c>
      <c r="AC37" s="129">
        <f>Test!S70</f>
        <v>0</v>
      </c>
      <c r="AD37" s="129">
        <f>Test!T70</f>
        <v>0</v>
      </c>
      <c r="AE37" s="129">
        <f>Test!U70</f>
        <v>0</v>
      </c>
      <c r="AF37" s="129">
        <f>Test!V70</f>
        <v>0</v>
      </c>
      <c r="AG37" s="129">
        <f>Test!W70</f>
        <v>0</v>
      </c>
      <c r="AH37" s="129">
        <f>Test!X70</f>
        <v>0</v>
      </c>
      <c r="AI37" s="129">
        <f>10*LOG10(1/(('Summary (Full)'!$B$41/10^(AF37/10)+'Summary (Full)'!$B$42/10^(AG37/10)+'Summary (Full)'!$B$43/10^(AH37/10))/'Summary (Full)'!$B$44))</f>
        <v>0</v>
      </c>
      <c r="AJ37" s="129">
        <f>Test!Y70</f>
        <v>0</v>
      </c>
      <c r="AK37" s="129">
        <f>Test!Z70</f>
        <v>0</v>
      </c>
      <c r="AL37" s="129" t="e">
        <f t="shared" si="2"/>
        <v>#DIV/0!</v>
      </c>
      <c r="AM37" s="129" t="e">
        <f t="shared" si="2"/>
        <v>#DIV/0!</v>
      </c>
      <c r="AO37" s="254" t="s">
        <v>28</v>
      </c>
      <c r="AP37" s="172" t="e" cm="1">
        <f t="array" ref="AP37">bdRateExtend($C36:$C39,D36:D39,$U36:$U39,V36:V39)</f>
        <v>#VALUE!</v>
      </c>
      <c r="AQ37" s="172"/>
      <c r="AR37" s="172"/>
      <c r="AS37" s="172"/>
      <c r="AT37" s="172" t="e" cm="1">
        <f t="array" ref="AT37">bdRateExtend($C36:$C39,H36:H39,$U36:$U39,Z36:Z39)</f>
        <v>#VALUE!</v>
      </c>
      <c r="AU37" s="172"/>
      <c r="AV37" s="172" t="e" cm="1">
        <f t="array" ref="AV37">bdRateExtend($C36:$C39,I36:I39,$U36:$U39,AA36:AA39)</f>
        <v>#VALUE!</v>
      </c>
      <c r="AW37" s="172"/>
      <c r="AX37" s="172" t="e" cm="1">
        <f t="array" ref="AX37">bdRateExtend($C36:$C39,J36:J39,$U36:$U39,AB36:AB39,"None", FALSE,1)</f>
        <v>#VALUE!</v>
      </c>
      <c r="AY37" s="175"/>
      <c r="AZ37" s="286" cm="1">
        <f t="array" ref="AZ37">testVMAFRange($C36:$C39,J36:J39,$U36:$U39,AB36:AB39)</f>
        <v>0</v>
      </c>
      <c r="BA37" s="212"/>
      <c r="EV37" s="7"/>
      <c r="EW37" s="7"/>
      <c r="EX37" s="7"/>
      <c r="EY37" s="7"/>
      <c r="EZ37" s="7"/>
      <c r="FA37" s="7"/>
      <c r="FB37" s="7"/>
      <c r="FC37" s="7"/>
    </row>
    <row r="38" spans="1:159" x14ac:dyDescent="0.15">
      <c r="A38" s="250"/>
      <c r="B38" s="38">
        <v>185</v>
      </c>
      <c r="C38" s="129">
        <f>Anchor!L71</f>
        <v>0</v>
      </c>
      <c r="D38" s="129">
        <f>Anchor!M71</f>
        <v>0</v>
      </c>
      <c r="E38" s="129">
        <f>Anchor!N71</f>
        <v>0</v>
      </c>
      <c r="F38" s="129">
        <f>Anchor!O71</f>
        <v>0</v>
      </c>
      <c r="G38" s="130">
        <f>('Summary (Full)'!$B$34*D38+'Summary (Full)'!$B$35*E38+'Summary (Full)'!$B$36*F38)/'Summary (Full)'!$B$37</f>
        <v>0</v>
      </c>
      <c r="H38" s="129">
        <f>Anchor!P71</f>
        <v>0</v>
      </c>
      <c r="I38" s="129">
        <f>Anchor!Q71</f>
        <v>0</v>
      </c>
      <c r="J38" s="129">
        <f>Anchor!R71</f>
        <v>0</v>
      </c>
      <c r="K38" s="129">
        <f>Anchor!S71</f>
        <v>0</v>
      </c>
      <c r="L38" s="129">
        <f>Anchor!T71</f>
        <v>0</v>
      </c>
      <c r="M38" s="129">
        <f>Anchor!U71</f>
        <v>0</v>
      </c>
      <c r="N38" s="129">
        <f>Anchor!V71</f>
        <v>0</v>
      </c>
      <c r="O38" s="129">
        <f>Anchor!W71</f>
        <v>0</v>
      </c>
      <c r="P38" s="129">
        <f>Anchor!X71</f>
        <v>0</v>
      </c>
      <c r="Q38" s="131">
        <f>10*LOG10(1/(('Summary (Full)'!$B$41/10^(N38/10)+'Summary (Full)'!$B$42/10^(O38/10)+'Summary (Full)'!$B$43/10^(P38/10))/'Summary (Full)'!$B$44))</f>
        <v>0</v>
      </c>
      <c r="R38" s="129">
        <f>Anchor!Y71</f>
        <v>0</v>
      </c>
      <c r="S38" s="129">
        <f>Anchor!Z71</f>
        <v>0</v>
      </c>
      <c r="T38" s="132"/>
      <c r="U38" s="129">
        <f>Test!L71</f>
        <v>0</v>
      </c>
      <c r="V38" s="129">
        <f>Test!M71</f>
        <v>0</v>
      </c>
      <c r="W38" s="129">
        <f>Test!N71</f>
        <v>0</v>
      </c>
      <c r="X38" s="129">
        <f>Test!O71</f>
        <v>0</v>
      </c>
      <c r="Y38" s="129">
        <f>('Summary (Full)'!$B$34*V38+'Summary (Full)'!$B$35*W38+'Summary (Full)'!$B$36*X38)/'Summary (Full)'!$B$37</f>
        <v>0</v>
      </c>
      <c r="Z38" s="129">
        <f>Test!P71</f>
        <v>0</v>
      </c>
      <c r="AA38" s="129">
        <f>Test!Q71</f>
        <v>0</v>
      </c>
      <c r="AB38" s="129">
        <f>Test!R71</f>
        <v>0</v>
      </c>
      <c r="AC38" s="129">
        <f>Test!S71</f>
        <v>0</v>
      </c>
      <c r="AD38" s="129">
        <f>Test!T71</f>
        <v>0</v>
      </c>
      <c r="AE38" s="129">
        <f>Test!U71</f>
        <v>0</v>
      </c>
      <c r="AF38" s="129">
        <f>Test!V71</f>
        <v>0</v>
      </c>
      <c r="AG38" s="129">
        <f>Test!W71</f>
        <v>0</v>
      </c>
      <c r="AH38" s="129">
        <f>Test!X71</f>
        <v>0</v>
      </c>
      <c r="AI38" s="129">
        <f>10*LOG10(1/(('Summary (Full)'!$B$41/10^(AF38/10)+'Summary (Full)'!$B$42/10^(AG38/10)+'Summary (Full)'!$B$43/10^(AH38/10))/'Summary (Full)'!$B$44))</f>
        <v>0</v>
      </c>
      <c r="AJ38" s="129">
        <f>Test!Y71</f>
        <v>0</v>
      </c>
      <c r="AK38" s="129">
        <f>Test!Z71</f>
        <v>0</v>
      </c>
      <c r="AL38" s="129" t="e">
        <f t="shared" si="2"/>
        <v>#DIV/0!</v>
      </c>
      <c r="AM38" s="129" t="e">
        <f t="shared" si="2"/>
        <v>#DIV/0!</v>
      </c>
      <c r="AO38" s="254"/>
      <c r="AP38" s="172"/>
      <c r="AQ38" s="172"/>
      <c r="AR38" s="172"/>
      <c r="AS38" s="172"/>
      <c r="AT38" s="172"/>
      <c r="AU38" s="172"/>
      <c r="AV38" s="172"/>
      <c r="AW38" s="172"/>
      <c r="AX38" s="172"/>
      <c r="AY38" s="175"/>
      <c r="AZ38" s="286"/>
      <c r="BA38" s="212"/>
      <c r="EV38" s="7"/>
      <c r="EW38" s="7"/>
      <c r="EX38" s="7"/>
      <c r="EY38" s="7"/>
      <c r="EZ38" s="7"/>
      <c r="FA38" s="7"/>
      <c r="FB38" s="7"/>
      <c r="FC38" s="7"/>
    </row>
    <row r="39" spans="1:159" ht="13" customHeight="1" x14ac:dyDescent="0.15">
      <c r="A39" s="250"/>
      <c r="B39" s="38">
        <v>210</v>
      </c>
      <c r="C39" s="129">
        <f>Anchor!L72</f>
        <v>0</v>
      </c>
      <c r="D39" s="129">
        <f>Anchor!M72</f>
        <v>0</v>
      </c>
      <c r="E39" s="129">
        <f>Anchor!N72</f>
        <v>0</v>
      </c>
      <c r="F39" s="129">
        <f>Anchor!O72</f>
        <v>0</v>
      </c>
      <c r="G39" s="130">
        <f>('Summary (Full)'!$B$34*D39+'Summary (Full)'!$B$35*E39+'Summary (Full)'!$B$36*F39)/'Summary (Full)'!$B$37</f>
        <v>0</v>
      </c>
      <c r="H39" s="129">
        <f>Anchor!P72</f>
        <v>0</v>
      </c>
      <c r="I39" s="129">
        <f>Anchor!Q72</f>
        <v>0</v>
      </c>
      <c r="J39" s="129">
        <f>Anchor!R72</f>
        <v>0</v>
      </c>
      <c r="K39" s="129">
        <f>Anchor!S72</f>
        <v>0</v>
      </c>
      <c r="L39" s="129">
        <f>Anchor!T72</f>
        <v>0</v>
      </c>
      <c r="M39" s="129">
        <f>Anchor!U72</f>
        <v>0</v>
      </c>
      <c r="N39" s="129">
        <f>Anchor!V72</f>
        <v>0</v>
      </c>
      <c r="O39" s="129">
        <f>Anchor!W72</f>
        <v>0</v>
      </c>
      <c r="P39" s="129">
        <f>Anchor!X72</f>
        <v>0</v>
      </c>
      <c r="Q39" s="131">
        <f>10*LOG10(1/(('Summary (Full)'!$B$41/10^(N39/10)+'Summary (Full)'!$B$42/10^(O39/10)+'Summary (Full)'!$B$43/10^(P39/10))/'Summary (Full)'!$B$44))</f>
        <v>0</v>
      </c>
      <c r="R39" s="129">
        <f>Anchor!Y72</f>
        <v>0</v>
      </c>
      <c r="S39" s="129">
        <f>Anchor!Z72</f>
        <v>0</v>
      </c>
      <c r="T39" s="132"/>
      <c r="U39" s="129">
        <f>Test!L72</f>
        <v>0</v>
      </c>
      <c r="V39" s="129">
        <f>Test!M72</f>
        <v>0</v>
      </c>
      <c r="W39" s="129">
        <f>Test!N72</f>
        <v>0</v>
      </c>
      <c r="X39" s="129">
        <f>Test!O72</f>
        <v>0</v>
      </c>
      <c r="Y39" s="129">
        <f>('Summary (Full)'!$B$34*V39+'Summary (Full)'!$B$35*W39+'Summary (Full)'!$B$36*X39)/'Summary (Full)'!$B$37</f>
        <v>0</v>
      </c>
      <c r="Z39" s="129">
        <f>Test!P72</f>
        <v>0</v>
      </c>
      <c r="AA39" s="129">
        <f>Test!Q72</f>
        <v>0</v>
      </c>
      <c r="AB39" s="129">
        <f>Test!R72</f>
        <v>0</v>
      </c>
      <c r="AC39" s="129">
        <f>Test!S72</f>
        <v>0</v>
      </c>
      <c r="AD39" s="129">
        <f>Test!T72</f>
        <v>0</v>
      </c>
      <c r="AE39" s="129">
        <f>Test!U72</f>
        <v>0</v>
      </c>
      <c r="AF39" s="129">
        <f>Test!V72</f>
        <v>0</v>
      </c>
      <c r="AG39" s="129">
        <f>Test!W72</f>
        <v>0</v>
      </c>
      <c r="AH39" s="129">
        <f>Test!X72</f>
        <v>0</v>
      </c>
      <c r="AI39" s="129">
        <f>10*LOG10(1/(('Summary (Full)'!$B$41/10^(AF39/10)+'Summary (Full)'!$B$42/10^(AG39/10)+'Summary (Full)'!$B$43/10^(AH39/10))/'Summary (Full)'!$B$44))</f>
        <v>0</v>
      </c>
      <c r="AJ39" s="129">
        <f>Test!Y72</f>
        <v>0</v>
      </c>
      <c r="AK39" s="129">
        <f>Test!Z72</f>
        <v>0</v>
      </c>
      <c r="AL39" s="129" t="e">
        <f t="shared" si="2"/>
        <v>#DIV/0!</v>
      </c>
      <c r="AM39" s="129" t="e">
        <f t="shared" si="2"/>
        <v>#DIV/0!</v>
      </c>
      <c r="AO39" s="254" t="s">
        <v>29</v>
      </c>
      <c r="AP39" s="172" t="e" cm="1">
        <f t="array" ref="AP39">bdRateExtend($C37:$C40,D37:D40,$U37:$U40,V37:V40)</f>
        <v>#VALUE!</v>
      </c>
      <c r="AQ39" s="172"/>
      <c r="AR39" s="172"/>
      <c r="AS39" s="172"/>
      <c r="AT39" s="172" t="e" cm="1">
        <f t="array" ref="AT39">bdRateExtend($C37:$C40,H37:H40,$U37:$U40,Z37:Z40)</f>
        <v>#VALUE!</v>
      </c>
      <c r="AU39" s="172"/>
      <c r="AV39" s="172" t="e" cm="1">
        <f t="array" ref="AV39">bdRateExtend($C37:$C40,I37:I40,$U37:$U40,AA37:AA40)</f>
        <v>#VALUE!</v>
      </c>
      <c r="AW39" s="172"/>
      <c r="AX39" s="172" t="e" cm="1">
        <f t="array" ref="AX39">bdRateExtend($C37:$C40,J37:J40,$U37:$U40,AB37:AB40,"None", FALSE,1)</f>
        <v>#VALUE!</v>
      </c>
      <c r="AY39" s="175"/>
      <c r="AZ39" s="286" cm="1">
        <f t="array" ref="AZ39">testVMAFRange($C37:$C40,J37:J40,$U37:$U40,AB37:AB40)</f>
        <v>0</v>
      </c>
      <c r="BA39" s="212"/>
      <c r="EV39" s="7"/>
      <c r="EW39" s="7"/>
      <c r="EX39" s="7"/>
      <c r="EY39" s="7"/>
      <c r="EZ39" s="7"/>
      <c r="FA39" s="7"/>
      <c r="FB39" s="7"/>
      <c r="FC39" s="7"/>
    </row>
    <row r="40" spans="1:159" ht="14" thickBot="1" x14ac:dyDescent="0.2">
      <c r="A40" s="250"/>
      <c r="B40" s="38">
        <v>235</v>
      </c>
      <c r="C40" s="129">
        <f>Anchor!L73</f>
        <v>0</v>
      </c>
      <c r="D40" s="129">
        <f>Anchor!M73</f>
        <v>0</v>
      </c>
      <c r="E40" s="129">
        <f>Anchor!N73</f>
        <v>0</v>
      </c>
      <c r="F40" s="129">
        <f>Anchor!O73</f>
        <v>0</v>
      </c>
      <c r="G40" s="130">
        <f>('Summary (Full)'!$B$34*D40+'Summary (Full)'!$B$35*E40+'Summary (Full)'!$B$36*F40)/'Summary (Full)'!$B$37</f>
        <v>0</v>
      </c>
      <c r="H40" s="129">
        <f>Anchor!P73</f>
        <v>0</v>
      </c>
      <c r="I40" s="129">
        <f>Anchor!Q73</f>
        <v>0</v>
      </c>
      <c r="J40" s="129">
        <f>Anchor!R73</f>
        <v>0</v>
      </c>
      <c r="K40" s="129">
        <f>Anchor!S73</f>
        <v>0</v>
      </c>
      <c r="L40" s="129">
        <f>Anchor!T73</f>
        <v>0</v>
      </c>
      <c r="M40" s="129">
        <f>Anchor!U73</f>
        <v>0</v>
      </c>
      <c r="N40" s="129">
        <f>Anchor!V73</f>
        <v>0</v>
      </c>
      <c r="O40" s="129">
        <f>Anchor!W73</f>
        <v>0</v>
      </c>
      <c r="P40" s="129">
        <f>Anchor!X73</f>
        <v>0</v>
      </c>
      <c r="Q40" s="131">
        <f>10*LOG10(1/(('Summary (Full)'!$B$41/10^(N40/10)+'Summary (Full)'!$B$42/10^(O40/10)+'Summary (Full)'!$B$43/10^(P40/10))/'Summary (Full)'!$B$44))</f>
        <v>0</v>
      </c>
      <c r="R40" s="129">
        <f>Anchor!Y73</f>
        <v>0</v>
      </c>
      <c r="S40" s="129">
        <f>Anchor!Z73</f>
        <v>0</v>
      </c>
      <c r="T40" s="132"/>
      <c r="U40" s="129">
        <f>Test!L73</f>
        <v>0</v>
      </c>
      <c r="V40" s="129">
        <f>Test!M73</f>
        <v>0</v>
      </c>
      <c r="W40" s="129">
        <f>Test!N73</f>
        <v>0</v>
      </c>
      <c r="X40" s="129">
        <f>Test!O73</f>
        <v>0</v>
      </c>
      <c r="Y40" s="129">
        <f>('Summary (Full)'!$B$34*V40+'Summary (Full)'!$B$35*W40+'Summary (Full)'!$B$36*X40)/'Summary (Full)'!$B$37</f>
        <v>0</v>
      </c>
      <c r="Z40" s="129">
        <f>Test!P73</f>
        <v>0</v>
      </c>
      <c r="AA40" s="129">
        <f>Test!Q73</f>
        <v>0</v>
      </c>
      <c r="AB40" s="129">
        <f>Test!R73</f>
        <v>0</v>
      </c>
      <c r="AC40" s="129">
        <f>Test!S73</f>
        <v>0</v>
      </c>
      <c r="AD40" s="129">
        <f>Test!T73</f>
        <v>0</v>
      </c>
      <c r="AE40" s="129">
        <f>Test!U73</f>
        <v>0</v>
      </c>
      <c r="AF40" s="129">
        <f>Test!V73</f>
        <v>0</v>
      </c>
      <c r="AG40" s="129">
        <f>Test!W73</f>
        <v>0</v>
      </c>
      <c r="AH40" s="129">
        <f>Test!X73</f>
        <v>0</v>
      </c>
      <c r="AI40" s="129">
        <f>10*LOG10(1/(('Summary (Full)'!$B$41/10^(AF40/10)+'Summary (Full)'!$B$42/10^(AG40/10)+'Summary (Full)'!$B$43/10^(AH40/10))/'Summary (Full)'!$B$44))</f>
        <v>0</v>
      </c>
      <c r="AJ40" s="129">
        <f>Test!Y73</f>
        <v>0</v>
      </c>
      <c r="AK40" s="129">
        <f>Test!Z73</f>
        <v>0</v>
      </c>
      <c r="AL40" s="129" t="e">
        <f t="shared" si="2"/>
        <v>#DIV/0!</v>
      </c>
      <c r="AM40" s="129" t="e">
        <f t="shared" si="2"/>
        <v>#DIV/0!</v>
      </c>
      <c r="AO40" s="263"/>
      <c r="AP40" s="173"/>
      <c r="AQ40" s="173"/>
      <c r="AR40" s="173"/>
      <c r="AS40" s="173"/>
      <c r="AT40" s="173"/>
      <c r="AU40" s="173"/>
      <c r="AV40" s="173"/>
      <c r="AW40" s="173"/>
      <c r="AX40" s="173"/>
      <c r="AY40" s="188"/>
      <c r="AZ40" s="287"/>
      <c r="BA40" s="240"/>
      <c r="EV40" s="7"/>
      <c r="EW40" s="7"/>
      <c r="EX40" s="7"/>
      <c r="EY40" s="7"/>
      <c r="EZ40" s="7"/>
      <c r="FA40" s="7"/>
      <c r="FB40" s="7"/>
      <c r="FC40" s="7"/>
    </row>
    <row r="41" spans="1:159" x14ac:dyDescent="0.15">
      <c r="EV41" s="7"/>
      <c r="EW41" s="7"/>
      <c r="EX41" s="7"/>
      <c r="EY41" s="7"/>
      <c r="EZ41" s="7"/>
      <c r="FA41" s="7"/>
      <c r="FB41" s="7"/>
      <c r="FC41" s="7"/>
    </row>
    <row r="42" spans="1:159" ht="14" thickBot="1" x14ac:dyDescent="0.2">
      <c r="EV42" s="7"/>
      <c r="EW42" s="7"/>
      <c r="EX42" s="7"/>
      <c r="EY42" s="7"/>
      <c r="EZ42" s="7"/>
      <c r="FA42" s="7"/>
      <c r="FB42" s="7"/>
      <c r="FC42" s="7"/>
    </row>
    <row r="43" spans="1:159" x14ac:dyDescent="0.15">
      <c r="A43" s="265" t="s">
        <v>76</v>
      </c>
      <c r="B43" s="266"/>
      <c r="C43" s="266"/>
      <c r="D43" s="266"/>
      <c r="E43" s="266"/>
      <c r="F43" s="266"/>
      <c r="G43" s="266"/>
      <c r="H43" s="266"/>
      <c r="I43" s="266"/>
      <c r="J43" s="266"/>
      <c r="K43" s="266"/>
      <c r="L43" s="266"/>
      <c r="M43" s="266"/>
      <c r="N43" s="266"/>
      <c r="O43" s="266"/>
      <c r="P43" s="266"/>
      <c r="Q43" s="266"/>
      <c r="R43" s="266"/>
      <c r="S43" s="266"/>
      <c r="T43" s="266"/>
      <c r="U43" s="266"/>
      <c r="V43" s="266"/>
      <c r="W43" s="94"/>
      <c r="X43" s="94"/>
      <c r="Y43" s="94"/>
      <c r="Z43" s="94"/>
      <c r="AA43" s="94"/>
      <c r="AB43" s="94"/>
      <c r="AC43" s="94"/>
      <c r="AD43" s="94"/>
      <c r="AE43" s="94"/>
      <c r="AF43" s="94"/>
      <c r="AG43" s="94"/>
      <c r="AH43" s="94"/>
      <c r="AI43" s="96"/>
      <c r="AJ43" s="96"/>
      <c r="AK43" s="96"/>
      <c r="AL43" s="97"/>
      <c r="EV43" s="7"/>
      <c r="EW43" s="7"/>
      <c r="EX43" s="7"/>
      <c r="EY43" s="7"/>
      <c r="EZ43" s="7"/>
      <c r="FA43" s="7"/>
      <c r="FB43" s="7"/>
      <c r="FC43" s="7"/>
    </row>
    <row r="44" spans="1:159" x14ac:dyDescent="0.15">
      <c r="A44" s="267" t="s">
        <v>13</v>
      </c>
      <c r="B44" s="268"/>
      <c r="C44" s="268"/>
      <c r="D44" s="268"/>
      <c r="E44" s="268"/>
      <c r="F44" s="268"/>
      <c r="G44" s="268"/>
      <c r="H44" s="268"/>
      <c r="I44" s="268"/>
      <c r="J44" s="268"/>
      <c r="K44" s="268"/>
      <c r="L44" s="268"/>
      <c r="M44" s="93"/>
      <c r="N44" s="93"/>
      <c r="O44" s="93"/>
      <c r="P44" s="93"/>
      <c r="Q44" s="268" t="s">
        <v>1</v>
      </c>
      <c r="R44" s="268"/>
      <c r="S44" s="268" t="s">
        <v>22</v>
      </c>
      <c r="T44" s="268"/>
      <c r="U44" s="268" t="s">
        <v>0</v>
      </c>
      <c r="V44" s="268"/>
      <c r="W44" s="268" t="s">
        <v>49</v>
      </c>
      <c r="X44" s="268"/>
      <c r="Y44" s="271" t="s">
        <v>40</v>
      </c>
      <c r="Z44" s="271"/>
      <c r="AA44" s="271" t="s">
        <v>44</v>
      </c>
      <c r="AB44" s="271"/>
      <c r="AC44" s="271" t="s">
        <v>45</v>
      </c>
      <c r="AD44" s="271"/>
      <c r="AE44" s="271"/>
      <c r="AF44" s="271"/>
      <c r="AG44" s="271"/>
      <c r="AH44" s="271"/>
      <c r="AI44" s="282" t="s">
        <v>13</v>
      </c>
      <c r="AJ44" s="282"/>
      <c r="AK44" s="255" t="s">
        <v>42</v>
      </c>
      <c r="AL44" s="256"/>
      <c r="EV44" s="7"/>
      <c r="EW44" s="7"/>
      <c r="EX44" s="7"/>
      <c r="EY44" s="7"/>
      <c r="EZ44" s="7"/>
      <c r="FA44" s="7"/>
      <c r="FB44" s="7"/>
      <c r="FC44" s="7"/>
    </row>
    <row r="45" spans="1:159" x14ac:dyDescent="0.15">
      <c r="A45" s="95"/>
      <c r="B45" s="93"/>
      <c r="C45" s="268" t="s">
        <v>13</v>
      </c>
      <c r="D45" s="268"/>
      <c r="E45" s="268"/>
      <c r="F45" s="268"/>
      <c r="G45" s="93"/>
      <c r="H45" s="93"/>
      <c r="I45" s="93"/>
      <c r="J45" s="93"/>
      <c r="K45" s="93"/>
      <c r="L45" s="93"/>
      <c r="M45" s="268" t="s">
        <v>42</v>
      </c>
      <c r="N45" s="268"/>
      <c r="O45" s="268"/>
      <c r="P45" s="268"/>
      <c r="Q45" s="93"/>
      <c r="R45" s="93"/>
      <c r="S45" s="93"/>
      <c r="T45" s="93"/>
      <c r="U45" s="93"/>
      <c r="V45" s="93"/>
      <c r="W45" s="93"/>
      <c r="X45" s="93"/>
      <c r="Y45" s="93"/>
      <c r="Z45" s="93"/>
      <c r="AA45" s="93"/>
      <c r="AB45" s="93"/>
      <c r="AC45" s="93"/>
      <c r="AD45" s="93"/>
      <c r="AE45" s="93"/>
      <c r="AF45" s="93"/>
      <c r="AG45" s="93"/>
      <c r="AH45" s="93"/>
      <c r="AI45" s="98"/>
      <c r="AJ45" s="98"/>
      <c r="AK45" s="98"/>
      <c r="AL45" s="99"/>
      <c r="EV45" s="7"/>
      <c r="EW45" s="7"/>
      <c r="EX45" s="7"/>
      <c r="EY45" s="7"/>
      <c r="EZ45" s="7"/>
      <c r="FA45" s="7"/>
      <c r="FB45" s="7"/>
      <c r="FC45" s="7"/>
    </row>
    <row r="46" spans="1:159" ht="17" customHeight="1" thickBot="1" x14ac:dyDescent="0.2">
      <c r="A46" s="269" t="s">
        <v>23</v>
      </c>
      <c r="B46" s="270"/>
      <c r="C46" s="117" t="s">
        <v>24</v>
      </c>
      <c r="D46" s="117" t="s">
        <v>25</v>
      </c>
      <c r="E46" s="117" t="s">
        <v>26</v>
      </c>
      <c r="F46" s="117" t="s">
        <v>38</v>
      </c>
      <c r="G46" s="117" t="s">
        <v>5</v>
      </c>
      <c r="H46" s="117" t="s">
        <v>22</v>
      </c>
      <c r="I46" s="117" t="s">
        <v>0</v>
      </c>
      <c r="J46" s="117" t="s">
        <v>39</v>
      </c>
      <c r="K46" s="117" t="s">
        <v>40</v>
      </c>
      <c r="L46" s="117" t="s">
        <v>41</v>
      </c>
      <c r="M46" s="117" t="s">
        <v>24</v>
      </c>
      <c r="N46" s="117" t="s">
        <v>25</v>
      </c>
      <c r="O46" s="117" t="s">
        <v>26</v>
      </c>
      <c r="P46" s="117" t="s">
        <v>38</v>
      </c>
      <c r="Q46" s="117" t="s">
        <v>23</v>
      </c>
      <c r="R46" s="117" t="s">
        <v>24</v>
      </c>
      <c r="S46" s="117" t="s">
        <v>23</v>
      </c>
      <c r="T46" s="117" t="s">
        <v>24</v>
      </c>
      <c r="U46" s="117" t="s">
        <v>23</v>
      </c>
      <c r="V46" s="117" t="s">
        <v>24</v>
      </c>
      <c r="W46" s="117" t="s">
        <v>23</v>
      </c>
      <c r="X46" s="117" t="s">
        <v>24</v>
      </c>
      <c r="Y46" s="117" t="s">
        <v>23</v>
      </c>
      <c r="Z46" s="117" t="s">
        <v>24</v>
      </c>
      <c r="AA46" s="117" t="s">
        <v>23</v>
      </c>
      <c r="AB46" s="117" t="s">
        <v>24</v>
      </c>
      <c r="AC46" s="117" t="s">
        <v>23</v>
      </c>
      <c r="AD46" s="117" t="s">
        <v>24</v>
      </c>
      <c r="AE46" s="117" t="s">
        <v>24</v>
      </c>
      <c r="AF46" s="117" t="s">
        <v>25</v>
      </c>
      <c r="AG46" s="117" t="s">
        <v>26</v>
      </c>
      <c r="AH46" s="117" t="s">
        <v>38</v>
      </c>
      <c r="AI46" s="283" t="s">
        <v>38</v>
      </c>
      <c r="AJ46" s="283"/>
      <c r="AK46" s="257" t="s">
        <v>38</v>
      </c>
      <c r="AL46" s="258"/>
      <c r="AM46" s="157"/>
      <c r="AN46" s="157" t="s">
        <v>138</v>
      </c>
      <c r="AO46" s="158"/>
      <c r="AP46" s="157" t="s">
        <v>139</v>
      </c>
      <c r="EV46" s="7"/>
      <c r="EW46" s="7"/>
      <c r="EX46" s="7"/>
      <c r="EY46" s="7"/>
      <c r="EZ46" s="7"/>
      <c r="FA46" s="7"/>
      <c r="FB46" s="7"/>
      <c r="FC46" s="7"/>
    </row>
    <row r="47" spans="1:159" x14ac:dyDescent="0.15">
      <c r="A47" s="253" t="s">
        <v>27</v>
      </c>
      <c r="B47" s="171" t="e">
        <f>bdRateROI($CL5:$CL63,CM5:CM63,$DZ5:$DZ63,EA5:EA63,CJ11,CJ6,1, 0, TRUE)</f>
        <v>#VALUE!</v>
      </c>
      <c r="C47" s="171" t="e">
        <f t="shared" ref="C47:H47" si="3">bdRateExtend($CL5:$CL63,CN5:CN63,$DZ5:$DZ63,EB5:EB63, "None", FALSE, 0, TRUE)</f>
        <v>#VALUE!</v>
      </c>
      <c r="D47" s="171" t="e">
        <f t="shared" si="3"/>
        <v>#VALUE!</v>
      </c>
      <c r="E47" s="171" t="e">
        <f t="shared" si="3"/>
        <v>#VALUE!</v>
      </c>
      <c r="F47" s="171" t="e">
        <f t="shared" si="3"/>
        <v>#VALUE!</v>
      </c>
      <c r="G47" s="171" t="e">
        <f t="shared" si="3"/>
        <v>#VALUE!</v>
      </c>
      <c r="H47" s="171" t="e">
        <f t="shared" si="3"/>
        <v>#VALUE!</v>
      </c>
      <c r="I47" s="171" t="e">
        <f>bdRateExtend($CL5:$CL63,CT5:CT63,$DZ5:$DZ63,EH5:EH63,"None", FALSE,2,TRUE)</f>
        <v>#VALUE!</v>
      </c>
      <c r="J47" s="171" t="e">
        <f>bdRateExtend($CL5:$CL63,CU5:CU63,$DZ5:$DZ63,EI5:EI63,"None", FALSE,2,TRUE)</f>
        <v>#VALUE!</v>
      </c>
      <c r="K47" s="171" t="e">
        <f t="shared" ref="K47:P47" si="4">bdRateExtend($CL5:$CL63,CV5:CV63,$DZ5:$DZ63,EJ5:EJ63, "None", FALSE, 0, TRUE)</f>
        <v>#VALUE!</v>
      </c>
      <c r="L47" s="171" t="e">
        <f t="shared" si="4"/>
        <v>#VALUE!</v>
      </c>
      <c r="M47" s="171" t="e">
        <f t="shared" si="4"/>
        <v>#VALUE!</v>
      </c>
      <c r="N47" s="171" t="e">
        <f t="shared" si="4"/>
        <v>#VALUE!</v>
      </c>
      <c r="O47" s="171" t="e">
        <f t="shared" si="4"/>
        <v>#VALUE!</v>
      </c>
      <c r="P47" s="171" t="e">
        <f t="shared" si="4"/>
        <v>#VALUE!</v>
      </c>
      <c r="Q47" s="171" t="e">
        <f>bdRateROI($DE5:$DE63,DF5:DF63,$ER5:$ER63,ES5:ES63,CJ11,CJ6,1, 0, TRUE)</f>
        <v>#VALUE!</v>
      </c>
      <c r="R47" s="171" t="e">
        <f>bdRateExtend($DE5:$DE63,DF5:DF63,$ER5:$ER63,ES5:ES63, "None", FALSE, 0, TRUE)</f>
        <v>#VALUE!</v>
      </c>
      <c r="S47" s="171" t="e">
        <f>bdRateROI($DH5:$DH63,DI5:DI63,$ET5:$ET63,EU5:EU63,CJ11,CJ6,1, 0, TRUE)</f>
        <v>#VALUE!</v>
      </c>
      <c r="T47" s="171" t="e">
        <f>bdRateExtend($DH5:$DH63,DI5:DI63,$ET5:$ET63,EU5:EU63, "None", FALSE, 0, TRUE)</f>
        <v>#VALUE!</v>
      </c>
      <c r="U47" s="171" t="e">
        <f>bdRateROI($DK5:$DK63,DL5:DL63,$EV5:$EV63,EW5:EW63,$CJ11,$CJ6,1,2,TRUE)</f>
        <v>#VALUE!</v>
      </c>
      <c r="V47" s="171" t="e">
        <f>bdRateExtend($DK5:$DK63,DL5:DL63,$EV5:$EV63,EW5:EW63,"None", FALSE,2,TRUE)</f>
        <v>#VALUE!</v>
      </c>
      <c r="W47" s="171" t="e">
        <f>bdRateROI(DM5:DM63,DN5:DN63,EX5:EX63,EY5:EY63,$CJ11,$CJ6,1,2,TRUE)</f>
        <v>#VALUE!</v>
      </c>
      <c r="X47" s="171" t="e">
        <f>bdRateExtend(DM5:DM63,DN5:DN63,EX5:EX63,EY5:EY63,"None", FALSE,2,TRUE)</f>
        <v>#VALUE!</v>
      </c>
      <c r="Y47" s="171" t="e">
        <f>bdRateROI(DO5:DO63,DP5:DP63,EZ5:EZ63,FA5:FA63,$CJ11,$CJ6,1, 0, TRUE)</f>
        <v>#VALUE!</v>
      </c>
      <c r="Z47" s="171" t="e">
        <f>bdRateExtend(DO5:DO63,DP5:DP63,EZ5:EZ63,FA5:FA63, "None", FALSE, 0, TRUE)</f>
        <v>#VALUE!</v>
      </c>
      <c r="AA47" s="171" t="e">
        <f>bdRateROI(DQ5:DQ63,DR5:DR63,FB5:FB63,FC5:FC63,$CJ11,$CJ6,1, 0, TRUE)</f>
        <v>#VALUE!</v>
      </c>
      <c r="AB47" s="171" t="e">
        <f>bdRateExtend(DQ5:DQ63,DR5:DR63,FB5:FB63,FC5:FC63, "None", FALSE, 0, TRUE)</f>
        <v>#VALUE!</v>
      </c>
      <c r="AC47" s="171" t="e">
        <f>bdRateROI(DS5:DS63,DT5:DT63,FD5:FD63,FE5:FE63,$CJ11,$CJ6,1, 0, TRUE)</f>
        <v>#VALUE!</v>
      </c>
      <c r="AD47" s="171" t="e">
        <f>bdRateExtend(DS5:DS63,DT5:DT63,FD5:FD63,FE5:FE63, "None", FALSE, 0, TRUE)</f>
        <v>#VALUE!</v>
      </c>
      <c r="AE47" s="171" t="e">
        <f>bdRateExtend($DS5:$DS63,DU5:DU63,$FD5:$FD63,FF5:FF63, "None", FALSE, 0, TRUE)</f>
        <v>#VALUE!</v>
      </c>
      <c r="AF47" s="171" t="e">
        <f>bdRateExtend($DS5:$DS63,DV5:DV63,$FD5:$FD63,FG5:FG63, "None", FALSE, 0, TRUE)</f>
        <v>#VALUE!</v>
      </c>
      <c r="AG47" s="171" t="e">
        <f>bdRateExtend($DS5:$DS63,DW5:DW63,$FD5:$FD63,FH5:FH63, "None", FALSE, 0, TRUE)</f>
        <v>#VALUE!</v>
      </c>
      <c r="AH47" s="171" t="e">
        <f>bdRateExtend($DS5:$DS63,DX5:DX63,$FD5:$FD63,FI5:FI63, "None", FALSE, 0, TRUE)</f>
        <v>#VALUE!</v>
      </c>
      <c r="AI47" s="171" t="e">
        <f>bdRateROI($FK5:$FK63,FL5:FL63,$FP5:$FP63,FQ5:FQ63,$CJ11,$CJ6,1, 0, TRUE)</f>
        <v>#VALUE!</v>
      </c>
      <c r="AJ47" s="171" t="e">
        <f>bdRateExtend($FK5:$FK63,FL5:FL63,$FP5:$FP63,FQ5:FQ63, "None", FALSE, 0, TRUE)</f>
        <v>#VALUE!</v>
      </c>
      <c r="AK47" s="171" t="e">
        <f>bdRateROI($FM5:$FM63,FN5:FN63,$FR5:$FR63,FS5:FS63,$CJ11,$CJ6,1, 0, TRUE)</f>
        <v>#VALUE!</v>
      </c>
      <c r="AL47" s="174" t="e">
        <f>bdRateExtend($FM5:$FM63,FN5:FN63,$FR5:$FR63,FS5:FS63, "None", FALSE, 0, TRUE)</f>
        <v>#VALUE!</v>
      </c>
      <c r="AM47" s="299"/>
      <c r="AN47" s="301" t="e" cm="1">
        <f t="array" ref="AN47">testVMAFRange($DK5:$DK501,DL5:DL501,$EV5:$EV501,EW5:EW501)</f>
        <v>#VALUE!</v>
      </c>
      <c r="AO47" s="159"/>
      <c r="AP47" s="301" t="e" cm="1">
        <f t="array" ref="AP47">testVMAFRange(DM5:DM501,DN5:DN501,EX5:EX501,EY5:EY501)</f>
        <v>#VALUE!</v>
      </c>
      <c r="EV47" s="7"/>
      <c r="EW47" s="7"/>
      <c r="EX47" s="7"/>
      <c r="EY47" s="7"/>
      <c r="EZ47" s="7"/>
      <c r="FA47" s="7"/>
      <c r="FB47" s="7"/>
      <c r="FC47" s="7"/>
    </row>
    <row r="48" spans="1:159" x14ac:dyDescent="0.15">
      <c r="A48" s="254"/>
      <c r="B48" s="172"/>
      <c r="C48" s="172"/>
      <c r="D48" s="172"/>
      <c r="E48" s="172"/>
      <c r="F48" s="172"/>
      <c r="G48" s="172"/>
      <c r="H48" s="172"/>
      <c r="I48" s="172"/>
      <c r="J48" s="172"/>
      <c r="K48" s="172"/>
      <c r="L48" s="172"/>
      <c r="M48" s="172"/>
      <c r="N48" s="172"/>
      <c r="O48" s="172"/>
      <c r="P48" s="172"/>
      <c r="Q48" s="172"/>
      <c r="R48" s="172"/>
      <c r="S48" s="172"/>
      <c r="T48" s="172"/>
      <c r="U48" s="172"/>
      <c r="V48" s="172"/>
      <c r="W48" s="172"/>
      <c r="X48" s="172"/>
      <c r="Y48" s="172"/>
      <c r="Z48" s="172"/>
      <c r="AA48" s="172"/>
      <c r="AB48" s="172"/>
      <c r="AC48" s="172"/>
      <c r="AD48" s="172"/>
      <c r="AE48" s="172"/>
      <c r="AF48" s="172"/>
      <c r="AG48" s="172"/>
      <c r="AH48" s="172"/>
      <c r="AI48" s="172"/>
      <c r="AJ48" s="172"/>
      <c r="AK48" s="172"/>
      <c r="AL48" s="175"/>
      <c r="AM48" s="300"/>
      <c r="AN48" s="301"/>
      <c r="AO48" s="159"/>
      <c r="AP48" s="301"/>
      <c r="EV48" s="7"/>
      <c r="EW48" s="7"/>
      <c r="EX48" s="7"/>
      <c r="EY48" s="7"/>
      <c r="EZ48" s="7"/>
      <c r="FA48" s="7"/>
      <c r="FB48" s="7"/>
      <c r="FC48" s="7"/>
    </row>
    <row r="49" spans="1:159" x14ac:dyDescent="0.15">
      <c r="A49" s="254" t="s">
        <v>28</v>
      </c>
      <c r="B49" s="172" t="e">
        <f>bdRateROI($CL5:$CL63,CM5:CM63,$DZ5:$DZ63,EA5:EA63,CJ10,CJ11,1, 0, TRUE)</f>
        <v>#VALUE!</v>
      </c>
      <c r="C49" s="172"/>
      <c r="D49" s="172"/>
      <c r="E49" s="172"/>
      <c r="F49" s="172"/>
      <c r="G49" s="172"/>
      <c r="H49" s="172"/>
      <c r="I49" s="172"/>
      <c r="J49" s="172"/>
      <c r="K49" s="172"/>
      <c r="L49" s="172"/>
      <c r="M49" s="172"/>
      <c r="N49" s="172"/>
      <c r="O49" s="172"/>
      <c r="P49" s="172"/>
      <c r="Q49" s="172" t="e">
        <f>bdRateROI($DE5:$DE63,DF5:DF63,$ER5:$ER63,ES5:ES63,CJ10,CJ11,1, 0, TRUE)</f>
        <v>#VALUE!</v>
      </c>
      <c r="R49" s="172"/>
      <c r="S49" s="172" t="e">
        <f>bdRateROI($DH5:$DH63,DI5:DI63,$ET5:$ET63,EU5:EU63,CJ10,CJ11,1, 0, TRUE)</f>
        <v>#VALUE!</v>
      </c>
      <c r="T49" s="172"/>
      <c r="U49" s="172" t="e">
        <f>bdRateROI($DK5:$DK63,DL5:DL63,$EV5:$EV63,EW5:EW63,$CJ$10,$CJ$11,1,2,TRUE)</f>
        <v>#VALUE!</v>
      </c>
      <c r="V49" s="172"/>
      <c r="W49" s="172" t="e">
        <f>bdRateROI(DM5:DM63,DN5:DN63,EX5:EX63,EY5:EY63,$CJ$10,$CJ$11,1,2,TRUE)</f>
        <v>#VALUE!</v>
      </c>
      <c r="X49" s="172"/>
      <c r="Y49" s="172" t="e">
        <f>bdRateROI(DO5:DO63,DP5:DP63,EZ5:EZ63,FA5:FA63,$CJ$10,$CJ$11,1, 0, TRUE)</f>
        <v>#VALUE!</v>
      </c>
      <c r="Z49" s="172"/>
      <c r="AA49" s="172" t="e">
        <f>bdRateROI(DQ5:DQ63,DR5:DR63,FB5:FB63,FC5:FC63,$CJ$10,$CJ$11,1, 0, TRUE)</f>
        <v>#VALUE!</v>
      </c>
      <c r="AB49" s="172"/>
      <c r="AC49" s="172" t="e">
        <f>bdRateROI(DS5:DS63,DT5:DT63,FD5:FD63,FE5:FE63,$CJ$10,$CJ$11,1, 0, TRUE)</f>
        <v>#VALUE!</v>
      </c>
      <c r="AD49" s="172"/>
      <c r="AE49" s="172"/>
      <c r="AF49" s="172"/>
      <c r="AG49" s="172"/>
      <c r="AH49" s="172"/>
      <c r="AI49" s="172" t="e">
        <f>bdRateROI($FK5:$FK63,FL5:FL63,$FP5:$FP63,FQ5:FQ63,$CJ$10,$CJ$11,1, 0, TRUE)</f>
        <v>#VALUE!</v>
      </c>
      <c r="AJ49" s="172"/>
      <c r="AK49" s="172" t="e">
        <f>bdRateROI($FM5:$FM63,FN5:FN63,$FR5:$FR63,FS5:FS63,$CJ$10,$CJ$11,1, 0, TRUE)</f>
        <v>#VALUE!</v>
      </c>
      <c r="AL49" s="175"/>
      <c r="AM49" s="300"/>
      <c r="AN49" s="301"/>
      <c r="AO49" s="159"/>
      <c r="AP49" s="301"/>
      <c r="EV49" s="7"/>
      <c r="EW49" s="7"/>
      <c r="EX49" s="7"/>
      <c r="EY49" s="7"/>
      <c r="EZ49" s="7"/>
      <c r="FA49" s="7"/>
      <c r="FB49" s="7"/>
      <c r="FC49" s="7"/>
    </row>
    <row r="50" spans="1:159" x14ac:dyDescent="0.15">
      <c r="A50" s="254"/>
      <c r="B50" s="172"/>
      <c r="C50" s="172"/>
      <c r="D50" s="172"/>
      <c r="E50" s="172"/>
      <c r="F50" s="172"/>
      <c r="G50" s="172"/>
      <c r="H50" s="172"/>
      <c r="I50" s="172"/>
      <c r="J50" s="172"/>
      <c r="K50" s="172"/>
      <c r="L50" s="172"/>
      <c r="M50" s="172"/>
      <c r="N50" s="172"/>
      <c r="O50" s="172"/>
      <c r="P50" s="172"/>
      <c r="Q50" s="172"/>
      <c r="R50" s="172"/>
      <c r="S50" s="172"/>
      <c r="T50" s="172"/>
      <c r="U50" s="172"/>
      <c r="V50" s="172"/>
      <c r="W50" s="172"/>
      <c r="X50" s="172"/>
      <c r="Y50" s="172"/>
      <c r="Z50" s="172"/>
      <c r="AA50" s="172"/>
      <c r="AB50" s="172"/>
      <c r="AC50" s="172"/>
      <c r="AD50" s="172"/>
      <c r="AE50" s="172"/>
      <c r="AF50" s="172"/>
      <c r="AG50" s="172"/>
      <c r="AH50" s="172"/>
      <c r="AI50" s="172"/>
      <c r="AJ50" s="172"/>
      <c r="AK50" s="172"/>
      <c r="AL50" s="175"/>
      <c r="AM50" s="300"/>
      <c r="AN50" s="301"/>
      <c r="AO50" s="159"/>
      <c r="AP50" s="301"/>
      <c r="EV50" s="7"/>
      <c r="EW50" s="7"/>
      <c r="EX50" s="7"/>
      <c r="EY50" s="7"/>
      <c r="EZ50" s="7"/>
      <c r="FA50" s="7"/>
      <c r="FB50" s="7"/>
      <c r="FC50" s="7"/>
    </row>
    <row r="51" spans="1:159" x14ac:dyDescent="0.15">
      <c r="A51" s="254" t="s">
        <v>29</v>
      </c>
      <c r="B51" s="172" t="e">
        <f>bdRateROI($CL5:$CL63,CM5:CM63,$DZ5:$DZ63,EA5:EA63,CJ5,CJ10,1, 0, TRUE)</f>
        <v>#VALUE!</v>
      </c>
      <c r="C51" s="172"/>
      <c r="D51" s="172"/>
      <c r="E51" s="172"/>
      <c r="F51" s="172"/>
      <c r="G51" s="172"/>
      <c r="H51" s="172"/>
      <c r="I51" s="172"/>
      <c r="J51" s="172"/>
      <c r="K51" s="172"/>
      <c r="L51" s="172"/>
      <c r="M51" s="172"/>
      <c r="N51" s="172"/>
      <c r="O51" s="172"/>
      <c r="P51" s="172"/>
      <c r="Q51" s="172" t="e">
        <f>bdRateROI($DE5:$DE63,DF5:DF63,$ER5:$ER63,ES5:ES63,CJ5,CJ10,1, 0, TRUE)</f>
        <v>#VALUE!</v>
      </c>
      <c r="R51" s="172"/>
      <c r="S51" s="172" t="e">
        <f>bdRateROI($DH5:$DH63,DI5:DI63,$ET5:$ET63,EU5:EU63,CJ5,CJ10,1, 0, TRUE)</f>
        <v>#VALUE!</v>
      </c>
      <c r="T51" s="172"/>
      <c r="U51" s="172" t="e">
        <f>bdRateROI($DK5:$DK63,DL5:DL63,$EV5:$EV63,EW5:EW63,$CJ$5,$CJ$10,1,2,TRUE)</f>
        <v>#VALUE!</v>
      </c>
      <c r="V51" s="172"/>
      <c r="W51" s="172" t="e">
        <f>bdRateROI(DM5:DM63,DN5:DN63,EX5:EX63,EY5:EY63,$CJ$5,$CJ$10,1,2,TRUE)</f>
        <v>#VALUE!</v>
      </c>
      <c r="X51" s="172"/>
      <c r="Y51" s="172" t="e">
        <f>bdRateROI(DO5:DO63,DP5:DP63,EZ5:EZ63,FA5:FA63,$CJ$5,$CJ$10,1, 0, TRUE)</f>
        <v>#VALUE!</v>
      </c>
      <c r="Z51" s="172"/>
      <c r="AA51" s="172" t="e">
        <f>bdRateROI(DQ5:DQ63,DR5:DR63,FB5:FB63,FC5:FC63,$CJ$5,$CJ$10,1, 0, TRUE)</f>
        <v>#VALUE!</v>
      </c>
      <c r="AB51" s="172"/>
      <c r="AC51" s="172" t="e">
        <f>bdRateROI(DS5:DS63,DT5:DT63,FD5:FD63,FE5:FE63,$CJ$5,$CJ$10,1, 0, TRUE)</f>
        <v>#VALUE!</v>
      </c>
      <c r="AD51" s="172"/>
      <c r="AE51" s="172"/>
      <c r="AF51" s="172"/>
      <c r="AG51" s="172"/>
      <c r="AH51" s="172"/>
      <c r="AI51" s="172" t="e">
        <f>bdRateROI($FK5:$FK63,FL5:FL63,$FP5:$FP63,FQ5:FQ63,$CJ$5,$CJ$10,1, 0, TRUE)</f>
        <v>#VALUE!</v>
      </c>
      <c r="AJ51" s="172"/>
      <c r="AK51" s="172" t="e">
        <f>bdRateROI($FM5:$FM63,FN5:FN63,$FR5:$FR63,FS5:FS63,$CJ$5,$CJ$10,1, 0, TRUE)</f>
        <v>#VALUE!</v>
      </c>
      <c r="AL51" s="175"/>
      <c r="AM51" s="300"/>
      <c r="AN51" s="301"/>
      <c r="AO51" s="159"/>
      <c r="AP51" s="301"/>
      <c r="EV51" s="7"/>
      <c r="EW51" s="7"/>
      <c r="EX51" s="7"/>
      <c r="EY51" s="7"/>
      <c r="EZ51" s="7"/>
      <c r="FA51" s="7"/>
      <c r="FB51" s="7"/>
      <c r="FC51" s="7"/>
    </row>
    <row r="52" spans="1:159" ht="14" thickBot="1" x14ac:dyDescent="0.2">
      <c r="A52" s="263"/>
      <c r="B52" s="173"/>
      <c r="C52" s="173"/>
      <c r="D52" s="173"/>
      <c r="E52" s="173"/>
      <c r="F52" s="173"/>
      <c r="G52" s="173"/>
      <c r="H52" s="173"/>
      <c r="I52" s="173"/>
      <c r="J52" s="173"/>
      <c r="K52" s="173"/>
      <c r="L52" s="173"/>
      <c r="M52" s="173"/>
      <c r="N52" s="173"/>
      <c r="O52" s="173"/>
      <c r="P52" s="173"/>
      <c r="Q52" s="173"/>
      <c r="R52" s="173"/>
      <c r="S52" s="173"/>
      <c r="T52" s="173"/>
      <c r="U52" s="173"/>
      <c r="V52" s="173"/>
      <c r="W52" s="173"/>
      <c r="X52" s="173"/>
      <c r="Y52" s="173"/>
      <c r="Z52" s="173"/>
      <c r="AA52" s="173"/>
      <c r="AB52" s="173"/>
      <c r="AC52" s="173"/>
      <c r="AD52" s="173"/>
      <c r="AE52" s="173"/>
      <c r="AF52" s="173"/>
      <c r="AG52" s="173"/>
      <c r="AH52" s="173"/>
      <c r="AI52" s="173"/>
      <c r="AJ52" s="173"/>
      <c r="AK52" s="173"/>
      <c r="AL52" s="188"/>
      <c r="AM52" s="302"/>
      <c r="AN52" s="301"/>
      <c r="AO52" s="159"/>
      <c r="AP52" s="301"/>
      <c r="EV52" s="7"/>
      <c r="EW52" s="7"/>
      <c r="EX52" s="7"/>
      <c r="EY52" s="7"/>
      <c r="EZ52" s="7"/>
      <c r="FA52" s="7"/>
      <c r="FB52" s="7"/>
      <c r="FC52" s="7"/>
    </row>
    <row r="53" spans="1:159" x14ac:dyDescent="0.15">
      <c r="EV53" s="7"/>
      <c r="EW53" s="7"/>
      <c r="EX53" s="7"/>
      <c r="EY53" s="7"/>
      <c r="EZ53" s="7"/>
      <c r="FA53" s="7"/>
      <c r="FB53" s="7"/>
      <c r="FC53" s="7"/>
    </row>
    <row r="54" spans="1:159" x14ac:dyDescent="0.15">
      <c r="AP54" s="9"/>
      <c r="EV54" s="7"/>
      <c r="EW54" s="7"/>
      <c r="EX54" s="7"/>
      <c r="EY54" s="7"/>
      <c r="EZ54" s="7"/>
      <c r="FA54" s="7"/>
      <c r="FB54" s="7"/>
      <c r="FC54" s="7"/>
    </row>
    <row r="55" spans="1:159" x14ac:dyDescent="0.15">
      <c r="AP55" s="9"/>
      <c r="EV55" s="7"/>
      <c r="EW55" s="7"/>
      <c r="EX55" s="7"/>
      <c r="EY55" s="7"/>
      <c r="EZ55" s="7"/>
      <c r="FA55" s="7"/>
      <c r="FB55" s="7"/>
      <c r="FC55" s="7"/>
    </row>
    <row r="56" spans="1:159" x14ac:dyDescent="0.15">
      <c r="C56" s="1">
        <f>COUNTIFS(C5:C40, "&lt;&gt;",C5:C40, "&lt;&gt;0")</f>
        <v>0</v>
      </c>
      <c r="U56" s="1">
        <f>COUNTIFS(U5:U40, "&lt;&gt;",U5:U40, "&lt;&gt;0")</f>
        <v>0</v>
      </c>
      <c r="AM56" s="1" t="e">
        <f>U56/C56</f>
        <v>#DIV/0!</v>
      </c>
      <c r="EV56" s="7"/>
      <c r="EW56" s="7"/>
      <c r="EX56" s="7"/>
      <c r="EY56" s="7"/>
      <c r="EZ56" s="7"/>
      <c r="FA56" s="7"/>
      <c r="FB56" s="7"/>
      <c r="FC56" s="7"/>
    </row>
    <row r="57" spans="1:159" x14ac:dyDescent="0.15">
      <c r="R57" s="1" t="e">
        <f>GEOMEAN(R5:R40)</f>
        <v>#NUM!</v>
      </c>
      <c r="S57" s="1" t="e">
        <f>GEOMEAN(S5:S40)</f>
        <v>#NUM!</v>
      </c>
      <c r="AJ57" s="1" t="e">
        <f>GEOMEAN(AJ5:AJ40)</f>
        <v>#NUM!</v>
      </c>
      <c r="AK57" s="1" t="e">
        <f>GEOMEAN(AK5:AK40)</f>
        <v>#NUM!</v>
      </c>
      <c r="AL57" s="1" t="e">
        <f>GEOMEAN(AL5:AL40)</f>
        <v>#DIV/0!</v>
      </c>
      <c r="AM57" s="1" t="e">
        <f>GEOMEAN(AM5:AM40)</f>
        <v>#DIV/0!</v>
      </c>
      <c r="EV57" s="7"/>
      <c r="EW57" s="7"/>
      <c r="EX57" s="7"/>
      <c r="EY57" s="7"/>
      <c r="EZ57" s="7"/>
      <c r="FA57" s="7"/>
      <c r="FB57" s="7"/>
      <c r="FC57" s="7"/>
    </row>
    <row r="58" spans="1:159" x14ac:dyDescent="0.15">
      <c r="R58" s="1">
        <f>SUM(R5:R40)</f>
        <v>0</v>
      </c>
      <c r="S58" s="1">
        <f>SUM(S5:S40)</f>
        <v>0</v>
      </c>
      <c r="AJ58" s="1">
        <f>SUM(AJ5:AJ40)</f>
        <v>0</v>
      </c>
      <c r="AK58" s="1">
        <f>SUM(AK5:AK40)</f>
        <v>0</v>
      </c>
      <c r="AL58" s="1" t="e">
        <f>AVERAGE(AL5:AL40)</f>
        <v>#DIV/0!</v>
      </c>
      <c r="AM58" s="1" t="e">
        <f>AVERAGE(AM5:AM40)</f>
        <v>#DIV/0!</v>
      </c>
      <c r="EV58" s="7"/>
      <c r="EW58" s="7"/>
      <c r="EX58" s="7"/>
      <c r="EY58" s="7"/>
      <c r="EZ58" s="7"/>
      <c r="FA58" s="7"/>
      <c r="FB58" s="7"/>
      <c r="FC58" s="7"/>
    </row>
    <row r="59" spans="1:159" x14ac:dyDescent="0.15">
      <c r="R59" s="1">
        <f>MAX(R5:R40)</f>
        <v>0</v>
      </c>
      <c r="S59" s="1">
        <f>MAX(S5:S40)</f>
        <v>0</v>
      </c>
      <c r="AJ59" s="1">
        <f>MAX(AJ5:AJ40)</f>
        <v>0</v>
      </c>
      <c r="AK59" s="1">
        <f>MAX(AK5:AK40)</f>
        <v>0</v>
      </c>
      <c r="AL59" s="1" t="e">
        <f>MAX(AL5:AL40)</f>
        <v>#DIV/0!</v>
      </c>
      <c r="AM59" s="1" t="e">
        <f>MAX(AM5:AM40)</f>
        <v>#DIV/0!</v>
      </c>
      <c r="EV59" s="7"/>
      <c r="EW59" s="7"/>
      <c r="EX59" s="7"/>
      <c r="EY59" s="7"/>
      <c r="EZ59" s="7"/>
      <c r="FA59" s="7"/>
      <c r="FB59" s="7"/>
      <c r="FC59" s="7"/>
    </row>
    <row r="60" spans="1:159" x14ac:dyDescent="0.15">
      <c r="R60" s="1">
        <f>MIN(R5:R40)</f>
        <v>0</v>
      </c>
      <c r="S60" s="1">
        <f>MIN(S5:S40)</f>
        <v>0</v>
      </c>
      <c r="AJ60" s="1">
        <f>MIN(AJ5:AJ40)</f>
        <v>0</v>
      </c>
      <c r="AK60" s="1">
        <f>MIN(AK5:AK40)</f>
        <v>0</v>
      </c>
      <c r="AL60" s="1" t="e">
        <f>MIN(AL5:AL40)</f>
        <v>#DIV/0!</v>
      </c>
      <c r="AM60" s="1" t="e">
        <f>MIN(AM5:AM40)</f>
        <v>#DIV/0!</v>
      </c>
      <c r="EV60" s="7"/>
      <c r="EW60" s="7"/>
      <c r="EX60" s="7"/>
      <c r="EY60" s="7"/>
      <c r="EZ60" s="7"/>
      <c r="FA60" s="7"/>
      <c r="FB60" s="7"/>
      <c r="FC60" s="7"/>
    </row>
    <row r="61" spans="1:159" x14ac:dyDescent="0.15">
      <c r="AJ61" s="1" t="e">
        <f>AJ57/R57</f>
        <v>#NUM!</v>
      </c>
      <c r="AK61" s="1" t="e">
        <f>AK57/S57</f>
        <v>#NUM!</v>
      </c>
      <c r="EV61" s="7"/>
      <c r="EW61" s="7"/>
      <c r="EX61" s="7"/>
      <c r="EY61" s="7"/>
      <c r="EZ61" s="7"/>
      <c r="FA61" s="7"/>
      <c r="FB61" s="7"/>
      <c r="FC61" s="7"/>
    </row>
    <row r="62" spans="1:159" x14ac:dyDescent="0.15">
      <c r="EV62" s="7"/>
      <c r="EW62" s="7"/>
      <c r="EX62" s="7"/>
      <c r="EY62" s="7"/>
      <c r="EZ62" s="7"/>
      <c r="FA62" s="7"/>
      <c r="FB62" s="7"/>
      <c r="FC62" s="7"/>
    </row>
    <row r="63" spans="1:159" x14ac:dyDescent="0.15">
      <c r="EV63" s="7"/>
      <c r="EW63" s="7"/>
      <c r="EX63" s="7"/>
      <c r="EY63" s="7"/>
      <c r="EZ63" s="7"/>
      <c r="FA63" s="7"/>
      <c r="FB63" s="7"/>
      <c r="FC63" s="7"/>
    </row>
    <row r="64" spans="1:159" x14ac:dyDescent="0.15">
      <c r="EV64" s="7"/>
      <c r="EW64" s="7"/>
      <c r="EX64" s="7"/>
      <c r="EY64" s="7"/>
      <c r="EZ64" s="7"/>
      <c r="FA64" s="7"/>
      <c r="FB64" s="7"/>
      <c r="FC64" s="7"/>
    </row>
    <row r="65" spans="152:159" x14ac:dyDescent="0.15">
      <c r="EV65" s="7"/>
      <c r="EW65" s="7"/>
      <c r="EX65" s="7"/>
      <c r="EY65" s="7"/>
      <c r="EZ65" s="7"/>
      <c r="FA65" s="7"/>
      <c r="FB65" s="7"/>
      <c r="FC65" s="7"/>
    </row>
    <row r="66" spans="152:159" x14ac:dyDescent="0.15">
      <c r="EV66" s="7"/>
      <c r="EW66" s="7"/>
      <c r="EX66" s="7"/>
      <c r="EY66" s="7"/>
      <c r="EZ66" s="7"/>
      <c r="FA66" s="7"/>
      <c r="FB66" s="7"/>
      <c r="FC66" s="7"/>
    </row>
    <row r="67" spans="152:159" x14ac:dyDescent="0.15">
      <c r="EV67" s="7"/>
      <c r="EW67" s="7"/>
      <c r="EX67" s="7"/>
      <c r="EY67" s="7"/>
      <c r="EZ67" s="7"/>
      <c r="FA67" s="7"/>
      <c r="FB67" s="7"/>
      <c r="FC67" s="7"/>
    </row>
    <row r="68" spans="152:159" x14ac:dyDescent="0.15">
      <c r="EV68" s="7"/>
      <c r="EW68" s="7"/>
      <c r="EX68" s="7"/>
      <c r="EY68" s="7"/>
      <c r="EZ68" s="7"/>
      <c r="FA68" s="7"/>
      <c r="FB68" s="7"/>
      <c r="FC68" s="7"/>
    </row>
    <row r="69" spans="152:159" x14ac:dyDescent="0.15">
      <c r="EV69" s="7"/>
      <c r="EW69" s="7"/>
      <c r="EX69" s="7"/>
      <c r="EY69" s="7"/>
      <c r="EZ69" s="7"/>
      <c r="FA69" s="7"/>
      <c r="FB69" s="7"/>
      <c r="FC69" s="7"/>
    </row>
    <row r="70" spans="152:159" x14ac:dyDescent="0.15">
      <c r="EV70" s="7"/>
      <c r="EW70" s="7"/>
      <c r="EX70" s="7"/>
      <c r="EY70" s="7"/>
      <c r="EZ70" s="7"/>
      <c r="FA70" s="7"/>
      <c r="FB70" s="7"/>
      <c r="FC70" s="7"/>
    </row>
    <row r="71" spans="152:159" x14ac:dyDescent="0.15">
      <c r="EV71" s="7"/>
      <c r="EW71" s="7"/>
      <c r="EX71" s="7"/>
      <c r="EY71" s="7"/>
      <c r="EZ71" s="7"/>
      <c r="FA71" s="7"/>
      <c r="FB71" s="7"/>
      <c r="FC71" s="7"/>
    </row>
    <row r="72" spans="152:159" x14ac:dyDescent="0.15">
      <c r="EV72" s="7"/>
      <c r="EW72" s="7"/>
      <c r="EX72" s="7"/>
      <c r="EY72" s="7"/>
      <c r="EZ72" s="7"/>
      <c r="FA72" s="7"/>
      <c r="FB72" s="7"/>
      <c r="FC72" s="7"/>
    </row>
    <row r="73" spans="152:159" x14ac:dyDescent="0.15">
      <c r="EV73" s="7"/>
      <c r="EW73" s="7"/>
      <c r="EX73" s="7"/>
      <c r="EY73" s="7"/>
      <c r="EZ73" s="7"/>
      <c r="FA73" s="7"/>
      <c r="FB73" s="7"/>
      <c r="FC73" s="7"/>
    </row>
    <row r="74" spans="152:159" x14ac:dyDescent="0.15">
      <c r="EV74" s="7"/>
      <c r="EW74" s="7"/>
      <c r="EX74" s="7"/>
      <c r="EY74" s="7"/>
      <c r="EZ74" s="7"/>
      <c r="FA74" s="7"/>
      <c r="FB74" s="7"/>
      <c r="FC74" s="7"/>
    </row>
    <row r="75" spans="152:159" x14ac:dyDescent="0.15">
      <c r="EV75" s="7"/>
      <c r="EW75" s="7"/>
      <c r="EX75" s="7"/>
      <c r="EY75" s="7"/>
      <c r="EZ75" s="7"/>
      <c r="FA75" s="7"/>
      <c r="FB75" s="7"/>
      <c r="FC75" s="7"/>
    </row>
    <row r="76" spans="152:159" x14ac:dyDescent="0.15">
      <c r="EV76" s="7"/>
      <c r="EW76" s="7"/>
      <c r="EX76" s="7"/>
      <c r="EY76" s="7"/>
      <c r="EZ76" s="7"/>
      <c r="FA76" s="7"/>
      <c r="FB76" s="7"/>
      <c r="FC76" s="7"/>
    </row>
    <row r="77" spans="152:159" x14ac:dyDescent="0.15">
      <c r="EV77" s="7"/>
      <c r="EW77" s="7"/>
      <c r="EX77" s="7"/>
      <c r="EY77" s="7"/>
      <c r="EZ77" s="7"/>
      <c r="FA77" s="7"/>
      <c r="FB77" s="7"/>
      <c r="FC77" s="7"/>
    </row>
    <row r="78" spans="152:159" x14ac:dyDescent="0.15">
      <c r="EV78" s="7"/>
      <c r="EW78" s="7"/>
      <c r="EX78" s="7"/>
      <c r="EY78" s="7"/>
      <c r="EZ78" s="7"/>
      <c r="FA78" s="7"/>
      <c r="FB78" s="7"/>
      <c r="FC78" s="7"/>
    </row>
    <row r="79" spans="152:159" x14ac:dyDescent="0.15">
      <c r="EV79" s="7"/>
      <c r="EW79" s="7"/>
      <c r="EX79" s="7"/>
      <c r="EY79" s="7"/>
      <c r="EZ79" s="7"/>
      <c r="FA79" s="7"/>
      <c r="FB79" s="7"/>
      <c r="FC79" s="7"/>
    </row>
    <row r="80" spans="152:159" x14ac:dyDescent="0.15">
      <c r="EV80" s="7"/>
      <c r="EW80" s="7"/>
      <c r="EX80" s="7"/>
      <c r="EY80" s="7"/>
      <c r="EZ80" s="7"/>
      <c r="FA80" s="7"/>
      <c r="FB80" s="7"/>
      <c r="FC80" s="7"/>
    </row>
    <row r="81" spans="152:159" x14ac:dyDescent="0.15">
      <c r="EV81" s="7"/>
      <c r="EW81" s="7"/>
      <c r="EX81" s="7"/>
      <c r="EY81" s="7"/>
      <c r="EZ81" s="7"/>
      <c r="FA81" s="7"/>
      <c r="FB81" s="7"/>
      <c r="FC81" s="7"/>
    </row>
    <row r="82" spans="152:159" x14ac:dyDescent="0.15">
      <c r="EV82" s="7"/>
      <c r="EW82" s="7"/>
      <c r="EX82" s="7"/>
      <c r="EY82" s="7"/>
      <c r="EZ82" s="7"/>
      <c r="FA82" s="7"/>
      <c r="FB82" s="7"/>
      <c r="FC82" s="7"/>
    </row>
    <row r="83" spans="152:159" x14ac:dyDescent="0.15">
      <c r="EV83" s="7"/>
      <c r="EW83" s="7"/>
      <c r="EX83" s="7"/>
      <c r="EY83" s="7"/>
      <c r="EZ83" s="7"/>
      <c r="FA83" s="7"/>
      <c r="FB83" s="7"/>
      <c r="FC83" s="7"/>
    </row>
    <row r="84" spans="152:159" x14ac:dyDescent="0.15">
      <c r="EV84" s="7"/>
      <c r="EW84" s="7"/>
      <c r="EX84" s="7"/>
      <c r="EY84" s="7"/>
      <c r="EZ84" s="7"/>
      <c r="FA84" s="7"/>
      <c r="FB84" s="7"/>
      <c r="FC84" s="7"/>
    </row>
    <row r="85" spans="152:159" x14ac:dyDescent="0.15">
      <c r="EV85" s="7"/>
      <c r="EW85" s="7"/>
      <c r="EX85" s="7"/>
      <c r="EY85" s="7"/>
      <c r="EZ85" s="7"/>
      <c r="FA85" s="7"/>
      <c r="FB85" s="7"/>
      <c r="FC85" s="7"/>
    </row>
    <row r="86" spans="152:159" x14ac:dyDescent="0.15">
      <c r="EV86" s="7"/>
      <c r="EW86" s="7"/>
      <c r="EX86" s="7"/>
      <c r="EY86" s="7"/>
      <c r="EZ86" s="7"/>
      <c r="FA86" s="7"/>
      <c r="FB86" s="7"/>
      <c r="FC86" s="7"/>
    </row>
    <row r="87" spans="152:159" x14ac:dyDescent="0.15">
      <c r="EV87" s="7"/>
      <c r="EW87" s="7"/>
      <c r="EX87" s="7"/>
      <c r="EY87" s="7"/>
      <c r="EZ87" s="7"/>
      <c r="FA87" s="7"/>
      <c r="FB87" s="7"/>
      <c r="FC87" s="7"/>
    </row>
    <row r="88" spans="152:159" x14ac:dyDescent="0.15">
      <c r="EV88" s="7"/>
      <c r="EW88" s="7"/>
      <c r="EX88" s="7"/>
      <c r="EY88" s="7"/>
      <c r="EZ88" s="7"/>
      <c r="FA88" s="7"/>
      <c r="FB88" s="7"/>
      <c r="FC88" s="7"/>
    </row>
    <row r="89" spans="152:159" x14ac:dyDescent="0.15">
      <c r="EV89" s="7"/>
      <c r="EW89" s="7"/>
      <c r="EX89" s="7"/>
      <c r="EY89" s="7"/>
      <c r="EZ89" s="7"/>
      <c r="FA89" s="7"/>
      <c r="FB89" s="7"/>
      <c r="FC89" s="7"/>
    </row>
    <row r="90" spans="152:159" x14ac:dyDescent="0.15">
      <c r="EV90" s="7"/>
      <c r="EW90" s="7"/>
      <c r="EX90" s="7"/>
      <c r="EY90" s="7"/>
      <c r="EZ90" s="7"/>
      <c r="FA90" s="7"/>
      <c r="FB90" s="7"/>
      <c r="FC90" s="7"/>
    </row>
    <row r="91" spans="152:159" x14ac:dyDescent="0.15">
      <c r="EV91" s="7"/>
      <c r="EW91" s="7"/>
      <c r="EX91" s="7"/>
      <c r="EY91" s="7"/>
      <c r="EZ91" s="7"/>
      <c r="FA91" s="7"/>
      <c r="FB91" s="7"/>
      <c r="FC91" s="7"/>
    </row>
    <row r="92" spans="152:159" x14ac:dyDescent="0.15">
      <c r="EV92" s="7"/>
      <c r="EW92" s="7"/>
      <c r="EX92" s="7"/>
      <c r="EY92" s="7"/>
      <c r="EZ92" s="7"/>
      <c r="FA92" s="7"/>
      <c r="FB92" s="7"/>
      <c r="FC92" s="7"/>
    </row>
    <row r="93" spans="152:159" x14ac:dyDescent="0.15">
      <c r="EV93" s="7"/>
      <c r="EW93" s="7"/>
      <c r="EX93" s="7"/>
      <c r="EY93" s="7"/>
      <c r="EZ93" s="7"/>
      <c r="FA93" s="7"/>
      <c r="FB93" s="7"/>
      <c r="FC93" s="7"/>
    </row>
    <row r="94" spans="152:159" x14ac:dyDescent="0.15">
      <c r="EV94" s="7"/>
      <c r="EW94" s="7"/>
      <c r="EX94" s="7"/>
      <c r="EY94" s="7"/>
      <c r="EZ94" s="7"/>
      <c r="FA94" s="7"/>
      <c r="FB94" s="7"/>
      <c r="FC94" s="7"/>
    </row>
    <row r="95" spans="152:159" x14ac:dyDescent="0.15">
      <c r="EV95" s="7"/>
      <c r="EW95" s="7"/>
      <c r="EX95" s="7"/>
      <c r="EY95" s="7"/>
      <c r="EZ95" s="7"/>
      <c r="FA95" s="7"/>
      <c r="FB95" s="7"/>
      <c r="FC95" s="7"/>
    </row>
    <row r="96" spans="152:159" x14ac:dyDescent="0.15">
      <c r="EV96" s="7"/>
      <c r="EW96" s="7"/>
      <c r="EX96" s="7"/>
      <c r="EY96" s="7"/>
      <c r="EZ96" s="7"/>
      <c r="FA96" s="7"/>
      <c r="FB96" s="7"/>
      <c r="FC96" s="7"/>
    </row>
    <row r="97" spans="152:159" x14ac:dyDescent="0.15">
      <c r="EV97" s="7"/>
      <c r="EW97" s="7"/>
      <c r="EX97" s="7"/>
      <c r="EY97" s="7"/>
      <c r="EZ97" s="7"/>
      <c r="FA97" s="7"/>
      <c r="FB97" s="7"/>
      <c r="FC97" s="7"/>
    </row>
    <row r="98" spans="152:159" x14ac:dyDescent="0.15">
      <c r="EV98" s="7"/>
      <c r="EW98" s="7"/>
      <c r="EX98" s="7"/>
      <c r="EY98" s="7"/>
      <c r="EZ98" s="7"/>
      <c r="FA98" s="7"/>
      <c r="FB98" s="7"/>
      <c r="FC98" s="7"/>
    </row>
    <row r="99" spans="152:159" x14ac:dyDescent="0.15">
      <c r="EV99" s="7"/>
      <c r="EW99" s="7"/>
      <c r="EX99" s="7"/>
      <c r="EY99" s="7"/>
      <c r="EZ99" s="7"/>
      <c r="FA99" s="7"/>
      <c r="FB99" s="7"/>
      <c r="FC99" s="7"/>
    </row>
    <row r="100" spans="152:159" x14ac:dyDescent="0.15">
      <c r="EV100" s="7"/>
      <c r="EW100" s="7"/>
      <c r="EX100" s="7"/>
      <c r="EY100" s="7"/>
      <c r="EZ100" s="7"/>
      <c r="FA100" s="7"/>
      <c r="FB100" s="7"/>
      <c r="FC100" s="7"/>
    </row>
    <row r="101" spans="152:159" x14ac:dyDescent="0.15">
      <c r="EV101" s="7"/>
      <c r="EW101" s="7"/>
      <c r="EX101" s="7"/>
      <c r="EY101" s="7"/>
      <c r="EZ101" s="7"/>
      <c r="FA101" s="7"/>
      <c r="FB101" s="7"/>
      <c r="FC101" s="7"/>
    </row>
    <row r="102" spans="152:159" x14ac:dyDescent="0.15">
      <c r="EV102" s="7"/>
      <c r="EW102" s="7"/>
      <c r="EX102" s="7"/>
      <c r="EY102" s="7"/>
      <c r="EZ102" s="7"/>
      <c r="FA102" s="7"/>
      <c r="FB102" s="7"/>
      <c r="FC102" s="7"/>
    </row>
    <row r="103" spans="152:159" x14ac:dyDescent="0.15">
      <c r="EV103" s="7"/>
      <c r="EW103" s="7"/>
      <c r="EX103" s="7"/>
      <c r="EY103" s="7"/>
      <c r="EZ103" s="7"/>
      <c r="FA103" s="7"/>
      <c r="FB103" s="7"/>
      <c r="FC103" s="7"/>
    </row>
    <row r="104" spans="152:159" x14ac:dyDescent="0.15">
      <c r="EV104" s="7"/>
      <c r="EW104" s="7"/>
      <c r="EX104" s="7"/>
      <c r="EY104" s="7"/>
      <c r="EZ104" s="7"/>
      <c r="FA104" s="7"/>
      <c r="FB104" s="7"/>
      <c r="FC104" s="7"/>
    </row>
    <row r="105" spans="152:159" x14ac:dyDescent="0.15">
      <c r="EV105" s="7"/>
      <c r="EW105" s="7"/>
      <c r="EX105" s="7"/>
      <c r="EY105" s="7"/>
      <c r="EZ105" s="7"/>
      <c r="FA105" s="7"/>
      <c r="FB105" s="7"/>
      <c r="FC105" s="7"/>
    </row>
    <row r="106" spans="152:159" x14ac:dyDescent="0.15">
      <c r="EV106" s="7"/>
      <c r="EW106" s="7"/>
      <c r="EX106" s="7"/>
      <c r="EY106" s="7"/>
      <c r="EZ106" s="7"/>
      <c r="FA106" s="7"/>
      <c r="FB106" s="7"/>
      <c r="FC106" s="7"/>
    </row>
    <row r="107" spans="152:159" x14ac:dyDescent="0.15">
      <c r="EV107" s="7"/>
      <c r="EW107" s="7"/>
      <c r="EX107" s="7"/>
      <c r="EY107" s="7"/>
      <c r="EZ107" s="7"/>
      <c r="FA107" s="7"/>
      <c r="FB107" s="7"/>
      <c r="FC107" s="7"/>
    </row>
    <row r="108" spans="152:159" x14ac:dyDescent="0.15">
      <c r="EV108" s="7"/>
      <c r="EW108" s="7"/>
      <c r="EX108" s="7"/>
      <c r="EY108" s="7"/>
      <c r="EZ108" s="7"/>
      <c r="FA108" s="7"/>
      <c r="FB108" s="7"/>
      <c r="FC108" s="7"/>
    </row>
    <row r="109" spans="152:159" x14ac:dyDescent="0.15">
      <c r="EV109" s="7"/>
      <c r="EW109" s="7"/>
      <c r="EX109" s="7"/>
      <c r="EY109" s="7"/>
      <c r="EZ109" s="7"/>
      <c r="FA109" s="7"/>
      <c r="FB109" s="7"/>
      <c r="FC109" s="7"/>
    </row>
    <row r="110" spans="152:159" x14ac:dyDescent="0.15">
      <c r="EV110" s="7"/>
      <c r="EW110" s="7"/>
      <c r="EX110" s="7"/>
      <c r="EY110" s="7"/>
      <c r="EZ110" s="7"/>
      <c r="FA110" s="7"/>
      <c r="FB110" s="7"/>
      <c r="FC110" s="7"/>
    </row>
    <row r="111" spans="152:159" x14ac:dyDescent="0.15">
      <c r="EV111" s="7"/>
      <c r="EW111" s="7"/>
      <c r="EX111" s="7"/>
      <c r="EY111" s="7"/>
      <c r="EZ111" s="7"/>
      <c r="FA111" s="7"/>
      <c r="FB111" s="7"/>
      <c r="FC111" s="7"/>
    </row>
    <row r="112" spans="152:159" x14ac:dyDescent="0.15">
      <c r="EV112" s="7"/>
      <c r="EW112" s="7"/>
      <c r="EX112" s="7"/>
      <c r="EY112" s="7"/>
      <c r="EZ112" s="7"/>
      <c r="FA112" s="7"/>
      <c r="FB112" s="7"/>
      <c r="FC112" s="7"/>
    </row>
    <row r="113" spans="152:159" x14ac:dyDescent="0.15">
      <c r="EV113" s="7"/>
      <c r="EW113" s="7"/>
      <c r="EX113" s="7"/>
      <c r="EY113" s="7"/>
      <c r="EZ113" s="7"/>
      <c r="FA113" s="7"/>
      <c r="FB113" s="7"/>
      <c r="FC113" s="7"/>
    </row>
    <row r="114" spans="152:159" x14ac:dyDescent="0.15">
      <c r="EV114" s="7"/>
      <c r="EW114" s="7"/>
      <c r="EX114" s="7"/>
      <c r="EY114" s="7"/>
      <c r="EZ114" s="7"/>
      <c r="FA114" s="7"/>
      <c r="FB114" s="7"/>
      <c r="FC114" s="7"/>
    </row>
    <row r="115" spans="152:159" x14ac:dyDescent="0.15">
      <c r="EV115" s="7"/>
      <c r="EW115" s="7"/>
      <c r="EX115" s="7"/>
      <c r="EY115" s="7"/>
      <c r="EZ115" s="7"/>
      <c r="FA115" s="7"/>
      <c r="FB115" s="7"/>
      <c r="FC115" s="7"/>
    </row>
    <row r="116" spans="152:159" x14ac:dyDescent="0.15">
      <c r="EV116" s="7"/>
      <c r="EW116" s="7"/>
      <c r="EX116" s="7"/>
      <c r="EY116" s="7"/>
      <c r="EZ116" s="7"/>
      <c r="FA116" s="7"/>
      <c r="FB116" s="7"/>
      <c r="FC116" s="7"/>
    </row>
    <row r="117" spans="152:159" x14ac:dyDescent="0.15">
      <c r="EV117" s="7"/>
      <c r="EW117" s="7"/>
      <c r="EX117" s="7"/>
      <c r="EY117" s="7"/>
      <c r="EZ117" s="7"/>
      <c r="FA117" s="7"/>
      <c r="FB117" s="7"/>
      <c r="FC117" s="7"/>
    </row>
    <row r="118" spans="152:159" x14ac:dyDescent="0.15">
      <c r="EV118" s="7"/>
      <c r="EW118" s="7"/>
      <c r="EX118" s="7"/>
      <c r="EY118" s="7"/>
      <c r="EZ118" s="7"/>
      <c r="FA118" s="7"/>
      <c r="FB118" s="7"/>
      <c r="FC118" s="7"/>
    </row>
    <row r="119" spans="152:159" x14ac:dyDescent="0.15">
      <c r="EV119" s="7"/>
      <c r="EW119" s="7"/>
      <c r="EX119" s="7"/>
      <c r="EY119" s="7"/>
      <c r="EZ119" s="7"/>
      <c r="FA119" s="7"/>
      <c r="FB119" s="7"/>
      <c r="FC119" s="7"/>
    </row>
    <row r="120" spans="152:159" x14ac:dyDescent="0.15">
      <c r="EV120" s="7"/>
      <c r="EW120" s="7"/>
      <c r="EX120" s="7"/>
      <c r="EY120" s="7"/>
      <c r="EZ120" s="7"/>
      <c r="FA120" s="7"/>
      <c r="FB120" s="7"/>
      <c r="FC120" s="7"/>
    </row>
    <row r="121" spans="152:159" x14ac:dyDescent="0.15">
      <c r="EV121" s="7"/>
      <c r="EW121" s="7"/>
      <c r="EX121" s="7"/>
      <c r="EY121" s="7"/>
      <c r="EZ121" s="7"/>
      <c r="FA121" s="7"/>
      <c r="FB121" s="7"/>
      <c r="FC121" s="7"/>
    </row>
    <row r="122" spans="152:159" x14ac:dyDescent="0.15">
      <c r="EV122" s="7"/>
      <c r="EW122" s="7"/>
      <c r="EX122" s="7"/>
      <c r="EY122" s="7"/>
      <c r="EZ122" s="7"/>
      <c r="FA122" s="7"/>
      <c r="FB122" s="7"/>
      <c r="FC122" s="7"/>
    </row>
    <row r="123" spans="152:159" x14ac:dyDescent="0.15">
      <c r="EV123" s="7"/>
      <c r="EW123" s="7"/>
      <c r="EX123" s="7"/>
      <c r="EY123" s="7"/>
      <c r="EZ123" s="7"/>
      <c r="FA123" s="7"/>
      <c r="FB123" s="7"/>
      <c r="FC123" s="7"/>
    </row>
    <row r="124" spans="152:159" x14ac:dyDescent="0.15">
      <c r="EV124" s="7"/>
      <c r="EW124" s="7"/>
      <c r="EX124" s="7"/>
      <c r="EY124" s="7"/>
      <c r="EZ124" s="7"/>
      <c r="FA124" s="7"/>
      <c r="FB124" s="7"/>
      <c r="FC124" s="7"/>
    </row>
    <row r="125" spans="152:159" x14ac:dyDescent="0.15">
      <c r="EV125" s="7"/>
      <c r="EW125" s="7"/>
      <c r="EX125" s="7"/>
      <c r="EY125" s="7"/>
      <c r="EZ125" s="7"/>
      <c r="FA125" s="7"/>
      <c r="FB125" s="7"/>
      <c r="FC125" s="7"/>
    </row>
    <row r="126" spans="152:159" x14ac:dyDescent="0.15">
      <c r="EV126" s="7"/>
      <c r="EW126" s="7"/>
      <c r="EX126" s="7"/>
      <c r="EY126" s="7"/>
      <c r="EZ126" s="7"/>
      <c r="FA126" s="7"/>
      <c r="FB126" s="7"/>
      <c r="FC126" s="7"/>
    </row>
    <row r="127" spans="152:159" x14ac:dyDescent="0.15">
      <c r="EV127" s="7"/>
      <c r="EW127" s="7"/>
      <c r="EX127" s="7"/>
      <c r="EY127" s="7"/>
      <c r="EZ127" s="7"/>
      <c r="FA127" s="7"/>
      <c r="FB127" s="7"/>
      <c r="FC127" s="7"/>
    </row>
    <row r="128" spans="152:159" x14ac:dyDescent="0.15">
      <c r="EV128" s="7"/>
      <c r="EW128" s="7"/>
      <c r="EX128" s="7"/>
      <c r="EY128" s="7"/>
      <c r="EZ128" s="7"/>
      <c r="FA128" s="7"/>
      <c r="FB128" s="7"/>
      <c r="FC128" s="7"/>
    </row>
    <row r="129" spans="152:159" x14ac:dyDescent="0.15">
      <c r="EV129" s="7"/>
      <c r="EW129" s="7"/>
      <c r="EX129" s="7"/>
      <c r="EY129" s="7"/>
      <c r="EZ129" s="7"/>
      <c r="FA129" s="7"/>
      <c r="FB129" s="7"/>
      <c r="FC129" s="7"/>
    </row>
    <row r="130" spans="152:159" x14ac:dyDescent="0.15">
      <c r="EV130" s="7"/>
      <c r="EW130" s="7"/>
      <c r="EX130" s="7"/>
      <c r="EY130" s="7"/>
      <c r="EZ130" s="7"/>
      <c r="FA130" s="7"/>
      <c r="FB130" s="7"/>
      <c r="FC130" s="7"/>
    </row>
    <row r="131" spans="152:159" x14ac:dyDescent="0.15">
      <c r="EV131" s="7"/>
      <c r="EW131" s="7"/>
      <c r="EX131" s="7"/>
      <c r="EY131" s="7"/>
      <c r="EZ131" s="7"/>
      <c r="FA131" s="7"/>
      <c r="FB131" s="7"/>
      <c r="FC131" s="7"/>
    </row>
    <row r="132" spans="152:159" x14ac:dyDescent="0.15">
      <c r="EV132" s="7"/>
      <c r="EW132" s="7"/>
      <c r="EX132" s="7"/>
      <c r="EY132" s="7"/>
      <c r="EZ132" s="7"/>
      <c r="FA132" s="7"/>
      <c r="FB132" s="7"/>
      <c r="FC132" s="7"/>
    </row>
    <row r="133" spans="152:159" x14ac:dyDescent="0.15">
      <c r="EV133" s="7"/>
      <c r="EW133" s="7"/>
      <c r="EX133" s="7"/>
      <c r="EY133" s="7"/>
      <c r="EZ133" s="7"/>
      <c r="FA133" s="7"/>
      <c r="FB133" s="7"/>
      <c r="FC133" s="7"/>
    </row>
    <row r="134" spans="152:159" x14ac:dyDescent="0.15">
      <c r="EV134" s="7"/>
      <c r="EW134" s="7"/>
      <c r="EX134" s="7"/>
      <c r="EY134" s="7"/>
      <c r="EZ134" s="7"/>
      <c r="FA134" s="7"/>
      <c r="FB134" s="7"/>
      <c r="FC134" s="7"/>
    </row>
    <row r="135" spans="152:159" x14ac:dyDescent="0.15">
      <c r="EV135" s="7"/>
      <c r="EW135" s="7"/>
      <c r="EX135" s="7"/>
      <c r="EY135" s="7"/>
      <c r="EZ135" s="7"/>
      <c r="FA135" s="7"/>
      <c r="FB135" s="7"/>
      <c r="FC135" s="7"/>
    </row>
    <row r="136" spans="152:159" x14ac:dyDescent="0.15">
      <c r="EV136" s="7"/>
      <c r="EW136" s="7"/>
      <c r="EX136" s="7"/>
      <c r="EY136" s="7"/>
      <c r="EZ136" s="7"/>
      <c r="FA136" s="7"/>
      <c r="FB136" s="7"/>
      <c r="FC136" s="7"/>
    </row>
    <row r="137" spans="152:159" x14ac:dyDescent="0.15">
      <c r="EV137" s="7"/>
      <c r="EW137" s="7"/>
      <c r="EX137" s="7"/>
      <c r="EY137" s="7"/>
      <c r="EZ137" s="7"/>
      <c r="FA137" s="7"/>
      <c r="FB137" s="7"/>
      <c r="FC137" s="7"/>
    </row>
    <row r="138" spans="152:159" x14ac:dyDescent="0.15">
      <c r="EV138" s="7"/>
      <c r="EW138" s="7"/>
      <c r="EX138" s="7"/>
      <c r="EY138" s="7"/>
      <c r="EZ138" s="7"/>
      <c r="FA138" s="7"/>
      <c r="FB138" s="7"/>
      <c r="FC138" s="7"/>
    </row>
    <row r="139" spans="152:159" x14ac:dyDescent="0.15">
      <c r="EV139" s="7"/>
      <c r="EW139" s="7"/>
      <c r="EX139" s="7"/>
      <c r="EY139" s="7"/>
      <c r="EZ139" s="7"/>
      <c r="FA139" s="7"/>
      <c r="FB139" s="7"/>
      <c r="FC139" s="7"/>
    </row>
    <row r="140" spans="152:159" x14ac:dyDescent="0.15">
      <c r="EV140" s="7"/>
      <c r="EW140" s="7"/>
      <c r="EX140" s="7"/>
      <c r="EY140" s="7"/>
      <c r="EZ140" s="7"/>
      <c r="FA140" s="7"/>
      <c r="FB140" s="7"/>
      <c r="FC140" s="7"/>
    </row>
    <row r="141" spans="152:159" x14ac:dyDescent="0.15">
      <c r="EV141" s="7"/>
      <c r="EW141" s="7"/>
      <c r="EX141" s="7"/>
      <c r="EY141" s="7"/>
      <c r="EZ141" s="7"/>
      <c r="FA141" s="7"/>
      <c r="FB141" s="7"/>
      <c r="FC141" s="7"/>
    </row>
    <row r="142" spans="152:159" x14ac:dyDescent="0.15">
      <c r="EV142" s="7"/>
      <c r="EW142" s="7"/>
      <c r="EX142" s="7"/>
      <c r="EY142" s="7"/>
      <c r="EZ142" s="7"/>
      <c r="FA142" s="7"/>
      <c r="FB142" s="7"/>
      <c r="FC142" s="7"/>
    </row>
    <row r="143" spans="152:159" x14ac:dyDescent="0.15">
      <c r="EV143" s="7"/>
      <c r="EW143" s="7"/>
      <c r="EX143" s="7"/>
      <c r="EY143" s="7"/>
      <c r="EZ143" s="7"/>
      <c r="FA143" s="7"/>
      <c r="FB143" s="7"/>
      <c r="FC143" s="7"/>
    </row>
    <row r="144" spans="152:159" x14ac:dyDescent="0.15">
      <c r="EV144" s="7"/>
      <c r="EW144" s="7"/>
      <c r="EX144" s="7"/>
      <c r="EY144" s="7"/>
      <c r="EZ144" s="7"/>
      <c r="FA144" s="7"/>
      <c r="FB144" s="7"/>
      <c r="FC144" s="7"/>
    </row>
    <row r="145" spans="152:159" x14ac:dyDescent="0.15">
      <c r="EV145" s="7"/>
      <c r="EW145" s="7"/>
      <c r="EX145" s="7"/>
      <c r="EY145" s="7"/>
      <c r="EZ145" s="7"/>
      <c r="FA145" s="7"/>
      <c r="FB145" s="7"/>
      <c r="FC145" s="7"/>
    </row>
    <row r="146" spans="152:159" x14ac:dyDescent="0.15">
      <c r="EV146" s="7"/>
      <c r="EW146" s="7"/>
      <c r="EX146" s="7"/>
      <c r="EY146" s="7"/>
      <c r="EZ146" s="7"/>
      <c r="FA146" s="7"/>
      <c r="FB146" s="7"/>
      <c r="FC146" s="7"/>
    </row>
    <row r="147" spans="152:159" x14ac:dyDescent="0.15">
      <c r="EV147" s="7"/>
      <c r="EW147" s="7"/>
      <c r="EX147" s="7"/>
      <c r="EY147" s="7"/>
      <c r="EZ147" s="7"/>
      <c r="FA147" s="7"/>
      <c r="FB147" s="7"/>
      <c r="FC147" s="7"/>
    </row>
    <row r="148" spans="152:159" x14ac:dyDescent="0.15">
      <c r="EV148" s="7"/>
      <c r="EW148" s="7"/>
      <c r="EX148" s="7"/>
      <c r="EY148" s="7"/>
      <c r="EZ148" s="7"/>
      <c r="FA148" s="7"/>
      <c r="FB148" s="7"/>
      <c r="FC148" s="7"/>
    </row>
    <row r="149" spans="152:159" x14ac:dyDescent="0.15">
      <c r="EV149" s="7"/>
      <c r="EW149" s="7"/>
      <c r="EX149" s="7"/>
      <c r="EY149" s="7"/>
      <c r="EZ149" s="7"/>
      <c r="FA149" s="7"/>
      <c r="FB149" s="7"/>
      <c r="FC149" s="7"/>
    </row>
    <row r="150" spans="152:159" x14ac:dyDescent="0.15">
      <c r="EV150" s="7"/>
      <c r="EW150" s="7"/>
      <c r="EX150" s="7"/>
      <c r="EY150" s="7"/>
      <c r="EZ150" s="7"/>
      <c r="FA150" s="7"/>
      <c r="FB150" s="7"/>
      <c r="FC150" s="7"/>
    </row>
    <row r="151" spans="152:159" x14ac:dyDescent="0.15">
      <c r="EV151" s="7"/>
      <c r="EW151" s="7"/>
      <c r="EX151" s="7"/>
      <c r="EY151" s="7"/>
      <c r="EZ151" s="7"/>
      <c r="FA151" s="7"/>
      <c r="FB151" s="7"/>
      <c r="FC151" s="7"/>
    </row>
    <row r="152" spans="152:159" x14ac:dyDescent="0.15">
      <c r="EV152" s="7"/>
      <c r="EW152" s="7"/>
      <c r="EX152" s="7"/>
      <c r="EY152" s="7"/>
      <c r="EZ152" s="7"/>
      <c r="FA152" s="7"/>
      <c r="FB152" s="7"/>
      <c r="FC152" s="7"/>
    </row>
    <row r="153" spans="152:159" x14ac:dyDescent="0.15">
      <c r="EV153" s="7"/>
      <c r="EW153" s="7"/>
      <c r="EX153" s="7"/>
      <c r="EY153" s="7"/>
      <c r="EZ153" s="7"/>
      <c r="FA153" s="7"/>
      <c r="FB153" s="7"/>
      <c r="FC153" s="7"/>
    </row>
    <row r="154" spans="152:159" x14ac:dyDescent="0.15">
      <c r="EV154" s="7"/>
      <c r="EW154" s="7"/>
      <c r="EX154" s="7"/>
      <c r="EY154" s="7"/>
      <c r="EZ154" s="7"/>
      <c r="FA154" s="7"/>
      <c r="FB154" s="7"/>
      <c r="FC154" s="7"/>
    </row>
    <row r="155" spans="152:159" x14ac:dyDescent="0.15">
      <c r="EV155" s="7"/>
      <c r="EW155" s="7"/>
      <c r="EX155" s="7"/>
      <c r="EY155" s="7"/>
      <c r="EZ155" s="7"/>
      <c r="FA155" s="7"/>
      <c r="FB155" s="7"/>
      <c r="FC155" s="7"/>
    </row>
    <row r="156" spans="152:159" x14ac:dyDescent="0.15">
      <c r="EV156" s="7"/>
      <c r="EW156" s="7"/>
      <c r="EX156" s="7"/>
      <c r="EY156" s="7"/>
      <c r="EZ156" s="7"/>
      <c r="FA156" s="7"/>
      <c r="FB156" s="7"/>
      <c r="FC156" s="7"/>
    </row>
    <row r="157" spans="152:159" x14ac:dyDescent="0.15">
      <c r="EV157" s="7"/>
      <c r="EW157" s="7"/>
      <c r="EX157" s="7"/>
      <c r="EY157" s="7"/>
      <c r="EZ157" s="7"/>
      <c r="FA157" s="7"/>
      <c r="FB157" s="7"/>
      <c r="FC157" s="7"/>
    </row>
    <row r="158" spans="152:159" x14ac:dyDescent="0.15">
      <c r="EV158" s="7"/>
      <c r="EW158" s="7"/>
      <c r="EX158" s="7"/>
      <c r="EY158" s="7"/>
      <c r="EZ158" s="7"/>
      <c r="FA158" s="7"/>
      <c r="FB158" s="7"/>
      <c r="FC158" s="7"/>
    </row>
    <row r="159" spans="152:159" x14ac:dyDescent="0.15">
      <c r="EV159" s="7"/>
      <c r="EW159" s="7"/>
      <c r="EX159" s="7"/>
      <c r="EY159" s="7"/>
      <c r="EZ159" s="7"/>
      <c r="FA159" s="7"/>
      <c r="FB159" s="7"/>
      <c r="FC159" s="7"/>
    </row>
    <row r="160" spans="152:159" x14ac:dyDescent="0.15">
      <c r="EV160" s="7"/>
      <c r="EW160" s="7"/>
      <c r="EX160" s="7"/>
      <c r="EY160" s="7"/>
      <c r="EZ160" s="7"/>
      <c r="FA160" s="7"/>
      <c r="FB160" s="7"/>
      <c r="FC160" s="7"/>
    </row>
    <row r="161" spans="152:159" x14ac:dyDescent="0.15">
      <c r="EV161" s="7"/>
      <c r="EW161" s="7"/>
      <c r="EX161" s="7"/>
      <c r="EY161" s="7"/>
      <c r="EZ161" s="7"/>
      <c r="FA161" s="7"/>
      <c r="FB161" s="7"/>
      <c r="FC161" s="7"/>
    </row>
    <row r="162" spans="152:159" x14ac:dyDescent="0.15">
      <c r="EV162" s="7"/>
      <c r="EW162" s="7"/>
      <c r="EX162" s="7"/>
      <c r="EY162" s="7"/>
      <c r="EZ162" s="7"/>
      <c r="FA162" s="7"/>
      <c r="FB162" s="7"/>
      <c r="FC162" s="7"/>
    </row>
    <row r="163" spans="152:159" x14ac:dyDescent="0.15">
      <c r="EV163" s="7"/>
      <c r="EW163" s="7"/>
      <c r="EX163" s="7"/>
      <c r="EY163" s="7"/>
      <c r="EZ163" s="7"/>
      <c r="FA163" s="7"/>
      <c r="FB163" s="7"/>
      <c r="FC163" s="7"/>
    </row>
    <row r="164" spans="152:159" x14ac:dyDescent="0.15">
      <c r="EV164" s="7"/>
      <c r="EW164" s="7"/>
      <c r="EX164" s="7"/>
      <c r="EY164" s="7"/>
      <c r="EZ164" s="7"/>
      <c r="FA164" s="7"/>
      <c r="FB164" s="7"/>
      <c r="FC164" s="7"/>
    </row>
    <row r="165" spans="152:159" x14ac:dyDescent="0.15">
      <c r="EV165" s="7"/>
      <c r="EW165" s="7"/>
      <c r="EX165" s="7"/>
      <c r="EY165" s="7"/>
      <c r="EZ165" s="7"/>
      <c r="FA165" s="7"/>
      <c r="FB165" s="7"/>
      <c r="FC165" s="7"/>
    </row>
    <row r="166" spans="152:159" x14ac:dyDescent="0.15">
      <c r="EV166" s="7"/>
      <c r="EW166" s="7"/>
      <c r="EX166" s="7"/>
      <c r="EY166" s="7"/>
      <c r="EZ166" s="7"/>
      <c r="FA166" s="7"/>
      <c r="FB166" s="7"/>
      <c r="FC166" s="7"/>
    </row>
    <row r="167" spans="152:159" x14ac:dyDescent="0.15">
      <c r="EV167" s="7"/>
      <c r="EW167" s="7"/>
      <c r="EX167" s="7"/>
      <c r="EY167" s="7"/>
      <c r="EZ167" s="7"/>
      <c r="FA167" s="7"/>
      <c r="FB167" s="7"/>
      <c r="FC167" s="7"/>
    </row>
    <row r="168" spans="152:159" x14ac:dyDescent="0.15">
      <c r="EV168" s="7"/>
      <c r="EW168" s="7"/>
      <c r="EX168" s="7"/>
      <c r="EY168" s="7"/>
      <c r="EZ168" s="7"/>
      <c r="FA168" s="7"/>
      <c r="FB168" s="7"/>
      <c r="FC168" s="7"/>
    </row>
    <row r="169" spans="152:159" x14ac:dyDescent="0.15">
      <c r="EV169" s="7"/>
      <c r="EW169" s="7"/>
      <c r="EX169" s="7"/>
      <c r="EY169" s="7"/>
      <c r="EZ169" s="7"/>
      <c r="FA169" s="7"/>
      <c r="FB169" s="7"/>
      <c r="FC169" s="7"/>
    </row>
    <row r="170" spans="152:159" x14ac:dyDescent="0.15">
      <c r="EV170" s="7"/>
      <c r="EW170" s="7"/>
      <c r="EX170" s="7"/>
      <c r="EY170" s="7"/>
      <c r="EZ170" s="7"/>
      <c r="FA170" s="7"/>
      <c r="FB170" s="7"/>
      <c r="FC170" s="7"/>
    </row>
    <row r="171" spans="152:159" x14ac:dyDescent="0.15">
      <c r="EV171" s="7"/>
      <c r="EW171" s="7"/>
      <c r="EX171" s="7"/>
      <c r="EY171" s="7"/>
      <c r="EZ171" s="7"/>
      <c r="FA171" s="7"/>
      <c r="FB171" s="7"/>
      <c r="FC171" s="7"/>
    </row>
    <row r="172" spans="152:159" x14ac:dyDescent="0.15">
      <c r="EV172" s="7"/>
      <c r="EW172" s="7"/>
      <c r="EX172" s="7"/>
      <c r="EY172" s="7"/>
      <c r="EZ172" s="7"/>
      <c r="FA172" s="7"/>
      <c r="FB172" s="7"/>
      <c r="FC172" s="7"/>
    </row>
    <row r="173" spans="152:159" x14ac:dyDescent="0.15">
      <c r="EV173" s="7"/>
      <c r="EW173" s="7"/>
      <c r="EX173" s="7"/>
      <c r="EY173" s="7"/>
      <c r="EZ173" s="7"/>
      <c r="FA173" s="7"/>
      <c r="FB173" s="7"/>
      <c r="FC173" s="7"/>
    </row>
    <row r="174" spans="152:159" x14ac:dyDescent="0.15">
      <c r="EV174" s="7"/>
      <c r="EW174" s="7"/>
      <c r="EX174" s="7"/>
      <c r="EY174" s="7"/>
      <c r="EZ174" s="7"/>
      <c r="FA174" s="7"/>
      <c r="FB174" s="7"/>
      <c r="FC174" s="7"/>
    </row>
    <row r="175" spans="152:159" x14ac:dyDescent="0.15">
      <c r="EV175" s="7"/>
      <c r="EW175" s="7"/>
      <c r="EX175" s="7"/>
      <c r="EY175" s="7"/>
      <c r="EZ175" s="7"/>
      <c r="FA175" s="7"/>
      <c r="FB175" s="7"/>
      <c r="FC175" s="7"/>
    </row>
    <row r="176" spans="152:159" x14ac:dyDescent="0.15">
      <c r="EV176" s="7"/>
      <c r="EW176" s="7"/>
      <c r="EX176" s="7"/>
      <c r="EY176" s="7"/>
      <c r="EZ176" s="7"/>
      <c r="FA176" s="7"/>
      <c r="FB176" s="7"/>
      <c r="FC176" s="7"/>
    </row>
    <row r="177" spans="152:159" x14ac:dyDescent="0.15">
      <c r="EV177" s="7"/>
      <c r="EW177" s="7"/>
      <c r="EX177" s="7"/>
      <c r="EY177" s="7"/>
      <c r="EZ177" s="7"/>
      <c r="FA177" s="7"/>
      <c r="FB177" s="7"/>
      <c r="FC177" s="7"/>
    </row>
    <row r="178" spans="152:159" x14ac:dyDescent="0.15">
      <c r="EV178" s="7"/>
      <c r="EW178" s="7"/>
      <c r="EX178" s="7"/>
      <c r="EY178" s="7"/>
      <c r="EZ178" s="7"/>
      <c r="FA178" s="7"/>
      <c r="FB178" s="7"/>
      <c r="FC178" s="7"/>
    </row>
    <row r="179" spans="152:159" x14ac:dyDescent="0.15">
      <c r="EV179" s="7"/>
      <c r="EW179" s="7"/>
      <c r="EX179" s="7"/>
      <c r="EY179" s="7"/>
      <c r="EZ179" s="7"/>
      <c r="FA179" s="7"/>
      <c r="FB179" s="7"/>
      <c r="FC179" s="7"/>
    </row>
    <row r="180" spans="152:159" x14ac:dyDescent="0.15">
      <c r="EV180" s="7"/>
      <c r="EW180" s="7"/>
      <c r="EX180" s="7"/>
      <c r="EY180" s="7"/>
      <c r="EZ180" s="7"/>
      <c r="FA180" s="7"/>
      <c r="FB180" s="7"/>
      <c r="FC180" s="7"/>
    </row>
  </sheetData>
  <sheetProtection sheet="1" objects="1" scenarios="1" formatCells="0" formatColumns="0" formatRows="0"/>
  <mergeCells count="275">
    <mergeCell ref="CL2:DC2"/>
    <mergeCell ref="DE2:DF2"/>
    <mergeCell ref="DH2:DI2"/>
    <mergeCell ref="DK2:DL2"/>
    <mergeCell ref="C1:S2"/>
    <mergeCell ref="U1:AK2"/>
    <mergeCell ref="AO1:AY1"/>
    <mergeCell ref="CL1:DL1"/>
    <mergeCell ref="DZ1:EW1"/>
    <mergeCell ref="AO2:AS2"/>
    <mergeCell ref="AT2:AU2"/>
    <mergeCell ref="AV2:AW2"/>
    <mergeCell ref="AX2:AY2"/>
    <mergeCell ref="ET2:EU2"/>
    <mergeCell ref="EV2:EW2"/>
    <mergeCell ref="EX2:EY2"/>
    <mergeCell ref="EZ2:FA2"/>
    <mergeCell ref="FB2:FC2"/>
    <mergeCell ref="FD2:FI2"/>
    <mergeCell ref="DM2:DN2"/>
    <mergeCell ref="DO2:DP2"/>
    <mergeCell ref="DQ2:DR2"/>
    <mergeCell ref="DS2:DX2"/>
    <mergeCell ref="DZ2:EQ2"/>
    <mergeCell ref="ER2:ES2"/>
    <mergeCell ref="CN3:CQ3"/>
    <mergeCell ref="CX3:DA3"/>
    <mergeCell ref="EB3:EE3"/>
    <mergeCell ref="EL3:EO3"/>
    <mergeCell ref="AO4:AP4"/>
    <mergeCell ref="D3:G3"/>
    <mergeCell ref="N3:Q3"/>
    <mergeCell ref="V3:Y3"/>
    <mergeCell ref="AF3:AI3"/>
    <mergeCell ref="AX7:AX8"/>
    <mergeCell ref="AT5:AT6"/>
    <mergeCell ref="AU5:AU10"/>
    <mergeCell ref="AV5:AV6"/>
    <mergeCell ref="AW5:AW10"/>
    <mergeCell ref="AX5:AX6"/>
    <mergeCell ref="AY5:AY10"/>
    <mergeCell ref="AT9:AT10"/>
    <mergeCell ref="AV9:AV10"/>
    <mergeCell ref="AX9:AX10"/>
    <mergeCell ref="A11:A16"/>
    <mergeCell ref="AO11:AO12"/>
    <mergeCell ref="AP11:AP12"/>
    <mergeCell ref="AQ11:AQ16"/>
    <mergeCell ref="AR11:AR16"/>
    <mergeCell ref="AO7:AO8"/>
    <mergeCell ref="AP7:AP8"/>
    <mergeCell ref="AT7:AT8"/>
    <mergeCell ref="AV7:AV8"/>
    <mergeCell ref="A5:A10"/>
    <mergeCell ref="AO5:AO6"/>
    <mergeCell ref="AP5:AP6"/>
    <mergeCell ref="AQ5:AQ10"/>
    <mergeCell ref="AR5:AR10"/>
    <mergeCell ref="AS5:AS10"/>
    <mergeCell ref="AO9:AO10"/>
    <mergeCell ref="AP9:AP10"/>
    <mergeCell ref="AY17:AY22"/>
    <mergeCell ref="AT19:AT20"/>
    <mergeCell ref="AV19:AV20"/>
    <mergeCell ref="AX19:AX20"/>
    <mergeCell ref="AT21:AT22"/>
    <mergeCell ref="AV21:AV22"/>
    <mergeCell ref="AX21:AX22"/>
    <mergeCell ref="AY11:AY16"/>
    <mergeCell ref="AO13:AO14"/>
    <mergeCell ref="AP13:AP14"/>
    <mergeCell ref="AT13:AT14"/>
    <mergeCell ref="AV13:AV14"/>
    <mergeCell ref="AX13:AX14"/>
    <mergeCell ref="AO15:AO16"/>
    <mergeCell ref="AP15:AP16"/>
    <mergeCell ref="AT15:AT16"/>
    <mergeCell ref="AV15:AV16"/>
    <mergeCell ref="AS11:AS16"/>
    <mergeCell ref="AT11:AT12"/>
    <mergeCell ref="AU11:AU16"/>
    <mergeCell ref="AV11:AV12"/>
    <mergeCell ref="AW11:AW16"/>
    <mergeCell ref="AX11:AX12"/>
    <mergeCell ref="AX15:AX16"/>
    <mergeCell ref="AV29:AV30"/>
    <mergeCell ref="AW29:AW34"/>
    <mergeCell ref="AX29:AX30"/>
    <mergeCell ref="A23:A28"/>
    <mergeCell ref="AO23:AO24"/>
    <mergeCell ref="AP23:AP24"/>
    <mergeCell ref="AQ23:AQ28"/>
    <mergeCell ref="A17:A22"/>
    <mergeCell ref="AO17:AO18"/>
    <mergeCell ref="AP17:AP18"/>
    <mergeCell ref="AQ17:AQ22"/>
    <mergeCell ref="AR17:AR22"/>
    <mergeCell ref="AS17:AS22"/>
    <mergeCell ref="AO19:AO20"/>
    <mergeCell ref="AP19:AP20"/>
    <mergeCell ref="AO21:AO22"/>
    <mergeCell ref="AP21:AP22"/>
    <mergeCell ref="AT17:AT18"/>
    <mergeCell ref="AU17:AU22"/>
    <mergeCell ref="AV17:AV18"/>
    <mergeCell ref="AW17:AW22"/>
    <mergeCell ref="AX17:AX18"/>
    <mergeCell ref="AV23:AV24"/>
    <mergeCell ref="AW23:AW28"/>
    <mergeCell ref="AX23:AX24"/>
    <mergeCell ref="AO25:AO26"/>
    <mergeCell ref="AP25:AP26"/>
    <mergeCell ref="AT25:AT26"/>
    <mergeCell ref="AV25:AV26"/>
    <mergeCell ref="AX25:AX26"/>
    <mergeCell ref="AO27:AO28"/>
    <mergeCell ref="AR23:AR28"/>
    <mergeCell ref="AS23:AS28"/>
    <mergeCell ref="AT23:AT24"/>
    <mergeCell ref="AU23:AU28"/>
    <mergeCell ref="A29:A34"/>
    <mergeCell ref="AO29:AO30"/>
    <mergeCell ref="AP29:AP30"/>
    <mergeCell ref="AQ29:AQ34"/>
    <mergeCell ref="AR29:AR34"/>
    <mergeCell ref="AS29:AS34"/>
    <mergeCell ref="AT29:AT30"/>
    <mergeCell ref="AU29:AU34"/>
    <mergeCell ref="AO31:AO32"/>
    <mergeCell ref="AP31:AP32"/>
    <mergeCell ref="AT31:AT32"/>
    <mergeCell ref="AV31:AV32"/>
    <mergeCell ref="AX31:AX32"/>
    <mergeCell ref="AO33:AO34"/>
    <mergeCell ref="AP33:AP34"/>
    <mergeCell ref="AT33:AT34"/>
    <mergeCell ref="AV33:AV34"/>
    <mergeCell ref="AX33:AX34"/>
    <mergeCell ref="AC44:AH44"/>
    <mergeCell ref="AT35:AT36"/>
    <mergeCell ref="AU35:AU40"/>
    <mergeCell ref="AV35:AV36"/>
    <mergeCell ref="AW35:AW40"/>
    <mergeCell ref="AX35:AX36"/>
    <mergeCell ref="AY35:AY40"/>
    <mergeCell ref="AT37:AT38"/>
    <mergeCell ref="AV37:AV38"/>
    <mergeCell ref="AX37:AX38"/>
    <mergeCell ref="AT39:AT40"/>
    <mergeCell ref="AV39:AV40"/>
    <mergeCell ref="AX39:AX40"/>
    <mergeCell ref="A43:V43"/>
    <mergeCell ref="A44:L44"/>
    <mergeCell ref="Q44:R44"/>
    <mergeCell ref="S44:T44"/>
    <mergeCell ref="U44:V44"/>
    <mergeCell ref="W44:X44"/>
    <mergeCell ref="Y44:Z44"/>
    <mergeCell ref="AA44:AB44"/>
    <mergeCell ref="A35:A40"/>
    <mergeCell ref="Q49:Q50"/>
    <mergeCell ref="S49:S50"/>
    <mergeCell ref="U49:U50"/>
    <mergeCell ref="W49:W50"/>
    <mergeCell ref="Y47:Y48"/>
    <mergeCell ref="Z47:Z52"/>
    <mergeCell ref="AA47:AA48"/>
    <mergeCell ref="AB47:AB52"/>
    <mergeCell ref="AC47:AC48"/>
    <mergeCell ref="Y51:Y52"/>
    <mergeCell ref="S47:S48"/>
    <mergeCell ref="T47:T52"/>
    <mergeCell ref="U47:U48"/>
    <mergeCell ref="V47:V52"/>
    <mergeCell ref="W47:W48"/>
    <mergeCell ref="AA51:AA52"/>
    <mergeCell ref="AC51:AC52"/>
    <mergeCell ref="Y49:Y50"/>
    <mergeCell ref="AA49:AA50"/>
    <mergeCell ref="AC49:AC50"/>
    <mergeCell ref="C45:F45"/>
    <mergeCell ref="M45:P45"/>
    <mergeCell ref="A46:B46"/>
    <mergeCell ref="A47:A48"/>
    <mergeCell ref="B47:B48"/>
    <mergeCell ref="C47:C52"/>
    <mergeCell ref="D47:D52"/>
    <mergeCell ref="E47:E52"/>
    <mergeCell ref="F47:F52"/>
    <mergeCell ref="A49:A50"/>
    <mergeCell ref="B49:B50"/>
    <mergeCell ref="AF47:AF52"/>
    <mergeCell ref="AG47:AG52"/>
    <mergeCell ref="AH47:AH52"/>
    <mergeCell ref="A51:A52"/>
    <mergeCell ref="B51:B52"/>
    <mergeCell ref="Q51:Q52"/>
    <mergeCell ref="S51:S52"/>
    <mergeCell ref="U51:U52"/>
    <mergeCell ref="W51:W52"/>
    <mergeCell ref="AE47:AE52"/>
    <mergeCell ref="X47:X52"/>
    <mergeCell ref="M47:M52"/>
    <mergeCell ref="N47:N52"/>
    <mergeCell ref="O47:O52"/>
    <mergeCell ref="P47:P52"/>
    <mergeCell ref="Q47:Q48"/>
    <mergeCell ref="R47:R52"/>
    <mergeCell ref="G47:G52"/>
    <mergeCell ref="H47:H52"/>
    <mergeCell ref="I47:I52"/>
    <mergeCell ref="J47:J52"/>
    <mergeCell ref="K47:K52"/>
    <mergeCell ref="L47:L52"/>
    <mergeCell ref="AD47:AD52"/>
    <mergeCell ref="FK2:FL2"/>
    <mergeCell ref="FM2:FN2"/>
    <mergeCell ref="FP2:FQ2"/>
    <mergeCell ref="FR2:FS2"/>
    <mergeCell ref="AI44:AJ44"/>
    <mergeCell ref="AK44:AL44"/>
    <mergeCell ref="AI46:AJ46"/>
    <mergeCell ref="AK46:AL46"/>
    <mergeCell ref="AI47:AI48"/>
    <mergeCell ref="AJ47:AJ52"/>
    <mergeCell ref="AK47:AK48"/>
    <mergeCell ref="AL47:AL52"/>
    <mergeCell ref="AI49:AI50"/>
    <mergeCell ref="AK49:AK50"/>
    <mergeCell ref="AI51:AI52"/>
    <mergeCell ref="AK51:AK52"/>
    <mergeCell ref="AO35:AO36"/>
    <mergeCell ref="AP35:AP36"/>
    <mergeCell ref="AQ35:AQ40"/>
    <mergeCell ref="AR35:AR40"/>
    <mergeCell ref="AS35:AS40"/>
    <mergeCell ref="AO37:AO38"/>
    <mergeCell ref="AP37:AP38"/>
    <mergeCell ref="AO39:AO40"/>
    <mergeCell ref="AZ5:AZ6"/>
    <mergeCell ref="BA5:BA10"/>
    <mergeCell ref="AZ7:AZ8"/>
    <mergeCell ref="AZ9:AZ10"/>
    <mergeCell ref="AZ11:AZ12"/>
    <mergeCell ref="BA11:BA16"/>
    <mergeCell ref="AZ13:AZ14"/>
    <mergeCell ref="AZ15:AZ16"/>
    <mergeCell ref="AZ17:AZ18"/>
    <mergeCell ref="BA17:BA22"/>
    <mergeCell ref="AZ19:AZ20"/>
    <mergeCell ref="AZ21:AZ22"/>
    <mergeCell ref="AM47:AM48"/>
    <mergeCell ref="AN47:AN52"/>
    <mergeCell ref="AP47:AP52"/>
    <mergeCell ref="AM49:AM50"/>
    <mergeCell ref="AM51:AM52"/>
    <mergeCell ref="AZ23:AZ24"/>
    <mergeCell ref="BA23:BA28"/>
    <mergeCell ref="AZ25:AZ26"/>
    <mergeCell ref="AZ27:AZ28"/>
    <mergeCell ref="AZ29:AZ30"/>
    <mergeCell ref="BA29:BA34"/>
    <mergeCell ref="AZ31:AZ32"/>
    <mergeCell ref="AZ33:AZ34"/>
    <mergeCell ref="AZ35:AZ36"/>
    <mergeCell ref="BA35:BA40"/>
    <mergeCell ref="AZ37:AZ38"/>
    <mergeCell ref="AZ39:AZ40"/>
    <mergeCell ref="AP39:AP40"/>
    <mergeCell ref="AY29:AY34"/>
    <mergeCell ref="AP27:AP28"/>
    <mergeCell ref="AT27:AT28"/>
    <mergeCell ref="AV27:AV28"/>
    <mergeCell ref="AX27:AX28"/>
    <mergeCell ref="AY23:AY28"/>
  </mergeCells>
  <conditionalFormatting sqref="AP5">
    <cfRule type="cellIs" dxfId="3095" priority="665" stopIfTrue="1" operator="greaterThan">
      <formula>0.03</formula>
    </cfRule>
    <cfRule type="cellIs" dxfId="3094" priority="666" stopIfTrue="1" operator="lessThan">
      <formula>-0.03</formula>
    </cfRule>
  </conditionalFormatting>
  <conditionalFormatting sqref="AQ5">
    <cfRule type="cellIs" dxfId="3093" priority="683" stopIfTrue="1" operator="greaterThan">
      <formula>0.03</formula>
    </cfRule>
    <cfRule type="cellIs" dxfId="3092" priority="684" stopIfTrue="1" operator="lessThan">
      <formula>-0.03</formula>
    </cfRule>
  </conditionalFormatting>
  <conditionalFormatting sqref="CH5">
    <cfRule type="cellIs" dxfId="3091" priority="685" stopIfTrue="1" operator="greaterThan">
      <formula>0.03</formula>
    </cfRule>
    <cfRule type="cellIs" dxfId="3090" priority="686" stopIfTrue="1" operator="lessThan">
      <formula>-0.03</formula>
    </cfRule>
  </conditionalFormatting>
  <conditionalFormatting sqref="AQ5:AQ10">
    <cfRule type="cellIs" dxfId="3089" priority="687" stopIfTrue="1" operator="greaterThan">
      <formula>0</formula>
    </cfRule>
    <cfRule type="cellIs" dxfId="3088" priority="688" stopIfTrue="1" operator="lessThan">
      <formula>0</formula>
    </cfRule>
  </conditionalFormatting>
  <conditionalFormatting sqref="AR5:AS5">
    <cfRule type="cellIs" dxfId="3087" priority="679" stopIfTrue="1" operator="greaterThan">
      <formula>0.03</formula>
    </cfRule>
    <cfRule type="cellIs" dxfId="3086" priority="680" stopIfTrue="1" operator="lessThan">
      <formula>-0.03</formula>
    </cfRule>
  </conditionalFormatting>
  <conditionalFormatting sqref="AR5:AS10">
    <cfRule type="cellIs" dxfId="3085" priority="681" stopIfTrue="1" operator="greaterThan">
      <formula>0</formula>
    </cfRule>
    <cfRule type="cellIs" dxfId="3084" priority="682" stopIfTrue="1" operator="lessThan">
      <formula>0</formula>
    </cfRule>
  </conditionalFormatting>
  <conditionalFormatting sqref="AU5">
    <cfRule type="cellIs" dxfId="3083" priority="675" stopIfTrue="1" operator="greaterThan">
      <formula>0.03</formula>
    </cfRule>
    <cfRule type="cellIs" dxfId="3082" priority="676" stopIfTrue="1" operator="lessThan">
      <formula>-0.03</formula>
    </cfRule>
  </conditionalFormatting>
  <conditionalFormatting sqref="AU5:AU10">
    <cfRule type="cellIs" dxfId="3081" priority="677" stopIfTrue="1" operator="greaterThan">
      <formula>0</formula>
    </cfRule>
    <cfRule type="cellIs" dxfId="3080" priority="678" stopIfTrue="1" operator="lessThan">
      <formula>0</formula>
    </cfRule>
  </conditionalFormatting>
  <conditionalFormatting sqref="AW5">
    <cfRule type="cellIs" dxfId="3079" priority="671" stopIfTrue="1" operator="greaterThan">
      <formula>0.03</formula>
    </cfRule>
    <cfRule type="cellIs" dxfId="3078" priority="672" stopIfTrue="1" operator="lessThan">
      <formula>-0.03</formula>
    </cfRule>
  </conditionalFormatting>
  <conditionalFormatting sqref="AW5:AW10">
    <cfRule type="cellIs" dxfId="3077" priority="673" stopIfTrue="1" operator="greaterThan">
      <formula>0</formula>
    </cfRule>
    <cfRule type="cellIs" dxfId="3076" priority="674" stopIfTrue="1" operator="lessThan">
      <formula>0</formula>
    </cfRule>
  </conditionalFormatting>
  <conditionalFormatting sqref="AY5">
    <cfRule type="cellIs" dxfId="3075" priority="667" stopIfTrue="1" operator="greaterThan">
      <formula>0.03</formula>
    </cfRule>
    <cfRule type="cellIs" dxfId="3074" priority="668" stopIfTrue="1" operator="lessThan">
      <formula>-0.03</formula>
    </cfRule>
  </conditionalFormatting>
  <conditionalFormatting sqref="AY5:AY10">
    <cfRule type="cellIs" dxfId="3073" priority="669" stopIfTrue="1" operator="greaterThan">
      <formula>0</formula>
    </cfRule>
    <cfRule type="cellIs" dxfId="3072" priority="670" stopIfTrue="1" operator="lessThan">
      <formula>0</formula>
    </cfRule>
  </conditionalFormatting>
  <conditionalFormatting sqref="AP5:AP6">
    <cfRule type="cellIs" dxfId="3071" priority="689" stopIfTrue="1" operator="greaterThan">
      <formula>0</formula>
    </cfRule>
    <cfRule type="cellIs" dxfId="3070" priority="690" operator="lessThan">
      <formula>0</formula>
    </cfRule>
  </conditionalFormatting>
  <conditionalFormatting sqref="AP7">
    <cfRule type="cellIs" dxfId="3069" priority="661" stopIfTrue="1" operator="greaterThan">
      <formula>0.03</formula>
    </cfRule>
    <cfRule type="cellIs" dxfId="3068" priority="662" stopIfTrue="1" operator="lessThan">
      <formula>-0.03</formula>
    </cfRule>
  </conditionalFormatting>
  <conditionalFormatting sqref="AP7:AP8">
    <cfRule type="cellIs" dxfId="3067" priority="663" stopIfTrue="1" operator="greaterThan">
      <formula>0</formula>
    </cfRule>
    <cfRule type="cellIs" dxfId="3066" priority="664" operator="lessThan">
      <formula>0</formula>
    </cfRule>
  </conditionalFormatting>
  <conditionalFormatting sqref="AP9">
    <cfRule type="cellIs" dxfId="3065" priority="657" stopIfTrue="1" operator="greaterThan">
      <formula>0.03</formula>
    </cfRule>
    <cfRule type="cellIs" dxfId="3064" priority="658" stopIfTrue="1" operator="lessThan">
      <formula>-0.03</formula>
    </cfRule>
  </conditionalFormatting>
  <conditionalFormatting sqref="AP9:AP10">
    <cfRule type="cellIs" dxfId="3063" priority="659" stopIfTrue="1" operator="greaterThan">
      <formula>0</formula>
    </cfRule>
    <cfRule type="cellIs" dxfId="3062" priority="660" operator="lessThan">
      <formula>0</formula>
    </cfRule>
  </conditionalFormatting>
  <conditionalFormatting sqref="AT5">
    <cfRule type="cellIs" dxfId="3061" priority="653" stopIfTrue="1" operator="greaterThan">
      <formula>0.03</formula>
    </cfRule>
    <cfRule type="cellIs" dxfId="3060" priority="654" stopIfTrue="1" operator="lessThan">
      <formula>-0.03</formula>
    </cfRule>
  </conditionalFormatting>
  <conditionalFormatting sqref="AT5:AT6">
    <cfRule type="cellIs" dxfId="3059" priority="655" stopIfTrue="1" operator="greaterThan">
      <formula>0</formula>
    </cfRule>
    <cfRule type="cellIs" dxfId="3058" priority="656" operator="lessThan">
      <formula>0</formula>
    </cfRule>
  </conditionalFormatting>
  <conditionalFormatting sqref="AT7">
    <cfRule type="cellIs" dxfId="3057" priority="649" stopIfTrue="1" operator="greaterThan">
      <formula>0.03</formula>
    </cfRule>
    <cfRule type="cellIs" dxfId="3056" priority="650" stopIfTrue="1" operator="lessThan">
      <formula>-0.03</formula>
    </cfRule>
  </conditionalFormatting>
  <conditionalFormatting sqref="AT7:AT8">
    <cfRule type="cellIs" dxfId="3055" priority="651" stopIfTrue="1" operator="greaterThan">
      <formula>0</formula>
    </cfRule>
    <cfRule type="cellIs" dxfId="3054" priority="652" operator="lessThan">
      <formula>0</formula>
    </cfRule>
  </conditionalFormatting>
  <conditionalFormatting sqref="AT9">
    <cfRule type="cellIs" dxfId="3053" priority="645" stopIfTrue="1" operator="greaterThan">
      <formula>0.03</formula>
    </cfRule>
    <cfRule type="cellIs" dxfId="3052" priority="646" stopIfTrue="1" operator="lessThan">
      <formula>-0.03</formula>
    </cfRule>
  </conditionalFormatting>
  <conditionalFormatting sqref="AT9:AT10">
    <cfRule type="cellIs" dxfId="3051" priority="647" stopIfTrue="1" operator="greaterThan">
      <formula>0</formula>
    </cfRule>
    <cfRule type="cellIs" dxfId="3050" priority="648" operator="lessThan">
      <formula>0</formula>
    </cfRule>
  </conditionalFormatting>
  <conditionalFormatting sqref="AV5">
    <cfRule type="cellIs" dxfId="3049" priority="641" stopIfTrue="1" operator="greaterThan">
      <formula>0.03</formula>
    </cfRule>
    <cfRule type="cellIs" dxfId="3048" priority="642" stopIfTrue="1" operator="lessThan">
      <formula>-0.03</formula>
    </cfRule>
  </conditionalFormatting>
  <conditionalFormatting sqref="AV5:AV6">
    <cfRule type="cellIs" dxfId="3047" priority="643" stopIfTrue="1" operator="greaterThan">
      <formula>0</formula>
    </cfRule>
    <cfRule type="cellIs" dxfId="3046" priority="644" operator="lessThan">
      <formula>0</formula>
    </cfRule>
  </conditionalFormatting>
  <conditionalFormatting sqref="AV7">
    <cfRule type="cellIs" dxfId="3045" priority="637" stopIfTrue="1" operator="greaterThan">
      <formula>0.03</formula>
    </cfRule>
    <cfRule type="cellIs" dxfId="3044" priority="638" stopIfTrue="1" operator="lessThan">
      <formula>-0.03</formula>
    </cfRule>
  </conditionalFormatting>
  <conditionalFormatting sqref="AV7:AV8">
    <cfRule type="cellIs" dxfId="3043" priority="639" stopIfTrue="1" operator="greaterThan">
      <formula>0</formula>
    </cfRule>
    <cfRule type="cellIs" dxfId="3042" priority="640" operator="lessThan">
      <formula>0</formula>
    </cfRule>
  </conditionalFormatting>
  <conditionalFormatting sqref="AV9">
    <cfRule type="cellIs" dxfId="3041" priority="633" stopIfTrue="1" operator="greaterThan">
      <formula>0.03</formula>
    </cfRule>
    <cfRule type="cellIs" dxfId="3040" priority="634" stopIfTrue="1" operator="lessThan">
      <formula>-0.03</formula>
    </cfRule>
  </conditionalFormatting>
  <conditionalFormatting sqref="AV9:AV10">
    <cfRule type="cellIs" dxfId="3039" priority="635" stopIfTrue="1" operator="greaterThan">
      <formula>0</formula>
    </cfRule>
    <cfRule type="cellIs" dxfId="3038" priority="636" operator="lessThan">
      <formula>0</formula>
    </cfRule>
  </conditionalFormatting>
  <conditionalFormatting sqref="AX5">
    <cfRule type="cellIs" dxfId="3037" priority="629" stopIfTrue="1" operator="greaterThan">
      <formula>0.03</formula>
    </cfRule>
    <cfRule type="cellIs" dxfId="3036" priority="630" stopIfTrue="1" operator="lessThan">
      <formula>-0.03</formula>
    </cfRule>
  </conditionalFormatting>
  <conditionalFormatting sqref="AX5:AX6">
    <cfRule type="cellIs" dxfId="3035" priority="631" stopIfTrue="1" operator="greaterThan">
      <formula>0</formula>
    </cfRule>
    <cfRule type="cellIs" dxfId="3034" priority="632" operator="lessThan">
      <formula>0</formula>
    </cfRule>
  </conditionalFormatting>
  <conditionalFormatting sqref="AX7">
    <cfRule type="cellIs" dxfId="3033" priority="625" stopIfTrue="1" operator="greaterThan">
      <formula>0.03</formula>
    </cfRule>
    <cfRule type="cellIs" dxfId="3032" priority="626" stopIfTrue="1" operator="lessThan">
      <formula>-0.03</formula>
    </cfRule>
  </conditionalFormatting>
  <conditionalFormatting sqref="AX7:AX8">
    <cfRule type="cellIs" dxfId="3031" priority="627" stopIfTrue="1" operator="greaterThan">
      <formula>0</formula>
    </cfRule>
    <cfRule type="cellIs" dxfId="3030" priority="628" operator="lessThan">
      <formula>0</formula>
    </cfRule>
  </conditionalFormatting>
  <conditionalFormatting sqref="AX9">
    <cfRule type="cellIs" dxfId="3029" priority="621" stopIfTrue="1" operator="greaterThan">
      <formula>0.03</formula>
    </cfRule>
    <cfRule type="cellIs" dxfId="3028" priority="622" stopIfTrue="1" operator="lessThan">
      <formula>-0.03</formula>
    </cfRule>
  </conditionalFormatting>
  <conditionalFormatting sqref="AX9:AX10">
    <cfRule type="cellIs" dxfId="3027" priority="623" stopIfTrue="1" operator="greaterThan">
      <formula>0</formula>
    </cfRule>
    <cfRule type="cellIs" dxfId="3026" priority="624" operator="lessThan">
      <formula>0</formula>
    </cfRule>
  </conditionalFormatting>
  <conditionalFormatting sqref="AP11">
    <cfRule type="cellIs" dxfId="3025" priority="597" stopIfTrue="1" operator="greaterThan">
      <formula>0.03</formula>
    </cfRule>
    <cfRule type="cellIs" dxfId="3024" priority="598" stopIfTrue="1" operator="lessThan">
      <formula>-0.03</formula>
    </cfRule>
  </conditionalFormatting>
  <conditionalFormatting sqref="AQ11">
    <cfRule type="cellIs" dxfId="3023" priority="615" stopIfTrue="1" operator="greaterThan">
      <formula>0.03</formula>
    </cfRule>
    <cfRule type="cellIs" dxfId="3022" priority="616" stopIfTrue="1" operator="lessThan">
      <formula>-0.03</formula>
    </cfRule>
  </conditionalFormatting>
  <conditionalFormatting sqref="AQ11:AQ16">
    <cfRule type="cellIs" dxfId="3021" priority="617" stopIfTrue="1" operator="greaterThan">
      <formula>0</formula>
    </cfRule>
    <cfRule type="cellIs" dxfId="3020" priority="618" stopIfTrue="1" operator="lessThan">
      <formula>0</formula>
    </cfRule>
  </conditionalFormatting>
  <conditionalFormatting sqref="AR11:AS11">
    <cfRule type="cellIs" dxfId="3019" priority="611" stopIfTrue="1" operator="greaterThan">
      <formula>0.03</formula>
    </cfRule>
    <cfRule type="cellIs" dxfId="3018" priority="612" stopIfTrue="1" operator="lessThan">
      <formula>-0.03</formula>
    </cfRule>
  </conditionalFormatting>
  <conditionalFormatting sqref="AR11:AS16">
    <cfRule type="cellIs" dxfId="3017" priority="613" stopIfTrue="1" operator="greaterThan">
      <formula>0</formula>
    </cfRule>
    <cfRule type="cellIs" dxfId="3016" priority="614" stopIfTrue="1" operator="lessThan">
      <formula>0</formula>
    </cfRule>
  </conditionalFormatting>
  <conditionalFormatting sqref="AU11">
    <cfRule type="cellIs" dxfId="3015" priority="607" stopIfTrue="1" operator="greaterThan">
      <formula>0.03</formula>
    </cfRule>
    <cfRule type="cellIs" dxfId="3014" priority="608" stopIfTrue="1" operator="lessThan">
      <formula>-0.03</formula>
    </cfRule>
  </conditionalFormatting>
  <conditionalFormatting sqref="AU11:AU16">
    <cfRule type="cellIs" dxfId="3013" priority="609" stopIfTrue="1" operator="greaterThan">
      <formula>0</formula>
    </cfRule>
    <cfRule type="cellIs" dxfId="3012" priority="610" stopIfTrue="1" operator="lessThan">
      <formula>0</formula>
    </cfRule>
  </conditionalFormatting>
  <conditionalFormatting sqref="AW11">
    <cfRule type="cellIs" dxfId="3011" priority="603" stopIfTrue="1" operator="greaterThan">
      <formula>0.03</formula>
    </cfRule>
    <cfRule type="cellIs" dxfId="3010" priority="604" stopIfTrue="1" operator="lessThan">
      <formula>-0.03</formula>
    </cfRule>
  </conditionalFormatting>
  <conditionalFormatting sqref="AW11:AW16">
    <cfRule type="cellIs" dxfId="3009" priority="605" stopIfTrue="1" operator="greaterThan">
      <formula>0</formula>
    </cfRule>
    <cfRule type="cellIs" dxfId="3008" priority="606" stopIfTrue="1" operator="lessThan">
      <formula>0</formula>
    </cfRule>
  </conditionalFormatting>
  <conditionalFormatting sqref="AY11">
    <cfRule type="cellIs" dxfId="3007" priority="599" stopIfTrue="1" operator="greaterThan">
      <formula>0.03</formula>
    </cfRule>
    <cfRule type="cellIs" dxfId="3006" priority="600" stopIfTrue="1" operator="lessThan">
      <formula>-0.03</formula>
    </cfRule>
  </conditionalFormatting>
  <conditionalFormatting sqref="AY11:AY16">
    <cfRule type="cellIs" dxfId="3005" priority="601" stopIfTrue="1" operator="greaterThan">
      <formula>0</formula>
    </cfRule>
    <cfRule type="cellIs" dxfId="3004" priority="602" stopIfTrue="1" operator="lessThan">
      <formula>0</formula>
    </cfRule>
  </conditionalFormatting>
  <conditionalFormatting sqref="AP11:AP12">
    <cfRule type="cellIs" dxfId="3003" priority="619" stopIfTrue="1" operator="greaterThan">
      <formula>0</formula>
    </cfRule>
    <cfRule type="cellIs" dxfId="3002" priority="620" operator="lessThan">
      <formula>0</formula>
    </cfRule>
  </conditionalFormatting>
  <conditionalFormatting sqref="AP13">
    <cfRule type="cellIs" dxfId="3001" priority="593" stopIfTrue="1" operator="greaterThan">
      <formula>0.03</formula>
    </cfRule>
    <cfRule type="cellIs" dxfId="3000" priority="594" stopIfTrue="1" operator="lessThan">
      <formula>-0.03</formula>
    </cfRule>
  </conditionalFormatting>
  <conditionalFormatting sqref="AP13:AP14">
    <cfRule type="cellIs" dxfId="2999" priority="595" stopIfTrue="1" operator="greaterThan">
      <formula>0</formula>
    </cfRule>
    <cfRule type="cellIs" dxfId="2998" priority="596" operator="lessThan">
      <formula>0</formula>
    </cfRule>
  </conditionalFormatting>
  <conditionalFormatting sqref="AP15">
    <cfRule type="cellIs" dxfId="2997" priority="589" stopIfTrue="1" operator="greaterThan">
      <formula>0.03</formula>
    </cfRule>
    <cfRule type="cellIs" dxfId="2996" priority="590" stopIfTrue="1" operator="lessThan">
      <formula>-0.03</formula>
    </cfRule>
  </conditionalFormatting>
  <conditionalFormatting sqref="AP15:AP16">
    <cfRule type="cellIs" dxfId="2995" priority="591" stopIfTrue="1" operator="greaterThan">
      <formula>0</formula>
    </cfRule>
    <cfRule type="cellIs" dxfId="2994" priority="592" operator="lessThan">
      <formula>0</formula>
    </cfRule>
  </conditionalFormatting>
  <conditionalFormatting sqref="AT11">
    <cfRule type="cellIs" dxfId="2993" priority="585" stopIfTrue="1" operator="greaterThan">
      <formula>0.03</formula>
    </cfRule>
    <cfRule type="cellIs" dxfId="2992" priority="586" stopIfTrue="1" operator="lessThan">
      <formula>-0.03</formula>
    </cfRule>
  </conditionalFormatting>
  <conditionalFormatting sqref="AT11:AT12">
    <cfRule type="cellIs" dxfId="2991" priority="587" stopIfTrue="1" operator="greaterThan">
      <formula>0</formula>
    </cfRule>
    <cfRule type="cellIs" dxfId="2990" priority="588" operator="lessThan">
      <formula>0</formula>
    </cfRule>
  </conditionalFormatting>
  <conditionalFormatting sqref="AT13">
    <cfRule type="cellIs" dxfId="2989" priority="581" stopIfTrue="1" operator="greaterThan">
      <formula>0.03</formula>
    </cfRule>
    <cfRule type="cellIs" dxfId="2988" priority="582" stopIfTrue="1" operator="lessThan">
      <formula>-0.03</formula>
    </cfRule>
  </conditionalFormatting>
  <conditionalFormatting sqref="AT13:AT14">
    <cfRule type="cellIs" dxfId="2987" priority="583" stopIfTrue="1" operator="greaterThan">
      <formula>0</formula>
    </cfRule>
    <cfRule type="cellIs" dxfId="2986" priority="584" operator="lessThan">
      <formula>0</formula>
    </cfRule>
  </conditionalFormatting>
  <conditionalFormatting sqref="AT15">
    <cfRule type="cellIs" dxfId="2985" priority="577" stopIfTrue="1" operator="greaterThan">
      <formula>0.03</formula>
    </cfRule>
    <cfRule type="cellIs" dxfId="2984" priority="578" stopIfTrue="1" operator="lessThan">
      <formula>-0.03</formula>
    </cfRule>
  </conditionalFormatting>
  <conditionalFormatting sqref="AT15:AT16">
    <cfRule type="cellIs" dxfId="2983" priority="579" stopIfTrue="1" operator="greaterThan">
      <formula>0</formula>
    </cfRule>
    <cfRule type="cellIs" dxfId="2982" priority="580" operator="lessThan">
      <formula>0</formula>
    </cfRule>
  </conditionalFormatting>
  <conditionalFormatting sqref="AV11">
    <cfRule type="cellIs" dxfId="2981" priority="573" stopIfTrue="1" operator="greaterThan">
      <formula>0.03</formula>
    </cfRule>
    <cfRule type="cellIs" dxfId="2980" priority="574" stopIfTrue="1" operator="lessThan">
      <formula>-0.03</formula>
    </cfRule>
  </conditionalFormatting>
  <conditionalFormatting sqref="AV11:AV12">
    <cfRule type="cellIs" dxfId="2979" priority="575" stopIfTrue="1" operator="greaterThan">
      <formula>0</formula>
    </cfRule>
    <cfRule type="cellIs" dxfId="2978" priority="576" operator="lessThan">
      <formula>0</formula>
    </cfRule>
  </conditionalFormatting>
  <conditionalFormatting sqref="AV13">
    <cfRule type="cellIs" dxfId="2977" priority="569" stopIfTrue="1" operator="greaterThan">
      <formula>0.03</formula>
    </cfRule>
    <cfRule type="cellIs" dxfId="2976" priority="570" stopIfTrue="1" operator="lessThan">
      <formula>-0.03</formula>
    </cfRule>
  </conditionalFormatting>
  <conditionalFormatting sqref="AV13:AV14">
    <cfRule type="cellIs" dxfId="2975" priority="571" stopIfTrue="1" operator="greaterThan">
      <formula>0</formula>
    </cfRule>
    <cfRule type="cellIs" dxfId="2974" priority="572" operator="lessThan">
      <formula>0</formula>
    </cfRule>
  </conditionalFormatting>
  <conditionalFormatting sqref="AV15">
    <cfRule type="cellIs" dxfId="2973" priority="565" stopIfTrue="1" operator="greaterThan">
      <formula>0.03</formula>
    </cfRule>
    <cfRule type="cellIs" dxfId="2972" priority="566" stopIfTrue="1" operator="lessThan">
      <formula>-0.03</formula>
    </cfRule>
  </conditionalFormatting>
  <conditionalFormatting sqref="AV15:AV16">
    <cfRule type="cellIs" dxfId="2971" priority="567" stopIfTrue="1" operator="greaterThan">
      <formula>0</formula>
    </cfRule>
    <cfRule type="cellIs" dxfId="2970" priority="568" operator="lessThan">
      <formula>0</formula>
    </cfRule>
  </conditionalFormatting>
  <conditionalFormatting sqref="AP17 AP23 AP29 AP35">
    <cfRule type="cellIs" dxfId="2969" priority="545" stopIfTrue="1" operator="greaterThan">
      <formula>0.03</formula>
    </cfRule>
    <cfRule type="cellIs" dxfId="2968" priority="546" stopIfTrue="1" operator="lessThan">
      <formula>-0.03</formula>
    </cfRule>
  </conditionalFormatting>
  <conditionalFormatting sqref="AQ17 AQ23 AQ29 AQ35">
    <cfRule type="cellIs" dxfId="2967" priority="559" stopIfTrue="1" operator="greaterThan">
      <formula>0.03</formula>
    </cfRule>
    <cfRule type="cellIs" dxfId="2966" priority="560" stopIfTrue="1" operator="lessThan">
      <formula>-0.03</formula>
    </cfRule>
  </conditionalFormatting>
  <conditionalFormatting sqref="AQ17:AQ40">
    <cfRule type="cellIs" dxfId="2965" priority="561" stopIfTrue="1" operator="greaterThan">
      <formula>0</formula>
    </cfRule>
    <cfRule type="cellIs" dxfId="2964" priority="562" stopIfTrue="1" operator="lessThan">
      <formula>0</formula>
    </cfRule>
  </conditionalFormatting>
  <conditionalFormatting sqref="AR17:AS17 AR23:AS23 AR29:AS29 AR35:AS35">
    <cfRule type="cellIs" dxfId="2963" priority="555" stopIfTrue="1" operator="greaterThan">
      <formula>0.03</formula>
    </cfRule>
    <cfRule type="cellIs" dxfId="2962" priority="556" stopIfTrue="1" operator="lessThan">
      <formula>-0.03</formula>
    </cfRule>
  </conditionalFormatting>
  <conditionalFormatting sqref="AR17:AS40">
    <cfRule type="cellIs" dxfId="2961" priority="557" stopIfTrue="1" operator="greaterThan">
      <formula>0</formula>
    </cfRule>
    <cfRule type="cellIs" dxfId="2960" priority="558" stopIfTrue="1" operator="lessThan">
      <formula>0</formula>
    </cfRule>
  </conditionalFormatting>
  <conditionalFormatting sqref="AU17 AU23 AU29 AU35">
    <cfRule type="cellIs" dxfId="2959" priority="551" stopIfTrue="1" operator="greaterThan">
      <formula>0.03</formula>
    </cfRule>
    <cfRule type="cellIs" dxfId="2958" priority="552" stopIfTrue="1" operator="lessThan">
      <formula>-0.03</formula>
    </cfRule>
  </conditionalFormatting>
  <conditionalFormatting sqref="AU17:AU40">
    <cfRule type="cellIs" dxfId="2957" priority="553" stopIfTrue="1" operator="greaterThan">
      <formula>0</formula>
    </cfRule>
    <cfRule type="cellIs" dxfId="2956" priority="554" stopIfTrue="1" operator="lessThan">
      <formula>0</formula>
    </cfRule>
  </conditionalFormatting>
  <conditionalFormatting sqref="AW17 AW23 AW29 AW35">
    <cfRule type="cellIs" dxfId="2955" priority="547" stopIfTrue="1" operator="greaterThan">
      <formula>0.03</formula>
    </cfRule>
    <cfRule type="cellIs" dxfId="2954" priority="548" stopIfTrue="1" operator="lessThan">
      <formula>-0.03</formula>
    </cfRule>
  </conditionalFormatting>
  <conditionalFormatting sqref="AW17:AW40">
    <cfRule type="cellIs" dxfId="2953" priority="549" stopIfTrue="1" operator="greaterThan">
      <formula>0</formula>
    </cfRule>
    <cfRule type="cellIs" dxfId="2952" priority="550" stopIfTrue="1" operator="lessThan">
      <formula>0</formula>
    </cfRule>
  </conditionalFormatting>
  <conditionalFormatting sqref="AP17:AP18 AP23:AP24 AP29:AP30 AP35:AP36">
    <cfRule type="cellIs" dxfId="2951" priority="563" stopIfTrue="1" operator="greaterThan">
      <formula>0</formula>
    </cfRule>
    <cfRule type="cellIs" dxfId="2950" priority="564" operator="lessThan">
      <formula>0</formula>
    </cfRule>
  </conditionalFormatting>
  <conditionalFormatting sqref="AP19 AP25 AP31 AP37">
    <cfRule type="cellIs" dxfId="2949" priority="541" stopIfTrue="1" operator="greaterThan">
      <formula>0.03</formula>
    </cfRule>
    <cfRule type="cellIs" dxfId="2948" priority="542" stopIfTrue="1" operator="lessThan">
      <formula>-0.03</formula>
    </cfRule>
  </conditionalFormatting>
  <conditionalFormatting sqref="AP19:AP20 AP25:AP26 AP31:AP32 AP37:AP38">
    <cfRule type="cellIs" dxfId="2947" priority="543" stopIfTrue="1" operator="greaterThan">
      <formula>0</formula>
    </cfRule>
    <cfRule type="cellIs" dxfId="2946" priority="544" operator="lessThan">
      <formula>0</formula>
    </cfRule>
  </conditionalFormatting>
  <conditionalFormatting sqref="AP21 AP27 AP33 AP39">
    <cfRule type="cellIs" dxfId="2945" priority="537" stopIfTrue="1" operator="greaterThan">
      <formula>0.03</formula>
    </cfRule>
    <cfRule type="cellIs" dxfId="2944" priority="538" stopIfTrue="1" operator="lessThan">
      <formula>-0.03</formula>
    </cfRule>
  </conditionalFormatting>
  <conditionalFormatting sqref="AP21:AP22 AP27:AP28 AP33:AP34 AP39:AP40">
    <cfRule type="cellIs" dxfId="2943" priority="539" stopIfTrue="1" operator="greaterThan">
      <formula>0</formula>
    </cfRule>
    <cfRule type="cellIs" dxfId="2942" priority="540" operator="lessThan">
      <formula>0</formula>
    </cfRule>
  </conditionalFormatting>
  <conditionalFormatting sqref="AT17 AT23 AT29 AT35">
    <cfRule type="cellIs" dxfId="2941" priority="533" stopIfTrue="1" operator="greaterThan">
      <formula>0.03</formula>
    </cfRule>
    <cfRule type="cellIs" dxfId="2940" priority="534" stopIfTrue="1" operator="lessThan">
      <formula>-0.03</formula>
    </cfRule>
  </conditionalFormatting>
  <conditionalFormatting sqref="AT17:AT18 AT23:AT24 AT29:AT30 AT35:AT36">
    <cfRule type="cellIs" dxfId="2939" priority="535" stopIfTrue="1" operator="greaterThan">
      <formula>0</formula>
    </cfRule>
    <cfRule type="cellIs" dxfId="2938" priority="536" operator="lessThan">
      <formula>0</formula>
    </cfRule>
  </conditionalFormatting>
  <conditionalFormatting sqref="AT19 AT25 AT31 AT37">
    <cfRule type="cellIs" dxfId="2937" priority="529" stopIfTrue="1" operator="greaterThan">
      <formula>0.03</formula>
    </cfRule>
    <cfRule type="cellIs" dxfId="2936" priority="530" stopIfTrue="1" operator="lessThan">
      <formula>-0.03</formula>
    </cfRule>
  </conditionalFormatting>
  <conditionalFormatting sqref="AT19:AT20 AT25:AT26 AT31:AT32 AT37:AT38">
    <cfRule type="cellIs" dxfId="2935" priority="531" stopIfTrue="1" operator="greaterThan">
      <formula>0</formula>
    </cfRule>
    <cfRule type="cellIs" dxfId="2934" priority="532" operator="lessThan">
      <formula>0</formula>
    </cfRule>
  </conditionalFormatting>
  <conditionalFormatting sqref="AT21 AT27 AT33 AT39">
    <cfRule type="cellIs" dxfId="2933" priority="525" stopIfTrue="1" operator="greaterThan">
      <formula>0.03</formula>
    </cfRule>
    <cfRule type="cellIs" dxfId="2932" priority="526" stopIfTrue="1" operator="lessThan">
      <formula>-0.03</formula>
    </cfRule>
  </conditionalFormatting>
  <conditionalFormatting sqref="AT21:AT22 AT27:AT28 AT33:AT34 AT39:AT40">
    <cfRule type="cellIs" dxfId="2931" priority="527" stopIfTrue="1" operator="greaterThan">
      <formula>0</formula>
    </cfRule>
    <cfRule type="cellIs" dxfId="2930" priority="528" operator="lessThan">
      <formula>0</formula>
    </cfRule>
  </conditionalFormatting>
  <conditionalFormatting sqref="AV17 AV23 AV29 AV35">
    <cfRule type="cellIs" dxfId="2929" priority="521" stopIfTrue="1" operator="greaterThan">
      <formula>0.03</formula>
    </cfRule>
    <cfRule type="cellIs" dxfId="2928" priority="522" stopIfTrue="1" operator="lessThan">
      <formula>-0.03</formula>
    </cfRule>
  </conditionalFormatting>
  <conditionalFormatting sqref="AV17:AV18 AV23:AV24 AV29:AV30 AV35:AV36">
    <cfRule type="cellIs" dxfId="2927" priority="523" stopIfTrue="1" operator="greaterThan">
      <formula>0</formula>
    </cfRule>
    <cfRule type="cellIs" dxfId="2926" priority="524" operator="lessThan">
      <formula>0</formula>
    </cfRule>
  </conditionalFormatting>
  <conditionalFormatting sqref="AV19 AV25 AV31 AV37">
    <cfRule type="cellIs" dxfId="2925" priority="517" stopIfTrue="1" operator="greaterThan">
      <formula>0.03</formula>
    </cfRule>
    <cfRule type="cellIs" dxfId="2924" priority="518" stopIfTrue="1" operator="lessThan">
      <formula>-0.03</formula>
    </cfRule>
  </conditionalFormatting>
  <conditionalFormatting sqref="AV19:AV20 AV25:AV26 AV31:AV32 AV37:AV38">
    <cfRule type="cellIs" dxfId="2923" priority="519" stopIfTrue="1" operator="greaterThan">
      <formula>0</formula>
    </cfRule>
    <cfRule type="cellIs" dxfId="2922" priority="520" operator="lessThan">
      <formula>0</formula>
    </cfRule>
  </conditionalFormatting>
  <conditionalFormatting sqref="AV21 AV27 AV33 AV39">
    <cfRule type="cellIs" dxfId="2921" priority="513" stopIfTrue="1" operator="greaterThan">
      <formula>0.03</formula>
    </cfRule>
    <cfRule type="cellIs" dxfId="2920" priority="514" stopIfTrue="1" operator="lessThan">
      <formula>-0.03</formula>
    </cfRule>
  </conditionalFormatting>
  <conditionalFormatting sqref="AV21:AV22 AV27:AV28 AV33:AV34 AV39:AV40">
    <cfRule type="cellIs" dxfId="2919" priority="515" stopIfTrue="1" operator="greaterThan">
      <formula>0</formula>
    </cfRule>
    <cfRule type="cellIs" dxfId="2918" priority="516" operator="lessThan">
      <formula>0</formula>
    </cfRule>
  </conditionalFormatting>
  <conditionalFormatting sqref="BA11">
    <cfRule type="cellIs" dxfId="2917" priority="345" stopIfTrue="1" operator="greaterThan">
      <formula>0.03</formula>
    </cfRule>
    <cfRule type="cellIs" dxfId="2916" priority="346" stopIfTrue="1" operator="lessThan">
      <formula>-0.03</formula>
    </cfRule>
  </conditionalFormatting>
  <conditionalFormatting sqref="BA11:BA16">
    <cfRule type="cellIs" dxfId="2915" priority="347" stopIfTrue="1" operator="greaterThan">
      <formula>0</formula>
    </cfRule>
    <cfRule type="cellIs" dxfId="2914" priority="348" stopIfTrue="1" operator="lessThan">
      <formula>0</formula>
    </cfRule>
  </conditionalFormatting>
  <conditionalFormatting sqref="AZ11">
    <cfRule type="cellIs" dxfId="2913" priority="341" stopIfTrue="1" operator="greaterThan">
      <formula>0.03</formula>
    </cfRule>
    <cfRule type="cellIs" dxfId="2912" priority="342" stopIfTrue="1" operator="lessThan">
      <formula>-0.03</formula>
    </cfRule>
  </conditionalFormatting>
  <conditionalFormatting sqref="AZ11:AZ12">
    <cfRule type="cellIs" dxfId="2911" priority="343" stopIfTrue="1" operator="greaterThan">
      <formula>0</formula>
    </cfRule>
    <cfRule type="cellIs" dxfId="2910" priority="344" operator="lessThan">
      <formula>0</formula>
    </cfRule>
  </conditionalFormatting>
  <conditionalFormatting sqref="AZ13">
    <cfRule type="cellIs" dxfId="2909" priority="337" stopIfTrue="1" operator="greaterThan">
      <formula>0.03</formula>
    </cfRule>
    <cfRule type="cellIs" dxfId="2908" priority="338" stopIfTrue="1" operator="lessThan">
      <formula>-0.03</formula>
    </cfRule>
  </conditionalFormatting>
  <conditionalFormatting sqref="AZ13:AZ14">
    <cfRule type="cellIs" dxfId="2907" priority="339" stopIfTrue="1" operator="greaterThan">
      <formula>0</formula>
    </cfRule>
    <cfRule type="cellIs" dxfId="2906" priority="340" operator="lessThan">
      <formula>0</formula>
    </cfRule>
  </conditionalFormatting>
  <conditionalFormatting sqref="AZ15">
    <cfRule type="cellIs" dxfId="2905" priority="333" stopIfTrue="1" operator="greaterThan">
      <formula>0.03</formula>
    </cfRule>
    <cfRule type="cellIs" dxfId="2904" priority="334" stopIfTrue="1" operator="lessThan">
      <formula>-0.03</formula>
    </cfRule>
  </conditionalFormatting>
  <conditionalFormatting sqref="AZ15:AZ16">
    <cfRule type="cellIs" dxfId="2903" priority="335" stopIfTrue="1" operator="greaterThan">
      <formula>0</formula>
    </cfRule>
    <cfRule type="cellIs" dxfId="2902" priority="336" operator="lessThan">
      <formula>0</formula>
    </cfRule>
  </conditionalFormatting>
  <conditionalFormatting sqref="BA5">
    <cfRule type="cellIs" dxfId="2901" priority="329" stopIfTrue="1" operator="greaterThan">
      <formula>0.03</formula>
    </cfRule>
    <cfRule type="cellIs" dxfId="2900" priority="330" stopIfTrue="1" operator="lessThan">
      <formula>-0.03</formula>
    </cfRule>
  </conditionalFormatting>
  <conditionalFormatting sqref="BA5:BA10">
    <cfRule type="cellIs" dxfId="2899" priority="331" stopIfTrue="1" operator="greaterThan">
      <formula>0</formula>
    </cfRule>
    <cfRule type="cellIs" dxfId="2898" priority="332" stopIfTrue="1" operator="lessThan">
      <formula>0</formula>
    </cfRule>
  </conditionalFormatting>
  <conditionalFormatting sqref="AZ5">
    <cfRule type="cellIs" dxfId="2897" priority="325" stopIfTrue="1" operator="greaterThan">
      <formula>0.03</formula>
    </cfRule>
    <cfRule type="cellIs" dxfId="2896" priority="326" stopIfTrue="1" operator="lessThan">
      <formula>-0.03</formula>
    </cfRule>
  </conditionalFormatting>
  <conditionalFormatting sqref="AZ5:AZ6">
    <cfRule type="cellIs" dxfId="2895" priority="327" stopIfTrue="1" operator="greaterThan">
      <formula>0</formula>
    </cfRule>
    <cfRule type="cellIs" dxfId="2894" priority="328" operator="lessThan">
      <formula>0</formula>
    </cfRule>
  </conditionalFormatting>
  <conditionalFormatting sqref="AZ7">
    <cfRule type="cellIs" dxfId="2893" priority="321" stopIfTrue="1" operator="greaterThan">
      <formula>0.03</formula>
    </cfRule>
    <cfRule type="cellIs" dxfId="2892" priority="322" stopIfTrue="1" operator="lessThan">
      <formula>-0.03</formula>
    </cfRule>
  </conditionalFormatting>
  <conditionalFormatting sqref="AZ7:AZ8">
    <cfRule type="cellIs" dxfId="2891" priority="323" stopIfTrue="1" operator="greaterThan">
      <formula>0</formula>
    </cfRule>
    <cfRule type="cellIs" dxfId="2890" priority="324" operator="lessThan">
      <formula>0</formula>
    </cfRule>
  </conditionalFormatting>
  <conditionalFormatting sqref="AZ9">
    <cfRule type="cellIs" dxfId="2889" priority="317" stopIfTrue="1" operator="greaterThan">
      <formula>0.03</formula>
    </cfRule>
    <cfRule type="cellIs" dxfId="2888" priority="318" stopIfTrue="1" operator="lessThan">
      <formula>-0.03</formula>
    </cfRule>
  </conditionalFormatting>
  <conditionalFormatting sqref="AZ9:AZ10">
    <cfRule type="cellIs" dxfId="2887" priority="319" stopIfTrue="1" operator="greaterThan">
      <formula>0</formula>
    </cfRule>
    <cfRule type="cellIs" dxfId="2886" priority="320" operator="lessThan">
      <formula>0</formula>
    </cfRule>
  </conditionalFormatting>
  <conditionalFormatting sqref="BA17">
    <cfRule type="cellIs" dxfId="2885" priority="313" stopIfTrue="1" operator="greaterThan">
      <formula>0.03</formula>
    </cfRule>
    <cfRule type="cellIs" dxfId="2884" priority="314" stopIfTrue="1" operator="lessThan">
      <formula>-0.03</formula>
    </cfRule>
  </conditionalFormatting>
  <conditionalFormatting sqref="BA17:BA22">
    <cfRule type="cellIs" dxfId="2883" priority="315" stopIfTrue="1" operator="greaterThan">
      <formula>0</formula>
    </cfRule>
    <cfRule type="cellIs" dxfId="2882" priority="316" stopIfTrue="1" operator="lessThan">
      <formula>0</formula>
    </cfRule>
  </conditionalFormatting>
  <conditionalFormatting sqref="AZ17">
    <cfRule type="cellIs" dxfId="2881" priority="309" stopIfTrue="1" operator="greaterThan">
      <formula>0.03</formula>
    </cfRule>
    <cfRule type="cellIs" dxfId="2880" priority="310" stopIfTrue="1" operator="lessThan">
      <formula>-0.03</formula>
    </cfRule>
  </conditionalFormatting>
  <conditionalFormatting sqref="AZ17:AZ18">
    <cfRule type="cellIs" dxfId="2879" priority="311" stopIfTrue="1" operator="greaterThan">
      <formula>0</formula>
    </cfRule>
    <cfRule type="cellIs" dxfId="2878" priority="312" operator="lessThan">
      <formula>0</formula>
    </cfRule>
  </conditionalFormatting>
  <conditionalFormatting sqref="AZ19">
    <cfRule type="cellIs" dxfId="2877" priority="305" stopIfTrue="1" operator="greaterThan">
      <formula>0.03</formula>
    </cfRule>
    <cfRule type="cellIs" dxfId="2876" priority="306" stopIfTrue="1" operator="lessThan">
      <formula>-0.03</formula>
    </cfRule>
  </conditionalFormatting>
  <conditionalFormatting sqref="AZ19:AZ20">
    <cfRule type="cellIs" dxfId="2875" priority="307" stopIfTrue="1" operator="greaterThan">
      <formula>0</formula>
    </cfRule>
    <cfRule type="cellIs" dxfId="2874" priority="308" operator="lessThan">
      <formula>0</formula>
    </cfRule>
  </conditionalFormatting>
  <conditionalFormatting sqref="AZ21">
    <cfRule type="cellIs" dxfId="2873" priority="301" stopIfTrue="1" operator="greaterThan">
      <formula>0.03</formula>
    </cfRule>
    <cfRule type="cellIs" dxfId="2872" priority="302" stopIfTrue="1" operator="lessThan">
      <formula>-0.03</formula>
    </cfRule>
  </conditionalFormatting>
  <conditionalFormatting sqref="AZ21:AZ22">
    <cfRule type="cellIs" dxfId="2871" priority="303" stopIfTrue="1" operator="greaterThan">
      <formula>0</formula>
    </cfRule>
    <cfRule type="cellIs" dxfId="2870" priority="304" operator="lessThan">
      <formula>0</formula>
    </cfRule>
  </conditionalFormatting>
  <conditionalFormatting sqref="BA29">
    <cfRule type="cellIs" dxfId="2869" priority="297" stopIfTrue="1" operator="greaterThan">
      <formula>0.03</formula>
    </cfRule>
    <cfRule type="cellIs" dxfId="2868" priority="298" stopIfTrue="1" operator="lessThan">
      <formula>-0.03</formula>
    </cfRule>
  </conditionalFormatting>
  <conditionalFormatting sqref="BA29:BA34">
    <cfRule type="cellIs" dxfId="2867" priority="299" stopIfTrue="1" operator="greaterThan">
      <formula>0</formula>
    </cfRule>
    <cfRule type="cellIs" dxfId="2866" priority="300" stopIfTrue="1" operator="lessThan">
      <formula>0</formula>
    </cfRule>
  </conditionalFormatting>
  <conditionalFormatting sqref="AZ29">
    <cfRule type="cellIs" dxfId="2865" priority="293" stopIfTrue="1" operator="greaterThan">
      <formula>0.03</formula>
    </cfRule>
    <cfRule type="cellIs" dxfId="2864" priority="294" stopIfTrue="1" operator="lessThan">
      <formula>-0.03</formula>
    </cfRule>
  </conditionalFormatting>
  <conditionalFormatting sqref="AZ29:AZ30">
    <cfRule type="cellIs" dxfId="2863" priority="295" stopIfTrue="1" operator="greaterThan">
      <formula>0</formula>
    </cfRule>
    <cfRule type="cellIs" dxfId="2862" priority="296" operator="lessThan">
      <formula>0</formula>
    </cfRule>
  </conditionalFormatting>
  <conditionalFormatting sqref="AZ31">
    <cfRule type="cellIs" dxfId="2861" priority="289" stopIfTrue="1" operator="greaterThan">
      <formula>0.03</formula>
    </cfRule>
    <cfRule type="cellIs" dxfId="2860" priority="290" stopIfTrue="1" operator="lessThan">
      <formula>-0.03</formula>
    </cfRule>
  </conditionalFormatting>
  <conditionalFormatting sqref="AZ31:AZ32">
    <cfRule type="cellIs" dxfId="2859" priority="291" stopIfTrue="1" operator="greaterThan">
      <formula>0</formula>
    </cfRule>
    <cfRule type="cellIs" dxfId="2858" priority="292" operator="lessThan">
      <formula>0</formula>
    </cfRule>
  </conditionalFormatting>
  <conditionalFormatting sqref="AZ33">
    <cfRule type="cellIs" dxfId="2857" priority="285" stopIfTrue="1" operator="greaterThan">
      <formula>0.03</formula>
    </cfRule>
    <cfRule type="cellIs" dxfId="2856" priority="286" stopIfTrue="1" operator="lessThan">
      <formula>-0.03</formula>
    </cfRule>
  </conditionalFormatting>
  <conditionalFormatting sqref="AZ33:AZ34">
    <cfRule type="cellIs" dxfId="2855" priority="287" stopIfTrue="1" operator="greaterThan">
      <formula>0</formula>
    </cfRule>
    <cfRule type="cellIs" dxfId="2854" priority="288" operator="lessThan">
      <formula>0</formula>
    </cfRule>
  </conditionalFormatting>
  <conditionalFormatting sqref="BA23">
    <cfRule type="cellIs" dxfId="2853" priority="281" stopIfTrue="1" operator="greaterThan">
      <formula>0.03</formula>
    </cfRule>
    <cfRule type="cellIs" dxfId="2852" priority="282" stopIfTrue="1" operator="lessThan">
      <formula>-0.03</formula>
    </cfRule>
  </conditionalFormatting>
  <conditionalFormatting sqref="BA23:BA28">
    <cfRule type="cellIs" dxfId="2851" priority="283" stopIfTrue="1" operator="greaterThan">
      <formula>0</formula>
    </cfRule>
    <cfRule type="cellIs" dxfId="2850" priority="284" stopIfTrue="1" operator="lessThan">
      <formula>0</formula>
    </cfRule>
  </conditionalFormatting>
  <conditionalFormatting sqref="AZ23">
    <cfRule type="cellIs" dxfId="2849" priority="277" stopIfTrue="1" operator="greaterThan">
      <formula>0.03</formula>
    </cfRule>
    <cfRule type="cellIs" dxfId="2848" priority="278" stopIfTrue="1" operator="lessThan">
      <formula>-0.03</formula>
    </cfRule>
  </conditionalFormatting>
  <conditionalFormatting sqref="AZ23:AZ24">
    <cfRule type="cellIs" dxfId="2847" priority="279" stopIfTrue="1" operator="greaterThan">
      <formula>0</formula>
    </cfRule>
    <cfRule type="cellIs" dxfId="2846" priority="280" operator="lessThan">
      <formula>0</formula>
    </cfRule>
  </conditionalFormatting>
  <conditionalFormatting sqref="AZ25">
    <cfRule type="cellIs" dxfId="2845" priority="273" stopIfTrue="1" operator="greaterThan">
      <formula>0.03</formula>
    </cfRule>
    <cfRule type="cellIs" dxfId="2844" priority="274" stopIfTrue="1" operator="lessThan">
      <formula>-0.03</formula>
    </cfRule>
  </conditionalFormatting>
  <conditionalFormatting sqref="AZ25:AZ26">
    <cfRule type="cellIs" dxfId="2843" priority="275" stopIfTrue="1" operator="greaterThan">
      <formula>0</formula>
    </cfRule>
    <cfRule type="cellIs" dxfId="2842" priority="276" operator="lessThan">
      <formula>0</formula>
    </cfRule>
  </conditionalFormatting>
  <conditionalFormatting sqref="AZ27">
    <cfRule type="cellIs" dxfId="2841" priority="269" stopIfTrue="1" operator="greaterThan">
      <formula>0.03</formula>
    </cfRule>
    <cfRule type="cellIs" dxfId="2840" priority="270" stopIfTrue="1" operator="lessThan">
      <formula>-0.03</formula>
    </cfRule>
  </conditionalFormatting>
  <conditionalFormatting sqref="AZ27:AZ28">
    <cfRule type="cellIs" dxfId="2839" priority="271" stopIfTrue="1" operator="greaterThan">
      <formula>0</formula>
    </cfRule>
    <cfRule type="cellIs" dxfId="2838" priority="272" operator="lessThan">
      <formula>0</formula>
    </cfRule>
  </conditionalFormatting>
  <conditionalFormatting sqref="BA35">
    <cfRule type="cellIs" dxfId="2837" priority="265" stopIfTrue="1" operator="greaterThan">
      <formula>0.03</formula>
    </cfRule>
    <cfRule type="cellIs" dxfId="2836" priority="266" stopIfTrue="1" operator="lessThan">
      <formula>-0.03</formula>
    </cfRule>
  </conditionalFormatting>
  <conditionalFormatting sqref="BA35:BA40">
    <cfRule type="cellIs" dxfId="2835" priority="267" stopIfTrue="1" operator="greaterThan">
      <formula>0</formula>
    </cfRule>
    <cfRule type="cellIs" dxfId="2834" priority="268" stopIfTrue="1" operator="lessThan">
      <formula>0</formula>
    </cfRule>
  </conditionalFormatting>
  <conditionalFormatting sqref="AZ35">
    <cfRule type="cellIs" dxfId="2833" priority="261" stopIfTrue="1" operator="greaterThan">
      <formula>0.03</formula>
    </cfRule>
    <cfRule type="cellIs" dxfId="2832" priority="262" stopIfTrue="1" operator="lessThan">
      <formula>-0.03</formula>
    </cfRule>
  </conditionalFormatting>
  <conditionalFormatting sqref="AZ35:AZ36">
    <cfRule type="cellIs" dxfId="2831" priority="263" stopIfTrue="1" operator="greaterThan">
      <formula>0</formula>
    </cfRule>
    <cfRule type="cellIs" dxfId="2830" priority="264" operator="lessThan">
      <formula>0</formula>
    </cfRule>
  </conditionalFormatting>
  <conditionalFormatting sqref="AZ37">
    <cfRule type="cellIs" dxfId="2829" priority="257" stopIfTrue="1" operator="greaterThan">
      <formula>0.03</formula>
    </cfRule>
    <cfRule type="cellIs" dxfId="2828" priority="258" stopIfTrue="1" operator="lessThan">
      <formula>-0.03</formula>
    </cfRule>
  </conditionalFormatting>
  <conditionalFormatting sqref="AZ37:AZ38">
    <cfRule type="cellIs" dxfId="2827" priority="259" stopIfTrue="1" operator="greaterThan">
      <formula>0</formula>
    </cfRule>
    <cfRule type="cellIs" dxfId="2826" priority="260" operator="lessThan">
      <formula>0</formula>
    </cfRule>
  </conditionalFormatting>
  <conditionalFormatting sqref="AZ39">
    <cfRule type="cellIs" dxfId="2825" priority="253" stopIfTrue="1" operator="greaterThan">
      <formula>0.03</formula>
    </cfRule>
    <cfRule type="cellIs" dxfId="2824" priority="254" stopIfTrue="1" operator="lessThan">
      <formula>-0.03</formula>
    </cfRule>
  </conditionalFormatting>
  <conditionalFormatting sqref="AZ39:AZ40">
    <cfRule type="cellIs" dxfId="2823" priority="255" stopIfTrue="1" operator="greaterThan">
      <formula>0</formula>
    </cfRule>
    <cfRule type="cellIs" dxfId="2822" priority="256" operator="lessThan">
      <formula>0</formula>
    </cfRule>
  </conditionalFormatting>
  <conditionalFormatting sqref="AX11">
    <cfRule type="cellIs" dxfId="2821" priority="249" stopIfTrue="1" operator="greaterThan">
      <formula>0.03</formula>
    </cfRule>
    <cfRule type="cellIs" dxfId="2820" priority="250" stopIfTrue="1" operator="lessThan">
      <formula>-0.03</formula>
    </cfRule>
  </conditionalFormatting>
  <conditionalFormatting sqref="AX11:AX12">
    <cfRule type="cellIs" dxfId="2819" priority="251" stopIfTrue="1" operator="greaterThan">
      <formula>0</formula>
    </cfRule>
    <cfRule type="cellIs" dxfId="2818" priority="252" operator="lessThan">
      <formula>0</formula>
    </cfRule>
  </conditionalFormatting>
  <conditionalFormatting sqref="AX13">
    <cfRule type="cellIs" dxfId="2817" priority="245" stopIfTrue="1" operator="greaterThan">
      <formula>0.03</formula>
    </cfRule>
    <cfRule type="cellIs" dxfId="2816" priority="246" stopIfTrue="1" operator="lessThan">
      <formula>-0.03</formula>
    </cfRule>
  </conditionalFormatting>
  <conditionalFormatting sqref="AX13:AX14">
    <cfRule type="cellIs" dxfId="2815" priority="247" stopIfTrue="1" operator="greaterThan">
      <formula>0</formula>
    </cfRule>
    <cfRule type="cellIs" dxfId="2814" priority="248" operator="lessThan">
      <formula>0</formula>
    </cfRule>
  </conditionalFormatting>
  <conditionalFormatting sqref="AX15">
    <cfRule type="cellIs" dxfId="2813" priority="241" stopIfTrue="1" operator="greaterThan">
      <formula>0.03</formula>
    </cfRule>
    <cfRule type="cellIs" dxfId="2812" priority="242" stopIfTrue="1" operator="lessThan">
      <formula>-0.03</formula>
    </cfRule>
  </conditionalFormatting>
  <conditionalFormatting sqref="AX15:AX16">
    <cfRule type="cellIs" dxfId="2811" priority="243" stopIfTrue="1" operator="greaterThan">
      <formula>0</formula>
    </cfRule>
    <cfRule type="cellIs" dxfId="2810" priority="244" operator="lessThan">
      <formula>0</formula>
    </cfRule>
  </conditionalFormatting>
  <conditionalFormatting sqref="AY17">
    <cfRule type="cellIs" dxfId="2809" priority="237" stopIfTrue="1" operator="greaterThan">
      <formula>0.03</formula>
    </cfRule>
    <cfRule type="cellIs" dxfId="2808" priority="238" stopIfTrue="1" operator="lessThan">
      <formula>-0.03</formula>
    </cfRule>
  </conditionalFormatting>
  <conditionalFormatting sqref="AY17:AY22">
    <cfRule type="cellIs" dxfId="2807" priority="239" stopIfTrue="1" operator="greaterThan">
      <formula>0</formula>
    </cfRule>
    <cfRule type="cellIs" dxfId="2806" priority="240" stopIfTrue="1" operator="lessThan">
      <formula>0</formula>
    </cfRule>
  </conditionalFormatting>
  <conditionalFormatting sqref="AX17">
    <cfRule type="cellIs" dxfId="2805" priority="233" stopIfTrue="1" operator="greaterThan">
      <formula>0.03</formula>
    </cfRule>
    <cfRule type="cellIs" dxfId="2804" priority="234" stopIfTrue="1" operator="lessThan">
      <formula>-0.03</formula>
    </cfRule>
  </conditionalFormatting>
  <conditionalFormatting sqref="AX17:AX18">
    <cfRule type="cellIs" dxfId="2803" priority="235" stopIfTrue="1" operator="greaterThan">
      <formula>0</formula>
    </cfRule>
    <cfRule type="cellIs" dxfId="2802" priority="236" operator="lessThan">
      <formula>0</formula>
    </cfRule>
  </conditionalFormatting>
  <conditionalFormatting sqref="AX19">
    <cfRule type="cellIs" dxfId="2801" priority="229" stopIfTrue="1" operator="greaterThan">
      <formula>0.03</formula>
    </cfRule>
    <cfRule type="cellIs" dxfId="2800" priority="230" stopIfTrue="1" operator="lessThan">
      <formula>-0.03</formula>
    </cfRule>
  </conditionalFormatting>
  <conditionalFormatting sqref="AX19:AX20">
    <cfRule type="cellIs" dxfId="2799" priority="231" stopIfTrue="1" operator="greaterThan">
      <formula>0</formula>
    </cfRule>
    <cfRule type="cellIs" dxfId="2798" priority="232" operator="lessThan">
      <formula>0</formula>
    </cfRule>
  </conditionalFormatting>
  <conditionalFormatting sqref="AX21">
    <cfRule type="cellIs" dxfId="2797" priority="225" stopIfTrue="1" operator="greaterThan">
      <formula>0.03</formula>
    </cfRule>
    <cfRule type="cellIs" dxfId="2796" priority="226" stopIfTrue="1" operator="lessThan">
      <formula>-0.03</formula>
    </cfRule>
  </conditionalFormatting>
  <conditionalFormatting sqref="AX21:AX22">
    <cfRule type="cellIs" dxfId="2795" priority="227" stopIfTrue="1" operator="greaterThan">
      <formula>0</formula>
    </cfRule>
    <cfRule type="cellIs" dxfId="2794" priority="228" operator="lessThan">
      <formula>0</formula>
    </cfRule>
  </conditionalFormatting>
  <conditionalFormatting sqref="AY23">
    <cfRule type="cellIs" dxfId="2793" priority="221" stopIfTrue="1" operator="greaterThan">
      <formula>0.03</formula>
    </cfRule>
    <cfRule type="cellIs" dxfId="2792" priority="222" stopIfTrue="1" operator="lessThan">
      <formula>-0.03</formula>
    </cfRule>
  </conditionalFormatting>
  <conditionalFormatting sqref="AY23:AY28">
    <cfRule type="cellIs" dxfId="2791" priority="223" stopIfTrue="1" operator="greaterThan">
      <formula>0</formula>
    </cfRule>
    <cfRule type="cellIs" dxfId="2790" priority="224" stopIfTrue="1" operator="lessThan">
      <formula>0</formula>
    </cfRule>
  </conditionalFormatting>
  <conditionalFormatting sqref="AX23">
    <cfRule type="cellIs" dxfId="2789" priority="217" stopIfTrue="1" operator="greaterThan">
      <formula>0.03</formula>
    </cfRule>
    <cfRule type="cellIs" dxfId="2788" priority="218" stopIfTrue="1" operator="lessThan">
      <formula>-0.03</formula>
    </cfRule>
  </conditionalFormatting>
  <conditionalFormatting sqref="AX23:AX24">
    <cfRule type="cellIs" dxfId="2787" priority="219" stopIfTrue="1" operator="greaterThan">
      <formula>0</formula>
    </cfRule>
    <cfRule type="cellIs" dxfId="2786" priority="220" operator="lessThan">
      <formula>0</formula>
    </cfRule>
  </conditionalFormatting>
  <conditionalFormatting sqref="AX25">
    <cfRule type="cellIs" dxfId="2785" priority="213" stopIfTrue="1" operator="greaterThan">
      <formula>0.03</formula>
    </cfRule>
    <cfRule type="cellIs" dxfId="2784" priority="214" stopIfTrue="1" operator="lessThan">
      <formula>-0.03</formula>
    </cfRule>
  </conditionalFormatting>
  <conditionalFormatting sqref="AX25:AX26">
    <cfRule type="cellIs" dxfId="2783" priority="215" stopIfTrue="1" operator="greaterThan">
      <formula>0</formula>
    </cfRule>
    <cfRule type="cellIs" dxfId="2782" priority="216" operator="lessThan">
      <formula>0</formula>
    </cfRule>
  </conditionalFormatting>
  <conditionalFormatting sqref="AX27">
    <cfRule type="cellIs" dxfId="2781" priority="209" stopIfTrue="1" operator="greaterThan">
      <formula>0.03</formula>
    </cfRule>
    <cfRule type="cellIs" dxfId="2780" priority="210" stopIfTrue="1" operator="lessThan">
      <formula>-0.03</formula>
    </cfRule>
  </conditionalFormatting>
  <conditionalFormatting sqref="AX27:AX28">
    <cfRule type="cellIs" dxfId="2779" priority="211" stopIfTrue="1" operator="greaterThan">
      <formula>0</formula>
    </cfRule>
    <cfRule type="cellIs" dxfId="2778" priority="212" operator="lessThan">
      <formula>0</formula>
    </cfRule>
  </conditionalFormatting>
  <conditionalFormatting sqref="AY29">
    <cfRule type="cellIs" dxfId="2777" priority="205" stopIfTrue="1" operator="greaterThan">
      <formula>0.03</formula>
    </cfRule>
    <cfRule type="cellIs" dxfId="2776" priority="206" stopIfTrue="1" operator="lessThan">
      <formula>-0.03</formula>
    </cfRule>
  </conditionalFormatting>
  <conditionalFormatting sqref="AY29:AY34">
    <cfRule type="cellIs" dxfId="2775" priority="207" stopIfTrue="1" operator="greaterThan">
      <formula>0</formula>
    </cfRule>
    <cfRule type="cellIs" dxfId="2774" priority="208" stopIfTrue="1" operator="lessThan">
      <formula>0</formula>
    </cfRule>
  </conditionalFormatting>
  <conditionalFormatting sqref="AX29">
    <cfRule type="cellIs" dxfId="2773" priority="201" stopIfTrue="1" operator="greaterThan">
      <formula>0.03</formula>
    </cfRule>
    <cfRule type="cellIs" dxfId="2772" priority="202" stopIfTrue="1" operator="lessThan">
      <formula>-0.03</formula>
    </cfRule>
  </conditionalFormatting>
  <conditionalFormatting sqref="AX29:AX30">
    <cfRule type="cellIs" dxfId="2771" priority="203" stopIfTrue="1" operator="greaterThan">
      <formula>0</formula>
    </cfRule>
    <cfRule type="cellIs" dxfId="2770" priority="204" operator="lessThan">
      <formula>0</formula>
    </cfRule>
  </conditionalFormatting>
  <conditionalFormatting sqref="AX31">
    <cfRule type="cellIs" dxfId="2769" priority="197" stopIfTrue="1" operator="greaterThan">
      <formula>0.03</formula>
    </cfRule>
    <cfRule type="cellIs" dxfId="2768" priority="198" stopIfTrue="1" operator="lessThan">
      <formula>-0.03</formula>
    </cfRule>
  </conditionalFormatting>
  <conditionalFormatting sqref="AX31:AX32">
    <cfRule type="cellIs" dxfId="2767" priority="199" stopIfTrue="1" operator="greaterThan">
      <formula>0</formula>
    </cfRule>
    <cfRule type="cellIs" dxfId="2766" priority="200" operator="lessThan">
      <formula>0</formula>
    </cfRule>
  </conditionalFormatting>
  <conditionalFormatting sqref="AX33">
    <cfRule type="cellIs" dxfId="2765" priority="193" stopIfTrue="1" operator="greaterThan">
      <formula>0.03</formula>
    </cfRule>
    <cfRule type="cellIs" dxfId="2764" priority="194" stopIfTrue="1" operator="lessThan">
      <formula>-0.03</formula>
    </cfRule>
  </conditionalFormatting>
  <conditionalFormatting sqref="AX33:AX34">
    <cfRule type="cellIs" dxfId="2763" priority="195" stopIfTrue="1" operator="greaterThan">
      <formula>0</formula>
    </cfRule>
    <cfRule type="cellIs" dxfId="2762" priority="196" operator="lessThan">
      <formula>0</formula>
    </cfRule>
  </conditionalFormatting>
  <conditionalFormatting sqref="AY35">
    <cfRule type="cellIs" dxfId="2761" priority="189" stopIfTrue="1" operator="greaterThan">
      <formula>0.03</formula>
    </cfRule>
    <cfRule type="cellIs" dxfId="2760" priority="190" stopIfTrue="1" operator="lessThan">
      <formula>-0.03</formula>
    </cfRule>
  </conditionalFormatting>
  <conditionalFormatting sqref="AY35:AY40">
    <cfRule type="cellIs" dxfId="2759" priority="191" stopIfTrue="1" operator="greaterThan">
      <formula>0</formula>
    </cfRule>
    <cfRule type="cellIs" dxfId="2758" priority="192" stopIfTrue="1" operator="lessThan">
      <formula>0</formula>
    </cfRule>
  </conditionalFormatting>
  <conditionalFormatting sqref="AX35">
    <cfRule type="cellIs" dxfId="2757" priority="185" stopIfTrue="1" operator="greaterThan">
      <formula>0.03</formula>
    </cfRule>
    <cfRule type="cellIs" dxfId="2756" priority="186" stopIfTrue="1" operator="lessThan">
      <formula>-0.03</formula>
    </cfRule>
  </conditionalFormatting>
  <conditionalFormatting sqref="AX35:AX36">
    <cfRule type="cellIs" dxfId="2755" priority="187" stopIfTrue="1" operator="greaterThan">
      <formula>0</formula>
    </cfRule>
    <cfRule type="cellIs" dxfId="2754" priority="188" operator="lessThan">
      <formula>0</formula>
    </cfRule>
  </conditionalFormatting>
  <conditionalFormatting sqref="AX37">
    <cfRule type="cellIs" dxfId="2753" priority="181" stopIfTrue="1" operator="greaterThan">
      <formula>0.03</formula>
    </cfRule>
    <cfRule type="cellIs" dxfId="2752" priority="182" stopIfTrue="1" operator="lessThan">
      <formula>-0.03</formula>
    </cfRule>
  </conditionalFormatting>
  <conditionalFormatting sqref="AX37:AX38">
    <cfRule type="cellIs" dxfId="2751" priority="183" stopIfTrue="1" operator="greaterThan">
      <formula>0</formula>
    </cfRule>
    <cfRule type="cellIs" dxfId="2750" priority="184" operator="lessThan">
      <formula>0</formula>
    </cfRule>
  </conditionalFormatting>
  <conditionalFormatting sqref="AX39">
    <cfRule type="cellIs" dxfId="2749" priority="177" stopIfTrue="1" operator="greaterThan">
      <formula>0.03</formula>
    </cfRule>
    <cfRule type="cellIs" dxfId="2748" priority="178" stopIfTrue="1" operator="lessThan">
      <formula>-0.03</formula>
    </cfRule>
  </conditionalFormatting>
  <conditionalFormatting sqref="AX39:AX40">
    <cfRule type="cellIs" dxfId="2747" priority="179" stopIfTrue="1" operator="greaterThan">
      <formula>0</formula>
    </cfRule>
    <cfRule type="cellIs" dxfId="2746" priority="180" operator="lessThan">
      <formula>0</formula>
    </cfRule>
  </conditionalFormatting>
  <conditionalFormatting sqref="AM47">
    <cfRule type="cellIs" dxfId="2745" priority="173" stopIfTrue="1" operator="greaterThan">
      <formula>0.03</formula>
    </cfRule>
    <cfRule type="cellIs" dxfId="2744" priority="174" stopIfTrue="1" operator="lessThan">
      <formula>-0.03</formula>
    </cfRule>
  </conditionalFormatting>
  <conditionalFormatting sqref="AM47:AM48">
    <cfRule type="cellIs" dxfId="2743" priority="175" stopIfTrue="1" operator="greaterThan">
      <formula>0</formula>
    </cfRule>
    <cfRule type="cellIs" dxfId="2742" priority="176" operator="lessThan">
      <formula>0</formula>
    </cfRule>
  </conditionalFormatting>
  <conditionalFormatting sqref="AM49">
    <cfRule type="cellIs" dxfId="2741" priority="169" stopIfTrue="1" operator="greaterThan">
      <formula>0.03</formula>
    </cfRule>
    <cfRule type="cellIs" dxfId="2740" priority="170" stopIfTrue="1" operator="lessThan">
      <formula>-0.03</formula>
    </cfRule>
  </conditionalFormatting>
  <conditionalFormatting sqref="AM49:AM50">
    <cfRule type="cellIs" dxfId="2739" priority="171" stopIfTrue="1" operator="greaterThan">
      <formula>0</formula>
    </cfRule>
    <cfRule type="cellIs" dxfId="2738" priority="172" operator="lessThan">
      <formula>0</formula>
    </cfRule>
  </conditionalFormatting>
  <conditionalFormatting sqref="AM51">
    <cfRule type="cellIs" dxfId="2737" priority="165" stopIfTrue="1" operator="greaterThan">
      <formula>0.03</formula>
    </cfRule>
    <cfRule type="cellIs" dxfId="2736" priority="166" stopIfTrue="1" operator="lessThan">
      <formula>-0.03</formula>
    </cfRule>
  </conditionalFormatting>
  <conditionalFormatting sqref="AM51:AM52">
    <cfRule type="cellIs" dxfId="2735" priority="167" stopIfTrue="1" operator="greaterThan">
      <formula>0</formula>
    </cfRule>
    <cfRule type="cellIs" dxfId="2734" priority="168" operator="lessThan">
      <formula>0</formula>
    </cfRule>
  </conditionalFormatting>
  <conditionalFormatting sqref="B47">
    <cfRule type="cellIs" dxfId="2733" priority="157" stopIfTrue="1" operator="greaterThan">
      <formula>0.03</formula>
    </cfRule>
    <cfRule type="cellIs" dxfId="2732" priority="158" stopIfTrue="1" operator="lessThan">
      <formula>-0.03</formula>
    </cfRule>
  </conditionalFormatting>
  <conditionalFormatting sqref="C47">
    <cfRule type="cellIs" dxfId="2731" priority="159" stopIfTrue="1" operator="greaterThan">
      <formula>0.03</formula>
    </cfRule>
    <cfRule type="cellIs" dxfId="2730" priority="160" stopIfTrue="1" operator="lessThan">
      <formula>-0.03</formula>
    </cfRule>
  </conditionalFormatting>
  <conditionalFormatting sqref="C47:C52">
    <cfRule type="cellIs" dxfId="2729" priority="161" stopIfTrue="1" operator="greaterThan">
      <formula>0</formula>
    </cfRule>
    <cfRule type="cellIs" dxfId="2728" priority="162" stopIfTrue="1" operator="lessThan">
      <formula>0</formula>
    </cfRule>
  </conditionalFormatting>
  <conditionalFormatting sqref="B47:B48">
    <cfRule type="cellIs" dxfId="2727" priority="163" stopIfTrue="1" operator="greaterThan">
      <formula>0</formula>
    </cfRule>
    <cfRule type="cellIs" dxfId="2726" priority="164" operator="lessThan">
      <formula>0</formula>
    </cfRule>
  </conditionalFormatting>
  <conditionalFormatting sqref="B49">
    <cfRule type="cellIs" dxfId="2725" priority="153" stopIfTrue="1" operator="greaterThan">
      <formula>0.03</formula>
    </cfRule>
    <cfRule type="cellIs" dxfId="2724" priority="154" stopIfTrue="1" operator="lessThan">
      <formula>-0.03</formula>
    </cfRule>
  </conditionalFormatting>
  <conditionalFormatting sqref="B49:B50">
    <cfRule type="cellIs" dxfId="2723" priority="155" stopIfTrue="1" operator="greaterThan">
      <formula>0</formula>
    </cfRule>
    <cfRule type="cellIs" dxfId="2722" priority="156" operator="lessThan">
      <formula>0</formula>
    </cfRule>
  </conditionalFormatting>
  <conditionalFormatting sqref="B51">
    <cfRule type="cellIs" dxfId="2721" priority="149" stopIfTrue="1" operator="greaterThan">
      <formula>0.03</formula>
    </cfRule>
    <cfRule type="cellIs" dxfId="2720" priority="150" stopIfTrue="1" operator="lessThan">
      <formula>-0.03</formula>
    </cfRule>
  </conditionalFormatting>
  <conditionalFormatting sqref="B51:B52">
    <cfRule type="cellIs" dxfId="2719" priority="151" stopIfTrue="1" operator="greaterThan">
      <formula>0</formula>
    </cfRule>
    <cfRule type="cellIs" dxfId="2718" priority="152" operator="lessThan">
      <formula>0</formula>
    </cfRule>
  </conditionalFormatting>
  <conditionalFormatting sqref="D47:P47">
    <cfRule type="cellIs" dxfId="2717" priority="145" stopIfTrue="1" operator="greaterThan">
      <formula>0.03</formula>
    </cfRule>
    <cfRule type="cellIs" dxfId="2716" priority="146" stopIfTrue="1" operator="lessThan">
      <formula>-0.03</formula>
    </cfRule>
  </conditionalFormatting>
  <conditionalFormatting sqref="D47:P52">
    <cfRule type="cellIs" dxfId="2715" priority="147" stopIfTrue="1" operator="greaterThan">
      <formula>0</formula>
    </cfRule>
    <cfRule type="cellIs" dxfId="2714" priority="148" stopIfTrue="1" operator="lessThan">
      <formula>0</formula>
    </cfRule>
  </conditionalFormatting>
  <conditionalFormatting sqref="Q47">
    <cfRule type="cellIs" dxfId="2713" priority="137" stopIfTrue="1" operator="greaterThan">
      <formula>0.03</formula>
    </cfRule>
    <cfRule type="cellIs" dxfId="2712" priority="138" stopIfTrue="1" operator="lessThan">
      <formula>-0.03</formula>
    </cfRule>
  </conditionalFormatting>
  <conditionalFormatting sqref="R47">
    <cfRule type="cellIs" dxfId="2711" priority="139" stopIfTrue="1" operator="greaterThan">
      <formula>0.03</formula>
    </cfRule>
    <cfRule type="cellIs" dxfId="2710" priority="140" stopIfTrue="1" operator="lessThan">
      <formula>-0.03</formula>
    </cfRule>
  </conditionalFormatting>
  <conditionalFormatting sqref="R47:R52">
    <cfRule type="cellIs" dxfId="2709" priority="141" stopIfTrue="1" operator="greaterThan">
      <formula>0</formula>
    </cfRule>
    <cfRule type="cellIs" dxfId="2708" priority="142" stopIfTrue="1" operator="lessThan">
      <formula>0</formula>
    </cfRule>
  </conditionalFormatting>
  <conditionalFormatting sqref="Q47:Q48">
    <cfRule type="cellIs" dxfId="2707" priority="143" stopIfTrue="1" operator="greaterThan">
      <formula>0</formula>
    </cfRule>
    <cfRule type="cellIs" dxfId="2706" priority="144" operator="lessThan">
      <formula>0</formula>
    </cfRule>
  </conditionalFormatting>
  <conditionalFormatting sqref="Q49">
    <cfRule type="cellIs" dxfId="2705" priority="133" stopIfTrue="1" operator="greaterThan">
      <formula>0.03</formula>
    </cfRule>
    <cfRule type="cellIs" dxfId="2704" priority="134" stopIfTrue="1" operator="lessThan">
      <formula>-0.03</formula>
    </cfRule>
  </conditionalFormatting>
  <conditionalFormatting sqref="Q49:Q50">
    <cfRule type="cellIs" dxfId="2703" priority="135" stopIfTrue="1" operator="greaterThan">
      <formula>0</formula>
    </cfRule>
    <cfRule type="cellIs" dxfId="2702" priority="136" operator="lessThan">
      <formula>0</formula>
    </cfRule>
  </conditionalFormatting>
  <conditionalFormatting sqref="Q51">
    <cfRule type="cellIs" dxfId="2701" priority="129" stopIfTrue="1" operator="greaterThan">
      <formula>0.03</formula>
    </cfRule>
    <cfRule type="cellIs" dxfId="2700" priority="130" stopIfTrue="1" operator="lessThan">
      <formula>-0.03</formula>
    </cfRule>
  </conditionalFormatting>
  <conditionalFormatting sqref="Q51:Q52">
    <cfRule type="cellIs" dxfId="2699" priority="131" stopIfTrue="1" operator="greaterThan">
      <formula>0</formula>
    </cfRule>
    <cfRule type="cellIs" dxfId="2698" priority="132" operator="lessThan">
      <formula>0</formula>
    </cfRule>
  </conditionalFormatting>
  <conditionalFormatting sqref="S47">
    <cfRule type="cellIs" dxfId="2697" priority="121" stopIfTrue="1" operator="greaterThan">
      <formula>0.03</formula>
    </cfRule>
    <cfRule type="cellIs" dxfId="2696" priority="122" stopIfTrue="1" operator="lessThan">
      <formula>-0.03</formula>
    </cfRule>
  </conditionalFormatting>
  <conditionalFormatting sqref="T47">
    <cfRule type="cellIs" dxfId="2695" priority="123" stopIfTrue="1" operator="greaterThan">
      <formula>0.03</formula>
    </cfRule>
    <cfRule type="cellIs" dxfId="2694" priority="124" stopIfTrue="1" operator="lessThan">
      <formula>-0.03</formula>
    </cfRule>
  </conditionalFormatting>
  <conditionalFormatting sqref="T47:T52">
    <cfRule type="cellIs" dxfId="2693" priority="125" stopIfTrue="1" operator="greaterThan">
      <formula>0</formula>
    </cfRule>
    <cfRule type="cellIs" dxfId="2692" priority="126" stopIfTrue="1" operator="lessThan">
      <formula>0</formula>
    </cfRule>
  </conditionalFormatting>
  <conditionalFormatting sqref="S47:S48">
    <cfRule type="cellIs" dxfId="2691" priority="127" stopIfTrue="1" operator="greaterThan">
      <formula>0</formula>
    </cfRule>
    <cfRule type="cellIs" dxfId="2690" priority="128" operator="lessThan">
      <formula>0</formula>
    </cfRule>
  </conditionalFormatting>
  <conditionalFormatting sqref="S49">
    <cfRule type="cellIs" dxfId="2689" priority="117" stopIfTrue="1" operator="greaterThan">
      <formula>0.03</formula>
    </cfRule>
    <cfRule type="cellIs" dxfId="2688" priority="118" stopIfTrue="1" operator="lessThan">
      <formula>-0.03</formula>
    </cfRule>
  </conditionalFormatting>
  <conditionalFormatting sqref="S49:S50">
    <cfRule type="cellIs" dxfId="2687" priority="119" stopIfTrue="1" operator="greaterThan">
      <formula>0</formula>
    </cfRule>
    <cfRule type="cellIs" dxfId="2686" priority="120" operator="lessThan">
      <formula>0</formula>
    </cfRule>
  </conditionalFormatting>
  <conditionalFormatting sqref="S51">
    <cfRule type="cellIs" dxfId="2685" priority="113" stopIfTrue="1" operator="greaterThan">
      <formula>0.03</formula>
    </cfRule>
    <cfRule type="cellIs" dxfId="2684" priority="114" stopIfTrue="1" operator="lessThan">
      <formula>-0.03</formula>
    </cfRule>
  </conditionalFormatting>
  <conditionalFormatting sqref="S51:S52">
    <cfRule type="cellIs" dxfId="2683" priority="115" stopIfTrue="1" operator="greaterThan">
      <formula>0</formula>
    </cfRule>
    <cfRule type="cellIs" dxfId="2682" priority="116" operator="lessThan">
      <formula>0</formula>
    </cfRule>
  </conditionalFormatting>
  <conditionalFormatting sqref="U47">
    <cfRule type="cellIs" dxfId="2681" priority="105" stopIfTrue="1" operator="greaterThan">
      <formula>0.03</formula>
    </cfRule>
    <cfRule type="cellIs" dxfId="2680" priority="106" stopIfTrue="1" operator="lessThan">
      <formula>-0.03</formula>
    </cfRule>
  </conditionalFormatting>
  <conditionalFormatting sqref="V47">
    <cfRule type="cellIs" dxfId="2679" priority="107" stopIfTrue="1" operator="greaterThan">
      <formula>0.03</formula>
    </cfRule>
    <cfRule type="cellIs" dxfId="2678" priority="108" stopIfTrue="1" operator="lessThan">
      <formula>-0.03</formula>
    </cfRule>
  </conditionalFormatting>
  <conditionalFormatting sqref="V47:V52">
    <cfRule type="cellIs" dxfId="2677" priority="109" stopIfTrue="1" operator="greaterThan">
      <formula>0</formula>
    </cfRule>
    <cfRule type="cellIs" dxfId="2676" priority="110" stopIfTrue="1" operator="lessThan">
      <formula>0</formula>
    </cfRule>
  </conditionalFormatting>
  <conditionalFormatting sqref="U47:U48">
    <cfRule type="cellIs" dxfId="2675" priority="111" stopIfTrue="1" operator="greaterThan">
      <formula>0</formula>
    </cfRule>
    <cfRule type="cellIs" dxfId="2674" priority="112" operator="lessThan">
      <formula>0</formula>
    </cfRule>
  </conditionalFormatting>
  <conditionalFormatting sqref="U49">
    <cfRule type="cellIs" dxfId="2673" priority="101" stopIfTrue="1" operator="greaterThan">
      <formula>0.03</formula>
    </cfRule>
    <cfRule type="cellIs" dxfId="2672" priority="102" stopIfTrue="1" operator="lessThan">
      <formula>-0.03</formula>
    </cfRule>
  </conditionalFormatting>
  <conditionalFormatting sqref="U49:U50">
    <cfRule type="cellIs" dxfId="2671" priority="103" stopIfTrue="1" operator="greaterThan">
      <formula>0</formula>
    </cfRule>
    <cfRule type="cellIs" dxfId="2670" priority="104" operator="lessThan">
      <formula>0</formula>
    </cfRule>
  </conditionalFormatting>
  <conditionalFormatting sqref="U51">
    <cfRule type="cellIs" dxfId="2669" priority="97" stopIfTrue="1" operator="greaterThan">
      <formula>0.03</formula>
    </cfRule>
    <cfRule type="cellIs" dxfId="2668" priority="98" stopIfTrue="1" operator="lessThan">
      <formula>-0.03</formula>
    </cfRule>
  </conditionalFormatting>
  <conditionalFormatting sqref="U51:U52">
    <cfRule type="cellIs" dxfId="2667" priority="99" stopIfTrue="1" operator="greaterThan">
      <formula>0</formula>
    </cfRule>
    <cfRule type="cellIs" dxfId="2666" priority="100" operator="lessThan">
      <formula>0</formula>
    </cfRule>
  </conditionalFormatting>
  <conditionalFormatting sqref="W47">
    <cfRule type="cellIs" dxfId="2665" priority="89" stopIfTrue="1" operator="greaterThan">
      <formula>0.03</formula>
    </cfRule>
    <cfRule type="cellIs" dxfId="2664" priority="90" stopIfTrue="1" operator="lessThan">
      <formula>-0.03</formula>
    </cfRule>
  </conditionalFormatting>
  <conditionalFormatting sqref="X47">
    <cfRule type="cellIs" dxfId="2663" priority="91" stopIfTrue="1" operator="greaterThan">
      <formula>0.03</formula>
    </cfRule>
    <cfRule type="cellIs" dxfId="2662" priority="92" stopIfTrue="1" operator="lessThan">
      <formula>-0.03</formula>
    </cfRule>
  </conditionalFormatting>
  <conditionalFormatting sqref="X47:X52">
    <cfRule type="cellIs" dxfId="2661" priority="93" stopIfTrue="1" operator="greaterThan">
      <formula>0</formula>
    </cfRule>
    <cfRule type="cellIs" dxfId="2660" priority="94" stopIfTrue="1" operator="lessThan">
      <formula>0</formula>
    </cfRule>
  </conditionalFormatting>
  <conditionalFormatting sqref="W47:W48">
    <cfRule type="cellIs" dxfId="2659" priority="95" stopIfTrue="1" operator="greaterThan">
      <formula>0</formula>
    </cfRule>
    <cfRule type="cellIs" dxfId="2658" priority="96" operator="lessThan">
      <formula>0</formula>
    </cfRule>
  </conditionalFormatting>
  <conditionalFormatting sqref="W49">
    <cfRule type="cellIs" dxfId="2657" priority="85" stopIfTrue="1" operator="greaterThan">
      <formula>0.03</formula>
    </cfRule>
    <cfRule type="cellIs" dxfId="2656" priority="86" stopIfTrue="1" operator="lessThan">
      <formula>-0.03</formula>
    </cfRule>
  </conditionalFormatting>
  <conditionalFormatting sqref="W49:W50">
    <cfRule type="cellIs" dxfId="2655" priority="87" stopIfTrue="1" operator="greaterThan">
      <formula>0</formula>
    </cfRule>
    <cfRule type="cellIs" dxfId="2654" priority="88" operator="lessThan">
      <formula>0</formula>
    </cfRule>
  </conditionalFormatting>
  <conditionalFormatting sqref="W51">
    <cfRule type="cellIs" dxfId="2653" priority="81" stopIfTrue="1" operator="greaterThan">
      <formula>0.03</formula>
    </cfRule>
    <cfRule type="cellIs" dxfId="2652" priority="82" stopIfTrue="1" operator="lessThan">
      <formula>-0.03</formula>
    </cfRule>
  </conditionalFormatting>
  <conditionalFormatting sqref="W51:W52">
    <cfRule type="cellIs" dxfId="2651" priority="83" stopIfTrue="1" operator="greaterThan">
      <formula>0</formula>
    </cfRule>
    <cfRule type="cellIs" dxfId="2650" priority="84" operator="lessThan">
      <formula>0</formula>
    </cfRule>
  </conditionalFormatting>
  <conditionalFormatting sqref="Y47">
    <cfRule type="cellIs" dxfId="2649" priority="73" stopIfTrue="1" operator="greaterThan">
      <formula>0.03</formula>
    </cfRule>
    <cfRule type="cellIs" dxfId="2648" priority="74" stopIfTrue="1" operator="lessThan">
      <formula>-0.03</formula>
    </cfRule>
  </conditionalFormatting>
  <conditionalFormatting sqref="Z47">
    <cfRule type="cellIs" dxfId="2647" priority="75" stopIfTrue="1" operator="greaterThan">
      <formula>0.03</formula>
    </cfRule>
    <cfRule type="cellIs" dxfId="2646" priority="76" stopIfTrue="1" operator="lessThan">
      <formula>-0.03</formula>
    </cfRule>
  </conditionalFormatting>
  <conditionalFormatting sqref="Z47:Z52">
    <cfRule type="cellIs" dxfId="2645" priority="77" stopIfTrue="1" operator="greaterThan">
      <formula>0</formula>
    </cfRule>
    <cfRule type="cellIs" dxfId="2644" priority="78" stopIfTrue="1" operator="lessThan">
      <formula>0</formula>
    </cfRule>
  </conditionalFormatting>
  <conditionalFormatting sqref="Y47:Y48">
    <cfRule type="cellIs" dxfId="2643" priority="79" stopIfTrue="1" operator="greaterThan">
      <formula>0</formula>
    </cfRule>
    <cfRule type="cellIs" dxfId="2642" priority="80" operator="lessThan">
      <formula>0</formula>
    </cfRule>
  </conditionalFormatting>
  <conditionalFormatting sqref="Y49">
    <cfRule type="cellIs" dxfId="2641" priority="69" stopIfTrue="1" operator="greaterThan">
      <formula>0.03</formula>
    </cfRule>
    <cfRule type="cellIs" dxfId="2640" priority="70" stopIfTrue="1" operator="lessThan">
      <formula>-0.03</formula>
    </cfRule>
  </conditionalFormatting>
  <conditionalFormatting sqref="Y49:Y50">
    <cfRule type="cellIs" dxfId="2639" priority="71" stopIfTrue="1" operator="greaterThan">
      <formula>0</formula>
    </cfRule>
    <cfRule type="cellIs" dxfId="2638" priority="72" operator="lessThan">
      <formula>0</formula>
    </cfRule>
  </conditionalFormatting>
  <conditionalFormatting sqref="Y51">
    <cfRule type="cellIs" dxfId="2637" priority="65" stopIfTrue="1" operator="greaterThan">
      <formula>0.03</formula>
    </cfRule>
    <cfRule type="cellIs" dxfId="2636" priority="66" stopIfTrue="1" operator="lessThan">
      <formula>-0.03</formula>
    </cfRule>
  </conditionalFormatting>
  <conditionalFormatting sqref="Y51:Y52">
    <cfRule type="cellIs" dxfId="2635" priority="67" stopIfTrue="1" operator="greaterThan">
      <formula>0</formula>
    </cfRule>
    <cfRule type="cellIs" dxfId="2634" priority="68" operator="lessThan">
      <formula>0</formula>
    </cfRule>
  </conditionalFormatting>
  <conditionalFormatting sqref="AA47">
    <cfRule type="cellIs" dxfId="2633" priority="57" stopIfTrue="1" operator="greaterThan">
      <formula>0.03</formula>
    </cfRule>
    <cfRule type="cellIs" dxfId="2632" priority="58" stopIfTrue="1" operator="lessThan">
      <formula>-0.03</formula>
    </cfRule>
  </conditionalFormatting>
  <conditionalFormatting sqref="AB47">
    <cfRule type="cellIs" dxfId="2631" priority="59" stopIfTrue="1" operator="greaterThan">
      <formula>0.03</formula>
    </cfRule>
    <cfRule type="cellIs" dxfId="2630" priority="60" stopIfTrue="1" operator="lessThan">
      <formula>-0.03</formula>
    </cfRule>
  </conditionalFormatting>
  <conditionalFormatting sqref="AB47:AB52">
    <cfRule type="cellIs" dxfId="2629" priority="61" stopIfTrue="1" operator="greaterThan">
      <formula>0</formula>
    </cfRule>
    <cfRule type="cellIs" dxfId="2628" priority="62" stopIfTrue="1" operator="lessThan">
      <formula>0</formula>
    </cfRule>
  </conditionalFormatting>
  <conditionalFormatting sqref="AA47:AA48">
    <cfRule type="cellIs" dxfId="2627" priority="63" stopIfTrue="1" operator="greaterThan">
      <formula>0</formula>
    </cfRule>
    <cfRule type="cellIs" dxfId="2626" priority="64" operator="lessThan">
      <formula>0</formula>
    </cfRule>
  </conditionalFormatting>
  <conditionalFormatting sqref="AA49">
    <cfRule type="cellIs" dxfId="2625" priority="53" stopIfTrue="1" operator="greaterThan">
      <formula>0.03</formula>
    </cfRule>
    <cfRule type="cellIs" dxfId="2624" priority="54" stopIfTrue="1" operator="lessThan">
      <formula>-0.03</formula>
    </cfRule>
  </conditionalFormatting>
  <conditionalFormatting sqref="AA49:AA50">
    <cfRule type="cellIs" dxfId="2623" priority="55" stopIfTrue="1" operator="greaterThan">
      <formula>0</formula>
    </cfRule>
    <cfRule type="cellIs" dxfId="2622" priority="56" operator="lessThan">
      <formula>0</formula>
    </cfRule>
  </conditionalFormatting>
  <conditionalFormatting sqref="AA51">
    <cfRule type="cellIs" dxfId="2621" priority="49" stopIfTrue="1" operator="greaterThan">
      <formula>0.03</formula>
    </cfRule>
    <cfRule type="cellIs" dxfId="2620" priority="50" stopIfTrue="1" operator="lessThan">
      <formula>-0.03</formula>
    </cfRule>
  </conditionalFormatting>
  <conditionalFormatting sqref="AA51:AA52">
    <cfRule type="cellIs" dxfId="2619" priority="51" stopIfTrue="1" operator="greaterThan">
      <formula>0</formula>
    </cfRule>
    <cfRule type="cellIs" dxfId="2618" priority="52" operator="lessThan">
      <formula>0</formula>
    </cfRule>
  </conditionalFormatting>
  <conditionalFormatting sqref="AC47">
    <cfRule type="cellIs" dxfId="2617" priority="45" stopIfTrue="1" operator="greaterThan">
      <formula>0.03</formula>
    </cfRule>
    <cfRule type="cellIs" dxfId="2616" priority="46" stopIfTrue="1" operator="lessThan">
      <formula>-0.03</formula>
    </cfRule>
  </conditionalFormatting>
  <conditionalFormatting sqref="AC47:AC48">
    <cfRule type="cellIs" dxfId="2615" priority="47" stopIfTrue="1" operator="greaterThan">
      <formula>0</formula>
    </cfRule>
    <cfRule type="cellIs" dxfId="2614" priority="48" operator="lessThan">
      <formula>0</formula>
    </cfRule>
  </conditionalFormatting>
  <conditionalFormatting sqref="AC49">
    <cfRule type="cellIs" dxfId="2613" priority="41" stopIfTrue="1" operator="greaterThan">
      <formula>0.03</formula>
    </cfRule>
    <cfRule type="cellIs" dxfId="2612" priority="42" stopIfTrue="1" operator="lessThan">
      <formula>-0.03</formula>
    </cfRule>
  </conditionalFormatting>
  <conditionalFormatting sqref="AC49:AC50">
    <cfRule type="cellIs" dxfId="2611" priority="43" stopIfTrue="1" operator="greaterThan">
      <formula>0</formula>
    </cfRule>
    <cfRule type="cellIs" dxfId="2610" priority="44" operator="lessThan">
      <formula>0</formula>
    </cfRule>
  </conditionalFormatting>
  <conditionalFormatting sqref="AC51">
    <cfRule type="cellIs" dxfId="2609" priority="37" stopIfTrue="1" operator="greaterThan">
      <formula>0.03</formula>
    </cfRule>
    <cfRule type="cellIs" dxfId="2608" priority="38" stopIfTrue="1" operator="lessThan">
      <formula>-0.03</formula>
    </cfRule>
  </conditionalFormatting>
  <conditionalFormatting sqref="AC51:AC52">
    <cfRule type="cellIs" dxfId="2607" priority="39" stopIfTrue="1" operator="greaterThan">
      <formula>0</formula>
    </cfRule>
    <cfRule type="cellIs" dxfId="2606" priority="40" operator="lessThan">
      <formula>0</formula>
    </cfRule>
  </conditionalFormatting>
  <conditionalFormatting sqref="AI47">
    <cfRule type="cellIs" dxfId="2605" priority="29" stopIfTrue="1" operator="greaterThan">
      <formula>0.03</formula>
    </cfRule>
    <cfRule type="cellIs" dxfId="2604" priority="30" stopIfTrue="1" operator="lessThan">
      <formula>-0.03</formula>
    </cfRule>
  </conditionalFormatting>
  <conditionalFormatting sqref="AJ47">
    <cfRule type="cellIs" dxfId="2603" priority="31" stopIfTrue="1" operator="greaterThan">
      <formula>0.03</formula>
    </cfRule>
    <cfRule type="cellIs" dxfId="2602" priority="32" stopIfTrue="1" operator="lessThan">
      <formula>-0.03</formula>
    </cfRule>
  </conditionalFormatting>
  <conditionalFormatting sqref="AJ47:AJ52">
    <cfRule type="cellIs" dxfId="2601" priority="33" stopIfTrue="1" operator="greaterThan">
      <formula>0</formula>
    </cfRule>
    <cfRule type="cellIs" dxfId="2600" priority="34" stopIfTrue="1" operator="lessThan">
      <formula>0</formula>
    </cfRule>
  </conditionalFormatting>
  <conditionalFormatting sqref="AI47:AI48">
    <cfRule type="cellIs" dxfId="2599" priority="35" stopIfTrue="1" operator="greaterThan">
      <formula>0</formula>
    </cfRule>
    <cfRule type="cellIs" dxfId="2598" priority="36" operator="lessThan">
      <formula>0</formula>
    </cfRule>
  </conditionalFormatting>
  <conditionalFormatting sqref="AI49">
    <cfRule type="cellIs" dxfId="2597" priority="25" stopIfTrue="1" operator="greaterThan">
      <formula>0.03</formula>
    </cfRule>
    <cfRule type="cellIs" dxfId="2596" priority="26" stopIfTrue="1" operator="lessThan">
      <formula>-0.03</formula>
    </cfRule>
  </conditionalFormatting>
  <conditionalFormatting sqref="AI49:AI50">
    <cfRule type="cellIs" dxfId="2595" priority="27" stopIfTrue="1" operator="greaterThan">
      <formula>0</formula>
    </cfRule>
    <cfRule type="cellIs" dxfId="2594" priority="28" operator="lessThan">
      <formula>0</formula>
    </cfRule>
  </conditionalFormatting>
  <conditionalFormatting sqref="AI51">
    <cfRule type="cellIs" dxfId="2593" priority="21" stopIfTrue="1" operator="greaterThan">
      <formula>0.03</formula>
    </cfRule>
    <cfRule type="cellIs" dxfId="2592" priority="22" stopIfTrue="1" operator="lessThan">
      <formula>-0.03</formula>
    </cfRule>
  </conditionalFormatting>
  <conditionalFormatting sqref="AI51:AI52">
    <cfRule type="cellIs" dxfId="2591" priority="23" stopIfTrue="1" operator="greaterThan">
      <formula>0</formula>
    </cfRule>
    <cfRule type="cellIs" dxfId="2590" priority="24" operator="lessThan">
      <formula>0</formula>
    </cfRule>
  </conditionalFormatting>
  <conditionalFormatting sqref="AK47">
    <cfRule type="cellIs" dxfId="2589" priority="13" stopIfTrue="1" operator="greaterThan">
      <formula>0.03</formula>
    </cfRule>
    <cfRule type="cellIs" dxfId="2588" priority="14" stopIfTrue="1" operator="lessThan">
      <formula>-0.03</formula>
    </cfRule>
  </conditionalFormatting>
  <conditionalFormatting sqref="AL47">
    <cfRule type="cellIs" dxfId="2587" priority="15" stopIfTrue="1" operator="greaterThan">
      <formula>0.03</formula>
    </cfRule>
    <cfRule type="cellIs" dxfId="2586" priority="16" stopIfTrue="1" operator="lessThan">
      <formula>-0.03</formula>
    </cfRule>
  </conditionalFormatting>
  <conditionalFormatting sqref="AL47:AL52">
    <cfRule type="cellIs" dxfId="2585" priority="17" stopIfTrue="1" operator="greaterThan">
      <formula>0</formula>
    </cfRule>
    <cfRule type="cellIs" dxfId="2584" priority="18" stopIfTrue="1" operator="lessThan">
      <formula>0</formula>
    </cfRule>
  </conditionalFormatting>
  <conditionalFormatting sqref="AK47:AK48">
    <cfRule type="cellIs" dxfId="2583" priority="19" stopIfTrue="1" operator="greaterThan">
      <formula>0</formula>
    </cfRule>
    <cfRule type="cellIs" dxfId="2582" priority="20" operator="lessThan">
      <formula>0</formula>
    </cfRule>
  </conditionalFormatting>
  <conditionalFormatting sqref="AK49">
    <cfRule type="cellIs" dxfId="2581" priority="9" stopIfTrue="1" operator="greaterThan">
      <formula>0.03</formula>
    </cfRule>
    <cfRule type="cellIs" dxfId="2580" priority="10" stopIfTrue="1" operator="lessThan">
      <formula>-0.03</formula>
    </cfRule>
  </conditionalFormatting>
  <conditionalFormatting sqref="AK49:AK50">
    <cfRule type="cellIs" dxfId="2579" priority="11" stopIfTrue="1" operator="greaterThan">
      <formula>0</formula>
    </cfRule>
    <cfRule type="cellIs" dxfId="2578" priority="12" operator="lessThan">
      <formula>0</formula>
    </cfRule>
  </conditionalFormatting>
  <conditionalFormatting sqref="AK51">
    <cfRule type="cellIs" dxfId="2577" priority="5" stopIfTrue="1" operator="greaterThan">
      <formula>0.03</formula>
    </cfRule>
    <cfRule type="cellIs" dxfId="2576" priority="6" stopIfTrue="1" operator="lessThan">
      <formula>-0.03</formula>
    </cfRule>
  </conditionalFormatting>
  <conditionalFormatting sqref="AK51:AK52">
    <cfRule type="cellIs" dxfId="2575" priority="7" stopIfTrue="1" operator="greaterThan">
      <formula>0</formula>
    </cfRule>
    <cfRule type="cellIs" dxfId="2574" priority="8" operator="lessThan">
      <formula>0</formula>
    </cfRule>
  </conditionalFormatting>
  <conditionalFormatting sqref="AD47:AH47">
    <cfRule type="cellIs" dxfId="2573" priority="1" stopIfTrue="1" operator="greaterThan">
      <formula>0.03</formula>
    </cfRule>
    <cfRule type="cellIs" dxfId="2572" priority="2" stopIfTrue="1" operator="lessThan">
      <formula>-0.03</formula>
    </cfRule>
  </conditionalFormatting>
  <conditionalFormatting sqref="AD47:AH52">
    <cfRule type="cellIs" dxfId="2571" priority="3" stopIfTrue="1" operator="greaterThan">
      <formula>0</formula>
    </cfRule>
    <cfRule type="cellIs" dxfId="2570" priority="4" stopIfTrue="1" operator="lessThan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4BFF32-18CC-B64A-BD31-B4522F403286}">
  <sheetPr codeName="Sheet24"/>
  <dimension ref="A1:FS180"/>
  <sheetViews>
    <sheetView zoomScale="110" zoomScaleNormal="110" workbookViewId="0">
      <selection activeCell="B5" sqref="B5:B40"/>
    </sheetView>
  </sheetViews>
  <sheetFormatPr baseColWidth="10" defaultColWidth="10.83203125" defaultRowHeight="13" outlineLevelCol="1" x14ac:dyDescent="0.15"/>
  <cols>
    <col min="1" max="2" width="10.83203125" style="1"/>
    <col min="3" max="6" width="12.6640625" style="1" bestFit="1" customWidth="1"/>
    <col min="7" max="7" width="12.1640625" style="1" customWidth="1"/>
    <col min="8" max="8" width="12.6640625" style="1" bestFit="1" customWidth="1"/>
    <col min="9" max="9" width="12.1640625" style="1" customWidth="1"/>
    <col min="10" max="11" width="12.1640625" style="1" bestFit="1" customWidth="1"/>
    <col min="12" max="17" width="11.6640625" style="1" customWidth="1"/>
    <col min="18" max="19" width="12.6640625" style="1" bestFit="1" customWidth="1"/>
    <col min="20" max="20" width="13" style="1" customWidth="1"/>
    <col min="21" max="21" width="14.6640625" style="1" bestFit="1" customWidth="1"/>
    <col min="22" max="24" width="12.6640625" style="1" bestFit="1" customWidth="1"/>
    <col min="25" max="25" width="12.1640625" style="1" customWidth="1"/>
    <col min="26" max="26" width="12.6640625" style="1" bestFit="1" customWidth="1"/>
    <col min="27" max="27" width="12.1640625" style="1" customWidth="1"/>
    <col min="28" max="29" width="12.1640625" style="1" bestFit="1" customWidth="1"/>
    <col min="30" max="35" width="11.6640625" style="1" customWidth="1"/>
    <col min="36" max="36" width="14.6640625" style="1" bestFit="1" customWidth="1"/>
    <col min="37" max="37" width="12.6640625" style="1" bestFit="1" customWidth="1"/>
    <col min="38" max="39" width="12.1640625" style="1" customWidth="1"/>
    <col min="40" max="40" width="11.83203125" style="1" customWidth="1"/>
    <col min="41" max="47" width="10.83203125" style="4" outlineLevel="1"/>
    <col min="48" max="51" width="12.1640625" style="4" customWidth="1" outlineLevel="1"/>
    <col min="52" max="69" width="10.83203125" style="4" outlineLevel="1"/>
    <col min="70" max="72" width="12.1640625" style="4" customWidth="1" outlineLevel="1"/>
    <col min="73" max="73" width="8.1640625" style="4" customWidth="1" outlineLevel="1"/>
    <col min="74" max="74" width="12.1640625" style="4" customWidth="1" outlineLevel="1"/>
    <col min="75" max="75" width="8.1640625" style="4" customWidth="1" outlineLevel="1"/>
    <col min="76" max="76" width="12.1640625" style="4" customWidth="1" outlineLevel="1"/>
    <col min="77" max="77" width="8.1640625" style="4" customWidth="1" outlineLevel="1"/>
    <col min="78" max="78" width="12.1640625" style="4" customWidth="1" outlineLevel="1"/>
    <col min="79" max="79" width="8.1640625" style="4" customWidth="1" outlineLevel="1"/>
    <col min="80" max="80" width="12.1640625" style="4" customWidth="1" outlineLevel="1"/>
    <col min="81" max="81" width="8.1640625" style="4" customWidth="1" outlineLevel="1"/>
    <col min="82" max="82" width="12.1640625" style="4" customWidth="1" outlineLevel="1"/>
    <col min="83" max="86" width="8.1640625" style="4" customWidth="1" outlineLevel="1"/>
    <col min="87" max="87" width="12" style="10" customWidth="1" outlineLevel="1"/>
    <col min="88" max="88" width="8.1640625" style="10" customWidth="1" outlineLevel="1"/>
    <col min="89" max="89" width="8.1640625" style="4" customWidth="1" outlineLevel="1"/>
    <col min="90" max="107" width="10.83203125" style="4" outlineLevel="1"/>
    <col min="108" max="108" width="1" style="4" customWidth="1" outlineLevel="1"/>
    <col min="109" max="109" width="10.83203125" style="4" outlineLevel="1"/>
    <col min="110" max="110" width="12.1640625" style="4" customWidth="1" outlineLevel="1"/>
    <col min="111" max="111" width="0.83203125" style="4" customWidth="1" outlineLevel="1"/>
    <col min="112" max="112" width="10.83203125" style="4" outlineLevel="1"/>
    <col min="113" max="113" width="12.1640625" style="4" customWidth="1" outlineLevel="1"/>
    <col min="114" max="114" width="0.83203125" style="4" customWidth="1"/>
    <col min="115" max="128" width="12.1640625" style="4" customWidth="1"/>
    <col min="129" max="129" width="1.33203125" style="1" customWidth="1"/>
    <col min="130" max="148" width="10.83203125" style="4"/>
    <col min="149" max="151" width="12.1640625" style="4" customWidth="1"/>
    <col min="152" max="159" width="12.1640625" style="8" customWidth="1"/>
    <col min="160" max="171" width="12.1640625" style="4" customWidth="1"/>
    <col min="172" max="172" width="10.83203125" style="4"/>
    <col min="173" max="173" width="12.1640625" style="4" customWidth="1"/>
    <col min="174" max="174" width="10.83203125" style="4"/>
    <col min="175" max="175" width="12.1640625" style="4" customWidth="1"/>
    <col min="176" max="16384" width="10.83203125" style="1"/>
  </cols>
  <sheetData>
    <row r="1" spans="1:175" x14ac:dyDescent="0.15">
      <c r="C1" s="276" t="s">
        <v>10</v>
      </c>
      <c r="D1" s="276"/>
      <c r="E1" s="276"/>
      <c r="F1" s="276"/>
      <c r="G1" s="276"/>
      <c r="H1" s="276"/>
      <c r="I1" s="276"/>
      <c r="J1" s="276"/>
      <c r="K1" s="276"/>
      <c r="L1" s="276"/>
      <c r="M1" s="276"/>
      <c r="N1" s="276"/>
      <c r="O1" s="276"/>
      <c r="P1" s="276"/>
      <c r="Q1" s="276"/>
      <c r="R1" s="276"/>
      <c r="S1" s="276"/>
      <c r="T1" s="2"/>
      <c r="U1" s="276" t="s">
        <v>11</v>
      </c>
      <c r="V1" s="276"/>
      <c r="W1" s="276"/>
      <c r="X1" s="276"/>
      <c r="Y1" s="276"/>
      <c r="Z1" s="276"/>
      <c r="AA1" s="276"/>
      <c r="AB1" s="276"/>
      <c r="AC1" s="276"/>
      <c r="AD1" s="276"/>
      <c r="AE1" s="276"/>
      <c r="AF1" s="276"/>
      <c r="AG1" s="276"/>
      <c r="AH1" s="276"/>
      <c r="AI1" s="276"/>
      <c r="AJ1" s="276"/>
      <c r="AK1" s="276"/>
      <c r="AL1" s="12"/>
      <c r="AM1" s="12"/>
      <c r="AN1" s="2"/>
      <c r="AO1" s="279" t="s">
        <v>21</v>
      </c>
      <c r="AP1" s="280"/>
      <c r="AQ1" s="280"/>
      <c r="AR1" s="280"/>
      <c r="AS1" s="280"/>
      <c r="AT1" s="280"/>
      <c r="AU1" s="280"/>
      <c r="AV1" s="280"/>
      <c r="AW1" s="280"/>
      <c r="AX1" s="280"/>
      <c r="AY1" s="280"/>
      <c r="CH1" s="19"/>
      <c r="CK1" s="18"/>
      <c r="CL1" s="272" t="s">
        <v>12</v>
      </c>
      <c r="CM1" s="272"/>
      <c r="CN1" s="272"/>
      <c r="CO1" s="272"/>
      <c r="CP1" s="272"/>
      <c r="CQ1" s="272"/>
      <c r="CR1" s="272"/>
      <c r="CS1" s="272"/>
      <c r="CT1" s="272"/>
      <c r="CU1" s="272"/>
      <c r="CV1" s="272"/>
      <c r="CW1" s="272"/>
      <c r="CX1" s="272"/>
      <c r="CY1" s="272"/>
      <c r="CZ1" s="272"/>
      <c r="DA1" s="272"/>
      <c r="DB1" s="272"/>
      <c r="DC1" s="272"/>
      <c r="DD1" s="272"/>
      <c r="DE1" s="272"/>
      <c r="DF1" s="272"/>
      <c r="DG1" s="272"/>
      <c r="DH1" s="272"/>
      <c r="DI1" s="272"/>
      <c r="DJ1" s="272"/>
      <c r="DK1" s="272"/>
      <c r="DL1" s="272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2"/>
      <c r="DZ1" s="272" t="s">
        <v>48</v>
      </c>
      <c r="EA1" s="272"/>
      <c r="EB1" s="272"/>
      <c r="EC1" s="272"/>
      <c r="ED1" s="272"/>
      <c r="EE1" s="272"/>
      <c r="EF1" s="272"/>
      <c r="EG1" s="272"/>
      <c r="EH1" s="272"/>
      <c r="EI1" s="272"/>
      <c r="EJ1" s="272"/>
      <c r="EK1" s="272"/>
      <c r="EL1" s="272"/>
      <c r="EM1" s="272"/>
      <c r="EN1" s="272"/>
      <c r="EO1" s="272"/>
      <c r="EP1" s="272"/>
      <c r="EQ1" s="272"/>
      <c r="ER1" s="272"/>
      <c r="ES1" s="272"/>
      <c r="ET1" s="272"/>
      <c r="EU1" s="272"/>
      <c r="EV1" s="272"/>
      <c r="EW1" s="272"/>
      <c r="EX1" s="1"/>
      <c r="EY1" s="1"/>
      <c r="EZ1" s="1"/>
      <c r="FA1" s="1"/>
      <c r="FB1" s="1"/>
      <c r="FC1" s="1"/>
      <c r="FD1" s="3"/>
      <c r="FE1" s="3"/>
      <c r="FF1" s="3"/>
      <c r="FG1" s="3"/>
      <c r="FH1" s="3"/>
      <c r="FI1" s="15"/>
      <c r="FK1" s="16"/>
      <c r="FL1" s="3"/>
      <c r="FM1" s="3"/>
      <c r="FN1" s="15"/>
      <c r="FP1" s="1"/>
      <c r="FQ1" s="1"/>
      <c r="FR1" s="1"/>
      <c r="FS1" s="1"/>
    </row>
    <row r="2" spans="1:175" x14ac:dyDescent="0.15">
      <c r="C2" s="276"/>
      <c r="D2" s="276"/>
      <c r="E2" s="276"/>
      <c r="F2" s="276"/>
      <c r="G2" s="276"/>
      <c r="H2" s="276"/>
      <c r="I2" s="276"/>
      <c r="J2" s="276"/>
      <c r="K2" s="276"/>
      <c r="L2" s="276"/>
      <c r="M2" s="276"/>
      <c r="N2" s="276"/>
      <c r="O2" s="276"/>
      <c r="P2" s="276"/>
      <c r="Q2" s="276"/>
      <c r="R2" s="276"/>
      <c r="S2" s="276"/>
      <c r="T2" s="2"/>
      <c r="U2" s="276"/>
      <c r="V2" s="276"/>
      <c r="W2" s="276"/>
      <c r="X2" s="276"/>
      <c r="Y2" s="276"/>
      <c r="Z2" s="276"/>
      <c r="AA2" s="276"/>
      <c r="AB2" s="276"/>
      <c r="AC2" s="276"/>
      <c r="AD2" s="276"/>
      <c r="AE2" s="276"/>
      <c r="AF2" s="276"/>
      <c r="AG2" s="276"/>
      <c r="AH2" s="276"/>
      <c r="AI2" s="276"/>
      <c r="AJ2" s="276"/>
      <c r="AK2" s="276"/>
      <c r="AL2" s="12"/>
      <c r="AM2" s="12"/>
      <c r="AN2" s="2"/>
      <c r="AO2" s="281" t="s">
        <v>13</v>
      </c>
      <c r="AP2" s="264"/>
      <c r="AQ2" s="264"/>
      <c r="AR2" s="264"/>
      <c r="AS2" s="264"/>
      <c r="AT2" s="264" t="s">
        <v>1</v>
      </c>
      <c r="AU2" s="264"/>
      <c r="AV2" s="264" t="s">
        <v>22</v>
      </c>
      <c r="AW2" s="264"/>
      <c r="AX2" s="264" t="s">
        <v>0</v>
      </c>
      <c r="AY2" s="264"/>
      <c r="CH2" s="20"/>
      <c r="CI2" s="20"/>
      <c r="CJ2" s="20"/>
      <c r="CK2" s="18"/>
      <c r="CL2" s="273" t="s">
        <v>13</v>
      </c>
      <c r="CM2" s="274"/>
      <c r="CN2" s="274"/>
      <c r="CO2" s="274"/>
      <c r="CP2" s="274"/>
      <c r="CQ2" s="274"/>
      <c r="CR2" s="274"/>
      <c r="CS2" s="274"/>
      <c r="CT2" s="274"/>
      <c r="CU2" s="274"/>
      <c r="CV2" s="274"/>
      <c r="CW2" s="274"/>
      <c r="CX2" s="274"/>
      <c r="CY2" s="274"/>
      <c r="CZ2" s="274"/>
      <c r="DA2" s="274"/>
      <c r="DB2" s="274"/>
      <c r="DC2" s="275"/>
      <c r="DD2" s="3"/>
      <c r="DE2" s="272" t="s">
        <v>14</v>
      </c>
      <c r="DF2" s="272"/>
      <c r="DG2" s="3"/>
      <c r="DH2" s="272" t="s">
        <v>30</v>
      </c>
      <c r="DI2" s="272"/>
      <c r="DJ2" s="3"/>
      <c r="DK2" s="272" t="s">
        <v>15</v>
      </c>
      <c r="DL2" s="272"/>
      <c r="DM2" s="272" t="s">
        <v>43</v>
      </c>
      <c r="DN2" s="272"/>
      <c r="DO2" s="272" t="s">
        <v>40</v>
      </c>
      <c r="DP2" s="272"/>
      <c r="DQ2" s="272" t="s">
        <v>44</v>
      </c>
      <c r="DR2" s="272"/>
      <c r="DS2" s="273" t="s">
        <v>45</v>
      </c>
      <c r="DT2" s="274"/>
      <c r="DU2" s="274"/>
      <c r="DV2" s="274"/>
      <c r="DW2" s="274"/>
      <c r="DX2" s="275"/>
      <c r="DY2" s="2"/>
      <c r="DZ2" s="273" t="s">
        <v>13</v>
      </c>
      <c r="EA2" s="274"/>
      <c r="EB2" s="274"/>
      <c r="EC2" s="274"/>
      <c r="ED2" s="274"/>
      <c r="EE2" s="274"/>
      <c r="EF2" s="274"/>
      <c r="EG2" s="274"/>
      <c r="EH2" s="274"/>
      <c r="EI2" s="274"/>
      <c r="EJ2" s="274"/>
      <c r="EK2" s="274"/>
      <c r="EL2" s="274"/>
      <c r="EM2" s="274"/>
      <c r="EN2" s="274"/>
      <c r="EO2" s="274"/>
      <c r="EP2" s="274"/>
      <c r="EQ2" s="275"/>
      <c r="ER2" s="272" t="s">
        <v>14</v>
      </c>
      <c r="ES2" s="272"/>
      <c r="ET2" s="272" t="s">
        <v>30</v>
      </c>
      <c r="EU2" s="272"/>
      <c r="EV2" s="284" t="s">
        <v>15</v>
      </c>
      <c r="EW2" s="284"/>
      <c r="EX2" s="284" t="s">
        <v>46</v>
      </c>
      <c r="EY2" s="284"/>
      <c r="EZ2" s="284" t="s">
        <v>47</v>
      </c>
      <c r="FA2" s="284"/>
      <c r="FB2" s="284" t="s">
        <v>41</v>
      </c>
      <c r="FC2" s="284"/>
      <c r="FD2" s="273" t="s">
        <v>45</v>
      </c>
      <c r="FE2" s="274"/>
      <c r="FF2" s="274"/>
      <c r="FG2" s="274"/>
      <c r="FH2" s="274"/>
      <c r="FI2" s="275"/>
      <c r="FK2" s="272" t="s">
        <v>106</v>
      </c>
      <c r="FL2" s="272"/>
      <c r="FM2" s="272" t="s">
        <v>107</v>
      </c>
      <c r="FN2" s="272"/>
      <c r="FP2" s="272" t="s">
        <v>105</v>
      </c>
      <c r="FQ2" s="272"/>
      <c r="FR2" s="272" t="s">
        <v>108</v>
      </c>
      <c r="FS2" s="272"/>
    </row>
    <row r="3" spans="1:175" x14ac:dyDescent="0.15">
      <c r="C3" s="12"/>
      <c r="D3" s="276" t="s">
        <v>13</v>
      </c>
      <c r="E3" s="276"/>
      <c r="F3" s="276"/>
      <c r="G3" s="276"/>
      <c r="H3" s="12"/>
      <c r="I3" s="12"/>
      <c r="J3" s="12"/>
      <c r="K3" s="12"/>
      <c r="L3" s="12"/>
      <c r="M3" s="12"/>
      <c r="N3" s="278" t="s">
        <v>42</v>
      </c>
      <c r="O3" s="278"/>
      <c r="P3" s="278"/>
      <c r="Q3" s="278"/>
      <c r="R3" s="12"/>
      <c r="S3" s="12"/>
      <c r="T3" s="2"/>
      <c r="U3" s="12"/>
      <c r="V3" s="276" t="s">
        <v>13</v>
      </c>
      <c r="W3" s="276"/>
      <c r="X3" s="276"/>
      <c r="Y3" s="276"/>
      <c r="Z3" s="12"/>
      <c r="AA3" s="12"/>
      <c r="AB3" s="12"/>
      <c r="AC3" s="12"/>
      <c r="AD3" s="12"/>
      <c r="AE3" s="12"/>
      <c r="AF3" s="277" t="s">
        <v>42</v>
      </c>
      <c r="AG3" s="277"/>
      <c r="AH3" s="277"/>
      <c r="AI3" s="277"/>
      <c r="AJ3" s="12"/>
      <c r="AK3" s="12"/>
      <c r="AL3" s="12"/>
      <c r="AM3" s="12"/>
      <c r="AN3" s="2"/>
      <c r="AO3" s="13"/>
      <c r="AP3" s="14"/>
      <c r="AQ3" s="14"/>
      <c r="AR3" s="14"/>
      <c r="AS3" s="14"/>
      <c r="AT3" s="14"/>
      <c r="AU3" s="14"/>
      <c r="AV3" s="14"/>
      <c r="AW3" s="14"/>
      <c r="AX3" s="14"/>
      <c r="AY3" s="14"/>
      <c r="CH3" s="19"/>
      <c r="CK3" s="18"/>
      <c r="CL3" s="3"/>
      <c r="CM3" s="3"/>
      <c r="CN3" s="273" t="s">
        <v>13</v>
      </c>
      <c r="CO3" s="274"/>
      <c r="CP3" s="274"/>
      <c r="CQ3" s="275"/>
      <c r="CR3" s="3"/>
      <c r="CS3" s="3"/>
      <c r="CT3" s="3"/>
      <c r="CU3" s="3"/>
      <c r="CV3" s="3"/>
      <c r="CW3" s="3"/>
      <c r="CX3" s="273" t="s">
        <v>42</v>
      </c>
      <c r="CY3" s="274"/>
      <c r="CZ3" s="274"/>
      <c r="DA3" s="275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2"/>
      <c r="DZ3" s="3"/>
      <c r="EA3" s="3"/>
      <c r="EB3" s="273" t="s">
        <v>13</v>
      </c>
      <c r="EC3" s="274"/>
      <c r="ED3" s="274"/>
      <c r="EE3" s="275"/>
      <c r="EF3" s="3"/>
      <c r="EG3" s="3"/>
      <c r="EH3" s="3"/>
      <c r="EI3" s="3"/>
      <c r="EJ3" s="3"/>
      <c r="EK3" s="3"/>
      <c r="EL3" s="273" t="s">
        <v>42</v>
      </c>
      <c r="EM3" s="274"/>
      <c r="EN3" s="274"/>
      <c r="EO3" s="275"/>
      <c r="EP3" s="3"/>
      <c r="EQ3" s="3"/>
      <c r="ER3" s="3"/>
      <c r="ES3" s="3"/>
      <c r="ET3" s="3"/>
      <c r="EU3" s="3"/>
      <c r="EV3" s="6"/>
      <c r="EW3" s="6"/>
      <c r="EX3" s="6"/>
      <c r="EY3" s="6"/>
      <c r="EZ3" s="6"/>
      <c r="FA3" s="6"/>
      <c r="FB3" s="6"/>
      <c r="FC3" s="6"/>
      <c r="FD3" s="3"/>
      <c r="FE3" s="3"/>
      <c r="FF3" s="3"/>
      <c r="FG3" s="3"/>
      <c r="FH3" s="3"/>
      <c r="FI3" s="15"/>
      <c r="FK3" s="16"/>
      <c r="FL3" s="3"/>
      <c r="FM3" s="3"/>
      <c r="FN3" s="15"/>
      <c r="FP3" s="16"/>
      <c r="FQ3" s="3"/>
      <c r="FR3" s="16"/>
      <c r="FS3" s="3"/>
    </row>
    <row r="4" spans="1:175" ht="14" thickBot="1" x14ac:dyDescent="0.2">
      <c r="B4" s="1" t="s">
        <v>6</v>
      </c>
      <c r="C4" s="36" t="s">
        <v>3</v>
      </c>
      <c r="D4" s="36" t="s">
        <v>24</v>
      </c>
      <c r="E4" s="36" t="s">
        <v>25</v>
      </c>
      <c r="F4" s="36" t="s">
        <v>26</v>
      </c>
      <c r="G4" s="36" t="s">
        <v>38</v>
      </c>
      <c r="H4" s="36" t="s">
        <v>5</v>
      </c>
      <c r="I4" s="36" t="s">
        <v>22</v>
      </c>
      <c r="J4" s="36" t="s">
        <v>0</v>
      </c>
      <c r="K4" s="36" t="s">
        <v>39</v>
      </c>
      <c r="L4" s="36" t="s">
        <v>40</v>
      </c>
      <c r="M4" s="36" t="s">
        <v>41</v>
      </c>
      <c r="N4" s="37" t="s">
        <v>24</v>
      </c>
      <c r="O4" s="37" t="s">
        <v>25</v>
      </c>
      <c r="P4" s="37" t="s">
        <v>26</v>
      </c>
      <c r="Q4" s="37" t="s">
        <v>38</v>
      </c>
      <c r="R4" s="36" t="s">
        <v>4</v>
      </c>
      <c r="S4" s="36" t="s">
        <v>7</v>
      </c>
      <c r="T4" s="2"/>
      <c r="U4" s="36" t="s">
        <v>3</v>
      </c>
      <c r="V4" s="36" t="s">
        <v>24</v>
      </c>
      <c r="W4" s="36" t="s">
        <v>25</v>
      </c>
      <c r="X4" s="36" t="s">
        <v>26</v>
      </c>
      <c r="Y4" s="36" t="s">
        <v>38</v>
      </c>
      <c r="Z4" s="36" t="s">
        <v>5</v>
      </c>
      <c r="AA4" s="36" t="s">
        <v>22</v>
      </c>
      <c r="AB4" s="36" t="s">
        <v>0</v>
      </c>
      <c r="AC4" s="36" t="s">
        <v>39</v>
      </c>
      <c r="AD4" s="36" t="s">
        <v>40</v>
      </c>
      <c r="AE4" s="36" t="s">
        <v>41</v>
      </c>
      <c r="AF4" s="39" t="s">
        <v>24</v>
      </c>
      <c r="AG4" s="39" t="s">
        <v>25</v>
      </c>
      <c r="AH4" s="39" t="s">
        <v>26</v>
      </c>
      <c r="AI4" s="39" t="s">
        <v>38</v>
      </c>
      <c r="AJ4" s="36" t="s">
        <v>4</v>
      </c>
      <c r="AK4" s="36" t="s">
        <v>7</v>
      </c>
      <c r="AL4" s="36" t="s">
        <v>77</v>
      </c>
      <c r="AM4" s="36" t="s">
        <v>78</v>
      </c>
      <c r="AN4" s="2"/>
      <c r="AO4" s="251" t="s">
        <v>23</v>
      </c>
      <c r="AP4" s="252"/>
      <c r="AQ4" s="116" t="s">
        <v>24</v>
      </c>
      <c r="AR4" s="116" t="s">
        <v>25</v>
      </c>
      <c r="AS4" s="116" t="s">
        <v>26</v>
      </c>
      <c r="AT4" s="116" t="s">
        <v>23</v>
      </c>
      <c r="AU4" s="116" t="s">
        <v>24</v>
      </c>
      <c r="AV4" s="116" t="s">
        <v>23</v>
      </c>
      <c r="AW4" s="116" t="s">
        <v>24</v>
      </c>
      <c r="AX4" s="116" t="s">
        <v>23</v>
      </c>
      <c r="AY4" s="116" t="s">
        <v>24</v>
      </c>
      <c r="CH4" s="21"/>
      <c r="CK4" s="18"/>
      <c r="CL4" s="3" t="str">
        <f>C4</f>
        <v>Bit-rate</v>
      </c>
      <c r="CM4" s="3" t="str">
        <f>D4</f>
        <v>Y</v>
      </c>
      <c r="CN4" s="3" t="str">
        <f t="shared" ref="CN4:DC4" si="0">D4</f>
        <v>Y</v>
      </c>
      <c r="CO4" s="3" t="str">
        <f t="shared" si="0"/>
        <v>U</v>
      </c>
      <c r="CP4" s="3" t="str">
        <f t="shared" si="0"/>
        <v>V</v>
      </c>
      <c r="CQ4" s="3" t="str">
        <f t="shared" si="0"/>
        <v>YUV</v>
      </c>
      <c r="CR4" s="3" t="str">
        <f t="shared" si="0"/>
        <v>SSIM_Y</v>
      </c>
      <c r="CS4" s="3" t="str">
        <f t="shared" si="0"/>
        <v>MS-SSIM</v>
      </c>
      <c r="CT4" s="3" t="str">
        <f t="shared" si="0"/>
        <v>VMAF</v>
      </c>
      <c r="CU4" s="3" t="str">
        <f t="shared" si="0"/>
        <v>nVMAF</v>
      </c>
      <c r="CV4" s="3" t="str">
        <f t="shared" si="0"/>
        <v>PSNR-HVS</v>
      </c>
      <c r="CW4" s="3" t="str">
        <f t="shared" si="0"/>
        <v>DE-2K</v>
      </c>
      <c r="CX4" s="3" t="str">
        <f t="shared" si="0"/>
        <v>Y</v>
      </c>
      <c r="CY4" s="3" t="str">
        <f t="shared" si="0"/>
        <v>U</v>
      </c>
      <c r="CZ4" s="3" t="str">
        <f t="shared" si="0"/>
        <v>V</v>
      </c>
      <c r="DA4" s="3" t="str">
        <f t="shared" si="0"/>
        <v>YUV</v>
      </c>
      <c r="DB4" s="3" t="str">
        <f t="shared" si="0"/>
        <v>Enc-Time</v>
      </c>
      <c r="DC4" s="3" t="str">
        <f t="shared" si="0"/>
        <v>Dec-Time</v>
      </c>
      <c r="DD4" s="3"/>
      <c r="DE4" s="3" t="s">
        <v>3</v>
      </c>
      <c r="DF4" s="3" t="str">
        <f>Z4</f>
        <v>SSIM_Y</v>
      </c>
      <c r="DG4" s="3"/>
      <c r="DH4" s="3" t="s">
        <v>3</v>
      </c>
      <c r="DI4" s="3" t="str">
        <f>I4</f>
        <v>MS-SSIM</v>
      </c>
      <c r="DJ4" s="3"/>
      <c r="DK4" s="3" t="s">
        <v>3</v>
      </c>
      <c r="DL4" s="3" t="str">
        <f>J4</f>
        <v>VMAF</v>
      </c>
      <c r="DM4" s="3" t="s">
        <v>3</v>
      </c>
      <c r="DN4" s="3" t="str">
        <f>K4</f>
        <v>nVMAF</v>
      </c>
      <c r="DO4" s="3" t="s">
        <v>3</v>
      </c>
      <c r="DP4" s="3" t="str">
        <f>L4</f>
        <v>PSNR-HVS</v>
      </c>
      <c r="DQ4" s="3" t="s">
        <v>3</v>
      </c>
      <c r="DR4" s="3" t="str">
        <f>M4</f>
        <v>DE-2K</v>
      </c>
      <c r="DS4" s="3" t="s">
        <v>3</v>
      </c>
      <c r="DT4" s="3" t="str">
        <f>N4</f>
        <v>Y</v>
      </c>
      <c r="DU4" s="3" t="str">
        <f>N4</f>
        <v>Y</v>
      </c>
      <c r="DV4" s="3" t="str">
        <f>O4</f>
        <v>U</v>
      </c>
      <c r="DW4" s="3" t="str">
        <f>P4</f>
        <v>V</v>
      </c>
      <c r="DX4" s="3" t="str">
        <f>Q4</f>
        <v>YUV</v>
      </c>
      <c r="DY4" s="2"/>
      <c r="DZ4" s="3" t="s">
        <v>3</v>
      </c>
      <c r="EA4" s="3" t="s">
        <v>2</v>
      </c>
      <c r="EB4" s="3" t="str">
        <f t="shared" ref="EB4:EQ4" si="1">V4</f>
        <v>Y</v>
      </c>
      <c r="EC4" s="3" t="str">
        <f t="shared" si="1"/>
        <v>U</v>
      </c>
      <c r="ED4" s="3" t="str">
        <f t="shared" si="1"/>
        <v>V</v>
      </c>
      <c r="EE4" s="3" t="str">
        <f t="shared" si="1"/>
        <v>YUV</v>
      </c>
      <c r="EF4" s="3" t="str">
        <f t="shared" si="1"/>
        <v>SSIM_Y</v>
      </c>
      <c r="EG4" s="3" t="str">
        <f t="shared" si="1"/>
        <v>MS-SSIM</v>
      </c>
      <c r="EH4" s="3" t="str">
        <f t="shared" si="1"/>
        <v>VMAF</v>
      </c>
      <c r="EI4" s="3" t="str">
        <f t="shared" si="1"/>
        <v>nVMAF</v>
      </c>
      <c r="EJ4" s="3" t="str">
        <f t="shared" si="1"/>
        <v>PSNR-HVS</v>
      </c>
      <c r="EK4" s="3" t="str">
        <f t="shared" si="1"/>
        <v>DE-2K</v>
      </c>
      <c r="EL4" s="3" t="str">
        <f t="shared" si="1"/>
        <v>Y</v>
      </c>
      <c r="EM4" s="3" t="str">
        <f t="shared" si="1"/>
        <v>U</v>
      </c>
      <c r="EN4" s="3" t="str">
        <f t="shared" si="1"/>
        <v>V</v>
      </c>
      <c r="EO4" s="3" t="str">
        <f t="shared" si="1"/>
        <v>YUV</v>
      </c>
      <c r="EP4" s="3" t="str">
        <f t="shared" si="1"/>
        <v>Enc-Time</v>
      </c>
      <c r="EQ4" s="3" t="str">
        <f t="shared" si="1"/>
        <v>Dec-Time</v>
      </c>
      <c r="ER4" s="3" t="s">
        <v>3</v>
      </c>
      <c r="ES4" s="3" t="s">
        <v>1</v>
      </c>
      <c r="ET4" s="3" t="s">
        <v>3</v>
      </c>
      <c r="EU4" s="3" t="s">
        <v>1</v>
      </c>
      <c r="EV4" s="6" t="s">
        <v>3</v>
      </c>
      <c r="EW4" s="6" t="s">
        <v>0</v>
      </c>
      <c r="EX4" s="6" t="s">
        <v>3</v>
      </c>
      <c r="EY4" s="6" t="s">
        <v>39</v>
      </c>
      <c r="EZ4" s="6" t="s">
        <v>3</v>
      </c>
      <c r="FA4" s="6" t="s">
        <v>39</v>
      </c>
      <c r="FB4" s="6" t="s">
        <v>3</v>
      </c>
      <c r="FC4" s="6" t="s">
        <v>39</v>
      </c>
      <c r="FD4" s="3" t="s">
        <v>3</v>
      </c>
      <c r="FE4" s="3" t="s">
        <v>24</v>
      </c>
      <c r="FF4" s="3" t="s">
        <v>24</v>
      </c>
      <c r="FG4" s="3" t="s">
        <v>25</v>
      </c>
      <c r="FH4" s="3" t="s">
        <v>26</v>
      </c>
      <c r="FI4" s="15" t="s">
        <v>38</v>
      </c>
      <c r="FK4" s="16" t="s">
        <v>3</v>
      </c>
      <c r="FL4" s="3">
        <f>BH4</f>
        <v>0</v>
      </c>
      <c r="FM4" s="3" t="s">
        <v>3</v>
      </c>
      <c r="FN4" s="15">
        <f>BJ4</f>
        <v>0</v>
      </c>
      <c r="FP4" s="16" t="s">
        <v>3</v>
      </c>
      <c r="FQ4" s="3" t="s">
        <v>104</v>
      </c>
      <c r="FR4" s="16" t="s">
        <v>3</v>
      </c>
      <c r="FS4" s="3" t="s">
        <v>104</v>
      </c>
    </row>
    <row r="5" spans="1:175" ht="13" customHeight="1" x14ac:dyDescent="0.15">
      <c r="A5" s="249" t="s">
        <v>17</v>
      </c>
      <c r="B5" s="38">
        <v>110</v>
      </c>
      <c r="C5" s="129">
        <f>Anchor!L74</f>
        <v>0</v>
      </c>
      <c r="D5" s="129">
        <f>Anchor!M74</f>
        <v>0</v>
      </c>
      <c r="E5" s="129">
        <f>Anchor!N74</f>
        <v>0</v>
      </c>
      <c r="F5" s="129">
        <f>Anchor!O74</f>
        <v>0</v>
      </c>
      <c r="G5" s="130">
        <f>('Summary (Full)'!$B$34*D5+'Summary (Full)'!$B$35*E5+'Summary (Full)'!$B$36*F5)/'Summary (Full)'!$B$37</f>
        <v>0</v>
      </c>
      <c r="H5" s="129">
        <f>Anchor!P74</f>
        <v>0</v>
      </c>
      <c r="I5" s="129">
        <f>Anchor!Q74</f>
        <v>0</v>
      </c>
      <c r="J5" s="129">
        <f>Anchor!R74</f>
        <v>0</v>
      </c>
      <c r="K5" s="129">
        <f>Anchor!S74</f>
        <v>0</v>
      </c>
      <c r="L5" s="129">
        <f>Anchor!T74</f>
        <v>0</v>
      </c>
      <c r="M5" s="129">
        <f>Anchor!U74</f>
        <v>0</v>
      </c>
      <c r="N5" s="129">
        <f>Anchor!V74</f>
        <v>0</v>
      </c>
      <c r="O5" s="129">
        <f>Anchor!W74</f>
        <v>0</v>
      </c>
      <c r="P5" s="129">
        <f>Anchor!X74</f>
        <v>0</v>
      </c>
      <c r="Q5" s="131">
        <f>10*LOG10(1/(('Summary (Full)'!$B$41/10^(N5/10)+'Summary (Full)'!$B$42/10^(O5/10)+'Summary (Full)'!$B$43/10^(P5/10))/'Summary (Full)'!$B$44))</f>
        <v>0</v>
      </c>
      <c r="R5" s="129">
        <f>Anchor!Y74</f>
        <v>0</v>
      </c>
      <c r="S5" s="129">
        <f>Anchor!Z74</f>
        <v>0</v>
      </c>
      <c r="T5" s="132"/>
      <c r="U5" s="129">
        <f>Test!L74</f>
        <v>0</v>
      </c>
      <c r="V5" s="129">
        <f>Test!M74</f>
        <v>0</v>
      </c>
      <c r="W5" s="129">
        <f>Test!N74</f>
        <v>0</v>
      </c>
      <c r="X5" s="129">
        <f>Test!O74</f>
        <v>0</v>
      </c>
      <c r="Y5" s="129">
        <f>('Summary (Full)'!$B$34*V5+'Summary (Full)'!$B$35*W5+'Summary (Full)'!$B$36*X5)/'Summary (Full)'!$B$37</f>
        <v>0</v>
      </c>
      <c r="Z5" s="129">
        <f>Test!P74</f>
        <v>0</v>
      </c>
      <c r="AA5" s="129">
        <f>Test!Q74</f>
        <v>0</v>
      </c>
      <c r="AB5" s="129">
        <f>Test!R74</f>
        <v>0</v>
      </c>
      <c r="AC5" s="129">
        <f>Test!S74</f>
        <v>0</v>
      </c>
      <c r="AD5" s="129">
        <f>Test!T74</f>
        <v>0</v>
      </c>
      <c r="AE5" s="129">
        <f>Test!U74</f>
        <v>0</v>
      </c>
      <c r="AF5" s="129">
        <f>Test!V74</f>
        <v>0</v>
      </c>
      <c r="AG5" s="129">
        <f>Test!W74</f>
        <v>0</v>
      </c>
      <c r="AH5" s="129">
        <f>Test!X74</f>
        <v>0</v>
      </c>
      <c r="AI5" s="129">
        <f>10*LOG10(1/(('Summary (Full)'!$B$41/10^(AF5/10)+'Summary (Full)'!$B$42/10^(AG5/10)+'Summary (Full)'!$B$43/10^(AH5/10))/'Summary (Full)'!$B$44))</f>
        <v>0</v>
      </c>
      <c r="AJ5" s="129">
        <f>Test!Y74</f>
        <v>0</v>
      </c>
      <c r="AK5" s="129">
        <f>Test!Z74</f>
        <v>0</v>
      </c>
      <c r="AL5" s="129" t="e">
        <f>AJ5/R5</f>
        <v>#DIV/0!</v>
      </c>
      <c r="AM5" s="129" t="e">
        <f>AK5/S5</f>
        <v>#DIV/0!</v>
      </c>
      <c r="AO5" s="253" t="s">
        <v>27</v>
      </c>
      <c r="AP5" s="171" t="e" cm="1">
        <f t="array" ref="AP5">bdRateExtend($C5:$C8,D5:D8,$U5:$U8,V5:V8)</f>
        <v>#VALUE!</v>
      </c>
      <c r="AQ5" s="171" t="e" cm="1">
        <f t="array" ref="AQ5">bdRateExtend($C5:$C10,D5:D10,$U5:$U10,V5:V10)</f>
        <v>#VALUE!</v>
      </c>
      <c r="AR5" s="171" t="e" cm="1">
        <f t="array" ref="AR5">bdRateExtend($C5:$C10,E5:E10,$U5:$U10,W5:W10)</f>
        <v>#VALUE!</v>
      </c>
      <c r="AS5" s="171" t="e" cm="1">
        <f t="array" ref="AS5">bdRateExtend($C5:$C10,F5:F10,$U5:$U10,X5:X10)</f>
        <v>#VALUE!</v>
      </c>
      <c r="AT5" s="171" t="e" cm="1">
        <f t="array" ref="AT5">bdRateExtend($C5:$C8,H5:H8,$U5:$U8,Z5:Z8)</f>
        <v>#VALUE!</v>
      </c>
      <c r="AU5" s="171" t="e" cm="1">
        <f t="array" ref="AU5">bdRateExtend($C5:$C10,H5:H10,$U5:$U10,Z5:Z10)</f>
        <v>#VALUE!</v>
      </c>
      <c r="AV5" s="171" t="e" cm="1">
        <f t="array" ref="AV5">bdRateExtend($C5:$C8,I5:I8,$U5:$U8,AA5:AA8)</f>
        <v>#VALUE!</v>
      </c>
      <c r="AW5" s="171" t="e" cm="1">
        <f t="array" ref="AW5">bdRateExtend($C5:$C10,I5:I10,$U5:$U10,AA5:AA10)</f>
        <v>#VALUE!</v>
      </c>
      <c r="AX5" s="171" t="e" cm="1">
        <f t="array" ref="AX5">bdRateExtend($C5:$C8,J5:J8,$U5:$U8,AB5:AB8,"None", FALSE,1)</f>
        <v>#VALUE!</v>
      </c>
      <c r="AY5" s="174" t="e" cm="1">
        <f t="array" ref="AY5">bdRateExtend($C5:$C10,J5:J10,$U5:$U10,AB5:AB10,"None", FALSE,1)</f>
        <v>#VALUE!</v>
      </c>
      <c r="AZ5" s="285" cm="1">
        <f t="array" ref="AZ5">testVMAFRange($C5:$C8,J5:J8,$U5:$U8,AB5:AB8)</f>
        <v>0</v>
      </c>
      <c r="BA5" s="211" cm="1">
        <f t="array" ref="BA5">testVMAFRange($C5:$C10,J5:J10,$U5:$U10,AB5:AB10)</f>
        <v>0</v>
      </c>
      <c r="CH5" s="5"/>
      <c r="CI5" s="11" t="s">
        <v>31</v>
      </c>
      <c r="CJ5" s="10" t="e" cm="1">
        <f t="array" ref="CJ5">MIN(IF(CL1:CL201&gt;0,CL1:CL201))</f>
        <v>#VALUE!</v>
      </c>
      <c r="CK5" s="5"/>
      <c r="CL5" s="4" t="e" cm="1">
        <f t="array" ref="CL5">ConvexHullInterpolate(C5:C40,D5:D40,TRUE,6,'Summary (Full)'!B30,D5:S40)</f>
        <v>#VALUE!</v>
      </c>
      <c r="DE5" s="4" t="e" cm="1">
        <f t="array" ref="DE5">ConvexHullInterpolate(C5:C40,H5:H40,TRUE,6,'Summary (Full)'!B30)</f>
        <v>#VALUE!</v>
      </c>
      <c r="DH5" s="4" t="e" cm="1">
        <f t="array" ref="DH5">ConvexHullInterpolate($C5:$C40,I5:I40,TRUE,6,'Summary (Full)'!B30)</f>
        <v>#VALUE!</v>
      </c>
      <c r="DK5" s="4" t="e" cm="1">
        <f t="array" ref="DK5">ConvexHullInterpolate($C5:$C40,J5:J40,TRUE,6,'Summary (Full)'!B30)</f>
        <v>#VALUE!</v>
      </c>
      <c r="DM5" s="4" t="e" cm="1">
        <f t="array" ref="DM5">ConvexHullInterpolate($C5:$C40,K5:K40,TRUE,6,'Summary (Full)'!B30)</f>
        <v>#VALUE!</v>
      </c>
      <c r="DO5" s="4" t="e" cm="1">
        <f t="array" ref="DO5">ConvexHullInterpolate($C5:$C40,L5:L40,TRUE,6,'Summary (Full)'!B30)</f>
        <v>#VALUE!</v>
      </c>
      <c r="DQ5" s="4" t="e" cm="1">
        <f t="array" ref="DQ5">ConvexHullInterpolate($C5:$C40,M5:M40,TRUE,6,'Summary (Full)'!B30)</f>
        <v>#VALUE!</v>
      </c>
      <c r="DS5" s="4" t="e" cm="1">
        <f t="array" ref="DS5">ConvexHullInterpolate($C5:$C40,N5:N40,TRUE,6,'Summary (Full)'!B30, N5:Q40)</f>
        <v>#VALUE!</v>
      </c>
      <c r="DZ5" s="4" t="e" cm="1">
        <f t="array" ref="DZ5">ConvexHullInterpolate(U5:U40,V5:V40,TRUE,6,'Summary (Full)'!B30,V5:AK40)</f>
        <v>#VALUE!</v>
      </c>
      <c r="ER5" s="4" t="e" cm="1">
        <f t="array" ref="ER5">ConvexHullInterpolate($U5:$U40,Z5:Z40,TRUE,6,'Summary (Full)'!B30)</f>
        <v>#VALUE!</v>
      </c>
      <c r="ET5" s="4" t="e" cm="1">
        <f t="array" ref="ET5">ConvexHullInterpolate($U5:$U40,AA5:AA40,TRUE,6,'Summary (Full)'!B30)</f>
        <v>#VALUE!</v>
      </c>
      <c r="EV5" s="7" t="e" cm="1">
        <f t="array" ref="EV5">ConvexHullInterpolate($U5:$U40,AB5:AB40,TRUE,6,'Summary (Full)'!B30)</f>
        <v>#VALUE!</v>
      </c>
      <c r="EW5" s="7"/>
      <c r="EX5" s="7" t="e" cm="1">
        <f t="array" ref="EX5">ConvexHullInterpolate($U5:$U40,AC5:AC40,TRUE,6,'Summary (Full)'!B30)</f>
        <v>#VALUE!</v>
      </c>
      <c r="EY5" s="7"/>
      <c r="EZ5" s="7" t="e" cm="1">
        <f t="array" ref="EZ5">ConvexHullInterpolate($U5:$U40,AD5:AD40,TRUE,6,'Summary (Full)'!B30)</f>
        <v>#VALUE!</v>
      </c>
      <c r="FA5" s="7"/>
      <c r="FB5" s="7" t="e" cm="1">
        <f t="array" ref="FB5">ConvexHullInterpolate($U5:$U40,AE5:AE40,TRUE,6,'Summary (Full)'!B30)</f>
        <v>#VALUE!</v>
      </c>
      <c r="FC5" s="7"/>
      <c r="FD5" s="4" t="e" cm="1">
        <f t="array" ref="FD5">ConvexHullInterpolate($U5:$U40,AF5:AF40,TRUE,6,'Summary (Full)'!B30, AF5:AI40)</f>
        <v>#VALUE!</v>
      </c>
      <c r="FK5" s="4" t="e" cm="1">
        <f t="array" ref="FK5">ConvexHullInterpolate($C5:$C40,G5:G40,TRUE,6,'Summary (Full)'!B30)</f>
        <v>#VALUE!</v>
      </c>
      <c r="FM5" s="4" t="e" cm="1">
        <f t="array" ref="FM5">ConvexHullInterpolate($C5:$C40,Q5:Q40,TRUE,6,'Summary (Full)'!B30)</f>
        <v>#VALUE!</v>
      </c>
      <c r="FP5" s="4" t="e" cm="1">
        <f t="array" ref="FP5">ConvexHullInterpolate($U5:$U40,Y5:Y40,TRUE,6,'Summary (Full)'!B30)</f>
        <v>#VALUE!</v>
      </c>
      <c r="FR5" s="4" t="e" cm="1">
        <f t="array" ref="FR5">ConvexHullInterpolate($U5:$U40,AI5:AI40,TRUE,6,'Summary (Full)'!B30)</f>
        <v>#VALUE!</v>
      </c>
    </row>
    <row r="6" spans="1:175" x14ac:dyDescent="0.15">
      <c r="A6" s="249"/>
      <c r="B6" s="38">
        <v>135</v>
      </c>
      <c r="C6" s="129">
        <f>Anchor!L75</f>
        <v>0</v>
      </c>
      <c r="D6" s="129">
        <f>Anchor!M75</f>
        <v>0</v>
      </c>
      <c r="E6" s="129">
        <f>Anchor!N75</f>
        <v>0</v>
      </c>
      <c r="F6" s="129">
        <f>Anchor!O75</f>
        <v>0</v>
      </c>
      <c r="G6" s="130">
        <f>('Summary (Full)'!$B$34*D6+'Summary (Full)'!$B$35*E6+'Summary (Full)'!$B$36*F6)/'Summary (Full)'!$B$37</f>
        <v>0</v>
      </c>
      <c r="H6" s="129">
        <f>Anchor!P75</f>
        <v>0</v>
      </c>
      <c r="I6" s="129">
        <f>Anchor!Q75</f>
        <v>0</v>
      </c>
      <c r="J6" s="129">
        <f>Anchor!R75</f>
        <v>0</v>
      </c>
      <c r="K6" s="129">
        <f>Anchor!S75</f>
        <v>0</v>
      </c>
      <c r="L6" s="129">
        <f>Anchor!T75</f>
        <v>0</v>
      </c>
      <c r="M6" s="129">
        <f>Anchor!U75</f>
        <v>0</v>
      </c>
      <c r="N6" s="129">
        <f>Anchor!V75</f>
        <v>0</v>
      </c>
      <c r="O6" s="129">
        <f>Anchor!W75</f>
        <v>0</v>
      </c>
      <c r="P6" s="129">
        <f>Anchor!X75</f>
        <v>0</v>
      </c>
      <c r="Q6" s="131">
        <f>10*LOG10(1/(('Summary (Full)'!$B$41/10^(N6/10)+'Summary (Full)'!$B$42/10^(O6/10)+'Summary (Full)'!$B$43/10^(P6/10))/'Summary (Full)'!$B$44))</f>
        <v>0</v>
      </c>
      <c r="R6" s="129">
        <f>Anchor!Y75</f>
        <v>0</v>
      </c>
      <c r="S6" s="129">
        <f>Anchor!Z75</f>
        <v>0</v>
      </c>
      <c r="T6" s="132"/>
      <c r="U6" s="129">
        <f>Test!L75</f>
        <v>0</v>
      </c>
      <c r="V6" s="129">
        <f>Test!M75</f>
        <v>0</v>
      </c>
      <c r="W6" s="129">
        <f>Test!N75</f>
        <v>0</v>
      </c>
      <c r="X6" s="129">
        <f>Test!O75</f>
        <v>0</v>
      </c>
      <c r="Y6" s="129">
        <f>('Summary (Full)'!$B$34*V6+'Summary (Full)'!$B$35*W6+'Summary (Full)'!$B$36*X6)/'Summary (Full)'!$B$37</f>
        <v>0</v>
      </c>
      <c r="Z6" s="129">
        <f>Test!P75</f>
        <v>0</v>
      </c>
      <c r="AA6" s="129">
        <f>Test!Q75</f>
        <v>0</v>
      </c>
      <c r="AB6" s="129">
        <f>Test!R75</f>
        <v>0</v>
      </c>
      <c r="AC6" s="129">
        <f>Test!S75</f>
        <v>0</v>
      </c>
      <c r="AD6" s="129">
        <f>Test!T75</f>
        <v>0</v>
      </c>
      <c r="AE6" s="129">
        <f>Test!U75</f>
        <v>0</v>
      </c>
      <c r="AF6" s="129">
        <f>Test!V75</f>
        <v>0</v>
      </c>
      <c r="AG6" s="129">
        <f>Test!W75</f>
        <v>0</v>
      </c>
      <c r="AH6" s="129">
        <f>Test!X75</f>
        <v>0</v>
      </c>
      <c r="AI6" s="129">
        <f>10*LOG10(1/(('Summary (Full)'!$B$41/10^(AF6/10)+'Summary (Full)'!$B$42/10^(AG6/10)+'Summary (Full)'!$B$43/10^(AH6/10))/'Summary (Full)'!$B$44))</f>
        <v>0</v>
      </c>
      <c r="AJ6" s="129">
        <f>Test!Y75</f>
        <v>0</v>
      </c>
      <c r="AK6" s="129">
        <f>Test!Z75</f>
        <v>0</v>
      </c>
      <c r="AL6" s="129" t="e">
        <f t="shared" ref="AL6:AM40" si="2">AJ6/R6</f>
        <v>#DIV/0!</v>
      </c>
      <c r="AM6" s="129" t="e">
        <f t="shared" si="2"/>
        <v>#DIV/0!</v>
      </c>
      <c r="AO6" s="254"/>
      <c r="AP6" s="172"/>
      <c r="AQ6" s="172"/>
      <c r="AR6" s="172"/>
      <c r="AS6" s="172"/>
      <c r="AT6" s="172"/>
      <c r="AU6" s="172"/>
      <c r="AV6" s="172"/>
      <c r="AW6" s="172"/>
      <c r="AX6" s="172"/>
      <c r="AY6" s="175"/>
      <c r="AZ6" s="286"/>
      <c r="BA6" s="212"/>
      <c r="CH6" s="5"/>
      <c r="CI6" s="11" t="s">
        <v>32</v>
      </c>
      <c r="CJ6" s="10" t="e">
        <f>MAX(CL1:CL201)</f>
        <v>#VALUE!</v>
      </c>
      <c r="CK6" s="5"/>
      <c r="EV6" s="7"/>
      <c r="EW6" s="7"/>
      <c r="EX6" s="7"/>
      <c r="EY6" s="7"/>
      <c r="EZ6" s="7"/>
      <c r="FA6" s="7"/>
      <c r="FB6" s="7"/>
      <c r="FC6" s="7"/>
    </row>
    <row r="7" spans="1:175" ht="13" customHeight="1" x14ac:dyDescent="0.15">
      <c r="A7" s="249"/>
      <c r="B7" s="38">
        <v>160</v>
      </c>
      <c r="C7" s="129">
        <f>Anchor!L76</f>
        <v>0</v>
      </c>
      <c r="D7" s="129">
        <f>Anchor!M76</f>
        <v>0</v>
      </c>
      <c r="E7" s="129">
        <f>Anchor!N76</f>
        <v>0</v>
      </c>
      <c r="F7" s="129">
        <f>Anchor!O76</f>
        <v>0</v>
      </c>
      <c r="G7" s="130">
        <f>('Summary (Full)'!$B$34*D7+'Summary (Full)'!$B$35*E7+'Summary (Full)'!$B$36*F7)/'Summary (Full)'!$B$37</f>
        <v>0</v>
      </c>
      <c r="H7" s="129">
        <f>Anchor!P76</f>
        <v>0</v>
      </c>
      <c r="I7" s="129">
        <f>Anchor!Q76</f>
        <v>0</v>
      </c>
      <c r="J7" s="129">
        <f>Anchor!R76</f>
        <v>0</v>
      </c>
      <c r="K7" s="129">
        <f>Anchor!S76</f>
        <v>0</v>
      </c>
      <c r="L7" s="129">
        <f>Anchor!T76</f>
        <v>0</v>
      </c>
      <c r="M7" s="129">
        <f>Anchor!U76</f>
        <v>0</v>
      </c>
      <c r="N7" s="129">
        <f>Anchor!V76</f>
        <v>0</v>
      </c>
      <c r="O7" s="129">
        <f>Anchor!W76</f>
        <v>0</v>
      </c>
      <c r="P7" s="129">
        <f>Anchor!X76</f>
        <v>0</v>
      </c>
      <c r="Q7" s="131">
        <f>10*LOG10(1/(('Summary (Full)'!$B$41/10^(N7/10)+'Summary (Full)'!$B$42/10^(O7/10)+'Summary (Full)'!$B$43/10^(P7/10))/'Summary (Full)'!$B$44))</f>
        <v>0</v>
      </c>
      <c r="R7" s="129">
        <f>Anchor!Y76</f>
        <v>0</v>
      </c>
      <c r="S7" s="129">
        <f>Anchor!Z76</f>
        <v>0</v>
      </c>
      <c r="T7" s="132"/>
      <c r="U7" s="129">
        <f>Test!L76</f>
        <v>0</v>
      </c>
      <c r="V7" s="129">
        <f>Test!M76</f>
        <v>0</v>
      </c>
      <c r="W7" s="129">
        <f>Test!N76</f>
        <v>0</v>
      </c>
      <c r="X7" s="129">
        <f>Test!O76</f>
        <v>0</v>
      </c>
      <c r="Y7" s="129">
        <f>('Summary (Full)'!$B$34*V7+'Summary (Full)'!$B$35*W7+'Summary (Full)'!$B$36*X7)/'Summary (Full)'!$B$37</f>
        <v>0</v>
      </c>
      <c r="Z7" s="129">
        <f>Test!P76</f>
        <v>0</v>
      </c>
      <c r="AA7" s="129">
        <f>Test!Q76</f>
        <v>0</v>
      </c>
      <c r="AB7" s="129">
        <f>Test!R76</f>
        <v>0</v>
      </c>
      <c r="AC7" s="129">
        <f>Test!S76</f>
        <v>0</v>
      </c>
      <c r="AD7" s="129">
        <f>Test!T76</f>
        <v>0</v>
      </c>
      <c r="AE7" s="129">
        <f>Test!U76</f>
        <v>0</v>
      </c>
      <c r="AF7" s="129">
        <f>Test!V76</f>
        <v>0</v>
      </c>
      <c r="AG7" s="129">
        <f>Test!W76</f>
        <v>0</v>
      </c>
      <c r="AH7" s="129">
        <f>Test!X76</f>
        <v>0</v>
      </c>
      <c r="AI7" s="129">
        <f>10*LOG10(1/(('Summary (Full)'!$B$41/10^(AF7/10)+'Summary (Full)'!$B$42/10^(AG7/10)+'Summary (Full)'!$B$43/10^(AH7/10))/'Summary (Full)'!$B$44))</f>
        <v>0</v>
      </c>
      <c r="AJ7" s="129">
        <f>Test!Y76</f>
        <v>0</v>
      </c>
      <c r="AK7" s="129">
        <f>Test!Z76</f>
        <v>0</v>
      </c>
      <c r="AL7" s="129" t="e">
        <f t="shared" si="2"/>
        <v>#DIV/0!</v>
      </c>
      <c r="AM7" s="129" t="e">
        <f t="shared" si="2"/>
        <v>#DIV/0!</v>
      </c>
      <c r="AO7" s="254" t="s">
        <v>28</v>
      </c>
      <c r="AP7" s="172" t="e" cm="1">
        <f t="array" ref="AP7">bdRateExtend($C6:$C9,D6:D9,$U6:$U9,V6:V9)</f>
        <v>#VALUE!</v>
      </c>
      <c r="AQ7" s="172"/>
      <c r="AR7" s="172"/>
      <c r="AS7" s="172"/>
      <c r="AT7" s="172" t="e" cm="1">
        <f t="array" ref="AT7">bdRateExtend($C6:$C9,H6:H9,$U6:$U9,Z6:Z9)</f>
        <v>#VALUE!</v>
      </c>
      <c r="AU7" s="172"/>
      <c r="AV7" s="172" t="e" cm="1">
        <f t="array" ref="AV7">bdRateExtend($C6:$C9,I6:I9,$U6:$U9,AA6:AA9)</f>
        <v>#VALUE!</v>
      </c>
      <c r="AW7" s="172"/>
      <c r="AX7" s="172" t="e" cm="1">
        <f t="array" ref="AX7">bdRateExtend($C6:$C9,J6:J9,$U6:$U9,AB6:AB9,"None", FALSE,1)</f>
        <v>#VALUE!</v>
      </c>
      <c r="AY7" s="175"/>
      <c r="AZ7" s="286" cm="1">
        <f t="array" ref="AZ7">testVMAFRange($C6:$C9,J6:J9,$U6:$U9,AB6:AB9)</f>
        <v>0</v>
      </c>
      <c r="BA7" s="212"/>
      <c r="CH7" s="5"/>
      <c r="CI7" s="11" t="s">
        <v>33</v>
      </c>
      <c r="CJ7" s="10" t="e">
        <f>CJ6-CJ5</f>
        <v>#VALUE!</v>
      </c>
      <c r="CK7" s="5"/>
      <c r="EV7" s="7"/>
      <c r="EW7" s="7"/>
      <c r="EX7" s="7"/>
      <c r="EY7" s="7"/>
      <c r="EZ7" s="7"/>
      <c r="FA7" s="7"/>
      <c r="FB7" s="7"/>
      <c r="FC7" s="7"/>
    </row>
    <row r="8" spans="1:175" x14ac:dyDescent="0.15">
      <c r="A8" s="249"/>
      <c r="B8" s="38">
        <v>185</v>
      </c>
      <c r="C8" s="129">
        <f>Anchor!L77</f>
        <v>0</v>
      </c>
      <c r="D8" s="129">
        <f>Anchor!M77</f>
        <v>0</v>
      </c>
      <c r="E8" s="129">
        <f>Anchor!N77</f>
        <v>0</v>
      </c>
      <c r="F8" s="129">
        <f>Anchor!O77</f>
        <v>0</v>
      </c>
      <c r="G8" s="130">
        <f>('Summary (Full)'!$B$34*D8+'Summary (Full)'!$B$35*E8+'Summary (Full)'!$B$36*F8)/'Summary (Full)'!$B$37</f>
        <v>0</v>
      </c>
      <c r="H8" s="129">
        <f>Anchor!P77</f>
        <v>0</v>
      </c>
      <c r="I8" s="129">
        <f>Anchor!Q77</f>
        <v>0</v>
      </c>
      <c r="J8" s="129">
        <f>Anchor!R77</f>
        <v>0</v>
      </c>
      <c r="K8" s="129">
        <f>Anchor!S77</f>
        <v>0</v>
      </c>
      <c r="L8" s="129">
        <f>Anchor!T77</f>
        <v>0</v>
      </c>
      <c r="M8" s="129">
        <f>Anchor!U77</f>
        <v>0</v>
      </c>
      <c r="N8" s="129">
        <f>Anchor!V77</f>
        <v>0</v>
      </c>
      <c r="O8" s="129">
        <f>Anchor!W77</f>
        <v>0</v>
      </c>
      <c r="P8" s="129">
        <f>Anchor!X77</f>
        <v>0</v>
      </c>
      <c r="Q8" s="131">
        <f>10*LOG10(1/(('Summary (Full)'!$B$41/10^(N8/10)+'Summary (Full)'!$B$42/10^(O8/10)+'Summary (Full)'!$B$43/10^(P8/10))/'Summary (Full)'!$B$44))</f>
        <v>0</v>
      </c>
      <c r="R8" s="129">
        <f>Anchor!Y77</f>
        <v>0</v>
      </c>
      <c r="S8" s="129">
        <f>Anchor!Z77</f>
        <v>0</v>
      </c>
      <c r="T8" s="132"/>
      <c r="U8" s="129">
        <f>Test!L77</f>
        <v>0</v>
      </c>
      <c r="V8" s="129">
        <f>Test!M77</f>
        <v>0</v>
      </c>
      <c r="W8" s="129">
        <f>Test!N77</f>
        <v>0</v>
      </c>
      <c r="X8" s="129">
        <f>Test!O77</f>
        <v>0</v>
      </c>
      <c r="Y8" s="129">
        <f>('Summary (Full)'!$B$34*V8+'Summary (Full)'!$B$35*W8+'Summary (Full)'!$B$36*X8)/'Summary (Full)'!$B$37</f>
        <v>0</v>
      </c>
      <c r="Z8" s="129">
        <f>Test!P77</f>
        <v>0</v>
      </c>
      <c r="AA8" s="129">
        <f>Test!Q77</f>
        <v>0</v>
      </c>
      <c r="AB8" s="129">
        <f>Test!R77</f>
        <v>0</v>
      </c>
      <c r="AC8" s="129">
        <f>Test!S77</f>
        <v>0</v>
      </c>
      <c r="AD8" s="129">
        <f>Test!T77</f>
        <v>0</v>
      </c>
      <c r="AE8" s="129">
        <f>Test!U77</f>
        <v>0</v>
      </c>
      <c r="AF8" s="129">
        <f>Test!V77</f>
        <v>0</v>
      </c>
      <c r="AG8" s="129">
        <f>Test!W77</f>
        <v>0</v>
      </c>
      <c r="AH8" s="129">
        <f>Test!X77</f>
        <v>0</v>
      </c>
      <c r="AI8" s="129">
        <f>10*LOG10(1/(('Summary (Full)'!$B$41/10^(AF8/10)+'Summary (Full)'!$B$42/10^(AG8/10)+'Summary (Full)'!$B$43/10^(AH8/10))/'Summary (Full)'!$B$44))</f>
        <v>0</v>
      </c>
      <c r="AJ8" s="129">
        <f>Test!Y77</f>
        <v>0</v>
      </c>
      <c r="AK8" s="129">
        <f>Test!Z77</f>
        <v>0</v>
      </c>
      <c r="AL8" s="129" t="e">
        <f t="shared" si="2"/>
        <v>#DIV/0!</v>
      </c>
      <c r="AM8" s="129" t="e">
        <f t="shared" si="2"/>
        <v>#DIV/0!</v>
      </c>
      <c r="AO8" s="254"/>
      <c r="AP8" s="172"/>
      <c r="AQ8" s="172"/>
      <c r="AR8" s="172"/>
      <c r="AS8" s="172"/>
      <c r="AT8" s="172"/>
      <c r="AU8" s="172"/>
      <c r="AV8" s="172"/>
      <c r="AW8" s="172"/>
      <c r="AX8" s="172"/>
      <c r="AY8" s="175"/>
      <c r="AZ8" s="286"/>
      <c r="BA8" s="212"/>
      <c r="CH8" s="5"/>
      <c r="CI8" s="11" t="s">
        <v>34</v>
      </c>
      <c r="CJ8" s="10" t="e">
        <f>CJ7^(3/4)</f>
        <v>#VALUE!</v>
      </c>
      <c r="CK8" s="5"/>
      <c r="EV8" s="7"/>
      <c r="EW8" s="7"/>
      <c r="EX8" s="7"/>
      <c r="EY8" s="7"/>
      <c r="EZ8" s="7"/>
      <c r="FA8" s="7"/>
      <c r="FB8" s="7"/>
      <c r="FC8" s="7"/>
    </row>
    <row r="9" spans="1:175" ht="13" customHeight="1" x14ac:dyDescent="0.15">
      <c r="A9" s="249"/>
      <c r="B9" s="38">
        <v>210</v>
      </c>
      <c r="C9" s="129">
        <f>Anchor!L78</f>
        <v>0</v>
      </c>
      <c r="D9" s="129">
        <f>Anchor!M78</f>
        <v>0</v>
      </c>
      <c r="E9" s="129">
        <f>Anchor!N78</f>
        <v>0</v>
      </c>
      <c r="F9" s="129">
        <f>Anchor!O78</f>
        <v>0</v>
      </c>
      <c r="G9" s="130">
        <f>('Summary (Full)'!$B$34*D9+'Summary (Full)'!$B$35*E9+'Summary (Full)'!$B$36*F9)/'Summary (Full)'!$B$37</f>
        <v>0</v>
      </c>
      <c r="H9" s="129">
        <f>Anchor!P78</f>
        <v>0</v>
      </c>
      <c r="I9" s="129">
        <f>Anchor!Q78</f>
        <v>0</v>
      </c>
      <c r="J9" s="129">
        <f>Anchor!R78</f>
        <v>0</v>
      </c>
      <c r="K9" s="129">
        <f>Anchor!S78</f>
        <v>0</v>
      </c>
      <c r="L9" s="129">
        <f>Anchor!T78</f>
        <v>0</v>
      </c>
      <c r="M9" s="129">
        <f>Anchor!U78</f>
        <v>0</v>
      </c>
      <c r="N9" s="129">
        <f>Anchor!V78</f>
        <v>0</v>
      </c>
      <c r="O9" s="129">
        <f>Anchor!W78</f>
        <v>0</v>
      </c>
      <c r="P9" s="129">
        <f>Anchor!X78</f>
        <v>0</v>
      </c>
      <c r="Q9" s="131">
        <f>10*LOG10(1/(('Summary (Full)'!$B$41/10^(N9/10)+'Summary (Full)'!$B$42/10^(O9/10)+'Summary (Full)'!$B$43/10^(P9/10))/'Summary (Full)'!$B$44))</f>
        <v>0</v>
      </c>
      <c r="R9" s="129">
        <f>Anchor!Y78</f>
        <v>0</v>
      </c>
      <c r="S9" s="129">
        <f>Anchor!Z78</f>
        <v>0</v>
      </c>
      <c r="T9" s="132"/>
      <c r="U9" s="129">
        <f>Test!L78</f>
        <v>0</v>
      </c>
      <c r="V9" s="129">
        <f>Test!M78</f>
        <v>0</v>
      </c>
      <c r="W9" s="129">
        <f>Test!N78</f>
        <v>0</v>
      </c>
      <c r="X9" s="129">
        <f>Test!O78</f>
        <v>0</v>
      </c>
      <c r="Y9" s="129">
        <f>('Summary (Full)'!$B$34*V9+'Summary (Full)'!$B$35*W9+'Summary (Full)'!$B$36*X9)/'Summary (Full)'!$B$37</f>
        <v>0</v>
      </c>
      <c r="Z9" s="129">
        <f>Test!P78</f>
        <v>0</v>
      </c>
      <c r="AA9" s="129">
        <f>Test!Q78</f>
        <v>0</v>
      </c>
      <c r="AB9" s="129">
        <f>Test!R78</f>
        <v>0</v>
      </c>
      <c r="AC9" s="129">
        <f>Test!S78</f>
        <v>0</v>
      </c>
      <c r="AD9" s="129">
        <f>Test!T78</f>
        <v>0</v>
      </c>
      <c r="AE9" s="129">
        <f>Test!U78</f>
        <v>0</v>
      </c>
      <c r="AF9" s="129">
        <f>Test!V78</f>
        <v>0</v>
      </c>
      <c r="AG9" s="129">
        <f>Test!W78</f>
        <v>0</v>
      </c>
      <c r="AH9" s="129">
        <f>Test!X78</f>
        <v>0</v>
      </c>
      <c r="AI9" s="129">
        <f>10*LOG10(1/(('Summary (Full)'!$B$41/10^(AF9/10)+'Summary (Full)'!$B$42/10^(AG9/10)+'Summary (Full)'!$B$43/10^(AH9/10))/'Summary (Full)'!$B$44))</f>
        <v>0</v>
      </c>
      <c r="AJ9" s="129">
        <f>Test!Y78</f>
        <v>0</v>
      </c>
      <c r="AK9" s="129">
        <f>Test!Z78</f>
        <v>0</v>
      </c>
      <c r="AL9" s="129" t="e">
        <f t="shared" si="2"/>
        <v>#DIV/0!</v>
      </c>
      <c r="AM9" s="129" t="e">
        <f t="shared" si="2"/>
        <v>#DIV/0!</v>
      </c>
      <c r="AO9" s="254" t="s">
        <v>29</v>
      </c>
      <c r="AP9" s="172" t="e" cm="1">
        <f t="array" ref="AP9">bdRateExtend($C7:$C10,D7:D10,$U7:$U10,V7:V10)</f>
        <v>#VALUE!</v>
      </c>
      <c r="AQ9" s="172"/>
      <c r="AR9" s="172"/>
      <c r="AS9" s="172"/>
      <c r="AT9" s="172" t="e" cm="1">
        <f t="array" ref="AT9">bdRateExtend($C7:$C10,H7:H10,$U7:$U10,Z7:Z10)</f>
        <v>#VALUE!</v>
      </c>
      <c r="AU9" s="172"/>
      <c r="AV9" s="172" t="e" cm="1">
        <f t="array" ref="AV9">bdRateExtend($C7:$C10,I7:I10,$U7:$U10,AA7:AA10)</f>
        <v>#VALUE!</v>
      </c>
      <c r="AW9" s="172"/>
      <c r="AX9" s="172" t="e" cm="1">
        <f t="array" ref="AX9">bdRateExtend($C7:$C10,J7:J10,$U7:$U10,AB7:AB10,"None", FALSE,1)</f>
        <v>#VALUE!</v>
      </c>
      <c r="AY9" s="175"/>
      <c r="AZ9" s="286" cm="1">
        <f t="array" ref="AZ9">testVMAFRange($C7:$C10,J7:J10,$U7:$U10,AB7:AB10)</f>
        <v>0</v>
      </c>
      <c r="BA9" s="212"/>
      <c r="CH9" s="5"/>
      <c r="CI9" s="11" t="s">
        <v>35</v>
      </c>
      <c r="CJ9" s="10" t="e">
        <f>CJ7^(1/2)</f>
        <v>#VALUE!</v>
      </c>
      <c r="CK9" s="5"/>
      <c r="EV9" s="7"/>
      <c r="EW9" s="7"/>
      <c r="EX9" s="7"/>
      <c r="EY9" s="7"/>
      <c r="EZ9" s="7"/>
      <c r="FA9" s="7"/>
      <c r="FB9" s="7"/>
      <c r="FC9" s="7"/>
    </row>
    <row r="10" spans="1:175" ht="14" thickBot="1" x14ac:dyDescent="0.2">
      <c r="A10" s="249"/>
      <c r="B10" s="38">
        <v>235</v>
      </c>
      <c r="C10" s="129">
        <f>Anchor!L79</f>
        <v>0</v>
      </c>
      <c r="D10" s="129">
        <f>Anchor!M79</f>
        <v>0</v>
      </c>
      <c r="E10" s="129">
        <f>Anchor!N79</f>
        <v>0</v>
      </c>
      <c r="F10" s="129">
        <f>Anchor!O79</f>
        <v>0</v>
      </c>
      <c r="G10" s="130">
        <f>('Summary (Full)'!$B$34*D10+'Summary (Full)'!$B$35*E10+'Summary (Full)'!$B$36*F10)/'Summary (Full)'!$B$37</f>
        <v>0</v>
      </c>
      <c r="H10" s="129">
        <f>Anchor!P79</f>
        <v>0</v>
      </c>
      <c r="I10" s="129">
        <f>Anchor!Q79</f>
        <v>0</v>
      </c>
      <c r="J10" s="129">
        <f>Anchor!R79</f>
        <v>0</v>
      </c>
      <c r="K10" s="129">
        <f>Anchor!S79</f>
        <v>0</v>
      </c>
      <c r="L10" s="129">
        <f>Anchor!T79</f>
        <v>0</v>
      </c>
      <c r="M10" s="129">
        <f>Anchor!U79</f>
        <v>0</v>
      </c>
      <c r="N10" s="129">
        <f>Anchor!V79</f>
        <v>0</v>
      </c>
      <c r="O10" s="129">
        <f>Anchor!W79</f>
        <v>0</v>
      </c>
      <c r="P10" s="129">
        <f>Anchor!X79</f>
        <v>0</v>
      </c>
      <c r="Q10" s="131">
        <f>10*LOG10(1/(('Summary (Full)'!$B$41/10^(N10/10)+'Summary (Full)'!$B$42/10^(O10/10)+'Summary (Full)'!$B$43/10^(P10/10))/'Summary (Full)'!$B$44))</f>
        <v>0</v>
      </c>
      <c r="R10" s="129">
        <f>Anchor!Y79</f>
        <v>0</v>
      </c>
      <c r="S10" s="129">
        <f>Anchor!Z79</f>
        <v>0</v>
      </c>
      <c r="T10" s="132"/>
      <c r="U10" s="129">
        <f>Test!L79</f>
        <v>0</v>
      </c>
      <c r="V10" s="129">
        <f>Test!M79</f>
        <v>0</v>
      </c>
      <c r="W10" s="129">
        <f>Test!N79</f>
        <v>0</v>
      </c>
      <c r="X10" s="129">
        <f>Test!O79</f>
        <v>0</v>
      </c>
      <c r="Y10" s="129">
        <f>('Summary (Full)'!$B$34*V10+'Summary (Full)'!$B$35*W10+'Summary (Full)'!$B$36*X10)/'Summary (Full)'!$B$37</f>
        <v>0</v>
      </c>
      <c r="Z10" s="129">
        <f>Test!P79</f>
        <v>0</v>
      </c>
      <c r="AA10" s="129">
        <f>Test!Q79</f>
        <v>0</v>
      </c>
      <c r="AB10" s="129">
        <f>Test!R79</f>
        <v>0</v>
      </c>
      <c r="AC10" s="129">
        <f>Test!S79</f>
        <v>0</v>
      </c>
      <c r="AD10" s="129">
        <f>Test!T79</f>
        <v>0</v>
      </c>
      <c r="AE10" s="129">
        <f>Test!U79</f>
        <v>0</v>
      </c>
      <c r="AF10" s="129">
        <f>Test!V79</f>
        <v>0</v>
      </c>
      <c r="AG10" s="129">
        <f>Test!W79</f>
        <v>0</v>
      </c>
      <c r="AH10" s="129">
        <f>Test!X79</f>
        <v>0</v>
      </c>
      <c r="AI10" s="129">
        <f>10*LOG10(1/(('Summary (Full)'!$B$41/10^(AF10/10)+'Summary (Full)'!$B$42/10^(AG10/10)+'Summary (Full)'!$B$43/10^(AH10/10))/'Summary (Full)'!$B$44))</f>
        <v>0</v>
      </c>
      <c r="AJ10" s="129">
        <f>Test!Y79</f>
        <v>0</v>
      </c>
      <c r="AK10" s="129">
        <f>Test!Z79</f>
        <v>0</v>
      </c>
      <c r="AL10" s="129" t="e">
        <f t="shared" si="2"/>
        <v>#DIV/0!</v>
      </c>
      <c r="AM10" s="129" t="e">
        <f t="shared" si="2"/>
        <v>#DIV/0!</v>
      </c>
      <c r="AO10" s="263"/>
      <c r="AP10" s="173"/>
      <c r="AQ10" s="173"/>
      <c r="AR10" s="173"/>
      <c r="AS10" s="173"/>
      <c r="AT10" s="173"/>
      <c r="AU10" s="173"/>
      <c r="AV10" s="173"/>
      <c r="AW10" s="173"/>
      <c r="AX10" s="173"/>
      <c r="AY10" s="188"/>
      <c r="AZ10" s="287"/>
      <c r="BA10" s="240"/>
      <c r="CH10" s="5"/>
      <c r="CI10" s="11" t="s">
        <v>36</v>
      </c>
      <c r="CJ10" s="10" t="e">
        <f>CJ5+CJ9</f>
        <v>#VALUE!</v>
      </c>
      <c r="CK10" s="5"/>
      <c r="EV10" s="7"/>
      <c r="EW10" s="7"/>
      <c r="EX10" s="7"/>
      <c r="EY10" s="7"/>
      <c r="EZ10" s="7"/>
      <c r="FA10" s="7"/>
      <c r="FB10" s="7"/>
      <c r="FC10" s="7"/>
    </row>
    <row r="11" spans="1:175" ht="13" customHeight="1" x14ac:dyDescent="0.15">
      <c r="A11" s="249" t="s">
        <v>18</v>
      </c>
      <c r="B11" s="38">
        <v>110</v>
      </c>
      <c r="C11" s="129">
        <f>Anchor!L80</f>
        <v>0</v>
      </c>
      <c r="D11" s="129">
        <f>Anchor!M80</f>
        <v>0</v>
      </c>
      <c r="E11" s="129">
        <f>Anchor!N80</f>
        <v>0</v>
      </c>
      <c r="F11" s="129">
        <f>Anchor!O80</f>
        <v>0</v>
      </c>
      <c r="G11" s="130">
        <f>('Summary (Full)'!$B$34*D11+'Summary (Full)'!$B$35*E11+'Summary (Full)'!$B$36*F11)/'Summary (Full)'!$B$37</f>
        <v>0</v>
      </c>
      <c r="H11" s="129">
        <f>Anchor!P80</f>
        <v>0</v>
      </c>
      <c r="I11" s="129">
        <f>Anchor!Q80</f>
        <v>0</v>
      </c>
      <c r="J11" s="129">
        <f>Anchor!R80</f>
        <v>0</v>
      </c>
      <c r="K11" s="129">
        <f>Anchor!S80</f>
        <v>0</v>
      </c>
      <c r="L11" s="129">
        <f>Anchor!T80</f>
        <v>0</v>
      </c>
      <c r="M11" s="129">
        <f>Anchor!U80</f>
        <v>0</v>
      </c>
      <c r="N11" s="129">
        <f>Anchor!V80</f>
        <v>0</v>
      </c>
      <c r="O11" s="129">
        <f>Anchor!W80</f>
        <v>0</v>
      </c>
      <c r="P11" s="129">
        <f>Anchor!X80</f>
        <v>0</v>
      </c>
      <c r="Q11" s="131">
        <f>10*LOG10(1/(('Summary (Full)'!$B$41/10^(N11/10)+'Summary (Full)'!$B$42/10^(O11/10)+'Summary (Full)'!$B$43/10^(P11/10))/'Summary (Full)'!$B$44))</f>
        <v>0</v>
      </c>
      <c r="R11" s="129">
        <f>Anchor!Y80</f>
        <v>0</v>
      </c>
      <c r="S11" s="129">
        <f>Anchor!Z80</f>
        <v>0</v>
      </c>
      <c r="T11" s="132"/>
      <c r="U11" s="129">
        <f>Test!L80</f>
        <v>0</v>
      </c>
      <c r="V11" s="129">
        <f>Test!M80</f>
        <v>0</v>
      </c>
      <c r="W11" s="129">
        <f>Test!N80</f>
        <v>0</v>
      </c>
      <c r="X11" s="129">
        <f>Test!O80</f>
        <v>0</v>
      </c>
      <c r="Y11" s="129">
        <f>('Summary (Full)'!$B$34*V11+'Summary (Full)'!$B$35*W11+'Summary (Full)'!$B$36*X11)/'Summary (Full)'!$B$37</f>
        <v>0</v>
      </c>
      <c r="Z11" s="129">
        <f>Test!P80</f>
        <v>0</v>
      </c>
      <c r="AA11" s="129">
        <f>Test!Q80</f>
        <v>0</v>
      </c>
      <c r="AB11" s="129">
        <f>Test!R80</f>
        <v>0</v>
      </c>
      <c r="AC11" s="129">
        <f>Test!S80</f>
        <v>0</v>
      </c>
      <c r="AD11" s="129">
        <f>Test!T80</f>
        <v>0</v>
      </c>
      <c r="AE11" s="129">
        <f>Test!U80</f>
        <v>0</v>
      </c>
      <c r="AF11" s="129">
        <f>Test!V80</f>
        <v>0</v>
      </c>
      <c r="AG11" s="129">
        <f>Test!W80</f>
        <v>0</v>
      </c>
      <c r="AH11" s="129">
        <f>Test!X80</f>
        <v>0</v>
      </c>
      <c r="AI11" s="129">
        <f>10*LOG10(1/(('Summary (Full)'!$B$41/10^(AF11/10)+'Summary (Full)'!$B$42/10^(AG11/10)+'Summary (Full)'!$B$43/10^(AH11/10))/'Summary (Full)'!$B$44))</f>
        <v>0</v>
      </c>
      <c r="AJ11" s="129">
        <f>Test!Y80</f>
        <v>0</v>
      </c>
      <c r="AK11" s="129">
        <f>Test!Z80</f>
        <v>0</v>
      </c>
      <c r="AL11" s="129" t="e">
        <f t="shared" si="2"/>
        <v>#DIV/0!</v>
      </c>
      <c r="AM11" s="129" t="e">
        <f t="shared" si="2"/>
        <v>#DIV/0!</v>
      </c>
      <c r="AO11" s="253" t="s">
        <v>27</v>
      </c>
      <c r="AP11" s="171" t="e" cm="1">
        <f t="array" ref="AP11">bdRateExtend($C11:$C14,D11:D14,$U11:$U14,V11:V14)</f>
        <v>#VALUE!</v>
      </c>
      <c r="AQ11" s="171" t="e" cm="1">
        <f t="array" ref="AQ11">bdRateExtend($C11:$C16,D11:D16,$U11:$U16,V11:V16)</f>
        <v>#VALUE!</v>
      </c>
      <c r="AR11" s="171" t="e" cm="1">
        <f t="array" ref="AR11">bdRateExtend($C11:$C16,E11:E16,$U11:$U16,W11:W16)</f>
        <v>#VALUE!</v>
      </c>
      <c r="AS11" s="171" t="e" cm="1">
        <f t="array" ref="AS11">bdRateExtend($C11:$C16,F11:F16,$U11:$U16,X11:X16)</f>
        <v>#VALUE!</v>
      </c>
      <c r="AT11" s="171" t="e" cm="1">
        <f t="array" ref="AT11">bdRateExtend($C11:$C14,H11:H14,$U11:$U14,Z11:Z14)</f>
        <v>#VALUE!</v>
      </c>
      <c r="AU11" s="171" t="e" cm="1">
        <f t="array" ref="AU11">bdRateExtend($C11:$C16,H11:H16,$U11:$U16,Z11:Z16)</f>
        <v>#VALUE!</v>
      </c>
      <c r="AV11" s="171" t="e" cm="1">
        <f t="array" ref="AV11">bdRateExtend($C11:$C14,I11:I14,$U11:$U14,AA11:AA14)</f>
        <v>#VALUE!</v>
      </c>
      <c r="AW11" s="171" t="e" cm="1">
        <f t="array" ref="AW11">bdRateExtend($C11:$C16,I11:I16,$U11:$U16,AA11:AA16)</f>
        <v>#VALUE!</v>
      </c>
      <c r="AX11" s="171" t="e" cm="1">
        <f t="array" ref="AX11">bdRateExtend($C11:$C14,J11:J14,$U11:$U14,AB11:AB14,"None", FALSE,1)</f>
        <v>#VALUE!</v>
      </c>
      <c r="AY11" s="174" t="e" cm="1">
        <f t="array" ref="AY11">bdRateExtend($C11:$C16,J11:J16,$U11:$U16,AB11:AB16,"None", FALSE,TRUE)</f>
        <v>#VALUE!</v>
      </c>
      <c r="AZ11" s="285" cm="1">
        <f t="array" ref="AZ11">testVMAFRange($C11:$C14,J11:J14,$U11:$U14,AB11:AB14)</f>
        <v>0</v>
      </c>
      <c r="BA11" s="211" cm="1">
        <f t="array" ref="BA11">testVMAFRange($C11:$C16,J11:J16,$U11:$U16,AB11:AB16)</f>
        <v>0</v>
      </c>
      <c r="CI11" s="11" t="s">
        <v>37</v>
      </c>
      <c r="CJ11" s="10" t="e">
        <f>CJ5+CJ8</f>
        <v>#VALUE!</v>
      </c>
      <c r="EV11" s="7"/>
      <c r="EW11" s="7"/>
      <c r="EX11" s="7"/>
      <c r="EY11" s="7"/>
      <c r="EZ11" s="7"/>
      <c r="FA11" s="7"/>
      <c r="FB11" s="7"/>
      <c r="FC11" s="7"/>
    </row>
    <row r="12" spans="1:175" x14ac:dyDescent="0.15">
      <c r="A12" s="249"/>
      <c r="B12" s="38">
        <v>135</v>
      </c>
      <c r="C12" s="129">
        <f>Anchor!L81</f>
        <v>0</v>
      </c>
      <c r="D12" s="129">
        <f>Anchor!M81</f>
        <v>0</v>
      </c>
      <c r="E12" s="129">
        <f>Anchor!N81</f>
        <v>0</v>
      </c>
      <c r="F12" s="129">
        <f>Anchor!O81</f>
        <v>0</v>
      </c>
      <c r="G12" s="130">
        <f>('Summary (Full)'!$B$34*D12+'Summary (Full)'!$B$35*E12+'Summary (Full)'!$B$36*F12)/'Summary (Full)'!$B$37</f>
        <v>0</v>
      </c>
      <c r="H12" s="129">
        <f>Anchor!P81</f>
        <v>0</v>
      </c>
      <c r="I12" s="129">
        <f>Anchor!Q81</f>
        <v>0</v>
      </c>
      <c r="J12" s="129">
        <f>Anchor!R81</f>
        <v>0</v>
      </c>
      <c r="K12" s="129">
        <f>Anchor!S81</f>
        <v>0</v>
      </c>
      <c r="L12" s="129">
        <f>Anchor!T81</f>
        <v>0</v>
      </c>
      <c r="M12" s="129">
        <f>Anchor!U81</f>
        <v>0</v>
      </c>
      <c r="N12" s="129">
        <f>Anchor!V81</f>
        <v>0</v>
      </c>
      <c r="O12" s="129">
        <f>Anchor!W81</f>
        <v>0</v>
      </c>
      <c r="P12" s="129">
        <f>Anchor!X81</f>
        <v>0</v>
      </c>
      <c r="Q12" s="131">
        <f>10*LOG10(1/(('Summary (Full)'!$B$41/10^(N12/10)+'Summary (Full)'!$B$42/10^(O12/10)+'Summary (Full)'!$B$43/10^(P12/10))/'Summary (Full)'!$B$44))</f>
        <v>0</v>
      </c>
      <c r="R12" s="129">
        <f>Anchor!Y81</f>
        <v>0</v>
      </c>
      <c r="S12" s="129">
        <f>Anchor!Z81</f>
        <v>0</v>
      </c>
      <c r="T12" s="132"/>
      <c r="U12" s="129">
        <f>Test!L81</f>
        <v>0</v>
      </c>
      <c r="V12" s="129">
        <f>Test!M81</f>
        <v>0</v>
      </c>
      <c r="W12" s="129">
        <f>Test!N81</f>
        <v>0</v>
      </c>
      <c r="X12" s="129">
        <f>Test!O81</f>
        <v>0</v>
      </c>
      <c r="Y12" s="129">
        <f>('Summary (Full)'!$B$34*V12+'Summary (Full)'!$B$35*W12+'Summary (Full)'!$B$36*X12)/'Summary (Full)'!$B$37</f>
        <v>0</v>
      </c>
      <c r="Z12" s="129">
        <f>Test!P81</f>
        <v>0</v>
      </c>
      <c r="AA12" s="129">
        <f>Test!Q81</f>
        <v>0</v>
      </c>
      <c r="AB12" s="129">
        <f>Test!R81</f>
        <v>0</v>
      </c>
      <c r="AC12" s="129">
        <f>Test!S81</f>
        <v>0</v>
      </c>
      <c r="AD12" s="129">
        <f>Test!T81</f>
        <v>0</v>
      </c>
      <c r="AE12" s="129">
        <f>Test!U81</f>
        <v>0</v>
      </c>
      <c r="AF12" s="129">
        <f>Test!V81</f>
        <v>0</v>
      </c>
      <c r="AG12" s="129">
        <f>Test!W81</f>
        <v>0</v>
      </c>
      <c r="AH12" s="129">
        <f>Test!X81</f>
        <v>0</v>
      </c>
      <c r="AI12" s="129">
        <f>10*LOG10(1/(('Summary (Full)'!$B$41/10^(AF12/10)+'Summary (Full)'!$B$42/10^(AG12/10)+'Summary (Full)'!$B$43/10^(AH12/10))/'Summary (Full)'!$B$44))</f>
        <v>0</v>
      </c>
      <c r="AJ12" s="129">
        <f>Test!Y81</f>
        <v>0</v>
      </c>
      <c r="AK12" s="129">
        <f>Test!Z81</f>
        <v>0</v>
      </c>
      <c r="AL12" s="129" t="e">
        <f t="shared" si="2"/>
        <v>#DIV/0!</v>
      </c>
      <c r="AM12" s="129" t="e">
        <f t="shared" si="2"/>
        <v>#DIV/0!</v>
      </c>
      <c r="AO12" s="254"/>
      <c r="AP12" s="172"/>
      <c r="AQ12" s="172"/>
      <c r="AR12" s="172"/>
      <c r="AS12" s="172"/>
      <c r="AT12" s="172"/>
      <c r="AU12" s="172"/>
      <c r="AV12" s="172"/>
      <c r="AW12" s="172"/>
      <c r="AX12" s="172"/>
      <c r="AY12" s="175"/>
      <c r="AZ12" s="286"/>
      <c r="BA12" s="212"/>
      <c r="EV12" s="7"/>
      <c r="EW12" s="7"/>
      <c r="EX12" s="7"/>
      <c r="EY12" s="7"/>
      <c r="EZ12" s="7"/>
      <c r="FA12" s="7"/>
      <c r="FB12" s="7"/>
      <c r="FC12" s="7"/>
    </row>
    <row r="13" spans="1:175" ht="13" customHeight="1" x14ac:dyDescent="0.15">
      <c r="A13" s="249"/>
      <c r="B13" s="38">
        <v>160</v>
      </c>
      <c r="C13" s="129">
        <f>Anchor!L82</f>
        <v>0</v>
      </c>
      <c r="D13" s="129">
        <f>Anchor!M82</f>
        <v>0</v>
      </c>
      <c r="E13" s="129">
        <f>Anchor!N82</f>
        <v>0</v>
      </c>
      <c r="F13" s="129">
        <f>Anchor!O82</f>
        <v>0</v>
      </c>
      <c r="G13" s="130">
        <f>('Summary (Full)'!$B$34*D13+'Summary (Full)'!$B$35*E13+'Summary (Full)'!$B$36*F13)/'Summary (Full)'!$B$37</f>
        <v>0</v>
      </c>
      <c r="H13" s="129">
        <f>Anchor!P82</f>
        <v>0</v>
      </c>
      <c r="I13" s="129">
        <f>Anchor!Q82</f>
        <v>0</v>
      </c>
      <c r="J13" s="129">
        <f>Anchor!R82</f>
        <v>0</v>
      </c>
      <c r="K13" s="129">
        <f>Anchor!S82</f>
        <v>0</v>
      </c>
      <c r="L13" s="129">
        <f>Anchor!T82</f>
        <v>0</v>
      </c>
      <c r="M13" s="129">
        <f>Anchor!U82</f>
        <v>0</v>
      </c>
      <c r="N13" s="129">
        <f>Anchor!V82</f>
        <v>0</v>
      </c>
      <c r="O13" s="129">
        <f>Anchor!W82</f>
        <v>0</v>
      </c>
      <c r="P13" s="129">
        <f>Anchor!X82</f>
        <v>0</v>
      </c>
      <c r="Q13" s="131">
        <f>10*LOG10(1/(('Summary (Full)'!$B$41/10^(N13/10)+'Summary (Full)'!$B$42/10^(O13/10)+'Summary (Full)'!$B$43/10^(P13/10))/'Summary (Full)'!$B$44))</f>
        <v>0</v>
      </c>
      <c r="R13" s="129">
        <f>Anchor!Y82</f>
        <v>0</v>
      </c>
      <c r="S13" s="129">
        <f>Anchor!Z82</f>
        <v>0</v>
      </c>
      <c r="T13" s="132"/>
      <c r="U13" s="129">
        <f>Test!L82</f>
        <v>0</v>
      </c>
      <c r="V13" s="129">
        <f>Test!M82</f>
        <v>0</v>
      </c>
      <c r="W13" s="129">
        <f>Test!N82</f>
        <v>0</v>
      </c>
      <c r="X13" s="129">
        <f>Test!O82</f>
        <v>0</v>
      </c>
      <c r="Y13" s="129">
        <f>('Summary (Full)'!$B$34*V13+'Summary (Full)'!$B$35*W13+'Summary (Full)'!$B$36*X13)/'Summary (Full)'!$B$37</f>
        <v>0</v>
      </c>
      <c r="Z13" s="129">
        <f>Test!P82</f>
        <v>0</v>
      </c>
      <c r="AA13" s="129">
        <f>Test!Q82</f>
        <v>0</v>
      </c>
      <c r="AB13" s="129">
        <f>Test!R82</f>
        <v>0</v>
      </c>
      <c r="AC13" s="129">
        <f>Test!S82</f>
        <v>0</v>
      </c>
      <c r="AD13" s="129">
        <f>Test!T82</f>
        <v>0</v>
      </c>
      <c r="AE13" s="129">
        <f>Test!U82</f>
        <v>0</v>
      </c>
      <c r="AF13" s="129">
        <f>Test!V82</f>
        <v>0</v>
      </c>
      <c r="AG13" s="129">
        <f>Test!W82</f>
        <v>0</v>
      </c>
      <c r="AH13" s="129">
        <f>Test!X82</f>
        <v>0</v>
      </c>
      <c r="AI13" s="129">
        <f>10*LOG10(1/(('Summary (Full)'!$B$41/10^(AF13/10)+'Summary (Full)'!$B$42/10^(AG13/10)+'Summary (Full)'!$B$43/10^(AH13/10))/'Summary (Full)'!$B$44))</f>
        <v>0</v>
      </c>
      <c r="AJ13" s="129">
        <f>Test!Y82</f>
        <v>0</v>
      </c>
      <c r="AK13" s="129">
        <f>Test!Z82</f>
        <v>0</v>
      </c>
      <c r="AL13" s="129" t="e">
        <f t="shared" si="2"/>
        <v>#DIV/0!</v>
      </c>
      <c r="AM13" s="129" t="e">
        <f t="shared" si="2"/>
        <v>#DIV/0!</v>
      </c>
      <c r="AO13" s="254" t="s">
        <v>28</v>
      </c>
      <c r="AP13" s="172" t="e" cm="1">
        <f t="array" ref="AP13">bdRateExtend($C12:$C15,D12:D15,$U12:$U15,V12:V15)</f>
        <v>#VALUE!</v>
      </c>
      <c r="AQ13" s="172"/>
      <c r="AR13" s="172"/>
      <c r="AS13" s="172"/>
      <c r="AT13" s="172" t="e" cm="1">
        <f t="array" ref="AT13">bdRateExtend($C12:$C15,H12:H15,$U12:$U15,Z12:Z15)</f>
        <v>#VALUE!</v>
      </c>
      <c r="AU13" s="172"/>
      <c r="AV13" s="172" t="e" cm="1">
        <f t="array" ref="AV13">bdRateExtend($C12:$C15,I12:I15,$U12:$U15,AA12:AA15)</f>
        <v>#VALUE!</v>
      </c>
      <c r="AW13" s="172"/>
      <c r="AX13" s="172" t="e" cm="1">
        <f t="array" ref="AX13">bdRateExtend($C12:$C15,J12:J15,$U12:$U15,AB12:AB15,"None", FALSE,1)</f>
        <v>#VALUE!</v>
      </c>
      <c r="AY13" s="175"/>
      <c r="AZ13" s="286" cm="1">
        <f t="array" ref="AZ13">testVMAFRange($C12:$C15,J12:J15,$U12:$U15,AB12:AB15)</f>
        <v>0</v>
      </c>
      <c r="BA13" s="212"/>
      <c r="EV13" s="7"/>
      <c r="EW13" s="7"/>
      <c r="EX13" s="7"/>
      <c r="EY13" s="7"/>
      <c r="EZ13" s="7"/>
      <c r="FA13" s="7"/>
      <c r="FB13" s="7"/>
      <c r="FC13" s="7"/>
    </row>
    <row r="14" spans="1:175" x14ac:dyDescent="0.15">
      <c r="A14" s="249"/>
      <c r="B14" s="38">
        <v>185</v>
      </c>
      <c r="C14" s="129">
        <f>Anchor!L83</f>
        <v>0</v>
      </c>
      <c r="D14" s="129">
        <f>Anchor!M83</f>
        <v>0</v>
      </c>
      <c r="E14" s="129">
        <f>Anchor!N83</f>
        <v>0</v>
      </c>
      <c r="F14" s="129">
        <f>Anchor!O83</f>
        <v>0</v>
      </c>
      <c r="G14" s="130">
        <f>('Summary (Full)'!$B$34*D14+'Summary (Full)'!$B$35*E14+'Summary (Full)'!$B$36*F14)/'Summary (Full)'!$B$37</f>
        <v>0</v>
      </c>
      <c r="H14" s="129">
        <f>Anchor!P83</f>
        <v>0</v>
      </c>
      <c r="I14" s="129">
        <f>Anchor!Q83</f>
        <v>0</v>
      </c>
      <c r="J14" s="129">
        <f>Anchor!R83</f>
        <v>0</v>
      </c>
      <c r="K14" s="129">
        <f>Anchor!S83</f>
        <v>0</v>
      </c>
      <c r="L14" s="129">
        <f>Anchor!T83</f>
        <v>0</v>
      </c>
      <c r="M14" s="129">
        <f>Anchor!U83</f>
        <v>0</v>
      </c>
      <c r="N14" s="129">
        <f>Anchor!V83</f>
        <v>0</v>
      </c>
      <c r="O14" s="129">
        <f>Anchor!W83</f>
        <v>0</v>
      </c>
      <c r="P14" s="129">
        <f>Anchor!X83</f>
        <v>0</v>
      </c>
      <c r="Q14" s="131">
        <f>10*LOG10(1/(('Summary (Full)'!$B$41/10^(N14/10)+'Summary (Full)'!$B$42/10^(O14/10)+'Summary (Full)'!$B$43/10^(P14/10))/'Summary (Full)'!$B$44))</f>
        <v>0</v>
      </c>
      <c r="R14" s="129">
        <f>Anchor!Y83</f>
        <v>0</v>
      </c>
      <c r="S14" s="129">
        <f>Anchor!Z83</f>
        <v>0</v>
      </c>
      <c r="T14" s="132"/>
      <c r="U14" s="129">
        <f>Test!L83</f>
        <v>0</v>
      </c>
      <c r="V14" s="129">
        <f>Test!M83</f>
        <v>0</v>
      </c>
      <c r="W14" s="129">
        <f>Test!N83</f>
        <v>0</v>
      </c>
      <c r="X14" s="129">
        <f>Test!O83</f>
        <v>0</v>
      </c>
      <c r="Y14" s="129">
        <f>('Summary (Full)'!$B$34*V14+'Summary (Full)'!$B$35*W14+'Summary (Full)'!$B$36*X14)/'Summary (Full)'!$B$37</f>
        <v>0</v>
      </c>
      <c r="Z14" s="129">
        <f>Test!P83</f>
        <v>0</v>
      </c>
      <c r="AA14" s="129">
        <f>Test!Q83</f>
        <v>0</v>
      </c>
      <c r="AB14" s="129">
        <f>Test!R83</f>
        <v>0</v>
      </c>
      <c r="AC14" s="129">
        <f>Test!S83</f>
        <v>0</v>
      </c>
      <c r="AD14" s="129">
        <f>Test!T83</f>
        <v>0</v>
      </c>
      <c r="AE14" s="129">
        <f>Test!U83</f>
        <v>0</v>
      </c>
      <c r="AF14" s="129">
        <f>Test!V83</f>
        <v>0</v>
      </c>
      <c r="AG14" s="129">
        <f>Test!W83</f>
        <v>0</v>
      </c>
      <c r="AH14" s="129">
        <f>Test!X83</f>
        <v>0</v>
      </c>
      <c r="AI14" s="129">
        <f>10*LOG10(1/(('Summary (Full)'!$B$41/10^(AF14/10)+'Summary (Full)'!$B$42/10^(AG14/10)+'Summary (Full)'!$B$43/10^(AH14/10))/'Summary (Full)'!$B$44))</f>
        <v>0</v>
      </c>
      <c r="AJ14" s="129">
        <f>Test!Y83</f>
        <v>0</v>
      </c>
      <c r="AK14" s="129">
        <f>Test!Z83</f>
        <v>0</v>
      </c>
      <c r="AL14" s="129" t="e">
        <f t="shared" si="2"/>
        <v>#DIV/0!</v>
      </c>
      <c r="AM14" s="129" t="e">
        <f t="shared" si="2"/>
        <v>#DIV/0!</v>
      </c>
      <c r="AO14" s="254"/>
      <c r="AP14" s="172"/>
      <c r="AQ14" s="172"/>
      <c r="AR14" s="172"/>
      <c r="AS14" s="172"/>
      <c r="AT14" s="172"/>
      <c r="AU14" s="172"/>
      <c r="AV14" s="172"/>
      <c r="AW14" s="172"/>
      <c r="AX14" s="172"/>
      <c r="AY14" s="175"/>
      <c r="AZ14" s="286"/>
      <c r="BA14" s="212"/>
      <c r="EV14" s="7"/>
      <c r="EW14" s="7"/>
      <c r="EX14" s="7"/>
      <c r="EY14" s="7"/>
      <c r="EZ14" s="7"/>
      <c r="FA14" s="7"/>
      <c r="FB14" s="7"/>
      <c r="FC14" s="7"/>
    </row>
    <row r="15" spans="1:175" ht="13" customHeight="1" x14ac:dyDescent="0.15">
      <c r="A15" s="249"/>
      <c r="B15" s="38">
        <v>210</v>
      </c>
      <c r="C15" s="129">
        <f>Anchor!L84</f>
        <v>0</v>
      </c>
      <c r="D15" s="129">
        <f>Anchor!M84</f>
        <v>0</v>
      </c>
      <c r="E15" s="129">
        <f>Anchor!N84</f>
        <v>0</v>
      </c>
      <c r="F15" s="129">
        <f>Anchor!O84</f>
        <v>0</v>
      </c>
      <c r="G15" s="130">
        <f>('Summary (Full)'!$B$34*D15+'Summary (Full)'!$B$35*E15+'Summary (Full)'!$B$36*F15)/'Summary (Full)'!$B$37</f>
        <v>0</v>
      </c>
      <c r="H15" s="129">
        <f>Anchor!P84</f>
        <v>0</v>
      </c>
      <c r="I15" s="129">
        <f>Anchor!Q84</f>
        <v>0</v>
      </c>
      <c r="J15" s="129">
        <f>Anchor!R84</f>
        <v>0</v>
      </c>
      <c r="K15" s="129">
        <f>Anchor!S84</f>
        <v>0</v>
      </c>
      <c r="L15" s="129">
        <f>Anchor!T84</f>
        <v>0</v>
      </c>
      <c r="M15" s="129">
        <f>Anchor!U84</f>
        <v>0</v>
      </c>
      <c r="N15" s="129">
        <f>Anchor!V84</f>
        <v>0</v>
      </c>
      <c r="O15" s="129">
        <f>Anchor!W84</f>
        <v>0</v>
      </c>
      <c r="P15" s="129">
        <f>Anchor!X84</f>
        <v>0</v>
      </c>
      <c r="Q15" s="131">
        <f>10*LOG10(1/(('Summary (Full)'!$B$41/10^(N15/10)+'Summary (Full)'!$B$42/10^(O15/10)+'Summary (Full)'!$B$43/10^(P15/10))/'Summary (Full)'!$B$44))</f>
        <v>0</v>
      </c>
      <c r="R15" s="129">
        <f>Anchor!Y84</f>
        <v>0</v>
      </c>
      <c r="S15" s="129">
        <f>Anchor!Z84</f>
        <v>0</v>
      </c>
      <c r="T15" s="132"/>
      <c r="U15" s="129">
        <f>Test!L84</f>
        <v>0</v>
      </c>
      <c r="V15" s="129">
        <f>Test!M84</f>
        <v>0</v>
      </c>
      <c r="W15" s="129">
        <f>Test!N84</f>
        <v>0</v>
      </c>
      <c r="X15" s="129">
        <f>Test!O84</f>
        <v>0</v>
      </c>
      <c r="Y15" s="129">
        <f>('Summary (Full)'!$B$34*V15+'Summary (Full)'!$B$35*W15+'Summary (Full)'!$B$36*X15)/'Summary (Full)'!$B$37</f>
        <v>0</v>
      </c>
      <c r="Z15" s="129">
        <f>Test!P84</f>
        <v>0</v>
      </c>
      <c r="AA15" s="129">
        <f>Test!Q84</f>
        <v>0</v>
      </c>
      <c r="AB15" s="129">
        <f>Test!R84</f>
        <v>0</v>
      </c>
      <c r="AC15" s="129">
        <f>Test!S84</f>
        <v>0</v>
      </c>
      <c r="AD15" s="129">
        <f>Test!T84</f>
        <v>0</v>
      </c>
      <c r="AE15" s="129">
        <f>Test!U84</f>
        <v>0</v>
      </c>
      <c r="AF15" s="129">
        <f>Test!V84</f>
        <v>0</v>
      </c>
      <c r="AG15" s="129">
        <f>Test!W84</f>
        <v>0</v>
      </c>
      <c r="AH15" s="129">
        <f>Test!X84</f>
        <v>0</v>
      </c>
      <c r="AI15" s="129">
        <f>10*LOG10(1/(('Summary (Full)'!$B$41/10^(AF15/10)+'Summary (Full)'!$B$42/10^(AG15/10)+'Summary (Full)'!$B$43/10^(AH15/10))/'Summary (Full)'!$B$44))</f>
        <v>0</v>
      </c>
      <c r="AJ15" s="129">
        <f>Test!Y84</f>
        <v>0</v>
      </c>
      <c r="AK15" s="129">
        <f>Test!Z84</f>
        <v>0</v>
      </c>
      <c r="AL15" s="129" t="e">
        <f t="shared" si="2"/>
        <v>#DIV/0!</v>
      </c>
      <c r="AM15" s="129" t="e">
        <f t="shared" si="2"/>
        <v>#DIV/0!</v>
      </c>
      <c r="AO15" s="254" t="s">
        <v>29</v>
      </c>
      <c r="AP15" s="172" t="e" cm="1">
        <f t="array" ref="AP15">bdRateExtend($C13:$C16,D13:D16,$U13:$U16,V13:V16)</f>
        <v>#VALUE!</v>
      </c>
      <c r="AQ15" s="172"/>
      <c r="AR15" s="172"/>
      <c r="AS15" s="172"/>
      <c r="AT15" s="172" t="e" cm="1">
        <f t="array" ref="AT15">bdRateExtend($C13:$C16,H13:H16,$U13:$U16,Z13:Z16)</f>
        <v>#VALUE!</v>
      </c>
      <c r="AU15" s="172"/>
      <c r="AV15" s="172" t="e" cm="1">
        <f t="array" ref="AV15">bdRateExtend($C13:$C16,I13:I16,$U13:$U16,AA13:AA16)</f>
        <v>#VALUE!</v>
      </c>
      <c r="AW15" s="172"/>
      <c r="AX15" s="172" t="e" cm="1">
        <f t="array" ref="AX15">bdRateExtend($C13:$C16,J13:J16,$U13:$U16,AB13:AB16,"None", FALSE,1)</f>
        <v>#VALUE!</v>
      </c>
      <c r="AY15" s="175"/>
      <c r="AZ15" s="286" cm="1">
        <f t="array" ref="AZ15">testVMAFRange($C13:$C16,J13:J16,$U13:$U16,AB13:AB16)</f>
        <v>0</v>
      </c>
      <c r="BA15" s="212"/>
      <c r="EV15" s="7"/>
      <c r="EW15" s="7"/>
      <c r="EX15" s="7"/>
      <c r="EY15" s="7"/>
      <c r="EZ15" s="7"/>
      <c r="FA15" s="7"/>
      <c r="FB15" s="7"/>
      <c r="FC15" s="7"/>
    </row>
    <row r="16" spans="1:175" ht="14" thickBot="1" x14ac:dyDescent="0.2">
      <c r="A16" s="249"/>
      <c r="B16" s="38">
        <v>235</v>
      </c>
      <c r="C16" s="129">
        <f>Anchor!L85</f>
        <v>0</v>
      </c>
      <c r="D16" s="129">
        <f>Anchor!M85</f>
        <v>0</v>
      </c>
      <c r="E16" s="129">
        <f>Anchor!N85</f>
        <v>0</v>
      </c>
      <c r="F16" s="129">
        <f>Anchor!O85</f>
        <v>0</v>
      </c>
      <c r="G16" s="130">
        <f>('Summary (Full)'!$B$34*D16+'Summary (Full)'!$B$35*E16+'Summary (Full)'!$B$36*F16)/'Summary (Full)'!$B$37</f>
        <v>0</v>
      </c>
      <c r="H16" s="129">
        <f>Anchor!P85</f>
        <v>0</v>
      </c>
      <c r="I16" s="129">
        <f>Anchor!Q85</f>
        <v>0</v>
      </c>
      <c r="J16" s="129">
        <f>Anchor!R85</f>
        <v>0</v>
      </c>
      <c r="K16" s="129">
        <f>Anchor!S85</f>
        <v>0</v>
      </c>
      <c r="L16" s="129">
        <f>Anchor!T85</f>
        <v>0</v>
      </c>
      <c r="M16" s="129">
        <f>Anchor!U85</f>
        <v>0</v>
      </c>
      <c r="N16" s="129">
        <f>Anchor!V85</f>
        <v>0</v>
      </c>
      <c r="O16" s="129">
        <f>Anchor!W85</f>
        <v>0</v>
      </c>
      <c r="P16" s="129">
        <f>Anchor!X85</f>
        <v>0</v>
      </c>
      <c r="Q16" s="131">
        <f>10*LOG10(1/(('Summary (Full)'!$B$41/10^(N16/10)+'Summary (Full)'!$B$42/10^(O16/10)+'Summary (Full)'!$B$43/10^(P16/10))/'Summary (Full)'!$B$44))</f>
        <v>0</v>
      </c>
      <c r="R16" s="129">
        <f>Anchor!Y85</f>
        <v>0</v>
      </c>
      <c r="S16" s="129">
        <f>Anchor!Z85</f>
        <v>0</v>
      </c>
      <c r="T16" s="132"/>
      <c r="U16" s="129">
        <f>Test!L85</f>
        <v>0</v>
      </c>
      <c r="V16" s="129">
        <f>Test!M85</f>
        <v>0</v>
      </c>
      <c r="W16" s="129">
        <f>Test!N85</f>
        <v>0</v>
      </c>
      <c r="X16" s="129">
        <f>Test!O85</f>
        <v>0</v>
      </c>
      <c r="Y16" s="129">
        <f>('Summary (Full)'!$B$34*V16+'Summary (Full)'!$B$35*W16+'Summary (Full)'!$B$36*X16)/'Summary (Full)'!$B$37</f>
        <v>0</v>
      </c>
      <c r="Z16" s="129">
        <f>Test!P85</f>
        <v>0</v>
      </c>
      <c r="AA16" s="129">
        <f>Test!Q85</f>
        <v>0</v>
      </c>
      <c r="AB16" s="129">
        <f>Test!R85</f>
        <v>0</v>
      </c>
      <c r="AC16" s="129">
        <f>Test!S85</f>
        <v>0</v>
      </c>
      <c r="AD16" s="129">
        <f>Test!T85</f>
        <v>0</v>
      </c>
      <c r="AE16" s="129">
        <f>Test!U85</f>
        <v>0</v>
      </c>
      <c r="AF16" s="129">
        <f>Test!V85</f>
        <v>0</v>
      </c>
      <c r="AG16" s="129">
        <f>Test!W85</f>
        <v>0</v>
      </c>
      <c r="AH16" s="129">
        <f>Test!X85</f>
        <v>0</v>
      </c>
      <c r="AI16" s="129">
        <f>10*LOG10(1/(('Summary (Full)'!$B$41/10^(AF16/10)+'Summary (Full)'!$B$42/10^(AG16/10)+'Summary (Full)'!$B$43/10^(AH16/10))/'Summary (Full)'!$B$44))</f>
        <v>0</v>
      </c>
      <c r="AJ16" s="129">
        <f>Test!Y85</f>
        <v>0</v>
      </c>
      <c r="AK16" s="129">
        <f>Test!Z85</f>
        <v>0</v>
      </c>
      <c r="AL16" s="129" t="e">
        <f t="shared" si="2"/>
        <v>#DIV/0!</v>
      </c>
      <c r="AM16" s="129" t="e">
        <f t="shared" si="2"/>
        <v>#DIV/0!</v>
      </c>
      <c r="AO16" s="263"/>
      <c r="AP16" s="173"/>
      <c r="AQ16" s="173"/>
      <c r="AR16" s="173"/>
      <c r="AS16" s="173"/>
      <c r="AT16" s="173"/>
      <c r="AU16" s="173"/>
      <c r="AV16" s="173"/>
      <c r="AW16" s="173"/>
      <c r="AX16" s="173"/>
      <c r="AY16" s="188"/>
      <c r="AZ16" s="287"/>
      <c r="BA16" s="240"/>
      <c r="EV16" s="7"/>
      <c r="EW16" s="7"/>
      <c r="EX16" s="7"/>
      <c r="EY16" s="7"/>
      <c r="EZ16" s="7"/>
      <c r="FA16" s="7"/>
      <c r="FB16" s="7"/>
      <c r="FC16" s="7"/>
    </row>
    <row r="17" spans="1:159" ht="13" customHeight="1" x14ac:dyDescent="0.15">
      <c r="A17" s="249" t="s">
        <v>8</v>
      </c>
      <c r="B17" s="38">
        <v>110</v>
      </c>
      <c r="C17" s="129">
        <f>Anchor!L86</f>
        <v>0</v>
      </c>
      <c r="D17" s="129">
        <f>Anchor!M86</f>
        <v>0</v>
      </c>
      <c r="E17" s="129">
        <f>Anchor!N86</f>
        <v>0</v>
      </c>
      <c r="F17" s="129">
        <f>Anchor!O86</f>
        <v>0</v>
      </c>
      <c r="G17" s="130">
        <f>('Summary (Full)'!$B$34*D17+'Summary (Full)'!$B$35*E17+'Summary (Full)'!$B$36*F17)/'Summary (Full)'!$B$37</f>
        <v>0</v>
      </c>
      <c r="H17" s="129">
        <f>Anchor!P86</f>
        <v>0</v>
      </c>
      <c r="I17" s="129">
        <f>Anchor!Q86</f>
        <v>0</v>
      </c>
      <c r="J17" s="129">
        <f>Anchor!R86</f>
        <v>0</v>
      </c>
      <c r="K17" s="129">
        <f>Anchor!S86</f>
        <v>0</v>
      </c>
      <c r="L17" s="129">
        <f>Anchor!T86</f>
        <v>0</v>
      </c>
      <c r="M17" s="129">
        <f>Anchor!U86</f>
        <v>0</v>
      </c>
      <c r="N17" s="129">
        <f>Anchor!V86</f>
        <v>0</v>
      </c>
      <c r="O17" s="129">
        <f>Anchor!W86</f>
        <v>0</v>
      </c>
      <c r="P17" s="129">
        <f>Anchor!X86</f>
        <v>0</v>
      </c>
      <c r="Q17" s="131">
        <f>10*LOG10(1/(('Summary (Full)'!$B$41/10^(N17/10)+'Summary (Full)'!$B$42/10^(O17/10)+'Summary (Full)'!$B$43/10^(P17/10))/'Summary (Full)'!$B$44))</f>
        <v>0</v>
      </c>
      <c r="R17" s="129">
        <f>Anchor!Y86</f>
        <v>0</v>
      </c>
      <c r="S17" s="129">
        <f>Anchor!Z86</f>
        <v>0</v>
      </c>
      <c r="T17" s="132"/>
      <c r="U17" s="129">
        <f>Test!L86</f>
        <v>0</v>
      </c>
      <c r="V17" s="129">
        <f>Test!M86</f>
        <v>0</v>
      </c>
      <c r="W17" s="129">
        <f>Test!N86</f>
        <v>0</v>
      </c>
      <c r="X17" s="129">
        <f>Test!O86</f>
        <v>0</v>
      </c>
      <c r="Y17" s="129">
        <f>('Summary (Full)'!$B$34*V17+'Summary (Full)'!$B$35*W17+'Summary (Full)'!$B$36*X17)/'Summary (Full)'!$B$37</f>
        <v>0</v>
      </c>
      <c r="Z17" s="129">
        <f>Test!P86</f>
        <v>0</v>
      </c>
      <c r="AA17" s="129">
        <f>Test!Q86</f>
        <v>0</v>
      </c>
      <c r="AB17" s="129">
        <f>Test!R86</f>
        <v>0</v>
      </c>
      <c r="AC17" s="129">
        <f>Test!S86</f>
        <v>0</v>
      </c>
      <c r="AD17" s="129">
        <f>Test!T86</f>
        <v>0</v>
      </c>
      <c r="AE17" s="129">
        <f>Test!U86</f>
        <v>0</v>
      </c>
      <c r="AF17" s="129">
        <f>Test!V86</f>
        <v>0</v>
      </c>
      <c r="AG17" s="129">
        <f>Test!W86</f>
        <v>0</v>
      </c>
      <c r="AH17" s="129">
        <f>Test!X86</f>
        <v>0</v>
      </c>
      <c r="AI17" s="129">
        <f>10*LOG10(1/(('Summary (Full)'!$B$41/10^(AF17/10)+'Summary (Full)'!$B$42/10^(AG17/10)+'Summary (Full)'!$B$43/10^(AH17/10))/'Summary (Full)'!$B$44))</f>
        <v>0</v>
      </c>
      <c r="AJ17" s="129">
        <f>Test!Y86</f>
        <v>0</v>
      </c>
      <c r="AK17" s="129">
        <f>Test!Z86</f>
        <v>0</v>
      </c>
      <c r="AL17" s="129" t="e">
        <f t="shared" si="2"/>
        <v>#DIV/0!</v>
      </c>
      <c r="AM17" s="129" t="e">
        <f t="shared" si="2"/>
        <v>#DIV/0!</v>
      </c>
      <c r="AO17" s="253" t="s">
        <v>27</v>
      </c>
      <c r="AP17" s="171" t="e" cm="1">
        <f t="array" ref="AP17">bdRateExtend($C17:$C20,D17:D20,$U17:$U20,V17:V20)</f>
        <v>#VALUE!</v>
      </c>
      <c r="AQ17" s="171" t="e" cm="1">
        <f t="array" ref="AQ17">bdRateExtend($C17:$C22,D17:D22,$U17:$U22,V17:V22)</f>
        <v>#VALUE!</v>
      </c>
      <c r="AR17" s="171" t="e" cm="1">
        <f t="array" ref="AR17">bdRateExtend($C17:$C22,E17:E22,$U17:$U22,W17:W22)</f>
        <v>#VALUE!</v>
      </c>
      <c r="AS17" s="171" t="e" cm="1">
        <f t="array" ref="AS17">bdRateExtend($C17:$C22,F17:F22,$U17:$U22,X17:X22)</f>
        <v>#VALUE!</v>
      </c>
      <c r="AT17" s="171" t="e" cm="1">
        <f t="array" ref="AT17">bdRateExtend($C17:$C20,H17:H20,$U17:$U20,Z17:Z20)</f>
        <v>#VALUE!</v>
      </c>
      <c r="AU17" s="171" t="e" cm="1">
        <f t="array" ref="AU17">bdRateExtend($C17:$C22,H17:H22,$U17:$U22,Z17:Z22)</f>
        <v>#VALUE!</v>
      </c>
      <c r="AV17" s="171" t="e" cm="1">
        <f t="array" ref="AV17">bdRateExtend($C17:$C20,I17:I20,$U17:$U20,AA17:AA20)</f>
        <v>#VALUE!</v>
      </c>
      <c r="AW17" s="171" t="e" cm="1">
        <f t="array" ref="AW17">bdRateExtend($C17:$C22,I17:I22,$U17:$U22,AA17:AA22)</f>
        <v>#VALUE!</v>
      </c>
      <c r="AX17" s="171" t="e" cm="1">
        <f t="array" ref="AX17">bdRateExtend($C17:$C20,J17:J20,$U17:$U20,AB17:AB20,"None", FALSE,1)</f>
        <v>#VALUE!</v>
      </c>
      <c r="AY17" s="174" t="e" cm="1">
        <f t="array" ref="AY17">bdRateExtend($C17:$C22,J17:J22,$U17:$U22,AB17:AB22,"None", FALSE,TRUE)</f>
        <v>#VALUE!</v>
      </c>
      <c r="AZ17" s="285" cm="1">
        <f t="array" ref="AZ17">testVMAFRange($C17:$C20,J17:J20,$U17:$U20,AB17:AB20)</f>
        <v>0</v>
      </c>
      <c r="BA17" s="211" cm="1">
        <f t="array" ref="BA17">testVMAFRange($C17:$C22,J17:J22,$U17:$U22,AB17:AB22)</f>
        <v>0</v>
      </c>
      <c r="EV17" s="7"/>
      <c r="EW17" s="7"/>
      <c r="EX17" s="7"/>
      <c r="EY17" s="7"/>
      <c r="EZ17" s="7"/>
      <c r="FA17" s="7"/>
      <c r="FB17" s="7"/>
      <c r="FC17" s="7"/>
    </row>
    <row r="18" spans="1:159" x14ac:dyDescent="0.15">
      <c r="A18" s="249"/>
      <c r="B18" s="38">
        <v>135</v>
      </c>
      <c r="C18" s="129">
        <f>Anchor!L87</f>
        <v>0</v>
      </c>
      <c r="D18" s="129">
        <f>Anchor!M87</f>
        <v>0</v>
      </c>
      <c r="E18" s="129">
        <f>Anchor!N87</f>
        <v>0</v>
      </c>
      <c r="F18" s="129">
        <f>Anchor!O87</f>
        <v>0</v>
      </c>
      <c r="G18" s="130">
        <f>('Summary (Full)'!$B$34*D18+'Summary (Full)'!$B$35*E18+'Summary (Full)'!$B$36*F18)/'Summary (Full)'!$B$37</f>
        <v>0</v>
      </c>
      <c r="H18" s="129">
        <f>Anchor!P87</f>
        <v>0</v>
      </c>
      <c r="I18" s="129">
        <f>Anchor!Q87</f>
        <v>0</v>
      </c>
      <c r="J18" s="129">
        <f>Anchor!R87</f>
        <v>0</v>
      </c>
      <c r="K18" s="129">
        <f>Anchor!S87</f>
        <v>0</v>
      </c>
      <c r="L18" s="129">
        <f>Anchor!T87</f>
        <v>0</v>
      </c>
      <c r="M18" s="129">
        <f>Anchor!U87</f>
        <v>0</v>
      </c>
      <c r="N18" s="129">
        <f>Anchor!V87</f>
        <v>0</v>
      </c>
      <c r="O18" s="129">
        <f>Anchor!W87</f>
        <v>0</v>
      </c>
      <c r="P18" s="129">
        <f>Anchor!X87</f>
        <v>0</v>
      </c>
      <c r="Q18" s="131">
        <f>10*LOG10(1/(('Summary (Full)'!$B$41/10^(N18/10)+'Summary (Full)'!$B$42/10^(O18/10)+'Summary (Full)'!$B$43/10^(P18/10))/'Summary (Full)'!$B$44))</f>
        <v>0</v>
      </c>
      <c r="R18" s="129">
        <f>Anchor!Y87</f>
        <v>0</v>
      </c>
      <c r="S18" s="129">
        <f>Anchor!Z87</f>
        <v>0</v>
      </c>
      <c r="T18" s="132"/>
      <c r="U18" s="129">
        <f>Test!L87</f>
        <v>0</v>
      </c>
      <c r="V18" s="129">
        <f>Test!M87</f>
        <v>0</v>
      </c>
      <c r="W18" s="129">
        <f>Test!N87</f>
        <v>0</v>
      </c>
      <c r="X18" s="129">
        <f>Test!O87</f>
        <v>0</v>
      </c>
      <c r="Y18" s="129">
        <f>('Summary (Full)'!$B$34*V18+'Summary (Full)'!$B$35*W18+'Summary (Full)'!$B$36*X18)/'Summary (Full)'!$B$37</f>
        <v>0</v>
      </c>
      <c r="Z18" s="129">
        <f>Test!P87</f>
        <v>0</v>
      </c>
      <c r="AA18" s="129">
        <f>Test!Q87</f>
        <v>0</v>
      </c>
      <c r="AB18" s="129">
        <f>Test!R87</f>
        <v>0</v>
      </c>
      <c r="AC18" s="129">
        <f>Test!S87</f>
        <v>0</v>
      </c>
      <c r="AD18" s="129">
        <f>Test!T87</f>
        <v>0</v>
      </c>
      <c r="AE18" s="129">
        <f>Test!U87</f>
        <v>0</v>
      </c>
      <c r="AF18" s="129">
        <f>Test!V87</f>
        <v>0</v>
      </c>
      <c r="AG18" s="129">
        <f>Test!W87</f>
        <v>0</v>
      </c>
      <c r="AH18" s="129">
        <f>Test!X87</f>
        <v>0</v>
      </c>
      <c r="AI18" s="129">
        <f>10*LOG10(1/(('Summary (Full)'!$B$41/10^(AF18/10)+'Summary (Full)'!$B$42/10^(AG18/10)+'Summary (Full)'!$B$43/10^(AH18/10))/'Summary (Full)'!$B$44))</f>
        <v>0</v>
      </c>
      <c r="AJ18" s="129">
        <f>Test!Y87</f>
        <v>0</v>
      </c>
      <c r="AK18" s="129">
        <f>Test!Z87</f>
        <v>0</v>
      </c>
      <c r="AL18" s="129" t="e">
        <f t="shared" si="2"/>
        <v>#DIV/0!</v>
      </c>
      <c r="AM18" s="129" t="e">
        <f t="shared" si="2"/>
        <v>#DIV/0!</v>
      </c>
      <c r="AO18" s="254"/>
      <c r="AP18" s="172"/>
      <c r="AQ18" s="172"/>
      <c r="AR18" s="172"/>
      <c r="AS18" s="172"/>
      <c r="AT18" s="172"/>
      <c r="AU18" s="172"/>
      <c r="AV18" s="172"/>
      <c r="AW18" s="172"/>
      <c r="AX18" s="172"/>
      <c r="AY18" s="175"/>
      <c r="AZ18" s="286"/>
      <c r="BA18" s="212"/>
      <c r="EV18" s="7"/>
      <c r="EW18" s="7"/>
      <c r="EX18" s="7"/>
      <c r="EY18" s="7"/>
      <c r="EZ18" s="7"/>
      <c r="FA18" s="7"/>
      <c r="FB18" s="7"/>
      <c r="FC18" s="7"/>
    </row>
    <row r="19" spans="1:159" ht="13" customHeight="1" x14ac:dyDescent="0.15">
      <c r="A19" s="249"/>
      <c r="B19" s="38">
        <v>160</v>
      </c>
      <c r="C19" s="129">
        <f>Anchor!L88</f>
        <v>0</v>
      </c>
      <c r="D19" s="129">
        <f>Anchor!M88</f>
        <v>0</v>
      </c>
      <c r="E19" s="129">
        <f>Anchor!N88</f>
        <v>0</v>
      </c>
      <c r="F19" s="129">
        <f>Anchor!O88</f>
        <v>0</v>
      </c>
      <c r="G19" s="130">
        <f>('Summary (Full)'!$B$34*D19+'Summary (Full)'!$B$35*E19+'Summary (Full)'!$B$36*F19)/'Summary (Full)'!$B$37</f>
        <v>0</v>
      </c>
      <c r="H19" s="129">
        <f>Anchor!P88</f>
        <v>0</v>
      </c>
      <c r="I19" s="129">
        <f>Anchor!Q88</f>
        <v>0</v>
      </c>
      <c r="J19" s="129">
        <f>Anchor!R88</f>
        <v>0</v>
      </c>
      <c r="K19" s="129">
        <f>Anchor!S88</f>
        <v>0</v>
      </c>
      <c r="L19" s="129">
        <f>Anchor!T88</f>
        <v>0</v>
      </c>
      <c r="M19" s="129">
        <f>Anchor!U88</f>
        <v>0</v>
      </c>
      <c r="N19" s="129">
        <f>Anchor!V88</f>
        <v>0</v>
      </c>
      <c r="O19" s="129">
        <f>Anchor!W88</f>
        <v>0</v>
      </c>
      <c r="P19" s="129">
        <f>Anchor!X88</f>
        <v>0</v>
      </c>
      <c r="Q19" s="131">
        <f>10*LOG10(1/(('Summary (Full)'!$B$41/10^(N19/10)+'Summary (Full)'!$B$42/10^(O19/10)+'Summary (Full)'!$B$43/10^(P19/10))/'Summary (Full)'!$B$44))</f>
        <v>0</v>
      </c>
      <c r="R19" s="129">
        <f>Anchor!Y88</f>
        <v>0</v>
      </c>
      <c r="S19" s="129">
        <f>Anchor!Z88</f>
        <v>0</v>
      </c>
      <c r="T19" s="132"/>
      <c r="U19" s="129">
        <f>Test!L88</f>
        <v>0</v>
      </c>
      <c r="V19" s="129">
        <f>Test!M88</f>
        <v>0</v>
      </c>
      <c r="W19" s="129">
        <f>Test!N88</f>
        <v>0</v>
      </c>
      <c r="X19" s="129">
        <f>Test!O88</f>
        <v>0</v>
      </c>
      <c r="Y19" s="129">
        <f>('Summary (Full)'!$B$34*V19+'Summary (Full)'!$B$35*W19+'Summary (Full)'!$B$36*X19)/'Summary (Full)'!$B$37</f>
        <v>0</v>
      </c>
      <c r="Z19" s="129">
        <f>Test!P88</f>
        <v>0</v>
      </c>
      <c r="AA19" s="129">
        <f>Test!Q88</f>
        <v>0</v>
      </c>
      <c r="AB19" s="129">
        <f>Test!R88</f>
        <v>0</v>
      </c>
      <c r="AC19" s="129">
        <f>Test!S88</f>
        <v>0</v>
      </c>
      <c r="AD19" s="129">
        <f>Test!T88</f>
        <v>0</v>
      </c>
      <c r="AE19" s="129">
        <f>Test!U88</f>
        <v>0</v>
      </c>
      <c r="AF19" s="129">
        <f>Test!V88</f>
        <v>0</v>
      </c>
      <c r="AG19" s="129">
        <f>Test!W88</f>
        <v>0</v>
      </c>
      <c r="AH19" s="129">
        <f>Test!X88</f>
        <v>0</v>
      </c>
      <c r="AI19" s="129">
        <f>10*LOG10(1/(('Summary (Full)'!$B$41/10^(AF19/10)+'Summary (Full)'!$B$42/10^(AG19/10)+'Summary (Full)'!$B$43/10^(AH19/10))/'Summary (Full)'!$B$44))</f>
        <v>0</v>
      </c>
      <c r="AJ19" s="129">
        <f>Test!Y88</f>
        <v>0</v>
      </c>
      <c r="AK19" s="129">
        <f>Test!Z88</f>
        <v>0</v>
      </c>
      <c r="AL19" s="129" t="e">
        <f t="shared" si="2"/>
        <v>#DIV/0!</v>
      </c>
      <c r="AM19" s="129" t="e">
        <f t="shared" si="2"/>
        <v>#DIV/0!</v>
      </c>
      <c r="AO19" s="254" t="s">
        <v>28</v>
      </c>
      <c r="AP19" s="172" t="e" cm="1">
        <f t="array" ref="AP19">bdRateExtend($C18:$C21,D18:D21,$U18:$U21,V18:V21)</f>
        <v>#VALUE!</v>
      </c>
      <c r="AQ19" s="172"/>
      <c r="AR19" s="172"/>
      <c r="AS19" s="172"/>
      <c r="AT19" s="172" t="e" cm="1">
        <f t="array" ref="AT19">bdRateExtend($C18:$C21,H18:H21,$U18:$U21,Z18:Z21)</f>
        <v>#VALUE!</v>
      </c>
      <c r="AU19" s="172"/>
      <c r="AV19" s="172" t="e" cm="1">
        <f t="array" ref="AV19">bdRateExtend($C18:$C21,I18:I21,$U18:$U21,AA18:AA21)</f>
        <v>#VALUE!</v>
      </c>
      <c r="AW19" s="172"/>
      <c r="AX19" s="172" t="e" cm="1">
        <f t="array" ref="AX19">bdRateExtend($C18:$C21,J18:J21,$U18:$U21,AB18:AB21,"None", FALSE,1)</f>
        <v>#VALUE!</v>
      </c>
      <c r="AY19" s="175"/>
      <c r="AZ19" s="286" cm="1">
        <f t="array" ref="AZ19">testVMAFRange($C18:$C21,J18:J21,$U18:$U21,AB18:AB21)</f>
        <v>0</v>
      </c>
      <c r="BA19" s="212"/>
      <c r="EV19" s="7"/>
      <c r="EW19" s="7"/>
      <c r="EX19" s="7"/>
      <c r="EY19" s="7"/>
      <c r="EZ19" s="7"/>
      <c r="FA19" s="7"/>
      <c r="FB19" s="7"/>
      <c r="FC19" s="7"/>
    </row>
    <row r="20" spans="1:159" x14ac:dyDescent="0.15">
      <c r="A20" s="249"/>
      <c r="B20" s="38">
        <v>185</v>
      </c>
      <c r="C20" s="129">
        <f>Anchor!L89</f>
        <v>0</v>
      </c>
      <c r="D20" s="129">
        <f>Anchor!M89</f>
        <v>0</v>
      </c>
      <c r="E20" s="129">
        <f>Anchor!N89</f>
        <v>0</v>
      </c>
      <c r="F20" s="129">
        <f>Anchor!O89</f>
        <v>0</v>
      </c>
      <c r="G20" s="130">
        <f>('Summary (Full)'!$B$34*D20+'Summary (Full)'!$B$35*E20+'Summary (Full)'!$B$36*F20)/'Summary (Full)'!$B$37</f>
        <v>0</v>
      </c>
      <c r="H20" s="129">
        <f>Anchor!P89</f>
        <v>0</v>
      </c>
      <c r="I20" s="129">
        <f>Anchor!Q89</f>
        <v>0</v>
      </c>
      <c r="J20" s="129">
        <f>Anchor!R89</f>
        <v>0</v>
      </c>
      <c r="K20" s="129">
        <f>Anchor!S89</f>
        <v>0</v>
      </c>
      <c r="L20" s="129">
        <f>Anchor!T89</f>
        <v>0</v>
      </c>
      <c r="M20" s="129">
        <f>Anchor!U89</f>
        <v>0</v>
      </c>
      <c r="N20" s="129">
        <f>Anchor!V89</f>
        <v>0</v>
      </c>
      <c r="O20" s="129">
        <f>Anchor!W89</f>
        <v>0</v>
      </c>
      <c r="P20" s="129">
        <f>Anchor!X89</f>
        <v>0</v>
      </c>
      <c r="Q20" s="131">
        <f>10*LOG10(1/(('Summary (Full)'!$B$41/10^(N20/10)+'Summary (Full)'!$B$42/10^(O20/10)+'Summary (Full)'!$B$43/10^(P20/10))/'Summary (Full)'!$B$44))</f>
        <v>0</v>
      </c>
      <c r="R20" s="129">
        <f>Anchor!Y89</f>
        <v>0</v>
      </c>
      <c r="S20" s="129">
        <f>Anchor!Z89</f>
        <v>0</v>
      </c>
      <c r="T20" s="132"/>
      <c r="U20" s="129">
        <f>Test!L89</f>
        <v>0</v>
      </c>
      <c r="V20" s="129">
        <f>Test!M89</f>
        <v>0</v>
      </c>
      <c r="W20" s="129">
        <f>Test!N89</f>
        <v>0</v>
      </c>
      <c r="X20" s="129">
        <f>Test!O89</f>
        <v>0</v>
      </c>
      <c r="Y20" s="129">
        <f>('Summary (Full)'!$B$34*V20+'Summary (Full)'!$B$35*W20+'Summary (Full)'!$B$36*X20)/'Summary (Full)'!$B$37</f>
        <v>0</v>
      </c>
      <c r="Z20" s="129">
        <f>Test!P89</f>
        <v>0</v>
      </c>
      <c r="AA20" s="129">
        <f>Test!Q89</f>
        <v>0</v>
      </c>
      <c r="AB20" s="129">
        <f>Test!R89</f>
        <v>0</v>
      </c>
      <c r="AC20" s="129">
        <f>Test!S89</f>
        <v>0</v>
      </c>
      <c r="AD20" s="129">
        <f>Test!T89</f>
        <v>0</v>
      </c>
      <c r="AE20" s="129">
        <f>Test!U89</f>
        <v>0</v>
      </c>
      <c r="AF20" s="129">
        <f>Test!V89</f>
        <v>0</v>
      </c>
      <c r="AG20" s="129">
        <f>Test!W89</f>
        <v>0</v>
      </c>
      <c r="AH20" s="129">
        <f>Test!X89</f>
        <v>0</v>
      </c>
      <c r="AI20" s="129">
        <f>10*LOG10(1/(('Summary (Full)'!$B$41/10^(AF20/10)+'Summary (Full)'!$B$42/10^(AG20/10)+'Summary (Full)'!$B$43/10^(AH20/10))/'Summary (Full)'!$B$44))</f>
        <v>0</v>
      </c>
      <c r="AJ20" s="129">
        <f>Test!Y89</f>
        <v>0</v>
      </c>
      <c r="AK20" s="129">
        <f>Test!Z89</f>
        <v>0</v>
      </c>
      <c r="AL20" s="129" t="e">
        <f t="shared" si="2"/>
        <v>#DIV/0!</v>
      </c>
      <c r="AM20" s="129" t="e">
        <f t="shared" si="2"/>
        <v>#DIV/0!</v>
      </c>
      <c r="AO20" s="254"/>
      <c r="AP20" s="172"/>
      <c r="AQ20" s="172"/>
      <c r="AR20" s="172"/>
      <c r="AS20" s="172"/>
      <c r="AT20" s="172"/>
      <c r="AU20" s="172"/>
      <c r="AV20" s="172"/>
      <c r="AW20" s="172"/>
      <c r="AX20" s="172"/>
      <c r="AY20" s="175"/>
      <c r="AZ20" s="286"/>
      <c r="BA20" s="212"/>
      <c r="EV20" s="7"/>
      <c r="EW20" s="7"/>
      <c r="EX20" s="7"/>
      <c r="EY20" s="7"/>
      <c r="EZ20" s="7"/>
      <c r="FA20" s="7"/>
      <c r="FB20" s="7"/>
      <c r="FC20" s="7"/>
    </row>
    <row r="21" spans="1:159" ht="13" customHeight="1" x14ac:dyDescent="0.15">
      <c r="A21" s="249"/>
      <c r="B21" s="38">
        <v>210</v>
      </c>
      <c r="C21" s="129">
        <f>Anchor!L90</f>
        <v>0</v>
      </c>
      <c r="D21" s="129">
        <f>Anchor!M90</f>
        <v>0</v>
      </c>
      <c r="E21" s="129">
        <f>Anchor!N90</f>
        <v>0</v>
      </c>
      <c r="F21" s="129">
        <f>Anchor!O90</f>
        <v>0</v>
      </c>
      <c r="G21" s="130">
        <f>('Summary (Full)'!$B$34*D21+'Summary (Full)'!$B$35*E21+'Summary (Full)'!$B$36*F21)/'Summary (Full)'!$B$37</f>
        <v>0</v>
      </c>
      <c r="H21" s="129">
        <f>Anchor!P90</f>
        <v>0</v>
      </c>
      <c r="I21" s="129">
        <f>Anchor!Q90</f>
        <v>0</v>
      </c>
      <c r="J21" s="129">
        <f>Anchor!R90</f>
        <v>0</v>
      </c>
      <c r="K21" s="129">
        <f>Anchor!S90</f>
        <v>0</v>
      </c>
      <c r="L21" s="129">
        <f>Anchor!T90</f>
        <v>0</v>
      </c>
      <c r="M21" s="129">
        <f>Anchor!U90</f>
        <v>0</v>
      </c>
      <c r="N21" s="129">
        <f>Anchor!V90</f>
        <v>0</v>
      </c>
      <c r="O21" s="129">
        <f>Anchor!W90</f>
        <v>0</v>
      </c>
      <c r="P21" s="129">
        <f>Anchor!X90</f>
        <v>0</v>
      </c>
      <c r="Q21" s="131">
        <f>10*LOG10(1/(('Summary (Full)'!$B$41/10^(N21/10)+'Summary (Full)'!$B$42/10^(O21/10)+'Summary (Full)'!$B$43/10^(P21/10))/'Summary (Full)'!$B$44))</f>
        <v>0</v>
      </c>
      <c r="R21" s="129">
        <f>Anchor!Y90</f>
        <v>0</v>
      </c>
      <c r="S21" s="129">
        <f>Anchor!Z90</f>
        <v>0</v>
      </c>
      <c r="T21" s="132"/>
      <c r="U21" s="129">
        <f>Test!L90</f>
        <v>0</v>
      </c>
      <c r="V21" s="129">
        <f>Test!M90</f>
        <v>0</v>
      </c>
      <c r="W21" s="129">
        <f>Test!N90</f>
        <v>0</v>
      </c>
      <c r="X21" s="129">
        <f>Test!O90</f>
        <v>0</v>
      </c>
      <c r="Y21" s="129">
        <f>('Summary (Full)'!$B$34*V21+'Summary (Full)'!$B$35*W21+'Summary (Full)'!$B$36*X21)/'Summary (Full)'!$B$37</f>
        <v>0</v>
      </c>
      <c r="Z21" s="129">
        <f>Test!P90</f>
        <v>0</v>
      </c>
      <c r="AA21" s="129">
        <f>Test!Q90</f>
        <v>0</v>
      </c>
      <c r="AB21" s="129">
        <f>Test!R90</f>
        <v>0</v>
      </c>
      <c r="AC21" s="129">
        <f>Test!S90</f>
        <v>0</v>
      </c>
      <c r="AD21" s="129">
        <f>Test!T90</f>
        <v>0</v>
      </c>
      <c r="AE21" s="129">
        <f>Test!U90</f>
        <v>0</v>
      </c>
      <c r="AF21" s="129">
        <f>Test!V90</f>
        <v>0</v>
      </c>
      <c r="AG21" s="129">
        <f>Test!W90</f>
        <v>0</v>
      </c>
      <c r="AH21" s="129">
        <f>Test!X90</f>
        <v>0</v>
      </c>
      <c r="AI21" s="129">
        <f>10*LOG10(1/(('Summary (Full)'!$B$41/10^(AF21/10)+'Summary (Full)'!$B$42/10^(AG21/10)+'Summary (Full)'!$B$43/10^(AH21/10))/'Summary (Full)'!$B$44))</f>
        <v>0</v>
      </c>
      <c r="AJ21" s="129">
        <f>Test!Y90</f>
        <v>0</v>
      </c>
      <c r="AK21" s="129">
        <f>Test!Z90</f>
        <v>0</v>
      </c>
      <c r="AL21" s="129" t="e">
        <f t="shared" si="2"/>
        <v>#DIV/0!</v>
      </c>
      <c r="AM21" s="129" t="e">
        <f t="shared" si="2"/>
        <v>#DIV/0!</v>
      </c>
      <c r="AO21" s="254" t="s">
        <v>29</v>
      </c>
      <c r="AP21" s="172" t="e" cm="1">
        <f t="array" ref="AP21">bdRateExtend($C19:$C22,D19:D22,$U19:$U22,V19:V22)</f>
        <v>#VALUE!</v>
      </c>
      <c r="AQ21" s="172"/>
      <c r="AR21" s="172"/>
      <c r="AS21" s="172"/>
      <c r="AT21" s="172" t="e" cm="1">
        <f t="array" ref="AT21">bdRateExtend($C19:$C22,H19:H22,$U19:$U22,Z19:Z22)</f>
        <v>#VALUE!</v>
      </c>
      <c r="AU21" s="172"/>
      <c r="AV21" s="172" t="e" cm="1">
        <f t="array" ref="AV21">bdRateExtend($C19:$C22,I19:I22,$U19:$U22,AA19:AA22)</f>
        <v>#VALUE!</v>
      </c>
      <c r="AW21" s="172"/>
      <c r="AX21" s="172" t="e" cm="1">
        <f t="array" ref="AX21">bdRateExtend($C19:$C22,J19:J22,$U19:$U22,AB19:AB22,"None", FALSE,1)</f>
        <v>#VALUE!</v>
      </c>
      <c r="AY21" s="175"/>
      <c r="AZ21" s="286" cm="1">
        <f t="array" ref="AZ21">testVMAFRange($C19:$C22,J19:J22,$U19:$U22,AB19:AB22)</f>
        <v>0</v>
      </c>
      <c r="BA21" s="212"/>
      <c r="EV21" s="7"/>
      <c r="EW21" s="7"/>
      <c r="EX21" s="7"/>
      <c r="EY21" s="7"/>
      <c r="EZ21" s="7"/>
      <c r="FA21" s="7"/>
      <c r="FB21" s="7"/>
      <c r="FC21" s="7"/>
    </row>
    <row r="22" spans="1:159" ht="14" thickBot="1" x14ac:dyDescent="0.2">
      <c r="A22" s="249"/>
      <c r="B22" s="38">
        <v>235</v>
      </c>
      <c r="C22" s="129">
        <f>Anchor!L91</f>
        <v>0</v>
      </c>
      <c r="D22" s="129">
        <f>Anchor!M91</f>
        <v>0</v>
      </c>
      <c r="E22" s="129">
        <f>Anchor!N91</f>
        <v>0</v>
      </c>
      <c r="F22" s="129">
        <f>Anchor!O91</f>
        <v>0</v>
      </c>
      <c r="G22" s="130">
        <f>('Summary (Full)'!$B$34*D22+'Summary (Full)'!$B$35*E22+'Summary (Full)'!$B$36*F22)/'Summary (Full)'!$B$37</f>
        <v>0</v>
      </c>
      <c r="H22" s="129">
        <f>Anchor!P91</f>
        <v>0</v>
      </c>
      <c r="I22" s="129">
        <f>Anchor!Q91</f>
        <v>0</v>
      </c>
      <c r="J22" s="129">
        <f>Anchor!R91</f>
        <v>0</v>
      </c>
      <c r="K22" s="129">
        <f>Anchor!S91</f>
        <v>0</v>
      </c>
      <c r="L22" s="129">
        <f>Anchor!T91</f>
        <v>0</v>
      </c>
      <c r="M22" s="129">
        <f>Anchor!U91</f>
        <v>0</v>
      </c>
      <c r="N22" s="129">
        <f>Anchor!V91</f>
        <v>0</v>
      </c>
      <c r="O22" s="129">
        <f>Anchor!W91</f>
        <v>0</v>
      </c>
      <c r="P22" s="129">
        <f>Anchor!X91</f>
        <v>0</v>
      </c>
      <c r="Q22" s="131">
        <f>10*LOG10(1/(('Summary (Full)'!$B$41/10^(N22/10)+'Summary (Full)'!$B$42/10^(O22/10)+'Summary (Full)'!$B$43/10^(P22/10))/'Summary (Full)'!$B$44))</f>
        <v>0</v>
      </c>
      <c r="R22" s="129">
        <f>Anchor!Y91</f>
        <v>0</v>
      </c>
      <c r="S22" s="129">
        <f>Anchor!Z91</f>
        <v>0</v>
      </c>
      <c r="T22" s="132"/>
      <c r="U22" s="129">
        <f>Test!L91</f>
        <v>0</v>
      </c>
      <c r="V22" s="129">
        <f>Test!M91</f>
        <v>0</v>
      </c>
      <c r="W22" s="129">
        <f>Test!N91</f>
        <v>0</v>
      </c>
      <c r="X22" s="129">
        <f>Test!O91</f>
        <v>0</v>
      </c>
      <c r="Y22" s="129">
        <f>('Summary (Full)'!$B$34*V22+'Summary (Full)'!$B$35*W22+'Summary (Full)'!$B$36*X22)/'Summary (Full)'!$B$37</f>
        <v>0</v>
      </c>
      <c r="Z22" s="129">
        <f>Test!P91</f>
        <v>0</v>
      </c>
      <c r="AA22" s="129">
        <f>Test!Q91</f>
        <v>0</v>
      </c>
      <c r="AB22" s="129">
        <f>Test!R91</f>
        <v>0</v>
      </c>
      <c r="AC22" s="129">
        <f>Test!S91</f>
        <v>0</v>
      </c>
      <c r="AD22" s="129">
        <f>Test!T91</f>
        <v>0</v>
      </c>
      <c r="AE22" s="129">
        <f>Test!U91</f>
        <v>0</v>
      </c>
      <c r="AF22" s="129">
        <f>Test!V91</f>
        <v>0</v>
      </c>
      <c r="AG22" s="129">
        <f>Test!W91</f>
        <v>0</v>
      </c>
      <c r="AH22" s="129">
        <f>Test!X91</f>
        <v>0</v>
      </c>
      <c r="AI22" s="129">
        <f>10*LOG10(1/(('Summary (Full)'!$B$41/10^(AF22/10)+'Summary (Full)'!$B$42/10^(AG22/10)+'Summary (Full)'!$B$43/10^(AH22/10))/'Summary (Full)'!$B$44))</f>
        <v>0</v>
      </c>
      <c r="AJ22" s="129">
        <f>Test!Y91</f>
        <v>0</v>
      </c>
      <c r="AK22" s="129">
        <f>Test!Z91</f>
        <v>0</v>
      </c>
      <c r="AL22" s="129" t="e">
        <f t="shared" si="2"/>
        <v>#DIV/0!</v>
      </c>
      <c r="AM22" s="129" t="e">
        <f t="shared" si="2"/>
        <v>#DIV/0!</v>
      </c>
      <c r="AO22" s="263"/>
      <c r="AP22" s="173"/>
      <c r="AQ22" s="173"/>
      <c r="AR22" s="173"/>
      <c r="AS22" s="173"/>
      <c r="AT22" s="173"/>
      <c r="AU22" s="173"/>
      <c r="AV22" s="173"/>
      <c r="AW22" s="173"/>
      <c r="AX22" s="173"/>
      <c r="AY22" s="188"/>
      <c r="AZ22" s="287"/>
      <c r="BA22" s="240"/>
      <c r="EV22" s="7"/>
      <c r="EW22" s="7"/>
      <c r="EX22" s="7"/>
      <c r="EY22" s="7"/>
      <c r="EZ22" s="7"/>
      <c r="FA22" s="7"/>
      <c r="FB22" s="7"/>
      <c r="FC22" s="7"/>
    </row>
    <row r="23" spans="1:159" ht="13" customHeight="1" x14ac:dyDescent="0.15">
      <c r="A23" s="250" t="s">
        <v>19</v>
      </c>
      <c r="B23" s="38">
        <v>110</v>
      </c>
      <c r="C23" s="129">
        <f>Anchor!L92</f>
        <v>0</v>
      </c>
      <c r="D23" s="129">
        <f>Anchor!M92</f>
        <v>0</v>
      </c>
      <c r="E23" s="129">
        <f>Anchor!N92</f>
        <v>0</v>
      </c>
      <c r="F23" s="129">
        <f>Anchor!O92</f>
        <v>0</v>
      </c>
      <c r="G23" s="130">
        <f>('Summary (Full)'!$B$34*D23+'Summary (Full)'!$B$35*E23+'Summary (Full)'!$B$36*F23)/'Summary (Full)'!$B$37</f>
        <v>0</v>
      </c>
      <c r="H23" s="129">
        <f>Anchor!P92</f>
        <v>0</v>
      </c>
      <c r="I23" s="129">
        <f>Anchor!Q92</f>
        <v>0</v>
      </c>
      <c r="J23" s="129">
        <f>Anchor!R92</f>
        <v>0</v>
      </c>
      <c r="K23" s="129">
        <f>Anchor!S92</f>
        <v>0</v>
      </c>
      <c r="L23" s="129">
        <f>Anchor!T92</f>
        <v>0</v>
      </c>
      <c r="M23" s="129">
        <f>Anchor!U92</f>
        <v>0</v>
      </c>
      <c r="N23" s="129">
        <f>Anchor!V92</f>
        <v>0</v>
      </c>
      <c r="O23" s="129">
        <f>Anchor!W92</f>
        <v>0</v>
      </c>
      <c r="P23" s="129">
        <f>Anchor!X92</f>
        <v>0</v>
      </c>
      <c r="Q23" s="131">
        <f>10*LOG10(1/(('Summary (Full)'!$B$41/10^(N23/10)+'Summary (Full)'!$B$42/10^(O23/10)+'Summary (Full)'!$B$43/10^(P23/10))/'Summary (Full)'!$B$44))</f>
        <v>0</v>
      </c>
      <c r="R23" s="129">
        <f>Anchor!Y92</f>
        <v>0</v>
      </c>
      <c r="S23" s="129">
        <f>Anchor!Z92</f>
        <v>0</v>
      </c>
      <c r="T23" s="132"/>
      <c r="U23" s="129">
        <f>Test!L92</f>
        <v>0</v>
      </c>
      <c r="V23" s="129">
        <f>Test!M92</f>
        <v>0</v>
      </c>
      <c r="W23" s="129">
        <f>Test!N92</f>
        <v>0</v>
      </c>
      <c r="X23" s="129">
        <f>Test!O92</f>
        <v>0</v>
      </c>
      <c r="Y23" s="129">
        <f>('Summary (Full)'!$B$34*V23+'Summary (Full)'!$B$35*W23+'Summary (Full)'!$B$36*X23)/'Summary (Full)'!$B$37</f>
        <v>0</v>
      </c>
      <c r="Z23" s="129">
        <f>Test!P92</f>
        <v>0</v>
      </c>
      <c r="AA23" s="129">
        <f>Test!Q92</f>
        <v>0</v>
      </c>
      <c r="AB23" s="129">
        <f>Test!R92</f>
        <v>0</v>
      </c>
      <c r="AC23" s="129">
        <f>Test!S92</f>
        <v>0</v>
      </c>
      <c r="AD23" s="129">
        <f>Test!T92</f>
        <v>0</v>
      </c>
      <c r="AE23" s="129">
        <f>Test!U92</f>
        <v>0</v>
      </c>
      <c r="AF23" s="129">
        <f>Test!V92</f>
        <v>0</v>
      </c>
      <c r="AG23" s="129">
        <f>Test!W92</f>
        <v>0</v>
      </c>
      <c r="AH23" s="129">
        <f>Test!X92</f>
        <v>0</v>
      </c>
      <c r="AI23" s="129">
        <f>10*LOG10(1/(('Summary (Full)'!$B$41/10^(AF23/10)+'Summary (Full)'!$B$42/10^(AG23/10)+'Summary (Full)'!$B$43/10^(AH23/10))/'Summary (Full)'!$B$44))</f>
        <v>0</v>
      </c>
      <c r="AJ23" s="129">
        <f>Test!Y92</f>
        <v>0</v>
      </c>
      <c r="AK23" s="129">
        <f>Test!Z92</f>
        <v>0</v>
      </c>
      <c r="AL23" s="129" t="e">
        <f t="shared" si="2"/>
        <v>#DIV/0!</v>
      </c>
      <c r="AM23" s="129" t="e">
        <f t="shared" si="2"/>
        <v>#DIV/0!</v>
      </c>
      <c r="AO23" s="253" t="s">
        <v>27</v>
      </c>
      <c r="AP23" s="171" t="e" cm="1">
        <f t="array" ref="AP23">bdRateExtend($C23:$C26,D23:D26,$U23:$U26,V23:V26)</f>
        <v>#VALUE!</v>
      </c>
      <c r="AQ23" s="171" t="e" cm="1">
        <f t="array" ref="AQ23">bdRateExtend($C23:$C28,D23:D28,$U23:$U28,V23:V28)</f>
        <v>#VALUE!</v>
      </c>
      <c r="AR23" s="171" t="e" cm="1">
        <f t="array" ref="AR23">bdRateExtend($C23:$C28,E23:E28,$U23:$U28,W23:W28)</f>
        <v>#VALUE!</v>
      </c>
      <c r="AS23" s="171" t="e" cm="1">
        <f t="array" ref="AS23">bdRateExtend($C23:$C28,F23:F28,$U23:$U28,X23:X28)</f>
        <v>#VALUE!</v>
      </c>
      <c r="AT23" s="171" t="e" cm="1">
        <f t="array" ref="AT23">bdRateExtend($C23:$C26,H23:H26,$U23:$U26,Z23:Z26)</f>
        <v>#VALUE!</v>
      </c>
      <c r="AU23" s="171" t="e" cm="1">
        <f t="array" ref="AU23">bdRateExtend($C23:$C28,H23:H28,$U23:$U28,Z23:Z28)</f>
        <v>#VALUE!</v>
      </c>
      <c r="AV23" s="171" t="e" cm="1">
        <f t="array" ref="AV23">bdRateExtend($C23:$C26,I23:I26,$U23:$U26,AA23:AA26)</f>
        <v>#VALUE!</v>
      </c>
      <c r="AW23" s="171" t="e" cm="1">
        <f t="array" ref="AW23">bdRateExtend($C23:$C28,I23:I28,$U23:$U28,AA23:AA28)</f>
        <v>#VALUE!</v>
      </c>
      <c r="AX23" s="171" t="e" cm="1">
        <f t="array" ref="AX23">bdRateExtend($C23:$C26,J23:J26,$U23:$U26,AB23:AB26,"None", FALSE,1)</f>
        <v>#VALUE!</v>
      </c>
      <c r="AY23" s="174" t="e" cm="1">
        <f t="array" ref="AY23">bdRateExtend($C23:$C28,J23:J28,$U23:$U28,AB23:AB28,"None", FALSE,TRUE)</f>
        <v>#VALUE!</v>
      </c>
      <c r="AZ23" s="285" cm="1">
        <f t="array" ref="AZ23">testVMAFRange($C23:$C26,J23:J26,$U23:$U26,AB23:AB26)</f>
        <v>0</v>
      </c>
      <c r="BA23" s="211" cm="1">
        <f t="array" ref="BA23">testVMAFRange($C23:$C28,J23:J28,$U23:$U28,AB23:AB28)</f>
        <v>0</v>
      </c>
      <c r="EV23" s="7"/>
      <c r="EW23" s="7"/>
      <c r="EX23" s="7"/>
      <c r="EY23" s="7"/>
      <c r="EZ23" s="7"/>
      <c r="FA23" s="7"/>
      <c r="FB23" s="7"/>
      <c r="FC23" s="7"/>
    </row>
    <row r="24" spans="1:159" x14ac:dyDescent="0.15">
      <c r="A24" s="250"/>
      <c r="B24" s="38">
        <v>135</v>
      </c>
      <c r="C24" s="129">
        <f>Anchor!L93</f>
        <v>0</v>
      </c>
      <c r="D24" s="129">
        <f>Anchor!M93</f>
        <v>0</v>
      </c>
      <c r="E24" s="129">
        <f>Anchor!N93</f>
        <v>0</v>
      </c>
      <c r="F24" s="129">
        <f>Anchor!O93</f>
        <v>0</v>
      </c>
      <c r="G24" s="130">
        <f>('Summary (Full)'!$B$34*D24+'Summary (Full)'!$B$35*E24+'Summary (Full)'!$B$36*F24)/'Summary (Full)'!$B$37</f>
        <v>0</v>
      </c>
      <c r="H24" s="129">
        <f>Anchor!P93</f>
        <v>0</v>
      </c>
      <c r="I24" s="129">
        <f>Anchor!Q93</f>
        <v>0</v>
      </c>
      <c r="J24" s="129">
        <f>Anchor!R93</f>
        <v>0</v>
      </c>
      <c r="K24" s="129">
        <f>Anchor!S93</f>
        <v>0</v>
      </c>
      <c r="L24" s="129">
        <f>Anchor!T93</f>
        <v>0</v>
      </c>
      <c r="M24" s="129">
        <f>Anchor!U93</f>
        <v>0</v>
      </c>
      <c r="N24" s="129">
        <f>Anchor!V93</f>
        <v>0</v>
      </c>
      <c r="O24" s="129">
        <f>Anchor!W93</f>
        <v>0</v>
      </c>
      <c r="P24" s="129">
        <f>Anchor!X93</f>
        <v>0</v>
      </c>
      <c r="Q24" s="131">
        <f>10*LOG10(1/(('Summary (Full)'!$B$41/10^(N24/10)+'Summary (Full)'!$B$42/10^(O24/10)+'Summary (Full)'!$B$43/10^(P24/10))/'Summary (Full)'!$B$44))</f>
        <v>0</v>
      </c>
      <c r="R24" s="129">
        <f>Anchor!Y93</f>
        <v>0</v>
      </c>
      <c r="S24" s="129">
        <f>Anchor!Z93</f>
        <v>0</v>
      </c>
      <c r="T24" s="132"/>
      <c r="U24" s="129">
        <f>Test!L93</f>
        <v>0</v>
      </c>
      <c r="V24" s="129">
        <f>Test!M93</f>
        <v>0</v>
      </c>
      <c r="W24" s="129">
        <f>Test!N93</f>
        <v>0</v>
      </c>
      <c r="X24" s="129">
        <f>Test!O93</f>
        <v>0</v>
      </c>
      <c r="Y24" s="129">
        <f>('Summary (Full)'!$B$34*V24+'Summary (Full)'!$B$35*W24+'Summary (Full)'!$B$36*X24)/'Summary (Full)'!$B$37</f>
        <v>0</v>
      </c>
      <c r="Z24" s="129">
        <f>Test!P93</f>
        <v>0</v>
      </c>
      <c r="AA24" s="129">
        <f>Test!Q93</f>
        <v>0</v>
      </c>
      <c r="AB24" s="129">
        <f>Test!R93</f>
        <v>0</v>
      </c>
      <c r="AC24" s="129">
        <f>Test!S93</f>
        <v>0</v>
      </c>
      <c r="AD24" s="129">
        <f>Test!T93</f>
        <v>0</v>
      </c>
      <c r="AE24" s="129">
        <f>Test!U93</f>
        <v>0</v>
      </c>
      <c r="AF24" s="129">
        <f>Test!V93</f>
        <v>0</v>
      </c>
      <c r="AG24" s="129">
        <f>Test!W93</f>
        <v>0</v>
      </c>
      <c r="AH24" s="129">
        <f>Test!X93</f>
        <v>0</v>
      </c>
      <c r="AI24" s="129">
        <f>10*LOG10(1/(('Summary (Full)'!$B$41/10^(AF24/10)+'Summary (Full)'!$B$42/10^(AG24/10)+'Summary (Full)'!$B$43/10^(AH24/10))/'Summary (Full)'!$B$44))</f>
        <v>0</v>
      </c>
      <c r="AJ24" s="129">
        <f>Test!Y93</f>
        <v>0</v>
      </c>
      <c r="AK24" s="129">
        <f>Test!Z93</f>
        <v>0</v>
      </c>
      <c r="AL24" s="129" t="e">
        <f t="shared" si="2"/>
        <v>#DIV/0!</v>
      </c>
      <c r="AM24" s="129" t="e">
        <f t="shared" si="2"/>
        <v>#DIV/0!</v>
      </c>
      <c r="AO24" s="254"/>
      <c r="AP24" s="172"/>
      <c r="AQ24" s="172"/>
      <c r="AR24" s="172"/>
      <c r="AS24" s="172"/>
      <c r="AT24" s="172"/>
      <c r="AU24" s="172"/>
      <c r="AV24" s="172"/>
      <c r="AW24" s="172"/>
      <c r="AX24" s="172"/>
      <c r="AY24" s="175"/>
      <c r="AZ24" s="286"/>
      <c r="BA24" s="212"/>
      <c r="EV24" s="7"/>
      <c r="EW24" s="7"/>
      <c r="EX24" s="7"/>
      <c r="EY24" s="7"/>
      <c r="EZ24" s="7"/>
      <c r="FA24" s="7"/>
      <c r="FB24" s="7"/>
      <c r="FC24" s="7"/>
    </row>
    <row r="25" spans="1:159" ht="13" customHeight="1" x14ac:dyDescent="0.15">
      <c r="A25" s="250"/>
      <c r="B25" s="38">
        <v>160</v>
      </c>
      <c r="C25" s="129">
        <f>Anchor!L94</f>
        <v>0</v>
      </c>
      <c r="D25" s="129">
        <f>Anchor!M94</f>
        <v>0</v>
      </c>
      <c r="E25" s="129">
        <f>Anchor!N94</f>
        <v>0</v>
      </c>
      <c r="F25" s="129">
        <f>Anchor!O94</f>
        <v>0</v>
      </c>
      <c r="G25" s="130">
        <f>('Summary (Full)'!$B$34*D25+'Summary (Full)'!$B$35*E25+'Summary (Full)'!$B$36*F25)/'Summary (Full)'!$B$37</f>
        <v>0</v>
      </c>
      <c r="H25" s="129">
        <f>Anchor!P94</f>
        <v>0</v>
      </c>
      <c r="I25" s="129">
        <f>Anchor!Q94</f>
        <v>0</v>
      </c>
      <c r="J25" s="129">
        <f>Anchor!R94</f>
        <v>0</v>
      </c>
      <c r="K25" s="129">
        <f>Anchor!S94</f>
        <v>0</v>
      </c>
      <c r="L25" s="129">
        <f>Anchor!T94</f>
        <v>0</v>
      </c>
      <c r="M25" s="129">
        <f>Anchor!U94</f>
        <v>0</v>
      </c>
      <c r="N25" s="129">
        <f>Anchor!V94</f>
        <v>0</v>
      </c>
      <c r="O25" s="129">
        <f>Anchor!W94</f>
        <v>0</v>
      </c>
      <c r="P25" s="129">
        <f>Anchor!X94</f>
        <v>0</v>
      </c>
      <c r="Q25" s="131">
        <f>10*LOG10(1/(('Summary (Full)'!$B$41/10^(N25/10)+'Summary (Full)'!$B$42/10^(O25/10)+'Summary (Full)'!$B$43/10^(P25/10))/'Summary (Full)'!$B$44))</f>
        <v>0</v>
      </c>
      <c r="R25" s="129">
        <f>Anchor!Y94</f>
        <v>0</v>
      </c>
      <c r="S25" s="129">
        <f>Anchor!Z94</f>
        <v>0</v>
      </c>
      <c r="T25" s="132"/>
      <c r="U25" s="129">
        <f>Test!L94</f>
        <v>0</v>
      </c>
      <c r="V25" s="129">
        <f>Test!M94</f>
        <v>0</v>
      </c>
      <c r="W25" s="129">
        <f>Test!N94</f>
        <v>0</v>
      </c>
      <c r="X25" s="129">
        <f>Test!O94</f>
        <v>0</v>
      </c>
      <c r="Y25" s="129">
        <f>('Summary (Full)'!$B$34*V25+'Summary (Full)'!$B$35*W25+'Summary (Full)'!$B$36*X25)/'Summary (Full)'!$B$37</f>
        <v>0</v>
      </c>
      <c r="Z25" s="129">
        <f>Test!P94</f>
        <v>0</v>
      </c>
      <c r="AA25" s="129">
        <f>Test!Q94</f>
        <v>0</v>
      </c>
      <c r="AB25" s="129">
        <f>Test!R94</f>
        <v>0</v>
      </c>
      <c r="AC25" s="129">
        <f>Test!S94</f>
        <v>0</v>
      </c>
      <c r="AD25" s="129">
        <f>Test!T94</f>
        <v>0</v>
      </c>
      <c r="AE25" s="129">
        <f>Test!U94</f>
        <v>0</v>
      </c>
      <c r="AF25" s="129">
        <f>Test!V94</f>
        <v>0</v>
      </c>
      <c r="AG25" s="129">
        <f>Test!W94</f>
        <v>0</v>
      </c>
      <c r="AH25" s="129">
        <f>Test!X94</f>
        <v>0</v>
      </c>
      <c r="AI25" s="129">
        <f>10*LOG10(1/(('Summary (Full)'!$B$41/10^(AF25/10)+'Summary (Full)'!$B$42/10^(AG25/10)+'Summary (Full)'!$B$43/10^(AH25/10))/'Summary (Full)'!$B$44))</f>
        <v>0</v>
      </c>
      <c r="AJ25" s="129">
        <f>Test!Y94</f>
        <v>0</v>
      </c>
      <c r="AK25" s="129">
        <f>Test!Z94</f>
        <v>0</v>
      </c>
      <c r="AL25" s="129" t="e">
        <f t="shared" si="2"/>
        <v>#DIV/0!</v>
      </c>
      <c r="AM25" s="129" t="e">
        <f t="shared" si="2"/>
        <v>#DIV/0!</v>
      </c>
      <c r="AO25" s="254" t="s">
        <v>28</v>
      </c>
      <c r="AP25" s="172" t="e" cm="1">
        <f t="array" ref="AP25">bdRateExtend($C24:$C27,D24:D27,$U24:$U27,V24:V27)</f>
        <v>#VALUE!</v>
      </c>
      <c r="AQ25" s="172"/>
      <c r="AR25" s="172"/>
      <c r="AS25" s="172"/>
      <c r="AT25" s="172" t="e" cm="1">
        <f t="array" ref="AT25">bdRateExtend($C24:$C27,H24:H27,$U24:$U27,Z24:Z27)</f>
        <v>#VALUE!</v>
      </c>
      <c r="AU25" s="172"/>
      <c r="AV25" s="172" t="e" cm="1">
        <f t="array" ref="AV25">bdRateExtend($C24:$C27,I24:I27,$U24:$U27,AA24:AA27)</f>
        <v>#VALUE!</v>
      </c>
      <c r="AW25" s="172"/>
      <c r="AX25" s="172" t="e" cm="1">
        <f t="array" ref="AX25">bdRateExtend($C24:$C27,J24:J27,$U24:$U27,AB24:AB27,"None", FALSE,1)</f>
        <v>#VALUE!</v>
      </c>
      <c r="AY25" s="175"/>
      <c r="AZ25" s="286" cm="1">
        <f t="array" ref="AZ25">testVMAFRange($C24:$C27,J24:J27,$U24:$U27,AB24:AB27)</f>
        <v>0</v>
      </c>
      <c r="BA25" s="212"/>
      <c r="EV25" s="7"/>
      <c r="EW25" s="7"/>
      <c r="EX25" s="7"/>
      <c r="EY25" s="7"/>
      <c r="EZ25" s="7"/>
      <c r="FA25" s="7"/>
      <c r="FB25" s="7"/>
      <c r="FC25" s="7"/>
    </row>
    <row r="26" spans="1:159" x14ac:dyDescent="0.15">
      <c r="A26" s="250"/>
      <c r="B26" s="38">
        <v>185</v>
      </c>
      <c r="C26" s="129">
        <f>Anchor!L95</f>
        <v>0</v>
      </c>
      <c r="D26" s="129">
        <f>Anchor!M95</f>
        <v>0</v>
      </c>
      <c r="E26" s="129">
        <f>Anchor!N95</f>
        <v>0</v>
      </c>
      <c r="F26" s="129">
        <f>Anchor!O95</f>
        <v>0</v>
      </c>
      <c r="G26" s="130">
        <f>('Summary (Full)'!$B$34*D26+'Summary (Full)'!$B$35*E26+'Summary (Full)'!$B$36*F26)/'Summary (Full)'!$B$37</f>
        <v>0</v>
      </c>
      <c r="H26" s="129">
        <f>Anchor!P95</f>
        <v>0</v>
      </c>
      <c r="I26" s="129">
        <f>Anchor!Q95</f>
        <v>0</v>
      </c>
      <c r="J26" s="129">
        <f>Anchor!R95</f>
        <v>0</v>
      </c>
      <c r="K26" s="129">
        <f>Anchor!S95</f>
        <v>0</v>
      </c>
      <c r="L26" s="129">
        <f>Anchor!T95</f>
        <v>0</v>
      </c>
      <c r="M26" s="129">
        <f>Anchor!U95</f>
        <v>0</v>
      </c>
      <c r="N26" s="129">
        <f>Anchor!V95</f>
        <v>0</v>
      </c>
      <c r="O26" s="129">
        <f>Anchor!W95</f>
        <v>0</v>
      </c>
      <c r="P26" s="129">
        <f>Anchor!X95</f>
        <v>0</v>
      </c>
      <c r="Q26" s="131">
        <f>10*LOG10(1/(('Summary (Full)'!$B$41/10^(N26/10)+'Summary (Full)'!$B$42/10^(O26/10)+'Summary (Full)'!$B$43/10^(P26/10))/'Summary (Full)'!$B$44))</f>
        <v>0</v>
      </c>
      <c r="R26" s="129">
        <f>Anchor!Y95</f>
        <v>0</v>
      </c>
      <c r="S26" s="129">
        <f>Anchor!Z95</f>
        <v>0</v>
      </c>
      <c r="T26" s="132"/>
      <c r="U26" s="129">
        <f>Test!L95</f>
        <v>0</v>
      </c>
      <c r="V26" s="129">
        <f>Test!M95</f>
        <v>0</v>
      </c>
      <c r="W26" s="129">
        <f>Test!N95</f>
        <v>0</v>
      </c>
      <c r="X26" s="129">
        <f>Test!O95</f>
        <v>0</v>
      </c>
      <c r="Y26" s="129">
        <f>('Summary (Full)'!$B$34*V26+'Summary (Full)'!$B$35*W26+'Summary (Full)'!$B$36*X26)/'Summary (Full)'!$B$37</f>
        <v>0</v>
      </c>
      <c r="Z26" s="129">
        <f>Test!P95</f>
        <v>0</v>
      </c>
      <c r="AA26" s="129">
        <f>Test!Q95</f>
        <v>0</v>
      </c>
      <c r="AB26" s="129">
        <f>Test!R95</f>
        <v>0</v>
      </c>
      <c r="AC26" s="129">
        <f>Test!S95</f>
        <v>0</v>
      </c>
      <c r="AD26" s="129">
        <f>Test!T95</f>
        <v>0</v>
      </c>
      <c r="AE26" s="129">
        <f>Test!U95</f>
        <v>0</v>
      </c>
      <c r="AF26" s="129">
        <f>Test!V95</f>
        <v>0</v>
      </c>
      <c r="AG26" s="129">
        <f>Test!W95</f>
        <v>0</v>
      </c>
      <c r="AH26" s="129">
        <f>Test!X95</f>
        <v>0</v>
      </c>
      <c r="AI26" s="129">
        <f>10*LOG10(1/(('Summary (Full)'!$B$41/10^(AF26/10)+'Summary (Full)'!$B$42/10^(AG26/10)+'Summary (Full)'!$B$43/10^(AH26/10))/'Summary (Full)'!$B$44))</f>
        <v>0</v>
      </c>
      <c r="AJ26" s="129">
        <f>Test!Y95</f>
        <v>0</v>
      </c>
      <c r="AK26" s="129">
        <f>Test!Z95</f>
        <v>0</v>
      </c>
      <c r="AL26" s="129" t="e">
        <f t="shared" si="2"/>
        <v>#DIV/0!</v>
      </c>
      <c r="AM26" s="129" t="e">
        <f t="shared" si="2"/>
        <v>#DIV/0!</v>
      </c>
      <c r="AO26" s="254"/>
      <c r="AP26" s="172"/>
      <c r="AQ26" s="172"/>
      <c r="AR26" s="172"/>
      <c r="AS26" s="172"/>
      <c r="AT26" s="172"/>
      <c r="AU26" s="172"/>
      <c r="AV26" s="172"/>
      <c r="AW26" s="172"/>
      <c r="AX26" s="172"/>
      <c r="AY26" s="175"/>
      <c r="AZ26" s="286"/>
      <c r="BA26" s="212"/>
      <c r="EV26" s="7"/>
      <c r="EW26" s="7"/>
      <c r="EX26" s="7"/>
      <c r="EY26" s="7"/>
      <c r="EZ26" s="7"/>
      <c r="FA26" s="7"/>
      <c r="FB26" s="7"/>
      <c r="FC26" s="7"/>
    </row>
    <row r="27" spans="1:159" ht="13" customHeight="1" x14ac:dyDescent="0.15">
      <c r="A27" s="250"/>
      <c r="B27" s="38">
        <v>210</v>
      </c>
      <c r="C27" s="129">
        <f>Anchor!L96</f>
        <v>0</v>
      </c>
      <c r="D27" s="129">
        <f>Anchor!M96</f>
        <v>0</v>
      </c>
      <c r="E27" s="129">
        <f>Anchor!N96</f>
        <v>0</v>
      </c>
      <c r="F27" s="129">
        <f>Anchor!O96</f>
        <v>0</v>
      </c>
      <c r="G27" s="130">
        <f>('Summary (Full)'!$B$34*D27+'Summary (Full)'!$B$35*E27+'Summary (Full)'!$B$36*F27)/'Summary (Full)'!$B$37</f>
        <v>0</v>
      </c>
      <c r="H27" s="129">
        <f>Anchor!P96</f>
        <v>0</v>
      </c>
      <c r="I27" s="129">
        <f>Anchor!Q96</f>
        <v>0</v>
      </c>
      <c r="J27" s="129">
        <f>Anchor!R96</f>
        <v>0</v>
      </c>
      <c r="K27" s="129">
        <f>Anchor!S96</f>
        <v>0</v>
      </c>
      <c r="L27" s="129">
        <f>Anchor!T96</f>
        <v>0</v>
      </c>
      <c r="M27" s="129">
        <f>Anchor!U96</f>
        <v>0</v>
      </c>
      <c r="N27" s="129">
        <f>Anchor!V96</f>
        <v>0</v>
      </c>
      <c r="O27" s="129">
        <f>Anchor!W96</f>
        <v>0</v>
      </c>
      <c r="P27" s="129">
        <f>Anchor!X96</f>
        <v>0</v>
      </c>
      <c r="Q27" s="131">
        <f>10*LOG10(1/(('Summary (Full)'!$B$41/10^(N27/10)+'Summary (Full)'!$B$42/10^(O27/10)+'Summary (Full)'!$B$43/10^(P27/10))/'Summary (Full)'!$B$44))</f>
        <v>0</v>
      </c>
      <c r="R27" s="129">
        <f>Anchor!Y96</f>
        <v>0</v>
      </c>
      <c r="S27" s="129">
        <f>Anchor!Z96</f>
        <v>0</v>
      </c>
      <c r="T27" s="132"/>
      <c r="U27" s="129">
        <f>Test!L96</f>
        <v>0</v>
      </c>
      <c r="V27" s="129">
        <f>Test!M96</f>
        <v>0</v>
      </c>
      <c r="W27" s="129">
        <f>Test!N96</f>
        <v>0</v>
      </c>
      <c r="X27" s="129">
        <f>Test!O96</f>
        <v>0</v>
      </c>
      <c r="Y27" s="129">
        <f>('Summary (Full)'!$B$34*V27+'Summary (Full)'!$B$35*W27+'Summary (Full)'!$B$36*X27)/'Summary (Full)'!$B$37</f>
        <v>0</v>
      </c>
      <c r="Z27" s="129">
        <f>Test!P96</f>
        <v>0</v>
      </c>
      <c r="AA27" s="129">
        <f>Test!Q96</f>
        <v>0</v>
      </c>
      <c r="AB27" s="129">
        <f>Test!R96</f>
        <v>0</v>
      </c>
      <c r="AC27" s="129">
        <f>Test!S96</f>
        <v>0</v>
      </c>
      <c r="AD27" s="129">
        <f>Test!T96</f>
        <v>0</v>
      </c>
      <c r="AE27" s="129">
        <f>Test!U96</f>
        <v>0</v>
      </c>
      <c r="AF27" s="129">
        <f>Test!V96</f>
        <v>0</v>
      </c>
      <c r="AG27" s="129">
        <f>Test!W96</f>
        <v>0</v>
      </c>
      <c r="AH27" s="129">
        <f>Test!X96</f>
        <v>0</v>
      </c>
      <c r="AI27" s="129">
        <f>10*LOG10(1/(('Summary (Full)'!$B$41/10^(AF27/10)+'Summary (Full)'!$B$42/10^(AG27/10)+'Summary (Full)'!$B$43/10^(AH27/10))/'Summary (Full)'!$B$44))</f>
        <v>0</v>
      </c>
      <c r="AJ27" s="129">
        <f>Test!Y96</f>
        <v>0</v>
      </c>
      <c r="AK27" s="129">
        <f>Test!Z96</f>
        <v>0</v>
      </c>
      <c r="AL27" s="129" t="e">
        <f t="shared" si="2"/>
        <v>#DIV/0!</v>
      </c>
      <c r="AM27" s="129" t="e">
        <f t="shared" si="2"/>
        <v>#DIV/0!</v>
      </c>
      <c r="AO27" s="254" t="s">
        <v>29</v>
      </c>
      <c r="AP27" s="172" t="e" cm="1">
        <f t="array" ref="AP27">bdRateExtend($C25:$C28,D25:D28,$U25:$U28,V25:V28)</f>
        <v>#VALUE!</v>
      </c>
      <c r="AQ27" s="172"/>
      <c r="AR27" s="172"/>
      <c r="AS27" s="172"/>
      <c r="AT27" s="172" t="e" cm="1">
        <f t="array" ref="AT27">bdRateExtend($C25:$C28,H25:H28,$U25:$U28,Z25:Z28)</f>
        <v>#VALUE!</v>
      </c>
      <c r="AU27" s="172"/>
      <c r="AV27" s="172" t="e" cm="1">
        <f t="array" ref="AV27">bdRateExtend($C25:$C28,I25:I28,$U25:$U28,AA25:AA28)</f>
        <v>#VALUE!</v>
      </c>
      <c r="AW27" s="172"/>
      <c r="AX27" s="172" t="e" cm="1">
        <f t="array" ref="AX27">bdRateExtend($C25:$C28,J25:J28,$U25:$U28,AB25:AB28,"None", FALSE,1)</f>
        <v>#VALUE!</v>
      </c>
      <c r="AY27" s="175"/>
      <c r="AZ27" s="286" cm="1">
        <f t="array" ref="AZ27">testVMAFRange($C25:$C28,J25:J28,$U25:$U28,AB25:AB28)</f>
        <v>0</v>
      </c>
      <c r="BA27" s="212"/>
      <c r="EV27" s="7"/>
      <c r="EW27" s="7"/>
      <c r="EX27" s="7"/>
      <c r="EY27" s="7"/>
      <c r="EZ27" s="7"/>
      <c r="FA27" s="7"/>
      <c r="FB27" s="7"/>
      <c r="FC27" s="7"/>
    </row>
    <row r="28" spans="1:159" ht="14" thickBot="1" x14ac:dyDescent="0.2">
      <c r="A28" s="250"/>
      <c r="B28" s="38">
        <v>235</v>
      </c>
      <c r="C28" s="129">
        <f>Anchor!L97</f>
        <v>0</v>
      </c>
      <c r="D28" s="129">
        <f>Anchor!M97</f>
        <v>0</v>
      </c>
      <c r="E28" s="129">
        <f>Anchor!N97</f>
        <v>0</v>
      </c>
      <c r="F28" s="129">
        <f>Anchor!O97</f>
        <v>0</v>
      </c>
      <c r="G28" s="130">
        <f>('Summary (Full)'!$B$34*D28+'Summary (Full)'!$B$35*E28+'Summary (Full)'!$B$36*F28)/'Summary (Full)'!$B$37</f>
        <v>0</v>
      </c>
      <c r="H28" s="129">
        <f>Anchor!P97</f>
        <v>0</v>
      </c>
      <c r="I28" s="129">
        <f>Anchor!Q97</f>
        <v>0</v>
      </c>
      <c r="J28" s="129">
        <f>Anchor!R97</f>
        <v>0</v>
      </c>
      <c r="K28" s="129">
        <f>Anchor!S97</f>
        <v>0</v>
      </c>
      <c r="L28" s="129">
        <f>Anchor!T97</f>
        <v>0</v>
      </c>
      <c r="M28" s="129">
        <f>Anchor!U97</f>
        <v>0</v>
      </c>
      <c r="N28" s="129">
        <f>Anchor!V97</f>
        <v>0</v>
      </c>
      <c r="O28" s="129">
        <f>Anchor!W97</f>
        <v>0</v>
      </c>
      <c r="P28" s="129">
        <f>Anchor!X97</f>
        <v>0</v>
      </c>
      <c r="Q28" s="131">
        <f>10*LOG10(1/(('Summary (Full)'!$B$41/10^(N28/10)+'Summary (Full)'!$B$42/10^(O28/10)+'Summary (Full)'!$B$43/10^(P28/10))/'Summary (Full)'!$B$44))</f>
        <v>0</v>
      </c>
      <c r="R28" s="129">
        <f>Anchor!Y97</f>
        <v>0</v>
      </c>
      <c r="S28" s="129">
        <f>Anchor!Z97</f>
        <v>0</v>
      </c>
      <c r="T28" s="132"/>
      <c r="U28" s="129">
        <f>Test!L97</f>
        <v>0</v>
      </c>
      <c r="V28" s="129">
        <f>Test!M97</f>
        <v>0</v>
      </c>
      <c r="W28" s="129">
        <f>Test!N97</f>
        <v>0</v>
      </c>
      <c r="X28" s="129">
        <f>Test!O97</f>
        <v>0</v>
      </c>
      <c r="Y28" s="129">
        <f>('Summary (Full)'!$B$34*V28+'Summary (Full)'!$B$35*W28+'Summary (Full)'!$B$36*X28)/'Summary (Full)'!$B$37</f>
        <v>0</v>
      </c>
      <c r="Z28" s="129">
        <f>Test!P97</f>
        <v>0</v>
      </c>
      <c r="AA28" s="129">
        <f>Test!Q97</f>
        <v>0</v>
      </c>
      <c r="AB28" s="129">
        <f>Test!R97</f>
        <v>0</v>
      </c>
      <c r="AC28" s="129">
        <f>Test!S97</f>
        <v>0</v>
      </c>
      <c r="AD28" s="129">
        <f>Test!T97</f>
        <v>0</v>
      </c>
      <c r="AE28" s="129">
        <f>Test!U97</f>
        <v>0</v>
      </c>
      <c r="AF28" s="129">
        <f>Test!V97</f>
        <v>0</v>
      </c>
      <c r="AG28" s="129">
        <f>Test!W97</f>
        <v>0</v>
      </c>
      <c r="AH28" s="129">
        <f>Test!X97</f>
        <v>0</v>
      </c>
      <c r="AI28" s="129">
        <f>10*LOG10(1/(('Summary (Full)'!$B$41/10^(AF28/10)+'Summary (Full)'!$B$42/10^(AG28/10)+'Summary (Full)'!$B$43/10^(AH28/10))/'Summary (Full)'!$B$44))</f>
        <v>0</v>
      </c>
      <c r="AJ28" s="129">
        <f>Test!Y97</f>
        <v>0</v>
      </c>
      <c r="AK28" s="129">
        <f>Test!Z97</f>
        <v>0</v>
      </c>
      <c r="AL28" s="129" t="e">
        <f t="shared" si="2"/>
        <v>#DIV/0!</v>
      </c>
      <c r="AM28" s="129" t="e">
        <f t="shared" si="2"/>
        <v>#DIV/0!</v>
      </c>
      <c r="AO28" s="263"/>
      <c r="AP28" s="173"/>
      <c r="AQ28" s="173"/>
      <c r="AR28" s="173"/>
      <c r="AS28" s="173"/>
      <c r="AT28" s="173"/>
      <c r="AU28" s="173"/>
      <c r="AV28" s="173"/>
      <c r="AW28" s="173"/>
      <c r="AX28" s="173"/>
      <c r="AY28" s="188"/>
      <c r="AZ28" s="287"/>
      <c r="BA28" s="240"/>
      <c r="EV28" s="7"/>
      <c r="EW28" s="7"/>
      <c r="EX28" s="7"/>
      <c r="EY28" s="7"/>
      <c r="EZ28" s="7"/>
      <c r="FA28" s="7"/>
      <c r="FB28" s="7"/>
      <c r="FC28" s="7"/>
    </row>
    <row r="29" spans="1:159" ht="13" customHeight="1" x14ac:dyDescent="0.15">
      <c r="A29" s="250" t="s">
        <v>9</v>
      </c>
      <c r="B29" s="38">
        <v>110</v>
      </c>
      <c r="C29" s="129">
        <f>Anchor!L98</f>
        <v>0</v>
      </c>
      <c r="D29" s="129">
        <f>Anchor!M98</f>
        <v>0</v>
      </c>
      <c r="E29" s="129">
        <f>Anchor!N98</f>
        <v>0</v>
      </c>
      <c r="F29" s="129">
        <f>Anchor!O98</f>
        <v>0</v>
      </c>
      <c r="G29" s="130">
        <f>('Summary (Full)'!$B$34*D29+'Summary (Full)'!$B$35*E29+'Summary (Full)'!$B$36*F29)/'Summary (Full)'!$B$37</f>
        <v>0</v>
      </c>
      <c r="H29" s="129">
        <f>Anchor!P98</f>
        <v>0</v>
      </c>
      <c r="I29" s="129">
        <f>Anchor!Q98</f>
        <v>0</v>
      </c>
      <c r="J29" s="129">
        <f>Anchor!R98</f>
        <v>0</v>
      </c>
      <c r="K29" s="129">
        <f>Anchor!S98</f>
        <v>0</v>
      </c>
      <c r="L29" s="129">
        <f>Anchor!T98</f>
        <v>0</v>
      </c>
      <c r="M29" s="129">
        <f>Anchor!U98</f>
        <v>0</v>
      </c>
      <c r="N29" s="129">
        <f>Anchor!V98</f>
        <v>0</v>
      </c>
      <c r="O29" s="129">
        <f>Anchor!W98</f>
        <v>0</v>
      </c>
      <c r="P29" s="129">
        <f>Anchor!X98</f>
        <v>0</v>
      </c>
      <c r="Q29" s="131">
        <f>10*LOG10(1/(('Summary (Full)'!$B$41/10^(N29/10)+'Summary (Full)'!$B$42/10^(O29/10)+'Summary (Full)'!$B$43/10^(P29/10))/'Summary (Full)'!$B$44))</f>
        <v>0</v>
      </c>
      <c r="R29" s="129">
        <f>Anchor!Y98</f>
        <v>0</v>
      </c>
      <c r="S29" s="129">
        <f>Anchor!Z98</f>
        <v>0</v>
      </c>
      <c r="T29" s="132"/>
      <c r="U29" s="129">
        <f>Test!L98</f>
        <v>0</v>
      </c>
      <c r="V29" s="129">
        <f>Test!M98</f>
        <v>0</v>
      </c>
      <c r="W29" s="129">
        <f>Test!N98</f>
        <v>0</v>
      </c>
      <c r="X29" s="129">
        <f>Test!O98</f>
        <v>0</v>
      </c>
      <c r="Y29" s="129">
        <f>('Summary (Full)'!$B$34*V29+'Summary (Full)'!$B$35*W29+'Summary (Full)'!$B$36*X29)/'Summary (Full)'!$B$37</f>
        <v>0</v>
      </c>
      <c r="Z29" s="129">
        <f>Test!P98</f>
        <v>0</v>
      </c>
      <c r="AA29" s="129">
        <f>Test!Q98</f>
        <v>0</v>
      </c>
      <c r="AB29" s="129">
        <f>Test!R98</f>
        <v>0</v>
      </c>
      <c r="AC29" s="129">
        <f>Test!S98</f>
        <v>0</v>
      </c>
      <c r="AD29" s="129">
        <f>Test!T98</f>
        <v>0</v>
      </c>
      <c r="AE29" s="129">
        <f>Test!U98</f>
        <v>0</v>
      </c>
      <c r="AF29" s="129">
        <f>Test!V98</f>
        <v>0</v>
      </c>
      <c r="AG29" s="129">
        <f>Test!W98</f>
        <v>0</v>
      </c>
      <c r="AH29" s="129">
        <f>Test!X98</f>
        <v>0</v>
      </c>
      <c r="AI29" s="129">
        <f>10*LOG10(1/(('Summary (Full)'!$B$41/10^(AF29/10)+'Summary (Full)'!$B$42/10^(AG29/10)+'Summary (Full)'!$B$43/10^(AH29/10))/'Summary (Full)'!$B$44))</f>
        <v>0</v>
      </c>
      <c r="AJ29" s="129">
        <f>Test!Y98</f>
        <v>0</v>
      </c>
      <c r="AK29" s="129">
        <f>Test!Z98</f>
        <v>0</v>
      </c>
      <c r="AL29" s="129" t="e">
        <f t="shared" si="2"/>
        <v>#DIV/0!</v>
      </c>
      <c r="AM29" s="129" t="e">
        <f t="shared" si="2"/>
        <v>#DIV/0!</v>
      </c>
      <c r="AO29" s="253" t="s">
        <v>27</v>
      </c>
      <c r="AP29" s="171" t="e" cm="1">
        <f t="array" ref="AP29">bdRateExtend($C29:$C32,D29:D32,$U29:$U32,V29:V32)</f>
        <v>#VALUE!</v>
      </c>
      <c r="AQ29" s="171" t="e" cm="1">
        <f t="array" ref="AQ29">bdRateExtend($C29:$C34,D29:D34,$U29:$U34,V29:V34)</f>
        <v>#VALUE!</v>
      </c>
      <c r="AR29" s="171" t="e" cm="1">
        <f t="array" ref="AR29">bdRateExtend($C29:$C34,E29:E34,$U29:$U34,W29:W34)</f>
        <v>#VALUE!</v>
      </c>
      <c r="AS29" s="171" t="e" cm="1">
        <f t="array" ref="AS29">bdRateExtend($C29:$C34,F29:F34,$U29:$U34,X29:X34)</f>
        <v>#VALUE!</v>
      </c>
      <c r="AT29" s="171" t="e" cm="1">
        <f t="array" ref="AT29">bdRateExtend($C29:$C32,H29:H32,$U29:$U32,Z29:Z32)</f>
        <v>#VALUE!</v>
      </c>
      <c r="AU29" s="171" t="e" cm="1">
        <f t="array" ref="AU29">bdRateExtend($C29:$C34,H29:H34,$U29:$U34,Z29:Z34)</f>
        <v>#VALUE!</v>
      </c>
      <c r="AV29" s="171" t="e" cm="1">
        <f t="array" ref="AV29">bdRateExtend($C29:$C32,I29:I32,$U29:$U32,AA29:AA32)</f>
        <v>#VALUE!</v>
      </c>
      <c r="AW29" s="171" t="e" cm="1">
        <f t="array" ref="AW29">bdRateExtend($C29:$C34,I29:I34,$U29:$U34,AA29:AA34)</f>
        <v>#VALUE!</v>
      </c>
      <c r="AX29" s="171" t="e" cm="1">
        <f t="array" ref="AX29">bdRateExtend($C29:$C32,J29:J32,$U29:$U32,AB29:AB32,"None", FALSE,1)</f>
        <v>#VALUE!</v>
      </c>
      <c r="AY29" s="174" t="e" cm="1">
        <f t="array" ref="AY29">bdRateExtend($C29:$C34,J29:J34,$U29:$U34,AB29:AB34,"None", FALSE,TRUE)</f>
        <v>#VALUE!</v>
      </c>
      <c r="AZ29" s="285" cm="1">
        <f t="array" ref="AZ29">testVMAFRange($C29:$C32,J29:J32,$U29:$U32,AB29:AB32)</f>
        <v>0</v>
      </c>
      <c r="BA29" s="211" cm="1">
        <f t="array" ref="BA29">testVMAFRange($C29:$C34,J29:J34,$U29:$U34,AB29:AB34)</f>
        <v>0</v>
      </c>
      <c r="EV29" s="7"/>
      <c r="EW29" s="7"/>
      <c r="EX29" s="7"/>
      <c r="EY29" s="7"/>
      <c r="EZ29" s="7"/>
      <c r="FA29" s="7"/>
      <c r="FB29" s="7"/>
      <c r="FC29" s="7"/>
    </row>
    <row r="30" spans="1:159" x14ac:dyDescent="0.15">
      <c r="A30" s="250"/>
      <c r="B30" s="38">
        <v>135</v>
      </c>
      <c r="C30" s="129">
        <f>Anchor!L99</f>
        <v>0</v>
      </c>
      <c r="D30" s="129">
        <f>Anchor!M99</f>
        <v>0</v>
      </c>
      <c r="E30" s="129">
        <f>Anchor!N99</f>
        <v>0</v>
      </c>
      <c r="F30" s="129">
        <f>Anchor!O99</f>
        <v>0</v>
      </c>
      <c r="G30" s="130">
        <f>('Summary (Full)'!$B$34*D30+'Summary (Full)'!$B$35*E30+'Summary (Full)'!$B$36*F30)/'Summary (Full)'!$B$37</f>
        <v>0</v>
      </c>
      <c r="H30" s="129">
        <f>Anchor!P99</f>
        <v>0</v>
      </c>
      <c r="I30" s="129">
        <f>Anchor!Q99</f>
        <v>0</v>
      </c>
      <c r="J30" s="129">
        <f>Anchor!R99</f>
        <v>0</v>
      </c>
      <c r="K30" s="129">
        <f>Anchor!S99</f>
        <v>0</v>
      </c>
      <c r="L30" s="129">
        <f>Anchor!T99</f>
        <v>0</v>
      </c>
      <c r="M30" s="129">
        <f>Anchor!U99</f>
        <v>0</v>
      </c>
      <c r="N30" s="129">
        <f>Anchor!V99</f>
        <v>0</v>
      </c>
      <c r="O30" s="129">
        <f>Anchor!W99</f>
        <v>0</v>
      </c>
      <c r="P30" s="129">
        <f>Anchor!X99</f>
        <v>0</v>
      </c>
      <c r="Q30" s="131">
        <f>10*LOG10(1/(('Summary (Full)'!$B$41/10^(N30/10)+'Summary (Full)'!$B$42/10^(O30/10)+'Summary (Full)'!$B$43/10^(P30/10))/'Summary (Full)'!$B$44))</f>
        <v>0</v>
      </c>
      <c r="R30" s="129">
        <f>Anchor!Y99</f>
        <v>0</v>
      </c>
      <c r="S30" s="129">
        <f>Anchor!Z99</f>
        <v>0</v>
      </c>
      <c r="T30" s="132"/>
      <c r="U30" s="129">
        <f>Test!L99</f>
        <v>0</v>
      </c>
      <c r="V30" s="129">
        <f>Test!M99</f>
        <v>0</v>
      </c>
      <c r="W30" s="129">
        <f>Test!N99</f>
        <v>0</v>
      </c>
      <c r="X30" s="129">
        <f>Test!O99</f>
        <v>0</v>
      </c>
      <c r="Y30" s="129">
        <f>('Summary (Full)'!$B$34*V30+'Summary (Full)'!$B$35*W30+'Summary (Full)'!$B$36*X30)/'Summary (Full)'!$B$37</f>
        <v>0</v>
      </c>
      <c r="Z30" s="129">
        <f>Test!P99</f>
        <v>0</v>
      </c>
      <c r="AA30" s="129">
        <f>Test!Q99</f>
        <v>0</v>
      </c>
      <c r="AB30" s="129">
        <f>Test!R99</f>
        <v>0</v>
      </c>
      <c r="AC30" s="129">
        <f>Test!S99</f>
        <v>0</v>
      </c>
      <c r="AD30" s="129">
        <f>Test!T99</f>
        <v>0</v>
      </c>
      <c r="AE30" s="129">
        <f>Test!U99</f>
        <v>0</v>
      </c>
      <c r="AF30" s="129">
        <f>Test!V99</f>
        <v>0</v>
      </c>
      <c r="AG30" s="129">
        <f>Test!W99</f>
        <v>0</v>
      </c>
      <c r="AH30" s="129">
        <f>Test!X99</f>
        <v>0</v>
      </c>
      <c r="AI30" s="129">
        <f>10*LOG10(1/(('Summary (Full)'!$B$41/10^(AF30/10)+'Summary (Full)'!$B$42/10^(AG30/10)+'Summary (Full)'!$B$43/10^(AH30/10))/'Summary (Full)'!$B$44))</f>
        <v>0</v>
      </c>
      <c r="AJ30" s="129">
        <f>Test!Y99</f>
        <v>0</v>
      </c>
      <c r="AK30" s="129">
        <f>Test!Z99</f>
        <v>0</v>
      </c>
      <c r="AL30" s="129" t="e">
        <f t="shared" si="2"/>
        <v>#DIV/0!</v>
      </c>
      <c r="AM30" s="129" t="e">
        <f t="shared" si="2"/>
        <v>#DIV/0!</v>
      </c>
      <c r="AO30" s="254"/>
      <c r="AP30" s="172"/>
      <c r="AQ30" s="172"/>
      <c r="AR30" s="172"/>
      <c r="AS30" s="172"/>
      <c r="AT30" s="172"/>
      <c r="AU30" s="172"/>
      <c r="AV30" s="172"/>
      <c r="AW30" s="172"/>
      <c r="AX30" s="172"/>
      <c r="AY30" s="175"/>
      <c r="AZ30" s="286"/>
      <c r="BA30" s="212"/>
      <c r="EV30" s="7"/>
      <c r="EW30" s="7"/>
      <c r="EX30" s="7"/>
      <c r="EY30" s="7"/>
      <c r="EZ30" s="7"/>
      <c r="FA30" s="7"/>
      <c r="FB30" s="7"/>
      <c r="FC30" s="7"/>
    </row>
    <row r="31" spans="1:159" ht="13" customHeight="1" x14ac:dyDescent="0.15">
      <c r="A31" s="250"/>
      <c r="B31" s="38">
        <v>160</v>
      </c>
      <c r="C31" s="129">
        <f>Anchor!L100</f>
        <v>0</v>
      </c>
      <c r="D31" s="129">
        <f>Anchor!M100</f>
        <v>0</v>
      </c>
      <c r="E31" s="129">
        <f>Anchor!N100</f>
        <v>0</v>
      </c>
      <c r="F31" s="129">
        <f>Anchor!O100</f>
        <v>0</v>
      </c>
      <c r="G31" s="130">
        <f>('Summary (Full)'!$B$34*D31+'Summary (Full)'!$B$35*E31+'Summary (Full)'!$B$36*F31)/'Summary (Full)'!$B$37</f>
        <v>0</v>
      </c>
      <c r="H31" s="129">
        <f>Anchor!P100</f>
        <v>0</v>
      </c>
      <c r="I31" s="129">
        <f>Anchor!Q100</f>
        <v>0</v>
      </c>
      <c r="J31" s="129">
        <f>Anchor!R100</f>
        <v>0</v>
      </c>
      <c r="K31" s="129">
        <f>Anchor!S100</f>
        <v>0</v>
      </c>
      <c r="L31" s="129">
        <f>Anchor!T100</f>
        <v>0</v>
      </c>
      <c r="M31" s="129">
        <f>Anchor!U100</f>
        <v>0</v>
      </c>
      <c r="N31" s="129">
        <f>Anchor!V100</f>
        <v>0</v>
      </c>
      <c r="O31" s="129">
        <f>Anchor!W100</f>
        <v>0</v>
      </c>
      <c r="P31" s="129">
        <f>Anchor!X100</f>
        <v>0</v>
      </c>
      <c r="Q31" s="131">
        <f>10*LOG10(1/(('Summary (Full)'!$B$41/10^(N31/10)+'Summary (Full)'!$B$42/10^(O31/10)+'Summary (Full)'!$B$43/10^(P31/10))/'Summary (Full)'!$B$44))</f>
        <v>0</v>
      </c>
      <c r="R31" s="129">
        <f>Anchor!Y100</f>
        <v>0</v>
      </c>
      <c r="S31" s="129">
        <f>Anchor!Z100</f>
        <v>0</v>
      </c>
      <c r="T31" s="132"/>
      <c r="U31" s="129">
        <f>Test!L100</f>
        <v>0</v>
      </c>
      <c r="V31" s="129">
        <f>Test!M100</f>
        <v>0</v>
      </c>
      <c r="W31" s="129">
        <f>Test!N100</f>
        <v>0</v>
      </c>
      <c r="X31" s="129">
        <f>Test!O100</f>
        <v>0</v>
      </c>
      <c r="Y31" s="129">
        <f>('Summary (Full)'!$B$34*V31+'Summary (Full)'!$B$35*W31+'Summary (Full)'!$B$36*X31)/'Summary (Full)'!$B$37</f>
        <v>0</v>
      </c>
      <c r="Z31" s="129">
        <f>Test!P100</f>
        <v>0</v>
      </c>
      <c r="AA31" s="129">
        <f>Test!Q100</f>
        <v>0</v>
      </c>
      <c r="AB31" s="129">
        <f>Test!R100</f>
        <v>0</v>
      </c>
      <c r="AC31" s="129">
        <f>Test!S100</f>
        <v>0</v>
      </c>
      <c r="AD31" s="129">
        <f>Test!T100</f>
        <v>0</v>
      </c>
      <c r="AE31" s="129">
        <f>Test!U100</f>
        <v>0</v>
      </c>
      <c r="AF31" s="129">
        <f>Test!V100</f>
        <v>0</v>
      </c>
      <c r="AG31" s="129">
        <f>Test!W100</f>
        <v>0</v>
      </c>
      <c r="AH31" s="129">
        <f>Test!X100</f>
        <v>0</v>
      </c>
      <c r="AI31" s="129">
        <f>10*LOG10(1/(('Summary (Full)'!$B$41/10^(AF31/10)+'Summary (Full)'!$B$42/10^(AG31/10)+'Summary (Full)'!$B$43/10^(AH31/10))/'Summary (Full)'!$B$44))</f>
        <v>0</v>
      </c>
      <c r="AJ31" s="129">
        <f>Test!Y100</f>
        <v>0</v>
      </c>
      <c r="AK31" s="129">
        <f>Test!Z100</f>
        <v>0</v>
      </c>
      <c r="AL31" s="129" t="e">
        <f t="shared" si="2"/>
        <v>#DIV/0!</v>
      </c>
      <c r="AM31" s="129" t="e">
        <f t="shared" si="2"/>
        <v>#DIV/0!</v>
      </c>
      <c r="AO31" s="254" t="s">
        <v>28</v>
      </c>
      <c r="AP31" s="172" t="e" cm="1">
        <f t="array" ref="AP31">bdRateExtend($C30:$C33,D30:D33,$U30:$U33,V30:V33)</f>
        <v>#VALUE!</v>
      </c>
      <c r="AQ31" s="172"/>
      <c r="AR31" s="172"/>
      <c r="AS31" s="172"/>
      <c r="AT31" s="172" t="e" cm="1">
        <f t="array" ref="AT31">bdRateExtend($C30:$C33,H30:H33,$U30:$U33,Z30:Z33)</f>
        <v>#VALUE!</v>
      </c>
      <c r="AU31" s="172"/>
      <c r="AV31" s="172" t="e" cm="1">
        <f t="array" ref="AV31">bdRateExtend($C30:$C33,I30:I33,$U30:$U33,AA30:AA33)</f>
        <v>#VALUE!</v>
      </c>
      <c r="AW31" s="172"/>
      <c r="AX31" s="172" t="e" cm="1">
        <f t="array" ref="AX31">bdRateExtend($C30:$C33,J30:J33,$U30:$U33,AB30:AB33,"None", FALSE,1)</f>
        <v>#VALUE!</v>
      </c>
      <c r="AY31" s="175"/>
      <c r="AZ31" s="286" cm="1">
        <f t="array" ref="AZ31">testVMAFRange($C30:$C33,J30:J33,$U30:$U33,AB30:AB33)</f>
        <v>0</v>
      </c>
      <c r="BA31" s="212"/>
      <c r="EV31" s="7"/>
      <c r="EW31" s="7"/>
      <c r="EX31" s="7"/>
      <c r="EY31" s="7"/>
      <c r="EZ31" s="7"/>
      <c r="FA31" s="7"/>
      <c r="FB31" s="7"/>
      <c r="FC31" s="7"/>
    </row>
    <row r="32" spans="1:159" x14ac:dyDescent="0.15">
      <c r="A32" s="250"/>
      <c r="B32" s="38">
        <v>185</v>
      </c>
      <c r="C32" s="129">
        <f>Anchor!L101</f>
        <v>0</v>
      </c>
      <c r="D32" s="129">
        <f>Anchor!M101</f>
        <v>0</v>
      </c>
      <c r="E32" s="129">
        <f>Anchor!N101</f>
        <v>0</v>
      </c>
      <c r="F32" s="129">
        <f>Anchor!O101</f>
        <v>0</v>
      </c>
      <c r="G32" s="130">
        <f>('Summary (Full)'!$B$34*D32+'Summary (Full)'!$B$35*E32+'Summary (Full)'!$B$36*F32)/'Summary (Full)'!$B$37</f>
        <v>0</v>
      </c>
      <c r="H32" s="129">
        <f>Anchor!P101</f>
        <v>0</v>
      </c>
      <c r="I32" s="129">
        <f>Anchor!Q101</f>
        <v>0</v>
      </c>
      <c r="J32" s="129">
        <f>Anchor!R101</f>
        <v>0</v>
      </c>
      <c r="K32" s="129">
        <f>Anchor!S101</f>
        <v>0</v>
      </c>
      <c r="L32" s="129">
        <f>Anchor!T101</f>
        <v>0</v>
      </c>
      <c r="M32" s="129">
        <f>Anchor!U101</f>
        <v>0</v>
      </c>
      <c r="N32" s="129">
        <f>Anchor!V101</f>
        <v>0</v>
      </c>
      <c r="O32" s="129">
        <f>Anchor!W101</f>
        <v>0</v>
      </c>
      <c r="P32" s="129">
        <f>Anchor!X101</f>
        <v>0</v>
      </c>
      <c r="Q32" s="131">
        <f>10*LOG10(1/(('Summary (Full)'!$B$41/10^(N32/10)+'Summary (Full)'!$B$42/10^(O32/10)+'Summary (Full)'!$B$43/10^(P32/10))/'Summary (Full)'!$B$44))</f>
        <v>0</v>
      </c>
      <c r="R32" s="129">
        <f>Anchor!Y101</f>
        <v>0</v>
      </c>
      <c r="S32" s="129">
        <f>Anchor!Z101</f>
        <v>0</v>
      </c>
      <c r="T32" s="132"/>
      <c r="U32" s="129">
        <f>Test!L101</f>
        <v>0</v>
      </c>
      <c r="V32" s="129">
        <f>Test!M101</f>
        <v>0</v>
      </c>
      <c r="W32" s="129">
        <f>Test!N101</f>
        <v>0</v>
      </c>
      <c r="X32" s="129">
        <f>Test!O101</f>
        <v>0</v>
      </c>
      <c r="Y32" s="129">
        <f>('Summary (Full)'!$B$34*V32+'Summary (Full)'!$B$35*W32+'Summary (Full)'!$B$36*X32)/'Summary (Full)'!$B$37</f>
        <v>0</v>
      </c>
      <c r="Z32" s="129">
        <f>Test!P101</f>
        <v>0</v>
      </c>
      <c r="AA32" s="129">
        <f>Test!Q101</f>
        <v>0</v>
      </c>
      <c r="AB32" s="129">
        <f>Test!R101</f>
        <v>0</v>
      </c>
      <c r="AC32" s="129">
        <f>Test!S101</f>
        <v>0</v>
      </c>
      <c r="AD32" s="129">
        <f>Test!T101</f>
        <v>0</v>
      </c>
      <c r="AE32" s="129">
        <f>Test!U101</f>
        <v>0</v>
      </c>
      <c r="AF32" s="129">
        <f>Test!V101</f>
        <v>0</v>
      </c>
      <c r="AG32" s="129">
        <f>Test!W101</f>
        <v>0</v>
      </c>
      <c r="AH32" s="129">
        <f>Test!X101</f>
        <v>0</v>
      </c>
      <c r="AI32" s="129">
        <f>10*LOG10(1/(('Summary (Full)'!$B$41/10^(AF32/10)+'Summary (Full)'!$B$42/10^(AG32/10)+'Summary (Full)'!$B$43/10^(AH32/10))/'Summary (Full)'!$B$44))</f>
        <v>0</v>
      </c>
      <c r="AJ32" s="129">
        <f>Test!Y101</f>
        <v>0</v>
      </c>
      <c r="AK32" s="129">
        <f>Test!Z101</f>
        <v>0</v>
      </c>
      <c r="AL32" s="129" t="e">
        <f t="shared" si="2"/>
        <v>#DIV/0!</v>
      </c>
      <c r="AM32" s="129" t="e">
        <f t="shared" si="2"/>
        <v>#DIV/0!</v>
      </c>
      <c r="AO32" s="254"/>
      <c r="AP32" s="172"/>
      <c r="AQ32" s="172"/>
      <c r="AR32" s="172"/>
      <c r="AS32" s="172"/>
      <c r="AT32" s="172"/>
      <c r="AU32" s="172"/>
      <c r="AV32" s="172"/>
      <c r="AW32" s="172"/>
      <c r="AX32" s="172"/>
      <c r="AY32" s="175"/>
      <c r="AZ32" s="286"/>
      <c r="BA32" s="212"/>
      <c r="EV32" s="7"/>
      <c r="EW32" s="7"/>
      <c r="EX32" s="7"/>
      <c r="EY32" s="7"/>
      <c r="EZ32" s="7"/>
      <c r="FA32" s="7"/>
      <c r="FB32" s="7"/>
      <c r="FC32" s="7"/>
    </row>
    <row r="33" spans="1:159" ht="13" customHeight="1" x14ac:dyDescent="0.15">
      <c r="A33" s="250"/>
      <c r="B33" s="38">
        <v>210</v>
      </c>
      <c r="C33" s="129">
        <f>Anchor!L102</f>
        <v>0</v>
      </c>
      <c r="D33" s="129">
        <f>Anchor!M102</f>
        <v>0</v>
      </c>
      <c r="E33" s="129">
        <f>Anchor!N102</f>
        <v>0</v>
      </c>
      <c r="F33" s="129">
        <f>Anchor!O102</f>
        <v>0</v>
      </c>
      <c r="G33" s="130">
        <f>('Summary (Full)'!$B$34*D33+'Summary (Full)'!$B$35*E33+'Summary (Full)'!$B$36*F33)/'Summary (Full)'!$B$37</f>
        <v>0</v>
      </c>
      <c r="H33" s="129">
        <f>Anchor!P102</f>
        <v>0</v>
      </c>
      <c r="I33" s="129">
        <f>Anchor!Q102</f>
        <v>0</v>
      </c>
      <c r="J33" s="129">
        <f>Anchor!R102</f>
        <v>0</v>
      </c>
      <c r="K33" s="129">
        <f>Anchor!S102</f>
        <v>0</v>
      </c>
      <c r="L33" s="129">
        <f>Anchor!T102</f>
        <v>0</v>
      </c>
      <c r="M33" s="129">
        <f>Anchor!U102</f>
        <v>0</v>
      </c>
      <c r="N33" s="129">
        <f>Anchor!V102</f>
        <v>0</v>
      </c>
      <c r="O33" s="129">
        <f>Anchor!W102</f>
        <v>0</v>
      </c>
      <c r="P33" s="129">
        <f>Anchor!X102</f>
        <v>0</v>
      </c>
      <c r="Q33" s="131">
        <f>10*LOG10(1/(('Summary (Full)'!$B$41/10^(N33/10)+'Summary (Full)'!$B$42/10^(O33/10)+'Summary (Full)'!$B$43/10^(P33/10))/'Summary (Full)'!$B$44))</f>
        <v>0</v>
      </c>
      <c r="R33" s="129">
        <f>Anchor!Y102</f>
        <v>0</v>
      </c>
      <c r="S33" s="129">
        <f>Anchor!Z102</f>
        <v>0</v>
      </c>
      <c r="T33" s="132"/>
      <c r="U33" s="129">
        <f>Test!L102</f>
        <v>0</v>
      </c>
      <c r="V33" s="129">
        <f>Test!M102</f>
        <v>0</v>
      </c>
      <c r="W33" s="129">
        <f>Test!N102</f>
        <v>0</v>
      </c>
      <c r="X33" s="129">
        <f>Test!O102</f>
        <v>0</v>
      </c>
      <c r="Y33" s="129">
        <f>('Summary (Full)'!$B$34*V33+'Summary (Full)'!$B$35*W33+'Summary (Full)'!$B$36*X33)/'Summary (Full)'!$B$37</f>
        <v>0</v>
      </c>
      <c r="Z33" s="129">
        <f>Test!P102</f>
        <v>0</v>
      </c>
      <c r="AA33" s="129">
        <f>Test!Q102</f>
        <v>0</v>
      </c>
      <c r="AB33" s="129">
        <f>Test!R102</f>
        <v>0</v>
      </c>
      <c r="AC33" s="129">
        <f>Test!S102</f>
        <v>0</v>
      </c>
      <c r="AD33" s="129">
        <f>Test!T102</f>
        <v>0</v>
      </c>
      <c r="AE33" s="129">
        <f>Test!U102</f>
        <v>0</v>
      </c>
      <c r="AF33" s="129">
        <f>Test!V102</f>
        <v>0</v>
      </c>
      <c r="AG33" s="129">
        <f>Test!W102</f>
        <v>0</v>
      </c>
      <c r="AH33" s="129">
        <f>Test!X102</f>
        <v>0</v>
      </c>
      <c r="AI33" s="129">
        <f>10*LOG10(1/(('Summary (Full)'!$B$41/10^(AF33/10)+'Summary (Full)'!$B$42/10^(AG33/10)+'Summary (Full)'!$B$43/10^(AH33/10))/'Summary (Full)'!$B$44))</f>
        <v>0</v>
      </c>
      <c r="AJ33" s="129">
        <f>Test!Y102</f>
        <v>0</v>
      </c>
      <c r="AK33" s="129">
        <f>Test!Z102</f>
        <v>0</v>
      </c>
      <c r="AL33" s="129" t="e">
        <f t="shared" si="2"/>
        <v>#DIV/0!</v>
      </c>
      <c r="AM33" s="129" t="e">
        <f t="shared" si="2"/>
        <v>#DIV/0!</v>
      </c>
      <c r="AO33" s="254" t="s">
        <v>29</v>
      </c>
      <c r="AP33" s="172" t="e" cm="1">
        <f t="array" ref="AP33">bdRateExtend($C31:$C34,D31:D34,$U31:$U34,V31:V34)</f>
        <v>#VALUE!</v>
      </c>
      <c r="AQ33" s="172"/>
      <c r="AR33" s="172"/>
      <c r="AS33" s="172"/>
      <c r="AT33" s="172" t="e" cm="1">
        <f t="array" ref="AT33">bdRateExtend($C31:$C34,H31:H34,$U31:$U34,Z31:Z34)</f>
        <v>#VALUE!</v>
      </c>
      <c r="AU33" s="172"/>
      <c r="AV33" s="172" t="e" cm="1">
        <f t="array" ref="AV33">bdRateExtend($C31:$C34,I31:I34,$U31:$U34,AA31:AA34)</f>
        <v>#VALUE!</v>
      </c>
      <c r="AW33" s="172"/>
      <c r="AX33" s="172" t="e" cm="1">
        <f t="array" ref="AX33">bdRateExtend($C31:$C34,J31:J34,$U31:$U34,AB31:AB34,"None", FALSE,1)</f>
        <v>#VALUE!</v>
      </c>
      <c r="AY33" s="175"/>
      <c r="AZ33" s="286" cm="1">
        <f t="array" ref="AZ33">testVMAFRange($C31:$C34,J31:J34,$U31:$U34,AB31:AB34)</f>
        <v>0</v>
      </c>
      <c r="BA33" s="212"/>
      <c r="EV33" s="7"/>
      <c r="EW33" s="7"/>
      <c r="EX33" s="7"/>
      <c r="EY33" s="7"/>
      <c r="EZ33" s="7"/>
      <c r="FA33" s="7"/>
      <c r="FB33" s="7"/>
      <c r="FC33" s="7"/>
    </row>
    <row r="34" spans="1:159" ht="14" thickBot="1" x14ac:dyDescent="0.2">
      <c r="A34" s="250"/>
      <c r="B34" s="38">
        <v>235</v>
      </c>
      <c r="C34" s="129">
        <f>Anchor!L103</f>
        <v>0</v>
      </c>
      <c r="D34" s="129">
        <f>Anchor!M103</f>
        <v>0</v>
      </c>
      <c r="E34" s="129">
        <f>Anchor!N103</f>
        <v>0</v>
      </c>
      <c r="F34" s="129">
        <f>Anchor!O103</f>
        <v>0</v>
      </c>
      <c r="G34" s="130">
        <f>('Summary (Full)'!$B$34*D34+'Summary (Full)'!$B$35*E34+'Summary (Full)'!$B$36*F34)/'Summary (Full)'!$B$37</f>
        <v>0</v>
      </c>
      <c r="H34" s="129">
        <f>Anchor!P103</f>
        <v>0</v>
      </c>
      <c r="I34" s="129">
        <f>Anchor!Q103</f>
        <v>0</v>
      </c>
      <c r="J34" s="129">
        <f>Anchor!R103</f>
        <v>0</v>
      </c>
      <c r="K34" s="129">
        <f>Anchor!S103</f>
        <v>0</v>
      </c>
      <c r="L34" s="129">
        <f>Anchor!T103</f>
        <v>0</v>
      </c>
      <c r="M34" s="129">
        <f>Anchor!U103</f>
        <v>0</v>
      </c>
      <c r="N34" s="129">
        <f>Anchor!V103</f>
        <v>0</v>
      </c>
      <c r="O34" s="129">
        <f>Anchor!W103</f>
        <v>0</v>
      </c>
      <c r="P34" s="129">
        <f>Anchor!X103</f>
        <v>0</v>
      </c>
      <c r="Q34" s="131">
        <f>10*LOG10(1/(('Summary (Full)'!$B$41/10^(N34/10)+'Summary (Full)'!$B$42/10^(O34/10)+'Summary (Full)'!$B$43/10^(P34/10))/'Summary (Full)'!$B$44))</f>
        <v>0</v>
      </c>
      <c r="R34" s="129">
        <f>Anchor!Y103</f>
        <v>0</v>
      </c>
      <c r="S34" s="129">
        <f>Anchor!Z103</f>
        <v>0</v>
      </c>
      <c r="T34" s="132"/>
      <c r="U34" s="129">
        <f>Test!L103</f>
        <v>0</v>
      </c>
      <c r="V34" s="129">
        <f>Test!M103</f>
        <v>0</v>
      </c>
      <c r="W34" s="129">
        <f>Test!N103</f>
        <v>0</v>
      </c>
      <c r="X34" s="129">
        <f>Test!O103</f>
        <v>0</v>
      </c>
      <c r="Y34" s="129">
        <f>('Summary (Full)'!$B$34*V34+'Summary (Full)'!$B$35*W34+'Summary (Full)'!$B$36*X34)/'Summary (Full)'!$B$37</f>
        <v>0</v>
      </c>
      <c r="Z34" s="129">
        <f>Test!P103</f>
        <v>0</v>
      </c>
      <c r="AA34" s="129">
        <f>Test!Q103</f>
        <v>0</v>
      </c>
      <c r="AB34" s="129">
        <f>Test!R103</f>
        <v>0</v>
      </c>
      <c r="AC34" s="129">
        <f>Test!S103</f>
        <v>0</v>
      </c>
      <c r="AD34" s="129">
        <f>Test!T103</f>
        <v>0</v>
      </c>
      <c r="AE34" s="129">
        <f>Test!U103</f>
        <v>0</v>
      </c>
      <c r="AF34" s="129">
        <f>Test!V103</f>
        <v>0</v>
      </c>
      <c r="AG34" s="129">
        <f>Test!W103</f>
        <v>0</v>
      </c>
      <c r="AH34" s="129">
        <f>Test!X103</f>
        <v>0</v>
      </c>
      <c r="AI34" s="129">
        <f>10*LOG10(1/(('Summary (Full)'!$B$41/10^(AF34/10)+'Summary (Full)'!$B$42/10^(AG34/10)+'Summary (Full)'!$B$43/10^(AH34/10))/'Summary (Full)'!$B$44))</f>
        <v>0</v>
      </c>
      <c r="AJ34" s="129">
        <f>Test!Y103</f>
        <v>0</v>
      </c>
      <c r="AK34" s="129">
        <f>Test!Z103</f>
        <v>0</v>
      </c>
      <c r="AL34" s="129" t="e">
        <f t="shared" si="2"/>
        <v>#DIV/0!</v>
      </c>
      <c r="AM34" s="129" t="e">
        <f t="shared" si="2"/>
        <v>#DIV/0!</v>
      </c>
      <c r="AO34" s="263"/>
      <c r="AP34" s="173"/>
      <c r="AQ34" s="173"/>
      <c r="AR34" s="173"/>
      <c r="AS34" s="173"/>
      <c r="AT34" s="173"/>
      <c r="AU34" s="173"/>
      <c r="AV34" s="173"/>
      <c r="AW34" s="173"/>
      <c r="AX34" s="173"/>
      <c r="AY34" s="188"/>
      <c r="AZ34" s="287"/>
      <c r="BA34" s="240"/>
      <c r="EV34" s="7"/>
      <c r="EW34" s="7"/>
      <c r="EX34" s="7"/>
      <c r="EY34" s="7"/>
      <c r="EZ34" s="7"/>
      <c r="FA34" s="7"/>
      <c r="FB34" s="7"/>
      <c r="FC34" s="7"/>
    </row>
    <row r="35" spans="1:159" ht="13" customHeight="1" x14ac:dyDescent="0.15">
      <c r="A35" s="250" t="s">
        <v>20</v>
      </c>
      <c r="B35" s="38">
        <v>110</v>
      </c>
      <c r="C35" s="129">
        <f>Anchor!L104</f>
        <v>0</v>
      </c>
      <c r="D35" s="129">
        <f>Anchor!M104</f>
        <v>0</v>
      </c>
      <c r="E35" s="129">
        <f>Anchor!N104</f>
        <v>0</v>
      </c>
      <c r="F35" s="129">
        <f>Anchor!O104</f>
        <v>0</v>
      </c>
      <c r="G35" s="130">
        <f>('Summary (Full)'!$B$34*D35+'Summary (Full)'!$B$35*E35+'Summary (Full)'!$B$36*F35)/'Summary (Full)'!$B$37</f>
        <v>0</v>
      </c>
      <c r="H35" s="129">
        <f>Anchor!P104</f>
        <v>0</v>
      </c>
      <c r="I35" s="129">
        <f>Anchor!Q104</f>
        <v>0</v>
      </c>
      <c r="J35" s="129">
        <f>Anchor!R104</f>
        <v>0</v>
      </c>
      <c r="K35" s="129">
        <f>Anchor!S104</f>
        <v>0</v>
      </c>
      <c r="L35" s="129">
        <f>Anchor!T104</f>
        <v>0</v>
      </c>
      <c r="M35" s="129">
        <f>Anchor!U104</f>
        <v>0</v>
      </c>
      <c r="N35" s="129">
        <f>Anchor!V104</f>
        <v>0</v>
      </c>
      <c r="O35" s="129">
        <f>Anchor!W104</f>
        <v>0</v>
      </c>
      <c r="P35" s="129">
        <f>Anchor!X104</f>
        <v>0</v>
      </c>
      <c r="Q35" s="131">
        <f>10*LOG10(1/(('Summary (Full)'!$B$41/10^(N35/10)+'Summary (Full)'!$B$42/10^(O35/10)+'Summary (Full)'!$B$43/10^(P35/10))/'Summary (Full)'!$B$44))</f>
        <v>0</v>
      </c>
      <c r="R35" s="129">
        <f>Anchor!Y104</f>
        <v>0</v>
      </c>
      <c r="S35" s="129">
        <f>Anchor!Z104</f>
        <v>0</v>
      </c>
      <c r="T35" s="132"/>
      <c r="U35" s="129">
        <f>Test!L104</f>
        <v>0</v>
      </c>
      <c r="V35" s="129">
        <f>Test!M104</f>
        <v>0</v>
      </c>
      <c r="W35" s="129">
        <f>Test!N104</f>
        <v>0</v>
      </c>
      <c r="X35" s="129">
        <f>Test!O104</f>
        <v>0</v>
      </c>
      <c r="Y35" s="129">
        <f>('Summary (Full)'!$B$34*V35+'Summary (Full)'!$B$35*W35+'Summary (Full)'!$B$36*X35)/'Summary (Full)'!$B$37</f>
        <v>0</v>
      </c>
      <c r="Z35" s="129">
        <f>Test!P104</f>
        <v>0</v>
      </c>
      <c r="AA35" s="129">
        <f>Test!Q104</f>
        <v>0</v>
      </c>
      <c r="AB35" s="129">
        <f>Test!R104</f>
        <v>0</v>
      </c>
      <c r="AC35" s="129">
        <f>Test!S104</f>
        <v>0</v>
      </c>
      <c r="AD35" s="129">
        <f>Test!T104</f>
        <v>0</v>
      </c>
      <c r="AE35" s="129">
        <f>Test!U104</f>
        <v>0</v>
      </c>
      <c r="AF35" s="129">
        <f>Test!V104</f>
        <v>0</v>
      </c>
      <c r="AG35" s="129">
        <f>Test!W104</f>
        <v>0</v>
      </c>
      <c r="AH35" s="129">
        <f>Test!X104</f>
        <v>0</v>
      </c>
      <c r="AI35" s="129">
        <f>10*LOG10(1/(('Summary (Full)'!$B$41/10^(AF35/10)+'Summary (Full)'!$B$42/10^(AG35/10)+'Summary (Full)'!$B$43/10^(AH35/10))/'Summary (Full)'!$B$44))</f>
        <v>0</v>
      </c>
      <c r="AJ35" s="129">
        <f>Test!Y104</f>
        <v>0</v>
      </c>
      <c r="AK35" s="129">
        <f>Test!Z104</f>
        <v>0</v>
      </c>
      <c r="AL35" s="129" t="e">
        <f t="shared" si="2"/>
        <v>#DIV/0!</v>
      </c>
      <c r="AM35" s="129" t="e">
        <f t="shared" si="2"/>
        <v>#DIV/0!</v>
      </c>
      <c r="AO35" s="253" t="s">
        <v>27</v>
      </c>
      <c r="AP35" s="171" t="e" cm="1">
        <f t="array" ref="AP35">bdRateExtend($C35:$C38,D35:D38,$U35:$U38,V35:V38)</f>
        <v>#VALUE!</v>
      </c>
      <c r="AQ35" s="171" t="e" cm="1">
        <f t="array" ref="AQ35">bdRateExtend($C35:$C40,D35:D40,$U35:$U40,V35:V40)</f>
        <v>#VALUE!</v>
      </c>
      <c r="AR35" s="171" t="e" cm="1">
        <f t="array" ref="AR35">bdRateExtend($C35:$C40,E35:E40,$U35:$U40,W35:W40)</f>
        <v>#VALUE!</v>
      </c>
      <c r="AS35" s="171" t="e" cm="1">
        <f t="array" ref="AS35">bdRateExtend($C35:$C40,F35:F40,$U35:$U40,X35:X40)</f>
        <v>#VALUE!</v>
      </c>
      <c r="AT35" s="171" t="e" cm="1">
        <f t="array" ref="AT35">bdRateExtend($C35:$C38,H35:H38,$U35:$U38,Z35:Z38)</f>
        <v>#VALUE!</v>
      </c>
      <c r="AU35" s="171" t="e" cm="1">
        <f t="array" ref="AU35">bdRateExtend($C35:$C40,H35:H40,$U35:$U40,Z35:Z40)</f>
        <v>#VALUE!</v>
      </c>
      <c r="AV35" s="171" t="e" cm="1">
        <f t="array" ref="AV35">bdRateExtend($C35:$C38,I35:I38,$U35:$U38,AA35:AA38)</f>
        <v>#VALUE!</v>
      </c>
      <c r="AW35" s="171" t="e" cm="1">
        <f t="array" ref="AW35">bdRateExtend($C35:$C40,I35:I40,$U35:$U40,AA35:AA40)</f>
        <v>#VALUE!</v>
      </c>
      <c r="AX35" s="171" t="e" cm="1">
        <f t="array" ref="AX35">bdRateExtend($C35:$C38,J35:J38,$U35:$U38,AB35:AB38,"None", FALSE,1)</f>
        <v>#VALUE!</v>
      </c>
      <c r="AY35" s="174" t="e" cm="1">
        <f t="array" ref="AY35">bdRateExtend($C35:$C40,J35:J40,$U35:$U40,AB35:AB40,"None", FALSE,TRUE)</f>
        <v>#VALUE!</v>
      </c>
      <c r="AZ35" s="285" cm="1">
        <f t="array" ref="AZ35">testVMAFRange($C35:$C38,J35:J38,$U35:$U38,AB35:AB38)</f>
        <v>0</v>
      </c>
      <c r="BA35" s="211" cm="1">
        <f t="array" ref="BA35">testVMAFRange($C35:$C40,J35:J40,$U35:$U40,AB35:AB40)</f>
        <v>0</v>
      </c>
      <c r="EV35" s="7"/>
      <c r="EW35" s="7"/>
      <c r="EX35" s="7"/>
      <c r="EY35" s="7"/>
      <c r="EZ35" s="7"/>
      <c r="FA35" s="7"/>
      <c r="FB35" s="7"/>
      <c r="FC35" s="7"/>
    </row>
    <row r="36" spans="1:159" x14ac:dyDescent="0.15">
      <c r="A36" s="250"/>
      <c r="B36" s="38">
        <v>135</v>
      </c>
      <c r="C36" s="129">
        <f>Anchor!L105</f>
        <v>0</v>
      </c>
      <c r="D36" s="129">
        <f>Anchor!M105</f>
        <v>0</v>
      </c>
      <c r="E36" s="129">
        <f>Anchor!N105</f>
        <v>0</v>
      </c>
      <c r="F36" s="129">
        <f>Anchor!O105</f>
        <v>0</v>
      </c>
      <c r="G36" s="130">
        <f>('Summary (Full)'!$B$34*D36+'Summary (Full)'!$B$35*E36+'Summary (Full)'!$B$36*F36)/'Summary (Full)'!$B$37</f>
        <v>0</v>
      </c>
      <c r="H36" s="129">
        <f>Anchor!P105</f>
        <v>0</v>
      </c>
      <c r="I36" s="129">
        <f>Anchor!Q105</f>
        <v>0</v>
      </c>
      <c r="J36" s="129">
        <f>Anchor!R105</f>
        <v>0</v>
      </c>
      <c r="K36" s="129">
        <f>Anchor!S105</f>
        <v>0</v>
      </c>
      <c r="L36" s="129">
        <f>Anchor!T105</f>
        <v>0</v>
      </c>
      <c r="M36" s="129">
        <f>Anchor!U105</f>
        <v>0</v>
      </c>
      <c r="N36" s="129">
        <f>Anchor!V105</f>
        <v>0</v>
      </c>
      <c r="O36" s="129">
        <f>Anchor!W105</f>
        <v>0</v>
      </c>
      <c r="P36" s="129">
        <f>Anchor!X105</f>
        <v>0</v>
      </c>
      <c r="Q36" s="131">
        <f>10*LOG10(1/(('Summary (Full)'!$B$41/10^(N36/10)+'Summary (Full)'!$B$42/10^(O36/10)+'Summary (Full)'!$B$43/10^(P36/10))/'Summary (Full)'!$B$44))</f>
        <v>0</v>
      </c>
      <c r="R36" s="129">
        <f>Anchor!Y105</f>
        <v>0</v>
      </c>
      <c r="S36" s="129">
        <f>Anchor!Z105</f>
        <v>0</v>
      </c>
      <c r="T36" s="132"/>
      <c r="U36" s="129">
        <f>Test!L105</f>
        <v>0</v>
      </c>
      <c r="V36" s="129">
        <f>Test!M105</f>
        <v>0</v>
      </c>
      <c r="W36" s="129">
        <f>Test!N105</f>
        <v>0</v>
      </c>
      <c r="X36" s="129">
        <f>Test!O105</f>
        <v>0</v>
      </c>
      <c r="Y36" s="129">
        <f>('Summary (Full)'!$B$34*V36+'Summary (Full)'!$B$35*W36+'Summary (Full)'!$B$36*X36)/'Summary (Full)'!$B$37</f>
        <v>0</v>
      </c>
      <c r="Z36" s="129">
        <f>Test!P105</f>
        <v>0</v>
      </c>
      <c r="AA36" s="129">
        <f>Test!Q105</f>
        <v>0</v>
      </c>
      <c r="AB36" s="129">
        <f>Test!R105</f>
        <v>0</v>
      </c>
      <c r="AC36" s="129">
        <f>Test!S105</f>
        <v>0</v>
      </c>
      <c r="AD36" s="129">
        <f>Test!T105</f>
        <v>0</v>
      </c>
      <c r="AE36" s="129">
        <f>Test!U105</f>
        <v>0</v>
      </c>
      <c r="AF36" s="129">
        <f>Test!V105</f>
        <v>0</v>
      </c>
      <c r="AG36" s="129">
        <f>Test!W105</f>
        <v>0</v>
      </c>
      <c r="AH36" s="129">
        <f>Test!X105</f>
        <v>0</v>
      </c>
      <c r="AI36" s="129">
        <f>10*LOG10(1/(('Summary (Full)'!$B$41/10^(AF36/10)+'Summary (Full)'!$B$42/10^(AG36/10)+'Summary (Full)'!$B$43/10^(AH36/10))/'Summary (Full)'!$B$44))</f>
        <v>0</v>
      </c>
      <c r="AJ36" s="129">
        <f>Test!Y105</f>
        <v>0</v>
      </c>
      <c r="AK36" s="129">
        <f>Test!Z105</f>
        <v>0</v>
      </c>
      <c r="AL36" s="129" t="e">
        <f t="shared" si="2"/>
        <v>#DIV/0!</v>
      </c>
      <c r="AM36" s="129" t="e">
        <f t="shared" si="2"/>
        <v>#DIV/0!</v>
      </c>
      <c r="AO36" s="254"/>
      <c r="AP36" s="172"/>
      <c r="AQ36" s="172"/>
      <c r="AR36" s="172"/>
      <c r="AS36" s="172"/>
      <c r="AT36" s="172"/>
      <c r="AU36" s="172"/>
      <c r="AV36" s="172"/>
      <c r="AW36" s="172"/>
      <c r="AX36" s="172"/>
      <c r="AY36" s="175"/>
      <c r="AZ36" s="286"/>
      <c r="BA36" s="212"/>
      <c r="EV36" s="7"/>
      <c r="EW36" s="7"/>
      <c r="EX36" s="7"/>
      <c r="EY36" s="7"/>
      <c r="EZ36" s="7"/>
      <c r="FA36" s="7"/>
      <c r="FB36" s="7"/>
      <c r="FC36" s="7"/>
    </row>
    <row r="37" spans="1:159" ht="13" customHeight="1" x14ac:dyDescent="0.15">
      <c r="A37" s="250"/>
      <c r="B37" s="38">
        <v>160</v>
      </c>
      <c r="C37" s="129">
        <f>Anchor!L106</f>
        <v>0</v>
      </c>
      <c r="D37" s="129">
        <f>Anchor!M106</f>
        <v>0</v>
      </c>
      <c r="E37" s="129">
        <f>Anchor!N106</f>
        <v>0</v>
      </c>
      <c r="F37" s="129">
        <f>Anchor!O106</f>
        <v>0</v>
      </c>
      <c r="G37" s="130">
        <f>('Summary (Full)'!$B$34*D37+'Summary (Full)'!$B$35*E37+'Summary (Full)'!$B$36*F37)/'Summary (Full)'!$B$37</f>
        <v>0</v>
      </c>
      <c r="H37" s="129">
        <f>Anchor!P106</f>
        <v>0</v>
      </c>
      <c r="I37" s="129">
        <f>Anchor!Q106</f>
        <v>0</v>
      </c>
      <c r="J37" s="129">
        <f>Anchor!R106</f>
        <v>0</v>
      </c>
      <c r="K37" s="129">
        <f>Anchor!S106</f>
        <v>0</v>
      </c>
      <c r="L37" s="129">
        <f>Anchor!T106</f>
        <v>0</v>
      </c>
      <c r="M37" s="129">
        <f>Anchor!U106</f>
        <v>0</v>
      </c>
      <c r="N37" s="129">
        <f>Anchor!V106</f>
        <v>0</v>
      </c>
      <c r="O37" s="129">
        <f>Anchor!W106</f>
        <v>0</v>
      </c>
      <c r="P37" s="129">
        <f>Anchor!X106</f>
        <v>0</v>
      </c>
      <c r="Q37" s="131">
        <f>10*LOG10(1/(('Summary (Full)'!$B$41/10^(N37/10)+'Summary (Full)'!$B$42/10^(O37/10)+'Summary (Full)'!$B$43/10^(P37/10))/'Summary (Full)'!$B$44))</f>
        <v>0</v>
      </c>
      <c r="R37" s="129">
        <f>Anchor!Y106</f>
        <v>0</v>
      </c>
      <c r="S37" s="129">
        <f>Anchor!Z106</f>
        <v>0</v>
      </c>
      <c r="T37" s="132"/>
      <c r="U37" s="129">
        <f>Test!L106</f>
        <v>0</v>
      </c>
      <c r="V37" s="129">
        <f>Test!M106</f>
        <v>0</v>
      </c>
      <c r="W37" s="129">
        <f>Test!N106</f>
        <v>0</v>
      </c>
      <c r="X37" s="129">
        <f>Test!O106</f>
        <v>0</v>
      </c>
      <c r="Y37" s="129">
        <f>('Summary (Full)'!$B$34*V37+'Summary (Full)'!$B$35*W37+'Summary (Full)'!$B$36*X37)/'Summary (Full)'!$B$37</f>
        <v>0</v>
      </c>
      <c r="Z37" s="129">
        <f>Test!P106</f>
        <v>0</v>
      </c>
      <c r="AA37" s="129">
        <f>Test!Q106</f>
        <v>0</v>
      </c>
      <c r="AB37" s="129">
        <f>Test!R106</f>
        <v>0</v>
      </c>
      <c r="AC37" s="129">
        <f>Test!S106</f>
        <v>0</v>
      </c>
      <c r="AD37" s="129">
        <f>Test!T106</f>
        <v>0</v>
      </c>
      <c r="AE37" s="129">
        <f>Test!U106</f>
        <v>0</v>
      </c>
      <c r="AF37" s="129">
        <f>Test!V106</f>
        <v>0</v>
      </c>
      <c r="AG37" s="129">
        <f>Test!W106</f>
        <v>0</v>
      </c>
      <c r="AH37" s="129">
        <f>Test!X106</f>
        <v>0</v>
      </c>
      <c r="AI37" s="129">
        <f>10*LOG10(1/(('Summary (Full)'!$B$41/10^(AF37/10)+'Summary (Full)'!$B$42/10^(AG37/10)+'Summary (Full)'!$B$43/10^(AH37/10))/'Summary (Full)'!$B$44))</f>
        <v>0</v>
      </c>
      <c r="AJ37" s="129">
        <f>Test!Y106</f>
        <v>0</v>
      </c>
      <c r="AK37" s="129">
        <f>Test!Z106</f>
        <v>0</v>
      </c>
      <c r="AL37" s="129" t="e">
        <f t="shared" si="2"/>
        <v>#DIV/0!</v>
      </c>
      <c r="AM37" s="129" t="e">
        <f t="shared" si="2"/>
        <v>#DIV/0!</v>
      </c>
      <c r="AO37" s="254" t="s">
        <v>28</v>
      </c>
      <c r="AP37" s="172" t="e" cm="1">
        <f t="array" ref="AP37">bdRateExtend($C36:$C39,D36:D39,$U36:$U39,V36:V39)</f>
        <v>#VALUE!</v>
      </c>
      <c r="AQ37" s="172"/>
      <c r="AR37" s="172"/>
      <c r="AS37" s="172"/>
      <c r="AT37" s="172" t="e" cm="1">
        <f t="array" ref="AT37">bdRateExtend($C36:$C39,H36:H39,$U36:$U39,Z36:Z39)</f>
        <v>#VALUE!</v>
      </c>
      <c r="AU37" s="172"/>
      <c r="AV37" s="172" t="e" cm="1">
        <f t="array" ref="AV37">bdRateExtend($C36:$C39,I36:I39,$U36:$U39,AA36:AA39)</f>
        <v>#VALUE!</v>
      </c>
      <c r="AW37" s="172"/>
      <c r="AX37" s="172" t="e" cm="1">
        <f t="array" ref="AX37">bdRateExtend($C36:$C39,J36:J39,$U36:$U39,AB36:AB39,"None", FALSE,1)</f>
        <v>#VALUE!</v>
      </c>
      <c r="AY37" s="175"/>
      <c r="AZ37" s="286" cm="1">
        <f t="array" ref="AZ37">testVMAFRange($C36:$C39,J36:J39,$U36:$U39,AB36:AB39)</f>
        <v>0</v>
      </c>
      <c r="BA37" s="212"/>
      <c r="EV37" s="7"/>
      <c r="EW37" s="7"/>
      <c r="EX37" s="7"/>
      <c r="EY37" s="7"/>
      <c r="EZ37" s="7"/>
      <c r="FA37" s="7"/>
      <c r="FB37" s="7"/>
      <c r="FC37" s="7"/>
    </row>
    <row r="38" spans="1:159" x14ac:dyDescent="0.15">
      <c r="A38" s="250"/>
      <c r="B38" s="38">
        <v>185</v>
      </c>
      <c r="C38" s="129">
        <f>Anchor!L107</f>
        <v>0</v>
      </c>
      <c r="D38" s="129">
        <f>Anchor!M107</f>
        <v>0</v>
      </c>
      <c r="E38" s="129">
        <f>Anchor!N107</f>
        <v>0</v>
      </c>
      <c r="F38" s="129">
        <f>Anchor!O107</f>
        <v>0</v>
      </c>
      <c r="G38" s="130">
        <f>('Summary (Full)'!$B$34*D38+'Summary (Full)'!$B$35*E38+'Summary (Full)'!$B$36*F38)/'Summary (Full)'!$B$37</f>
        <v>0</v>
      </c>
      <c r="H38" s="129">
        <f>Anchor!P107</f>
        <v>0</v>
      </c>
      <c r="I38" s="129">
        <f>Anchor!Q107</f>
        <v>0</v>
      </c>
      <c r="J38" s="129">
        <f>Anchor!R107</f>
        <v>0</v>
      </c>
      <c r="K38" s="129">
        <f>Anchor!S107</f>
        <v>0</v>
      </c>
      <c r="L38" s="129">
        <f>Anchor!T107</f>
        <v>0</v>
      </c>
      <c r="M38" s="129">
        <f>Anchor!U107</f>
        <v>0</v>
      </c>
      <c r="N38" s="129">
        <f>Anchor!V107</f>
        <v>0</v>
      </c>
      <c r="O38" s="129">
        <f>Anchor!W107</f>
        <v>0</v>
      </c>
      <c r="P38" s="129">
        <f>Anchor!X107</f>
        <v>0</v>
      </c>
      <c r="Q38" s="131">
        <f>10*LOG10(1/(('Summary (Full)'!$B$41/10^(N38/10)+'Summary (Full)'!$B$42/10^(O38/10)+'Summary (Full)'!$B$43/10^(P38/10))/'Summary (Full)'!$B$44))</f>
        <v>0</v>
      </c>
      <c r="R38" s="129">
        <f>Anchor!Y107</f>
        <v>0</v>
      </c>
      <c r="S38" s="129">
        <f>Anchor!Z107</f>
        <v>0</v>
      </c>
      <c r="T38" s="132"/>
      <c r="U38" s="129">
        <f>Test!L107</f>
        <v>0</v>
      </c>
      <c r="V38" s="129">
        <f>Test!M107</f>
        <v>0</v>
      </c>
      <c r="W38" s="129">
        <f>Test!N107</f>
        <v>0</v>
      </c>
      <c r="X38" s="129">
        <f>Test!O107</f>
        <v>0</v>
      </c>
      <c r="Y38" s="129">
        <f>('Summary (Full)'!$B$34*V38+'Summary (Full)'!$B$35*W38+'Summary (Full)'!$B$36*X38)/'Summary (Full)'!$B$37</f>
        <v>0</v>
      </c>
      <c r="Z38" s="129">
        <f>Test!P107</f>
        <v>0</v>
      </c>
      <c r="AA38" s="129">
        <f>Test!Q107</f>
        <v>0</v>
      </c>
      <c r="AB38" s="129">
        <f>Test!R107</f>
        <v>0</v>
      </c>
      <c r="AC38" s="129">
        <f>Test!S107</f>
        <v>0</v>
      </c>
      <c r="AD38" s="129">
        <f>Test!T107</f>
        <v>0</v>
      </c>
      <c r="AE38" s="129">
        <f>Test!U107</f>
        <v>0</v>
      </c>
      <c r="AF38" s="129">
        <f>Test!V107</f>
        <v>0</v>
      </c>
      <c r="AG38" s="129">
        <f>Test!W107</f>
        <v>0</v>
      </c>
      <c r="AH38" s="129">
        <f>Test!X107</f>
        <v>0</v>
      </c>
      <c r="AI38" s="129">
        <f>10*LOG10(1/(('Summary (Full)'!$B$41/10^(AF38/10)+'Summary (Full)'!$B$42/10^(AG38/10)+'Summary (Full)'!$B$43/10^(AH38/10))/'Summary (Full)'!$B$44))</f>
        <v>0</v>
      </c>
      <c r="AJ38" s="129">
        <f>Test!Y107</f>
        <v>0</v>
      </c>
      <c r="AK38" s="129">
        <f>Test!Z107</f>
        <v>0</v>
      </c>
      <c r="AL38" s="129" t="e">
        <f t="shared" si="2"/>
        <v>#DIV/0!</v>
      </c>
      <c r="AM38" s="129" t="e">
        <f t="shared" si="2"/>
        <v>#DIV/0!</v>
      </c>
      <c r="AO38" s="254"/>
      <c r="AP38" s="172"/>
      <c r="AQ38" s="172"/>
      <c r="AR38" s="172"/>
      <c r="AS38" s="172"/>
      <c r="AT38" s="172"/>
      <c r="AU38" s="172"/>
      <c r="AV38" s="172"/>
      <c r="AW38" s="172"/>
      <c r="AX38" s="172"/>
      <c r="AY38" s="175"/>
      <c r="AZ38" s="286"/>
      <c r="BA38" s="212"/>
      <c r="EV38" s="7"/>
      <c r="EW38" s="7"/>
      <c r="EX38" s="7"/>
      <c r="EY38" s="7"/>
      <c r="EZ38" s="7"/>
      <c r="FA38" s="7"/>
      <c r="FB38" s="7"/>
      <c r="FC38" s="7"/>
    </row>
    <row r="39" spans="1:159" ht="13" customHeight="1" x14ac:dyDescent="0.15">
      <c r="A39" s="250"/>
      <c r="B39" s="38">
        <v>210</v>
      </c>
      <c r="C39" s="129">
        <f>Anchor!L108</f>
        <v>0</v>
      </c>
      <c r="D39" s="129">
        <f>Anchor!M108</f>
        <v>0</v>
      </c>
      <c r="E39" s="129">
        <f>Anchor!N108</f>
        <v>0</v>
      </c>
      <c r="F39" s="129">
        <f>Anchor!O108</f>
        <v>0</v>
      </c>
      <c r="G39" s="130">
        <f>('Summary (Full)'!$B$34*D39+'Summary (Full)'!$B$35*E39+'Summary (Full)'!$B$36*F39)/'Summary (Full)'!$B$37</f>
        <v>0</v>
      </c>
      <c r="H39" s="129">
        <f>Anchor!P108</f>
        <v>0</v>
      </c>
      <c r="I39" s="129">
        <f>Anchor!Q108</f>
        <v>0</v>
      </c>
      <c r="J39" s="129">
        <f>Anchor!R108</f>
        <v>0</v>
      </c>
      <c r="K39" s="129">
        <f>Anchor!S108</f>
        <v>0</v>
      </c>
      <c r="L39" s="129">
        <f>Anchor!T108</f>
        <v>0</v>
      </c>
      <c r="M39" s="129">
        <f>Anchor!U108</f>
        <v>0</v>
      </c>
      <c r="N39" s="129">
        <f>Anchor!V108</f>
        <v>0</v>
      </c>
      <c r="O39" s="129">
        <f>Anchor!W108</f>
        <v>0</v>
      </c>
      <c r="P39" s="129">
        <f>Anchor!X108</f>
        <v>0</v>
      </c>
      <c r="Q39" s="131">
        <f>10*LOG10(1/(('Summary (Full)'!$B$41/10^(N39/10)+'Summary (Full)'!$B$42/10^(O39/10)+'Summary (Full)'!$B$43/10^(P39/10))/'Summary (Full)'!$B$44))</f>
        <v>0</v>
      </c>
      <c r="R39" s="129">
        <f>Anchor!Y108</f>
        <v>0</v>
      </c>
      <c r="S39" s="129">
        <f>Anchor!Z108</f>
        <v>0</v>
      </c>
      <c r="T39" s="132"/>
      <c r="U39" s="129">
        <f>Test!L108</f>
        <v>0</v>
      </c>
      <c r="V39" s="129">
        <f>Test!M108</f>
        <v>0</v>
      </c>
      <c r="W39" s="129">
        <f>Test!N108</f>
        <v>0</v>
      </c>
      <c r="X39" s="129">
        <f>Test!O108</f>
        <v>0</v>
      </c>
      <c r="Y39" s="129">
        <f>('Summary (Full)'!$B$34*V39+'Summary (Full)'!$B$35*W39+'Summary (Full)'!$B$36*X39)/'Summary (Full)'!$B$37</f>
        <v>0</v>
      </c>
      <c r="Z39" s="129">
        <f>Test!P108</f>
        <v>0</v>
      </c>
      <c r="AA39" s="129">
        <f>Test!Q108</f>
        <v>0</v>
      </c>
      <c r="AB39" s="129">
        <f>Test!R108</f>
        <v>0</v>
      </c>
      <c r="AC39" s="129">
        <f>Test!S108</f>
        <v>0</v>
      </c>
      <c r="AD39" s="129">
        <f>Test!T108</f>
        <v>0</v>
      </c>
      <c r="AE39" s="129">
        <f>Test!U108</f>
        <v>0</v>
      </c>
      <c r="AF39" s="129">
        <f>Test!V108</f>
        <v>0</v>
      </c>
      <c r="AG39" s="129">
        <f>Test!W108</f>
        <v>0</v>
      </c>
      <c r="AH39" s="129">
        <f>Test!X108</f>
        <v>0</v>
      </c>
      <c r="AI39" s="129">
        <f>10*LOG10(1/(('Summary (Full)'!$B$41/10^(AF39/10)+'Summary (Full)'!$B$42/10^(AG39/10)+'Summary (Full)'!$B$43/10^(AH39/10))/'Summary (Full)'!$B$44))</f>
        <v>0</v>
      </c>
      <c r="AJ39" s="129">
        <f>Test!Y108</f>
        <v>0</v>
      </c>
      <c r="AK39" s="129">
        <f>Test!Z108</f>
        <v>0</v>
      </c>
      <c r="AL39" s="129" t="e">
        <f t="shared" si="2"/>
        <v>#DIV/0!</v>
      </c>
      <c r="AM39" s="129" t="e">
        <f t="shared" si="2"/>
        <v>#DIV/0!</v>
      </c>
      <c r="AO39" s="254" t="s">
        <v>29</v>
      </c>
      <c r="AP39" s="172" t="e" cm="1">
        <f t="array" ref="AP39">bdRateExtend($C37:$C40,D37:D40,$U37:$U40,V37:V40)</f>
        <v>#VALUE!</v>
      </c>
      <c r="AQ39" s="172"/>
      <c r="AR39" s="172"/>
      <c r="AS39" s="172"/>
      <c r="AT39" s="172" t="e" cm="1">
        <f t="array" ref="AT39">bdRateExtend($C37:$C40,H37:H40,$U37:$U40,Z37:Z40)</f>
        <v>#VALUE!</v>
      </c>
      <c r="AU39" s="172"/>
      <c r="AV39" s="172" t="e" cm="1">
        <f t="array" ref="AV39">bdRateExtend($C37:$C40,I37:I40,$U37:$U40,AA37:AA40)</f>
        <v>#VALUE!</v>
      </c>
      <c r="AW39" s="172"/>
      <c r="AX39" s="172" t="e" cm="1">
        <f t="array" ref="AX39">bdRateExtend($C37:$C40,J37:J40,$U37:$U40,AB37:AB40,"None", FALSE,1)</f>
        <v>#VALUE!</v>
      </c>
      <c r="AY39" s="175"/>
      <c r="AZ39" s="286" cm="1">
        <f t="array" ref="AZ39">testVMAFRange($C37:$C40,J37:J40,$U37:$U40,AB37:AB40)</f>
        <v>0</v>
      </c>
      <c r="BA39" s="212"/>
      <c r="EV39" s="7"/>
      <c r="EW39" s="7"/>
      <c r="EX39" s="7"/>
      <c r="EY39" s="7"/>
      <c r="EZ39" s="7"/>
      <c r="FA39" s="7"/>
      <c r="FB39" s="7"/>
      <c r="FC39" s="7"/>
    </row>
    <row r="40" spans="1:159" ht="14" thickBot="1" x14ac:dyDescent="0.2">
      <c r="A40" s="250"/>
      <c r="B40" s="38">
        <v>235</v>
      </c>
      <c r="C40" s="129">
        <f>Anchor!L109</f>
        <v>0</v>
      </c>
      <c r="D40" s="129">
        <f>Anchor!M109</f>
        <v>0</v>
      </c>
      <c r="E40" s="129">
        <f>Anchor!N109</f>
        <v>0</v>
      </c>
      <c r="F40" s="129">
        <f>Anchor!O109</f>
        <v>0</v>
      </c>
      <c r="G40" s="130">
        <f>('Summary (Full)'!$B$34*D40+'Summary (Full)'!$B$35*E40+'Summary (Full)'!$B$36*F40)/'Summary (Full)'!$B$37</f>
        <v>0</v>
      </c>
      <c r="H40" s="129">
        <f>Anchor!P109</f>
        <v>0</v>
      </c>
      <c r="I40" s="129">
        <f>Anchor!Q109</f>
        <v>0</v>
      </c>
      <c r="J40" s="129">
        <f>Anchor!R109</f>
        <v>0</v>
      </c>
      <c r="K40" s="129">
        <f>Anchor!S109</f>
        <v>0</v>
      </c>
      <c r="L40" s="129">
        <f>Anchor!T109</f>
        <v>0</v>
      </c>
      <c r="M40" s="129">
        <f>Anchor!U109</f>
        <v>0</v>
      </c>
      <c r="N40" s="129">
        <f>Anchor!V109</f>
        <v>0</v>
      </c>
      <c r="O40" s="129">
        <f>Anchor!W109</f>
        <v>0</v>
      </c>
      <c r="P40" s="129">
        <f>Anchor!X109</f>
        <v>0</v>
      </c>
      <c r="Q40" s="131">
        <f>10*LOG10(1/(('Summary (Full)'!$B$41/10^(N40/10)+'Summary (Full)'!$B$42/10^(O40/10)+'Summary (Full)'!$B$43/10^(P40/10))/'Summary (Full)'!$B$44))</f>
        <v>0</v>
      </c>
      <c r="R40" s="129">
        <f>Anchor!Y109</f>
        <v>0</v>
      </c>
      <c r="S40" s="129">
        <f>Anchor!Z109</f>
        <v>0</v>
      </c>
      <c r="T40" s="132"/>
      <c r="U40" s="129">
        <f>Test!L109</f>
        <v>0</v>
      </c>
      <c r="V40" s="129">
        <f>Test!M109</f>
        <v>0</v>
      </c>
      <c r="W40" s="129">
        <f>Test!N109</f>
        <v>0</v>
      </c>
      <c r="X40" s="129">
        <f>Test!O109</f>
        <v>0</v>
      </c>
      <c r="Y40" s="129">
        <f>('Summary (Full)'!$B$34*V40+'Summary (Full)'!$B$35*W40+'Summary (Full)'!$B$36*X40)/'Summary (Full)'!$B$37</f>
        <v>0</v>
      </c>
      <c r="Z40" s="129">
        <f>Test!P109</f>
        <v>0</v>
      </c>
      <c r="AA40" s="129">
        <f>Test!Q109</f>
        <v>0</v>
      </c>
      <c r="AB40" s="129">
        <f>Test!R109</f>
        <v>0</v>
      </c>
      <c r="AC40" s="129">
        <f>Test!S109</f>
        <v>0</v>
      </c>
      <c r="AD40" s="129">
        <f>Test!T109</f>
        <v>0</v>
      </c>
      <c r="AE40" s="129">
        <f>Test!U109</f>
        <v>0</v>
      </c>
      <c r="AF40" s="129">
        <f>Test!V109</f>
        <v>0</v>
      </c>
      <c r="AG40" s="129">
        <f>Test!W109</f>
        <v>0</v>
      </c>
      <c r="AH40" s="129">
        <f>Test!X109</f>
        <v>0</v>
      </c>
      <c r="AI40" s="129">
        <f>10*LOG10(1/(('Summary (Full)'!$B$41/10^(AF40/10)+'Summary (Full)'!$B$42/10^(AG40/10)+'Summary (Full)'!$B$43/10^(AH40/10))/'Summary (Full)'!$B$44))</f>
        <v>0</v>
      </c>
      <c r="AJ40" s="129">
        <f>Test!Y109</f>
        <v>0</v>
      </c>
      <c r="AK40" s="129">
        <f>Test!Z109</f>
        <v>0</v>
      </c>
      <c r="AL40" s="129" t="e">
        <f t="shared" si="2"/>
        <v>#DIV/0!</v>
      </c>
      <c r="AM40" s="129" t="e">
        <f t="shared" si="2"/>
        <v>#DIV/0!</v>
      </c>
      <c r="AO40" s="263"/>
      <c r="AP40" s="173"/>
      <c r="AQ40" s="173"/>
      <c r="AR40" s="173"/>
      <c r="AS40" s="173"/>
      <c r="AT40" s="173"/>
      <c r="AU40" s="173"/>
      <c r="AV40" s="173"/>
      <c r="AW40" s="173"/>
      <c r="AX40" s="173"/>
      <c r="AY40" s="188"/>
      <c r="AZ40" s="287"/>
      <c r="BA40" s="240"/>
      <c r="EV40" s="7"/>
      <c r="EW40" s="7"/>
      <c r="EX40" s="7"/>
      <c r="EY40" s="7"/>
      <c r="EZ40" s="7"/>
      <c r="FA40" s="7"/>
      <c r="FB40" s="7"/>
      <c r="FC40" s="7"/>
    </row>
    <row r="41" spans="1:159" x14ac:dyDescent="0.15">
      <c r="EV41" s="7"/>
      <c r="EW41" s="7"/>
      <c r="EX41" s="7"/>
      <c r="EY41" s="7"/>
      <c r="EZ41" s="7"/>
      <c r="FA41" s="7"/>
      <c r="FB41" s="7"/>
      <c r="FC41" s="7"/>
    </row>
    <row r="42" spans="1:159" ht="14" thickBot="1" x14ac:dyDescent="0.2">
      <c r="EV42" s="7"/>
      <c r="EW42" s="7"/>
      <c r="EX42" s="7"/>
      <c r="EY42" s="7"/>
      <c r="EZ42" s="7"/>
      <c r="FA42" s="7"/>
      <c r="FB42" s="7"/>
      <c r="FC42" s="7"/>
    </row>
    <row r="43" spans="1:159" x14ac:dyDescent="0.15">
      <c r="A43" s="265" t="s">
        <v>76</v>
      </c>
      <c r="B43" s="266"/>
      <c r="C43" s="266"/>
      <c r="D43" s="266"/>
      <c r="E43" s="266"/>
      <c r="F43" s="266"/>
      <c r="G43" s="266"/>
      <c r="H43" s="266"/>
      <c r="I43" s="266"/>
      <c r="J43" s="266"/>
      <c r="K43" s="266"/>
      <c r="L43" s="266"/>
      <c r="M43" s="266"/>
      <c r="N43" s="266"/>
      <c r="O43" s="266"/>
      <c r="P43" s="266"/>
      <c r="Q43" s="266"/>
      <c r="R43" s="266"/>
      <c r="S43" s="266"/>
      <c r="T43" s="266"/>
      <c r="U43" s="266"/>
      <c r="V43" s="266"/>
      <c r="W43" s="94"/>
      <c r="X43" s="94"/>
      <c r="Y43" s="94"/>
      <c r="Z43" s="94"/>
      <c r="AA43" s="94"/>
      <c r="AB43" s="94"/>
      <c r="AC43" s="94"/>
      <c r="AD43" s="94"/>
      <c r="AE43" s="94"/>
      <c r="AF43" s="94"/>
      <c r="AG43" s="94"/>
      <c r="AH43" s="94"/>
      <c r="AI43" s="96"/>
      <c r="AJ43" s="96"/>
      <c r="AK43" s="96"/>
      <c r="AL43" s="97"/>
      <c r="EV43" s="7"/>
      <c r="EW43" s="7"/>
      <c r="EX43" s="7"/>
      <c r="EY43" s="7"/>
      <c r="EZ43" s="7"/>
      <c r="FA43" s="7"/>
      <c r="FB43" s="7"/>
      <c r="FC43" s="7"/>
    </row>
    <row r="44" spans="1:159" x14ac:dyDescent="0.15">
      <c r="A44" s="267" t="s">
        <v>13</v>
      </c>
      <c r="B44" s="268"/>
      <c r="C44" s="268"/>
      <c r="D44" s="268"/>
      <c r="E44" s="268"/>
      <c r="F44" s="268"/>
      <c r="G44" s="268"/>
      <c r="H44" s="268"/>
      <c r="I44" s="268"/>
      <c r="J44" s="268"/>
      <c r="K44" s="268"/>
      <c r="L44" s="268"/>
      <c r="M44" s="93"/>
      <c r="N44" s="93"/>
      <c r="O44" s="93"/>
      <c r="P44" s="93"/>
      <c r="Q44" s="268" t="s">
        <v>1</v>
      </c>
      <c r="R44" s="268"/>
      <c r="S44" s="268" t="s">
        <v>22</v>
      </c>
      <c r="T44" s="268"/>
      <c r="U44" s="268" t="s">
        <v>0</v>
      </c>
      <c r="V44" s="268"/>
      <c r="W44" s="268" t="s">
        <v>49</v>
      </c>
      <c r="X44" s="268"/>
      <c r="Y44" s="271" t="s">
        <v>40</v>
      </c>
      <c r="Z44" s="271"/>
      <c r="AA44" s="271" t="s">
        <v>44</v>
      </c>
      <c r="AB44" s="271"/>
      <c r="AC44" s="271" t="s">
        <v>45</v>
      </c>
      <c r="AD44" s="271"/>
      <c r="AE44" s="271"/>
      <c r="AF44" s="271"/>
      <c r="AG44" s="271"/>
      <c r="AH44" s="271"/>
      <c r="AI44" s="282" t="s">
        <v>13</v>
      </c>
      <c r="AJ44" s="282"/>
      <c r="AK44" s="255" t="s">
        <v>42</v>
      </c>
      <c r="AL44" s="256"/>
      <c r="EV44" s="7"/>
      <c r="EW44" s="7"/>
      <c r="EX44" s="7"/>
      <c r="EY44" s="7"/>
      <c r="EZ44" s="7"/>
      <c r="FA44" s="7"/>
      <c r="FB44" s="7"/>
      <c r="FC44" s="7"/>
    </row>
    <row r="45" spans="1:159" x14ac:dyDescent="0.15">
      <c r="A45" s="95"/>
      <c r="B45" s="93"/>
      <c r="C45" s="268" t="s">
        <v>13</v>
      </c>
      <c r="D45" s="268"/>
      <c r="E45" s="268"/>
      <c r="F45" s="268"/>
      <c r="G45" s="93"/>
      <c r="H45" s="93"/>
      <c r="I45" s="93"/>
      <c r="J45" s="93"/>
      <c r="K45" s="93"/>
      <c r="L45" s="93"/>
      <c r="M45" s="268" t="s">
        <v>42</v>
      </c>
      <c r="N45" s="268"/>
      <c r="O45" s="268"/>
      <c r="P45" s="268"/>
      <c r="Q45" s="93"/>
      <c r="R45" s="93"/>
      <c r="S45" s="93"/>
      <c r="T45" s="93"/>
      <c r="U45" s="93"/>
      <c r="V45" s="93"/>
      <c r="W45" s="93"/>
      <c r="X45" s="93"/>
      <c r="Y45" s="93"/>
      <c r="Z45" s="93"/>
      <c r="AA45" s="93"/>
      <c r="AB45" s="93"/>
      <c r="AC45" s="93"/>
      <c r="AD45" s="93"/>
      <c r="AE45" s="93"/>
      <c r="AF45" s="93"/>
      <c r="AG45" s="93"/>
      <c r="AH45" s="93"/>
      <c r="AI45" s="98"/>
      <c r="AJ45" s="98"/>
      <c r="AK45" s="98"/>
      <c r="AL45" s="99"/>
      <c r="EV45" s="7"/>
      <c r="EW45" s="7"/>
      <c r="EX45" s="7"/>
      <c r="EY45" s="7"/>
      <c r="EZ45" s="7"/>
      <c r="FA45" s="7"/>
      <c r="FB45" s="7"/>
      <c r="FC45" s="7"/>
    </row>
    <row r="46" spans="1:159" ht="17" customHeight="1" thickBot="1" x14ac:dyDescent="0.2">
      <c r="A46" s="269" t="s">
        <v>23</v>
      </c>
      <c r="B46" s="270"/>
      <c r="C46" s="117" t="s">
        <v>24</v>
      </c>
      <c r="D46" s="117" t="s">
        <v>25</v>
      </c>
      <c r="E46" s="117" t="s">
        <v>26</v>
      </c>
      <c r="F46" s="117" t="s">
        <v>38</v>
      </c>
      <c r="G46" s="117" t="s">
        <v>5</v>
      </c>
      <c r="H46" s="117" t="s">
        <v>22</v>
      </c>
      <c r="I46" s="117" t="s">
        <v>0</v>
      </c>
      <c r="J46" s="117" t="s">
        <v>39</v>
      </c>
      <c r="K46" s="117" t="s">
        <v>40</v>
      </c>
      <c r="L46" s="117" t="s">
        <v>41</v>
      </c>
      <c r="M46" s="117" t="s">
        <v>24</v>
      </c>
      <c r="N46" s="117" t="s">
        <v>25</v>
      </c>
      <c r="O46" s="117" t="s">
        <v>26</v>
      </c>
      <c r="P46" s="117" t="s">
        <v>38</v>
      </c>
      <c r="Q46" s="117" t="s">
        <v>23</v>
      </c>
      <c r="R46" s="117" t="s">
        <v>24</v>
      </c>
      <c r="S46" s="117" t="s">
        <v>23</v>
      </c>
      <c r="T46" s="117" t="s">
        <v>24</v>
      </c>
      <c r="U46" s="117" t="s">
        <v>23</v>
      </c>
      <c r="V46" s="117" t="s">
        <v>24</v>
      </c>
      <c r="W46" s="117" t="s">
        <v>23</v>
      </c>
      <c r="X46" s="117" t="s">
        <v>24</v>
      </c>
      <c r="Y46" s="117" t="s">
        <v>23</v>
      </c>
      <c r="Z46" s="117" t="s">
        <v>24</v>
      </c>
      <c r="AA46" s="117" t="s">
        <v>23</v>
      </c>
      <c r="AB46" s="117" t="s">
        <v>24</v>
      </c>
      <c r="AC46" s="117" t="s">
        <v>23</v>
      </c>
      <c r="AD46" s="117" t="s">
        <v>24</v>
      </c>
      <c r="AE46" s="117" t="s">
        <v>24</v>
      </c>
      <c r="AF46" s="117" t="s">
        <v>25</v>
      </c>
      <c r="AG46" s="117" t="s">
        <v>26</v>
      </c>
      <c r="AH46" s="117" t="s">
        <v>38</v>
      </c>
      <c r="AI46" s="283" t="s">
        <v>38</v>
      </c>
      <c r="AJ46" s="283"/>
      <c r="AK46" s="257" t="s">
        <v>38</v>
      </c>
      <c r="AL46" s="258"/>
      <c r="EV46" s="7"/>
      <c r="EW46" s="7"/>
      <c r="EX46" s="7"/>
      <c r="EY46" s="7"/>
      <c r="EZ46" s="7"/>
      <c r="FA46" s="7"/>
      <c r="FB46" s="7"/>
      <c r="FC46" s="7"/>
    </row>
    <row r="47" spans="1:159" x14ac:dyDescent="0.15">
      <c r="A47" s="253" t="s">
        <v>27</v>
      </c>
      <c r="B47" s="171" t="e">
        <f>bdRateROI($CL5:$CL63,CM5:CM63,$DZ5:$DZ63,EA5:EA63,CJ11,CJ6,1, 0, TRUE)</f>
        <v>#VALUE!</v>
      </c>
      <c r="C47" s="171" t="e">
        <f t="shared" ref="C47:H47" si="3">bdRateExtend($CL5:$CL63,CN5:CN63,$DZ5:$DZ63,EB5:EB63, "None", FALSE, 0, TRUE)</f>
        <v>#VALUE!</v>
      </c>
      <c r="D47" s="171" t="e">
        <f t="shared" si="3"/>
        <v>#VALUE!</v>
      </c>
      <c r="E47" s="171" t="e">
        <f t="shared" si="3"/>
        <v>#VALUE!</v>
      </c>
      <c r="F47" s="171" t="e">
        <f t="shared" si="3"/>
        <v>#VALUE!</v>
      </c>
      <c r="G47" s="171" t="e">
        <f t="shared" si="3"/>
        <v>#VALUE!</v>
      </c>
      <c r="H47" s="171" t="e">
        <f t="shared" si="3"/>
        <v>#VALUE!</v>
      </c>
      <c r="I47" s="171" t="e">
        <f>bdRateExtend($CL5:$CL63,CT5:CT63,$DZ5:$DZ63,EH5:EH63,"None", FALSE,2,TRUE)</f>
        <v>#VALUE!</v>
      </c>
      <c r="J47" s="171" t="e">
        <f>bdRateExtend($CL5:$CL63,CU5:CU63,$DZ5:$DZ63,EI5:EI63,"None", FALSE,2,TRUE)</f>
        <v>#VALUE!</v>
      </c>
      <c r="K47" s="171" t="e">
        <f t="shared" ref="K47:P47" si="4">bdRateExtend($CL5:$CL63,CV5:CV63,$DZ5:$DZ63,EJ5:EJ63, "None", FALSE, 0, TRUE)</f>
        <v>#VALUE!</v>
      </c>
      <c r="L47" s="171" t="e">
        <f t="shared" si="4"/>
        <v>#VALUE!</v>
      </c>
      <c r="M47" s="171" t="e">
        <f t="shared" si="4"/>
        <v>#VALUE!</v>
      </c>
      <c r="N47" s="171" t="e">
        <f t="shared" si="4"/>
        <v>#VALUE!</v>
      </c>
      <c r="O47" s="171" t="e">
        <f t="shared" si="4"/>
        <v>#VALUE!</v>
      </c>
      <c r="P47" s="171" t="e">
        <f t="shared" si="4"/>
        <v>#VALUE!</v>
      </c>
      <c r="Q47" s="171" t="e">
        <f>bdRateROI($DE5:$DE63,DF5:DF63,$ER5:$ER63,ES5:ES63,CJ11,CJ6,1, 0, TRUE)</f>
        <v>#VALUE!</v>
      </c>
      <c r="R47" s="171" t="e">
        <f>bdRateExtend($DE5:$DE63,DF5:DF63,$ER5:$ER63,ES5:ES63, "None", FALSE, 0, TRUE)</f>
        <v>#VALUE!</v>
      </c>
      <c r="S47" s="171" t="e">
        <f>bdRateROI($DH5:$DH63,DI5:DI63,$ET5:$ET63,EU5:EU63,CJ11,CJ6,1, 0, TRUE)</f>
        <v>#VALUE!</v>
      </c>
      <c r="T47" s="171" t="e">
        <f>bdRateExtend($DH5:$DH63,DI5:DI63,$ET5:$ET63,EU5:EU63, "None", FALSE, 0, TRUE)</f>
        <v>#VALUE!</v>
      </c>
      <c r="U47" s="171" t="e">
        <f>bdRateROI($DK5:$DK63,DL5:DL63,$EV5:$EV63,EW5:EW63,$CJ11,$CJ6,1,2,TRUE)</f>
        <v>#VALUE!</v>
      </c>
      <c r="V47" s="171" t="e">
        <f>bdRateExtend($DK5:$DK63,DL5:DL63,$EV5:$EV63,EW5:EW63,"None", FALSE,2,TRUE)</f>
        <v>#VALUE!</v>
      </c>
      <c r="W47" s="171" t="e">
        <f>bdRateROI(DM5:DM63,DN5:DN63,EX5:EX63,EY5:EY63,$CJ11,$CJ6,1,2,TRUE)</f>
        <v>#VALUE!</v>
      </c>
      <c r="X47" s="171" t="e">
        <f>bdRateExtend(DM5:DM63,DN5:DN63,EX5:EX63,EY5:EY63,"None", FALSE,2,TRUE)</f>
        <v>#VALUE!</v>
      </c>
      <c r="Y47" s="171" t="e">
        <f>bdRateROI(DO5:DO63,DP5:DP63,EZ5:EZ63,FA5:FA63,$CJ11,$CJ6,1, 0, TRUE)</f>
        <v>#VALUE!</v>
      </c>
      <c r="Z47" s="171" t="e">
        <f>bdRateExtend(DO5:DO63,DP5:DP63,EZ5:EZ63,FA5:FA63, "None", FALSE, 0, TRUE)</f>
        <v>#VALUE!</v>
      </c>
      <c r="AA47" s="171" t="e">
        <f>bdRateROI(DQ5:DQ63,DR5:DR63,FB5:FB63,FC5:FC63,$CJ11,$CJ6,1, 0, TRUE)</f>
        <v>#VALUE!</v>
      </c>
      <c r="AB47" s="171" t="e">
        <f>bdRateExtend(DQ5:DQ63,DR5:DR63,FB5:FB63,FC5:FC63, "None", FALSE, 0, TRUE)</f>
        <v>#VALUE!</v>
      </c>
      <c r="AC47" s="171" t="e">
        <f>bdRateROI(DS5:DS63,DT5:DT63,FD5:FD63,FE5:FE63,$CJ11,$CJ6,1, 0, TRUE)</f>
        <v>#VALUE!</v>
      </c>
      <c r="AD47" s="171" t="e">
        <f>bdRateExtend(DS5:DS63,DT5:DT63,FD5:FD63,FE5:FE63, "None", FALSE, 0, TRUE)</f>
        <v>#VALUE!</v>
      </c>
      <c r="AE47" s="171" t="e">
        <f>bdRateExtend($DS5:$DS63,DU5:DU63,$FD5:$FD63,FF5:FF63, "None", FALSE, 0, TRUE)</f>
        <v>#VALUE!</v>
      </c>
      <c r="AF47" s="171" t="e">
        <f>bdRateExtend($DS5:$DS63,DV5:DV63,$FD5:$FD63,FG5:FG63, "None", FALSE, 0, TRUE)</f>
        <v>#VALUE!</v>
      </c>
      <c r="AG47" s="171" t="e">
        <f>bdRateExtend($DS5:$DS63,DW5:DW63,$FD5:$FD63,FH5:FH63, "None", FALSE, 0, TRUE)</f>
        <v>#VALUE!</v>
      </c>
      <c r="AH47" s="171" t="e">
        <f>bdRateExtend($DS5:$DS63,DX5:DX63,$FD5:$FD63,FI5:FI63, "None", FALSE, 0, TRUE)</f>
        <v>#VALUE!</v>
      </c>
      <c r="AI47" s="171" t="e">
        <f>bdRateROI($FK5:$FK63,FL5:FL63,$FP5:$FP63,FQ5:FQ63,$CJ11,$CJ6,1, 0, TRUE)</f>
        <v>#VALUE!</v>
      </c>
      <c r="AJ47" s="171" t="e">
        <f>bdRateExtend($FK5:$FK63,FL5:FL63,$FP5:$FP63,FQ5:FQ63, "None", FALSE, 0, TRUE)</f>
        <v>#VALUE!</v>
      </c>
      <c r="AK47" s="171" t="e">
        <f>bdRateROI($FM5:$FM63,FN5:FN63,$FR5:$FR63,FS5:FS63,$CJ11,$CJ6,1, 0, TRUE)</f>
        <v>#VALUE!</v>
      </c>
      <c r="AL47" s="174" t="e">
        <f>bdRateExtend($FM5:$FM63,FN5:FN63,$FR5:$FR63,FS5:FS63, "None", FALSE, 0, TRUE)</f>
        <v>#VALUE!</v>
      </c>
      <c r="EV47" s="7"/>
      <c r="EW47" s="7"/>
      <c r="EX47" s="7"/>
      <c r="EY47" s="7"/>
      <c r="EZ47" s="7"/>
      <c r="FA47" s="7"/>
      <c r="FB47" s="7"/>
      <c r="FC47" s="7"/>
    </row>
    <row r="48" spans="1:159" x14ac:dyDescent="0.15">
      <c r="A48" s="254"/>
      <c r="B48" s="172"/>
      <c r="C48" s="172"/>
      <c r="D48" s="172"/>
      <c r="E48" s="172"/>
      <c r="F48" s="172"/>
      <c r="G48" s="172"/>
      <c r="H48" s="172"/>
      <c r="I48" s="172"/>
      <c r="J48" s="172"/>
      <c r="K48" s="172"/>
      <c r="L48" s="172"/>
      <c r="M48" s="172"/>
      <c r="N48" s="172"/>
      <c r="O48" s="172"/>
      <c r="P48" s="172"/>
      <c r="Q48" s="172"/>
      <c r="R48" s="172"/>
      <c r="S48" s="172"/>
      <c r="T48" s="172"/>
      <c r="U48" s="172"/>
      <c r="V48" s="172"/>
      <c r="W48" s="172"/>
      <c r="X48" s="172"/>
      <c r="Y48" s="172"/>
      <c r="Z48" s="172"/>
      <c r="AA48" s="172"/>
      <c r="AB48" s="172"/>
      <c r="AC48" s="172"/>
      <c r="AD48" s="172"/>
      <c r="AE48" s="172"/>
      <c r="AF48" s="172"/>
      <c r="AG48" s="172"/>
      <c r="AH48" s="172"/>
      <c r="AI48" s="172"/>
      <c r="AJ48" s="172"/>
      <c r="AK48" s="172"/>
      <c r="AL48" s="175"/>
      <c r="EV48" s="7"/>
      <c r="EW48" s="7"/>
      <c r="EX48" s="7"/>
      <c r="EY48" s="7"/>
      <c r="EZ48" s="7"/>
      <c r="FA48" s="7"/>
      <c r="FB48" s="7"/>
      <c r="FC48" s="7"/>
    </row>
    <row r="49" spans="1:159" x14ac:dyDescent="0.15">
      <c r="A49" s="254" t="s">
        <v>28</v>
      </c>
      <c r="B49" s="172" t="e">
        <f>bdRateROI($CL5:$CL63,CM5:CM63,$DZ5:$DZ63,EA5:EA63,CJ10,CJ11,1, 0, TRUE)</f>
        <v>#VALUE!</v>
      </c>
      <c r="C49" s="172"/>
      <c r="D49" s="172"/>
      <c r="E49" s="172"/>
      <c r="F49" s="172"/>
      <c r="G49" s="172"/>
      <c r="H49" s="172"/>
      <c r="I49" s="172"/>
      <c r="J49" s="172"/>
      <c r="K49" s="172"/>
      <c r="L49" s="172"/>
      <c r="M49" s="172"/>
      <c r="N49" s="172"/>
      <c r="O49" s="172"/>
      <c r="P49" s="172"/>
      <c r="Q49" s="172" t="e">
        <f>bdRateROI($DE5:$DE63,DF5:DF63,$ER5:$ER63,ES5:ES63,CJ10,CJ11,1, 0, TRUE)</f>
        <v>#VALUE!</v>
      </c>
      <c r="R49" s="172"/>
      <c r="S49" s="172" t="e">
        <f>bdRateROI($DH5:$DH63,DI5:DI63,$ET5:$ET63,EU5:EU63,CJ10,CJ11,1, 0, TRUE)</f>
        <v>#VALUE!</v>
      </c>
      <c r="T49" s="172"/>
      <c r="U49" s="172" t="e">
        <f>bdRateROI($DK5:$DK63,DL5:DL63,$EV5:$EV63,EW5:EW63,$CJ$10,$CJ$11,1,2,TRUE)</f>
        <v>#VALUE!</v>
      </c>
      <c r="V49" s="172"/>
      <c r="W49" s="172" t="e">
        <f>bdRateROI(DM5:DM63,DN5:DN63,EX5:EX63,EY5:EY63,$CJ$10,$CJ$11,1,2,TRUE)</f>
        <v>#VALUE!</v>
      </c>
      <c r="X49" s="172"/>
      <c r="Y49" s="172" t="e">
        <f>bdRateROI(DO5:DO63,DP5:DP63,EZ5:EZ63,FA5:FA63,$CJ$10,$CJ$11,1, 0, TRUE)</f>
        <v>#VALUE!</v>
      </c>
      <c r="Z49" s="172"/>
      <c r="AA49" s="172" t="e">
        <f>bdRateROI(DQ5:DQ63,DR5:DR63,FB5:FB63,FC5:FC63,$CJ$10,$CJ$11,1, 0, TRUE)</f>
        <v>#VALUE!</v>
      </c>
      <c r="AB49" s="172"/>
      <c r="AC49" s="172" t="e">
        <f>bdRateROI(DS5:DS63,DT5:DT63,FD5:FD63,FE5:FE63,$CJ$10,$CJ$11,1, 0, TRUE)</f>
        <v>#VALUE!</v>
      </c>
      <c r="AD49" s="172"/>
      <c r="AE49" s="172"/>
      <c r="AF49" s="172"/>
      <c r="AG49" s="172"/>
      <c r="AH49" s="172"/>
      <c r="AI49" s="172" t="e">
        <f>bdRateROI($FK5:$FK63,FL5:FL63,$FP5:$FP63,FQ5:FQ63,$CJ$10,$CJ$11,1, 0, TRUE)</f>
        <v>#VALUE!</v>
      </c>
      <c r="AJ49" s="172"/>
      <c r="AK49" s="172" t="e">
        <f>bdRateROI($FM5:$FM63,FN5:FN63,$FR5:$FR63,FS5:FS63,$CJ$10,$CJ$11,1, 0, TRUE)</f>
        <v>#VALUE!</v>
      </c>
      <c r="AL49" s="175"/>
      <c r="EV49" s="7"/>
      <c r="EW49" s="7"/>
      <c r="EX49" s="7"/>
      <c r="EY49" s="7"/>
      <c r="EZ49" s="7"/>
      <c r="FA49" s="7"/>
      <c r="FB49" s="7"/>
      <c r="FC49" s="7"/>
    </row>
    <row r="50" spans="1:159" x14ac:dyDescent="0.15">
      <c r="A50" s="254"/>
      <c r="B50" s="172"/>
      <c r="C50" s="172"/>
      <c r="D50" s="172"/>
      <c r="E50" s="172"/>
      <c r="F50" s="172"/>
      <c r="G50" s="172"/>
      <c r="H50" s="172"/>
      <c r="I50" s="172"/>
      <c r="J50" s="172"/>
      <c r="K50" s="172"/>
      <c r="L50" s="172"/>
      <c r="M50" s="172"/>
      <c r="N50" s="172"/>
      <c r="O50" s="172"/>
      <c r="P50" s="172"/>
      <c r="Q50" s="172"/>
      <c r="R50" s="172"/>
      <c r="S50" s="172"/>
      <c r="T50" s="172"/>
      <c r="U50" s="172"/>
      <c r="V50" s="172"/>
      <c r="W50" s="172"/>
      <c r="X50" s="172"/>
      <c r="Y50" s="172"/>
      <c r="Z50" s="172"/>
      <c r="AA50" s="172"/>
      <c r="AB50" s="172"/>
      <c r="AC50" s="172"/>
      <c r="AD50" s="172"/>
      <c r="AE50" s="172"/>
      <c r="AF50" s="172"/>
      <c r="AG50" s="172"/>
      <c r="AH50" s="172"/>
      <c r="AI50" s="172"/>
      <c r="AJ50" s="172"/>
      <c r="AK50" s="172"/>
      <c r="AL50" s="175"/>
      <c r="EV50" s="7"/>
      <c r="EW50" s="7"/>
      <c r="EX50" s="7"/>
      <c r="EY50" s="7"/>
      <c r="EZ50" s="7"/>
      <c r="FA50" s="7"/>
      <c r="FB50" s="7"/>
      <c r="FC50" s="7"/>
    </row>
    <row r="51" spans="1:159" x14ac:dyDescent="0.15">
      <c r="A51" s="254" t="s">
        <v>29</v>
      </c>
      <c r="B51" s="172" t="e">
        <f>bdRateROI($CL5:$CL63,CM5:CM63,$DZ5:$DZ63,EA5:EA63,CJ5,CJ10,1, 0, TRUE)</f>
        <v>#VALUE!</v>
      </c>
      <c r="C51" s="172"/>
      <c r="D51" s="172"/>
      <c r="E51" s="172"/>
      <c r="F51" s="172"/>
      <c r="G51" s="172"/>
      <c r="H51" s="172"/>
      <c r="I51" s="172"/>
      <c r="J51" s="172"/>
      <c r="K51" s="172"/>
      <c r="L51" s="172"/>
      <c r="M51" s="172"/>
      <c r="N51" s="172"/>
      <c r="O51" s="172"/>
      <c r="P51" s="172"/>
      <c r="Q51" s="172" t="e">
        <f>bdRateROI($DE5:$DE63,DF5:DF63,$ER5:$ER63,ES5:ES63,CJ5,CJ10,1, 0, TRUE)</f>
        <v>#VALUE!</v>
      </c>
      <c r="R51" s="172"/>
      <c r="S51" s="172" t="e">
        <f>bdRateROI($DH5:$DH63,DI5:DI63,$ET5:$ET63,EU5:EU63,CJ5,CJ10,1, 0, TRUE)</f>
        <v>#VALUE!</v>
      </c>
      <c r="T51" s="172"/>
      <c r="U51" s="172" t="e">
        <f>bdRateROI($DK5:$DK63,DL5:DL63,$EV5:$EV63,EW5:EW63,$CJ$5,$CJ$10,1,2,TRUE)</f>
        <v>#VALUE!</v>
      </c>
      <c r="V51" s="172"/>
      <c r="W51" s="172" t="e">
        <f>bdRateROI(DM5:DM63,DN5:DN63,EX5:EX63,EY5:EY63,$CJ$5,$CJ$10,1,2,TRUE)</f>
        <v>#VALUE!</v>
      </c>
      <c r="X51" s="172"/>
      <c r="Y51" s="172" t="e">
        <f>bdRateROI(DO5:DO63,DP5:DP63,EZ5:EZ63,FA5:FA63,$CJ$5,$CJ$10,1, 0, TRUE)</f>
        <v>#VALUE!</v>
      </c>
      <c r="Z51" s="172"/>
      <c r="AA51" s="172" t="e">
        <f>bdRateROI(DQ5:DQ63,DR5:DR63,FB5:FB63,FC5:FC63,$CJ$5,$CJ$10,1, 0, TRUE)</f>
        <v>#VALUE!</v>
      </c>
      <c r="AB51" s="172"/>
      <c r="AC51" s="172" t="e">
        <f>bdRateROI(DS5:DS63,DT5:DT63,FD5:FD63,FE5:FE63,$CJ$5,$CJ$10,1, 0, TRUE)</f>
        <v>#VALUE!</v>
      </c>
      <c r="AD51" s="172"/>
      <c r="AE51" s="172"/>
      <c r="AF51" s="172"/>
      <c r="AG51" s="172"/>
      <c r="AH51" s="172"/>
      <c r="AI51" s="172" t="e">
        <f>bdRateROI($FK5:$FK63,FL5:FL63,$FP5:$FP63,FQ5:FQ63,$CJ$5,$CJ$10,1, 0, TRUE)</f>
        <v>#VALUE!</v>
      </c>
      <c r="AJ51" s="172"/>
      <c r="AK51" s="172" t="e">
        <f>bdRateROI($FM5:$FM63,FN5:FN63,$FR5:$FR63,FS5:FS63,$CJ$5,$CJ$10,1, 0, TRUE)</f>
        <v>#VALUE!</v>
      </c>
      <c r="AL51" s="175"/>
      <c r="EV51" s="7"/>
      <c r="EW51" s="7"/>
      <c r="EX51" s="7"/>
      <c r="EY51" s="7"/>
      <c r="EZ51" s="7"/>
      <c r="FA51" s="7"/>
      <c r="FB51" s="7"/>
      <c r="FC51" s="7"/>
    </row>
    <row r="52" spans="1:159" ht="14" thickBot="1" x14ac:dyDescent="0.2">
      <c r="A52" s="263"/>
      <c r="B52" s="173"/>
      <c r="C52" s="173"/>
      <c r="D52" s="173"/>
      <c r="E52" s="173"/>
      <c r="F52" s="173"/>
      <c r="G52" s="173"/>
      <c r="H52" s="173"/>
      <c r="I52" s="173"/>
      <c r="J52" s="173"/>
      <c r="K52" s="173"/>
      <c r="L52" s="173"/>
      <c r="M52" s="173"/>
      <c r="N52" s="173"/>
      <c r="O52" s="173"/>
      <c r="P52" s="173"/>
      <c r="Q52" s="173"/>
      <c r="R52" s="173"/>
      <c r="S52" s="173"/>
      <c r="T52" s="173"/>
      <c r="U52" s="173"/>
      <c r="V52" s="173"/>
      <c r="W52" s="173"/>
      <c r="X52" s="173"/>
      <c r="Y52" s="173"/>
      <c r="Z52" s="173"/>
      <c r="AA52" s="173"/>
      <c r="AB52" s="173"/>
      <c r="AC52" s="173"/>
      <c r="AD52" s="173"/>
      <c r="AE52" s="173"/>
      <c r="AF52" s="173"/>
      <c r="AG52" s="173"/>
      <c r="AH52" s="173"/>
      <c r="AI52" s="173"/>
      <c r="AJ52" s="173"/>
      <c r="AK52" s="173"/>
      <c r="AL52" s="188"/>
      <c r="EV52" s="7"/>
      <c r="EW52" s="7"/>
      <c r="EX52" s="7"/>
      <c r="EY52" s="7"/>
      <c r="EZ52" s="7"/>
      <c r="FA52" s="7"/>
      <c r="FB52" s="7"/>
      <c r="FC52" s="7"/>
    </row>
    <row r="53" spans="1:159" x14ac:dyDescent="0.15">
      <c r="EV53" s="7"/>
      <c r="EW53" s="7"/>
      <c r="EX53" s="7"/>
      <c r="EY53" s="7"/>
      <c r="EZ53" s="7"/>
      <c r="FA53" s="7"/>
      <c r="FB53" s="7"/>
      <c r="FC53" s="7"/>
    </row>
    <row r="54" spans="1:159" x14ac:dyDescent="0.15">
      <c r="AP54" s="9"/>
      <c r="EV54" s="7"/>
      <c r="EW54" s="7"/>
      <c r="EX54" s="7"/>
      <c r="EY54" s="7"/>
      <c r="EZ54" s="7"/>
      <c r="FA54" s="7"/>
      <c r="FB54" s="7"/>
      <c r="FC54" s="7"/>
    </row>
    <row r="55" spans="1:159" x14ac:dyDescent="0.15">
      <c r="AP55" s="9"/>
      <c r="EV55" s="7"/>
      <c r="EW55" s="7"/>
      <c r="EX55" s="7"/>
      <c r="EY55" s="7"/>
      <c r="EZ55" s="7"/>
      <c r="FA55" s="7"/>
      <c r="FB55" s="7"/>
      <c r="FC55" s="7"/>
    </row>
    <row r="56" spans="1:159" x14ac:dyDescent="0.15">
      <c r="C56" s="1">
        <f>COUNTIFS(C5:C40, "&lt;&gt;",C5:C40, "&lt;&gt;0")</f>
        <v>0</v>
      </c>
      <c r="U56" s="1">
        <f>COUNTIFS(U5:U40, "&lt;&gt;",U5:U40, "&lt;&gt;0")</f>
        <v>0</v>
      </c>
      <c r="AM56" s="1" t="e">
        <f>U56/C56</f>
        <v>#DIV/0!</v>
      </c>
      <c r="EV56" s="7"/>
      <c r="EW56" s="7"/>
      <c r="EX56" s="7"/>
      <c r="EY56" s="7"/>
      <c r="EZ56" s="7"/>
      <c r="FA56" s="7"/>
      <c r="FB56" s="7"/>
      <c r="FC56" s="7"/>
    </row>
    <row r="57" spans="1:159" x14ac:dyDescent="0.15">
      <c r="R57" s="1" t="e">
        <f>GEOMEAN(R5:R40)</f>
        <v>#NUM!</v>
      </c>
      <c r="S57" s="1" t="e">
        <f>GEOMEAN(S5:S40)</f>
        <v>#NUM!</v>
      </c>
      <c r="AJ57" s="1" t="e">
        <f>GEOMEAN(AJ5:AJ40)</f>
        <v>#NUM!</v>
      </c>
      <c r="AK57" s="1" t="e">
        <f>GEOMEAN(AK5:AK40)</f>
        <v>#NUM!</v>
      </c>
      <c r="AL57" s="1" t="e">
        <f>GEOMEAN(AL5:AL40)</f>
        <v>#DIV/0!</v>
      </c>
      <c r="AM57" s="1" t="e">
        <f>GEOMEAN(AM5:AM40)</f>
        <v>#DIV/0!</v>
      </c>
      <c r="EV57" s="7"/>
      <c r="EW57" s="7"/>
      <c r="EX57" s="7"/>
      <c r="EY57" s="7"/>
      <c r="EZ57" s="7"/>
      <c r="FA57" s="7"/>
      <c r="FB57" s="7"/>
      <c r="FC57" s="7"/>
    </row>
    <row r="58" spans="1:159" x14ac:dyDescent="0.15">
      <c r="R58" s="1">
        <f>SUM(R5:R40)</f>
        <v>0</v>
      </c>
      <c r="S58" s="1">
        <f>SUM(S5:S40)</f>
        <v>0</v>
      </c>
      <c r="AJ58" s="1">
        <f>SUM(AJ5:AJ40)</f>
        <v>0</v>
      </c>
      <c r="AK58" s="1">
        <f>SUM(AK5:AK40)</f>
        <v>0</v>
      </c>
      <c r="AL58" s="1" t="e">
        <f>AVERAGE(AL5:AL40)</f>
        <v>#DIV/0!</v>
      </c>
      <c r="AM58" s="1" t="e">
        <f>AVERAGE(AM5:AM40)</f>
        <v>#DIV/0!</v>
      </c>
      <c r="EV58" s="7"/>
      <c r="EW58" s="7"/>
      <c r="EX58" s="7"/>
      <c r="EY58" s="7"/>
      <c r="EZ58" s="7"/>
      <c r="FA58" s="7"/>
      <c r="FB58" s="7"/>
      <c r="FC58" s="7"/>
    </row>
    <row r="59" spans="1:159" x14ac:dyDescent="0.15">
      <c r="R59" s="1">
        <f>MAX(R5:R40)</f>
        <v>0</v>
      </c>
      <c r="S59" s="1">
        <f>MAX(S5:S40)</f>
        <v>0</v>
      </c>
      <c r="AJ59" s="1">
        <f>MAX(AJ5:AJ40)</f>
        <v>0</v>
      </c>
      <c r="AK59" s="1">
        <f>MAX(AK5:AK40)</f>
        <v>0</v>
      </c>
      <c r="AL59" s="1" t="e">
        <f>MAX(AL5:AL40)</f>
        <v>#DIV/0!</v>
      </c>
      <c r="AM59" s="1" t="e">
        <f>MAX(AM5:AM40)</f>
        <v>#DIV/0!</v>
      </c>
      <c r="EV59" s="7"/>
      <c r="EW59" s="7"/>
      <c r="EX59" s="7"/>
      <c r="EY59" s="7"/>
      <c r="EZ59" s="7"/>
      <c r="FA59" s="7"/>
      <c r="FB59" s="7"/>
      <c r="FC59" s="7"/>
    </row>
    <row r="60" spans="1:159" x14ac:dyDescent="0.15">
      <c r="R60" s="1">
        <f>MIN(R5:R40)</f>
        <v>0</v>
      </c>
      <c r="S60" s="1">
        <f>MIN(S5:S40)</f>
        <v>0</v>
      </c>
      <c r="AJ60" s="1">
        <f>MIN(AJ5:AJ40)</f>
        <v>0</v>
      </c>
      <c r="AK60" s="1">
        <f>MIN(AK5:AK40)</f>
        <v>0</v>
      </c>
      <c r="AL60" s="1" t="e">
        <f>MIN(AL5:AL40)</f>
        <v>#DIV/0!</v>
      </c>
      <c r="AM60" s="1" t="e">
        <f>MIN(AM5:AM40)</f>
        <v>#DIV/0!</v>
      </c>
      <c r="EV60" s="7"/>
      <c r="EW60" s="7"/>
      <c r="EX60" s="7"/>
      <c r="EY60" s="7"/>
      <c r="EZ60" s="7"/>
      <c r="FA60" s="7"/>
      <c r="FB60" s="7"/>
      <c r="FC60" s="7"/>
    </row>
    <row r="61" spans="1:159" x14ac:dyDescent="0.15">
      <c r="AJ61" s="1" t="e">
        <f>AJ57/R57</f>
        <v>#NUM!</v>
      </c>
      <c r="AK61" s="1" t="e">
        <f>AK57/S57</f>
        <v>#NUM!</v>
      </c>
      <c r="EV61" s="7"/>
      <c r="EW61" s="7"/>
      <c r="EX61" s="7"/>
      <c r="EY61" s="7"/>
      <c r="EZ61" s="7"/>
      <c r="FA61" s="7"/>
      <c r="FB61" s="7"/>
      <c r="FC61" s="7"/>
    </row>
    <row r="62" spans="1:159" x14ac:dyDescent="0.15">
      <c r="EV62" s="7"/>
      <c r="EW62" s="7"/>
      <c r="EX62" s="7"/>
      <c r="EY62" s="7"/>
      <c r="EZ62" s="7"/>
      <c r="FA62" s="7"/>
      <c r="FB62" s="7"/>
      <c r="FC62" s="7"/>
    </row>
    <row r="63" spans="1:159" x14ac:dyDescent="0.15">
      <c r="EV63" s="7"/>
      <c r="EW63" s="7"/>
      <c r="EX63" s="7"/>
      <c r="EY63" s="7"/>
      <c r="EZ63" s="7"/>
      <c r="FA63" s="7"/>
      <c r="FB63" s="7"/>
      <c r="FC63" s="7"/>
    </row>
    <row r="64" spans="1:159" x14ac:dyDescent="0.15">
      <c r="EV64" s="7"/>
      <c r="EW64" s="7"/>
      <c r="EX64" s="7"/>
      <c r="EY64" s="7"/>
      <c r="EZ64" s="7"/>
      <c r="FA64" s="7"/>
      <c r="FB64" s="7"/>
      <c r="FC64" s="7"/>
    </row>
    <row r="65" spans="152:159" x14ac:dyDescent="0.15">
      <c r="EV65" s="7"/>
      <c r="EW65" s="7"/>
      <c r="EX65" s="7"/>
      <c r="EY65" s="7"/>
      <c r="EZ65" s="7"/>
      <c r="FA65" s="7"/>
      <c r="FB65" s="7"/>
      <c r="FC65" s="7"/>
    </row>
    <row r="66" spans="152:159" x14ac:dyDescent="0.15">
      <c r="EV66" s="7"/>
      <c r="EW66" s="7"/>
      <c r="EX66" s="7"/>
      <c r="EY66" s="7"/>
      <c r="EZ66" s="7"/>
      <c r="FA66" s="7"/>
      <c r="FB66" s="7"/>
      <c r="FC66" s="7"/>
    </row>
    <row r="67" spans="152:159" x14ac:dyDescent="0.15">
      <c r="EV67" s="7"/>
      <c r="EW67" s="7"/>
      <c r="EX67" s="7"/>
      <c r="EY67" s="7"/>
      <c r="EZ67" s="7"/>
      <c r="FA67" s="7"/>
      <c r="FB67" s="7"/>
      <c r="FC67" s="7"/>
    </row>
    <row r="68" spans="152:159" x14ac:dyDescent="0.15">
      <c r="EV68" s="7"/>
      <c r="EW68" s="7"/>
      <c r="EX68" s="7"/>
      <c r="EY68" s="7"/>
      <c r="EZ68" s="7"/>
      <c r="FA68" s="7"/>
      <c r="FB68" s="7"/>
      <c r="FC68" s="7"/>
    </row>
    <row r="69" spans="152:159" x14ac:dyDescent="0.15">
      <c r="EV69" s="7"/>
      <c r="EW69" s="7"/>
      <c r="EX69" s="7"/>
      <c r="EY69" s="7"/>
      <c r="EZ69" s="7"/>
      <c r="FA69" s="7"/>
      <c r="FB69" s="7"/>
      <c r="FC69" s="7"/>
    </row>
    <row r="70" spans="152:159" x14ac:dyDescent="0.15">
      <c r="EV70" s="7"/>
      <c r="EW70" s="7"/>
      <c r="EX70" s="7"/>
      <c r="EY70" s="7"/>
      <c r="EZ70" s="7"/>
      <c r="FA70" s="7"/>
      <c r="FB70" s="7"/>
      <c r="FC70" s="7"/>
    </row>
    <row r="71" spans="152:159" x14ac:dyDescent="0.15">
      <c r="EV71" s="7"/>
      <c r="EW71" s="7"/>
      <c r="EX71" s="7"/>
      <c r="EY71" s="7"/>
      <c r="EZ71" s="7"/>
      <c r="FA71" s="7"/>
      <c r="FB71" s="7"/>
      <c r="FC71" s="7"/>
    </row>
    <row r="72" spans="152:159" x14ac:dyDescent="0.15">
      <c r="EV72" s="7"/>
      <c r="EW72" s="7"/>
      <c r="EX72" s="7"/>
      <c r="EY72" s="7"/>
      <c r="EZ72" s="7"/>
      <c r="FA72" s="7"/>
      <c r="FB72" s="7"/>
      <c r="FC72" s="7"/>
    </row>
    <row r="73" spans="152:159" x14ac:dyDescent="0.15">
      <c r="EV73" s="7"/>
      <c r="EW73" s="7"/>
      <c r="EX73" s="7"/>
      <c r="EY73" s="7"/>
      <c r="EZ73" s="7"/>
      <c r="FA73" s="7"/>
      <c r="FB73" s="7"/>
      <c r="FC73" s="7"/>
    </row>
    <row r="74" spans="152:159" x14ac:dyDescent="0.15">
      <c r="EV74" s="7"/>
      <c r="EW74" s="7"/>
      <c r="EX74" s="7"/>
      <c r="EY74" s="7"/>
      <c r="EZ74" s="7"/>
      <c r="FA74" s="7"/>
      <c r="FB74" s="7"/>
      <c r="FC74" s="7"/>
    </row>
    <row r="75" spans="152:159" x14ac:dyDescent="0.15">
      <c r="EV75" s="7"/>
      <c r="EW75" s="7"/>
      <c r="EX75" s="7"/>
      <c r="EY75" s="7"/>
      <c r="EZ75" s="7"/>
      <c r="FA75" s="7"/>
      <c r="FB75" s="7"/>
      <c r="FC75" s="7"/>
    </row>
    <row r="76" spans="152:159" x14ac:dyDescent="0.15">
      <c r="EV76" s="7"/>
      <c r="EW76" s="7"/>
      <c r="EX76" s="7"/>
      <c r="EY76" s="7"/>
      <c r="EZ76" s="7"/>
      <c r="FA76" s="7"/>
      <c r="FB76" s="7"/>
      <c r="FC76" s="7"/>
    </row>
    <row r="77" spans="152:159" x14ac:dyDescent="0.15">
      <c r="EV77" s="7"/>
      <c r="EW77" s="7"/>
      <c r="EX77" s="7"/>
      <c r="EY77" s="7"/>
      <c r="EZ77" s="7"/>
      <c r="FA77" s="7"/>
      <c r="FB77" s="7"/>
      <c r="FC77" s="7"/>
    </row>
    <row r="78" spans="152:159" x14ac:dyDescent="0.15">
      <c r="EV78" s="7"/>
      <c r="EW78" s="7"/>
      <c r="EX78" s="7"/>
      <c r="EY78" s="7"/>
      <c r="EZ78" s="7"/>
      <c r="FA78" s="7"/>
      <c r="FB78" s="7"/>
      <c r="FC78" s="7"/>
    </row>
    <row r="79" spans="152:159" x14ac:dyDescent="0.15">
      <c r="EV79" s="7"/>
      <c r="EW79" s="7"/>
      <c r="EX79" s="7"/>
      <c r="EY79" s="7"/>
      <c r="EZ79" s="7"/>
      <c r="FA79" s="7"/>
      <c r="FB79" s="7"/>
      <c r="FC79" s="7"/>
    </row>
    <row r="80" spans="152:159" x14ac:dyDescent="0.15">
      <c r="EV80" s="7"/>
      <c r="EW80" s="7"/>
      <c r="EX80" s="7"/>
      <c r="EY80" s="7"/>
      <c r="EZ80" s="7"/>
      <c r="FA80" s="7"/>
      <c r="FB80" s="7"/>
      <c r="FC80" s="7"/>
    </row>
    <row r="81" spans="152:159" x14ac:dyDescent="0.15">
      <c r="EV81" s="7"/>
      <c r="EW81" s="7"/>
      <c r="EX81" s="7"/>
      <c r="EY81" s="7"/>
      <c r="EZ81" s="7"/>
      <c r="FA81" s="7"/>
      <c r="FB81" s="7"/>
      <c r="FC81" s="7"/>
    </row>
    <row r="82" spans="152:159" x14ac:dyDescent="0.15">
      <c r="EV82" s="7"/>
      <c r="EW82" s="7"/>
      <c r="EX82" s="7"/>
      <c r="EY82" s="7"/>
      <c r="EZ82" s="7"/>
      <c r="FA82" s="7"/>
      <c r="FB82" s="7"/>
      <c r="FC82" s="7"/>
    </row>
    <row r="83" spans="152:159" x14ac:dyDescent="0.15">
      <c r="EV83" s="7"/>
      <c r="EW83" s="7"/>
      <c r="EX83" s="7"/>
      <c r="EY83" s="7"/>
      <c r="EZ83" s="7"/>
      <c r="FA83" s="7"/>
      <c r="FB83" s="7"/>
      <c r="FC83" s="7"/>
    </row>
    <row r="84" spans="152:159" x14ac:dyDescent="0.15">
      <c r="EV84" s="7"/>
      <c r="EW84" s="7"/>
      <c r="EX84" s="7"/>
      <c r="EY84" s="7"/>
      <c r="EZ84" s="7"/>
      <c r="FA84" s="7"/>
      <c r="FB84" s="7"/>
      <c r="FC84" s="7"/>
    </row>
    <row r="85" spans="152:159" x14ac:dyDescent="0.15">
      <c r="EV85" s="7"/>
      <c r="EW85" s="7"/>
      <c r="EX85" s="7"/>
      <c r="EY85" s="7"/>
      <c r="EZ85" s="7"/>
      <c r="FA85" s="7"/>
      <c r="FB85" s="7"/>
      <c r="FC85" s="7"/>
    </row>
    <row r="86" spans="152:159" x14ac:dyDescent="0.15">
      <c r="EV86" s="7"/>
      <c r="EW86" s="7"/>
      <c r="EX86" s="7"/>
      <c r="EY86" s="7"/>
      <c r="EZ86" s="7"/>
      <c r="FA86" s="7"/>
      <c r="FB86" s="7"/>
      <c r="FC86" s="7"/>
    </row>
    <row r="87" spans="152:159" x14ac:dyDescent="0.15">
      <c r="EV87" s="7"/>
      <c r="EW87" s="7"/>
      <c r="EX87" s="7"/>
      <c r="EY87" s="7"/>
      <c r="EZ87" s="7"/>
      <c r="FA87" s="7"/>
      <c r="FB87" s="7"/>
      <c r="FC87" s="7"/>
    </row>
    <row r="88" spans="152:159" x14ac:dyDescent="0.15">
      <c r="EV88" s="7"/>
      <c r="EW88" s="7"/>
      <c r="EX88" s="7"/>
      <c r="EY88" s="7"/>
      <c r="EZ88" s="7"/>
      <c r="FA88" s="7"/>
      <c r="FB88" s="7"/>
      <c r="FC88" s="7"/>
    </row>
    <row r="89" spans="152:159" x14ac:dyDescent="0.15">
      <c r="EV89" s="7"/>
      <c r="EW89" s="7"/>
      <c r="EX89" s="7"/>
      <c r="EY89" s="7"/>
      <c r="EZ89" s="7"/>
      <c r="FA89" s="7"/>
      <c r="FB89" s="7"/>
      <c r="FC89" s="7"/>
    </row>
    <row r="90" spans="152:159" x14ac:dyDescent="0.15">
      <c r="EV90" s="7"/>
      <c r="EW90" s="7"/>
      <c r="EX90" s="7"/>
      <c r="EY90" s="7"/>
      <c r="EZ90" s="7"/>
      <c r="FA90" s="7"/>
      <c r="FB90" s="7"/>
      <c r="FC90" s="7"/>
    </row>
    <row r="91" spans="152:159" x14ac:dyDescent="0.15">
      <c r="EV91" s="7"/>
      <c r="EW91" s="7"/>
      <c r="EX91" s="7"/>
      <c r="EY91" s="7"/>
      <c r="EZ91" s="7"/>
      <c r="FA91" s="7"/>
      <c r="FB91" s="7"/>
      <c r="FC91" s="7"/>
    </row>
    <row r="92" spans="152:159" x14ac:dyDescent="0.15">
      <c r="EV92" s="7"/>
      <c r="EW92" s="7"/>
      <c r="EX92" s="7"/>
      <c r="EY92" s="7"/>
      <c r="EZ92" s="7"/>
      <c r="FA92" s="7"/>
      <c r="FB92" s="7"/>
      <c r="FC92" s="7"/>
    </row>
    <row r="93" spans="152:159" x14ac:dyDescent="0.15">
      <c r="EV93" s="7"/>
      <c r="EW93" s="7"/>
      <c r="EX93" s="7"/>
      <c r="EY93" s="7"/>
      <c r="EZ93" s="7"/>
      <c r="FA93" s="7"/>
      <c r="FB93" s="7"/>
      <c r="FC93" s="7"/>
    </row>
    <row r="94" spans="152:159" x14ac:dyDescent="0.15">
      <c r="EV94" s="7"/>
      <c r="EW94" s="7"/>
      <c r="EX94" s="7"/>
      <c r="EY94" s="7"/>
      <c r="EZ94" s="7"/>
      <c r="FA94" s="7"/>
      <c r="FB94" s="7"/>
      <c r="FC94" s="7"/>
    </row>
    <row r="95" spans="152:159" x14ac:dyDescent="0.15">
      <c r="EV95" s="7"/>
      <c r="EW95" s="7"/>
      <c r="EX95" s="7"/>
      <c r="EY95" s="7"/>
      <c r="EZ95" s="7"/>
      <c r="FA95" s="7"/>
      <c r="FB95" s="7"/>
      <c r="FC95" s="7"/>
    </row>
    <row r="96" spans="152:159" x14ac:dyDescent="0.15">
      <c r="EV96" s="7"/>
      <c r="EW96" s="7"/>
      <c r="EX96" s="7"/>
      <c r="EY96" s="7"/>
      <c r="EZ96" s="7"/>
      <c r="FA96" s="7"/>
      <c r="FB96" s="7"/>
      <c r="FC96" s="7"/>
    </row>
    <row r="97" spans="152:159" x14ac:dyDescent="0.15">
      <c r="EV97" s="7"/>
      <c r="EW97" s="7"/>
      <c r="EX97" s="7"/>
      <c r="EY97" s="7"/>
      <c r="EZ97" s="7"/>
      <c r="FA97" s="7"/>
      <c r="FB97" s="7"/>
      <c r="FC97" s="7"/>
    </row>
    <row r="98" spans="152:159" x14ac:dyDescent="0.15">
      <c r="EV98" s="7"/>
      <c r="EW98" s="7"/>
      <c r="EX98" s="7"/>
      <c r="EY98" s="7"/>
      <c r="EZ98" s="7"/>
      <c r="FA98" s="7"/>
      <c r="FB98" s="7"/>
      <c r="FC98" s="7"/>
    </row>
    <row r="99" spans="152:159" x14ac:dyDescent="0.15">
      <c r="EV99" s="7"/>
      <c r="EW99" s="7"/>
      <c r="EX99" s="7"/>
      <c r="EY99" s="7"/>
      <c r="EZ99" s="7"/>
      <c r="FA99" s="7"/>
      <c r="FB99" s="7"/>
      <c r="FC99" s="7"/>
    </row>
    <row r="100" spans="152:159" x14ac:dyDescent="0.15">
      <c r="EV100" s="7"/>
      <c r="EW100" s="7"/>
      <c r="EX100" s="7"/>
      <c r="EY100" s="7"/>
      <c r="EZ100" s="7"/>
      <c r="FA100" s="7"/>
      <c r="FB100" s="7"/>
      <c r="FC100" s="7"/>
    </row>
    <row r="101" spans="152:159" x14ac:dyDescent="0.15">
      <c r="EV101" s="7"/>
      <c r="EW101" s="7"/>
      <c r="EX101" s="7"/>
      <c r="EY101" s="7"/>
      <c r="EZ101" s="7"/>
      <c r="FA101" s="7"/>
      <c r="FB101" s="7"/>
      <c r="FC101" s="7"/>
    </row>
    <row r="102" spans="152:159" x14ac:dyDescent="0.15">
      <c r="EV102" s="7"/>
      <c r="EW102" s="7"/>
      <c r="EX102" s="7"/>
      <c r="EY102" s="7"/>
      <c r="EZ102" s="7"/>
      <c r="FA102" s="7"/>
      <c r="FB102" s="7"/>
      <c r="FC102" s="7"/>
    </row>
    <row r="103" spans="152:159" x14ac:dyDescent="0.15">
      <c r="EV103" s="7"/>
      <c r="EW103" s="7"/>
      <c r="EX103" s="7"/>
      <c r="EY103" s="7"/>
      <c r="EZ103" s="7"/>
      <c r="FA103" s="7"/>
      <c r="FB103" s="7"/>
      <c r="FC103" s="7"/>
    </row>
    <row r="104" spans="152:159" x14ac:dyDescent="0.15">
      <c r="EV104" s="7"/>
      <c r="EW104" s="7"/>
      <c r="EX104" s="7"/>
      <c r="EY104" s="7"/>
      <c r="EZ104" s="7"/>
      <c r="FA104" s="7"/>
      <c r="FB104" s="7"/>
      <c r="FC104" s="7"/>
    </row>
    <row r="105" spans="152:159" x14ac:dyDescent="0.15">
      <c r="EV105" s="7"/>
      <c r="EW105" s="7"/>
      <c r="EX105" s="7"/>
      <c r="EY105" s="7"/>
      <c r="EZ105" s="7"/>
      <c r="FA105" s="7"/>
      <c r="FB105" s="7"/>
      <c r="FC105" s="7"/>
    </row>
    <row r="106" spans="152:159" x14ac:dyDescent="0.15">
      <c r="EV106" s="7"/>
      <c r="EW106" s="7"/>
      <c r="EX106" s="7"/>
      <c r="EY106" s="7"/>
      <c r="EZ106" s="7"/>
      <c r="FA106" s="7"/>
      <c r="FB106" s="7"/>
      <c r="FC106" s="7"/>
    </row>
    <row r="107" spans="152:159" x14ac:dyDescent="0.15">
      <c r="EV107" s="7"/>
      <c r="EW107" s="7"/>
      <c r="EX107" s="7"/>
      <c r="EY107" s="7"/>
      <c r="EZ107" s="7"/>
      <c r="FA107" s="7"/>
      <c r="FB107" s="7"/>
      <c r="FC107" s="7"/>
    </row>
    <row r="108" spans="152:159" x14ac:dyDescent="0.15">
      <c r="EV108" s="7"/>
      <c r="EW108" s="7"/>
      <c r="EX108" s="7"/>
      <c r="EY108" s="7"/>
      <c r="EZ108" s="7"/>
      <c r="FA108" s="7"/>
      <c r="FB108" s="7"/>
      <c r="FC108" s="7"/>
    </row>
    <row r="109" spans="152:159" x14ac:dyDescent="0.15">
      <c r="EV109" s="7"/>
      <c r="EW109" s="7"/>
      <c r="EX109" s="7"/>
      <c r="EY109" s="7"/>
      <c r="EZ109" s="7"/>
      <c r="FA109" s="7"/>
      <c r="FB109" s="7"/>
      <c r="FC109" s="7"/>
    </row>
    <row r="110" spans="152:159" x14ac:dyDescent="0.15">
      <c r="EV110" s="7"/>
      <c r="EW110" s="7"/>
      <c r="EX110" s="7"/>
      <c r="EY110" s="7"/>
      <c r="EZ110" s="7"/>
      <c r="FA110" s="7"/>
      <c r="FB110" s="7"/>
      <c r="FC110" s="7"/>
    </row>
    <row r="111" spans="152:159" x14ac:dyDescent="0.15">
      <c r="EV111" s="7"/>
      <c r="EW111" s="7"/>
      <c r="EX111" s="7"/>
      <c r="EY111" s="7"/>
      <c r="EZ111" s="7"/>
      <c r="FA111" s="7"/>
      <c r="FB111" s="7"/>
      <c r="FC111" s="7"/>
    </row>
    <row r="112" spans="152:159" x14ac:dyDescent="0.15">
      <c r="EV112" s="7"/>
      <c r="EW112" s="7"/>
      <c r="EX112" s="7"/>
      <c r="EY112" s="7"/>
      <c r="EZ112" s="7"/>
      <c r="FA112" s="7"/>
      <c r="FB112" s="7"/>
      <c r="FC112" s="7"/>
    </row>
    <row r="113" spans="152:159" x14ac:dyDescent="0.15">
      <c r="EV113" s="7"/>
      <c r="EW113" s="7"/>
      <c r="EX113" s="7"/>
      <c r="EY113" s="7"/>
      <c r="EZ113" s="7"/>
      <c r="FA113" s="7"/>
      <c r="FB113" s="7"/>
      <c r="FC113" s="7"/>
    </row>
    <row r="114" spans="152:159" x14ac:dyDescent="0.15">
      <c r="EV114" s="7"/>
      <c r="EW114" s="7"/>
      <c r="EX114" s="7"/>
      <c r="EY114" s="7"/>
      <c r="EZ114" s="7"/>
      <c r="FA114" s="7"/>
      <c r="FB114" s="7"/>
      <c r="FC114" s="7"/>
    </row>
    <row r="115" spans="152:159" x14ac:dyDescent="0.15">
      <c r="EV115" s="7"/>
      <c r="EW115" s="7"/>
      <c r="EX115" s="7"/>
      <c r="EY115" s="7"/>
      <c r="EZ115" s="7"/>
      <c r="FA115" s="7"/>
      <c r="FB115" s="7"/>
      <c r="FC115" s="7"/>
    </row>
    <row r="116" spans="152:159" x14ac:dyDescent="0.15">
      <c r="EV116" s="7"/>
      <c r="EW116" s="7"/>
      <c r="EX116" s="7"/>
      <c r="EY116" s="7"/>
      <c r="EZ116" s="7"/>
      <c r="FA116" s="7"/>
      <c r="FB116" s="7"/>
      <c r="FC116" s="7"/>
    </row>
    <row r="117" spans="152:159" x14ac:dyDescent="0.15">
      <c r="EV117" s="7"/>
      <c r="EW117" s="7"/>
      <c r="EX117" s="7"/>
      <c r="EY117" s="7"/>
      <c r="EZ117" s="7"/>
      <c r="FA117" s="7"/>
      <c r="FB117" s="7"/>
      <c r="FC117" s="7"/>
    </row>
    <row r="118" spans="152:159" x14ac:dyDescent="0.15">
      <c r="EV118" s="7"/>
      <c r="EW118" s="7"/>
      <c r="EX118" s="7"/>
      <c r="EY118" s="7"/>
      <c r="EZ118" s="7"/>
      <c r="FA118" s="7"/>
      <c r="FB118" s="7"/>
      <c r="FC118" s="7"/>
    </row>
    <row r="119" spans="152:159" x14ac:dyDescent="0.15">
      <c r="EV119" s="7"/>
      <c r="EW119" s="7"/>
      <c r="EX119" s="7"/>
      <c r="EY119" s="7"/>
      <c r="EZ119" s="7"/>
      <c r="FA119" s="7"/>
      <c r="FB119" s="7"/>
      <c r="FC119" s="7"/>
    </row>
    <row r="120" spans="152:159" x14ac:dyDescent="0.15">
      <c r="EV120" s="7"/>
      <c r="EW120" s="7"/>
      <c r="EX120" s="7"/>
      <c r="EY120" s="7"/>
      <c r="EZ120" s="7"/>
      <c r="FA120" s="7"/>
      <c r="FB120" s="7"/>
      <c r="FC120" s="7"/>
    </row>
    <row r="121" spans="152:159" x14ac:dyDescent="0.15">
      <c r="EV121" s="7"/>
      <c r="EW121" s="7"/>
      <c r="EX121" s="7"/>
      <c r="EY121" s="7"/>
      <c r="EZ121" s="7"/>
      <c r="FA121" s="7"/>
      <c r="FB121" s="7"/>
      <c r="FC121" s="7"/>
    </row>
    <row r="122" spans="152:159" x14ac:dyDescent="0.15">
      <c r="EV122" s="7"/>
      <c r="EW122" s="7"/>
      <c r="EX122" s="7"/>
      <c r="EY122" s="7"/>
      <c r="EZ122" s="7"/>
      <c r="FA122" s="7"/>
      <c r="FB122" s="7"/>
      <c r="FC122" s="7"/>
    </row>
    <row r="123" spans="152:159" x14ac:dyDescent="0.15">
      <c r="EV123" s="7"/>
      <c r="EW123" s="7"/>
      <c r="EX123" s="7"/>
      <c r="EY123" s="7"/>
      <c r="EZ123" s="7"/>
      <c r="FA123" s="7"/>
      <c r="FB123" s="7"/>
      <c r="FC123" s="7"/>
    </row>
    <row r="124" spans="152:159" x14ac:dyDescent="0.15">
      <c r="EV124" s="7"/>
      <c r="EW124" s="7"/>
      <c r="EX124" s="7"/>
      <c r="EY124" s="7"/>
      <c r="EZ124" s="7"/>
      <c r="FA124" s="7"/>
      <c r="FB124" s="7"/>
      <c r="FC124" s="7"/>
    </row>
    <row r="125" spans="152:159" x14ac:dyDescent="0.15">
      <c r="EV125" s="7"/>
      <c r="EW125" s="7"/>
      <c r="EX125" s="7"/>
      <c r="EY125" s="7"/>
      <c r="EZ125" s="7"/>
      <c r="FA125" s="7"/>
      <c r="FB125" s="7"/>
      <c r="FC125" s="7"/>
    </row>
    <row r="126" spans="152:159" x14ac:dyDescent="0.15">
      <c r="EV126" s="7"/>
      <c r="EW126" s="7"/>
      <c r="EX126" s="7"/>
      <c r="EY126" s="7"/>
      <c r="EZ126" s="7"/>
      <c r="FA126" s="7"/>
      <c r="FB126" s="7"/>
      <c r="FC126" s="7"/>
    </row>
    <row r="127" spans="152:159" x14ac:dyDescent="0.15">
      <c r="EV127" s="7"/>
      <c r="EW127" s="7"/>
      <c r="EX127" s="7"/>
      <c r="EY127" s="7"/>
      <c r="EZ127" s="7"/>
      <c r="FA127" s="7"/>
      <c r="FB127" s="7"/>
      <c r="FC127" s="7"/>
    </row>
    <row r="128" spans="152:159" x14ac:dyDescent="0.15">
      <c r="EV128" s="7"/>
      <c r="EW128" s="7"/>
      <c r="EX128" s="7"/>
      <c r="EY128" s="7"/>
      <c r="EZ128" s="7"/>
      <c r="FA128" s="7"/>
      <c r="FB128" s="7"/>
      <c r="FC128" s="7"/>
    </row>
    <row r="129" spans="152:159" x14ac:dyDescent="0.15">
      <c r="EV129" s="7"/>
      <c r="EW129" s="7"/>
      <c r="EX129" s="7"/>
      <c r="EY129" s="7"/>
      <c r="EZ129" s="7"/>
      <c r="FA129" s="7"/>
      <c r="FB129" s="7"/>
      <c r="FC129" s="7"/>
    </row>
    <row r="130" spans="152:159" x14ac:dyDescent="0.15">
      <c r="EV130" s="7"/>
      <c r="EW130" s="7"/>
      <c r="EX130" s="7"/>
      <c r="EY130" s="7"/>
      <c r="EZ130" s="7"/>
      <c r="FA130" s="7"/>
      <c r="FB130" s="7"/>
      <c r="FC130" s="7"/>
    </row>
    <row r="131" spans="152:159" x14ac:dyDescent="0.15">
      <c r="EV131" s="7"/>
      <c r="EW131" s="7"/>
      <c r="EX131" s="7"/>
      <c r="EY131" s="7"/>
      <c r="EZ131" s="7"/>
      <c r="FA131" s="7"/>
      <c r="FB131" s="7"/>
      <c r="FC131" s="7"/>
    </row>
    <row r="132" spans="152:159" x14ac:dyDescent="0.15">
      <c r="EV132" s="7"/>
      <c r="EW132" s="7"/>
      <c r="EX132" s="7"/>
      <c r="EY132" s="7"/>
      <c r="EZ132" s="7"/>
      <c r="FA132" s="7"/>
      <c r="FB132" s="7"/>
      <c r="FC132" s="7"/>
    </row>
    <row r="133" spans="152:159" x14ac:dyDescent="0.15">
      <c r="EV133" s="7"/>
      <c r="EW133" s="7"/>
      <c r="EX133" s="7"/>
      <c r="EY133" s="7"/>
      <c r="EZ133" s="7"/>
      <c r="FA133" s="7"/>
      <c r="FB133" s="7"/>
      <c r="FC133" s="7"/>
    </row>
    <row r="134" spans="152:159" x14ac:dyDescent="0.15">
      <c r="EV134" s="7"/>
      <c r="EW134" s="7"/>
      <c r="EX134" s="7"/>
      <c r="EY134" s="7"/>
      <c r="EZ134" s="7"/>
      <c r="FA134" s="7"/>
      <c r="FB134" s="7"/>
      <c r="FC134" s="7"/>
    </row>
    <row r="135" spans="152:159" x14ac:dyDescent="0.15">
      <c r="EV135" s="7"/>
      <c r="EW135" s="7"/>
      <c r="EX135" s="7"/>
      <c r="EY135" s="7"/>
      <c r="EZ135" s="7"/>
      <c r="FA135" s="7"/>
      <c r="FB135" s="7"/>
      <c r="FC135" s="7"/>
    </row>
    <row r="136" spans="152:159" x14ac:dyDescent="0.15">
      <c r="EV136" s="7"/>
      <c r="EW136" s="7"/>
      <c r="EX136" s="7"/>
      <c r="EY136" s="7"/>
      <c r="EZ136" s="7"/>
      <c r="FA136" s="7"/>
      <c r="FB136" s="7"/>
      <c r="FC136" s="7"/>
    </row>
    <row r="137" spans="152:159" x14ac:dyDescent="0.15">
      <c r="EV137" s="7"/>
      <c r="EW137" s="7"/>
      <c r="EX137" s="7"/>
      <c r="EY137" s="7"/>
      <c r="EZ137" s="7"/>
      <c r="FA137" s="7"/>
      <c r="FB137" s="7"/>
      <c r="FC137" s="7"/>
    </row>
    <row r="138" spans="152:159" x14ac:dyDescent="0.15">
      <c r="EV138" s="7"/>
      <c r="EW138" s="7"/>
      <c r="EX138" s="7"/>
      <c r="EY138" s="7"/>
      <c r="EZ138" s="7"/>
      <c r="FA138" s="7"/>
      <c r="FB138" s="7"/>
      <c r="FC138" s="7"/>
    </row>
    <row r="139" spans="152:159" x14ac:dyDescent="0.15">
      <c r="EV139" s="7"/>
      <c r="EW139" s="7"/>
      <c r="EX139" s="7"/>
      <c r="EY139" s="7"/>
      <c r="EZ139" s="7"/>
      <c r="FA139" s="7"/>
      <c r="FB139" s="7"/>
      <c r="FC139" s="7"/>
    </row>
    <row r="140" spans="152:159" x14ac:dyDescent="0.15">
      <c r="EV140" s="7"/>
      <c r="EW140" s="7"/>
      <c r="EX140" s="7"/>
      <c r="EY140" s="7"/>
      <c r="EZ140" s="7"/>
      <c r="FA140" s="7"/>
      <c r="FB140" s="7"/>
      <c r="FC140" s="7"/>
    </row>
    <row r="141" spans="152:159" x14ac:dyDescent="0.15">
      <c r="EV141" s="7"/>
      <c r="EW141" s="7"/>
      <c r="EX141" s="7"/>
      <c r="EY141" s="7"/>
      <c r="EZ141" s="7"/>
      <c r="FA141" s="7"/>
      <c r="FB141" s="7"/>
      <c r="FC141" s="7"/>
    </row>
    <row r="142" spans="152:159" x14ac:dyDescent="0.15">
      <c r="EV142" s="7"/>
      <c r="EW142" s="7"/>
      <c r="EX142" s="7"/>
      <c r="EY142" s="7"/>
      <c r="EZ142" s="7"/>
      <c r="FA142" s="7"/>
      <c r="FB142" s="7"/>
      <c r="FC142" s="7"/>
    </row>
    <row r="143" spans="152:159" x14ac:dyDescent="0.15">
      <c r="EV143" s="7"/>
      <c r="EW143" s="7"/>
      <c r="EX143" s="7"/>
      <c r="EY143" s="7"/>
      <c r="EZ143" s="7"/>
      <c r="FA143" s="7"/>
      <c r="FB143" s="7"/>
      <c r="FC143" s="7"/>
    </row>
    <row r="144" spans="152:159" x14ac:dyDescent="0.15">
      <c r="EV144" s="7"/>
      <c r="EW144" s="7"/>
      <c r="EX144" s="7"/>
      <c r="EY144" s="7"/>
      <c r="EZ144" s="7"/>
      <c r="FA144" s="7"/>
      <c r="FB144" s="7"/>
      <c r="FC144" s="7"/>
    </row>
    <row r="145" spans="152:159" x14ac:dyDescent="0.15">
      <c r="EV145" s="7"/>
      <c r="EW145" s="7"/>
      <c r="EX145" s="7"/>
      <c r="EY145" s="7"/>
      <c r="EZ145" s="7"/>
      <c r="FA145" s="7"/>
      <c r="FB145" s="7"/>
      <c r="FC145" s="7"/>
    </row>
    <row r="146" spans="152:159" x14ac:dyDescent="0.15">
      <c r="EV146" s="7"/>
      <c r="EW146" s="7"/>
      <c r="EX146" s="7"/>
      <c r="EY146" s="7"/>
      <c r="EZ146" s="7"/>
      <c r="FA146" s="7"/>
      <c r="FB146" s="7"/>
      <c r="FC146" s="7"/>
    </row>
    <row r="147" spans="152:159" x14ac:dyDescent="0.15">
      <c r="EV147" s="7"/>
      <c r="EW147" s="7"/>
      <c r="EX147" s="7"/>
      <c r="EY147" s="7"/>
      <c r="EZ147" s="7"/>
      <c r="FA147" s="7"/>
      <c r="FB147" s="7"/>
      <c r="FC147" s="7"/>
    </row>
    <row r="148" spans="152:159" x14ac:dyDescent="0.15">
      <c r="EV148" s="7"/>
      <c r="EW148" s="7"/>
      <c r="EX148" s="7"/>
      <c r="EY148" s="7"/>
      <c r="EZ148" s="7"/>
      <c r="FA148" s="7"/>
      <c r="FB148" s="7"/>
      <c r="FC148" s="7"/>
    </row>
    <row r="149" spans="152:159" x14ac:dyDescent="0.15">
      <c r="EV149" s="7"/>
      <c r="EW149" s="7"/>
      <c r="EX149" s="7"/>
      <c r="EY149" s="7"/>
      <c r="EZ149" s="7"/>
      <c r="FA149" s="7"/>
      <c r="FB149" s="7"/>
      <c r="FC149" s="7"/>
    </row>
    <row r="150" spans="152:159" x14ac:dyDescent="0.15">
      <c r="EV150" s="7"/>
      <c r="EW150" s="7"/>
      <c r="EX150" s="7"/>
      <c r="EY150" s="7"/>
      <c r="EZ150" s="7"/>
      <c r="FA150" s="7"/>
      <c r="FB150" s="7"/>
      <c r="FC150" s="7"/>
    </row>
    <row r="151" spans="152:159" x14ac:dyDescent="0.15">
      <c r="EV151" s="7"/>
      <c r="EW151" s="7"/>
      <c r="EX151" s="7"/>
      <c r="EY151" s="7"/>
      <c r="EZ151" s="7"/>
      <c r="FA151" s="7"/>
      <c r="FB151" s="7"/>
      <c r="FC151" s="7"/>
    </row>
    <row r="152" spans="152:159" x14ac:dyDescent="0.15">
      <c r="EV152" s="7"/>
      <c r="EW152" s="7"/>
      <c r="EX152" s="7"/>
      <c r="EY152" s="7"/>
      <c r="EZ152" s="7"/>
      <c r="FA152" s="7"/>
      <c r="FB152" s="7"/>
      <c r="FC152" s="7"/>
    </row>
    <row r="153" spans="152:159" x14ac:dyDescent="0.15">
      <c r="EV153" s="7"/>
      <c r="EW153" s="7"/>
      <c r="EX153" s="7"/>
      <c r="EY153" s="7"/>
      <c r="EZ153" s="7"/>
      <c r="FA153" s="7"/>
      <c r="FB153" s="7"/>
      <c r="FC153" s="7"/>
    </row>
    <row r="154" spans="152:159" x14ac:dyDescent="0.15">
      <c r="EV154" s="7"/>
      <c r="EW154" s="7"/>
      <c r="EX154" s="7"/>
      <c r="EY154" s="7"/>
      <c r="EZ154" s="7"/>
      <c r="FA154" s="7"/>
      <c r="FB154" s="7"/>
      <c r="FC154" s="7"/>
    </row>
    <row r="155" spans="152:159" x14ac:dyDescent="0.15">
      <c r="EV155" s="7"/>
      <c r="EW155" s="7"/>
      <c r="EX155" s="7"/>
      <c r="EY155" s="7"/>
      <c r="EZ155" s="7"/>
      <c r="FA155" s="7"/>
      <c r="FB155" s="7"/>
      <c r="FC155" s="7"/>
    </row>
    <row r="156" spans="152:159" x14ac:dyDescent="0.15">
      <c r="EV156" s="7"/>
      <c r="EW156" s="7"/>
      <c r="EX156" s="7"/>
      <c r="EY156" s="7"/>
      <c r="EZ156" s="7"/>
      <c r="FA156" s="7"/>
      <c r="FB156" s="7"/>
      <c r="FC156" s="7"/>
    </row>
    <row r="157" spans="152:159" x14ac:dyDescent="0.15">
      <c r="EV157" s="7"/>
      <c r="EW157" s="7"/>
      <c r="EX157" s="7"/>
      <c r="EY157" s="7"/>
      <c r="EZ157" s="7"/>
      <c r="FA157" s="7"/>
      <c r="FB157" s="7"/>
      <c r="FC157" s="7"/>
    </row>
    <row r="158" spans="152:159" x14ac:dyDescent="0.15">
      <c r="EV158" s="7"/>
      <c r="EW158" s="7"/>
      <c r="EX158" s="7"/>
      <c r="EY158" s="7"/>
      <c r="EZ158" s="7"/>
      <c r="FA158" s="7"/>
      <c r="FB158" s="7"/>
      <c r="FC158" s="7"/>
    </row>
    <row r="159" spans="152:159" x14ac:dyDescent="0.15">
      <c r="EV159" s="7"/>
      <c r="EW159" s="7"/>
      <c r="EX159" s="7"/>
      <c r="EY159" s="7"/>
      <c r="EZ159" s="7"/>
      <c r="FA159" s="7"/>
      <c r="FB159" s="7"/>
      <c r="FC159" s="7"/>
    </row>
    <row r="160" spans="152:159" x14ac:dyDescent="0.15">
      <c r="EV160" s="7"/>
      <c r="EW160" s="7"/>
      <c r="EX160" s="7"/>
      <c r="EY160" s="7"/>
      <c r="EZ160" s="7"/>
      <c r="FA160" s="7"/>
      <c r="FB160" s="7"/>
      <c r="FC160" s="7"/>
    </row>
    <row r="161" spans="152:159" x14ac:dyDescent="0.15">
      <c r="EV161" s="7"/>
      <c r="EW161" s="7"/>
      <c r="EX161" s="7"/>
      <c r="EY161" s="7"/>
      <c r="EZ161" s="7"/>
      <c r="FA161" s="7"/>
      <c r="FB161" s="7"/>
      <c r="FC161" s="7"/>
    </row>
    <row r="162" spans="152:159" x14ac:dyDescent="0.15">
      <c r="EV162" s="7"/>
      <c r="EW162" s="7"/>
      <c r="EX162" s="7"/>
      <c r="EY162" s="7"/>
      <c r="EZ162" s="7"/>
      <c r="FA162" s="7"/>
      <c r="FB162" s="7"/>
      <c r="FC162" s="7"/>
    </row>
    <row r="163" spans="152:159" x14ac:dyDescent="0.15">
      <c r="EV163" s="7"/>
      <c r="EW163" s="7"/>
      <c r="EX163" s="7"/>
      <c r="EY163" s="7"/>
      <c r="EZ163" s="7"/>
      <c r="FA163" s="7"/>
      <c r="FB163" s="7"/>
      <c r="FC163" s="7"/>
    </row>
    <row r="164" spans="152:159" x14ac:dyDescent="0.15">
      <c r="EV164" s="7"/>
      <c r="EW164" s="7"/>
      <c r="EX164" s="7"/>
      <c r="EY164" s="7"/>
      <c r="EZ164" s="7"/>
      <c r="FA164" s="7"/>
      <c r="FB164" s="7"/>
      <c r="FC164" s="7"/>
    </row>
    <row r="165" spans="152:159" x14ac:dyDescent="0.15">
      <c r="EV165" s="7"/>
      <c r="EW165" s="7"/>
      <c r="EX165" s="7"/>
      <c r="EY165" s="7"/>
      <c r="EZ165" s="7"/>
      <c r="FA165" s="7"/>
      <c r="FB165" s="7"/>
      <c r="FC165" s="7"/>
    </row>
    <row r="166" spans="152:159" x14ac:dyDescent="0.15">
      <c r="EV166" s="7"/>
      <c r="EW166" s="7"/>
      <c r="EX166" s="7"/>
      <c r="EY166" s="7"/>
      <c r="EZ166" s="7"/>
      <c r="FA166" s="7"/>
      <c r="FB166" s="7"/>
      <c r="FC166" s="7"/>
    </row>
    <row r="167" spans="152:159" x14ac:dyDescent="0.15">
      <c r="EV167" s="7"/>
      <c r="EW167" s="7"/>
      <c r="EX167" s="7"/>
      <c r="EY167" s="7"/>
      <c r="EZ167" s="7"/>
      <c r="FA167" s="7"/>
      <c r="FB167" s="7"/>
      <c r="FC167" s="7"/>
    </row>
    <row r="168" spans="152:159" x14ac:dyDescent="0.15">
      <c r="EV168" s="7"/>
      <c r="EW168" s="7"/>
      <c r="EX168" s="7"/>
      <c r="EY168" s="7"/>
      <c r="EZ168" s="7"/>
      <c r="FA168" s="7"/>
      <c r="FB168" s="7"/>
      <c r="FC168" s="7"/>
    </row>
    <row r="169" spans="152:159" x14ac:dyDescent="0.15">
      <c r="EV169" s="7"/>
      <c r="EW169" s="7"/>
      <c r="EX169" s="7"/>
      <c r="EY169" s="7"/>
      <c r="EZ169" s="7"/>
      <c r="FA169" s="7"/>
      <c r="FB169" s="7"/>
      <c r="FC169" s="7"/>
    </row>
    <row r="170" spans="152:159" x14ac:dyDescent="0.15">
      <c r="EV170" s="7"/>
      <c r="EW170" s="7"/>
      <c r="EX170" s="7"/>
      <c r="EY170" s="7"/>
      <c r="EZ170" s="7"/>
      <c r="FA170" s="7"/>
      <c r="FB170" s="7"/>
      <c r="FC170" s="7"/>
    </row>
    <row r="171" spans="152:159" x14ac:dyDescent="0.15">
      <c r="EV171" s="7"/>
      <c r="EW171" s="7"/>
      <c r="EX171" s="7"/>
      <c r="EY171" s="7"/>
      <c r="EZ171" s="7"/>
      <c r="FA171" s="7"/>
      <c r="FB171" s="7"/>
      <c r="FC171" s="7"/>
    </row>
    <row r="172" spans="152:159" x14ac:dyDescent="0.15">
      <c r="EV172" s="7"/>
      <c r="EW172" s="7"/>
      <c r="EX172" s="7"/>
      <c r="EY172" s="7"/>
      <c r="EZ172" s="7"/>
      <c r="FA172" s="7"/>
      <c r="FB172" s="7"/>
      <c r="FC172" s="7"/>
    </row>
    <row r="173" spans="152:159" x14ac:dyDescent="0.15">
      <c r="EV173" s="7"/>
      <c r="EW173" s="7"/>
      <c r="EX173" s="7"/>
      <c r="EY173" s="7"/>
      <c r="EZ173" s="7"/>
      <c r="FA173" s="7"/>
      <c r="FB173" s="7"/>
      <c r="FC173" s="7"/>
    </row>
    <row r="174" spans="152:159" x14ac:dyDescent="0.15">
      <c r="EV174" s="7"/>
      <c r="EW174" s="7"/>
      <c r="EX174" s="7"/>
      <c r="EY174" s="7"/>
      <c r="EZ174" s="7"/>
      <c r="FA174" s="7"/>
      <c r="FB174" s="7"/>
      <c r="FC174" s="7"/>
    </row>
    <row r="175" spans="152:159" x14ac:dyDescent="0.15">
      <c r="EV175" s="7"/>
      <c r="EW175" s="7"/>
      <c r="EX175" s="7"/>
      <c r="EY175" s="7"/>
      <c r="EZ175" s="7"/>
      <c r="FA175" s="7"/>
      <c r="FB175" s="7"/>
      <c r="FC175" s="7"/>
    </row>
    <row r="176" spans="152:159" x14ac:dyDescent="0.15">
      <c r="EV176" s="7"/>
      <c r="EW176" s="7"/>
      <c r="EX176" s="7"/>
      <c r="EY176" s="7"/>
      <c r="EZ176" s="7"/>
      <c r="FA176" s="7"/>
      <c r="FB176" s="7"/>
      <c r="FC176" s="7"/>
    </row>
    <row r="177" spans="152:159" x14ac:dyDescent="0.15">
      <c r="EV177" s="7"/>
      <c r="EW177" s="7"/>
      <c r="EX177" s="7"/>
      <c r="EY177" s="7"/>
      <c r="EZ177" s="7"/>
      <c r="FA177" s="7"/>
      <c r="FB177" s="7"/>
      <c r="FC177" s="7"/>
    </row>
    <row r="178" spans="152:159" x14ac:dyDescent="0.15">
      <c r="EV178" s="7"/>
      <c r="EW178" s="7"/>
      <c r="EX178" s="7"/>
      <c r="EY178" s="7"/>
      <c r="EZ178" s="7"/>
      <c r="FA178" s="7"/>
      <c r="FB178" s="7"/>
      <c r="FC178" s="7"/>
    </row>
    <row r="179" spans="152:159" x14ac:dyDescent="0.15">
      <c r="EV179" s="7"/>
      <c r="EW179" s="7"/>
      <c r="EX179" s="7"/>
      <c r="EY179" s="7"/>
      <c r="EZ179" s="7"/>
      <c r="FA179" s="7"/>
      <c r="FB179" s="7"/>
      <c r="FC179" s="7"/>
    </row>
    <row r="180" spans="152:159" x14ac:dyDescent="0.15">
      <c r="EV180" s="7"/>
      <c r="EW180" s="7"/>
      <c r="EX180" s="7"/>
      <c r="EY180" s="7"/>
      <c r="EZ180" s="7"/>
      <c r="FA180" s="7"/>
      <c r="FB180" s="7"/>
      <c r="FC180" s="7"/>
    </row>
  </sheetData>
  <sheetProtection sheet="1" objects="1" scenarios="1" formatCells="0" formatColumns="0" formatRows="0"/>
  <mergeCells count="270">
    <mergeCell ref="CL2:DC2"/>
    <mergeCell ref="DE2:DF2"/>
    <mergeCell ref="DH2:DI2"/>
    <mergeCell ref="DK2:DL2"/>
    <mergeCell ref="C1:S2"/>
    <mergeCell ref="U1:AK2"/>
    <mergeCell ref="AO1:AY1"/>
    <mergeCell ref="CL1:DL1"/>
    <mergeCell ref="DZ1:EW1"/>
    <mergeCell ref="AO2:AS2"/>
    <mergeCell ref="AT2:AU2"/>
    <mergeCell ref="AV2:AW2"/>
    <mergeCell ref="AX2:AY2"/>
    <mergeCell ref="ET2:EU2"/>
    <mergeCell ref="EV2:EW2"/>
    <mergeCell ref="EX2:EY2"/>
    <mergeCell ref="EZ2:FA2"/>
    <mergeCell ref="FB2:FC2"/>
    <mergeCell ref="FD2:FI2"/>
    <mergeCell ref="DM2:DN2"/>
    <mergeCell ref="DO2:DP2"/>
    <mergeCell ref="DQ2:DR2"/>
    <mergeCell ref="DS2:DX2"/>
    <mergeCell ref="DZ2:EQ2"/>
    <mergeCell ref="ER2:ES2"/>
    <mergeCell ref="CN3:CQ3"/>
    <mergeCell ref="CX3:DA3"/>
    <mergeCell ref="EB3:EE3"/>
    <mergeCell ref="EL3:EO3"/>
    <mergeCell ref="AO4:AP4"/>
    <mergeCell ref="D3:G3"/>
    <mergeCell ref="N3:Q3"/>
    <mergeCell ref="V3:Y3"/>
    <mergeCell ref="AF3:AI3"/>
    <mergeCell ref="AX7:AX8"/>
    <mergeCell ref="AT5:AT6"/>
    <mergeCell ref="AU5:AU10"/>
    <mergeCell ref="AV5:AV6"/>
    <mergeCell ref="AW5:AW10"/>
    <mergeCell ref="AX5:AX6"/>
    <mergeCell ref="AY5:AY10"/>
    <mergeCell ref="AT9:AT10"/>
    <mergeCell ref="AV9:AV10"/>
    <mergeCell ref="AX9:AX10"/>
    <mergeCell ref="A11:A16"/>
    <mergeCell ref="AO11:AO12"/>
    <mergeCell ref="AP11:AP12"/>
    <mergeCell ref="AQ11:AQ16"/>
    <mergeCell ref="AR11:AR16"/>
    <mergeCell ref="AO7:AO8"/>
    <mergeCell ref="AP7:AP8"/>
    <mergeCell ref="AT7:AT8"/>
    <mergeCell ref="AV7:AV8"/>
    <mergeCell ref="A5:A10"/>
    <mergeCell ref="AO5:AO6"/>
    <mergeCell ref="AP5:AP6"/>
    <mergeCell ref="AQ5:AQ10"/>
    <mergeCell ref="AR5:AR10"/>
    <mergeCell ref="AS5:AS10"/>
    <mergeCell ref="AO9:AO10"/>
    <mergeCell ref="AP9:AP10"/>
    <mergeCell ref="AY11:AY16"/>
    <mergeCell ref="AO13:AO14"/>
    <mergeCell ref="AP13:AP14"/>
    <mergeCell ref="AT13:AT14"/>
    <mergeCell ref="AV13:AV14"/>
    <mergeCell ref="AX13:AX14"/>
    <mergeCell ref="AO15:AO16"/>
    <mergeCell ref="AP15:AP16"/>
    <mergeCell ref="AT15:AT16"/>
    <mergeCell ref="AV15:AV16"/>
    <mergeCell ref="AS11:AS16"/>
    <mergeCell ref="AT11:AT12"/>
    <mergeCell ref="AU11:AU16"/>
    <mergeCell ref="AV11:AV12"/>
    <mergeCell ref="AW11:AW16"/>
    <mergeCell ref="AX11:AX12"/>
    <mergeCell ref="AX15:AX16"/>
    <mergeCell ref="AT17:AT18"/>
    <mergeCell ref="AU17:AU22"/>
    <mergeCell ref="AV17:AV18"/>
    <mergeCell ref="AW17:AW22"/>
    <mergeCell ref="AX17:AX18"/>
    <mergeCell ref="AY17:AY22"/>
    <mergeCell ref="AT19:AT20"/>
    <mergeCell ref="AV19:AV20"/>
    <mergeCell ref="AX19:AX20"/>
    <mergeCell ref="AT21:AT22"/>
    <mergeCell ref="AV21:AV22"/>
    <mergeCell ref="AX21:AX22"/>
    <mergeCell ref="A17:A22"/>
    <mergeCell ref="AO17:AO18"/>
    <mergeCell ref="AP17:AP18"/>
    <mergeCell ref="AQ17:AQ22"/>
    <mergeCell ref="AR17:AR22"/>
    <mergeCell ref="AS17:AS22"/>
    <mergeCell ref="AO19:AO20"/>
    <mergeCell ref="AP19:AP20"/>
    <mergeCell ref="AO21:AO22"/>
    <mergeCell ref="AP21:AP22"/>
    <mergeCell ref="A29:A34"/>
    <mergeCell ref="AO29:AO30"/>
    <mergeCell ref="AP29:AP30"/>
    <mergeCell ref="AQ29:AQ34"/>
    <mergeCell ref="AR29:AR34"/>
    <mergeCell ref="AS29:AS34"/>
    <mergeCell ref="AV23:AV24"/>
    <mergeCell ref="AW23:AW28"/>
    <mergeCell ref="AX23:AX24"/>
    <mergeCell ref="AO25:AO26"/>
    <mergeCell ref="AP25:AP26"/>
    <mergeCell ref="AT25:AT26"/>
    <mergeCell ref="AV25:AV26"/>
    <mergeCell ref="AX25:AX26"/>
    <mergeCell ref="AO27:AO28"/>
    <mergeCell ref="AT29:AT30"/>
    <mergeCell ref="AU29:AU34"/>
    <mergeCell ref="AV29:AV30"/>
    <mergeCell ref="AW29:AW34"/>
    <mergeCell ref="AX29:AX30"/>
    <mergeCell ref="A23:A28"/>
    <mergeCell ref="AO23:AO24"/>
    <mergeCell ref="AP23:AP24"/>
    <mergeCell ref="AQ23:AQ28"/>
    <mergeCell ref="AY29:AY34"/>
    <mergeCell ref="AP27:AP28"/>
    <mergeCell ref="AT27:AT28"/>
    <mergeCell ref="AV27:AV28"/>
    <mergeCell ref="AX27:AX28"/>
    <mergeCell ref="AY23:AY28"/>
    <mergeCell ref="AO31:AO32"/>
    <mergeCell ref="AP31:AP32"/>
    <mergeCell ref="AT31:AT32"/>
    <mergeCell ref="AV31:AV32"/>
    <mergeCell ref="AX31:AX32"/>
    <mergeCell ref="AO33:AO34"/>
    <mergeCell ref="AP33:AP34"/>
    <mergeCell ref="AT33:AT34"/>
    <mergeCell ref="AV33:AV34"/>
    <mergeCell ref="AX33:AX34"/>
    <mergeCell ref="AR23:AR28"/>
    <mergeCell ref="AS23:AS28"/>
    <mergeCell ref="AT23:AT24"/>
    <mergeCell ref="AU23:AU28"/>
    <mergeCell ref="AT35:AT36"/>
    <mergeCell ref="AU35:AU40"/>
    <mergeCell ref="AV35:AV36"/>
    <mergeCell ref="AW35:AW40"/>
    <mergeCell ref="AX35:AX36"/>
    <mergeCell ref="AY35:AY40"/>
    <mergeCell ref="AT37:AT38"/>
    <mergeCell ref="AV37:AV38"/>
    <mergeCell ref="AX37:AX38"/>
    <mergeCell ref="AT39:AT40"/>
    <mergeCell ref="AV39:AV40"/>
    <mergeCell ref="AX39:AX40"/>
    <mergeCell ref="AP39:AP40"/>
    <mergeCell ref="A43:V43"/>
    <mergeCell ref="A44:L44"/>
    <mergeCell ref="Q44:R44"/>
    <mergeCell ref="S44:T44"/>
    <mergeCell ref="U44:V44"/>
    <mergeCell ref="W44:X44"/>
    <mergeCell ref="Y44:Z44"/>
    <mergeCell ref="AA44:AB44"/>
    <mergeCell ref="A35:A40"/>
    <mergeCell ref="AC44:AH44"/>
    <mergeCell ref="Q49:Q50"/>
    <mergeCell ref="S49:S50"/>
    <mergeCell ref="U49:U50"/>
    <mergeCell ref="W49:W50"/>
    <mergeCell ref="Y47:Y48"/>
    <mergeCell ref="Z47:Z52"/>
    <mergeCell ref="AA47:AA48"/>
    <mergeCell ref="AB47:AB52"/>
    <mergeCell ref="AC47:AC48"/>
    <mergeCell ref="Y51:Y52"/>
    <mergeCell ref="S47:S48"/>
    <mergeCell ref="T47:T52"/>
    <mergeCell ref="U47:U48"/>
    <mergeCell ref="V47:V52"/>
    <mergeCell ref="W47:W48"/>
    <mergeCell ref="AA51:AA52"/>
    <mergeCell ref="AC51:AC52"/>
    <mergeCell ref="Y49:Y50"/>
    <mergeCell ref="AA49:AA50"/>
    <mergeCell ref="AC49:AC50"/>
    <mergeCell ref="C45:F45"/>
    <mergeCell ref="M45:P45"/>
    <mergeCell ref="A46:B46"/>
    <mergeCell ref="A47:A48"/>
    <mergeCell ref="B47:B48"/>
    <mergeCell ref="C47:C52"/>
    <mergeCell ref="D47:D52"/>
    <mergeCell ref="E47:E52"/>
    <mergeCell ref="F47:F52"/>
    <mergeCell ref="A49:A50"/>
    <mergeCell ref="B49:B50"/>
    <mergeCell ref="AF47:AF52"/>
    <mergeCell ref="AG47:AG52"/>
    <mergeCell ref="AH47:AH52"/>
    <mergeCell ref="A51:A52"/>
    <mergeCell ref="B51:B52"/>
    <mergeCell ref="Q51:Q52"/>
    <mergeCell ref="S51:S52"/>
    <mergeCell ref="U51:U52"/>
    <mergeCell ref="W51:W52"/>
    <mergeCell ref="AE47:AE52"/>
    <mergeCell ref="X47:X52"/>
    <mergeCell ref="M47:M52"/>
    <mergeCell ref="N47:N52"/>
    <mergeCell ref="O47:O52"/>
    <mergeCell ref="P47:P52"/>
    <mergeCell ref="Q47:Q48"/>
    <mergeCell ref="R47:R52"/>
    <mergeCell ref="G47:G52"/>
    <mergeCell ref="H47:H52"/>
    <mergeCell ref="I47:I52"/>
    <mergeCell ref="J47:J52"/>
    <mergeCell ref="K47:K52"/>
    <mergeCell ref="L47:L52"/>
    <mergeCell ref="AD47:AD52"/>
    <mergeCell ref="FK2:FL2"/>
    <mergeCell ref="FM2:FN2"/>
    <mergeCell ref="FP2:FQ2"/>
    <mergeCell ref="FR2:FS2"/>
    <mergeCell ref="AI44:AJ44"/>
    <mergeCell ref="AK44:AL44"/>
    <mergeCell ref="AI46:AJ46"/>
    <mergeCell ref="AK46:AL46"/>
    <mergeCell ref="AI47:AI48"/>
    <mergeCell ref="AJ47:AJ52"/>
    <mergeCell ref="AK47:AK48"/>
    <mergeCell ref="AL47:AL52"/>
    <mergeCell ref="AI49:AI50"/>
    <mergeCell ref="AK49:AK50"/>
    <mergeCell ref="AI51:AI52"/>
    <mergeCell ref="AK51:AK52"/>
    <mergeCell ref="AO35:AO36"/>
    <mergeCell ref="AP35:AP36"/>
    <mergeCell ref="AQ35:AQ40"/>
    <mergeCell ref="AR35:AR40"/>
    <mergeCell ref="AS35:AS40"/>
    <mergeCell ref="AO37:AO38"/>
    <mergeCell ref="AP37:AP38"/>
    <mergeCell ref="AO39:AO40"/>
    <mergeCell ref="AZ5:AZ6"/>
    <mergeCell ref="BA5:BA10"/>
    <mergeCell ref="AZ7:AZ8"/>
    <mergeCell ref="AZ9:AZ10"/>
    <mergeCell ref="AZ11:AZ12"/>
    <mergeCell ref="BA11:BA16"/>
    <mergeCell ref="AZ13:AZ14"/>
    <mergeCell ref="AZ15:AZ16"/>
    <mergeCell ref="AZ17:AZ18"/>
    <mergeCell ref="BA17:BA22"/>
    <mergeCell ref="AZ19:AZ20"/>
    <mergeCell ref="AZ21:AZ22"/>
    <mergeCell ref="AZ23:AZ24"/>
    <mergeCell ref="BA23:BA28"/>
    <mergeCell ref="AZ25:AZ26"/>
    <mergeCell ref="AZ27:AZ28"/>
    <mergeCell ref="AZ29:AZ30"/>
    <mergeCell ref="BA29:BA34"/>
    <mergeCell ref="AZ31:AZ32"/>
    <mergeCell ref="AZ33:AZ34"/>
    <mergeCell ref="AZ35:AZ36"/>
    <mergeCell ref="BA35:BA40"/>
    <mergeCell ref="AZ37:AZ38"/>
    <mergeCell ref="AZ39:AZ40"/>
  </mergeCells>
  <conditionalFormatting sqref="AP5">
    <cfRule type="cellIs" dxfId="2569" priority="653" stopIfTrue="1" operator="greaterThan">
      <formula>0.03</formula>
    </cfRule>
    <cfRule type="cellIs" dxfId="2568" priority="654" stopIfTrue="1" operator="lessThan">
      <formula>-0.03</formula>
    </cfRule>
  </conditionalFormatting>
  <conditionalFormatting sqref="AQ5">
    <cfRule type="cellIs" dxfId="2567" priority="671" stopIfTrue="1" operator="greaterThan">
      <formula>0.03</formula>
    </cfRule>
    <cfRule type="cellIs" dxfId="2566" priority="672" stopIfTrue="1" operator="lessThan">
      <formula>-0.03</formula>
    </cfRule>
  </conditionalFormatting>
  <conditionalFormatting sqref="CH5">
    <cfRule type="cellIs" dxfId="2565" priority="673" stopIfTrue="1" operator="greaterThan">
      <formula>0.03</formula>
    </cfRule>
    <cfRule type="cellIs" dxfId="2564" priority="674" stopIfTrue="1" operator="lessThan">
      <formula>-0.03</formula>
    </cfRule>
  </conditionalFormatting>
  <conditionalFormatting sqref="AQ5:AQ10">
    <cfRule type="cellIs" dxfId="2563" priority="675" stopIfTrue="1" operator="greaterThan">
      <formula>0</formula>
    </cfRule>
    <cfRule type="cellIs" dxfId="2562" priority="676" stopIfTrue="1" operator="lessThan">
      <formula>0</formula>
    </cfRule>
  </conditionalFormatting>
  <conditionalFormatting sqref="AR5:AS5">
    <cfRule type="cellIs" dxfId="2561" priority="667" stopIfTrue="1" operator="greaterThan">
      <formula>0.03</formula>
    </cfRule>
    <cfRule type="cellIs" dxfId="2560" priority="668" stopIfTrue="1" operator="lessThan">
      <formula>-0.03</formula>
    </cfRule>
  </conditionalFormatting>
  <conditionalFormatting sqref="AR5:AS10">
    <cfRule type="cellIs" dxfId="2559" priority="669" stopIfTrue="1" operator="greaterThan">
      <formula>0</formula>
    </cfRule>
    <cfRule type="cellIs" dxfId="2558" priority="670" stopIfTrue="1" operator="lessThan">
      <formula>0</formula>
    </cfRule>
  </conditionalFormatting>
  <conditionalFormatting sqref="AU5">
    <cfRule type="cellIs" dxfId="2557" priority="663" stopIfTrue="1" operator="greaterThan">
      <formula>0.03</formula>
    </cfRule>
    <cfRule type="cellIs" dxfId="2556" priority="664" stopIfTrue="1" operator="lessThan">
      <formula>-0.03</formula>
    </cfRule>
  </conditionalFormatting>
  <conditionalFormatting sqref="AU5:AU10">
    <cfRule type="cellIs" dxfId="2555" priority="665" stopIfTrue="1" operator="greaterThan">
      <formula>0</formula>
    </cfRule>
    <cfRule type="cellIs" dxfId="2554" priority="666" stopIfTrue="1" operator="lessThan">
      <formula>0</formula>
    </cfRule>
  </conditionalFormatting>
  <conditionalFormatting sqref="AW5">
    <cfRule type="cellIs" dxfId="2553" priority="659" stopIfTrue="1" operator="greaterThan">
      <formula>0.03</formula>
    </cfRule>
    <cfRule type="cellIs" dxfId="2552" priority="660" stopIfTrue="1" operator="lessThan">
      <formula>-0.03</formula>
    </cfRule>
  </conditionalFormatting>
  <conditionalFormatting sqref="AW5:AW10">
    <cfRule type="cellIs" dxfId="2551" priority="661" stopIfTrue="1" operator="greaterThan">
      <formula>0</formula>
    </cfRule>
    <cfRule type="cellIs" dxfId="2550" priority="662" stopIfTrue="1" operator="lessThan">
      <formula>0</formula>
    </cfRule>
  </conditionalFormatting>
  <conditionalFormatting sqref="AY5">
    <cfRule type="cellIs" dxfId="2549" priority="655" stopIfTrue="1" operator="greaterThan">
      <formula>0.03</formula>
    </cfRule>
    <cfRule type="cellIs" dxfId="2548" priority="656" stopIfTrue="1" operator="lessThan">
      <formula>-0.03</formula>
    </cfRule>
  </conditionalFormatting>
  <conditionalFormatting sqref="AY5:AY10">
    <cfRule type="cellIs" dxfId="2547" priority="657" stopIfTrue="1" operator="greaterThan">
      <formula>0</formula>
    </cfRule>
    <cfRule type="cellIs" dxfId="2546" priority="658" stopIfTrue="1" operator="lessThan">
      <formula>0</formula>
    </cfRule>
  </conditionalFormatting>
  <conditionalFormatting sqref="AP5:AP6">
    <cfRule type="cellIs" dxfId="2545" priority="677" stopIfTrue="1" operator="greaterThan">
      <formula>0</formula>
    </cfRule>
    <cfRule type="cellIs" dxfId="2544" priority="678" operator="lessThan">
      <formula>0</formula>
    </cfRule>
  </conditionalFormatting>
  <conditionalFormatting sqref="AP7">
    <cfRule type="cellIs" dxfId="2543" priority="649" stopIfTrue="1" operator="greaterThan">
      <formula>0.03</formula>
    </cfRule>
    <cfRule type="cellIs" dxfId="2542" priority="650" stopIfTrue="1" operator="lessThan">
      <formula>-0.03</formula>
    </cfRule>
  </conditionalFormatting>
  <conditionalFormatting sqref="AP7:AP8">
    <cfRule type="cellIs" dxfId="2541" priority="651" stopIfTrue="1" operator="greaterThan">
      <formula>0</formula>
    </cfRule>
    <cfRule type="cellIs" dxfId="2540" priority="652" operator="lessThan">
      <formula>0</formula>
    </cfRule>
  </conditionalFormatting>
  <conditionalFormatting sqref="AP9">
    <cfRule type="cellIs" dxfId="2539" priority="645" stopIfTrue="1" operator="greaterThan">
      <formula>0.03</formula>
    </cfRule>
    <cfRule type="cellIs" dxfId="2538" priority="646" stopIfTrue="1" operator="lessThan">
      <formula>-0.03</formula>
    </cfRule>
  </conditionalFormatting>
  <conditionalFormatting sqref="AP9:AP10">
    <cfRule type="cellIs" dxfId="2537" priority="647" stopIfTrue="1" operator="greaterThan">
      <formula>0</formula>
    </cfRule>
    <cfRule type="cellIs" dxfId="2536" priority="648" operator="lessThan">
      <formula>0</formula>
    </cfRule>
  </conditionalFormatting>
  <conditionalFormatting sqref="AT5">
    <cfRule type="cellIs" dxfId="2535" priority="641" stopIfTrue="1" operator="greaterThan">
      <formula>0.03</formula>
    </cfRule>
    <cfRule type="cellIs" dxfId="2534" priority="642" stopIfTrue="1" operator="lessThan">
      <formula>-0.03</formula>
    </cfRule>
  </conditionalFormatting>
  <conditionalFormatting sqref="AT5:AT6">
    <cfRule type="cellIs" dxfId="2533" priority="643" stopIfTrue="1" operator="greaterThan">
      <formula>0</formula>
    </cfRule>
    <cfRule type="cellIs" dxfId="2532" priority="644" operator="lessThan">
      <formula>0</formula>
    </cfRule>
  </conditionalFormatting>
  <conditionalFormatting sqref="AT7">
    <cfRule type="cellIs" dxfId="2531" priority="637" stopIfTrue="1" operator="greaterThan">
      <formula>0.03</formula>
    </cfRule>
    <cfRule type="cellIs" dxfId="2530" priority="638" stopIfTrue="1" operator="lessThan">
      <formula>-0.03</formula>
    </cfRule>
  </conditionalFormatting>
  <conditionalFormatting sqref="AT7:AT8">
    <cfRule type="cellIs" dxfId="2529" priority="639" stopIfTrue="1" operator="greaterThan">
      <formula>0</formula>
    </cfRule>
    <cfRule type="cellIs" dxfId="2528" priority="640" operator="lessThan">
      <formula>0</formula>
    </cfRule>
  </conditionalFormatting>
  <conditionalFormatting sqref="AT9">
    <cfRule type="cellIs" dxfId="2527" priority="633" stopIfTrue="1" operator="greaterThan">
      <formula>0.03</formula>
    </cfRule>
    <cfRule type="cellIs" dxfId="2526" priority="634" stopIfTrue="1" operator="lessThan">
      <formula>-0.03</formula>
    </cfRule>
  </conditionalFormatting>
  <conditionalFormatting sqref="AT9:AT10">
    <cfRule type="cellIs" dxfId="2525" priority="635" stopIfTrue="1" operator="greaterThan">
      <formula>0</formula>
    </cfRule>
    <cfRule type="cellIs" dxfId="2524" priority="636" operator="lessThan">
      <formula>0</formula>
    </cfRule>
  </conditionalFormatting>
  <conditionalFormatting sqref="AV5">
    <cfRule type="cellIs" dxfId="2523" priority="629" stopIfTrue="1" operator="greaterThan">
      <formula>0.03</formula>
    </cfRule>
    <cfRule type="cellIs" dxfId="2522" priority="630" stopIfTrue="1" operator="lessThan">
      <formula>-0.03</formula>
    </cfRule>
  </conditionalFormatting>
  <conditionalFormatting sqref="AV5:AV6">
    <cfRule type="cellIs" dxfId="2521" priority="631" stopIfTrue="1" operator="greaterThan">
      <formula>0</formula>
    </cfRule>
    <cfRule type="cellIs" dxfId="2520" priority="632" operator="lessThan">
      <formula>0</formula>
    </cfRule>
  </conditionalFormatting>
  <conditionalFormatting sqref="AV7">
    <cfRule type="cellIs" dxfId="2519" priority="625" stopIfTrue="1" operator="greaterThan">
      <formula>0.03</formula>
    </cfRule>
    <cfRule type="cellIs" dxfId="2518" priority="626" stopIfTrue="1" operator="lessThan">
      <formula>-0.03</formula>
    </cfRule>
  </conditionalFormatting>
  <conditionalFormatting sqref="AV7:AV8">
    <cfRule type="cellIs" dxfId="2517" priority="627" stopIfTrue="1" operator="greaterThan">
      <formula>0</formula>
    </cfRule>
    <cfRule type="cellIs" dxfId="2516" priority="628" operator="lessThan">
      <formula>0</formula>
    </cfRule>
  </conditionalFormatting>
  <conditionalFormatting sqref="AV9">
    <cfRule type="cellIs" dxfId="2515" priority="621" stopIfTrue="1" operator="greaterThan">
      <formula>0.03</formula>
    </cfRule>
    <cfRule type="cellIs" dxfId="2514" priority="622" stopIfTrue="1" operator="lessThan">
      <formula>-0.03</formula>
    </cfRule>
  </conditionalFormatting>
  <conditionalFormatting sqref="AV9:AV10">
    <cfRule type="cellIs" dxfId="2513" priority="623" stopIfTrue="1" operator="greaterThan">
      <formula>0</formula>
    </cfRule>
    <cfRule type="cellIs" dxfId="2512" priority="624" operator="lessThan">
      <formula>0</formula>
    </cfRule>
  </conditionalFormatting>
  <conditionalFormatting sqref="AX5">
    <cfRule type="cellIs" dxfId="2511" priority="617" stopIfTrue="1" operator="greaterThan">
      <formula>0.03</formula>
    </cfRule>
    <cfRule type="cellIs" dxfId="2510" priority="618" stopIfTrue="1" operator="lessThan">
      <formula>-0.03</formula>
    </cfRule>
  </conditionalFormatting>
  <conditionalFormatting sqref="AX5:AX6">
    <cfRule type="cellIs" dxfId="2509" priority="619" stopIfTrue="1" operator="greaterThan">
      <formula>0</formula>
    </cfRule>
    <cfRule type="cellIs" dxfId="2508" priority="620" operator="lessThan">
      <formula>0</formula>
    </cfRule>
  </conditionalFormatting>
  <conditionalFormatting sqref="AX7">
    <cfRule type="cellIs" dxfId="2507" priority="613" stopIfTrue="1" operator="greaterThan">
      <formula>0.03</formula>
    </cfRule>
    <cfRule type="cellIs" dxfId="2506" priority="614" stopIfTrue="1" operator="lessThan">
      <formula>-0.03</formula>
    </cfRule>
  </conditionalFormatting>
  <conditionalFormatting sqref="AX7:AX8">
    <cfRule type="cellIs" dxfId="2505" priority="615" stopIfTrue="1" operator="greaterThan">
      <formula>0</formula>
    </cfRule>
    <cfRule type="cellIs" dxfId="2504" priority="616" operator="lessThan">
      <formula>0</formula>
    </cfRule>
  </conditionalFormatting>
  <conditionalFormatting sqref="AX9">
    <cfRule type="cellIs" dxfId="2503" priority="609" stopIfTrue="1" operator="greaterThan">
      <formula>0.03</formula>
    </cfRule>
    <cfRule type="cellIs" dxfId="2502" priority="610" stopIfTrue="1" operator="lessThan">
      <formula>-0.03</formula>
    </cfRule>
  </conditionalFormatting>
  <conditionalFormatting sqref="AX9:AX10">
    <cfRule type="cellIs" dxfId="2501" priority="611" stopIfTrue="1" operator="greaterThan">
      <formula>0</formula>
    </cfRule>
    <cfRule type="cellIs" dxfId="2500" priority="612" operator="lessThan">
      <formula>0</formula>
    </cfRule>
  </conditionalFormatting>
  <conditionalFormatting sqref="AP11">
    <cfRule type="cellIs" dxfId="2499" priority="585" stopIfTrue="1" operator="greaterThan">
      <formula>0.03</formula>
    </cfRule>
    <cfRule type="cellIs" dxfId="2498" priority="586" stopIfTrue="1" operator="lessThan">
      <formula>-0.03</formula>
    </cfRule>
  </conditionalFormatting>
  <conditionalFormatting sqref="AQ11">
    <cfRule type="cellIs" dxfId="2497" priority="603" stopIfTrue="1" operator="greaterThan">
      <formula>0.03</formula>
    </cfRule>
    <cfRule type="cellIs" dxfId="2496" priority="604" stopIfTrue="1" operator="lessThan">
      <formula>-0.03</formula>
    </cfRule>
  </conditionalFormatting>
  <conditionalFormatting sqref="AQ11:AQ16">
    <cfRule type="cellIs" dxfId="2495" priority="605" stopIfTrue="1" operator="greaterThan">
      <formula>0</formula>
    </cfRule>
    <cfRule type="cellIs" dxfId="2494" priority="606" stopIfTrue="1" operator="lessThan">
      <formula>0</formula>
    </cfRule>
  </conditionalFormatting>
  <conditionalFormatting sqref="AR11:AS11">
    <cfRule type="cellIs" dxfId="2493" priority="599" stopIfTrue="1" operator="greaterThan">
      <formula>0.03</formula>
    </cfRule>
    <cfRule type="cellIs" dxfId="2492" priority="600" stopIfTrue="1" operator="lessThan">
      <formula>-0.03</formula>
    </cfRule>
  </conditionalFormatting>
  <conditionalFormatting sqref="AR11:AS16">
    <cfRule type="cellIs" dxfId="2491" priority="601" stopIfTrue="1" operator="greaterThan">
      <formula>0</formula>
    </cfRule>
    <cfRule type="cellIs" dxfId="2490" priority="602" stopIfTrue="1" operator="lessThan">
      <formula>0</formula>
    </cfRule>
  </conditionalFormatting>
  <conditionalFormatting sqref="AU11">
    <cfRule type="cellIs" dxfId="2489" priority="595" stopIfTrue="1" operator="greaterThan">
      <formula>0.03</formula>
    </cfRule>
    <cfRule type="cellIs" dxfId="2488" priority="596" stopIfTrue="1" operator="lessThan">
      <formula>-0.03</formula>
    </cfRule>
  </conditionalFormatting>
  <conditionalFormatting sqref="AU11:AU16">
    <cfRule type="cellIs" dxfId="2487" priority="597" stopIfTrue="1" operator="greaterThan">
      <formula>0</formula>
    </cfRule>
    <cfRule type="cellIs" dxfId="2486" priority="598" stopIfTrue="1" operator="lessThan">
      <formula>0</formula>
    </cfRule>
  </conditionalFormatting>
  <conditionalFormatting sqref="AW11">
    <cfRule type="cellIs" dxfId="2485" priority="591" stopIfTrue="1" operator="greaterThan">
      <formula>0.03</formula>
    </cfRule>
    <cfRule type="cellIs" dxfId="2484" priority="592" stopIfTrue="1" operator="lessThan">
      <formula>-0.03</formula>
    </cfRule>
  </conditionalFormatting>
  <conditionalFormatting sqref="AW11:AW16">
    <cfRule type="cellIs" dxfId="2483" priority="593" stopIfTrue="1" operator="greaterThan">
      <formula>0</formula>
    </cfRule>
    <cfRule type="cellIs" dxfId="2482" priority="594" stopIfTrue="1" operator="lessThan">
      <formula>0</formula>
    </cfRule>
  </conditionalFormatting>
  <conditionalFormatting sqref="AY11">
    <cfRule type="cellIs" dxfId="2481" priority="587" stopIfTrue="1" operator="greaterThan">
      <formula>0.03</formula>
    </cfRule>
    <cfRule type="cellIs" dxfId="2480" priority="588" stopIfTrue="1" operator="lessThan">
      <formula>-0.03</formula>
    </cfRule>
  </conditionalFormatting>
  <conditionalFormatting sqref="AY11:AY16">
    <cfRule type="cellIs" dxfId="2479" priority="589" stopIfTrue="1" operator="greaterThan">
      <formula>0</formula>
    </cfRule>
    <cfRule type="cellIs" dxfId="2478" priority="590" stopIfTrue="1" operator="lessThan">
      <formula>0</formula>
    </cfRule>
  </conditionalFormatting>
  <conditionalFormatting sqref="AP11:AP12">
    <cfRule type="cellIs" dxfId="2477" priority="607" stopIfTrue="1" operator="greaterThan">
      <formula>0</formula>
    </cfRule>
    <cfRule type="cellIs" dxfId="2476" priority="608" operator="lessThan">
      <formula>0</formula>
    </cfRule>
  </conditionalFormatting>
  <conditionalFormatting sqref="AP13">
    <cfRule type="cellIs" dxfId="2475" priority="581" stopIfTrue="1" operator="greaterThan">
      <formula>0.03</formula>
    </cfRule>
    <cfRule type="cellIs" dxfId="2474" priority="582" stopIfTrue="1" operator="lessThan">
      <formula>-0.03</formula>
    </cfRule>
  </conditionalFormatting>
  <conditionalFormatting sqref="AP13:AP14">
    <cfRule type="cellIs" dxfId="2473" priority="583" stopIfTrue="1" operator="greaterThan">
      <formula>0</formula>
    </cfRule>
    <cfRule type="cellIs" dxfId="2472" priority="584" operator="lessThan">
      <formula>0</formula>
    </cfRule>
  </conditionalFormatting>
  <conditionalFormatting sqref="AP15">
    <cfRule type="cellIs" dxfId="2471" priority="577" stopIfTrue="1" operator="greaterThan">
      <formula>0.03</formula>
    </cfRule>
    <cfRule type="cellIs" dxfId="2470" priority="578" stopIfTrue="1" operator="lessThan">
      <formula>-0.03</formula>
    </cfRule>
  </conditionalFormatting>
  <conditionalFormatting sqref="AP15:AP16">
    <cfRule type="cellIs" dxfId="2469" priority="579" stopIfTrue="1" operator="greaterThan">
      <formula>0</formula>
    </cfRule>
    <cfRule type="cellIs" dxfId="2468" priority="580" operator="lessThan">
      <formula>0</formula>
    </cfRule>
  </conditionalFormatting>
  <conditionalFormatting sqref="AT11">
    <cfRule type="cellIs" dxfId="2467" priority="573" stopIfTrue="1" operator="greaterThan">
      <formula>0.03</formula>
    </cfRule>
    <cfRule type="cellIs" dxfId="2466" priority="574" stopIfTrue="1" operator="lessThan">
      <formula>-0.03</formula>
    </cfRule>
  </conditionalFormatting>
  <conditionalFormatting sqref="AT11:AT12">
    <cfRule type="cellIs" dxfId="2465" priority="575" stopIfTrue="1" operator="greaterThan">
      <formula>0</formula>
    </cfRule>
    <cfRule type="cellIs" dxfId="2464" priority="576" operator="lessThan">
      <formula>0</formula>
    </cfRule>
  </conditionalFormatting>
  <conditionalFormatting sqref="AT13">
    <cfRule type="cellIs" dxfId="2463" priority="569" stopIfTrue="1" operator="greaterThan">
      <formula>0.03</formula>
    </cfRule>
    <cfRule type="cellIs" dxfId="2462" priority="570" stopIfTrue="1" operator="lessThan">
      <formula>-0.03</formula>
    </cfRule>
  </conditionalFormatting>
  <conditionalFormatting sqref="AT13:AT14">
    <cfRule type="cellIs" dxfId="2461" priority="571" stopIfTrue="1" operator="greaterThan">
      <formula>0</formula>
    </cfRule>
    <cfRule type="cellIs" dxfId="2460" priority="572" operator="lessThan">
      <formula>0</formula>
    </cfRule>
  </conditionalFormatting>
  <conditionalFormatting sqref="AT15">
    <cfRule type="cellIs" dxfId="2459" priority="565" stopIfTrue="1" operator="greaterThan">
      <formula>0.03</formula>
    </cfRule>
    <cfRule type="cellIs" dxfId="2458" priority="566" stopIfTrue="1" operator="lessThan">
      <formula>-0.03</formula>
    </cfRule>
  </conditionalFormatting>
  <conditionalFormatting sqref="AT15:AT16">
    <cfRule type="cellIs" dxfId="2457" priority="567" stopIfTrue="1" operator="greaterThan">
      <formula>0</formula>
    </cfRule>
    <cfRule type="cellIs" dxfId="2456" priority="568" operator="lessThan">
      <formula>0</formula>
    </cfRule>
  </conditionalFormatting>
  <conditionalFormatting sqref="AV11">
    <cfRule type="cellIs" dxfId="2455" priority="561" stopIfTrue="1" operator="greaterThan">
      <formula>0.03</formula>
    </cfRule>
    <cfRule type="cellIs" dxfId="2454" priority="562" stopIfTrue="1" operator="lessThan">
      <formula>-0.03</formula>
    </cfRule>
  </conditionalFormatting>
  <conditionalFormatting sqref="AV11:AV12">
    <cfRule type="cellIs" dxfId="2453" priority="563" stopIfTrue="1" operator="greaterThan">
      <formula>0</formula>
    </cfRule>
    <cfRule type="cellIs" dxfId="2452" priority="564" operator="lessThan">
      <formula>0</formula>
    </cfRule>
  </conditionalFormatting>
  <conditionalFormatting sqref="AV13">
    <cfRule type="cellIs" dxfId="2451" priority="557" stopIfTrue="1" operator="greaterThan">
      <formula>0.03</formula>
    </cfRule>
    <cfRule type="cellIs" dxfId="2450" priority="558" stopIfTrue="1" operator="lessThan">
      <formula>-0.03</formula>
    </cfRule>
  </conditionalFormatting>
  <conditionalFormatting sqref="AV13:AV14">
    <cfRule type="cellIs" dxfId="2449" priority="559" stopIfTrue="1" operator="greaterThan">
      <formula>0</formula>
    </cfRule>
    <cfRule type="cellIs" dxfId="2448" priority="560" operator="lessThan">
      <formula>0</formula>
    </cfRule>
  </conditionalFormatting>
  <conditionalFormatting sqref="AV15">
    <cfRule type="cellIs" dxfId="2447" priority="553" stopIfTrue="1" operator="greaterThan">
      <formula>0.03</formula>
    </cfRule>
    <cfRule type="cellIs" dxfId="2446" priority="554" stopIfTrue="1" operator="lessThan">
      <formula>-0.03</formula>
    </cfRule>
  </conditionalFormatting>
  <conditionalFormatting sqref="AV15:AV16">
    <cfRule type="cellIs" dxfId="2445" priority="555" stopIfTrue="1" operator="greaterThan">
      <formula>0</formula>
    </cfRule>
    <cfRule type="cellIs" dxfId="2444" priority="556" operator="lessThan">
      <formula>0</formula>
    </cfRule>
  </conditionalFormatting>
  <conditionalFormatting sqref="AP17 AP23 AP29 AP35">
    <cfRule type="cellIs" dxfId="2443" priority="533" stopIfTrue="1" operator="greaterThan">
      <formula>0.03</formula>
    </cfRule>
    <cfRule type="cellIs" dxfId="2442" priority="534" stopIfTrue="1" operator="lessThan">
      <formula>-0.03</formula>
    </cfRule>
  </conditionalFormatting>
  <conditionalFormatting sqref="AQ17 AQ23 AQ29 AQ35">
    <cfRule type="cellIs" dxfId="2441" priority="547" stopIfTrue="1" operator="greaterThan">
      <formula>0.03</formula>
    </cfRule>
    <cfRule type="cellIs" dxfId="2440" priority="548" stopIfTrue="1" operator="lessThan">
      <formula>-0.03</formula>
    </cfRule>
  </conditionalFormatting>
  <conditionalFormatting sqref="AQ17:AQ40">
    <cfRule type="cellIs" dxfId="2439" priority="549" stopIfTrue="1" operator="greaterThan">
      <formula>0</formula>
    </cfRule>
    <cfRule type="cellIs" dxfId="2438" priority="550" stopIfTrue="1" operator="lessThan">
      <formula>0</formula>
    </cfRule>
  </conditionalFormatting>
  <conditionalFormatting sqref="AR17:AS17 AR23:AS23 AR29:AS29 AR35:AS35">
    <cfRule type="cellIs" dxfId="2437" priority="543" stopIfTrue="1" operator="greaterThan">
      <formula>0.03</formula>
    </cfRule>
    <cfRule type="cellIs" dxfId="2436" priority="544" stopIfTrue="1" operator="lessThan">
      <formula>-0.03</formula>
    </cfRule>
  </conditionalFormatting>
  <conditionalFormatting sqref="AR17:AS40">
    <cfRule type="cellIs" dxfId="2435" priority="545" stopIfTrue="1" operator="greaterThan">
      <formula>0</formula>
    </cfRule>
    <cfRule type="cellIs" dxfId="2434" priority="546" stopIfTrue="1" operator="lessThan">
      <formula>0</formula>
    </cfRule>
  </conditionalFormatting>
  <conditionalFormatting sqref="AU17 AU23 AU29 AU35">
    <cfRule type="cellIs" dxfId="2433" priority="539" stopIfTrue="1" operator="greaterThan">
      <formula>0.03</formula>
    </cfRule>
    <cfRule type="cellIs" dxfId="2432" priority="540" stopIfTrue="1" operator="lessThan">
      <formula>-0.03</formula>
    </cfRule>
  </conditionalFormatting>
  <conditionalFormatting sqref="AU17:AU40">
    <cfRule type="cellIs" dxfId="2431" priority="541" stopIfTrue="1" operator="greaterThan">
      <formula>0</formula>
    </cfRule>
    <cfRule type="cellIs" dxfId="2430" priority="542" stopIfTrue="1" operator="lessThan">
      <formula>0</formula>
    </cfRule>
  </conditionalFormatting>
  <conditionalFormatting sqref="AW17 AW23 AW29 AW35">
    <cfRule type="cellIs" dxfId="2429" priority="535" stopIfTrue="1" operator="greaterThan">
      <formula>0.03</formula>
    </cfRule>
    <cfRule type="cellIs" dxfId="2428" priority="536" stopIfTrue="1" operator="lessThan">
      <formula>-0.03</formula>
    </cfRule>
  </conditionalFormatting>
  <conditionalFormatting sqref="AW17:AW40">
    <cfRule type="cellIs" dxfId="2427" priority="537" stopIfTrue="1" operator="greaterThan">
      <formula>0</formula>
    </cfRule>
    <cfRule type="cellIs" dxfId="2426" priority="538" stopIfTrue="1" operator="lessThan">
      <formula>0</formula>
    </cfRule>
  </conditionalFormatting>
  <conditionalFormatting sqref="AP17:AP18 AP23:AP24 AP29:AP30 AP35:AP36">
    <cfRule type="cellIs" dxfId="2425" priority="551" stopIfTrue="1" operator="greaterThan">
      <formula>0</formula>
    </cfRule>
    <cfRule type="cellIs" dxfId="2424" priority="552" operator="lessThan">
      <formula>0</formula>
    </cfRule>
  </conditionalFormatting>
  <conditionalFormatting sqref="AP19 AP25 AP31 AP37">
    <cfRule type="cellIs" dxfId="2423" priority="529" stopIfTrue="1" operator="greaterThan">
      <formula>0.03</formula>
    </cfRule>
    <cfRule type="cellIs" dxfId="2422" priority="530" stopIfTrue="1" operator="lessThan">
      <formula>-0.03</formula>
    </cfRule>
  </conditionalFormatting>
  <conditionalFormatting sqref="AP19:AP20 AP25:AP26 AP31:AP32 AP37:AP38">
    <cfRule type="cellIs" dxfId="2421" priority="531" stopIfTrue="1" operator="greaterThan">
      <formula>0</formula>
    </cfRule>
    <cfRule type="cellIs" dxfId="2420" priority="532" operator="lessThan">
      <formula>0</formula>
    </cfRule>
  </conditionalFormatting>
  <conditionalFormatting sqref="AP21 AP27 AP33 AP39">
    <cfRule type="cellIs" dxfId="2419" priority="525" stopIfTrue="1" operator="greaterThan">
      <formula>0.03</formula>
    </cfRule>
    <cfRule type="cellIs" dxfId="2418" priority="526" stopIfTrue="1" operator="lessThan">
      <formula>-0.03</formula>
    </cfRule>
  </conditionalFormatting>
  <conditionalFormatting sqref="AP21:AP22 AP27:AP28 AP33:AP34 AP39:AP40">
    <cfRule type="cellIs" dxfId="2417" priority="527" stopIfTrue="1" operator="greaterThan">
      <formula>0</formula>
    </cfRule>
    <cfRule type="cellIs" dxfId="2416" priority="528" operator="lessThan">
      <formula>0</formula>
    </cfRule>
  </conditionalFormatting>
  <conditionalFormatting sqref="AT17 AT23 AT29 AT35">
    <cfRule type="cellIs" dxfId="2415" priority="521" stopIfTrue="1" operator="greaterThan">
      <formula>0.03</formula>
    </cfRule>
    <cfRule type="cellIs" dxfId="2414" priority="522" stopIfTrue="1" operator="lessThan">
      <formula>-0.03</formula>
    </cfRule>
  </conditionalFormatting>
  <conditionalFormatting sqref="AT17:AT18 AT23:AT24 AT29:AT30 AT35:AT36">
    <cfRule type="cellIs" dxfId="2413" priority="523" stopIfTrue="1" operator="greaterThan">
      <formula>0</formula>
    </cfRule>
    <cfRule type="cellIs" dxfId="2412" priority="524" operator="lessThan">
      <formula>0</formula>
    </cfRule>
  </conditionalFormatting>
  <conditionalFormatting sqref="AT19 AT25 AT31 AT37">
    <cfRule type="cellIs" dxfId="2411" priority="517" stopIfTrue="1" operator="greaterThan">
      <formula>0.03</formula>
    </cfRule>
    <cfRule type="cellIs" dxfId="2410" priority="518" stopIfTrue="1" operator="lessThan">
      <formula>-0.03</formula>
    </cfRule>
  </conditionalFormatting>
  <conditionalFormatting sqref="AT19:AT20 AT25:AT26 AT31:AT32 AT37:AT38">
    <cfRule type="cellIs" dxfId="2409" priority="519" stopIfTrue="1" operator="greaterThan">
      <formula>0</formula>
    </cfRule>
    <cfRule type="cellIs" dxfId="2408" priority="520" operator="lessThan">
      <formula>0</formula>
    </cfRule>
  </conditionalFormatting>
  <conditionalFormatting sqref="AT21 AT27 AT33 AT39">
    <cfRule type="cellIs" dxfId="2407" priority="513" stopIfTrue="1" operator="greaterThan">
      <formula>0.03</formula>
    </cfRule>
    <cfRule type="cellIs" dxfId="2406" priority="514" stopIfTrue="1" operator="lessThan">
      <formula>-0.03</formula>
    </cfRule>
  </conditionalFormatting>
  <conditionalFormatting sqref="AT21:AT22 AT27:AT28 AT33:AT34 AT39:AT40">
    <cfRule type="cellIs" dxfId="2405" priority="515" stopIfTrue="1" operator="greaterThan">
      <formula>0</formula>
    </cfRule>
    <cfRule type="cellIs" dxfId="2404" priority="516" operator="lessThan">
      <formula>0</formula>
    </cfRule>
  </conditionalFormatting>
  <conditionalFormatting sqref="AV17 AV23 AV29 AV35">
    <cfRule type="cellIs" dxfId="2403" priority="509" stopIfTrue="1" operator="greaterThan">
      <formula>0.03</formula>
    </cfRule>
    <cfRule type="cellIs" dxfId="2402" priority="510" stopIfTrue="1" operator="lessThan">
      <formula>-0.03</formula>
    </cfRule>
  </conditionalFormatting>
  <conditionalFormatting sqref="AV17:AV18 AV23:AV24 AV29:AV30 AV35:AV36">
    <cfRule type="cellIs" dxfId="2401" priority="511" stopIfTrue="1" operator="greaterThan">
      <formula>0</formula>
    </cfRule>
    <cfRule type="cellIs" dxfId="2400" priority="512" operator="lessThan">
      <formula>0</formula>
    </cfRule>
  </conditionalFormatting>
  <conditionalFormatting sqref="AV19 AV25 AV31 AV37">
    <cfRule type="cellIs" dxfId="2399" priority="505" stopIfTrue="1" operator="greaterThan">
      <formula>0.03</formula>
    </cfRule>
    <cfRule type="cellIs" dxfId="2398" priority="506" stopIfTrue="1" operator="lessThan">
      <formula>-0.03</formula>
    </cfRule>
  </conditionalFormatting>
  <conditionalFormatting sqref="AV19:AV20 AV25:AV26 AV31:AV32 AV37:AV38">
    <cfRule type="cellIs" dxfId="2397" priority="507" stopIfTrue="1" operator="greaterThan">
      <formula>0</formula>
    </cfRule>
    <cfRule type="cellIs" dxfId="2396" priority="508" operator="lessThan">
      <formula>0</formula>
    </cfRule>
  </conditionalFormatting>
  <conditionalFormatting sqref="AV21 AV27 AV33 AV39">
    <cfRule type="cellIs" dxfId="2395" priority="501" stopIfTrue="1" operator="greaterThan">
      <formula>0.03</formula>
    </cfRule>
    <cfRule type="cellIs" dxfId="2394" priority="502" stopIfTrue="1" operator="lessThan">
      <formula>-0.03</formula>
    </cfRule>
  </conditionalFormatting>
  <conditionalFormatting sqref="AV21:AV22 AV27:AV28 AV33:AV34 AV39:AV40">
    <cfRule type="cellIs" dxfId="2393" priority="503" stopIfTrue="1" operator="greaterThan">
      <formula>0</formula>
    </cfRule>
    <cfRule type="cellIs" dxfId="2392" priority="504" operator="lessThan">
      <formula>0</formula>
    </cfRule>
  </conditionalFormatting>
  <conditionalFormatting sqref="BA11">
    <cfRule type="cellIs" dxfId="2391" priority="333" stopIfTrue="1" operator="greaterThan">
      <formula>0.03</formula>
    </cfRule>
    <cfRule type="cellIs" dxfId="2390" priority="334" stopIfTrue="1" operator="lessThan">
      <formula>-0.03</formula>
    </cfRule>
  </conditionalFormatting>
  <conditionalFormatting sqref="BA11:BA16">
    <cfRule type="cellIs" dxfId="2389" priority="335" stopIfTrue="1" operator="greaterThan">
      <formula>0</formula>
    </cfRule>
    <cfRule type="cellIs" dxfId="2388" priority="336" stopIfTrue="1" operator="lessThan">
      <formula>0</formula>
    </cfRule>
  </conditionalFormatting>
  <conditionalFormatting sqref="AZ11">
    <cfRule type="cellIs" dxfId="2387" priority="329" stopIfTrue="1" operator="greaterThan">
      <formula>0.03</formula>
    </cfRule>
    <cfRule type="cellIs" dxfId="2386" priority="330" stopIfTrue="1" operator="lessThan">
      <formula>-0.03</formula>
    </cfRule>
  </conditionalFormatting>
  <conditionalFormatting sqref="AZ11:AZ12">
    <cfRule type="cellIs" dxfId="2385" priority="331" stopIfTrue="1" operator="greaterThan">
      <formula>0</formula>
    </cfRule>
    <cfRule type="cellIs" dxfId="2384" priority="332" operator="lessThan">
      <formula>0</formula>
    </cfRule>
  </conditionalFormatting>
  <conditionalFormatting sqref="AZ13">
    <cfRule type="cellIs" dxfId="2383" priority="325" stopIfTrue="1" operator="greaterThan">
      <formula>0.03</formula>
    </cfRule>
    <cfRule type="cellIs" dxfId="2382" priority="326" stopIfTrue="1" operator="lessThan">
      <formula>-0.03</formula>
    </cfRule>
  </conditionalFormatting>
  <conditionalFormatting sqref="AZ13:AZ14">
    <cfRule type="cellIs" dxfId="2381" priority="327" stopIfTrue="1" operator="greaterThan">
      <formula>0</formula>
    </cfRule>
    <cfRule type="cellIs" dxfId="2380" priority="328" operator="lessThan">
      <formula>0</formula>
    </cfRule>
  </conditionalFormatting>
  <conditionalFormatting sqref="AZ15">
    <cfRule type="cellIs" dxfId="2379" priority="321" stopIfTrue="1" operator="greaterThan">
      <formula>0.03</formula>
    </cfRule>
    <cfRule type="cellIs" dxfId="2378" priority="322" stopIfTrue="1" operator="lessThan">
      <formula>-0.03</formula>
    </cfRule>
  </conditionalFormatting>
  <conditionalFormatting sqref="AZ15:AZ16">
    <cfRule type="cellIs" dxfId="2377" priority="323" stopIfTrue="1" operator="greaterThan">
      <formula>0</formula>
    </cfRule>
    <cfRule type="cellIs" dxfId="2376" priority="324" operator="lessThan">
      <formula>0</formula>
    </cfRule>
  </conditionalFormatting>
  <conditionalFormatting sqref="BA5">
    <cfRule type="cellIs" dxfId="2375" priority="317" stopIfTrue="1" operator="greaterThan">
      <formula>0.03</formula>
    </cfRule>
    <cfRule type="cellIs" dxfId="2374" priority="318" stopIfTrue="1" operator="lessThan">
      <formula>-0.03</formula>
    </cfRule>
  </conditionalFormatting>
  <conditionalFormatting sqref="BA5:BA10">
    <cfRule type="cellIs" dxfId="2373" priority="319" stopIfTrue="1" operator="greaterThan">
      <formula>0</formula>
    </cfRule>
    <cfRule type="cellIs" dxfId="2372" priority="320" stopIfTrue="1" operator="lessThan">
      <formula>0</formula>
    </cfRule>
  </conditionalFormatting>
  <conditionalFormatting sqref="AZ5">
    <cfRule type="cellIs" dxfId="2371" priority="313" stopIfTrue="1" operator="greaterThan">
      <formula>0.03</formula>
    </cfRule>
    <cfRule type="cellIs" dxfId="2370" priority="314" stopIfTrue="1" operator="lessThan">
      <formula>-0.03</formula>
    </cfRule>
  </conditionalFormatting>
  <conditionalFormatting sqref="AZ5:AZ6">
    <cfRule type="cellIs" dxfId="2369" priority="315" stopIfTrue="1" operator="greaterThan">
      <formula>0</formula>
    </cfRule>
    <cfRule type="cellIs" dxfId="2368" priority="316" operator="lessThan">
      <formula>0</formula>
    </cfRule>
  </conditionalFormatting>
  <conditionalFormatting sqref="AZ7">
    <cfRule type="cellIs" dxfId="2367" priority="309" stopIfTrue="1" operator="greaterThan">
      <formula>0.03</formula>
    </cfRule>
    <cfRule type="cellIs" dxfId="2366" priority="310" stopIfTrue="1" operator="lessThan">
      <formula>-0.03</formula>
    </cfRule>
  </conditionalFormatting>
  <conditionalFormatting sqref="AZ7:AZ8">
    <cfRule type="cellIs" dxfId="2365" priority="311" stopIfTrue="1" operator="greaterThan">
      <formula>0</formula>
    </cfRule>
    <cfRule type="cellIs" dxfId="2364" priority="312" operator="lessThan">
      <formula>0</formula>
    </cfRule>
  </conditionalFormatting>
  <conditionalFormatting sqref="AZ9">
    <cfRule type="cellIs" dxfId="2363" priority="305" stopIfTrue="1" operator="greaterThan">
      <formula>0.03</formula>
    </cfRule>
    <cfRule type="cellIs" dxfId="2362" priority="306" stopIfTrue="1" operator="lessThan">
      <formula>-0.03</formula>
    </cfRule>
  </conditionalFormatting>
  <conditionalFormatting sqref="AZ9:AZ10">
    <cfRule type="cellIs" dxfId="2361" priority="307" stopIfTrue="1" operator="greaterThan">
      <formula>0</formula>
    </cfRule>
    <cfRule type="cellIs" dxfId="2360" priority="308" operator="lessThan">
      <formula>0</formula>
    </cfRule>
  </conditionalFormatting>
  <conditionalFormatting sqref="BA17">
    <cfRule type="cellIs" dxfId="2359" priority="301" stopIfTrue="1" operator="greaterThan">
      <formula>0.03</formula>
    </cfRule>
    <cfRule type="cellIs" dxfId="2358" priority="302" stopIfTrue="1" operator="lessThan">
      <formula>-0.03</formula>
    </cfRule>
  </conditionalFormatting>
  <conditionalFormatting sqref="BA17:BA22">
    <cfRule type="cellIs" dxfId="2357" priority="303" stopIfTrue="1" operator="greaterThan">
      <formula>0</formula>
    </cfRule>
    <cfRule type="cellIs" dxfId="2356" priority="304" stopIfTrue="1" operator="lessThan">
      <formula>0</formula>
    </cfRule>
  </conditionalFormatting>
  <conditionalFormatting sqref="AZ17">
    <cfRule type="cellIs" dxfId="2355" priority="297" stopIfTrue="1" operator="greaterThan">
      <formula>0.03</formula>
    </cfRule>
    <cfRule type="cellIs" dxfId="2354" priority="298" stopIfTrue="1" operator="lessThan">
      <formula>-0.03</formula>
    </cfRule>
  </conditionalFormatting>
  <conditionalFormatting sqref="AZ17:AZ18">
    <cfRule type="cellIs" dxfId="2353" priority="299" stopIfTrue="1" operator="greaterThan">
      <formula>0</formula>
    </cfRule>
    <cfRule type="cellIs" dxfId="2352" priority="300" operator="lessThan">
      <formula>0</formula>
    </cfRule>
  </conditionalFormatting>
  <conditionalFormatting sqref="AZ19">
    <cfRule type="cellIs" dxfId="2351" priority="293" stopIfTrue="1" operator="greaterThan">
      <formula>0.03</formula>
    </cfRule>
    <cfRule type="cellIs" dxfId="2350" priority="294" stopIfTrue="1" operator="lessThan">
      <formula>-0.03</formula>
    </cfRule>
  </conditionalFormatting>
  <conditionalFormatting sqref="AZ19:AZ20">
    <cfRule type="cellIs" dxfId="2349" priority="295" stopIfTrue="1" operator="greaterThan">
      <formula>0</formula>
    </cfRule>
    <cfRule type="cellIs" dxfId="2348" priority="296" operator="lessThan">
      <formula>0</formula>
    </cfRule>
  </conditionalFormatting>
  <conditionalFormatting sqref="AZ21">
    <cfRule type="cellIs" dxfId="2347" priority="289" stopIfTrue="1" operator="greaterThan">
      <formula>0.03</formula>
    </cfRule>
    <cfRule type="cellIs" dxfId="2346" priority="290" stopIfTrue="1" operator="lessThan">
      <formula>-0.03</formula>
    </cfRule>
  </conditionalFormatting>
  <conditionalFormatting sqref="AZ21:AZ22">
    <cfRule type="cellIs" dxfId="2345" priority="291" stopIfTrue="1" operator="greaterThan">
      <formula>0</formula>
    </cfRule>
    <cfRule type="cellIs" dxfId="2344" priority="292" operator="lessThan">
      <formula>0</formula>
    </cfRule>
  </conditionalFormatting>
  <conditionalFormatting sqref="BA29">
    <cfRule type="cellIs" dxfId="2343" priority="285" stopIfTrue="1" operator="greaterThan">
      <formula>0.03</formula>
    </cfRule>
    <cfRule type="cellIs" dxfId="2342" priority="286" stopIfTrue="1" operator="lessThan">
      <formula>-0.03</formula>
    </cfRule>
  </conditionalFormatting>
  <conditionalFormatting sqref="BA29:BA34">
    <cfRule type="cellIs" dxfId="2341" priority="287" stopIfTrue="1" operator="greaterThan">
      <formula>0</formula>
    </cfRule>
    <cfRule type="cellIs" dxfId="2340" priority="288" stopIfTrue="1" operator="lessThan">
      <formula>0</formula>
    </cfRule>
  </conditionalFormatting>
  <conditionalFormatting sqref="AZ29">
    <cfRule type="cellIs" dxfId="2339" priority="281" stopIfTrue="1" operator="greaterThan">
      <formula>0.03</formula>
    </cfRule>
    <cfRule type="cellIs" dxfId="2338" priority="282" stopIfTrue="1" operator="lessThan">
      <formula>-0.03</formula>
    </cfRule>
  </conditionalFormatting>
  <conditionalFormatting sqref="AZ29:AZ30">
    <cfRule type="cellIs" dxfId="2337" priority="283" stopIfTrue="1" operator="greaterThan">
      <formula>0</formula>
    </cfRule>
    <cfRule type="cellIs" dxfId="2336" priority="284" operator="lessThan">
      <formula>0</formula>
    </cfRule>
  </conditionalFormatting>
  <conditionalFormatting sqref="AZ31">
    <cfRule type="cellIs" dxfId="2335" priority="277" stopIfTrue="1" operator="greaterThan">
      <formula>0.03</formula>
    </cfRule>
    <cfRule type="cellIs" dxfId="2334" priority="278" stopIfTrue="1" operator="lessThan">
      <formula>-0.03</formula>
    </cfRule>
  </conditionalFormatting>
  <conditionalFormatting sqref="AZ31:AZ32">
    <cfRule type="cellIs" dxfId="2333" priority="279" stopIfTrue="1" operator="greaterThan">
      <formula>0</formula>
    </cfRule>
    <cfRule type="cellIs" dxfId="2332" priority="280" operator="lessThan">
      <formula>0</formula>
    </cfRule>
  </conditionalFormatting>
  <conditionalFormatting sqref="AZ33">
    <cfRule type="cellIs" dxfId="2331" priority="273" stopIfTrue="1" operator="greaterThan">
      <formula>0.03</formula>
    </cfRule>
    <cfRule type="cellIs" dxfId="2330" priority="274" stopIfTrue="1" operator="lessThan">
      <formula>-0.03</formula>
    </cfRule>
  </conditionalFormatting>
  <conditionalFormatting sqref="AZ33:AZ34">
    <cfRule type="cellIs" dxfId="2329" priority="275" stopIfTrue="1" operator="greaterThan">
      <formula>0</formula>
    </cfRule>
    <cfRule type="cellIs" dxfId="2328" priority="276" operator="lessThan">
      <formula>0</formula>
    </cfRule>
  </conditionalFormatting>
  <conditionalFormatting sqref="BA23">
    <cfRule type="cellIs" dxfId="2327" priority="269" stopIfTrue="1" operator="greaterThan">
      <formula>0.03</formula>
    </cfRule>
    <cfRule type="cellIs" dxfId="2326" priority="270" stopIfTrue="1" operator="lessThan">
      <formula>-0.03</formula>
    </cfRule>
  </conditionalFormatting>
  <conditionalFormatting sqref="BA23:BA28">
    <cfRule type="cellIs" dxfId="2325" priority="271" stopIfTrue="1" operator="greaterThan">
      <formula>0</formula>
    </cfRule>
    <cfRule type="cellIs" dxfId="2324" priority="272" stopIfTrue="1" operator="lessThan">
      <formula>0</formula>
    </cfRule>
  </conditionalFormatting>
  <conditionalFormatting sqref="AZ23">
    <cfRule type="cellIs" dxfId="2323" priority="265" stopIfTrue="1" operator="greaterThan">
      <formula>0.03</formula>
    </cfRule>
    <cfRule type="cellIs" dxfId="2322" priority="266" stopIfTrue="1" operator="lessThan">
      <formula>-0.03</formula>
    </cfRule>
  </conditionalFormatting>
  <conditionalFormatting sqref="AZ23:AZ24">
    <cfRule type="cellIs" dxfId="2321" priority="267" stopIfTrue="1" operator="greaterThan">
      <formula>0</formula>
    </cfRule>
    <cfRule type="cellIs" dxfId="2320" priority="268" operator="lessThan">
      <formula>0</formula>
    </cfRule>
  </conditionalFormatting>
  <conditionalFormatting sqref="AZ25">
    <cfRule type="cellIs" dxfId="2319" priority="261" stopIfTrue="1" operator="greaterThan">
      <formula>0.03</formula>
    </cfRule>
    <cfRule type="cellIs" dxfId="2318" priority="262" stopIfTrue="1" operator="lessThan">
      <formula>-0.03</formula>
    </cfRule>
  </conditionalFormatting>
  <conditionalFormatting sqref="AZ25:AZ26">
    <cfRule type="cellIs" dxfId="2317" priority="263" stopIfTrue="1" operator="greaterThan">
      <formula>0</formula>
    </cfRule>
    <cfRule type="cellIs" dxfId="2316" priority="264" operator="lessThan">
      <formula>0</formula>
    </cfRule>
  </conditionalFormatting>
  <conditionalFormatting sqref="AZ27">
    <cfRule type="cellIs" dxfId="2315" priority="257" stopIfTrue="1" operator="greaterThan">
      <formula>0.03</formula>
    </cfRule>
    <cfRule type="cellIs" dxfId="2314" priority="258" stopIfTrue="1" operator="lessThan">
      <formula>-0.03</formula>
    </cfRule>
  </conditionalFormatting>
  <conditionalFormatting sqref="AZ27:AZ28">
    <cfRule type="cellIs" dxfId="2313" priority="259" stopIfTrue="1" operator="greaterThan">
      <formula>0</formula>
    </cfRule>
    <cfRule type="cellIs" dxfId="2312" priority="260" operator="lessThan">
      <formula>0</formula>
    </cfRule>
  </conditionalFormatting>
  <conditionalFormatting sqref="BA35">
    <cfRule type="cellIs" dxfId="2311" priority="253" stopIfTrue="1" operator="greaterThan">
      <formula>0.03</formula>
    </cfRule>
    <cfRule type="cellIs" dxfId="2310" priority="254" stopIfTrue="1" operator="lessThan">
      <formula>-0.03</formula>
    </cfRule>
  </conditionalFormatting>
  <conditionalFormatting sqref="BA35:BA40">
    <cfRule type="cellIs" dxfId="2309" priority="255" stopIfTrue="1" operator="greaterThan">
      <formula>0</formula>
    </cfRule>
    <cfRule type="cellIs" dxfId="2308" priority="256" stopIfTrue="1" operator="lessThan">
      <formula>0</formula>
    </cfRule>
  </conditionalFormatting>
  <conditionalFormatting sqref="AZ35">
    <cfRule type="cellIs" dxfId="2307" priority="249" stopIfTrue="1" operator="greaterThan">
      <formula>0.03</formula>
    </cfRule>
    <cfRule type="cellIs" dxfId="2306" priority="250" stopIfTrue="1" operator="lessThan">
      <formula>-0.03</formula>
    </cfRule>
  </conditionalFormatting>
  <conditionalFormatting sqref="AZ35:AZ36">
    <cfRule type="cellIs" dxfId="2305" priority="251" stopIfTrue="1" operator="greaterThan">
      <formula>0</formula>
    </cfRule>
    <cfRule type="cellIs" dxfId="2304" priority="252" operator="lessThan">
      <formula>0</formula>
    </cfRule>
  </conditionalFormatting>
  <conditionalFormatting sqref="AZ37">
    <cfRule type="cellIs" dxfId="2303" priority="245" stopIfTrue="1" operator="greaterThan">
      <formula>0.03</formula>
    </cfRule>
    <cfRule type="cellIs" dxfId="2302" priority="246" stopIfTrue="1" operator="lessThan">
      <formula>-0.03</formula>
    </cfRule>
  </conditionalFormatting>
  <conditionalFormatting sqref="AZ37:AZ38">
    <cfRule type="cellIs" dxfId="2301" priority="247" stopIfTrue="1" operator="greaterThan">
      <formula>0</formula>
    </cfRule>
    <cfRule type="cellIs" dxfId="2300" priority="248" operator="lessThan">
      <formula>0</formula>
    </cfRule>
  </conditionalFormatting>
  <conditionalFormatting sqref="AZ39">
    <cfRule type="cellIs" dxfId="2299" priority="241" stopIfTrue="1" operator="greaterThan">
      <formula>0.03</formula>
    </cfRule>
    <cfRule type="cellIs" dxfId="2298" priority="242" stopIfTrue="1" operator="lessThan">
      <formula>-0.03</formula>
    </cfRule>
  </conditionalFormatting>
  <conditionalFormatting sqref="AZ39:AZ40">
    <cfRule type="cellIs" dxfId="2297" priority="243" stopIfTrue="1" operator="greaterThan">
      <formula>0</formula>
    </cfRule>
    <cfRule type="cellIs" dxfId="2296" priority="244" operator="lessThan">
      <formula>0</formula>
    </cfRule>
  </conditionalFormatting>
  <conditionalFormatting sqref="AX11">
    <cfRule type="cellIs" dxfId="2295" priority="237" stopIfTrue="1" operator="greaterThan">
      <formula>0.03</formula>
    </cfRule>
    <cfRule type="cellIs" dxfId="2294" priority="238" stopIfTrue="1" operator="lessThan">
      <formula>-0.03</formula>
    </cfRule>
  </conditionalFormatting>
  <conditionalFormatting sqref="AX11:AX12">
    <cfRule type="cellIs" dxfId="2293" priority="239" stopIfTrue="1" operator="greaterThan">
      <formula>0</formula>
    </cfRule>
    <cfRule type="cellIs" dxfId="2292" priority="240" operator="lessThan">
      <formula>0</formula>
    </cfRule>
  </conditionalFormatting>
  <conditionalFormatting sqref="AX13">
    <cfRule type="cellIs" dxfId="2291" priority="233" stopIfTrue="1" operator="greaterThan">
      <formula>0.03</formula>
    </cfRule>
    <cfRule type="cellIs" dxfId="2290" priority="234" stopIfTrue="1" operator="lessThan">
      <formula>-0.03</formula>
    </cfRule>
  </conditionalFormatting>
  <conditionalFormatting sqref="AX13:AX14">
    <cfRule type="cellIs" dxfId="2289" priority="235" stopIfTrue="1" operator="greaterThan">
      <formula>0</formula>
    </cfRule>
    <cfRule type="cellIs" dxfId="2288" priority="236" operator="lessThan">
      <formula>0</formula>
    </cfRule>
  </conditionalFormatting>
  <conditionalFormatting sqref="AX15">
    <cfRule type="cellIs" dxfId="2287" priority="229" stopIfTrue="1" operator="greaterThan">
      <formula>0.03</formula>
    </cfRule>
    <cfRule type="cellIs" dxfId="2286" priority="230" stopIfTrue="1" operator="lessThan">
      <formula>-0.03</formula>
    </cfRule>
  </conditionalFormatting>
  <conditionalFormatting sqref="AX15:AX16">
    <cfRule type="cellIs" dxfId="2285" priority="231" stopIfTrue="1" operator="greaterThan">
      <formula>0</formula>
    </cfRule>
    <cfRule type="cellIs" dxfId="2284" priority="232" operator="lessThan">
      <formula>0</formula>
    </cfRule>
  </conditionalFormatting>
  <conditionalFormatting sqref="AY17">
    <cfRule type="cellIs" dxfId="2283" priority="225" stopIfTrue="1" operator="greaterThan">
      <formula>0.03</formula>
    </cfRule>
    <cfRule type="cellIs" dxfId="2282" priority="226" stopIfTrue="1" operator="lessThan">
      <formula>-0.03</formula>
    </cfRule>
  </conditionalFormatting>
  <conditionalFormatting sqref="AY17:AY22">
    <cfRule type="cellIs" dxfId="2281" priority="227" stopIfTrue="1" operator="greaterThan">
      <formula>0</formula>
    </cfRule>
    <cfRule type="cellIs" dxfId="2280" priority="228" stopIfTrue="1" operator="lessThan">
      <formula>0</formula>
    </cfRule>
  </conditionalFormatting>
  <conditionalFormatting sqref="AX17">
    <cfRule type="cellIs" dxfId="2279" priority="221" stopIfTrue="1" operator="greaterThan">
      <formula>0.03</formula>
    </cfRule>
    <cfRule type="cellIs" dxfId="2278" priority="222" stopIfTrue="1" operator="lessThan">
      <formula>-0.03</formula>
    </cfRule>
  </conditionalFormatting>
  <conditionalFormatting sqref="AX17:AX18">
    <cfRule type="cellIs" dxfId="2277" priority="223" stopIfTrue="1" operator="greaterThan">
      <formula>0</formula>
    </cfRule>
    <cfRule type="cellIs" dxfId="2276" priority="224" operator="lessThan">
      <formula>0</formula>
    </cfRule>
  </conditionalFormatting>
  <conditionalFormatting sqref="AX19">
    <cfRule type="cellIs" dxfId="2275" priority="217" stopIfTrue="1" operator="greaterThan">
      <formula>0.03</formula>
    </cfRule>
    <cfRule type="cellIs" dxfId="2274" priority="218" stopIfTrue="1" operator="lessThan">
      <formula>-0.03</formula>
    </cfRule>
  </conditionalFormatting>
  <conditionalFormatting sqref="AX19:AX20">
    <cfRule type="cellIs" dxfId="2273" priority="219" stopIfTrue="1" operator="greaterThan">
      <formula>0</formula>
    </cfRule>
    <cfRule type="cellIs" dxfId="2272" priority="220" operator="lessThan">
      <formula>0</formula>
    </cfRule>
  </conditionalFormatting>
  <conditionalFormatting sqref="AX21">
    <cfRule type="cellIs" dxfId="2271" priority="213" stopIfTrue="1" operator="greaterThan">
      <formula>0.03</formula>
    </cfRule>
    <cfRule type="cellIs" dxfId="2270" priority="214" stopIfTrue="1" operator="lessThan">
      <formula>-0.03</formula>
    </cfRule>
  </conditionalFormatting>
  <conditionalFormatting sqref="AX21:AX22">
    <cfRule type="cellIs" dxfId="2269" priority="215" stopIfTrue="1" operator="greaterThan">
      <formula>0</formula>
    </cfRule>
    <cfRule type="cellIs" dxfId="2268" priority="216" operator="lessThan">
      <formula>0</formula>
    </cfRule>
  </conditionalFormatting>
  <conditionalFormatting sqref="AY23">
    <cfRule type="cellIs" dxfId="2267" priority="209" stopIfTrue="1" operator="greaterThan">
      <formula>0.03</formula>
    </cfRule>
    <cfRule type="cellIs" dxfId="2266" priority="210" stopIfTrue="1" operator="lessThan">
      <formula>-0.03</formula>
    </cfRule>
  </conditionalFormatting>
  <conditionalFormatting sqref="AY23:AY28">
    <cfRule type="cellIs" dxfId="2265" priority="211" stopIfTrue="1" operator="greaterThan">
      <formula>0</formula>
    </cfRule>
    <cfRule type="cellIs" dxfId="2264" priority="212" stopIfTrue="1" operator="lessThan">
      <formula>0</formula>
    </cfRule>
  </conditionalFormatting>
  <conditionalFormatting sqref="AX23">
    <cfRule type="cellIs" dxfId="2263" priority="205" stopIfTrue="1" operator="greaterThan">
      <formula>0.03</formula>
    </cfRule>
    <cfRule type="cellIs" dxfId="2262" priority="206" stopIfTrue="1" operator="lessThan">
      <formula>-0.03</formula>
    </cfRule>
  </conditionalFormatting>
  <conditionalFormatting sqref="AX23:AX24">
    <cfRule type="cellIs" dxfId="2261" priority="207" stopIfTrue="1" operator="greaterThan">
      <formula>0</formula>
    </cfRule>
    <cfRule type="cellIs" dxfId="2260" priority="208" operator="lessThan">
      <formula>0</formula>
    </cfRule>
  </conditionalFormatting>
  <conditionalFormatting sqref="AX25">
    <cfRule type="cellIs" dxfId="2259" priority="201" stopIfTrue="1" operator="greaterThan">
      <formula>0.03</formula>
    </cfRule>
    <cfRule type="cellIs" dxfId="2258" priority="202" stopIfTrue="1" operator="lessThan">
      <formula>-0.03</formula>
    </cfRule>
  </conditionalFormatting>
  <conditionalFormatting sqref="AX25:AX26">
    <cfRule type="cellIs" dxfId="2257" priority="203" stopIfTrue="1" operator="greaterThan">
      <formula>0</formula>
    </cfRule>
    <cfRule type="cellIs" dxfId="2256" priority="204" operator="lessThan">
      <formula>0</formula>
    </cfRule>
  </conditionalFormatting>
  <conditionalFormatting sqref="AX27">
    <cfRule type="cellIs" dxfId="2255" priority="197" stopIfTrue="1" operator="greaterThan">
      <formula>0.03</formula>
    </cfRule>
    <cfRule type="cellIs" dxfId="2254" priority="198" stopIfTrue="1" operator="lessThan">
      <formula>-0.03</formula>
    </cfRule>
  </conditionalFormatting>
  <conditionalFormatting sqref="AX27:AX28">
    <cfRule type="cellIs" dxfId="2253" priority="199" stopIfTrue="1" operator="greaterThan">
      <formula>0</formula>
    </cfRule>
    <cfRule type="cellIs" dxfId="2252" priority="200" operator="lessThan">
      <formula>0</formula>
    </cfRule>
  </conditionalFormatting>
  <conditionalFormatting sqref="AY29">
    <cfRule type="cellIs" dxfId="2251" priority="193" stopIfTrue="1" operator="greaterThan">
      <formula>0.03</formula>
    </cfRule>
    <cfRule type="cellIs" dxfId="2250" priority="194" stopIfTrue="1" operator="lessThan">
      <formula>-0.03</formula>
    </cfRule>
  </conditionalFormatting>
  <conditionalFormatting sqref="AY29:AY34">
    <cfRule type="cellIs" dxfId="2249" priority="195" stopIfTrue="1" operator="greaterThan">
      <formula>0</formula>
    </cfRule>
    <cfRule type="cellIs" dxfId="2248" priority="196" stopIfTrue="1" operator="lessThan">
      <formula>0</formula>
    </cfRule>
  </conditionalFormatting>
  <conditionalFormatting sqref="AX29">
    <cfRule type="cellIs" dxfId="2247" priority="189" stopIfTrue="1" operator="greaterThan">
      <formula>0.03</formula>
    </cfRule>
    <cfRule type="cellIs" dxfId="2246" priority="190" stopIfTrue="1" operator="lessThan">
      <formula>-0.03</formula>
    </cfRule>
  </conditionalFormatting>
  <conditionalFormatting sqref="AX29:AX30">
    <cfRule type="cellIs" dxfId="2245" priority="191" stopIfTrue="1" operator="greaterThan">
      <formula>0</formula>
    </cfRule>
    <cfRule type="cellIs" dxfId="2244" priority="192" operator="lessThan">
      <formula>0</formula>
    </cfRule>
  </conditionalFormatting>
  <conditionalFormatting sqref="AX31">
    <cfRule type="cellIs" dxfId="2243" priority="185" stopIfTrue="1" operator="greaterThan">
      <formula>0.03</formula>
    </cfRule>
    <cfRule type="cellIs" dxfId="2242" priority="186" stopIfTrue="1" operator="lessThan">
      <formula>-0.03</formula>
    </cfRule>
  </conditionalFormatting>
  <conditionalFormatting sqref="AX31:AX32">
    <cfRule type="cellIs" dxfId="2241" priority="187" stopIfTrue="1" operator="greaterThan">
      <formula>0</formula>
    </cfRule>
    <cfRule type="cellIs" dxfId="2240" priority="188" operator="lessThan">
      <formula>0</formula>
    </cfRule>
  </conditionalFormatting>
  <conditionalFormatting sqref="AX33">
    <cfRule type="cellIs" dxfId="2239" priority="181" stopIfTrue="1" operator="greaterThan">
      <formula>0.03</formula>
    </cfRule>
    <cfRule type="cellIs" dxfId="2238" priority="182" stopIfTrue="1" operator="lessThan">
      <formula>-0.03</formula>
    </cfRule>
  </conditionalFormatting>
  <conditionalFormatting sqref="AX33:AX34">
    <cfRule type="cellIs" dxfId="2237" priority="183" stopIfTrue="1" operator="greaterThan">
      <formula>0</formula>
    </cfRule>
    <cfRule type="cellIs" dxfId="2236" priority="184" operator="lessThan">
      <formula>0</formula>
    </cfRule>
  </conditionalFormatting>
  <conditionalFormatting sqref="AY35">
    <cfRule type="cellIs" dxfId="2235" priority="177" stopIfTrue="1" operator="greaterThan">
      <formula>0.03</formula>
    </cfRule>
    <cfRule type="cellIs" dxfId="2234" priority="178" stopIfTrue="1" operator="lessThan">
      <formula>-0.03</formula>
    </cfRule>
  </conditionalFormatting>
  <conditionalFormatting sqref="AY35:AY40">
    <cfRule type="cellIs" dxfId="2233" priority="179" stopIfTrue="1" operator="greaterThan">
      <formula>0</formula>
    </cfRule>
    <cfRule type="cellIs" dxfId="2232" priority="180" stopIfTrue="1" operator="lessThan">
      <formula>0</formula>
    </cfRule>
  </conditionalFormatting>
  <conditionalFormatting sqref="AX35">
    <cfRule type="cellIs" dxfId="2231" priority="173" stopIfTrue="1" operator="greaterThan">
      <formula>0.03</formula>
    </cfRule>
    <cfRule type="cellIs" dxfId="2230" priority="174" stopIfTrue="1" operator="lessThan">
      <formula>-0.03</formula>
    </cfRule>
  </conditionalFormatting>
  <conditionalFormatting sqref="AX35:AX36">
    <cfRule type="cellIs" dxfId="2229" priority="175" stopIfTrue="1" operator="greaterThan">
      <formula>0</formula>
    </cfRule>
    <cfRule type="cellIs" dxfId="2228" priority="176" operator="lessThan">
      <formula>0</formula>
    </cfRule>
  </conditionalFormatting>
  <conditionalFormatting sqref="AX37">
    <cfRule type="cellIs" dxfId="2227" priority="169" stopIfTrue="1" operator="greaterThan">
      <formula>0.03</formula>
    </cfRule>
    <cfRule type="cellIs" dxfId="2226" priority="170" stopIfTrue="1" operator="lessThan">
      <formula>-0.03</formula>
    </cfRule>
  </conditionalFormatting>
  <conditionalFormatting sqref="AX37:AX38">
    <cfRule type="cellIs" dxfId="2225" priority="171" stopIfTrue="1" operator="greaterThan">
      <formula>0</formula>
    </cfRule>
    <cfRule type="cellIs" dxfId="2224" priority="172" operator="lessThan">
      <formula>0</formula>
    </cfRule>
  </conditionalFormatting>
  <conditionalFormatting sqref="AX39">
    <cfRule type="cellIs" dxfId="2223" priority="165" stopIfTrue="1" operator="greaterThan">
      <formula>0.03</formula>
    </cfRule>
    <cfRule type="cellIs" dxfId="2222" priority="166" stopIfTrue="1" operator="lessThan">
      <formula>-0.03</formula>
    </cfRule>
  </conditionalFormatting>
  <conditionalFormatting sqref="AX39:AX40">
    <cfRule type="cellIs" dxfId="2221" priority="167" stopIfTrue="1" operator="greaterThan">
      <formula>0</formula>
    </cfRule>
    <cfRule type="cellIs" dxfId="2220" priority="168" operator="lessThan">
      <formula>0</formula>
    </cfRule>
  </conditionalFormatting>
  <conditionalFormatting sqref="B47">
    <cfRule type="cellIs" dxfId="2219" priority="157" stopIfTrue="1" operator="greaterThan">
      <formula>0.03</formula>
    </cfRule>
    <cfRule type="cellIs" dxfId="2218" priority="158" stopIfTrue="1" operator="lessThan">
      <formula>-0.03</formula>
    </cfRule>
  </conditionalFormatting>
  <conditionalFormatting sqref="C47">
    <cfRule type="cellIs" dxfId="2217" priority="159" stopIfTrue="1" operator="greaterThan">
      <formula>0.03</formula>
    </cfRule>
    <cfRule type="cellIs" dxfId="2216" priority="160" stopIfTrue="1" operator="lessThan">
      <formula>-0.03</formula>
    </cfRule>
  </conditionalFormatting>
  <conditionalFormatting sqref="C47:C52">
    <cfRule type="cellIs" dxfId="2215" priority="161" stopIfTrue="1" operator="greaterThan">
      <formula>0</formula>
    </cfRule>
    <cfRule type="cellIs" dxfId="2214" priority="162" stopIfTrue="1" operator="lessThan">
      <formula>0</formula>
    </cfRule>
  </conditionalFormatting>
  <conditionalFormatting sqref="B47:B48">
    <cfRule type="cellIs" dxfId="2213" priority="163" stopIfTrue="1" operator="greaterThan">
      <formula>0</formula>
    </cfRule>
    <cfRule type="cellIs" dxfId="2212" priority="164" operator="lessThan">
      <formula>0</formula>
    </cfRule>
  </conditionalFormatting>
  <conditionalFormatting sqref="B49">
    <cfRule type="cellIs" dxfId="2211" priority="153" stopIfTrue="1" operator="greaterThan">
      <formula>0.03</formula>
    </cfRule>
    <cfRule type="cellIs" dxfId="2210" priority="154" stopIfTrue="1" operator="lessThan">
      <formula>-0.03</formula>
    </cfRule>
  </conditionalFormatting>
  <conditionalFormatting sqref="B49:B50">
    <cfRule type="cellIs" dxfId="2209" priority="155" stopIfTrue="1" operator="greaterThan">
      <formula>0</formula>
    </cfRule>
    <cfRule type="cellIs" dxfId="2208" priority="156" operator="lessThan">
      <formula>0</formula>
    </cfRule>
  </conditionalFormatting>
  <conditionalFormatting sqref="B51">
    <cfRule type="cellIs" dxfId="2207" priority="149" stopIfTrue="1" operator="greaterThan">
      <formula>0.03</formula>
    </cfRule>
    <cfRule type="cellIs" dxfId="2206" priority="150" stopIfTrue="1" operator="lessThan">
      <formula>-0.03</formula>
    </cfRule>
  </conditionalFormatting>
  <conditionalFormatting sqref="B51:B52">
    <cfRule type="cellIs" dxfId="2205" priority="151" stopIfTrue="1" operator="greaterThan">
      <formula>0</formula>
    </cfRule>
    <cfRule type="cellIs" dxfId="2204" priority="152" operator="lessThan">
      <formula>0</formula>
    </cfRule>
  </conditionalFormatting>
  <conditionalFormatting sqref="D47:P47">
    <cfRule type="cellIs" dxfId="2203" priority="145" stopIfTrue="1" operator="greaterThan">
      <formula>0.03</formula>
    </cfRule>
    <cfRule type="cellIs" dxfId="2202" priority="146" stopIfTrue="1" operator="lessThan">
      <formula>-0.03</formula>
    </cfRule>
  </conditionalFormatting>
  <conditionalFormatting sqref="D47:P52">
    <cfRule type="cellIs" dxfId="2201" priority="147" stopIfTrue="1" operator="greaterThan">
      <formula>0</formula>
    </cfRule>
    <cfRule type="cellIs" dxfId="2200" priority="148" stopIfTrue="1" operator="lessThan">
      <formula>0</formula>
    </cfRule>
  </conditionalFormatting>
  <conditionalFormatting sqref="Q47">
    <cfRule type="cellIs" dxfId="2199" priority="137" stopIfTrue="1" operator="greaterThan">
      <formula>0.03</formula>
    </cfRule>
    <cfRule type="cellIs" dxfId="2198" priority="138" stopIfTrue="1" operator="lessThan">
      <formula>-0.03</formula>
    </cfRule>
  </conditionalFormatting>
  <conditionalFormatting sqref="R47">
    <cfRule type="cellIs" dxfId="2197" priority="139" stopIfTrue="1" operator="greaterThan">
      <formula>0.03</formula>
    </cfRule>
    <cfRule type="cellIs" dxfId="2196" priority="140" stopIfTrue="1" operator="lessThan">
      <formula>-0.03</formula>
    </cfRule>
  </conditionalFormatting>
  <conditionalFormatting sqref="R47:R52">
    <cfRule type="cellIs" dxfId="2195" priority="141" stopIfTrue="1" operator="greaterThan">
      <formula>0</formula>
    </cfRule>
    <cfRule type="cellIs" dxfId="2194" priority="142" stopIfTrue="1" operator="lessThan">
      <formula>0</formula>
    </cfRule>
  </conditionalFormatting>
  <conditionalFormatting sqref="Q47:Q48">
    <cfRule type="cellIs" dxfId="2193" priority="143" stopIfTrue="1" operator="greaterThan">
      <formula>0</formula>
    </cfRule>
    <cfRule type="cellIs" dxfId="2192" priority="144" operator="lessThan">
      <formula>0</formula>
    </cfRule>
  </conditionalFormatting>
  <conditionalFormatting sqref="Q49">
    <cfRule type="cellIs" dxfId="2191" priority="133" stopIfTrue="1" operator="greaterThan">
      <formula>0.03</formula>
    </cfRule>
    <cfRule type="cellIs" dxfId="2190" priority="134" stopIfTrue="1" operator="lessThan">
      <formula>-0.03</formula>
    </cfRule>
  </conditionalFormatting>
  <conditionalFormatting sqref="Q49:Q50">
    <cfRule type="cellIs" dxfId="2189" priority="135" stopIfTrue="1" operator="greaterThan">
      <formula>0</formula>
    </cfRule>
    <cfRule type="cellIs" dxfId="2188" priority="136" operator="lessThan">
      <formula>0</formula>
    </cfRule>
  </conditionalFormatting>
  <conditionalFormatting sqref="Q51">
    <cfRule type="cellIs" dxfId="2187" priority="129" stopIfTrue="1" operator="greaterThan">
      <formula>0.03</formula>
    </cfRule>
    <cfRule type="cellIs" dxfId="2186" priority="130" stopIfTrue="1" operator="lessThan">
      <formula>-0.03</formula>
    </cfRule>
  </conditionalFormatting>
  <conditionalFormatting sqref="Q51:Q52">
    <cfRule type="cellIs" dxfId="2185" priority="131" stopIfTrue="1" operator="greaterThan">
      <formula>0</formula>
    </cfRule>
    <cfRule type="cellIs" dxfId="2184" priority="132" operator="lessThan">
      <formula>0</formula>
    </cfRule>
  </conditionalFormatting>
  <conditionalFormatting sqref="S47">
    <cfRule type="cellIs" dxfId="2183" priority="121" stopIfTrue="1" operator="greaterThan">
      <formula>0.03</formula>
    </cfRule>
    <cfRule type="cellIs" dxfId="2182" priority="122" stopIfTrue="1" operator="lessThan">
      <formula>-0.03</formula>
    </cfRule>
  </conditionalFormatting>
  <conditionalFormatting sqref="T47">
    <cfRule type="cellIs" dxfId="2181" priority="123" stopIfTrue="1" operator="greaterThan">
      <formula>0.03</formula>
    </cfRule>
    <cfRule type="cellIs" dxfId="2180" priority="124" stopIfTrue="1" operator="lessThan">
      <formula>-0.03</formula>
    </cfRule>
  </conditionalFormatting>
  <conditionalFormatting sqref="T47:T52">
    <cfRule type="cellIs" dxfId="2179" priority="125" stopIfTrue="1" operator="greaterThan">
      <formula>0</formula>
    </cfRule>
    <cfRule type="cellIs" dxfId="2178" priority="126" stopIfTrue="1" operator="lessThan">
      <formula>0</formula>
    </cfRule>
  </conditionalFormatting>
  <conditionalFormatting sqref="S47:S48">
    <cfRule type="cellIs" dxfId="2177" priority="127" stopIfTrue="1" operator="greaterThan">
      <formula>0</formula>
    </cfRule>
    <cfRule type="cellIs" dxfId="2176" priority="128" operator="lessThan">
      <formula>0</formula>
    </cfRule>
  </conditionalFormatting>
  <conditionalFormatting sqref="S49">
    <cfRule type="cellIs" dxfId="2175" priority="117" stopIfTrue="1" operator="greaterThan">
      <formula>0.03</formula>
    </cfRule>
    <cfRule type="cellIs" dxfId="2174" priority="118" stopIfTrue="1" operator="lessThan">
      <formula>-0.03</formula>
    </cfRule>
  </conditionalFormatting>
  <conditionalFormatting sqref="S49:S50">
    <cfRule type="cellIs" dxfId="2173" priority="119" stopIfTrue="1" operator="greaterThan">
      <formula>0</formula>
    </cfRule>
    <cfRule type="cellIs" dxfId="2172" priority="120" operator="lessThan">
      <formula>0</formula>
    </cfRule>
  </conditionalFormatting>
  <conditionalFormatting sqref="S51">
    <cfRule type="cellIs" dxfId="2171" priority="113" stopIfTrue="1" operator="greaterThan">
      <formula>0.03</formula>
    </cfRule>
    <cfRule type="cellIs" dxfId="2170" priority="114" stopIfTrue="1" operator="lessThan">
      <formula>-0.03</formula>
    </cfRule>
  </conditionalFormatting>
  <conditionalFormatting sqref="S51:S52">
    <cfRule type="cellIs" dxfId="2169" priority="115" stopIfTrue="1" operator="greaterThan">
      <formula>0</formula>
    </cfRule>
    <cfRule type="cellIs" dxfId="2168" priority="116" operator="lessThan">
      <formula>0</formula>
    </cfRule>
  </conditionalFormatting>
  <conditionalFormatting sqref="U47">
    <cfRule type="cellIs" dxfId="2167" priority="105" stopIfTrue="1" operator="greaterThan">
      <formula>0.03</formula>
    </cfRule>
    <cfRule type="cellIs" dxfId="2166" priority="106" stopIfTrue="1" operator="lessThan">
      <formula>-0.03</formula>
    </cfRule>
  </conditionalFormatting>
  <conditionalFormatting sqref="V47">
    <cfRule type="cellIs" dxfId="2165" priority="107" stopIfTrue="1" operator="greaterThan">
      <formula>0.03</formula>
    </cfRule>
    <cfRule type="cellIs" dxfId="2164" priority="108" stopIfTrue="1" operator="lessThan">
      <formula>-0.03</formula>
    </cfRule>
  </conditionalFormatting>
  <conditionalFormatting sqref="V47:V52">
    <cfRule type="cellIs" dxfId="2163" priority="109" stopIfTrue="1" operator="greaterThan">
      <formula>0</formula>
    </cfRule>
    <cfRule type="cellIs" dxfId="2162" priority="110" stopIfTrue="1" operator="lessThan">
      <formula>0</formula>
    </cfRule>
  </conditionalFormatting>
  <conditionalFormatting sqref="U47:U48">
    <cfRule type="cellIs" dxfId="2161" priority="111" stopIfTrue="1" operator="greaterThan">
      <formula>0</formula>
    </cfRule>
    <cfRule type="cellIs" dxfId="2160" priority="112" operator="lessThan">
      <formula>0</formula>
    </cfRule>
  </conditionalFormatting>
  <conditionalFormatting sqref="U49">
    <cfRule type="cellIs" dxfId="2159" priority="101" stopIfTrue="1" operator="greaterThan">
      <formula>0.03</formula>
    </cfRule>
    <cfRule type="cellIs" dxfId="2158" priority="102" stopIfTrue="1" operator="lessThan">
      <formula>-0.03</formula>
    </cfRule>
  </conditionalFormatting>
  <conditionalFormatting sqref="U49:U50">
    <cfRule type="cellIs" dxfId="2157" priority="103" stopIfTrue="1" operator="greaterThan">
      <formula>0</formula>
    </cfRule>
    <cfRule type="cellIs" dxfId="2156" priority="104" operator="lessThan">
      <formula>0</formula>
    </cfRule>
  </conditionalFormatting>
  <conditionalFormatting sqref="U51">
    <cfRule type="cellIs" dxfId="2155" priority="97" stopIfTrue="1" operator="greaterThan">
      <formula>0.03</formula>
    </cfRule>
    <cfRule type="cellIs" dxfId="2154" priority="98" stopIfTrue="1" operator="lessThan">
      <formula>-0.03</formula>
    </cfRule>
  </conditionalFormatting>
  <conditionalFormatting sqref="U51:U52">
    <cfRule type="cellIs" dxfId="2153" priority="99" stopIfTrue="1" operator="greaterThan">
      <formula>0</formula>
    </cfRule>
    <cfRule type="cellIs" dxfId="2152" priority="100" operator="lessThan">
      <formula>0</formula>
    </cfRule>
  </conditionalFormatting>
  <conditionalFormatting sqref="W47">
    <cfRule type="cellIs" dxfId="2151" priority="89" stopIfTrue="1" operator="greaterThan">
      <formula>0.03</formula>
    </cfRule>
    <cfRule type="cellIs" dxfId="2150" priority="90" stopIfTrue="1" operator="lessThan">
      <formula>-0.03</formula>
    </cfRule>
  </conditionalFormatting>
  <conditionalFormatting sqref="X47">
    <cfRule type="cellIs" dxfId="2149" priority="91" stopIfTrue="1" operator="greaterThan">
      <formula>0.03</formula>
    </cfRule>
    <cfRule type="cellIs" dxfId="2148" priority="92" stopIfTrue="1" operator="lessThan">
      <formula>-0.03</formula>
    </cfRule>
  </conditionalFormatting>
  <conditionalFormatting sqref="X47:X52">
    <cfRule type="cellIs" dxfId="2147" priority="93" stopIfTrue="1" operator="greaterThan">
      <formula>0</formula>
    </cfRule>
    <cfRule type="cellIs" dxfId="2146" priority="94" stopIfTrue="1" operator="lessThan">
      <formula>0</formula>
    </cfRule>
  </conditionalFormatting>
  <conditionalFormatting sqref="W47:W48">
    <cfRule type="cellIs" dxfId="2145" priority="95" stopIfTrue="1" operator="greaterThan">
      <formula>0</formula>
    </cfRule>
    <cfRule type="cellIs" dxfId="2144" priority="96" operator="lessThan">
      <formula>0</formula>
    </cfRule>
  </conditionalFormatting>
  <conditionalFormatting sqref="W49">
    <cfRule type="cellIs" dxfId="2143" priority="85" stopIfTrue="1" operator="greaterThan">
      <formula>0.03</formula>
    </cfRule>
    <cfRule type="cellIs" dxfId="2142" priority="86" stopIfTrue="1" operator="lessThan">
      <formula>-0.03</formula>
    </cfRule>
  </conditionalFormatting>
  <conditionalFormatting sqref="W49:W50">
    <cfRule type="cellIs" dxfId="2141" priority="87" stopIfTrue="1" operator="greaterThan">
      <formula>0</formula>
    </cfRule>
    <cfRule type="cellIs" dxfId="2140" priority="88" operator="lessThan">
      <formula>0</formula>
    </cfRule>
  </conditionalFormatting>
  <conditionalFormatting sqref="W51">
    <cfRule type="cellIs" dxfId="2139" priority="81" stopIfTrue="1" operator="greaterThan">
      <formula>0.03</formula>
    </cfRule>
    <cfRule type="cellIs" dxfId="2138" priority="82" stopIfTrue="1" operator="lessThan">
      <formula>-0.03</formula>
    </cfRule>
  </conditionalFormatting>
  <conditionalFormatting sqref="W51:W52">
    <cfRule type="cellIs" dxfId="2137" priority="83" stopIfTrue="1" operator="greaterThan">
      <formula>0</formula>
    </cfRule>
    <cfRule type="cellIs" dxfId="2136" priority="84" operator="lessThan">
      <formula>0</formula>
    </cfRule>
  </conditionalFormatting>
  <conditionalFormatting sqref="Y47">
    <cfRule type="cellIs" dxfId="2135" priority="73" stopIfTrue="1" operator="greaterThan">
      <formula>0.03</formula>
    </cfRule>
    <cfRule type="cellIs" dxfId="2134" priority="74" stopIfTrue="1" operator="lessThan">
      <formula>-0.03</formula>
    </cfRule>
  </conditionalFormatting>
  <conditionalFormatting sqref="Z47">
    <cfRule type="cellIs" dxfId="2133" priority="75" stopIfTrue="1" operator="greaterThan">
      <formula>0.03</formula>
    </cfRule>
    <cfRule type="cellIs" dxfId="2132" priority="76" stopIfTrue="1" operator="lessThan">
      <formula>-0.03</formula>
    </cfRule>
  </conditionalFormatting>
  <conditionalFormatting sqref="Z47:Z52">
    <cfRule type="cellIs" dxfId="2131" priority="77" stopIfTrue="1" operator="greaterThan">
      <formula>0</formula>
    </cfRule>
    <cfRule type="cellIs" dxfId="2130" priority="78" stopIfTrue="1" operator="lessThan">
      <formula>0</formula>
    </cfRule>
  </conditionalFormatting>
  <conditionalFormatting sqref="Y47:Y48">
    <cfRule type="cellIs" dxfId="2129" priority="79" stopIfTrue="1" operator="greaterThan">
      <formula>0</formula>
    </cfRule>
    <cfRule type="cellIs" dxfId="2128" priority="80" operator="lessThan">
      <formula>0</formula>
    </cfRule>
  </conditionalFormatting>
  <conditionalFormatting sqref="Y49">
    <cfRule type="cellIs" dxfId="2127" priority="69" stopIfTrue="1" operator="greaterThan">
      <formula>0.03</formula>
    </cfRule>
    <cfRule type="cellIs" dxfId="2126" priority="70" stopIfTrue="1" operator="lessThan">
      <formula>-0.03</formula>
    </cfRule>
  </conditionalFormatting>
  <conditionalFormatting sqref="Y49:Y50">
    <cfRule type="cellIs" dxfId="2125" priority="71" stopIfTrue="1" operator="greaterThan">
      <formula>0</formula>
    </cfRule>
    <cfRule type="cellIs" dxfId="2124" priority="72" operator="lessThan">
      <formula>0</formula>
    </cfRule>
  </conditionalFormatting>
  <conditionalFormatting sqref="Y51">
    <cfRule type="cellIs" dxfId="2123" priority="65" stopIfTrue="1" operator="greaterThan">
      <formula>0.03</formula>
    </cfRule>
    <cfRule type="cellIs" dxfId="2122" priority="66" stopIfTrue="1" operator="lessThan">
      <formula>-0.03</formula>
    </cfRule>
  </conditionalFormatting>
  <conditionalFormatting sqref="Y51:Y52">
    <cfRule type="cellIs" dxfId="2121" priority="67" stopIfTrue="1" operator="greaterThan">
      <formula>0</formula>
    </cfRule>
    <cfRule type="cellIs" dxfId="2120" priority="68" operator="lessThan">
      <formula>0</formula>
    </cfRule>
  </conditionalFormatting>
  <conditionalFormatting sqref="AA47">
    <cfRule type="cellIs" dxfId="2119" priority="57" stopIfTrue="1" operator="greaterThan">
      <formula>0.03</formula>
    </cfRule>
    <cfRule type="cellIs" dxfId="2118" priority="58" stopIfTrue="1" operator="lessThan">
      <formula>-0.03</formula>
    </cfRule>
  </conditionalFormatting>
  <conditionalFormatting sqref="AB47">
    <cfRule type="cellIs" dxfId="2117" priority="59" stopIfTrue="1" operator="greaterThan">
      <formula>0.03</formula>
    </cfRule>
    <cfRule type="cellIs" dxfId="2116" priority="60" stopIfTrue="1" operator="lessThan">
      <formula>-0.03</formula>
    </cfRule>
  </conditionalFormatting>
  <conditionalFormatting sqref="AB47:AB52">
    <cfRule type="cellIs" dxfId="2115" priority="61" stopIfTrue="1" operator="greaterThan">
      <formula>0</formula>
    </cfRule>
    <cfRule type="cellIs" dxfId="2114" priority="62" stopIfTrue="1" operator="lessThan">
      <formula>0</formula>
    </cfRule>
  </conditionalFormatting>
  <conditionalFormatting sqref="AA47:AA48">
    <cfRule type="cellIs" dxfId="2113" priority="63" stopIfTrue="1" operator="greaterThan">
      <formula>0</formula>
    </cfRule>
    <cfRule type="cellIs" dxfId="2112" priority="64" operator="lessThan">
      <formula>0</formula>
    </cfRule>
  </conditionalFormatting>
  <conditionalFormatting sqref="AA49">
    <cfRule type="cellIs" dxfId="2111" priority="53" stopIfTrue="1" operator="greaterThan">
      <formula>0.03</formula>
    </cfRule>
    <cfRule type="cellIs" dxfId="2110" priority="54" stopIfTrue="1" operator="lessThan">
      <formula>-0.03</formula>
    </cfRule>
  </conditionalFormatting>
  <conditionalFormatting sqref="AA49:AA50">
    <cfRule type="cellIs" dxfId="2109" priority="55" stopIfTrue="1" operator="greaterThan">
      <formula>0</formula>
    </cfRule>
    <cfRule type="cellIs" dxfId="2108" priority="56" operator="lessThan">
      <formula>0</formula>
    </cfRule>
  </conditionalFormatting>
  <conditionalFormatting sqref="AA51">
    <cfRule type="cellIs" dxfId="2107" priority="49" stopIfTrue="1" operator="greaterThan">
      <formula>0.03</formula>
    </cfRule>
    <cfRule type="cellIs" dxfId="2106" priority="50" stopIfTrue="1" operator="lessThan">
      <formula>-0.03</formula>
    </cfRule>
  </conditionalFormatting>
  <conditionalFormatting sqref="AA51:AA52">
    <cfRule type="cellIs" dxfId="2105" priority="51" stopIfTrue="1" operator="greaterThan">
      <formula>0</formula>
    </cfRule>
    <cfRule type="cellIs" dxfId="2104" priority="52" operator="lessThan">
      <formula>0</formula>
    </cfRule>
  </conditionalFormatting>
  <conditionalFormatting sqref="AC47">
    <cfRule type="cellIs" dxfId="2103" priority="45" stopIfTrue="1" operator="greaterThan">
      <formula>0.03</formula>
    </cfRule>
    <cfRule type="cellIs" dxfId="2102" priority="46" stopIfTrue="1" operator="lessThan">
      <formula>-0.03</formula>
    </cfRule>
  </conditionalFormatting>
  <conditionalFormatting sqref="AC47:AC48">
    <cfRule type="cellIs" dxfId="2101" priority="47" stopIfTrue="1" operator="greaterThan">
      <formula>0</formula>
    </cfRule>
    <cfRule type="cellIs" dxfId="2100" priority="48" operator="lessThan">
      <formula>0</formula>
    </cfRule>
  </conditionalFormatting>
  <conditionalFormatting sqref="AC49">
    <cfRule type="cellIs" dxfId="2099" priority="41" stopIfTrue="1" operator="greaterThan">
      <formula>0.03</formula>
    </cfRule>
    <cfRule type="cellIs" dxfId="2098" priority="42" stopIfTrue="1" operator="lessThan">
      <formula>-0.03</formula>
    </cfRule>
  </conditionalFormatting>
  <conditionalFormatting sqref="AC49:AC50">
    <cfRule type="cellIs" dxfId="2097" priority="43" stopIfTrue="1" operator="greaterThan">
      <formula>0</formula>
    </cfRule>
    <cfRule type="cellIs" dxfId="2096" priority="44" operator="lessThan">
      <formula>0</formula>
    </cfRule>
  </conditionalFormatting>
  <conditionalFormatting sqref="AC51">
    <cfRule type="cellIs" dxfId="2095" priority="37" stopIfTrue="1" operator="greaterThan">
      <formula>0.03</formula>
    </cfRule>
    <cfRule type="cellIs" dxfId="2094" priority="38" stopIfTrue="1" operator="lessThan">
      <formula>-0.03</formula>
    </cfRule>
  </conditionalFormatting>
  <conditionalFormatting sqref="AC51:AC52">
    <cfRule type="cellIs" dxfId="2093" priority="39" stopIfTrue="1" operator="greaterThan">
      <formula>0</formula>
    </cfRule>
    <cfRule type="cellIs" dxfId="2092" priority="40" operator="lessThan">
      <formula>0</formula>
    </cfRule>
  </conditionalFormatting>
  <conditionalFormatting sqref="AI47">
    <cfRule type="cellIs" dxfId="2091" priority="29" stopIfTrue="1" operator="greaterThan">
      <formula>0.03</formula>
    </cfRule>
    <cfRule type="cellIs" dxfId="2090" priority="30" stopIfTrue="1" operator="lessThan">
      <formula>-0.03</formula>
    </cfRule>
  </conditionalFormatting>
  <conditionalFormatting sqref="AJ47">
    <cfRule type="cellIs" dxfId="2089" priority="31" stopIfTrue="1" operator="greaterThan">
      <formula>0.03</formula>
    </cfRule>
    <cfRule type="cellIs" dxfId="2088" priority="32" stopIfTrue="1" operator="lessThan">
      <formula>-0.03</formula>
    </cfRule>
  </conditionalFormatting>
  <conditionalFormatting sqref="AJ47:AJ52">
    <cfRule type="cellIs" dxfId="2087" priority="33" stopIfTrue="1" operator="greaterThan">
      <formula>0</formula>
    </cfRule>
    <cfRule type="cellIs" dxfId="2086" priority="34" stopIfTrue="1" operator="lessThan">
      <formula>0</formula>
    </cfRule>
  </conditionalFormatting>
  <conditionalFormatting sqref="AI47:AI48">
    <cfRule type="cellIs" dxfId="2085" priority="35" stopIfTrue="1" operator="greaterThan">
      <formula>0</formula>
    </cfRule>
    <cfRule type="cellIs" dxfId="2084" priority="36" operator="lessThan">
      <formula>0</formula>
    </cfRule>
  </conditionalFormatting>
  <conditionalFormatting sqref="AI49">
    <cfRule type="cellIs" dxfId="2083" priority="25" stopIfTrue="1" operator="greaterThan">
      <formula>0.03</formula>
    </cfRule>
    <cfRule type="cellIs" dxfId="2082" priority="26" stopIfTrue="1" operator="lessThan">
      <formula>-0.03</formula>
    </cfRule>
  </conditionalFormatting>
  <conditionalFormatting sqref="AI49:AI50">
    <cfRule type="cellIs" dxfId="2081" priority="27" stopIfTrue="1" operator="greaterThan">
      <formula>0</formula>
    </cfRule>
    <cfRule type="cellIs" dxfId="2080" priority="28" operator="lessThan">
      <formula>0</formula>
    </cfRule>
  </conditionalFormatting>
  <conditionalFormatting sqref="AI51">
    <cfRule type="cellIs" dxfId="2079" priority="21" stopIfTrue="1" operator="greaterThan">
      <formula>0.03</formula>
    </cfRule>
    <cfRule type="cellIs" dxfId="2078" priority="22" stopIfTrue="1" operator="lessThan">
      <formula>-0.03</formula>
    </cfRule>
  </conditionalFormatting>
  <conditionalFormatting sqref="AI51:AI52">
    <cfRule type="cellIs" dxfId="2077" priority="23" stopIfTrue="1" operator="greaterThan">
      <formula>0</formula>
    </cfRule>
    <cfRule type="cellIs" dxfId="2076" priority="24" operator="lessThan">
      <formula>0</formula>
    </cfRule>
  </conditionalFormatting>
  <conditionalFormatting sqref="AK47">
    <cfRule type="cellIs" dxfId="2075" priority="13" stopIfTrue="1" operator="greaterThan">
      <formula>0.03</formula>
    </cfRule>
    <cfRule type="cellIs" dxfId="2074" priority="14" stopIfTrue="1" operator="lessThan">
      <formula>-0.03</formula>
    </cfRule>
  </conditionalFormatting>
  <conditionalFormatting sqref="AL47">
    <cfRule type="cellIs" dxfId="2073" priority="15" stopIfTrue="1" operator="greaterThan">
      <formula>0.03</formula>
    </cfRule>
    <cfRule type="cellIs" dxfId="2072" priority="16" stopIfTrue="1" operator="lessThan">
      <formula>-0.03</formula>
    </cfRule>
  </conditionalFormatting>
  <conditionalFormatting sqref="AL47:AL52">
    <cfRule type="cellIs" dxfId="2071" priority="17" stopIfTrue="1" operator="greaterThan">
      <formula>0</formula>
    </cfRule>
    <cfRule type="cellIs" dxfId="2070" priority="18" stopIfTrue="1" operator="lessThan">
      <formula>0</formula>
    </cfRule>
  </conditionalFormatting>
  <conditionalFormatting sqref="AK47:AK48">
    <cfRule type="cellIs" dxfId="2069" priority="19" stopIfTrue="1" operator="greaterThan">
      <formula>0</formula>
    </cfRule>
    <cfRule type="cellIs" dxfId="2068" priority="20" operator="lessThan">
      <formula>0</formula>
    </cfRule>
  </conditionalFormatting>
  <conditionalFormatting sqref="AK49">
    <cfRule type="cellIs" dxfId="2067" priority="9" stopIfTrue="1" operator="greaterThan">
      <formula>0.03</formula>
    </cfRule>
    <cfRule type="cellIs" dxfId="2066" priority="10" stopIfTrue="1" operator="lessThan">
      <formula>-0.03</formula>
    </cfRule>
  </conditionalFormatting>
  <conditionalFormatting sqref="AK49:AK50">
    <cfRule type="cellIs" dxfId="2065" priority="11" stopIfTrue="1" operator="greaterThan">
      <formula>0</formula>
    </cfRule>
    <cfRule type="cellIs" dxfId="2064" priority="12" operator="lessThan">
      <formula>0</formula>
    </cfRule>
  </conditionalFormatting>
  <conditionalFormatting sqref="AK51">
    <cfRule type="cellIs" dxfId="2063" priority="5" stopIfTrue="1" operator="greaterThan">
      <formula>0.03</formula>
    </cfRule>
    <cfRule type="cellIs" dxfId="2062" priority="6" stopIfTrue="1" operator="lessThan">
      <formula>-0.03</formula>
    </cfRule>
  </conditionalFormatting>
  <conditionalFormatting sqref="AK51:AK52">
    <cfRule type="cellIs" dxfId="2061" priority="7" stopIfTrue="1" operator="greaterThan">
      <formula>0</formula>
    </cfRule>
    <cfRule type="cellIs" dxfId="2060" priority="8" operator="lessThan">
      <formula>0</formula>
    </cfRule>
  </conditionalFormatting>
  <conditionalFormatting sqref="AD47:AH47">
    <cfRule type="cellIs" dxfId="2059" priority="1" stopIfTrue="1" operator="greaterThan">
      <formula>0.03</formula>
    </cfRule>
    <cfRule type="cellIs" dxfId="2058" priority="2" stopIfTrue="1" operator="lessThan">
      <formula>-0.03</formula>
    </cfRule>
  </conditionalFormatting>
  <conditionalFormatting sqref="AD47:AH52">
    <cfRule type="cellIs" dxfId="2057" priority="3" stopIfTrue="1" operator="greaterThan">
      <formula>0</formula>
    </cfRule>
    <cfRule type="cellIs" dxfId="2056" priority="4" stopIfTrue="1" operator="less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13B53-872F-6E4A-93FA-DE4D07B65785}">
  <sheetPr codeName="Sheet25"/>
  <dimension ref="A1:FS180"/>
  <sheetViews>
    <sheetView zoomScale="110" zoomScaleNormal="110" workbookViewId="0">
      <selection activeCell="B5" sqref="B5:B40"/>
    </sheetView>
  </sheetViews>
  <sheetFormatPr baseColWidth="10" defaultColWidth="10.83203125" defaultRowHeight="13" outlineLevelCol="1" x14ac:dyDescent="0.15"/>
  <cols>
    <col min="1" max="2" width="10.83203125" style="1"/>
    <col min="3" max="6" width="12.6640625" style="1" bestFit="1" customWidth="1"/>
    <col min="7" max="7" width="12.1640625" style="1" customWidth="1"/>
    <col min="8" max="8" width="12.6640625" style="1" bestFit="1" customWidth="1"/>
    <col min="9" max="9" width="12.1640625" style="1" customWidth="1"/>
    <col min="10" max="11" width="12.1640625" style="1" bestFit="1" customWidth="1"/>
    <col min="12" max="17" width="11.6640625" style="1" customWidth="1"/>
    <col min="18" max="19" width="12.6640625" style="1" bestFit="1" customWidth="1"/>
    <col min="20" max="20" width="13" style="1" customWidth="1"/>
    <col min="21" max="21" width="14.6640625" style="1" bestFit="1" customWidth="1"/>
    <col min="22" max="24" width="12.6640625" style="1" bestFit="1" customWidth="1"/>
    <col min="25" max="25" width="12.1640625" style="1" customWidth="1"/>
    <col min="26" max="26" width="12.6640625" style="1" bestFit="1" customWidth="1"/>
    <col min="27" max="27" width="12.1640625" style="1" customWidth="1"/>
    <col min="28" max="29" width="12.1640625" style="1" bestFit="1" customWidth="1"/>
    <col min="30" max="35" width="11.6640625" style="1" customWidth="1"/>
    <col min="36" max="36" width="14.6640625" style="1" bestFit="1" customWidth="1"/>
    <col min="37" max="37" width="12.6640625" style="1" bestFit="1" customWidth="1"/>
    <col min="38" max="39" width="12.1640625" style="1" customWidth="1"/>
    <col min="40" max="40" width="1" style="1" customWidth="1"/>
    <col min="41" max="47" width="10.83203125" style="4" outlineLevel="1"/>
    <col min="48" max="51" width="12.1640625" style="4" customWidth="1" outlineLevel="1"/>
    <col min="52" max="69" width="10.83203125" style="4" outlineLevel="1"/>
    <col min="70" max="72" width="12.1640625" style="4" customWidth="1" outlineLevel="1"/>
    <col min="73" max="73" width="8.1640625" style="4" customWidth="1" outlineLevel="1"/>
    <col min="74" max="74" width="12.1640625" style="4" customWidth="1" outlineLevel="1"/>
    <col min="75" max="75" width="8.1640625" style="4" customWidth="1" outlineLevel="1"/>
    <col min="76" max="76" width="12.1640625" style="4" customWidth="1" outlineLevel="1"/>
    <col min="77" max="77" width="8.1640625" style="4" customWidth="1" outlineLevel="1"/>
    <col min="78" max="78" width="12.1640625" style="4" customWidth="1" outlineLevel="1"/>
    <col min="79" max="79" width="8.1640625" style="4" customWidth="1" outlineLevel="1"/>
    <col min="80" max="80" width="12.1640625" style="4" customWidth="1" outlineLevel="1"/>
    <col min="81" max="81" width="8.1640625" style="4" customWidth="1" outlineLevel="1"/>
    <col min="82" max="82" width="12.1640625" style="4" customWidth="1" outlineLevel="1"/>
    <col min="83" max="86" width="8.1640625" style="4" customWidth="1" outlineLevel="1"/>
    <col min="87" max="87" width="12" style="10" customWidth="1" outlineLevel="1"/>
    <col min="88" max="88" width="8.1640625" style="10" customWidth="1" outlineLevel="1"/>
    <col min="89" max="89" width="8.1640625" style="4" customWidth="1" outlineLevel="1"/>
    <col min="90" max="107" width="10.83203125" style="4" outlineLevel="1"/>
    <col min="108" max="108" width="1" style="4" customWidth="1" outlineLevel="1"/>
    <col min="109" max="109" width="10.83203125" style="4" outlineLevel="1"/>
    <col min="110" max="110" width="12.1640625" style="4" customWidth="1" outlineLevel="1"/>
    <col min="111" max="111" width="0.83203125" style="4" customWidth="1" outlineLevel="1"/>
    <col min="112" max="112" width="10.83203125" style="4" outlineLevel="1"/>
    <col min="113" max="113" width="12.1640625" style="4" customWidth="1" outlineLevel="1"/>
    <col min="114" max="114" width="0.83203125" style="4" customWidth="1"/>
    <col min="115" max="128" width="12.1640625" style="4" customWidth="1"/>
    <col min="129" max="129" width="1.33203125" style="1" customWidth="1"/>
    <col min="130" max="148" width="10.83203125" style="4"/>
    <col min="149" max="151" width="12.1640625" style="4" customWidth="1"/>
    <col min="152" max="159" width="12.1640625" style="8" customWidth="1"/>
    <col min="160" max="171" width="12.1640625" style="4" customWidth="1"/>
    <col min="172" max="172" width="10.83203125" style="4"/>
    <col min="173" max="173" width="12.1640625" style="4" customWidth="1"/>
    <col min="174" max="174" width="10.83203125" style="4"/>
    <col min="175" max="175" width="12.1640625" style="4" customWidth="1"/>
    <col min="176" max="16384" width="10.83203125" style="1"/>
  </cols>
  <sheetData>
    <row r="1" spans="1:175" x14ac:dyDescent="0.15">
      <c r="C1" s="276" t="s">
        <v>10</v>
      </c>
      <c r="D1" s="276"/>
      <c r="E1" s="276"/>
      <c r="F1" s="276"/>
      <c r="G1" s="276"/>
      <c r="H1" s="276"/>
      <c r="I1" s="276"/>
      <c r="J1" s="276"/>
      <c r="K1" s="276"/>
      <c r="L1" s="276"/>
      <c r="M1" s="276"/>
      <c r="N1" s="276"/>
      <c r="O1" s="276"/>
      <c r="P1" s="276"/>
      <c r="Q1" s="276"/>
      <c r="R1" s="276"/>
      <c r="S1" s="276"/>
      <c r="T1" s="2"/>
      <c r="U1" s="276" t="s">
        <v>11</v>
      </c>
      <c r="V1" s="276"/>
      <c r="W1" s="276"/>
      <c r="X1" s="276"/>
      <c r="Y1" s="276"/>
      <c r="Z1" s="276"/>
      <c r="AA1" s="276"/>
      <c r="AB1" s="276"/>
      <c r="AC1" s="276"/>
      <c r="AD1" s="276"/>
      <c r="AE1" s="276"/>
      <c r="AF1" s="276"/>
      <c r="AG1" s="276"/>
      <c r="AH1" s="276"/>
      <c r="AI1" s="276"/>
      <c r="AJ1" s="276"/>
      <c r="AK1" s="276"/>
      <c r="AL1" s="12"/>
      <c r="AM1" s="12"/>
      <c r="AN1" s="2"/>
      <c r="AO1" s="279" t="s">
        <v>21</v>
      </c>
      <c r="AP1" s="280"/>
      <c r="AQ1" s="280"/>
      <c r="AR1" s="280"/>
      <c r="AS1" s="280"/>
      <c r="AT1" s="280"/>
      <c r="AU1" s="280"/>
      <c r="AV1" s="280"/>
      <c r="AW1" s="280"/>
      <c r="AX1" s="280"/>
      <c r="AY1" s="280"/>
      <c r="CH1" s="19"/>
      <c r="CK1" s="18"/>
      <c r="CL1" s="272" t="s">
        <v>12</v>
      </c>
      <c r="CM1" s="272"/>
      <c r="CN1" s="272"/>
      <c r="CO1" s="272"/>
      <c r="CP1" s="272"/>
      <c r="CQ1" s="272"/>
      <c r="CR1" s="272"/>
      <c r="CS1" s="272"/>
      <c r="CT1" s="272"/>
      <c r="CU1" s="272"/>
      <c r="CV1" s="272"/>
      <c r="CW1" s="272"/>
      <c r="CX1" s="272"/>
      <c r="CY1" s="272"/>
      <c r="CZ1" s="272"/>
      <c r="DA1" s="272"/>
      <c r="DB1" s="272"/>
      <c r="DC1" s="272"/>
      <c r="DD1" s="272"/>
      <c r="DE1" s="272"/>
      <c r="DF1" s="272"/>
      <c r="DG1" s="272"/>
      <c r="DH1" s="272"/>
      <c r="DI1" s="272"/>
      <c r="DJ1" s="272"/>
      <c r="DK1" s="272"/>
      <c r="DL1" s="272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2"/>
      <c r="DZ1" s="272" t="s">
        <v>48</v>
      </c>
      <c r="EA1" s="272"/>
      <c r="EB1" s="272"/>
      <c r="EC1" s="272"/>
      <c r="ED1" s="272"/>
      <c r="EE1" s="272"/>
      <c r="EF1" s="272"/>
      <c r="EG1" s="272"/>
      <c r="EH1" s="272"/>
      <c r="EI1" s="272"/>
      <c r="EJ1" s="272"/>
      <c r="EK1" s="272"/>
      <c r="EL1" s="272"/>
      <c r="EM1" s="272"/>
      <c r="EN1" s="272"/>
      <c r="EO1" s="272"/>
      <c r="EP1" s="272"/>
      <c r="EQ1" s="272"/>
      <c r="ER1" s="272"/>
      <c r="ES1" s="272"/>
      <c r="ET1" s="272"/>
      <c r="EU1" s="272"/>
      <c r="EV1" s="272"/>
      <c r="EW1" s="272"/>
      <c r="EX1" s="1"/>
      <c r="EY1" s="1"/>
      <c r="EZ1" s="1"/>
      <c r="FA1" s="1"/>
      <c r="FB1" s="1"/>
      <c r="FC1" s="1"/>
      <c r="FD1" s="3"/>
      <c r="FE1" s="3"/>
      <c r="FF1" s="3"/>
      <c r="FG1" s="3"/>
      <c r="FH1" s="3"/>
      <c r="FI1" s="15"/>
      <c r="FK1" s="16"/>
      <c r="FL1" s="3"/>
      <c r="FM1" s="3"/>
      <c r="FN1" s="15"/>
      <c r="FP1" s="1"/>
      <c r="FQ1" s="1"/>
      <c r="FR1" s="1"/>
      <c r="FS1" s="1"/>
    </row>
    <row r="2" spans="1:175" x14ac:dyDescent="0.15">
      <c r="C2" s="276"/>
      <c r="D2" s="276"/>
      <c r="E2" s="276"/>
      <c r="F2" s="276"/>
      <c r="G2" s="276"/>
      <c r="H2" s="276"/>
      <c r="I2" s="276"/>
      <c r="J2" s="276"/>
      <c r="K2" s="276"/>
      <c r="L2" s="276"/>
      <c r="M2" s="276"/>
      <c r="N2" s="276"/>
      <c r="O2" s="276"/>
      <c r="P2" s="276"/>
      <c r="Q2" s="276"/>
      <c r="R2" s="276"/>
      <c r="S2" s="276"/>
      <c r="T2" s="2"/>
      <c r="U2" s="276"/>
      <c r="V2" s="276"/>
      <c r="W2" s="276"/>
      <c r="X2" s="276"/>
      <c r="Y2" s="276"/>
      <c r="Z2" s="276"/>
      <c r="AA2" s="276"/>
      <c r="AB2" s="276"/>
      <c r="AC2" s="276"/>
      <c r="AD2" s="276"/>
      <c r="AE2" s="276"/>
      <c r="AF2" s="276"/>
      <c r="AG2" s="276"/>
      <c r="AH2" s="276"/>
      <c r="AI2" s="276"/>
      <c r="AJ2" s="276"/>
      <c r="AK2" s="276"/>
      <c r="AL2" s="12"/>
      <c r="AM2" s="12"/>
      <c r="AN2" s="2"/>
      <c r="AO2" s="281" t="s">
        <v>13</v>
      </c>
      <c r="AP2" s="264"/>
      <c r="AQ2" s="264"/>
      <c r="AR2" s="264"/>
      <c r="AS2" s="264"/>
      <c r="AT2" s="264" t="s">
        <v>1</v>
      </c>
      <c r="AU2" s="264"/>
      <c r="AV2" s="264" t="s">
        <v>22</v>
      </c>
      <c r="AW2" s="264"/>
      <c r="AX2" s="264" t="s">
        <v>0</v>
      </c>
      <c r="AY2" s="264"/>
      <c r="CH2" s="20"/>
      <c r="CI2" s="20"/>
      <c r="CJ2" s="20"/>
      <c r="CK2" s="18"/>
      <c r="CL2" s="273" t="s">
        <v>13</v>
      </c>
      <c r="CM2" s="274"/>
      <c r="CN2" s="274"/>
      <c r="CO2" s="274"/>
      <c r="CP2" s="274"/>
      <c r="CQ2" s="274"/>
      <c r="CR2" s="274"/>
      <c r="CS2" s="274"/>
      <c r="CT2" s="274"/>
      <c r="CU2" s="274"/>
      <c r="CV2" s="274"/>
      <c r="CW2" s="274"/>
      <c r="CX2" s="274"/>
      <c r="CY2" s="274"/>
      <c r="CZ2" s="274"/>
      <c r="DA2" s="274"/>
      <c r="DB2" s="274"/>
      <c r="DC2" s="275"/>
      <c r="DD2" s="3"/>
      <c r="DE2" s="272" t="s">
        <v>14</v>
      </c>
      <c r="DF2" s="272"/>
      <c r="DG2" s="3"/>
      <c r="DH2" s="272" t="s">
        <v>30</v>
      </c>
      <c r="DI2" s="272"/>
      <c r="DJ2" s="3"/>
      <c r="DK2" s="272" t="s">
        <v>15</v>
      </c>
      <c r="DL2" s="272"/>
      <c r="DM2" s="272" t="s">
        <v>43</v>
      </c>
      <c r="DN2" s="272"/>
      <c r="DO2" s="272" t="s">
        <v>40</v>
      </c>
      <c r="DP2" s="272"/>
      <c r="DQ2" s="272" t="s">
        <v>44</v>
      </c>
      <c r="DR2" s="272"/>
      <c r="DS2" s="273" t="s">
        <v>45</v>
      </c>
      <c r="DT2" s="274"/>
      <c r="DU2" s="274"/>
      <c r="DV2" s="274"/>
      <c r="DW2" s="274"/>
      <c r="DX2" s="275"/>
      <c r="DY2" s="2"/>
      <c r="DZ2" s="273" t="s">
        <v>13</v>
      </c>
      <c r="EA2" s="274"/>
      <c r="EB2" s="274"/>
      <c r="EC2" s="274"/>
      <c r="ED2" s="274"/>
      <c r="EE2" s="274"/>
      <c r="EF2" s="274"/>
      <c r="EG2" s="274"/>
      <c r="EH2" s="274"/>
      <c r="EI2" s="274"/>
      <c r="EJ2" s="274"/>
      <c r="EK2" s="274"/>
      <c r="EL2" s="274"/>
      <c r="EM2" s="274"/>
      <c r="EN2" s="274"/>
      <c r="EO2" s="274"/>
      <c r="EP2" s="274"/>
      <c r="EQ2" s="275"/>
      <c r="ER2" s="272" t="s">
        <v>14</v>
      </c>
      <c r="ES2" s="272"/>
      <c r="ET2" s="272" t="s">
        <v>30</v>
      </c>
      <c r="EU2" s="272"/>
      <c r="EV2" s="284" t="s">
        <v>15</v>
      </c>
      <c r="EW2" s="284"/>
      <c r="EX2" s="284" t="s">
        <v>46</v>
      </c>
      <c r="EY2" s="284"/>
      <c r="EZ2" s="284" t="s">
        <v>47</v>
      </c>
      <c r="FA2" s="284"/>
      <c r="FB2" s="284" t="s">
        <v>41</v>
      </c>
      <c r="FC2" s="284"/>
      <c r="FD2" s="273" t="s">
        <v>45</v>
      </c>
      <c r="FE2" s="274"/>
      <c r="FF2" s="274"/>
      <c r="FG2" s="274"/>
      <c r="FH2" s="274"/>
      <c r="FI2" s="275"/>
      <c r="FK2" s="272" t="s">
        <v>106</v>
      </c>
      <c r="FL2" s="272"/>
      <c r="FM2" s="272" t="s">
        <v>107</v>
      </c>
      <c r="FN2" s="272"/>
      <c r="FP2" s="272" t="s">
        <v>105</v>
      </c>
      <c r="FQ2" s="272"/>
      <c r="FR2" s="272" t="s">
        <v>108</v>
      </c>
      <c r="FS2" s="272"/>
    </row>
    <row r="3" spans="1:175" x14ac:dyDescent="0.15">
      <c r="C3" s="12"/>
      <c r="D3" s="276" t="s">
        <v>13</v>
      </c>
      <c r="E3" s="276"/>
      <c r="F3" s="276"/>
      <c r="G3" s="276"/>
      <c r="H3" s="12"/>
      <c r="I3" s="12"/>
      <c r="J3" s="12"/>
      <c r="K3" s="12"/>
      <c r="L3" s="12"/>
      <c r="M3" s="12"/>
      <c r="N3" s="278" t="s">
        <v>42</v>
      </c>
      <c r="O3" s="278"/>
      <c r="P3" s="278"/>
      <c r="Q3" s="278"/>
      <c r="R3" s="12"/>
      <c r="S3" s="12"/>
      <c r="T3" s="2"/>
      <c r="U3" s="12"/>
      <c r="V3" s="276" t="s">
        <v>13</v>
      </c>
      <c r="W3" s="276"/>
      <c r="X3" s="276"/>
      <c r="Y3" s="276"/>
      <c r="Z3" s="12"/>
      <c r="AA3" s="12"/>
      <c r="AB3" s="12"/>
      <c r="AC3" s="12"/>
      <c r="AD3" s="12"/>
      <c r="AE3" s="12"/>
      <c r="AF3" s="277" t="s">
        <v>42</v>
      </c>
      <c r="AG3" s="277"/>
      <c r="AH3" s="277"/>
      <c r="AI3" s="277"/>
      <c r="AJ3" s="12"/>
      <c r="AK3" s="12"/>
      <c r="AL3" s="12"/>
      <c r="AM3" s="12"/>
      <c r="AN3" s="2"/>
      <c r="AO3" s="13"/>
      <c r="AP3" s="14"/>
      <c r="AQ3" s="14"/>
      <c r="AR3" s="14"/>
      <c r="AS3" s="14"/>
      <c r="AT3" s="14"/>
      <c r="AU3" s="14"/>
      <c r="AV3" s="14"/>
      <c r="AW3" s="14"/>
      <c r="AX3" s="14"/>
      <c r="AY3" s="14"/>
      <c r="CH3" s="19"/>
      <c r="CK3" s="18"/>
      <c r="CL3" s="3"/>
      <c r="CM3" s="3"/>
      <c r="CN3" s="273" t="s">
        <v>13</v>
      </c>
      <c r="CO3" s="274"/>
      <c r="CP3" s="274"/>
      <c r="CQ3" s="275"/>
      <c r="CR3" s="3"/>
      <c r="CS3" s="3"/>
      <c r="CT3" s="3"/>
      <c r="CU3" s="3"/>
      <c r="CV3" s="3"/>
      <c r="CW3" s="3"/>
      <c r="CX3" s="273" t="s">
        <v>42</v>
      </c>
      <c r="CY3" s="274"/>
      <c r="CZ3" s="274"/>
      <c r="DA3" s="275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2"/>
      <c r="DZ3" s="3"/>
      <c r="EA3" s="3"/>
      <c r="EB3" s="273" t="s">
        <v>13</v>
      </c>
      <c r="EC3" s="274"/>
      <c r="ED3" s="274"/>
      <c r="EE3" s="275"/>
      <c r="EF3" s="3"/>
      <c r="EG3" s="3"/>
      <c r="EH3" s="3"/>
      <c r="EI3" s="3"/>
      <c r="EJ3" s="3"/>
      <c r="EK3" s="3"/>
      <c r="EL3" s="273" t="s">
        <v>42</v>
      </c>
      <c r="EM3" s="274"/>
      <c r="EN3" s="274"/>
      <c r="EO3" s="275"/>
      <c r="EP3" s="3"/>
      <c r="EQ3" s="3"/>
      <c r="ER3" s="3"/>
      <c r="ES3" s="3"/>
      <c r="ET3" s="3"/>
      <c r="EU3" s="3"/>
      <c r="EV3" s="6"/>
      <c r="EW3" s="6"/>
      <c r="EX3" s="6"/>
      <c r="EY3" s="6"/>
      <c r="EZ3" s="6"/>
      <c r="FA3" s="6"/>
      <c r="FB3" s="6"/>
      <c r="FC3" s="6"/>
      <c r="FD3" s="3"/>
      <c r="FE3" s="3"/>
      <c r="FF3" s="3"/>
      <c r="FG3" s="3"/>
      <c r="FH3" s="3"/>
      <c r="FI3" s="15"/>
      <c r="FK3" s="16"/>
      <c r="FL3" s="3"/>
      <c r="FM3" s="3"/>
      <c r="FN3" s="15"/>
      <c r="FP3" s="16"/>
      <c r="FQ3" s="3"/>
      <c r="FR3" s="16"/>
      <c r="FS3" s="3"/>
    </row>
    <row r="4" spans="1:175" ht="14" thickBot="1" x14ac:dyDescent="0.2">
      <c r="B4" s="1" t="s">
        <v>6</v>
      </c>
      <c r="C4" s="36" t="s">
        <v>3</v>
      </c>
      <c r="D4" s="36" t="s">
        <v>24</v>
      </c>
      <c r="E4" s="36" t="s">
        <v>25</v>
      </c>
      <c r="F4" s="36" t="s">
        <v>26</v>
      </c>
      <c r="G4" s="36" t="s">
        <v>38</v>
      </c>
      <c r="H4" s="36" t="s">
        <v>5</v>
      </c>
      <c r="I4" s="36" t="s">
        <v>22</v>
      </c>
      <c r="J4" s="36" t="s">
        <v>0</v>
      </c>
      <c r="K4" s="36" t="s">
        <v>39</v>
      </c>
      <c r="L4" s="36" t="s">
        <v>40</v>
      </c>
      <c r="M4" s="36" t="s">
        <v>41</v>
      </c>
      <c r="N4" s="37" t="s">
        <v>24</v>
      </c>
      <c r="O4" s="37" t="s">
        <v>25</v>
      </c>
      <c r="P4" s="37" t="s">
        <v>26</v>
      </c>
      <c r="Q4" s="37" t="s">
        <v>38</v>
      </c>
      <c r="R4" s="36" t="s">
        <v>4</v>
      </c>
      <c r="S4" s="36" t="s">
        <v>7</v>
      </c>
      <c r="T4" s="2"/>
      <c r="U4" s="36" t="s">
        <v>3</v>
      </c>
      <c r="V4" s="36" t="s">
        <v>24</v>
      </c>
      <c r="W4" s="36" t="s">
        <v>25</v>
      </c>
      <c r="X4" s="36" t="s">
        <v>26</v>
      </c>
      <c r="Y4" s="36" t="s">
        <v>38</v>
      </c>
      <c r="Z4" s="36" t="s">
        <v>5</v>
      </c>
      <c r="AA4" s="36" t="s">
        <v>22</v>
      </c>
      <c r="AB4" s="36" t="s">
        <v>0</v>
      </c>
      <c r="AC4" s="36" t="s">
        <v>39</v>
      </c>
      <c r="AD4" s="36" t="s">
        <v>40</v>
      </c>
      <c r="AE4" s="36" t="s">
        <v>41</v>
      </c>
      <c r="AF4" s="39" t="s">
        <v>24</v>
      </c>
      <c r="AG4" s="39" t="s">
        <v>25</v>
      </c>
      <c r="AH4" s="39" t="s">
        <v>26</v>
      </c>
      <c r="AI4" s="39" t="s">
        <v>38</v>
      </c>
      <c r="AJ4" s="36" t="s">
        <v>4</v>
      </c>
      <c r="AK4" s="36" t="s">
        <v>7</v>
      </c>
      <c r="AL4" s="36" t="s">
        <v>77</v>
      </c>
      <c r="AM4" s="36" t="s">
        <v>78</v>
      </c>
      <c r="AN4" s="2"/>
      <c r="AO4" s="251" t="s">
        <v>23</v>
      </c>
      <c r="AP4" s="252"/>
      <c r="AQ4" s="116" t="s">
        <v>24</v>
      </c>
      <c r="AR4" s="116" t="s">
        <v>25</v>
      </c>
      <c r="AS4" s="116" t="s">
        <v>26</v>
      </c>
      <c r="AT4" s="116" t="s">
        <v>23</v>
      </c>
      <c r="AU4" s="116" t="s">
        <v>24</v>
      </c>
      <c r="AV4" s="116" t="s">
        <v>23</v>
      </c>
      <c r="AW4" s="116" t="s">
        <v>24</v>
      </c>
      <c r="AX4" s="116" t="s">
        <v>23</v>
      </c>
      <c r="AY4" s="116" t="s">
        <v>24</v>
      </c>
      <c r="CH4" s="21"/>
      <c r="CK4" s="18"/>
      <c r="CL4" s="3" t="str">
        <f>C4</f>
        <v>Bit-rate</v>
      </c>
      <c r="CM4" s="3" t="str">
        <f>D4</f>
        <v>Y</v>
      </c>
      <c r="CN4" s="3" t="str">
        <f t="shared" ref="CN4:DC4" si="0">D4</f>
        <v>Y</v>
      </c>
      <c r="CO4" s="3" t="str">
        <f t="shared" si="0"/>
        <v>U</v>
      </c>
      <c r="CP4" s="3" t="str">
        <f t="shared" si="0"/>
        <v>V</v>
      </c>
      <c r="CQ4" s="3" t="str">
        <f t="shared" si="0"/>
        <v>YUV</v>
      </c>
      <c r="CR4" s="3" t="str">
        <f t="shared" si="0"/>
        <v>SSIM_Y</v>
      </c>
      <c r="CS4" s="3" t="str">
        <f t="shared" si="0"/>
        <v>MS-SSIM</v>
      </c>
      <c r="CT4" s="3" t="str">
        <f t="shared" si="0"/>
        <v>VMAF</v>
      </c>
      <c r="CU4" s="3" t="str">
        <f t="shared" si="0"/>
        <v>nVMAF</v>
      </c>
      <c r="CV4" s="3" t="str">
        <f t="shared" si="0"/>
        <v>PSNR-HVS</v>
      </c>
      <c r="CW4" s="3" t="str">
        <f t="shared" si="0"/>
        <v>DE-2K</v>
      </c>
      <c r="CX4" s="3" t="str">
        <f t="shared" si="0"/>
        <v>Y</v>
      </c>
      <c r="CY4" s="3" t="str">
        <f t="shared" si="0"/>
        <v>U</v>
      </c>
      <c r="CZ4" s="3" t="str">
        <f t="shared" si="0"/>
        <v>V</v>
      </c>
      <c r="DA4" s="3" t="str">
        <f t="shared" si="0"/>
        <v>YUV</v>
      </c>
      <c r="DB4" s="3" t="str">
        <f t="shared" si="0"/>
        <v>Enc-Time</v>
      </c>
      <c r="DC4" s="3" t="str">
        <f t="shared" si="0"/>
        <v>Dec-Time</v>
      </c>
      <c r="DD4" s="3"/>
      <c r="DE4" s="3" t="s">
        <v>3</v>
      </c>
      <c r="DF4" s="3" t="str">
        <f>Z4</f>
        <v>SSIM_Y</v>
      </c>
      <c r="DG4" s="3"/>
      <c r="DH4" s="3" t="s">
        <v>3</v>
      </c>
      <c r="DI4" s="3" t="str">
        <f>I4</f>
        <v>MS-SSIM</v>
      </c>
      <c r="DJ4" s="3"/>
      <c r="DK4" s="3" t="s">
        <v>3</v>
      </c>
      <c r="DL4" s="3" t="str">
        <f>J4</f>
        <v>VMAF</v>
      </c>
      <c r="DM4" s="3" t="s">
        <v>3</v>
      </c>
      <c r="DN4" s="3" t="str">
        <f>K4</f>
        <v>nVMAF</v>
      </c>
      <c r="DO4" s="3" t="s">
        <v>3</v>
      </c>
      <c r="DP4" s="3" t="str">
        <f>L4</f>
        <v>PSNR-HVS</v>
      </c>
      <c r="DQ4" s="3" t="s">
        <v>3</v>
      </c>
      <c r="DR4" s="3" t="str">
        <f>M4</f>
        <v>DE-2K</v>
      </c>
      <c r="DS4" s="3" t="s">
        <v>3</v>
      </c>
      <c r="DT4" s="3" t="str">
        <f>N4</f>
        <v>Y</v>
      </c>
      <c r="DU4" s="3" t="str">
        <f>N4</f>
        <v>Y</v>
      </c>
      <c r="DV4" s="3" t="str">
        <f>O4</f>
        <v>U</v>
      </c>
      <c r="DW4" s="3" t="str">
        <f>P4</f>
        <v>V</v>
      </c>
      <c r="DX4" s="3" t="str">
        <f>Q4</f>
        <v>YUV</v>
      </c>
      <c r="DY4" s="2"/>
      <c r="DZ4" s="3" t="s">
        <v>3</v>
      </c>
      <c r="EA4" s="3" t="s">
        <v>2</v>
      </c>
      <c r="EB4" s="3" t="str">
        <f t="shared" ref="EB4:EQ4" si="1">V4</f>
        <v>Y</v>
      </c>
      <c r="EC4" s="3" t="str">
        <f t="shared" si="1"/>
        <v>U</v>
      </c>
      <c r="ED4" s="3" t="str">
        <f t="shared" si="1"/>
        <v>V</v>
      </c>
      <c r="EE4" s="3" t="str">
        <f t="shared" si="1"/>
        <v>YUV</v>
      </c>
      <c r="EF4" s="3" t="str">
        <f t="shared" si="1"/>
        <v>SSIM_Y</v>
      </c>
      <c r="EG4" s="3" t="str">
        <f t="shared" si="1"/>
        <v>MS-SSIM</v>
      </c>
      <c r="EH4" s="3" t="str">
        <f t="shared" si="1"/>
        <v>VMAF</v>
      </c>
      <c r="EI4" s="3" t="str">
        <f t="shared" si="1"/>
        <v>nVMAF</v>
      </c>
      <c r="EJ4" s="3" t="str">
        <f t="shared" si="1"/>
        <v>PSNR-HVS</v>
      </c>
      <c r="EK4" s="3" t="str">
        <f t="shared" si="1"/>
        <v>DE-2K</v>
      </c>
      <c r="EL4" s="3" t="str">
        <f t="shared" si="1"/>
        <v>Y</v>
      </c>
      <c r="EM4" s="3" t="str">
        <f t="shared" si="1"/>
        <v>U</v>
      </c>
      <c r="EN4" s="3" t="str">
        <f t="shared" si="1"/>
        <v>V</v>
      </c>
      <c r="EO4" s="3" t="str">
        <f t="shared" si="1"/>
        <v>YUV</v>
      </c>
      <c r="EP4" s="3" t="str">
        <f t="shared" si="1"/>
        <v>Enc-Time</v>
      </c>
      <c r="EQ4" s="3" t="str">
        <f t="shared" si="1"/>
        <v>Dec-Time</v>
      </c>
      <c r="ER4" s="3" t="s">
        <v>3</v>
      </c>
      <c r="ES4" s="3" t="s">
        <v>1</v>
      </c>
      <c r="ET4" s="3" t="s">
        <v>3</v>
      </c>
      <c r="EU4" s="3" t="s">
        <v>1</v>
      </c>
      <c r="EV4" s="6" t="s">
        <v>3</v>
      </c>
      <c r="EW4" s="6" t="s">
        <v>0</v>
      </c>
      <c r="EX4" s="6" t="s">
        <v>3</v>
      </c>
      <c r="EY4" s="6" t="s">
        <v>39</v>
      </c>
      <c r="EZ4" s="6" t="s">
        <v>3</v>
      </c>
      <c r="FA4" s="6" t="s">
        <v>39</v>
      </c>
      <c r="FB4" s="6" t="s">
        <v>3</v>
      </c>
      <c r="FC4" s="6" t="s">
        <v>39</v>
      </c>
      <c r="FD4" s="3" t="s">
        <v>3</v>
      </c>
      <c r="FE4" s="3" t="s">
        <v>24</v>
      </c>
      <c r="FF4" s="3" t="s">
        <v>24</v>
      </c>
      <c r="FG4" s="3" t="s">
        <v>25</v>
      </c>
      <c r="FH4" s="3" t="s">
        <v>26</v>
      </c>
      <c r="FI4" s="15" t="s">
        <v>38</v>
      </c>
      <c r="FK4" s="16" t="s">
        <v>3</v>
      </c>
      <c r="FL4" s="3">
        <f>BH4</f>
        <v>0</v>
      </c>
      <c r="FM4" s="3" t="s">
        <v>3</v>
      </c>
      <c r="FN4" s="15">
        <f>BJ4</f>
        <v>0</v>
      </c>
      <c r="FP4" s="16" t="s">
        <v>3</v>
      </c>
      <c r="FQ4" s="3" t="s">
        <v>104</v>
      </c>
      <c r="FR4" s="16" t="s">
        <v>3</v>
      </c>
      <c r="FS4" s="3" t="s">
        <v>104</v>
      </c>
    </row>
    <row r="5" spans="1:175" ht="13" customHeight="1" x14ac:dyDescent="0.15">
      <c r="A5" s="249" t="s">
        <v>17</v>
      </c>
      <c r="B5" s="38">
        <v>110</v>
      </c>
      <c r="C5" s="129">
        <f>Anchor!L110</f>
        <v>0</v>
      </c>
      <c r="D5" s="129">
        <f>Anchor!M110</f>
        <v>0</v>
      </c>
      <c r="E5" s="129">
        <f>Anchor!N110</f>
        <v>0</v>
      </c>
      <c r="F5" s="129">
        <f>Anchor!O110</f>
        <v>0</v>
      </c>
      <c r="G5" s="130">
        <f>('Summary (Full)'!$B$34*D5+'Summary (Full)'!$B$35*E5+'Summary (Full)'!$B$36*F5)/'Summary (Full)'!$B$37</f>
        <v>0</v>
      </c>
      <c r="H5" s="129">
        <f>Anchor!P110</f>
        <v>0</v>
      </c>
      <c r="I5" s="129">
        <f>Anchor!Q110</f>
        <v>0</v>
      </c>
      <c r="J5" s="129">
        <f>Anchor!R110</f>
        <v>0</v>
      </c>
      <c r="K5" s="129">
        <f>Anchor!S110</f>
        <v>0</v>
      </c>
      <c r="L5" s="129">
        <f>Anchor!T110</f>
        <v>0</v>
      </c>
      <c r="M5" s="129">
        <f>Anchor!U110</f>
        <v>0</v>
      </c>
      <c r="N5" s="129">
        <f>Anchor!V110</f>
        <v>0</v>
      </c>
      <c r="O5" s="129">
        <f>Anchor!W110</f>
        <v>0</v>
      </c>
      <c r="P5" s="129">
        <f>Anchor!X110</f>
        <v>0</v>
      </c>
      <c r="Q5" s="131">
        <f>10*LOG10(1/(('Summary (Full)'!$B$41/10^(N5/10)+'Summary (Full)'!$B$42/10^(O5/10)+'Summary (Full)'!$B$43/10^(P5/10))/'Summary (Full)'!$B$44))</f>
        <v>0</v>
      </c>
      <c r="R5" s="129">
        <f>Anchor!Y110</f>
        <v>0</v>
      </c>
      <c r="S5" s="129">
        <f>Anchor!Z110</f>
        <v>0</v>
      </c>
      <c r="T5" s="132"/>
      <c r="U5" s="129">
        <f>Test!L110</f>
        <v>0</v>
      </c>
      <c r="V5" s="129">
        <f>Test!M110</f>
        <v>0</v>
      </c>
      <c r="W5" s="129">
        <f>Test!N110</f>
        <v>0</v>
      </c>
      <c r="X5" s="129">
        <f>Test!O110</f>
        <v>0</v>
      </c>
      <c r="Y5" s="129">
        <f>('Summary (Full)'!$B$34*V5+'Summary (Full)'!$B$35*W5+'Summary (Full)'!$B$36*X5)/'Summary (Full)'!$B$37</f>
        <v>0</v>
      </c>
      <c r="Z5" s="129">
        <f>Test!P110</f>
        <v>0</v>
      </c>
      <c r="AA5" s="129">
        <f>Test!Q110</f>
        <v>0</v>
      </c>
      <c r="AB5" s="129">
        <f>Test!R110</f>
        <v>0</v>
      </c>
      <c r="AC5" s="129">
        <f>Test!S110</f>
        <v>0</v>
      </c>
      <c r="AD5" s="129">
        <f>Test!T110</f>
        <v>0</v>
      </c>
      <c r="AE5" s="129">
        <f>Test!U110</f>
        <v>0</v>
      </c>
      <c r="AF5" s="129">
        <f>Test!V110</f>
        <v>0</v>
      </c>
      <c r="AG5" s="129">
        <f>Test!W110</f>
        <v>0</v>
      </c>
      <c r="AH5" s="129">
        <f>Test!X110</f>
        <v>0</v>
      </c>
      <c r="AI5" s="129">
        <f>10*LOG10(1/(('Summary (Full)'!$B$41/10^(AF5/10)+'Summary (Full)'!$B$42/10^(AG5/10)+'Summary (Full)'!$B$43/10^(AH5/10))/'Summary (Full)'!$B$44))</f>
        <v>0</v>
      </c>
      <c r="AJ5" s="129">
        <f>Test!Y110</f>
        <v>0</v>
      </c>
      <c r="AK5" s="129">
        <f>Test!Z110</f>
        <v>0</v>
      </c>
      <c r="AL5" s="129" t="e">
        <f>AJ5/R5</f>
        <v>#DIV/0!</v>
      </c>
      <c r="AM5" s="129" t="e">
        <f>AK5/S5</f>
        <v>#DIV/0!</v>
      </c>
      <c r="AO5" s="253" t="s">
        <v>27</v>
      </c>
      <c r="AP5" s="171" t="e" cm="1">
        <f t="array" ref="AP5">bdRateExtend($C5:$C8,D5:D8,$U5:$U8,V5:V8)</f>
        <v>#VALUE!</v>
      </c>
      <c r="AQ5" s="171" t="e" cm="1">
        <f t="array" ref="AQ5">bdRateExtend($C5:$C10,D5:D10,$U5:$U10,V5:V10)</f>
        <v>#VALUE!</v>
      </c>
      <c r="AR5" s="171" t="e" cm="1">
        <f t="array" ref="AR5">bdRateExtend($C5:$C10,E5:E10,$U5:$U10,W5:W10)</f>
        <v>#VALUE!</v>
      </c>
      <c r="AS5" s="171" t="e" cm="1">
        <f t="array" ref="AS5">bdRateExtend($C5:$C10,F5:F10,$U5:$U10,X5:X10)</f>
        <v>#VALUE!</v>
      </c>
      <c r="AT5" s="171" t="e" cm="1">
        <f t="array" ref="AT5">bdRateExtend($C5:$C8,H5:H8,$U5:$U8,Z5:Z8)</f>
        <v>#VALUE!</v>
      </c>
      <c r="AU5" s="171" t="e" cm="1">
        <f t="array" ref="AU5">bdRateExtend($C5:$C10,H5:H10,$U5:$U10,Z5:Z10)</f>
        <v>#VALUE!</v>
      </c>
      <c r="AV5" s="171" t="e" cm="1">
        <f t="array" ref="AV5">bdRateExtend($C5:$C8,I5:I8,$U5:$U8,AA5:AA8)</f>
        <v>#VALUE!</v>
      </c>
      <c r="AW5" s="171" t="e" cm="1">
        <f t="array" ref="AW5">bdRateExtend($C5:$C10,I5:I10,$U5:$U10,AA5:AA10)</f>
        <v>#VALUE!</v>
      </c>
      <c r="AX5" s="171" t="e" cm="1">
        <f t="array" ref="AX5">bdRateExtend($C5:$C8,J5:J8,$U5:$U8,AB5:AB8,"None", FALSE,1)</f>
        <v>#VALUE!</v>
      </c>
      <c r="AY5" s="174" t="e" cm="1">
        <f t="array" ref="AY5">bdRateExtend($C5:$C10,J5:J10,$U5:$U10,AB5:AB10,"None", FALSE,1)</f>
        <v>#VALUE!</v>
      </c>
      <c r="AZ5" s="285" cm="1">
        <f t="array" ref="AZ5">testVMAFRange($C5:$C8,J5:J8,$U5:$U8,AB5:AB8)</f>
        <v>0</v>
      </c>
      <c r="BA5" s="211" cm="1">
        <f t="array" ref="BA5">testVMAFRange($C5:$C10,J5:J10,$U5:$U10,AB5:AB10)</f>
        <v>0</v>
      </c>
      <c r="CH5" s="5"/>
      <c r="CI5" s="11" t="s">
        <v>31</v>
      </c>
      <c r="CJ5" s="10" t="e" cm="1">
        <f t="array" ref="CJ5">MIN(IF(CL1:CL201&gt;0,CL1:CL201))</f>
        <v>#VALUE!</v>
      </c>
      <c r="CK5" s="5"/>
      <c r="CL5" s="4" t="e" cm="1">
        <f t="array" ref="CL5">ConvexHullInterpolate(C5:C40,D5:D40,TRUE,6,'Summary (Full)'!B30,D5:S40)</f>
        <v>#VALUE!</v>
      </c>
      <c r="DE5" s="4" t="e" cm="1">
        <f t="array" ref="DE5">ConvexHullInterpolate(C5:C40,H5:H40,TRUE,6,'Summary (Full)'!B30)</f>
        <v>#VALUE!</v>
      </c>
      <c r="DH5" s="4" t="e" cm="1">
        <f t="array" ref="DH5">ConvexHullInterpolate($C5:$C40,I5:I40,TRUE,6,'Summary (Full)'!B30)</f>
        <v>#VALUE!</v>
      </c>
      <c r="DK5" s="4" t="e" cm="1">
        <f t="array" ref="DK5">ConvexHullInterpolate($C5:$C40,J5:J40,TRUE,6,'Summary (Full)'!B30)</f>
        <v>#VALUE!</v>
      </c>
      <c r="DM5" s="4" t="e" cm="1">
        <f t="array" ref="DM5">ConvexHullInterpolate($C5:$C40,K5:K40,TRUE,6,'Summary (Full)'!B30)</f>
        <v>#VALUE!</v>
      </c>
      <c r="DO5" s="4" t="e" cm="1">
        <f t="array" ref="DO5">ConvexHullInterpolate($C5:$C40,L5:L40,TRUE,6,'Summary (Full)'!B30)</f>
        <v>#VALUE!</v>
      </c>
      <c r="DQ5" s="4" t="e" cm="1">
        <f t="array" ref="DQ5">ConvexHullInterpolate($C5:$C40,M5:M40,TRUE,6,'Summary (Full)'!B30)</f>
        <v>#VALUE!</v>
      </c>
      <c r="DS5" s="4" t="e" cm="1">
        <f t="array" ref="DS5">ConvexHullInterpolate($C5:$C40,N5:N40,TRUE,6,'Summary (Full)'!B30, N5:Q40)</f>
        <v>#VALUE!</v>
      </c>
      <c r="DZ5" s="4" t="e" cm="1">
        <f t="array" ref="DZ5">ConvexHullInterpolate(U5:U40,V5:V40,TRUE,6,'Summary (Full)'!B30,V5:AK40)</f>
        <v>#VALUE!</v>
      </c>
      <c r="ER5" s="4" t="e" cm="1">
        <f t="array" ref="ER5">ConvexHullInterpolate($U5:$U40,Z5:Z40,TRUE,6,'Summary (Full)'!B30)</f>
        <v>#VALUE!</v>
      </c>
      <c r="ET5" s="4" t="e" cm="1">
        <f t="array" ref="ET5">ConvexHullInterpolate($U5:$U40,AA5:AA40,TRUE,6,'Summary (Full)'!B30)</f>
        <v>#VALUE!</v>
      </c>
      <c r="EV5" s="7" t="e" cm="1">
        <f t="array" ref="EV5">ConvexHullInterpolate($U5:$U40,AB5:AB40,TRUE,6,'Summary (Full)'!B30)</f>
        <v>#VALUE!</v>
      </c>
      <c r="EW5" s="7"/>
      <c r="EX5" s="7" t="e" cm="1">
        <f t="array" ref="EX5">ConvexHullInterpolate($U5:$U40,AC5:AC40,TRUE,6,'Summary (Full)'!B30)</f>
        <v>#VALUE!</v>
      </c>
      <c r="EY5" s="7"/>
      <c r="EZ5" s="7" t="e" cm="1">
        <f t="array" ref="EZ5">ConvexHullInterpolate($U5:$U40,AD5:AD40,TRUE,6,'Summary (Full)'!B30)</f>
        <v>#VALUE!</v>
      </c>
      <c r="FA5" s="7"/>
      <c r="FB5" s="7" t="e" cm="1">
        <f t="array" ref="FB5">ConvexHullInterpolate($U5:$U40,AE5:AE40,TRUE,6,'Summary (Full)'!B30)</f>
        <v>#VALUE!</v>
      </c>
      <c r="FC5" s="7"/>
      <c r="FD5" s="4" t="e" cm="1">
        <f t="array" ref="FD5">ConvexHullInterpolate($U5:$U40,AF5:AF40,TRUE,6,'Summary (Full)'!B30, AF5:AI40)</f>
        <v>#VALUE!</v>
      </c>
      <c r="FK5" s="4" t="e" cm="1">
        <f t="array" ref="FK5">ConvexHullInterpolate($C5:$C40,G5:G40,TRUE,6,'Summary (Full)'!B30)</f>
        <v>#VALUE!</v>
      </c>
      <c r="FM5" s="4" t="e" cm="1">
        <f t="array" ref="FM5">ConvexHullInterpolate($C5:$C40,Q5:Q40,TRUE,6,'Summary (Full)'!B30)</f>
        <v>#VALUE!</v>
      </c>
      <c r="FP5" s="4" t="e" cm="1">
        <f t="array" ref="FP5">ConvexHullInterpolate($U5:$U40,Y5:Y40,TRUE,6,'Summary (Full)'!B30)</f>
        <v>#VALUE!</v>
      </c>
      <c r="FR5" s="4" t="e" cm="1">
        <f t="array" ref="FR5">ConvexHullInterpolate($U5:$U40,AI5:AI40,TRUE,6,'Summary (Full)'!B30)</f>
        <v>#VALUE!</v>
      </c>
    </row>
    <row r="6" spans="1:175" x14ac:dyDescent="0.15">
      <c r="A6" s="249"/>
      <c r="B6" s="38">
        <v>135</v>
      </c>
      <c r="C6" s="129">
        <f>Anchor!L111</f>
        <v>0</v>
      </c>
      <c r="D6" s="129">
        <f>Anchor!M111</f>
        <v>0</v>
      </c>
      <c r="E6" s="129">
        <f>Anchor!N111</f>
        <v>0</v>
      </c>
      <c r="F6" s="129">
        <f>Anchor!O111</f>
        <v>0</v>
      </c>
      <c r="G6" s="130">
        <f>('Summary (Full)'!$B$34*D6+'Summary (Full)'!$B$35*E6+'Summary (Full)'!$B$36*F6)/'Summary (Full)'!$B$37</f>
        <v>0</v>
      </c>
      <c r="H6" s="129">
        <f>Anchor!P111</f>
        <v>0</v>
      </c>
      <c r="I6" s="129">
        <f>Anchor!Q111</f>
        <v>0</v>
      </c>
      <c r="J6" s="129">
        <f>Anchor!R111</f>
        <v>0</v>
      </c>
      <c r="K6" s="129">
        <f>Anchor!S111</f>
        <v>0</v>
      </c>
      <c r="L6" s="129">
        <f>Anchor!T111</f>
        <v>0</v>
      </c>
      <c r="M6" s="129">
        <f>Anchor!U111</f>
        <v>0</v>
      </c>
      <c r="N6" s="129">
        <f>Anchor!V111</f>
        <v>0</v>
      </c>
      <c r="O6" s="129">
        <f>Anchor!W111</f>
        <v>0</v>
      </c>
      <c r="P6" s="129">
        <f>Anchor!X111</f>
        <v>0</v>
      </c>
      <c r="Q6" s="131">
        <f>10*LOG10(1/(('Summary (Full)'!$B$41/10^(N6/10)+'Summary (Full)'!$B$42/10^(O6/10)+'Summary (Full)'!$B$43/10^(P6/10))/'Summary (Full)'!$B$44))</f>
        <v>0</v>
      </c>
      <c r="R6" s="129">
        <f>Anchor!Y111</f>
        <v>0</v>
      </c>
      <c r="S6" s="129">
        <f>Anchor!Z111</f>
        <v>0</v>
      </c>
      <c r="T6" s="132"/>
      <c r="U6" s="129">
        <f>Test!L111</f>
        <v>0</v>
      </c>
      <c r="V6" s="129">
        <f>Test!M111</f>
        <v>0</v>
      </c>
      <c r="W6" s="129">
        <f>Test!N111</f>
        <v>0</v>
      </c>
      <c r="X6" s="129">
        <f>Test!O111</f>
        <v>0</v>
      </c>
      <c r="Y6" s="129">
        <f>('Summary (Full)'!$B$34*V6+'Summary (Full)'!$B$35*W6+'Summary (Full)'!$B$36*X6)/'Summary (Full)'!$B$37</f>
        <v>0</v>
      </c>
      <c r="Z6" s="129">
        <f>Test!P111</f>
        <v>0</v>
      </c>
      <c r="AA6" s="129">
        <f>Test!Q111</f>
        <v>0</v>
      </c>
      <c r="AB6" s="129">
        <f>Test!R111</f>
        <v>0</v>
      </c>
      <c r="AC6" s="129">
        <f>Test!S111</f>
        <v>0</v>
      </c>
      <c r="AD6" s="129">
        <f>Test!T111</f>
        <v>0</v>
      </c>
      <c r="AE6" s="129">
        <f>Test!U111</f>
        <v>0</v>
      </c>
      <c r="AF6" s="129">
        <f>Test!V111</f>
        <v>0</v>
      </c>
      <c r="AG6" s="129">
        <f>Test!W111</f>
        <v>0</v>
      </c>
      <c r="AH6" s="129">
        <f>Test!X111</f>
        <v>0</v>
      </c>
      <c r="AI6" s="129">
        <f>10*LOG10(1/(('Summary (Full)'!$B$41/10^(AF6/10)+'Summary (Full)'!$B$42/10^(AG6/10)+'Summary (Full)'!$B$43/10^(AH6/10))/'Summary (Full)'!$B$44))</f>
        <v>0</v>
      </c>
      <c r="AJ6" s="129">
        <f>Test!Y111</f>
        <v>0</v>
      </c>
      <c r="AK6" s="129">
        <f>Test!Z111</f>
        <v>0</v>
      </c>
      <c r="AL6" s="129" t="e">
        <f t="shared" ref="AL6:AM40" si="2">AJ6/R6</f>
        <v>#DIV/0!</v>
      </c>
      <c r="AM6" s="129" t="e">
        <f t="shared" si="2"/>
        <v>#DIV/0!</v>
      </c>
      <c r="AO6" s="254"/>
      <c r="AP6" s="172"/>
      <c r="AQ6" s="172"/>
      <c r="AR6" s="172"/>
      <c r="AS6" s="172"/>
      <c r="AT6" s="172"/>
      <c r="AU6" s="172"/>
      <c r="AV6" s="172"/>
      <c r="AW6" s="172"/>
      <c r="AX6" s="172"/>
      <c r="AY6" s="175"/>
      <c r="AZ6" s="286"/>
      <c r="BA6" s="212"/>
      <c r="CH6" s="5"/>
      <c r="CI6" s="11" t="s">
        <v>32</v>
      </c>
      <c r="CJ6" s="10" t="e">
        <f>MAX(CL1:CL201)</f>
        <v>#VALUE!</v>
      </c>
      <c r="CK6" s="5"/>
      <c r="EV6" s="7"/>
      <c r="EW6" s="7"/>
      <c r="EX6" s="7"/>
      <c r="EY6" s="7"/>
      <c r="EZ6" s="7"/>
      <c r="FA6" s="7"/>
      <c r="FB6" s="7"/>
      <c r="FC6" s="7"/>
    </row>
    <row r="7" spans="1:175" ht="13" customHeight="1" x14ac:dyDescent="0.15">
      <c r="A7" s="249"/>
      <c r="B7" s="38">
        <v>160</v>
      </c>
      <c r="C7" s="129">
        <f>Anchor!L112</f>
        <v>0</v>
      </c>
      <c r="D7" s="129">
        <f>Anchor!M112</f>
        <v>0</v>
      </c>
      <c r="E7" s="129">
        <f>Anchor!N112</f>
        <v>0</v>
      </c>
      <c r="F7" s="129">
        <f>Anchor!O112</f>
        <v>0</v>
      </c>
      <c r="G7" s="130">
        <f>('Summary (Full)'!$B$34*D7+'Summary (Full)'!$B$35*E7+'Summary (Full)'!$B$36*F7)/'Summary (Full)'!$B$37</f>
        <v>0</v>
      </c>
      <c r="H7" s="129">
        <f>Anchor!P112</f>
        <v>0</v>
      </c>
      <c r="I7" s="129">
        <f>Anchor!Q112</f>
        <v>0</v>
      </c>
      <c r="J7" s="129">
        <f>Anchor!R112</f>
        <v>0</v>
      </c>
      <c r="K7" s="129">
        <f>Anchor!S112</f>
        <v>0</v>
      </c>
      <c r="L7" s="129">
        <f>Anchor!T112</f>
        <v>0</v>
      </c>
      <c r="M7" s="129">
        <f>Anchor!U112</f>
        <v>0</v>
      </c>
      <c r="N7" s="129">
        <f>Anchor!V112</f>
        <v>0</v>
      </c>
      <c r="O7" s="129">
        <f>Anchor!W112</f>
        <v>0</v>
      </c>
      <c r="P7" s="129">
        <f>Anchor!X112</f>
        <v>0</v>
      </c>
      <c r="Q7" s="131">
        <f>10*LOG10(1/(('Summary (Full)'!$B$41/10^(N7/10)+'Summary (Full)'!$B$42/10^(O7/10)+'Summary (Full)'!$B$43/10^(P7/10))/'Summary (Full)'!$B$44))</f>
        <v>0</v>
      </c>
      <c r="R7" s="129">
        <f>Anchor!Y112</f>
        <v>0</v>
      </c>
      <c r="S7" s="129">
        <f>Anchor!Z112</f>
        <v>0</v>
      </c>
      <c r="T7" s="132"/>
      <c r="U7" s="129">
        <f>Test!L112</f>
        <v>0</v>
      </c>
      <c r="V7" s="129">
        <f>Test!M112</f>
        <v>0</v>
      </c>
      <c r="W7" s="129">
        <f>Test!N112</f>
        <v>0</v>
      </c>
      <c r="X7" s="129">
        <f>Test!O112</f>
        <v>0</v>
      </c>
      <c r="Y7" s="129">
        <f>('Summary (Full)'!$B$34*V7+'Summary (Full)'!$B$35*W7+'Summary (Full)'!$B$36*X7)/'Summary (Full)'!$B$37</f>
        <v>0</v>
      </c>
      <c r="Z7" s="129">
        <f>Test!P112</f>
        <v>0</v>
      </c>
      <c r="AA7" s="129">
        <f>Test!Q112</f>
        <v>0</v>
      </c>
      <c r="AB7" s="129">
        <f>Test!R112</f>
        <v>0</v>
      </c>
      <c r="AC7" s="129">
        <f>Test!S112</f>
        <v>0</v>
      </c>
      <c r="AD7" s="129">
        <f>Test!T112</f>
        <v>0</v>
      </c>
      <c r="AE7" s="129">
        <f>Test!U112</f>
        <v>0</v>
      </c>
      <c r="AF7" s="129">
        <f>Test!V112</f>
        <v>0</v>
      </c>
      <c r="AG7" s="129">
        <f>Test!W112</f>
        <v>0</v>
      </c>
      <c r="AH7" s="129">
        <f>Test!X112</f>
        <v>0</v>
      </c>
      <c r="AI7" s="129">
        <f>10*LOG10(1/(('Summary (Full)'!$B$41/10^(AF7/10)+'Summary (Full)'!$B$42/10^(AG7/10)+'Summary (Full)'!$B$43/10^(AH7/10))/'Summary (Full)'!$B$44))</f>
        <v>0</v>
      </c>
      <c r="AJ7" s="129">
        <f>Test!Y112</f>
        <v>0</v>
      </c>
      <c r="AK7" s="129">
        <f>Test!Z112</f>
        <v>0</v>
      </c>
      <c r="AL7" s="129" t="e">
        <f t="shared" si="2"/>
        <v>#DIV/0!</v>
      </c>
      <c r="AM7" s="129" t="e">
        <f t="shared" si="2"/>
        <v>#DIV/0!</v>
      </c>
      <c r="AO7" s="254" t="s">
        <v>28</v>
      </c>
      <c r="AP7" s="172" t="e" cm="1">
        <f t="array" ref="AP7">bdRateExtend($C6:$C9,D6:D9,$U6:$U9,V6:V9)</f>
        <v>#VALUE!</v>
      </c>
      <c r="AQ7" s="172"/>
      <c r="AR7" s="172"/>
      <c r="AS7" s="172"/>
      <c r="AT7" s="172" t="e" cm="1">
        <f t="array" ref="AT7">bdRateExtend($C6:$C9,H6:H9,$U6:$U9,Z6:Z9)</f>
        <v>#VALUE!</v>
      </c>
      <c r="AU7" s="172"/>
      <c r="AV7" s="172" t="e" cm="1">
        <f t="array" ref="AV7">bdRateExtend($C6:$C9,I6:I9,$U6:$U9,AA6:AA9)</f>
        <v>#VALUE!</v>
      </c>
      <c r="AW7" s="172"/>
      <c r="AX7" s="172" t="e" cm="1">
        <f t="array" ref="AX7">bdRateExtend($C6:$C9,J6:J9,$U6:$U9,AB6:AB9,"None", FALSE,1)</f>
        <v>#VALUE!</v>
      </c>
      <c r="AY7" s="175"/>
      <c r="AZ7" s="286" cm="1">
        <f t="array" ref="AZ7">testVMAFRange($C6:$C9,J6:J9,$U6:$U9,AB6:AB9)</f>
        <v>0</v>
      </c>
      <c r="BA7" s="212"/>
      <c r="CH7" s="5"/>
      <c r="CI7" s="11" t="s">
        <v>33</v>
      </c>
      <c r="CJ7" s="10" t="e">
        <f>CJ6-CJ5</f>
        <v>#VALUE!</v>
      </c>
      <c r="CK7" s="5"/>
      <c r="EV7" s="7"/>
      <c r="EW7" s="7"/>
      <c r="EX7" s="7"/>
      <c r="EY7" s="7"/>
      <c r="EZ7" s="7"/>
      <c r="FA7" s="7"/>
      <c r="FB7" s="7"/>
      <c r="FC7" s="7"/>
    </row>
    <row r="8" spans="1:175" x14ac:dyDescent="0.15">
      <c r="A8" s="249"/>
      <c r="B8" s="38">
        <v>185</v>
      </c>
      <c r="C8" s="129">
        <f>Anchor!L113</f>
        <v>0</v>
      </c>
      <c r="D8" s="129">
        <f>Anchor!M113</f>
        <v>0</v>
      </c>
      <c r="E8" s="129">
        <f>Anchor!N113</f>
        <v>0</v>
      </c>
      <c r="F8" s="129">
        <f>Anchor!O113</f>
        <v>0</v>
      </c>
      <c r="G8" s="130">
        <f>('Summary (Full)'!$B$34*D8+'Summary (Full)'!$B$35*E8+'Summary (Full)'!$B$36*F8)/'Summary (Full)'!$B$37</f>
        <v>0</v>
      </c>
      <c r="H8" s="129">
        <f>Anchor!P113</f>
        <v>0</v>
      </c>
      <c r="I8" s="129">
        <f>Anchor!Q113</f>
        <v>0</v>
      </c>
      <c r="J8" s="129">
        <f>Anchor!R113</f>
        <v>0</v>
      </c>
      <c r="K8" s="129">
        <f>Anchor!S113</f>
        <v>0</v>
      </c>
      <c r="L8" s="129">
        <f>Anchor!T113</f>
        <v>0</v>
      </c>
      <c r="M8" s="129">
        <f>Anchor!U113</f>
        <v>0</v>
      </c>
      <c r="N8" s="129">
        <f>Anchor!V113</f>
        <v>0</v>
      </c>
      <c r="O8" s="129">
        <f>Anchor!W113</f>
        <v>0</v>
      </c>
      <c r="P8" s="129">
        <f>Anchor!X113</f>
        <v>0</v>
      </c>
      <c r="Q8" s="131">
        <f>10*LOG10(1/(('Summary (Full)'!$B$41/10^(N8/10)+'Summary (Full)'!$B$42/10^(O8/10)+'Summary (Full)'!$B$43/10^(P8/10))/'Summary (Full)'!$B$44))</f>
        <v>0</v>
      </c>
      <c r="R8" s="129">
        <f>Anchor!Y113</f>
        <v>0</v>
      </c>
      <c r="S8" s="129">
        <f>Anchor!Z113</f>
        <v>0</v>
      </c>
      <c r="T8" s="132"/>
      <c r="U8" s="129">
        <f>Test!L113</f>
        <v>0</v>
      </c>
      <c r="V8" s="129">
        <f>Test!M113</f>
        <v>0</v>
      </c>
      <c r="W8" s="129">
        <f>Test!N113</f>
        <v>0</v>
      </c>
      <c r="X8" s="129">
        <f>Test!O113</f>
        <v>0</v>
      </c>
      <c r="Y8" s="129">
        <f>('Summary (Full)'!$B$34*V8+'Summary (Full)'!$B$35*W8+'Summary (Full)'!$B$36*X8)/'Summary (Full)'!$B$37</f>
        <v>0</v>
      </c>
      <c r="Z8" s="129">
        <f>Test!P113</f>
        <v>0</v>
      </c>
      <c r="AA8" s="129">
        <f>Test!Q113</f>
        <v>0</v>
      </c>
      <c r="AB8" s="129">
        <f>Test!R113</f>
        <v>0</v>
      </c>
      <c r="AC8" s="129">
        <f>Test!S113</f>
        <v>0</v>
      </c>
      <c r="AD8" s="129">
        <f>Test!T113</f>
        <v>0</v>
      </c>
      <c r="AE8" s="129">
        <f>Test!U113</f>
        <v>0</v>
      </c>
      <c r="AF8" s="129">
        <f>Test!V113</f>
        <v>0</v>
      </c>
      <c r="AG8" s="129">
        <f>Test!W113</f>
        <v>0</v>
      </c>
      <c r="AH8" s="129">
        <f>Test!X113</f>
        <v>0</v>
      </c>
      <c r="AI8" s="129">
        <f>10*LOG10(1/(('Summary (Full)'!$B$41/10^(AF8/10)+'Summary (Full)'!$B$42/10^(AG8/10)+'Summary (Full)'!$B$43/10^(AH8/10))/'Summary (Full)'!$B$44))</f>
        <v>0</v>
      </c>
      <c r="AJ8" s="129">
        <f>Test!Y113</f>
        <v>0</v>
      </c>
      <c r="AK8" s="129">
        <f>Test!Z113</f>
        <v>0</v>
      </c>
      <c r="AL8" s="129" t="e">
        <f t="shared" si="2"/>
        <v>#DIV/0!</v>
      </c>
      <c r="AM8" s="129" t="e">
        <f t="shared" si="2"/>
        <v>#DIV/0!</v>
      </c>
      <c r="AO8" s="254"/>
      <c r="AP8" s="172"/>
      <c r="AQ8" s="172"/>
      <c r="AR8" s="172"/>
      <c r="AS8" s="172"/>
      <c r="AT8" s="172"/>
      <c r="AU8" s="172"/>
      <c r="AV8" s="172"/>
      <c r="AW8" s="172"/>
      <c r="AX8" s="172"/>
      <c r="AY8" s="175"/>
      <c r="AZ8" s="286"/>
      <c r="BA8" s="212"/>
      <c r="CH8" s="5"/>
      <c r="CI8" s="11" t="s">
        <v>34</v>
      </c>
      <c r="CJ8" s="10" t="e">
        <f>CJ7^(3/4)</f>
        <v>#VALUE!</v>
      </c>
      <c r="CK8" s="5"/>
      <c r="EV8" s="7"/>
      <c r="EW8" s="7"/>
      <c r="EX8" s="7"/>
      <c r="EY8" s="7"/>
      <c r="EZ8" s="7"/>
      <c r="FA8" s="7"/>
      <c r="FB8" s="7"/>
      <c r="FC8" s="7"/>
    </row>
    <row r="9" spans="1:175" ht="13" customHeight="1" x14ac:dyDescent="0.15">
      <c r="A9" s="249"/>
      <c r="B9" s="38">
        <v>210</v>
      </c>
      <c r="C9" s="129">
        <f>Anchor!L114</f>
        <v>0</v>
      </c>
      <c r="D9" s="129">
        <f>Anchor!M114</f>
        <v>0</v>
      </c>
      <c r="E9" s="129">
        <f>Anchor!N114</f>
        <v>0</v>
      </c>
      <c r="F9" s="129">
        <f>Anchor!O114</f>
        <v>0</v>
      </c>
      <c r="G9" s="130">
        <f>('Summary (Full)'!$B$34*D9+'Summary (Full)'!$B$35*E9+'Summary (Full)'!$B$36*F9)/'Summary (Full)'!$B$37</f>
        <v>0</v>
      </c>
      <c r="H9" s="129">
        <f>Anchor!P114</f>
        <v>0</v>
      </c>
      <c r="I9" s="129">
        <f>Anchor!Q114</f>
        <v>0</v>
      </c>
      <c r="J9" s="129">
        <f>Anchor!R114</f>
        <v>0</v>
      </c>
      <c r="K9" s="129">
        <f>Anchor!S114</f>
        <v>0</v>
      </c>
      <c r="L9" s="129">
        <f>Anchor!T114</f>
        <v>0</v>
      </c>
      <c r="M9" s="129">
        <f>Anchor!U114</f>
        <v>0</v>
      </c>
      <c r="N9" s="129">
        <f>Anchor!V114</f>
        <v>0</v>
      </c>
      <c r="O9" s="129">
        <f>Anchor!W114</f>
        <v>0</v>
      </c>
      <c r="P9" s="129">
        <f>Anchor!X114</f>
        <v>0</v>
      </c>
      <c r="Q9" s="131">
        <f>10*LOG10(1/(('Summary (Full)'!$B$41/10^(N9/10)+'Summary (Full)'!$B$42/10^(O9/10)+'Summary (Full)'!$B$43/10^(P9/10))/'Summary (Full)'!$B$44))</f>
        <v>0</v>
      </c>
      <c r="R9" s="129">
        <f>Anchor!Y114</f>
        <v>0</v>
      </c>
      <c r="S9" s="129">
        <f>Anchor!Z114</f>
        <v>0</v>
      </c>
      <c r="T9" s="132"/>
      <c r="U9" s="129">
        <f>Test!L114</f>
        <v>0</v>
      </c>
      <c r="V9" s="129">
        <f>Test!M114</f>
        <v>0</v>
      </c>
      <c r="W9" s="129">
        <f>Test!N114</f>
        <v>0</v>
      </c>
      <c r="X9" s="129">
        <f>Test!O114</f>
        <v>0</v>
      </c>
      <c r="Y9" s="129">
        <f>('Summary (Full)'!$B$34*V9+'Summary (Full)'!$B$35*W9+'Summary (Full)'!$B$36*X9)/'Summary (Full)'!$B$37</f>
        <v>0</v>
      </c>
      <c r="Z9" s="129">
        <f>Test!P114</f>
        <v>0</v>
      </c>
      <c r="AA9" s="129">
        <f>Test!Q114</f>
        <v>0</v>
      </c>
      <c r="AB9" s="129">
        <f>Test!R114</f>
        <v>0</v>
      </c>
      <c r="AC9" s="129">
        <f>Test!S114</f>
        <v>0</v>
      </c>
      <c r="AD9" s="129">
        <f>Test!T114</f>
        <v>0</v>
      </c>
      <c r="AE9" s="129">
        <f>Test!U114</f>
        <v>0</v>
      </c>
      <c r="AF9" s="129">
        <f>Test!V114</f>
        <v>0</v>
      </c>
      <c r="AG9" s="129">
        <f>Test!W114</f>
        <v>0</v>
      </c>
      <c r="AH9" s="129">
        <f>Test!X114</f>
        <v>0</v>
      </c>
      <c r="AI9" s="129">
        <f>10*LOG10(1/(('Summary (Full)'!$B$41/10^(AF9/10)+'Summary (Full)'!$B$42/10^(AG9/10)+'Summary (Full)'!$B$43/10^(AH9/10))/'Summary (Full)'!$B$44))</f>
        <v>0</v>
      </c>
      <c r="AJ9" s="129">
        <f>Test!Y114</f>
        <v>0</v>
      </c>
      <c r="AK9" s="129">
        <f>Test!Z114</f>
        <v>0</v>
      </c>
      <c r="AL9" s="129" t="e">
        <f t="shared" si="2"/>
        <v>#DIV/0!</v>
      </c>
      <c r="AM9" s="129" t="e">
        <f t="shared" si="2"/>
        <v>#DIV/0!</v>
      </c>
      <c r="AO9" s="254" t="s">
        <v>29</v>
      </c>
      <c r="AP9" s="172" t="e" cm="1">
        <f t="array" ref="AP9">bdRateExtend($C7:$C10,D7:D10,$U7:$U10,V7:V10)</f>
        <v>#VALUE!</v>
      </c>
      <c r="AQ9" s="172"/>
      <c r="AR9" s="172"/>
      <c r="AS9" s="172"/>
      <c r="AT9" s="172" t="e" cm="1">
        <f t="array" ref="AT9">bdRateExtend($C7:$C10,H7:H10,$U7:$U10,Z7:Z10)</f>
        <v>#VALUE!</v>
      </c>
      <c r="AU9" s="172"/>
      <c r="AV9" s="172" t="e" cm="1">
        <f t="array" ref="AV9">bdRateExtend($C7:$C10,I7:I10,$U7:$U10,AA7:AA10)</f>
        <v>#VALUE!</v>
      </c>
      <c r="AW9" s="172"/>
      <c r="AX9" s="172" t="e" cm="1">
        <f t="array" ref="AX9">bdRateExtend($C7:$C10,J7:J10,$U7:$U10,AB7:AB10,"None", FALSE,1)</f>
        <v>#VALUE!</v>
      </c>
      <c r="AY9" s="175"/>
      <c r="AZ9" s="286" cm="1">
        <f t="array" ref="AZ9">testVMAFRange($C7:$C10,J7:J10,$U7:$U10,AB7:AB10)</f>
        <v>0</v>
      </c>
      <c r="BA9" s="212"/>
      <c r="CH9" s="5"/>
      <c r="CI9" s="11" t="s">
        <v>35</v>
      </c>
      <c r="CJ9" s="10" t="e">
        <f>CJ7^(1/2)</f>
        <v>#VALUE!</v>
      </c>
      <c r="CK9" s="5"/>
      <c r="EV9" s="7"/>
      <c r="EW9" s="7"/>
      <c r="EX9" s="7"/>
      <c r="EY9" s="7"/>
      <c r="EZ9" s="7"/>
      <c r="FA9" s="7"/>
      <c r="FB9" s="7"/>
      <c r="FC9" s="7"/>
    </row>
    <row r="10" spans="1:175" ht="14" thickBot="1" x14ac:dyDescent="0.2">
      <c r="A10" s="249"/>
      <c r="B10" s="38">
        <v>235</v>
      </c>
      <c r="C10" s="129">
        <f>Anchor!L115</f>
        <v>0</v>
      </c>
      <c r="D10" s="129">
        <f>Anchor!M115</f>
        <v>0</v>
      </c>
      <c r="E10" s="129">
        <f>Anchor!N115</f>
        <v>0</v>
      </c>
      <c r="F10" s="129">
        <f>Anchor!O115</f>
        <v>0</v>
      </c>
      <c r="G10" s="130">
        <f>('Summary (Full)'!$B$34*D10+'Summary (Full)'!$B$35*E10+'Summary (Full)'!$B$36*F10)/'Summary (Full)'!$B$37</f>
        <v>0</v>
      </c>
      <c r="H10" s="129">
        <f>Anchor!P115</f>
        <v>0</v>
      </c>
      <c r="I10" s="129">
        <f>Anchor!Q115</f>
        <v>0</v>
      </c>
      <c r="J10" s="129">
        <f>Anchor!R115</f>
        <v>0</v>
      </c>
      <c r="K10" s="129">
        <f>Anchor!S115</f>
        <v>0</v>
      </c>
      <c r="L10" s="129">
        <f>Anchor!T115</f>
        <v>0</v>
      </c>
      <c r="M10" s="129">
        <f>Anchor!U115</f>
        <v>0</v>
      </c>
      <c r="N10" s="129">
        <f>Anchor!V115</f>
        <v>0</v>
      </c>
      <c r="O10" s="129">
        <f>Anchor!W115</f>
        <v>0</v>
      </c>
      <c r="P10" s="129">
        <f>Anchor!X115</f>
        <v>0</v>
      </c>
      <c r="Q10" s="131">
        <f>10*LOG10(1/(('Summary (Full)'!$B$41/10^(N10/10)+'Summary (Full)'!$B$42/10^(O10/10)+'Summary (Full)'!$B$43/10^(P10/10))/'Summary (Full)'!$B$44))</f>
        <v>0</v>
      </c>
      <c r="R10" s="129">
        <f>Anchor!Y115</f>
        <v>0</v>
      </c>
      <c r="S10" s="129">
        <f>Anchor!Z115</f>
        <v>0</v>
      </c>
      <c r="T10" s="132"/>
      <c r="U10" s="129">
        <f>Test!L115</f>
        <v>0</v>
      </c>
      <c r="V10" s="129">
        <f>Test!M115</f>
        <v>0</v>
      </c>
      <c r="W10" s="129">
        <f>Test!N115</f>
        <v>0</v>
      </c>
      <c r="X10" s="129">
        <f>Test!O115</f>
        <v>0</v>
      </c>
      <c r="Y10" s="129">
        <f>('Summary (Full)'!$B$34*V10+'Summary (Full)'!$B$35*W10+'Summary (Full)'!$B$36*X10)/'Summary (Full)'!$B$37</f>
        <v>0</v>
      </c>
      <c r="Z10" s="129">
        <f>Test!P115</f>
        <v>0</v>
      </c>
      <c r="AA10" s="129">
        <f>Test!Q115</f>
        <v>0</v>
      </c>
      <c r="AB10" s="129">
        <f>Test!R115</f>
        <v>0</v>
      </c>
      <c r="AC10" s="129">
        <f>Test!S115</f>
        <v>0</v>
      </c>
      <c r="AD10" s="129">
        <f>Test!T115</f>
        <v>0</v>
      </c>
      <c r="AE10" s="129">
        <f>Test!U115</f>
        <v>0</v>
      </c>
      <c r="AF10" s="129">
        <f>Test!V115</f>
        <v>0</v>
      </c>
      <c r="AG10" s="129">
        <f>Test!W115</f>
        <v>0</v>
      </c>
      <c r="AH10" s="129">
        <f>Test!X115</f>
        <v>0</v>
      </c>
      <c r="AI10" s="129">
        <f>10*LOG10(1/(('Summary (Full)'!$B$41/10^(AF10/10)+'Summary (Full)'!$B$42/10^(AG10/10)+'Summary (Full)'!$B$43/10^(AH10/10))/'Summary (Full)'!$B$44))</f>
        <v>0</v>
      </c>
      <c r="AJ10" s="129">
        <f>Test!Y115</f>
        <v>0</v>
      </c>
      <c r="AK10" s="129">
        <f>Test!Z115</f>
        <v>0</v>
      </c>
      <c r="AL10" s="129" t="e">
        <f t="shared" si="2"/>
        <v>#DIV/0!</v>
      </c>
      <c r="AM10" s="129" t="e">
        <f t="shared" si="2"/>
        <v>#DIV/0!</v>
      </c>
      <c r="AO10" s="263"/>
      <c r="AP10" s="173"/>
      <c r="AQ10" s="173"/>
      <c r="AR10" s="173"/>
      <c r="AS10" s="173"/>
      <c r="AT10" s="173"/>
      <c r="AU10" s="173"/>
      <c r="AV10" s="173"/>
      <c r="AW10" s="173"/>
      <c r="AX10" s="173"/>
      <c r="AY10" s="188"/>
      <c r="AZ10" s="287"/>
      <c r="BA10" s="240"/>
      <c r="CH10" s="5"/>
      <c r="CI10" s="11" t="s">
        <v>36</v>
      </c>
      <c r="CJ10" s="10" t="e">
        <f>CJ5+CJ9</f>
        <v>#VALUE!</v>
      </c>
      <c r="CK10" s="5"/>
      <c r="EV10" s="7"/>
      <c r="EW10" s="7"/>
      <c r="EX10" s="7"/>
      <c r="EY10" s="7"/>
      <c r="EZ10" s="7"/>
      <c r="FA10" s="7"/>
      <c r="FB10" s="7"/>
      <c r="FC10" s="7"/>
    </row>
    <row r="11" spans="1:175" ht="13" customHeight="1" x14ac:dyDescent="0.15">
      <c r="A11" s="249" t="s">
        <v>18</v>
      </c>
      <c r="B11" s="38">
        <v>110</v>
      </c>
      <c r="C11" s="129">
        <f>Anchor!L116</f>
        <v>0</v>
      </c>
      <c r="D11" s="129">
        <f>Anchor!M116</f>
        <v>0</v>
      </c>
      <c r="E11" s="129">
        <f>Anchor!N116</f>
        <v>0</v>
      </c>
      <c r="F11" s="129">
        <f>Anchor!O116</f>
        <v>0</v>
      </c>
      <c r="G11" s="130">
        <f>('Summary (Full)'!$B$34*D11+'Summary (Full)'!$B$35*E11+'Summary (Full)'!$B$36*F11)/'Summary (Full)'!$B$37</f>
        <v>0</v>
      </c>
      <c r="H11" s="129">
        <f>Anchor!P116</f>
        <v>0</v>
      </c>
      <c r="I11" s="129">
        <f>Anchor!Q116</f>
        <v>0</v>
      </c>
      <c r="J11" s="129">
        <f>Anchor!R116</f>
        <v>0</v>
      </c>
      <c r="K11" s="129">
        <f>Anchor!S116</f>
        <v>0</v>
      </c>
      <c r="L11" s="129">
        <f>Anchor!T116</f>
        <v>0</v>
      </c>
      <c r="M11" s="129">
        <f>Anchor!U116</f>
        <v>0</v>
      </c>
      <c r="N11" s="129">
        <f>Anchor!V116</f>
        <v>0</v>
      </c>
      <c r="O11" s="129">
        <f>Anchor!W116</f>
        <v>0</v>
      </c>
      <c r="P11" s="129">
        <f>Anchor!X116</f>
        <v>0</v>
      </c>
      <c r="Q11" s="131">
        <f>10*LOG10(1/(('Summary (Full)'!$B$41/10^(N11/10)+'Summary (Full)'!$B$42/10^(O11/10)+'Summary (Full)'!$B$43/10^(P11/10))/'Summary (Full)'!$B$44))</f>
        <v>0</v>
      </c>
      <c r="R11" s="129">
        <f>Anchor!Y116</f>
        <v>0</v>
      </c>
      <c r="S11" s="129">
        <f>Anchor!Z116</f>
        <v>0</v>
      </c>
      <c r="T11" s="132"/>
      <c r="U11" s="129">
        <f>Test!L116</f>
        <v>0</v>
      </c>
      <c r="V11" s="129">
        <f>Test!M116</f>
        <v>0</v>
      </c>
      <c r="W11" s="129">
        <f>Test!N116</f>
        <v>0</v>
      </c>
      <c r="X11" s="129">
        <f>Test!O116</f>
        <v>0</v>
      </c>
      <c r="Y11" s="129">
        <f>('Summary (Full)'!$B$34*V11+'Summary (Full)'!$B$35*W11+'Summary (Full)'!$B$36*X11)/'Summary (Full)'!$B$37</f>
        <v>0</v>
      </c>
      <c r="Z11" s="129">
        <f>Test!P116</f>
        <v>0</v>
      </c>
      <c r="AA11" s="129">
        <f>Test!Q116</f>
        <v>0</v>
      </c>
      <c r="AB11" s="129">
        <f>Test!R116</f>
        <v>0</v>
      </c>
      <c r="AC11" s="129">
        <f>Test!S116</f>
        <v>0</v>
      </c>
      <c r="AD11" s="129">
        <f>Test!T116</f>
        <v>0</v>
      </c>
      <c r="AE11" s="129">
        <f>Test!U116</f>
        <v>0</v>
      </c>
      <c r="AF11" s="129">
        <f>Test!V116</f>
        <v>0</v>
      </c>
      <c r="AG11" s="129">
        <f>Test!W116</f>
        <v>0</v>
      </c>
      <c r="AH11" s="129">
        <f>Test!X116</f>
        <v>0</v>
      </c>
      <c r="AI11" s="129">
        <f>10*LOG10(1/(('Summary (Full)'!$B$41/10^(AF11/10)+'Summary (Full)'!$B$42/10^(AG11/10)+'Summary (Full)'!$B$43/10^(AH11/10))/'Summary (Full)'!$B$44))</f>
        <v>0</v>
      </c>
      <c r="AJ11" s="129">
        <f>Test!Y116</f>
        <v>0</v>
      </c>
      <c r="AK11" s="129">
        <f>Test!Z116</f>
        <v>0</v>
      </c>
      <c r="AL11" s="129" t="e">
        <f t="shared" si="2"/>
        <v>#DIV/0!</v>
      </c>
      <c r="AM11" s="129" t="e">
        <f t="shared" si="2"/>
        <v>#DIV/0!</v>
      </c>
      <c r="AO11" s="253" t="s">
        <v>27</v>
      </c>
      <c r="AP11" s="171" t="e" cm="1">
        <f t="array" ref="AP11">bdRateExtend($C11:$C14,D11:D14,$U11:$U14,V11:V14)</f>
        <v>#VALUE!</v>
      </c>
      <c r="AQ11" s="171" t="e" cm="1">
        <f t="array" ref="AQ11">bdRateExtend($C11:$C16,D11:D16,$U11:$U16,V11:V16)</f>
        <v>#VALUE!</v>
      </c>
      <c r="AR11" s="171" t="e" cm="1">
        <f t="array" ref="AR11">bdRateExtend($C11:$C16,E11:E16,$U11:$U16,W11:W16)</f>
        <v>#VALUE!</v>
      </c>
      <c r="AS11" s="171" t="e" cm="1">
        <f t="array" ref="AS11">bdRateExtend($C11:$C16,F11:F16,$U11:$U16,X11:X16)</f>
        <v>#VALUE!</v>
      </c>
      <c r="AT11" s="171" t="e" cm="1">
        <f t="array" ref="AT11">bdRateExtend($C11:$C14,H11:H14,$U11:$U14,Z11:Z14)</f>
        <v>#VALUE!</v>
      </c>
      <c r="AU11" s="171" t="e" cm="1">
        <f t="array" ref="AU11">bdRateExtend($C11:$C16,H11:H16,$U11:$U16,Z11:Z16)</f>
        <v>#VALUE!</v>
      </c>
      <c r="AV11" s="171" t="e" cm="1">
        <f t="array" ref="AV11">bdRateExtend($C11:$C14,I11:I14,$U11:$U14,AA11:AA14)</f>
        <v>#VALUE!</v>
      </c>
      <c r="AW11" s="171" t="e" cm="1">
        <f t="array" ref="AW11">bdRateExtend($C11:$C16,I11:I16,$U11:$U16,AA11:AA16)</f>
        <v>#VALUE!</v>
      </c>
      <c r="AX11" s="171" t="e" cm="1">
        <f t="array" ref="AX11">bdRateExtend($C11:$C14,J11:J14,$U11:$U14,AB11:AB14,"None", FALSE,1)</f>
        <v>#VALUE!</v>
      </c>
      <c r="AY11" s="174" t="e" cm="1">
        <f t="array" ref="AY11">bdRateExtend($C11:$C16,J11:J16,$U11:$U16,AB11:AB16,"None", FALSE,TRUE)</f>
        <v>#VALUE!</v>
      </c>
      <c r="AZ11" s="285" cm="1">
        <f t="array" ref="AZ11">testVMAFRange($C11:$C14,J11:J14,$U11:$U14,AB11:AB14)</f>
        <v>0</v>
      </c>
      <c r="BA11" s="211" cm="1">
        <f t="array" ref="BA11">testVMAFRange($C11:$C16,J11:J16,$U11:$U16,AB11:AB16)</f>
        <v>0</v>
      </c>
      <c r="CI11" s="11" t="s">
        <v>37</v>
      </c>
      <c r="CJ11" s="10" t="e">
        <f>CJ5+CJ8</f>
        <v>#VALUE!</v>
      </c>
      <c r="EV11" s="7"/>
      <c r="EW11" s="7"/>
      <c r="EX11" s="7"/>
      <c r="EY11" s="7"/>
      <c r="EZ11" s="7"/>
      <c r="FA11" s="7"/>
      <c r="FB11" s="7"/>
      <c r="FC11" s="7"/>
    </row>
    <row r="12" spans="1:175" x14ac:dyDescent="0.15">
      <c r="A12" s="249"/>
      <c r="B12" s="38">
        <v>135</v>
      </c>
      <c r="C12" s="129">
        <f>Anchor!L117</f>
        <v>0</v>
      </c>
      <c r="D12" s="129">
        <f>Anchor!M117</f>
        <v>0</v>
      </c>
      <c r="E12" s="129">
        <f>Anchor!N117</f>
        <v>0</v>
      </c>
      <c r="F12" s="129">
        <f>Anchor!O117</f>
        <v>0</v>
      </c>
      <c r="G12" s="130">
        <f>('Summary (Full)'!$B$34*D12+'Summary (Full)'!$B$35*E12+'Summary (Full)'!$B$36*F12)/'Summary (Full)'!$B$37</f>
        <v>0</v>
      </c>
      <c r="H12" s="129">
        <f>Anchor!P117</f>
        <v>0</v>
      </c>
      <c r="I12" s="129">
        <f>Anchor!Q117</f>
        <v>0</v>
      </c>
      <c r="J12" s="129">
        <f>Anchor!R117</f>
        <v>0</v>
      </c>
      <c r="K12" s="129">
        <f>Anchor!S117</f>
        <v>0</v>
      </c>
      <c r="L12" s="129">
        <f>Anchor!T117</f>
        <v>0</v>
      </c>
      <c r="M12" s="129">
        <f>Anchor!U117</f>
        <v>0</v>
      </c>
      <c r="N12" s="129">
        <f>Anchor!V117</f>
        <v>0</v>
      </c>
      <c r="O12" s="129">
        <f>Anchor!W117</f>
        <v>0</v>
      </c>
      <c r="P12" s="129">
        <f>Anchor!X117</f>
        <v>0</v>
      </c>
      <c r="Q12" s="131">
        <f>10*LOG10(1/(('Summary (Full)'!$B$41/10^(N12/10)+'Summary (Full)'!$B$42/10^(O12/10)+'Summary (Full)'!$B$43/10^(P12/10))/'Summary (Full)'!$B$44))</f>
        <v>0</v>
      </c>
      <c r="R12" s="129">
        <f>Anchor!Y117</f>
        <v>0</v>
      </c>
      <c r="S12" s="129">
        <f>Anchor!Z117</f>
        <v>0</v>
      </c>
      <c r="T12" s="132"/>
      <c r="U12" s="129">
        <f>Test!L117</f>
        <v>0</v>
      </c>
      <c r="V12" s="129">
        <f>Test!M117</f>
        <v>0</v>
      </c>
      <c r="W12" s="129">
        <f>Test!N117</f>
        <v>0</v>
      </c>
      <c r="X12" s="129">
        <f>Test!O117</f>
        <v>0</v>
      </c>
      <c r="Y12" s="129">
        <f>('Summary (Full)'!$B$34*V12+'Summary (Full)'!$B$35*W12+'Summary (Full)'!$B$36*X12)/'Summary (Full)'!$B$37</f>
        <v>0</v>
      </c>
      <c r="Z12" s="129">
        <f>Test!P117</f>
        <v>0</v>
      </c>
      <c r="AA12" s="129">
        <f>Test!Q117</f>
        <v>0</v>
      </c>
      <c r="AB12" s="129">
        <f>Test!R117</f>
        <v>0</v>
      </c>
      <c r="AC12" s="129">
        <f>Test!S117</f>
        <v>0</v>
      </c>
      <c r="AD12" s="129">
        <f>Test!T117</f>
        <v>0</v>
      </c>
      <c r="AE12" s="129">
        <f>Test!U117</f>
        <v>0</v>
      </c>
      <c r="AF12" s="129">
        <f>Test!V117</f>
        <v>0</v>
      </c>
      <c r="AG12" s="129">
        <f>Test!W117</f>
        <v>0</v>
      </c>
      <c r="AH12" s="129">
        <f>Test!X117</f>
        <v>0</v>
      </c>
      <c r="AI12" s="129">
        <f>10*LOG10(1/(('Summary (Full)'!$B$41/10^(AF12/10)+'Summary (Full)'!$B$42/10^(AG12/10)+'Summary (Full)'!$B$43/10^(AH12/10))/'Summary (Full)'!$B$44))</f>
        <v>0</v>
      </c>
      <c r="AJ12" s="129">
        <f>Test!Y117</f>
        <v>0</v>
      </c>
      <c r="AK12" s="129">
        <f>Test!Z117</f>
        <v>0</v>
      </c>
      <c r="AL12" s="129" t="e">
        <f t="shared" si="2"/>
        <v>#DIV/0!</v>
      </c>
      <c r="AM12" s="129" t="e">
        <f t="shared" si="2"/>
        <v>#DIV/0!</v>
      </c>
      <c r="AO12" s="254"/>
      <c r="AP12" s="172"/>
      <c r="AQ12" s="172"/>
      <c r="AR12" s="172"/>
      <c r="AS12" s="172"/>
      <c r="AT12" s="172"/>
      <c r="AU12" s="172"/>
      <c r="AV12" s="172"/>
      <c r="AW12" s="172"/>
      <c r="AX12" s="172"/>
      <c r="AY12" s="175"/>
      <c r="AZ12" s="286"/>
      <c r="BA12" s="212"/>
      <c r="EV12" s="7"/>
      <c r="EW12" s="7"/>
      <c r="EX12" s="7"/>
      <c r="EY12" s="7"/>
      <c r="EZ12" s="7"/>
      <c r="FA12" s="7"/>
      <c r="FB12" s="7"/>
      <c r="FC12" s="7"/>
    </row>
    <row r="13" spans="1:175" ht="13" customHeight="1" x14ac:dyDescent="0.15">
      <c r="A13" s="249"/>
      <c r="B13" s="38">
        <v>160</v>
      </c>
      <c r="C13" s="129">
        <f>Anchor!L118</f>
        <v>0</v>
      </c>
      <c r="D13" s="129">
        <f>Anchor!M118</f>
        <v>0</v>
      </c>
      <c r="E13" s="129">
        <f>Anchor!N118</f>
        <v>0</v>
      </c>
      <c r="F13" s="129">
        <f>Anchor!O118</f>
        <v>0</v>
      </c>
      <c r="G13" s="130">
        <f>('Summary (Full)'!$B$34*D13+'Summary (Full)'!$B$35*E13+'Summary (Full)'!$B$36*F13)/'Summary (Full)'!$B$37</f>
        <v>0</v>
      </c>
      <c r="H13" s="129">
        <f>Anchor!P118</f>
        <v>0</v>
      </c>
      <c r="I13" s="129">
        <f>Anchor!Q118</f>
        <v>0</v>
      </c>
      <c r="J13" s="129">
        <f>Anchor!R118</f>
        <v>0</v>
      </c>
      <c r="K13" s="129">
        <f>Anchor!S118</f>
        <v>0</v>
      </c>
      <c r="L13" s="129">
        <f>Anchor!T118</f>
        <v>0</v>
      </c>
      <c r="M13" s="129">
        <f>Anchor!U118</f>
        <v>0</v>
      </c>
      <c r="N13" s="129">
        <f>Anchor!V118</f>
        <v>0</v>
      </c>
      <c r="O13" s="129">
        <f>Anchor!W118</f>
        <v>0</v>
      </c>
      <c r="P13" s="129">
        <f>Anchor!X118</f>
        <v>0</v>
      </c>
      <c r="Q13" s="131">
        <f>10*LOG10(1/(('Summary (Full)'!$B$41/10^(N13/10)+'Summary (Full)'!$B$42/10^(O13/10)+'Summary (Full)'!$B$43/10^(P13/10))/'Summary (Full)'!$B$44))</f>
        <v>0</v>
      </c>
      <c r="R13" s="129">
        <f>Anchor!Y118</f>
        <v>0</v>
      </c>
      <c r="S13" s="129">
        <f>Anchor!Z118</f>
        <v>0</v>
      </c>
      <c r="T13" s="132"/>
      <c r="U13" s="129">
        <f>Test!L118</f>
        <v>0</v>
      </c>
      <c r="V13" s="129">
        <f>Test!M118</f>
        <v>0</v>
      </c>
      <c r="W13" s="129">
        <f>Test!N118</f>
        <v>0</v>
      </c>
      <c r="X13" s="129">
        <f>Test!O118</f>
        <v>0</v>
      </c>
      <c r="Y13" s="129">
        <f>('Summary (Full)'!$B$34*V13+'Summary (Full)'!$B$35*W13+'Summary (Full)'!$B$36*X13)/'Summary (Full)'!$B$37</f>
        <v>0</v>
      </c>
      <c r="Z13" s="129">
        <f>Test!P118</f>
        <v>0</v>
      </c>
      <c r="AA13" s="129">
        <f>Test!Q118</f>
        <v>0</v>
      </c>
      <c r="AB13" s="129">
        <f>Test!R118</f>
        <v>0</v>
      </c>
      <c r="AC13" s="129">
        <f>Test!S118</f>
        <v>0</v>
      </c>
      <c r="AD13" s="129">
        <f>Test!T118</f>
        <v>0</v>
      </c>
      <c r="AE13" s="129">
        <f>Test!U118</f>
        <v>0</v>
      </c>
      <c r="AF13" s="129">
        <f>Test!V118</f>
        <v>0</v>
      </c>
      <c r="AG13" s="129">
        <f>Test!W118</f>
        <v>0</v>
      </c>
      <c r="AH13" s="129">
        <f>Test!X118</f>
        <v>0</v>
      </c>
      <c r="AI13" s="129">
        <f>10*LOG10(1/(('Summary (Full)'!$B$41/10^(AF13/10)+'Summary (Full)'!$B$42/10^(AG13/10)+'Summary (Full)'!$B$43/10^(AH13/10))/'Summary (Full)'!$B$44))</f>
        <v>0</v>
      </c>
      <c r="AJ13" s="129">
        <f>Test!Y118</f>
        <v>0</v>
      </c>
      <c r="AK13" s="129">
        <f>Test!Z118</f>
        <v>0</v>
      </c>
      <c r="AL13" s="129" t="e">
        <f t="shared" si="2"/>
        <v>#DIV/0!</v>
      </c>
      <c r="AM13" s="129" t="e">
        <f t="shared" si="2"/>
        <v>#DIV/0!</v>
      </c>
      <c r="AO13" s="254" t="s">
        <v>28</v>
      </c>
      <c r="AP13" s="172" t="e" cm="1">
        <f t="array" ref="AP13">bdRateExtend($C12:$C15,D12:D15,$U12:$U15,V12:V15)</f>
        <v>#VALUE!</v>
      </c>
      <c r="AQ13" s="172"/>
      <c r="AR13" s="172"/>
      <c r="AS13" s="172"/>
      <c r="AT13" s="172" t="e" cm="1">
        <f t="array" ref="AT13">bdRateExtend($C12:$C15,H12:H15,$U12:$U15,Z12:Z15)</f>
        <v>#VALUE!</v>
      </c>
      <c r="AU13" s="172"/>
      <c r="AV13" s="172" t="e" cm="1">
        <f t="array" ref="AV13">bdRateExtend($C12:$C15,I12:I15,$U12:$U15,AA12:AA15)</f>
        <v>#VALUE!</v>
      </c>
      <c r="AW13" s="172"/>
      <c r="AX13" s="172" t="e" cm="1">
        <f t="array" ref="AX13">bdRateExtend($C12:$C15,J12:J15,$U12:$U15,AB12:AB15,"None", FALSE,1)</f>
        <v>#VALUE!</v>
      </c>
      <c r="AY13" s="175"/>
      <c r="AZ13" s="286" cm="1">
        <f t="array" ref="AZ13">testVMAFRange($C12:$C15,J12:J15,$U12:$U15,AB12:AB15)</f>
        <v>0</v>
      </c>
      <c r="BA13" s="212"/>
      <c r="EV13" s="7"/>
      <c r="EW13" s="7"/>
      <c r="EX13" s="7"/>
      <c r="EY13" s="7"/>
      <c r="EZ13" s="7"/>
      <c r="FA13" s="7"/>
      <c r="FB13" s="7"/>
      <c r="FC13" s="7"/>
    </row>
    <row r="14" spans="1:175" x14ac:dyDescent="0.15">
      <c r="A14" s="249"/>
      <c r="B14" s="38">
        <v>185</v>
      </c>
      <c r="C14" s="129">
        <f>Anchor!L119</f>
        <v>0</v>
      </c>
      <c r="D14" s="129">
        <f>Anchor!M119</f>
        <v>0</v>
      </c>
      <c r="E14" s="129">
        <f>Anchor!N119</f>
        <v>0</v>
      </c>
      <c r="F14" s="129">
        <f>Anchor!O119</f>
        <v>0</v>
      </c>
      <c r="G14" s="130">
        <f>('Summary (Full)'!$B$34*D14+'Summary (Full)'!$B$35*E14+'Summary (Full)'!$B$36*F14)/'Summary (Full)'!$B$37</f>
        <v>0</v>
      </c>
      <c r="H14" s="129">
        <f>Anchor!P119</f>
        <v>0</v>
      </c>
      <c r="I14" s="129">
        <f>Anchor!Q119</f>
        <v>0</v>
      </c>
      <c r="J14" s="129">
        <f>Anchor!R119</f>
        <v>0</v>
      </c>
      <c r="K14" s="129">
        <f>Anchor!S119</f>
        <v>0</v>
      </c>
      <c r="L14" s="129">
        <f>Anchor!T119</f>
        <v>0</v>
      </c>
      <c r="M14" s="129">
        <f>Anchor!U119</f>
        <v>0</v>
      </c>
      <c r="N14" s="129">
        <f>Anchor!V119</f>
        <v>0</v>
      </c>
      <c r="O14" s="129">
        <f>Anchor!W119</f>
        <v>0</v>
      </c>
      <c r="P14" s="129">
        <f>Anchor!X119</f>
        <v>0</v>
      </c>
      <c r="Q14" s="131">
        <f>10*LOG10(1/(('Summary (Full)'!$B$41/10^(N14/10)+'Summary (Full)'!$B$42/10^(O14/10)+'Summary (Full)'!$B$43/10^(P14/10))/'Summary (Full)'!$B$44))</f>
        <v>0</v>
      </c>
      <c r="R14" s="129">
        <f>Anchor!Y119</f>
        <v>0</v>
      </c>
      <c r="S14" s="129">
        <f>Anchor!Z119</f>
        <v>0</v>
      </c>
      <c r="T14" s="132"/>
      <c r="U14" s="129">
        <f>Test!L119</f>
        <v>0</v>
      </c>
      <c r="V14" s="129">
        <f>Test!M119</f>
        <v>0</v>
      </c>
      <c r="W14" s="129">
        <f>Test!N119</f>
        <v>0</v>
      </c>
      <c r="X14" s="129">
        <f>Test!O119</f>
        <v>0</v>
      </c>
      <c r="Y14" s="129">
        <f>('Summary (Full)'!$B$34*V14+'Summary (Full)'!$B$35*W14+'Summary (Full)'!$B$36*X14)/'Summary (Full)'!$B$37</f>
        <v>0</v>
      </c>
      <c r="Z14" s="129">
        <f>Test!P119</f>
        <v>0</v>
      </c>
      <c r="AA14" s="129">
        <f>Test!Q119</f>
        <v>0</v>
      </c>
      <c r="AB14" s="129">
        <f>Test!R119</f>
        <v>0</v>
      </c>
      <c r="AC14" s="129">
        <f>Test!S119</f>
        <v>0</v>
      </c>
      <c r="AD14" s="129">
        <f>Test!T119</f>
        <v>0</v>
      </c>
      <c r="AE14" s="129">
        <f>Test!U119</f>
        <v>0</v>
      </c>
      <c r="AF14" s="129">
        <f>Test!V119</f>
        <v>0</v>
      </c>
      <c r="AG14" s="129">
        <f>Test!W119</f>
        <v>0</v>
      </c>
      <c r="AH14" s="129">
        <f>Test!X119</f>
        <v>0</v>
      </c>
      <c r="AI14" s="129">
        <f>10*LOG10(1/(('Summary (Full)'!$B$41/10^(AF14/10)+'Summary (Full)'!$B$42/10^(AG14/10)+'Summary (Full)'!$B$43/10^(AH14/10))/'Summary (Full)'!$B$44))</f>
        <v>0</v>
      </c>
      <c r="AJ14" s="129">
        <f>Test!Y119</f>
        <v>0</v>
      </c>
      <c r="AK14" s="129">
        <f>Test!Z119</f>
        <v>0</v>
      </c>
      <c r="AL14" s="129" t="e">
        <f t="shared" si="2"/>
        <v>#DIV/0!</v>
      </c>
      <c r="AM14" s="129" t="e">
        <f t="shared" si="2"/>
        <v>#DIV/0!</v>
      </c>
      <c r="AO14" s="254"/>
      <c r="AP14" s="172"/>
      <c r="AQ14" s="172"/>
      <c r="AR14" s="172"/>
      <c r="AS14" s="172"/>
      <c r="AT14" s="172"/>
      <c r="AU14" s="172"/>
      <c r="AV14" s="172"/>
      <c r="AW14" s="172"/>
      <c r="AX14" s="172"/>
      <c r="AY14" s="175"/>
      <c r="AZ14" s="286"/>
      <c r="BA14" s="212"/>
      <c r="EV14" s="7"/>
      <c r="EW14" s="7"/>
      <c r="EX14" s="7"/>
      <c r="EY14" s="7"/>
      <c r="EZ14" s="7"/>
      <c r="FA14" s="7"/>
      <c r="FB14" s="7"/>
      <c r="FC14" s="7"/>
    </row>
    <row r="15" spans="1:175" ht="13" customHeight="1" x14ac:dyDescent="0.15">
      <c r="A15" s="249"/>
      <c r="B15" s="38">
        <v>210</v>
      </c>
      <c r="C15" s="129">
        <f>Anchor!L120</f>
        <v>0</v>
      </c>
      <c r="D15" s="129">
        <f>Anchor!M120</f>
        <v>0</v>
      </c>
      <c r="E15" s="129">
        <f>Anchor!N120</f>
        <v>0</v>
      </c>
      <c r="F15" s="129">
        <f>Anchor!O120</f>
        <v>0</v>
      </c>
      <c r="G15" s="130">
        <f>('Summary (Full)'!$B$34*D15+'Summary (Full)'!$B$35*E15+'Summary (Full)'!$B$36*F15)/'Summary (Full)'!$B$37</f>
        <v>0</v>
      </c>
      <c r="H15" s="129">
        <f>Anchor!P120</f>
        <v>0</v>
      </c>
      <c r="I15" s="129">
        <f>Anchor!Q120</f>
        <v>0</v>
      </c>
      <c r="J15" s="129">
        <f>Anchor!R120</f>
        <v>0</v>
      </c>
      <c r="K15" s="129">
        <f>Anchor!S120</f>
        <v>0</v>
      </c>
      <c r="L15" s="129">
        <f>Anchor!T120</f>
        <v>0</v>
      </c>
      <c r="M15" s="129">
        <f>Anchor!U120</f>
        <v>0</v>
      </c>
      <c r="N15" s="129">
        <f>Anchor!V120</f>
        <v>0</v>
      </c>
      <c r="O15" s="129">
        <f>Anchor!W120</f>
        <v>0</v>
      </c>
      <c r="P15" s="129">
        <f>Anchor!X120</f>
        <v>0</v>
      </c>
      <c r="Q15" s="131">
        <f>10*LOG10(1/(('Summary (Full)'!$B$41/10^(N15/10)+'Summary (Full)'!$B$42/10^(O15/10)+'Summary (Full)'!$B$43/10^(P15/10))/'Summary (Full)'!$B$44))</f>
        <v>0</v>
      </c>
      <c r="R15" s="129">
        <f>Anchor!Y120</f>
        <v>0</v>
      </c>
      <c r="S15" s="129">
        <f>Anchor!Z120</f>
        <v>0</v>
      </c>
      <c r="T15" s="132"/>
      <c r="U15" s="129">
        <f>Test!L120</f>
        <v>0</v>
      </c>
      <c r="V15" s="129">
        <f>Test!M120</f>
        <v>0</v>
      </c>
      <c r="W15" s="129">
        <f>Test!N120</f>
        <v>0</v>
      </c>
      <c r="X15" s="129">
        <f>Test!O120</f>
        <v>0</v>
      </c>
      <c r="Y15" s="129">
        <f>('Summary (Full)'!$B$34*V15+'Summary (Full)'!$B$35*W15+'Summary (Full)'!$B$36*X15)/'Summary (Full)'!$B$37</f>
        <v>0</v>
      </c>
      <c r="Z15" s="129">
        <f>Test!P120</f>
        <v>0</v>
      </c>
      <c r="AA15" s="129">
        <f>Test!Q120</f>
        <v>0</v>
      </c>
      <c r="AB15" s="129">
        <f>Test!R120</f>
        <v>0</v>
      </c>
      <c r="AC15" s="129">
        <f>Test!S120</f>
        <v>0</v>
      </c>
      <c r="AD15" s="129">
        <f>Test!T120</f>
        <v>0</v>
      </c>
      <c r="AE15" s="129">
        <f>Test!U120</f>
        <v>0</v>
      </c>
      <c r="AF15" s="129">
        <f>Test!V120</f>
        <v>0</v>
      </c>
      <c r="AG15" s="129">
        <f>Test!W120</f>
        <v>0</v>
      </c>
      <c r="AH15" s="129">
        <f>Test!X120</f>
        <v>0</v>
      </c>
      <c r="AI15" s="129">
        <f>10*LOG10(1/(('Summary (Full)'!$B$41/10^(AF15/10)+'Summary (Full)'!$B$42/10^(AG15/10)+'Summary (Full)'!$B$43/10^(AH15/10))/'Summary (Full)'!$B$44))</f>
        <v>0</v>
      </c>
      <c r="AJ15" s="129">
        <f>Test!Y120</f>
        <v>0</v>
      </c>
      <c r="AK15" s="129">
        <f>Test!Z120</f>
        <v>0</v>
      </c>
      <c r="AL15" s="129" t="e">
        <f t="shared" si="2"/>
        <v>#DIV/0!</v>
      </c>
      <c r="AM15" s="129" t="e">
        <f t="shared" si="2"/>
        <v>#DIV/0!</v>
      </c>
      <c r="AO15" s="254" t="s">
        <v>29</v>
      </c>
      <c r="AP15" s="172" t="e" cm="1">
        <f t="array" ref="AP15">bdRateExtend($C13:$C16,D13:D16,$U13:$U16,V13:V16)</f>
        <v>#VALUE!</v>
      </c>
      <c r="AQ15" s="172"/>
      <c r="AR15" s="172"/>
      <c r="AS15" s="172"/>
      <c r="AT15" s="172" t="e" cm="1">
        <f t="array" ref="AT15">bdRateExtend($C13:$C16,H13:H16,$U13:$U16,Z13:Z16)</f>
        <v>#VALUE!</v>
      </c>
      <c r="AU15" s="172"/>
      <c r="AV15" s="172" t="e" cm="1">
        <f t="array" ref="AV15">bdRateExtend($C13:$C16,I13:I16,$U13:$U16,AA13:AA16)</f>
        <v>#VALUE!</v>
      </c>
      <c r="AW15" s="172"/>
      <c r="AX15" s="172" t="e" cm="1">
        <f t="array" ref="AX15">bdRateExtend($C13:$C16,J13:J16,$U13:$U16,AB13:AB16,"None", FALSE,1)</f>
        <v>#VALUE!</v>
      </c>
      <c r="AY15" s="175"/>
      <c r="AZ15" s="286" cm="1">
        <f t="array" ref="AZ15">testVMAFRange($C13:$C16,J13:J16,$U13:$U16,AB13:AB16)</f>
        <v>0</v>
      </c>
      <c r="BA15" s="212"/>
      <c r="EV15" s="7"/>
      <c r="EW15" s="7"/>
      <c r="EX15" s="7"/>
      <c r="EY15" s="7"/>
      <c r="EZ15" s="7"/>
      <c r="FA15" s="7"/>
      <c r="FB15" s="7"/>
      <c r="FC15" s="7"/>
    </row>
    <row r="16" spans="1:175" ht="14" thickBot="1" x14ac:dyDescent="0.2">
      <c r="A16" s="249"/>
      <c r="B16" s="38">
        <v>235</v>
      </c>
      <c r="C16" s="129">
        <f>Anchor!L121</f>
        <v>0</v>
      </c>
      <c r="D16" s="129">
        <f>Anchor!M121</f>
        <v>0</v>
      </c>
      <c r="E16" s="129">
        <f>Anchor!N121</f>
        <v>0</v>
      </c>
      <c r="F16" s="129">
        <f>Anchor!O121</f>
        <v>0</v>
      </c>
      <c r="G16" s="130">
        <f>('Summary (Full)'!$B$34*D16+'Summary (Full)'!$B$35*E16+'Summary (Full)'!$B$36*F16)/'Summary (Full)'!$B$37</f>
        <v>0</v>
      </c>
      <c r="H16" s="129">
        <f>Anchor!P121</f>
        <v>0</v>
      </c>
      <c r="I16" s="129">
        <f>Anchor!Q121</f>
        <v>0</v>
      </c>
      <c r="J16" s="129">
        <f>Anchor!R121</f>
        <v>0</v>
      </c>
      <c r="K16" s="129">
        <f>Anchor!S121</f>
        <v>0</v>
      </c>
      <c r="L16" s="129">
        <f>Anchor!T121</f>
        <v>0</v>
      </c>
      <c r="M16" s="129">
        <f>Anchor!U121</f>
        <v>0</v>
      </c>
      <c r="N16" s="129">
        <f>Anchor!V121</f>
        <v>0</v>
      </c>
      <c r="O16" s="129">
        <f>Anchor!W121</f>
        <v>0</v>
      </c>
      <c r="P16" s="129">
        <f>Anchor!X121</f>
        <v>0</v>
      </c>
      <c r="Q16" s="131">
        <f>10*LOG10(1/(('Summary (Full)'!$B$41/10^(N16/10)+'Summary (Full)'!$B$42/10^(O16/10)+'Summary (Full)'!$B$43/10^(P16/10))/'Summary (Full)'!$B$44))</f>
        <v>0</v>
      </c>
      <c r="R16" s="129">
        <f>Anchor!Y121</f>
        <v>0</v>
      </c>
      <c r="S16" s="129">
        <f>Anchor!Z121</f>
        <v>0</v>
      </c>
      <c r="T16" s="132"/>
      <c r="U16" s="129">
        <f>Test!L121</f>
        <v>0</v>
      </c>
      <c r="V16" s="129">
        <f>Test!M121</f>
        <v>0</v>
      </c>
      <c r="W16" s="129">
        <f>Test!N121</f>
        <v>0</v>
      </c>
      <c r="X16" s="129">
        <f>Test!O121</f>
        <v>0</v>
      </c>
      <c r="Y16" s="129">
        <f>('Summary (Full)'!$B$34*V16+'Summary (Full)'!$B$35*W16+'Summary (Full)'!$B$36*X16)/'Summary (Full)'!$B$37</f>
        <v>0</v>
      </c>
      <c r="Z16" s="129">
        <f>Test!P121</f>
        <v>0</v>
      </c>
      <c r="AA16" s="129">
        <f>Test!Q121</f>
        <v>0</v>
      </c>
      <c r="AB16" s="129">
        <f>Test!R121</f>
        <v>0</v>
      </c>
      <c r="AC16" s="129">
        <f>Test!S121</f>
        <v>0</v>
      </c>
      <c r="AD16" s="129">
        <f>Test!T121</f>
        <v>0</v>
      </c>
      <c r="AE16" s="129">
        <f>Test!U121</f>
        <v>0</v>
      </c>
      <c r="AF16" s="129">
        <f>Test!V121</f>
        <v>0</v>
      </c>
      <c r="AG16" s="129">
        <f>Test!W121</f>
        <v>0</v>
      </c>
      <c r="AH16" s="129">
        <f>Test!X121</f>
        <v>0</v>
      </c>
      <c r="AI16" s="129">
        <f>10*LOG10(1/(('Summary (Full)'!$B$41/10^(AF16/10)+'Summary (Full)'!$B$42/10^(AG16/10)+'Summary (Full)'!$B$43/10^(AH16/10))/'Summary (Full)'!$B$44))</f>
        <v>0</v>
      </c>
      <c r="AJ16" s="129">
        <f>Test!Y121</f>
        <v>0</v>
      </c>
      <c r="AK16" s="129">
        <f>Test!Z121</f>
        <v>0</v>
      </c>
      <c r="AL16" s="129" t="e">
        <f t="shared" si="2"/>
        <v>#DIV/0!</v>
      </c>
      <c r="AM16" s="129" t="e">
        <f t="shared" si="2"/>
        <v>#DIV/0!</v>
      </c>
      <c r="AO16" s="263"/>
      <c r="AP16" s="173"/>
      <c r="AQ16" s="173"/>
      <c r="AR16" s="173"/>
      <c r="AS16" s="173"/>
      <c r="AT16" s="173"/>
      <c r="AU16" s="173"/>
      <c r="AV16" s="173"/>
      <c r="AW16" s="173"/>
      <c r="AX16" s="173"/>
      <c r="AY16" s="188"/>
      <c r="AZ16" s="287"/>
      <c r="BA16" s="240"/>
      <c r="EV16" s="7"/>
      <c r="EW16" s="7"/>
      <c r="EX16" s="7"/>
      <c r="EY16" s="7"/>
      <c r="EZ16" s="7"/>
      <c r="FA16" s="7"/>
      <c r="FB16" s="7"/>
      <c r="FC16" s="7"/>
    </row>
    <row r="17" spans="1:159" ht="13" customHeight="1" x14ac:dyDescent="0.15">
      <c r="A17" s="249" t="s">
        <v>8</v>
      </c>
      <c r="B17" s="38">
        <v>110</v>
      </c>
      <c r="C17" s="129">
        <f>Anchor!L122</f>
        <v>0</v>
      </c>
      <c r="D17" s="129">
        <f>Anchor!M122</f>
        <v>0</v>
      </c>
      <c r="E17" s="129">
        <f>Anchor!N122</f>
        <v>0</v>
      </c>
      <c r="F17" s="129">
        <f>Anchor!O122</f>
        <v>0</v>
      </c>
      <c r="G17" s="130">
        <f>('Summary (Full)'!$B$34*D17+'Summary (Full)'!$B$35*E17+'Summary (Full)'!$B$36*F17)/'Summary (Full)'!$B$37</f>
        <v>0</v>
      </c>
      <c r="H17" s="129">
        <f>Anchor!P122</f>
        <v>0</v>
      </c>
      <c r="I17" s="129">
        <f>Anchor!Q122</f>
        <v>0</v>
      </c>
      <c r="J17" s="129">
        <f>Anchor!R122</f>
        <v>0</v>
      </c>
      <c r="K17" s="129">
        <f>Anchor!S122</f>
        <v>0</v>
      </c>
      <c r="L17" s="129">
        <f>Anchor!T122</f>
        <v>0</v>
      </c>
      <c r="M17" s="129">
        <f>Anchor!U122</f>
        <v>0</v>
      </c>
      <c r="N17" s="129">
        <f>Anchor!V122</f>
        <v>0</v>
      </c>
      <c r="O17" s="129">
        <f>Anchor!W122</f>
        <v>0</v>
      </c>
      <c r="P17" s="129">
        <f>Anchor!X122</f>
        <v>0</v>
      </c>
      <c r="Q17" s="131">
        <f>10*LOG10(1/(('Summary (Full)'!$B$41/10^(N17/10)+'Summary (Full)'!$B$42/10^(O17/10)+'Summary (Full)'!$B$43/10^(P17/10))/'Summary (Full)'!$B$44))</f>
        <v>0</v>
      </c>
      <c r="R17" s="129">
        <f>Anchor!Y122</f>
        <v>0</v>
      </c>
      <c r="S17" s="129">
        <f>Anchor!Z122</f>
        <v>0</v>
      </c>
      <c r="T17" s="132"/>
      <c r="U17" s="129">
        <f>Test!L122</f>
        <v>0</v>
      </c>
      <c r="V17" s="129">
        <f>Test!M122</f>
        <v>0</v>
      </c>
      <c r="W17" s="129">
        <f>Test!N122</f>
        <v>0</v>
      </c>
      <c r="X17" s="129">
        <f>Test!O122</f>
        <v>0</v>
      </c>
      <c r="Y17" s="129">
        <f>('Summary (Full)'!$B$34*V17+'Summary (Full)'!$B$35*W17+'Summary (Full)'!$B$36*X17)/'Summary (Full)'!$B$37</f>
        <v>0</v>
      </c>
      <c r="Z17" s="129">
        <f>Test!P122</f>
        <v>0</v>
      </c>
      <c r="AA17" s="129">
        <f>Test!Q122</f>
        <v>0</v>
      </c>
      <c r="AB17" s="129">
        <f>Test!R122</f>
        <v>0</v>
      </c>
      <c r="AC17" s="129">
        <f>Test!S122</f>
        <v>0</v>
      </c>
      <c r="AD17" s="129">
        <f>Test!T122</f>
        <v>0</v>
      </c>
      <c r="AE17" s="129">
        <f>Test!U122</f>
        <v>0</v>
      </c>
      <c r="AF17" s="129">
        <f>Test!V122</f>
        <v>0</v>
      </c>
      <c r="AG17" s="129">
        <f>Test!W122</f>
        <v>0</v>
      </c>
      <c r="AH17" s="129">
        <f>Test!X122</f>
        <v>0</v>
      </c>
      <c r="AI17" s="129">
        <f>10*LOG10(1/(('Summary (Full)'!$B$41/10^(AF17/10)+'Summary (Full)'!$B$42/10^(AG17/10)+'Summary (Full)'!$B$43/10^(AH17/10))/'Summary (Full)'!$B$44))</f>
        <v>0</v>
      </c>
      <c r="AJ17" s="129">
        <f>Test!Y122</f>
        <v>0</v>
      </c>
      <c r="AK17" s="129">
        <f>Test!Z122</f>
        <v>0</v>
      </c>
      <c r="AL17" s="129" t="e">
        <f t="shared" si="2"/>
        <v>#DIV/0!</v>
      </c>
      <c r="AM17" s="129" t="e">
        <f t="shared" si="2"/>
        <v>#DIV/0!</v>
      </c>
      <c r="AO17" s="253" t="s">
        <v>27</v>
      </c>
      <c r="AP17" s="171" t="e" cm="1">
        <f t="array" ref="AP17">bdRateExtend($C17:$C20,D17:D20,$U17:$U20,V17:V20)</f>
        <v>#VALUE!</v>
      </c>
      <c r="AQ17" s="171" t="e" cm="1">
        <f t="array" ref="AQ17">bdRateExtend($C17:$C22,D17:D22,$U17:$U22,V17:V22)</f>
        <v>#VALUE!</v>
      </c>
      <c r="AR17" s="171" t="e" cm="1">
        <f t="array" ref="AR17">bdRateExtend($C17:$C22,E17:E22,$U17:$U22,W17:W22)</f>
        <v>#VALUE!</v>
      </c>
      <c r="AS17" s="171" t="e" cm="1">
        <f t="array" ref="AS17">bdRateExtend($C17:$C22,F17:F22,$U17:$U22,X17:X22)</f>
        <v>#VALUE!</v>
      </c>
      <c r="AT17" s="171" t="e" cm="1">
        <f t="array" ref="AT17">bdRateExtend($C17:$C20,H17:H20,$U17:$U20,Z17:Z20)</f>
        <v>#VALUE!</v>
      </c>
      <c r="AU17" s="171" t="e" cm="1">
        <f t="array" ref="AU17">bdRateExtend($C17:$C22,H17:H22,$U17:$U22,Z17:Z22)</f>
        <v>#VALUE!</v>
      </c>
      <c r="AV17" s="171" t="e" cm="1">
        <f t="array" ref="AV17">bdRateExtend($C17:$C20,I17:I20,$U17:$U20,AA17:AA20)</f>
        <v>#VALUE!</v>
      </c>
      <c r="AW17" s="171" t="e" cm="1">
        <f t="array" ref="AW17">bdRateExtend($C17:$C22,I17:I22,$U17:$U22,AA17:AA22)</f>
        <v>#VALUE!</v>
      </c>
      <c r="AX17" s="171" t="e" cm="1">
        <f t="array" ref="AX17">bdRateExtend($C17:$C20,J17:J20,$U17:$U20,AB17:AB20,"None", FALSE,1)</f>
        <v>#VALUE!</v>
      </c>
      <c r="AY17" s="174" t="e" cm="1">
        <f t="array" ref="AY17">bdRateExtend($C17:$C22,J17:J22,$U17:$U22,AB17:AB22,"None", FALSE,TRUE)</f>
        <v>#VALUE!</v>
      </c>
      <c r="AZ17" s="285" cm="1">
        <f t="array" ref="AZ17">testVMAFRange($C17:$C20,J17:J20,$U17:$U20,AB17:AB20)</f>
        <v>0</v>
      </c>
      <c r="BA17" s="211" cm="1">
        <f t="array" ref="BA17">testVMAFRange($C17:$C22,J17:J22,$U17:$U22,AB17:AB22)</f>
        <v>0</v>
      </c>
      <c r="EV17" s="7"/>
      <c r="EW17" s="7"/>
      <c r="EX17" s="7"/>
      <c r="EY17" s="7"/>
      <c r="EZ17" s="7"/>
      <c r="FA17" s="7"/>
      <c r="FB17" s="7"/>
      <c r="FC17" s="7"/>
    </row>
    <row r="18" spans="1:159" x14ac:dyDescent="0.15">
      <c r="A18" s="249"/>
      <c r="B18" s="38">
        <v>135</v>
      </c>
      <c r="C18" s="129">
        <f>Anchor!L123</f>
        <v>0</v>
      </c>
      <c r="D18" s="129">
        <f>Anchor!M123</f>
        <v>0</v>
      </c>
      <c r="E18" s="129">
        <f>Anchor!N123</f>
        <v>0</v>
      </c>
      <c r="F18" s="129">
        <f>Anchor!O123</f>
        <v>0</v>
      </c>
      <c r="G18" s="130">
        <f>('Summary (Full)'!$B$34*D18+'Summary (Full)'!$B$35*E18+'Summary (Full)'!$B$36*F18)/'Summary (Full)'!$B$37</f>
        <v>0</v>
      </c>
      <c r="H18" s="129">
        <f>Anchor!P123</f>
        <v>0</v>
      </c>
      <c r="I18" s="129">
        <f>Anchor!Q123</f>
        <v>0</v>
      </c>
      <c r="J18" s="129">
        <f>Anchor!R123</f>
        <v>0</v>
      </c>
      <c r="K18" s="129">
        <f>Anchor!S123</f>
        <v>0</v>
      </c>
      <c r="L18" s="129">
        <f>Anchor!T123</f>
        <v>0</v>
      </c>
      <c r="M18" s="129">
        <f>Anchor!U123</f>
        <v>0</v>
      </c>
      <c r="N18" s="129">
        <f>Anchor!V123</f>
        <v>0</v>
      </c>
      <c r="O18" s="129">
        <f>Anchor!W123</f>
        <v>0</v>
      </c>
      <c r="P18" s="129">
        <f>Anchor!X123</f>
        <v>0</v>
      </c>
      <c r="Q18" s="131">
        <f>10*LOG10(1/(('Summary (Full)'!$B$41/10^(N18/10)+'Summary (Full)'!$B$42/10^(O18/10)+'Summary (Full)'!$B$43/10^(P18/10))/'Summary (Full)'!$B$44))</f>
        <v>0</v>
      </c>
      <c r="R18" s="129">
        <f>Anchor!Y123</f>
        <v>0</v>
      </c>
      <c r="S18" s="129">
        <f>Anchor!Z123</f>
        <v>0</v>
      </c>
      <c r="T18" s="132"/>
      <c r="U18" s="129">
        <f>Test!L123</f>
        <v>0</v>
      </c>
      <c r="V18" s="129">
        <f>Test!M123</f>
        <v>0</v>
      </c>
      <c r="W18" s="129">
        <f>Test!N123</f>
        <v>0</v>
      </c>
      <c r="X18" s="129">
        <f>Test!O123</f>
        <v>0</v>
      </c>
      <c r="Y18" s="129">
        <f>('Summary (Full)'!$B$34*V18+'Summary (Full)'!$B$35*W18+'Summary (Full)'!$B$36*X18)/'Summary (Full)'!$B$37</f>
        <v>0</v>
      </c>
      <c r="Z18" s="129">
        <f>Test!P123</f>
        <v>0</v>
      </c>
      <c r="AA18" s="129">
        <f>Test!Q123</f>
        <v>0</v>
      </c>
      <c r="AB18" s="129">
        <f>Test!R123</f>
        <v>0</v>
      </c>
      <c r="AC18" s="129">
        <f>Test!S123</f>
        <v>0</v>
      </c>
      <c r="AD18" s="129">
        <f>Test!T123</f>
        <v>0</v>
      </c>
      <c r="AE18" s="129">
        <f>Test!U123</f>
        <v>0</v>
      </c>
      <c r="AF18" s="129">
        <f>Test!V123</f>
        <v>0</v>
      </c>
      <c r="AG18" s="129">
        <f>Test!W123</f>
        <v>0</v>
      </c>
      <c r="AH18" s="129">
        <f>Test!X123</f>
        <v>0</v>
      </c>
      <c r="AI18" s="129">
        <f>10*LOG10(1/(('Summary (Full)'!$B$41/10^(AF18/10)+'Summary (Full)'!$B$42/10^(AG18/10)+'Summary (Full)'!$B$43/10^(AH18/10))/'Summary (Full)'!$B$44))</f>
        <v>0</v>
      </c>
      <c r="AJ18" s="129">
        <f>Test!Y123</f>
        <v>0</v>
      </c>
      <c r="AK18" s="129">
        <f>Test!Z123</f>
        <v>0</v>
      </c>
      <c r="AL18" s="129" t="e">
        <f t="shared" si="2"/>
        <v>#DIV/0!</v>
      </c>
      <c r="AM18" s="129" t="e">
        <f t="shared" si="2"/>
        <v>#DIV/0!</v>
      </c>
      <c r="AO18" s="254"/>
      <c r="AP18" s="172"/>
      <c r="AQ18" s="172"/>
      <c r="AR18" s="172"/>
      <c r="AS18" s="172"/>
      <c r="AT18" s="172"/>
      <c r="AU18" s="172"/>
      <c r="AV18" s="172"/>
      <c r="AW18" s="172"/>
      <c r="AX18" s="172"/>
      <c r="AY18" s="175"/>
      <c r="AZ18" s="286"/>
      <c r="BA18" s="212"/>
      <c r="EV18" s="7"/>
      <c r="EW18" s="7"/>
      <c r="EX18" s="7"/>
      <c r="EY18" s="7"/>
      <c r="EZ18" s="7"/>
      <c r="FA18" s="7"/>
      <c r="FB18" s="7"/>
      <c r="FC18" s="7"/>
    </row>
    <row r="19" spans="1:159" ht="13" customHeight="1" x14ac:dyDescent="0.15">
      <c r="A19" s="249"/>
      <c r="B19" s="38">
        <v>160</v>
      </c>
      <c r="C19" s="129">
        <f>Anchor!L124</f>
        <v>0</v>
      </c>
      <c r="D19" s="129">
        <f>Anchor!M124</f>
        <v>0</v>
      </c>
      <c r="E19" s="129">
        <f>Anchor!N124</f>
        <v>0</v>
      </c>
      <c r="F19" s="129">
        <f>Anchor!O124</f>
        <v>0</v>
      </c>
      <c r="G19" s="130">
        <f>('Summary (Full)'!$B$34*D19+'Summary (Full)'!$B$35*E19+'Summary (Full)'!$B$36*F19)/'Summary (Full)'!$B$37</f>
        <v>0</v>
      </c>
      <c r="H19" s="129">
        <f>Anchor!P124</f>
        <v>0</v>
      </c>
      <c r="I19" s="129">
        <f>Anchor!Q124</f>
        <v>0</v>
      </c>
      <c r="J19" s="129">
        <f>Anchor!R124</f>
        <v>0</v>
      </c>
      <c r="K19" s="129">
        <f>Anchor!S124</f>
        <v>0</v>
      </c>
      <c r="L19" s="129">
        <f>Anchor!T124</f>
        <v>0</v>
      </c>
      <c r="M19" s="129">
        <f>Anchor!U124</f>
        <v>0</v>
      </c>
      <c r="N19" s="129">
        <f>Anchor!V124</f>
        <v>0</v>
      </c>
      <c r="O19" s="129">
        <f>Anchor!W124</f>
        <v>0</v>
      </c>
      <c r="P19" s="129">
        <f>Anchor!X124</f>
        <v>0</v>
      </c>
      <c r="Q19" s="131">
        <f>10*LOG10(1/(('Summary (Full)'!$B$41/10^(N19/10)+'Summary (Full)'!$B$42/10^(O19/10)+'Summary (Full)'!$B$43/10^(P19/10))/'Summary (Full)'!$B$44))</f>
        <v>0</v>
      </c>
      <c r="R19" s="129">
        <f>Anchor!Y124</f>
        <v>0</v>
      </c>
      <c r="S19" s="129">
        <f>Anchor!Z124</f>
        <v>0</v>
      </c>
      <c r="T19" s="132"/>
      <c r="U19" s="129">
        <f>Test!L124</f>
        <v>0</v>
      </c>
      <c r="V19" s="129">
        <f>Test!M124</f>
        <v>0</v>
      </c>
      <c r="W19" s="129">
        <f>Test!N124</f>
        <v>0</v>
      </c>
      <c r="X19" s="129">
        <f>Test!O124</f>
        <v>0</v>
      </c>
      <c r="Y19" s="129">
        <f>('Summary (Full)'!$B$34*V19+'Summary (Full)'!$B$35*W19+'Summary (Full)'!$B$36*X19)/'Summary (Full)'!$B$37</f>
        <v>0</v>
      </c>
      <c r="Z19" s="129">
        <f>Test!P124</f>
        <v>0</v>
      </c>
      <c r="AA19" s="129">
        <f>Test!Q124</f>
        <v>0</v>
      </c>
      <c r="AB19" s="129">
        <f>Test!R124</f>
        <v>0</v>
      </c>
      <c r="AC19" s="129">
        <f>Test!S124</f>
        <v>0</v>
      </c>
      <c r="AD19" s="129">
        <f>Test!T124</f>
        <v>0</v>
      </c>
      <c r="AE19" s="129">
        <f>Test!U124</f>
        <v>0</v>
      </c>
      <c r="AF19" s="129">
        <f>Test!V124</f>
        <v>0</v>
      </c>
      <c r="AG19" s="129">
        <f>Test!W124</f>
        <v>0</v>
      </c>
      <c r="AH19" s="129">
        <f>Test!X124</f>
        <v>0</v>
      </c>
      <c r="AI19" s="129">
        <f>10*LOG10(1/(('Summary (Full)'!$B$41/10^(AF19/10)+'Summary (Full)'!$B$42/10^(AG19/10)+'Summary (Full)'!$B$43/10^(AH19/10))/'Summary (Full)'!$B$44))</f>
        <v>0</v>
      </c>
      <c r="AJ19" s="129">
        <f>Test!Y124</f>
        <v>0</v>
      </c>
      <c r="AK19" s="129">
        <f>Test!Z124</f>
        <v>0</v>
      </c>
      <c r="AL19" s="129" t="e">
        <f t="shared" si="2"/>
        <v>#DIV/0!</v>
      </c>
      <c r="AM19" s="129" t="e">
        <f t="shared" si="2"/>
        <v>#DIV/0!</v>
      </c>
      <c r="AO19" s="254" t="s">
        <v>28</v>
      </c>
      <c r="AP19" s="172" t="e" cm="1">
        <f t="array" ref="AP19">bdRateExtend($C18:$C21,D18:D21,$U18:$U21,V18:V21)</f>
        <v>#VALUE!</v>
      </c>
      <c r="AQ19" s="172"/>
      <c r="AR19" s="172"/>
      <c r="AS19" s="172"/>
      <c r="AT19" s="172" t="e" cm="1">
        <f t="array" ref="AT19">bdRateExtend($C18:$C21,H18:H21,$U18:$U21,Z18:Z21)</f>
        <v>#VALUE!</v>
      </c>
      <c r="AU19" s="172"/>
      <c r="AV19" s="172" t="e" cm="1">
        <f t="array" ref="AV19">bdRateExtend($C18:$C21,I18:I21,$U18:$U21,AA18:AA21)</f>
        <v>#VALUE!</v>
      </c>
      <c r="AW19" s="172"/>
      <c r="AX19" s="172" t="e" cm="1">
        <f t="array" ref="AX19">bdRateExtend($C18:$C21,J18:J21,$U18:$U21,AB18:AB21,"None", FALSE,1)</f>
        <v>#VALUE!</v>
      </c>
      <c r="AY19" s="175"/>
      <c r="AZ19" s="286" cm="1">
        <f t="array" ref="AZ19">testVMAFRange($C18:$C21,J18:J21,$U18:$U21,AB18:AB21)</f>
        <v>0</v>
      </c>
      <c r="BA19" s="212"/>
      <c r="EV19" s="7"/>
      <c r="EW19" s="7"/>
      <c r="EX19" s="7"/>
      <c r="EY19" s="7"/>
      <c r="EZ19" s="7"/>
      <c r="FA19" s="7"/>
      <c r="FB19" s="7"/>
      <c r="FC19" s="7"/>
    </row>
    <row r="20" spans="1:159" x14ac:dyDescent="0.15">
      <c r="A20" s="249"/>
      <c r="B20" s="38">
        <v>185</v>
      </c>
      <c r="C20" s="129">
        <f>Anchor!L125</f>
        <v>0</v>
      </c>
      <c r="D20" s="129">
        <f>Anchor!M125</f>
        <v>0</v>
      </c>
      <c r="E20" s="129">
        <f>Anchor!N125</f>
        <v>0</v>
      </c>
      <c r="F20" s="129">
        <f>Anchor!O125</f>
        <v>0</v>
      </c>
      <c r="G20" s="130">
        <f>('Summary (Full)'!$B$34*D20+'Summary (Full)'!$B$35*E20+'Summary (Full)'!$B$36*F20)/'Summary (Full)'!$B$37</f>
        <v>0</v>
      </c>
      <c r="H20" s="129">
        <f>Anchor!P125</f>
        <v>0</v>
      </c>
      <c r="I20" s="129">
        <f>Anchor!Q125</f>
        <v>0</v>
      </c>
      <c r="J20" s="129">
        <f>Anchor!R125</f>
        <v>0</v>
      </c>
      <c r="K20" s="129">
        <f>Anchor!S125</f>
        <v>0</v>
      </c>
      <c r="L20" s="129">
        <f>Anchor!T125</f>
        <v>0</v>
      </c>
      <c r="M20" s="129">
        <f>Anchor!U125</f>
        <v>0</v>
      </c>
      <c r="N20" s="129">
        <f>Anchor!V125</f>
        <v>0</v>
      </c>
      <c r="O20" s="129">
        <f>Anchor!W125</f>
        <v>0</v>
      </c>
      <c r="P20" s="129">
        <f>Anchor!X125</f>
        <v>0</v>
      </c>
      <c r="Q20" s="131">
        <f>10*LOG10(1/(('Summary (Full)'!$B$41/10^(N20/10)+'Summary (Full)'!$B$42/10^(O20/10)+'Summary (Full)'!$B$43/10^(P20/10))/'Summary (Full)'!$B$44))</f>
        <v>0</v>
      </c>
      <c r="R20" s="129">
        <f>Anchor!Y125</f>
        <v>0</v>
      </c>
      <c r="S20" s="129">
        <f>Anchor!Z125</f>
        <v>0</v>
      </c>
      <c r="T20" s="132"/>
      <c r="U20" s="129">
        <f>Test!L125</f>
        <v>0</v>
      </c>
      <c r="V20" s="129">
        <f>Test!M125</f>
        <v>0</v>
      </c>
      <c r="W20" s="129">
        <f>Test!N125</f>
        <v>0</v>
      </c>
      <c r="X20" s="129">
        <f>Test!O125</f>
        <v>0</v>
      </c>
      <c r="Y20" s="129">
        <f>('Summary (Full)'!$B$34*V20+'Summary (Full)'!$B$35*W20+'Summary (Full)'!$B$36*X20)/'Summary (Full)'!$B$37</f>
        <v>0</v>
      </c>
      <c r="Z20" s="129">
        <f>Test!P125</f>
        <v>0</v>
      </c>
      <c r="AA20" s="129">
        <f>Test!Q125</f>
        <v>0</v>
      </c>
      <c r="AB20" s="129">
        <f>Test!R125</f>
        <v>0</v>
      </c>
      <c r="AC20" s="129">
        <f>Test!S125</f>
        <v>0</v>
      </c>
      <c r="AD20" s="129">
        <f>Test!T125</f>
        <v>0</v>
      </c>
      <c r="AE20" s="129">
        <f>Test!U125</f>
        <v>0</v>
      </c>
      <c r="AF20" s="129">
        <f>Test!V125</f>
        <v>0</v>
      </c>
      <c r="AG20" s="129">
        <f>Test!W125</f>
        <v>0</v>
      </c>
      <c r="AH20" s="129">
        <f>Test!X125</f>
        <v>0</v>
      </c>
      <c r="AI20" s="129">
        <f>10*LOG10(1/(('Summary (Full)'!$B$41/10^(AF20/10)+'Summary (Full)'!$B$42/10^(AG20/10)+'Summary (Full)'!$B$43/10^(AH20/10))/'Summary (Full)'!$B$44))</f>
        <v>0</v>
      </c>
      <c r="AJ20" s="129">
        <f>Test!Y125</f>
        <v>0</v>
      </c>
      <c r="AK20" s="129">
        <f>Test!Z125</f>
        <v>0</v>
      </c>
      <c r="AL20" s="129" t="e">
        <f t="shared" si="2"/>
        <v>#DIV/0!</v>
      </c>
      <c r="AM20" s="129" t="e">
        <f t="shared" si="2"/>
        <v>#DIV/0!</v>
      </c>
      <c r="AO20" s="254"/>
      <c r="AP20" s="172"/>
      <c r="AQ20" s="172"/>
      <c r="AR20" s="172"/>
      <c r="AS20" s="172"/>
      <c r="AT20" s="172"/>
      <c r="AU20" s="172"/>
      <c r="AV20" s="172"/>
      <c r="AW20" s="172"/>
      <c r="AX20" s="172"/>
      <c r="AY20" s="175"/>
      <c r="AZ20" s="286"/>
      <c r="BA20" s="212"/>
      <c r="EV20" s="7"/>
      <c r="EW20" s="7"/>
      <c r="EX20" s="7"/>
      <c r="EY20" s="7"/>
      <c r="EZ20" s="7"/>
      <c r="FA20" s="7"/>
      <c r="FB20" s="7"/>
      <c r="FC20" s="7"/>
    </row>
    <row r="21" spans="1:159" ht="13" customHeight="1" x14ac:dyDescent="0.15">
      <c r="A21" s="249"/>
      <c r="B21" s="38">
        <v>210</v>
      </c>
      <c r="C21" s="129">
        <f>Anchor!L126</f>
        <v>0</v>
      </c>
      <c r="D21" s="129">
        <f>Anchor!M126</f>
        <v>0</v>
      </c>
      <c r="E21" s="129">
        <f>Anchor!N126</f>
        <v>0</v>
      </c>
      <c r="F21" s="129">
        <f>Anchor!O126</f>
        <v>0</v>
      </c>
      <c r="G21" s="130">
        <f>('Summary (Full)'!$B$34*D21+'Summary (Full)'!$B$35*E21+'Summary (Full)'!$B$36*F21)/'Summary (Full)'!$B$37</f>
        <v>0</v>
      </c>
      <c r="H21" s="129">
        <f>Anchor!P126</f>
        <v>0</v>
      </c>
      <c r="I21" s="129">
        <f>Anchor!Q126</f>
        <v>0</v>
      </c>
      <c r="J21" s="129">
        <f>Anchor!R126</f>
        <v>0</v>
      </c>
      <c r="K21" s="129">
        <f>Anchor!S126</f>
        <v>0</v>
      </c>
      <c r="L21" s="129">
        <f>Anchor!T126</f>
        <v>0</v>
      </c>
      <c r="M21" s="129">
        <f>Anchor!U126</f>
        <v>0</v>
      </c>
      <c r="N21" s="129">
        <f>Anchor!V126</f>
        <v>0</v>
      </c>
      <c r="O21" s="129">
        <f>Anchor!W126</f>
        <v>0</v>
      </c>
      <c r="P21" s="129">
        <f>Anchor!X126</f>
        <v>0</v>
      </c>
      <c r="Q21" s="131">
        <f>10*LOG10(1/(('Summary (Full)'!$B$41/10^(N21/10)+'Summary (Full)'!$B$42/10^(O21/10)+'Summary (Full)'!$B$43/10^(P21/10))/'Summary (Full)'!$B$44))</f>
        <v>0</v>
      </c>
      <c r="R21" s="129">
        <f>Anchor!Y126</f>
        <v>0</v>
      </c>
      <c r="S21" s="129">
        <f>Anchor!Z126</f>
        <v>0</v>
      </c>
      <c r="T21" s="132"/>
      <c r="U21" s="129">
        <f>Test!L126</f>
        <v>0</v>
      </c>
      <c r="V21" s="129">
        <f>Test!M126</f>
        <v>0</v>
      </c>
      <c r="W21" s="129">
        <f>Test!N126</f>
        <v>0</v>
      </c>
      <c r="X21" s="129">
        <f>Test!O126</f>
        <v>0</v>
      </c>
      <c r="Y21" s="129">
        <f>('Summary (Full)'!$B$34*V21+'Summary (Full)'!$B$35*W21+'Summary (Full)'!$B$36*X21)/'Summary (Full)'!$B$37</f>
        <v>0</v>
      </c>
      <c r="Z21" s="129">
        <f>Test!P126</f>
        <v>0</v>
      </c>
      <c r="AA21" s="129">
        <f>Test!Q126</f>
        <v>0</v>
      </c>
      <c r="AB21" s="129">
        <f>Test!R126</f>
        <v>0</v>
      </c>
      <c r="AC21" s="129">
        <f>Test!S126</f>
        <v>0</v>
      </c>
      <c r="AD21" s="129">
        <f>Test!T126</f>
        <v>0</v>
      </c>
      <c r="AE21" s="129">
        <f>Test!U126</f>
        <v>0</v>
      </c>
      <c r="AF21" s="129">
        <f>Test!V126</f>
        <v>0</v>
      </c>
      <c r="AG21" s="129">
        <f>Test!W126</f>
        <v>0</v>
      </c>
      <c r="AH21" s="129">
        <f>Test!X126</f>
        <v>0</v>
      </c>
      <c r="AI21" s="129">
        <f>10*LOG10(1/(('Summary (Full)'!$B$41/10^(AF21/10)+'Summary (Full)'!$B$42/10^(AG21/10)+'Summary (Full)'!$B$43/10^(AH21/10))/'Summary (Full)'!$B$44))</f>
        <v>0</v>
      </c>
      <c r="AJ21" s="129">
        <f>Test!Y126</f>
        <v>0</v>
      </c>
      <c r="AK21" s="129">
        <f>Test!Z126</f>
        <v>0</v>
      </c>
      <c r="AL21" s="129" t="e">
        <f t="shared" si="2"/>
        <v>#DIV/0!</v>
      </c>
      <c r="AM21" s="129" t="e">
        <f t="shared" si="2"/>
        <v>#DIV/0!</v>
      </c>
      <c r="AO21" s="254" t="s">
        <v>29</v>
      </c>
      <c r="AP21" s="172" t="e" cm="1">
        <f t="array" ref="AP21">bdRateExtend($C19:$C22,D19:D22,$U19:$U22,V19:V22)</f>
        <v>#VALUE!</v>
      </c>
      <c r="AQ21" s="172"/>
      <c r="AR21" s="172"/>
      <c r="AS21" s="172"/>
      <c r="AT21" s="172" t="e" cm="1">
        <f t="array" ref="AT21">bdRateExtend($C19:$C22,H19:H22,$U19:$U22,Z19:Z22)</f>
        <v>#VALUE!</v>
      </c>
      <c r="AU21" s="172"/>
      <c r="AV21" s="172" t="e" cm="1">
        <f t="array" ref="AV21">bdRateExtend($C19:$C22,I19:I22,$U19:$U22,AA19:AA22)</f>
        <v>#VALUE!</v>
      </c>
      <c r="AW21" s="172"/>
      <c r="AX21" s="172" t="e" cm="1">
        <f t="array" ref="AX21">bdRateExtend($C19:$C22,J19:J22,$U19:$U22,AB19:AB22,"None", FALSE,1)</f>
        <v>#VALUE!</v>
      </c>
      <c r="AY21" s="175"/>
      <c r="AZ21" s="286" cm="1">
        <f t="array" ref="AZ21">testVMAFRange($C19:$C22,J19:J22,$U19:$U22,AB19:AB22)</f>
        <v>0</v>
      </c>
      <c r="BA21" s="212"/>
      <c r="EV21" s="7"/>
      <c r="EW21" s="7"/>
      <c r="EX21" s="7"/>
      <c r="EY21" s="7"/>
      <c r="EZ21" s="7"/>
      <c r="FA21" s="7"/>
      <c r="FB21" s="7"/>
      <c r="FC21" s="7"/>
    </row>
    <row r="22" spans="1:159" ht="14" thickBot="1" x14ac:dyDescent="0.2">
      <c r="A22" s="249"/>
      <c r="B22" s="38">
        <v>235</v>
      </c>
      <c r="C22" s="129">
        <f>Anchor!L127</f>
        <v>0</v>
      </c>
      <c r="D22" s="129">
        <f>Anchor!M127</f>
        <v>0</v>
      </c>
      <c r="E22" s="129">
        <f>Anchor!N127</f>
        <v>0</v>
      </c>
      <c r="F22" s="129">
        <f>Anchor!O127</f>
        <v>0</v>
      </c>
      <c r="G22" s="130">
        <f>('Summary (Full)'!$B$34*D22+'Summary (Full)'!$B$35*E22+'Summary (Full)'!$B$36*F22)/'Summary (Full)'!$B$37</f>
        <v>0</v>
      </c>
      <c r="H22" s="129">
        <f>Anchor!P127</f>
        <v>0</v>
      </c>
      <c r="I22" s="129">
        <f>Anchor!Q127</f>
        <v>0</v>
      </c>
      <c r="J22" s="129">
        <f>Anchor!R127</f>
        <v>0</v>
      </c>
      <c r="K22" s="129">
        <f>Anchor!S127</f>
        <v>0</v>
      </c>
      <c r="L22" s="129">
        <f>Anchor!T127</f>
        <v>0</v>
      </c>
      <c r="M22" s="129">
        <f>Anchor!U127</f>
        <v>0</v>
      </c>
      <c r="N22" s="129">
        <f>Anchor!V127</f>
        <v>0</v>
      </c>
      <c r="O22" s="129">
        <f>Anchor!W127</f>
        <v>0</v>
      </c>
      <c r="P22" s="129">
        <f>Anchor!X127</f>
        <v>0</v>
      </c>
      <c r="Q22" s="131">
        <f>10*LOG10(1/(('Summary (Full)'!$B$41/10^(N22/10)+'Summary (Full)'!$B$42/10^(O22/10)+'Summary (Full)'!$B$43/10^(P22/10))/'Summary (Full)'!$B$44))</f>
        <v>0</v>
      </c>
      <c r="R22" s="129">
        <f>Anchor!Y127</f>
        <v>0</v>
      </c>
      <c r="S22" s="129">
        <f>Anchor!Z127</f>
        <v>0</v>
      </c>
      <c r="T22" s="132"/>
      <c r="U22" s="129">
        <f>Test!L127</f>
        <v>0</v>
      </c>
      <c r="V22" s="129">
        <f>Test!M127</f>
        <v>0</v>
      </c>
      <c r="W22" s="129">
        <f>Test!N127</f>
        <v>0</v>
      </c>
      <c r="X22" s="129">
        <f>Test!O127</f>
        <v>0</v>
      </c>
      <c r="Y22" s="129">
        <f>('Summary (Full)'!$B$34*V22+'Summary (Full)'!$B$35*W22+'Summary (Full)'!$B$36*X22)/'Summary (Full)'!$B$37</f>
        <v>0</v>
      </c>
      <c r="Z22" s="129">
        <f>Test!P127</f>
        <v>0</v>
      </c>
      <c r="AA22" s="129">
        <f>Test!Q127</f>
        <v>0</v>
      </c>
      <c r="AB22" s="129">
        <f>Test!R127</f>
        <v>0</v>
      </c>
      <c r="AC22" s="129">
        <f>Test!S127</f>
        <v>0</v>
      </c>
      <c r="AD22" s="129">
        <f>Test!T127</f>
        <v>0</v>
      </c>
      <c r="AE22" s="129">
        <f>Test!U127</f>
        <v>0</v>
      </c>
      <c r="AF22" s="129">
        <f>Test!V127</f>
        <v>0</v>
      </c>
      <c r="AG22" s="129">
        <f>Test!W127</f>
        <v>0</v>
      </c>
      <c r="AH22" s="129">
        <f>Test!X127</f>
        <v>0</v>
      </c>
      <c r="AI22" s="129">
        <f>10*LOG10(1/(('Summary (Full)'!$B$41/10^(AF22/10)+'Summary (Full)'!$B$42/10^(AG22/10)+'Summary (Full)'!$B$43/10^(AH22/10))/'Summary (Full)'!$B$44))</f>
        <v>0</v>
      </c>
      <c r="AJ22" s="129">
        <f>Test!Y127</f>
        <v>0</v>
      </c>
      <c r="AK22" s="129">
        <f>Test!Z127</f>
        <v>0</v>
      </c>
      <c r="AL22" s="129" t="e">
        <f t="shared" si="2"/>
        <v>#DIV/0!</v>
      </c>
      <c r="AM22" s="129" t="e">
        <f t="shared" si="2"/>
        <v>#DIV/0!</v>
      </c>
      <c r="AO22" s="263"/>
      <c r="AP22" s="173"/>
      <c r="AQ22" s="173"/>
      <c r="AR22" s="173"/>
      <c r="AS22" s="173"/>
      <c r="AT22" s="173"/>
      <c r="AU22" s="173"/>
      <c r="AV22" s="173"/>
      <c r="AW22" s="173"/>
      <c r="AX22" s="173"/>
      <c r="AY22" s="188"/>
      <c r="AZ22" s="287"/>
      <c r="BA22" s="240"/>
      <c r="EV22" s="7"/>
      <c r="EW22" s="7"/>
      <c r="EX22" s="7"/>
      <c r="EY22" s="7"/>
      <c r="EZ22" s="7"/>
      <c r="FA22" s="7"/>
      <c r="FB22" s="7"/>
      <c r="FC22" s="7"/>
    </row>
    <row r="23" spans="1:159" ht="13" customHeight="1" x14ac:dyDescent="0.15">
      <c r="A23" s="250" t="s">
        <v>19</v>
      </c>
      <c r="B23" s="38">
        <v>110</v>
      </c>
      <c r="C23" s="129">
        <f>Anchor!L128</f>
        <v>0</v>
      </c>
      <c r="D23" s="129">
        <f>Anchor!M128</f>
        <v>0</v>
      </c>
      <c r="E23" s="129">
        <f>Anchor!N128</f>
        <v>0</v>
      </c>
      <c r="F23" s="129">
        <f>Anchor!O128</f>
        <v>0</v>
      </c>
      <c r="G23" s="130">
        <f>('Summary (Full)'!$B$34*D23+'Summary (Full)'!$B$35*E23+'Summary (Full)'!$B$36*F23)/'Summary (Full)'!$B$37</f>
        <v>0</v>
      </c>
      <c r="H23" s="129">
        <f>Anchor!P128</f>
        <v>0</v>
      </c>
      <c r="I23" s="129">
        <f>Anchor!Q128</f>
        <v>0</v>
      </c>
      <c r="J23" s="129">
        <f>Anchor!R128</f>
        <v>0</v>
      </c>
      <c r="K23" s="129">
        <f>Anchor!S128</f>
        <v>0</v>
      </c>
      <c r="L23" s="129">
        <f>Anchor!T128</f>
        <v>0</v>
      </c>
      <c r="M23" s="129">
        <f>Anchor!U128</f>
        <v>0</v>
      </c>
      <c r="N23" s="129">
        <f>Anchor!V128</f>
        <v>0</v>
      </c>
      <c r="O23" s="129">
        <f>Anchor!W128</f>
        <v>0</v>
      </c>
      <c r="P23" s="129">
        <f>Anchor!X128</f>
        <v>0</v>
      </c>
      <c r="Q23" s="131">
        <f>10*LOG10(1/(('Summary (Full)'!$B$41/10^(N23/10)+'Summary (Full)'!$B$42/10^(O23/10)+'Summary (Full)'!$B$43/10^(P23/10))/'Summary (Full)'!$B$44))</f>
        <v>0</v>
      </c>
      <c r="R23" s="129">
        <f>Anchor!Y128</f>
        <v>0</v>
      </c>
      <c r="S23" s="129">
        <f>Anchor!Z128</f>
        <v>0</v>
      </c>
      <c r="T23" s="132"/>
      <c r="U23" s="129">
        <f>Test!L128</f>
        <v>0</v>
      </c>
      <c r="V23" s="129">
        <f>Test!M128</f>
        <v>0</v>
      </c>
      <c r="W23" s="129">
        <f>Test!N128</f>
        <v>0</v>
      </c>
      <c r="X23" s="129">
        <f>Test!O128</f>
        <v>0</v>
      </c>
      <c r="Y23" s="129">
        <f>('Summary (Full)'!$B$34*V23+'Summary (Full)'!$B$35*W23+'Summary (Full)'!$B$36*X23)/'Summary (Full)'!$B$37</f>
        <v>0</v>
      </c>
      <c r="Z23" s="129">
        <f>Test!P128</f>
        <v>0</v>
      </c>
      <c r="AA23" s="129">
        <f>Test!Q128</f>
        <v>0</v>
      </c>
      <c r="AB23" s="129">
        <f>Test!R128</f>
        <v>0</v>
      </c>
      <c r="AC23" s="129">
        <f>Test!S128</f>
        <v>0</v>
      </c>
      <c r="AD23" s="129">
        <f>Test!T128</f>
        <v>0</v>
      </c>
      <c r="AE23" s="129">
        <f>Test!U128</f>
        <v>0</v>
      </c>
      <c r="AF23" s="129">
        <f>Test!V128</f>
        <v>0</v>
      </c>
      <c r="AG23" s="129">
        <f>Test!W128</f>
        <v>0</v>
      </c>
      <c r="AH23" s="129">
        <f>Test!X128</f>
        <v>0</v>
      </c>
      <c r="AI23" s="129">
        <f>10*LOG10(1/(('Summary (Full)'!$B$41/10^(AF23/10)+'Summary (Full)'!$B$42/10^(AG23/10)+'Summary (Full)'!$B$43/10^(AH23/10))/'Summary (Full)'!$B$44))</f>
        <v>0</v>
      </c>
      <c r="AJ23" s="129">
        <f>Test!Y128</f>
        <v>0</v>
      </c>
      <c r="AK23" s="129">
        <f>Test!Z128</f>
        <v>0</v>
      </c>
      <c r="AL23" s="129" t="e">
        <f t="shared" si="2"/>
        <v>#DIV/0!</v>
      </c>
      <c r="AM23" s="129" t="e">
        <f t="shared" si="2"/>
        <v>#DIV/0!</v>
      </c>
      <c r="AO23" s="253" t="s">
        <v>27</v>
      </c>
      <c r="AP23" s="171" t="e" cm="1">
        <f t="array" ref="AP23">bdRateExtend($C23:$C26,D23:D26,$U23:$U26,V23:V26)</f>
        <v>#VALUE!</v>
      </c>
      <c r="AQ23" s="171" t="e" cm="1">
        <f t="array" ref="AQ23">bdRateExtend($C23:$C28,D23:D28,$U23:$U28,V23:V28)</f>
        <v>#VALUE!</v>
      </c>
      <c r="AR23" s="171" t="e" cm="1">
        <f t="array" ref="AR23">bdRateExtend($C23:$C28,E23:E28,$U23:$U28,W23:W28)</f>
        <v>#VALUE!</v>
      </c>
      <c r="AS23" s="171" t="e" cm="1">
        <f t="array" ref="AS23">bdRateExtend($C23:$C28,F23:F28,$U23:$U28,X23:X28)</f>
        <v>#VALUE!</v>
      </c>
      <c r="AT23" s="171" t="e" cm="1">
        <f t="array" ref="AT23">bdRateExtend($C23:$C26,H23:H26,$U23:$U26,Z23:Z26)</f>
        <v>#VALUE!</v>
      </c>
      <c r="AU23" s="171" t="e" cm="1">
        <f t="array" ref="AU23">bdRateExtend($C23:$C28,H23:H28,$U23:$U28,Z23:Z28)</f>
        <v>#VALUE!</v>
      </c>
      <c r="AV23" s="171" t="e" cm="1">
        <f t="array" ref="AV23">bdRateExtend($C23:$C26,I23:I26,$U23:$U26,AA23:AA26)</f>
        <v>#VALUE!</v>
      </c>
      <c r="AW23" s="171" t="e" cm="1">
        <f t="array" ref="AW23">bdRateExtend($C23:$C28,I23:I28,$U23:$U28,AA23:AA28)</f>
        <v>#VALUE!</v>
      </c>
      <c r="AX23" s="171" t="e" cm="1">
        <f t="array" ref="AX23">bdRateExtend($C23:$C26,J23:J26,$U23:$U26,AB23:AB26,"None", FALSE,1)</f>
        <v>#VALUE!</v>
      </c>
      <c r="AY23" s="174" t="e" cm="1">
        <f t="array" ref="AY23">bdRateExtend($C23:$C28,J23:J28,$U23:$U28,AB23:AB28,"None", FALSE,TRUE)</f>
        <v>#VALUE!</v>
      </c>
      <c r="AZ23" s="285" cm="1">
        <f t="array" ref="AZ23">testVMAFRange($C23:$C26,J23:J26,$U23:$U26,AB23:AB26)</f>
        <v>0</v>
      </c>
      <c r="BA23" s="211" cm="1">
        <f t="array" ref="BA23">testVMAFRange($C23:$C28,J23:J28,$U23:$U28,AB23:AB28)</f>
        <v>0</v>
      </c>
      <c r="EV23" s="7"/>
      <c r="EW23" s="7"/>
      <c r="EX23" s="7"/>
      <c r="EY23" s="7"/>
      <c r="EZ23" s="7"/>
      <c r="FA23" s="7"/>
      <c r="FB23" s="7"/>
      <c r="FC23" s="7"/>
    </row>
    <row r="24" spans="1:159" x14ac:dyDescent="0.15">
      <c r="A24" s="250"/>
      <c r="B24" s="38">
        <v>135</v>
      </c>
      <c r="C24" s="129">
        <f>Anchor!L129</f>
        <v>0</v>
      </c>
      <c r="D24" s="129">
        <f>Anchor!M129</f>
        <v>0</v>
      </c>
      <c r="E24" s="129">
        <f>Anchor!N129</f>
        <v>0</v>
      </c>
      <c r="F24" s="129">
        <f>Anchor!O129</f>
        <v>0</v>
      </c>
      <c r="G24" s="130">
        <f>('Summary (Full)'!$B$34*D24+'Summary (Full)'!$B$35*E24+'Summary (Full)'!$B$36*F24)/'Summary (Full)'!$B$37</f>
        <v>0</v>
      </c>
      <c r="H24" s="129">
        <f>Anchor!P129</f>
        <v>0</v>
      </c>
      <c r="I24" s="129">
        <f>Anchor!Q129</f>
        <v>0</v>
      </c>
      <c r="J24" s="129">
        <f>Anchor!R129</f>
        <v>0</v>
      </c>
      <c r="K24" s="129">
        <f>Anchor!S129</f>
        <v>0</v>
      </c>
      <c r="L24" s="129">
        <f>Anchor!T129</f>
        <v>0</v>
      </c>
      <c r="M24" s="129">
        <f>Anchor!U129</f>
        <v>0</v>
      </c>
      <c r="N24" s="129">
        <f>Anchor!V129</f>
        <v>0</v>
      </c>
      <c r="O24" s="129">
        <f>Anchor!W129</f>
        <v>0</v>
      </c>
      <c r="P24" s="129">
        <f>Anchor!X129</f>
        <v>0</v>
      </c>
      <c r="Q24" s="131">
        <f>10*LOG10(1/(('Summary (Full)'!$B$41/10^(N24/10)+'Summary (Full)'!$B$42/10^(O24/10)+'Summary (Full)'!$B$43/10^(P24/10))/'Summary (Full)'!$B$44))</f>
        <v>0</v>
      </c>
      <c r="R24" s="129">
        <f>Anchor!Y129</f>
        <v>0</v>
      </c>
      <c r="S24" s="129">
        <f>Anchor!Z129</f>
        <v>0</v>
      </c>
      <c r="T24" s="132"/>
      <c r="U24" s="129">
        <f>Test!L129</f>
        <v>0</v>
      </c>
      <c r="V24" s="129">
        <f>Test!M129</f>
        <v>0</v>
      </c>
      <c r="W24" s="129">
        <f>Test!N129</f>
        <v>0</v>
      </c>
      <c r="X24" s="129">
        <f>Test!O129</f>
        <v>0</v>
      </c>
      <c r="Y24" s="129">
        <f>('Summary (Full)'!$B$34*V24+'Summary (Full)'!$B$35*W24+'Summary (Full)'!$B$36*X24)/'Summary (Full)'!$B$37</f>
        <v>0</v>
      </c>
      <c r="Z24" s="129">
        <f>Test!P129</f>
        <v>0</v>
      </c>
      <c r="AA24" s="129">
        <f>Test!Q129</f>
        <v>0</v>
      </c>
      <c r="AB24" s="129">
        <f>Test!R129</f>
        <v>0</v>
      </c>
      <c r="AC24" s="129">
        <f>Test!S129</f>
        <v>0</v>
      </c>
      <c r="AD24" s="129">
        <f>Test!T129</f>
        <v>0</v>
      </c>
      <c r="AE24" s="129">
        <f>Test!U129</f>
        <v>0</v>
      </c>
      <c r="AF24" s="129">
        <f>Test!V129</f>
        <v>0</v>
      </c>
      <c r="AG24" s="129">
        <f>Test!W129</f>
        <v>0</v>
      </c>
      <c r="AH24" s="129">
        <f>Test!X129</f>
        <v>0</v>
      </c>
      <c r="AI24" s="129">
        <f>10*LOG10(1/(('Summary (Full)'!$B$41/10^(AF24/10)+'Summary (Full)'!$B$42/10^(AG24/10)+'Summary (Full)'!$B$43/10^(AH24/10))/'Summary (Full)'!$B$44))</f>
        <v>0</v>
      </c>
      <c r="AJ24" s="129">
        <f>Test!Y129</f>
        <v>0</v>
      </c>
      <c r="AK24" s="129">
        <f>Test!Z129</f>
        <v>0</v>
      </c>
      <c r="AL24" s="129" t="e">
        <f t="shared" si="2"/>
        <v>#DIV/0!</v>
      </c>
      <c r="AM24" s="129" t="e">
        <f t="shared" si="2"/>
        <v>#DIV/0!</v>
      </c>
      <c r="AO24" s="254"/>
      <c r="AP24" s="172"/>
      <c r="AQ24" s="172"/>
      <c r="AR24" s="172"/>
      <c r="AS24" s="172"/>
      <c r="AT24" s="172"/>
      <c r="AU24" s="172"/>
      <c r="AV24" s="172"/>
      <c r="AW24" s="172"/>
      <c r="AX24" s="172"/>
      <c r="AY24" s="175"/>
      <c r="AZ24" s="286"/>
      <c r="BA24" s="212"/>
      <c r="EV24" s="7"/>
      <c r="EW24" s="7"/>
      <c r="EX24" s="7"/>
      <c r="EY24" s="7"/>
      <c r="EZ24" s="7"/>
      <c r="FA24" s="7"/>
      <c r="FB24" s="7"/>
      <c r="FC24" s="7"/>
    </row>
    <row r="25" spans="1:159" ht="13" customHeight="1" x14ac:dyDescent="0.15">
      <c r="A25" s="250"/>
      <c r="B25" s="38">
        <v>160</v>
      </c>
      <c r="C25" s="129">
        <f>Anchor!L130</f>
        <v>0</v>
      </c>
      <c r="D25" s="129">
        <f>Anchor!M130</f>
        <v>0</v>
      </c>
      <c r="E25" s="129">
        <f>Anchor!N130</f>
        <v>0</v>
      </c>
      <c r="F25" s="129">
        <f>Anchor!O130</f>
        <v>0</v>
      </c>
      <c r="G25" s="130">
        <f>('Summary (Full)'!$B$34*D25+'Summary (Full)'!$B$35*E25+'Summary (Full)'!$B$36*F25)/'Summary (Full)'!$B$37</f>
        <v>0</v>
      </c>
      <c r="H25" s="129">
        <f>Anchor!P130</f>
        <v>0</v>
      </c>
      <c r="I25" s="129">
        <f>Anchor!Q130</f>
        <v>0</v>
      </c>
      <c r="J25" s="129">
        <f>Anchor!R130</f>
        <v>0</v>
      </c>
      <c r="K25" s="129">
        <f>Anchor!S130</f>
        <v>0</v>
      </c>
      <c r="L25" s="129">
        <f>Anchor!T130</f>
        <v>0</v>
      </c>
      <c r="M25" s="129">
        <f>Anchor!U130</f>
        <v>0</v>
      </c>
      <c r="N25" s="129">
        <f>Anchor!V130</f>
        <v>0</v>
      </c>
      <c r="O25" s="129">
        <f>Anchor!W130</f>
        <v>0</v>
      </c>
      <c r="P25" s="129">
        <f>Anchor!X130</f>
        <v>0</v>
      </c>
      <c r="Q25" s="131">
        <f>10*LOG10(1/(('Summary (Full)'!$B$41/10^(N25/10)+'Summary (Full)'!$B$42/10^(O25/10)+'Summary (Full)'!$B$43/10^(P25/10))/'Summary (Full)'!$B$44))</f>
        <v>0</v>
      </c>
      <c r="R25" s="129">
        <f>Anchor!Y130</f>
        <v>0</v>
      </c>
      <c r="S25" s="129">
        <f>Anchor!Z130</f>
        <v>0</v>
      </c>
      <c r="T25" s="132"/>
      <c r="U25" s="129">
        <f>Test!L130</f>
        <v>0</v>
      </c>
      <c r="V25" s="129">
        <f>Test!M130</f>
        <v>0</v>
      </c>
      <c r="W25" s="129">
        <f>Test!N130</f>
        <v>0</v>
      </c>
      <c r="X25" s="129">
        <f>Test!O130</f>
        <v>0</v>
      </c>
      <c r="Y25" s="129">
        <f>('Summary (Full)'!$B$34*V25+'Summary (Full)'!$B$35*W25+'Summary (Full)'!$B$36*X25)/'Summary (Full)'!$B$37</f>
        <v>0</v>
      </c>
      <c r="Z25" s="129">
        <f>Test!P130</f>
        <v>0</v>
      </c>
      <c r="AA25" s="129">
        <f>Test!Q130</f>
        <v>0</v>
      </c>
      <c r="AB25" s="129">
        <f>Test!R130</f>
        <v>0</v>
      </c>
      <c r="AC25" s="129">
        <f>Test!S130</f>
        <v>0</v>
      </c>
      <c r="AD25" s="129">
        <f>Test!T130</f>
        <v>0</v>
      </c>
      <c r="AE25" s="129">
        <f>Test!U130</f>
        <v>0</v>
      </c>
      <c r="AF25" s="129">
        <f>Test!V130</f>
        <v>0</v>
      </c>
      <c r="AG25" s="129">
        <f>Test!W130</f>
        <v>0</v>
      </c>
      <c r="AH25" s="129">
        <f>Test!X130</f>
        <v>0</v>
      </c>
      <c r="AI25" s="129">
        <f>10*LOG10(1/(('Summary (Full)'!$B$41/10^(AF25/10)+'Summary (Full)'!$B$42/10^(AG25/10)+'Summary (Full)'!$B$43/10^(AH25/10))/'Summary (Full)'!$B$44))</f>
        <v>0</v>
      </c>
      <c r="AJ25" s="129">
        <f>Test!Y130</f>
        <v>0</v>
      </c>
      <c r="AK25" s="129">
        <f>Test!Z130</f>
        <v>0</v>
      </c>
      <c r="AL25" s="129" t="e">
        <f t="shared" si="2"/>
        <v>#DIV/0!</v>
      </c>
      <c r="AM25" s="129" t="e">
        <f t="shared" si="2"/>
        <v>#DIV/0!</v>
      </c>
      <c r="AO25" s="254" t="s">
        <v>28</v>
      </c>
      <c r="AP25" s="172" t="e" cm="1">
        <f t="array" ref="AP25">bdRateExtend($C24:$C27,D24:D27,$U24:$U27,V24:V27)</f>
        <v>#VALUE!</v>
      </c>
      <c r="AQ25" s="172"/>
      <c r="AR25" s="172"/>
      <c r="AS25" s="172"/>
      <c r="AT25" s="172" t="e" cm="1">
        <f t="array" ref="AT25">bdRateExtend($C24:$C27,H24:H27,$U24:$U27,Z24:Z27)</f>
        <v>#VALUE!</v>
      </c>
      <c r="AU25" s="172"/>
      <c r="AV25" s="172" t="e" cm="1">
        <f t="array" ref="AV25">bdRateExtend($C24:$C27,I24:I27,$U24:$U27,AA24:AA27)</f>
        <v>#VALUE!</v>
      </c>
      <c r="AW25" s="172"/>
      <c r="AX25" s="172" t="e" cm="1">
        <f t="array" ref="AX25">bdRateExtend($C24:$C27,J24:J27,$U24:$U27,AB24:AB27,"None", FALSE,1)</f>
        <v>#VALUE!</v>
      </c>
      <c r="AY25" s="175"/>
      <c r="AZ25" s="286" cm="1">
        <f t="array" ref="AZ25">testVMAFRange($C24:$C27,J24:J27,$U24:$U27,AB24:AB27)</f>
        <v>0</v>
      </c>
      <c r="BA25" s="212"/>
      <c r="EV25" s="7"/>
      <c r="EW25" s="7"/>
      <c r="EX25" s="7"/>
      <c r="EY25" s="7"/>
      <c r="EZ25" s="7"/>
      <c r="FA25" s="7"/>
      <c r="FB25" s="7"/>
      <c r="FC25" s="7"/>
    </row>
    <row r="26" spans="1:159" x14ac:dyDescent="0.15">
      <c r="A26" s="250"/>
      <c r="B26" s="38">
        <v>185</v>
      </c>
      <c r="C26" s="129">
        <f>Anchor!L131</f>
        <v>0</v>
      </c>
      <c r="D26" s="129">
        <f>Anchor!M131</f>
        <v>0</v>
      </c>
      <c r="E26" s="129">
        <f>Anchor!N131</f>
        <v>0</v>
      </c>
      <c r="F26" s="129">
        <f>Anchor!O131</f>
        <v>0</v>
      </c>
      <c r="G26" s="130">
        <f>('Summary (Full)'!$B$34*D26+'Summary (Full)'!$B$35*E26+'Summary (Full)'!$B$36*F26)/'Summary (Full)'!$B$37</f>
        <v>0</v>
      </c>
      <c r="H26" s="129">
        <f>Anchor!P131</f>
        <v>0</v>
      </c>
      <c r="I26" s="129">
        <f>Anchor!Q131</f>
        <v>0</v>
      </c>
      <c r="J26" s="129">
        <f>Anchor!R131</f>
        <v>0</v>
      </c>
      <c r="K26" s="129">
        <f>Anchor!S131</f>
        <v>0</v>
      </c>
      <c r="L26" s="129">
        <f>Anchor!T131</f>
        <v>0</v>
      </c>
      <c r="M26" s="129">
        <f>Anchor!U131</f>
        <v>0</v>
      </c>
      <c r="N26" s="129">
        <f>Anchor!V131</f>
        <v>0</v>
      </c>
      <c r="O26" s="129">
        <f>Anchor!W131</f>
        <v>0</v>
      </c>
      <c r="P26" s="129">
        <f>Anchor!X131</f>
        <v>0</v>
      </c>
      <c r="Q26" s="131">
        <f>10*LOG10(1/(('Summary (Full)'!$B$41/10^(N26/10)+'Summary (Full)'!$B$42/10^(O26/10)+'Summary (Full)'!$B$43/10^(P26/10))/'Summary (Full)'!$B$44))</f>
        <v>0</v>
      </c>
      <c r="R26" s="129">
        <f>Anchor!Y131</f>
        <v>0</v>
      </c>
      <c r="S26" s="129">
        <f>Anchor!Z131</f>
        <v>0</v>
      </c>
      <c r="T26" s="132"/>
      <c r="U26" s="129">
        <f>Test!L131</f>
        <v>0</v>
      </c>
      <c r="V26" s="129">
        <f>Test!M131</f>
        <v>0</v>
      </c>
      <c r="W26" s="129">
        <f>Test!N131</f>
        <v>0</v>
      </c>
      <c r="X26" s="129">
        <f>Test!O131</f>
        <v>0</v>
      </c>
      <c r="Y26" s="129">
        <f>('Summary (Full)'!$B$34*V26+'Summary (Full)'!$B$35*W26+'Summary (Full)'!$B$36*X26)/'Summary (Full)'!$B$37</f>
        <v>0</v>
      </c>
      <c r="Z26" s="129">
        <f>Test!P131</f>
        <v>0</v>
      </c>
      <c r="AA26" s="129">
        <f>Test!Q131</f>
        <v>0</v>
      </c>
      <c r="AB26" s="129">
        <f>Test!R131</f>
        <v>0</v>
      </c>
      <c r="AC26" s="129">
        <f>Test!S131</f>
        <v>0</v>
      </c>
      <c r="AD26" s="129">
        <f>Test!T131</f>
        <v>0</v>
      </c>
      <c r="AE26" s="129">
        <f>Test!U131</f>
        <v>0</v>
      </c>
      <c r="AF26" s="129">
        <f>Test!V131</f>
        <v>0</v>
      </c>
      <c r="AG26" s="129">
        <f>Test!W131</f>
        <v>0</v>
      </c>
      <c r="AH26" s="129">
        <f>Test!X131</f>
        <v>0</v>
      </c>
      <c r="AI26" s="129">
        <f>10*LOG10(1/(('Summary (Full)'!$B$41/10^(AF26/10)+'Summary (Full)'!$B$42/10^(AG26/10)+'Summary (Full)'!$B$43/10^(AH26/10))/'Summary (Full)'!$B$44))</f>
        <v>0</v>
      </c>
      <c r="AJ26" s="129">
        <f>Test!Y131</f>
        <v>0</v>
      </c>
      <c r="AK26" s="129">
        <f>Test!Z131</f>
        <v>0</v>
      </c>
      <c r="AL26" s="129" t="e">
        <f t="shared" si="2"/>
        <v>#DIV/0!</v>
      </c>
      <c r="AM26" s="129" t="e">
        <f t="shared" si="2"/>
        <v>#DIV/0!</v>
      </c>
      <c r="AO26" s="254"/>
      <c r="AP26" s="172"/>
      <c r="AQ26" s="172"/>
      <c r="AR26" s="172"/>
      <c r="AS26" s="172"/>
      <c r="AT26" s="172"/>
      <c r="AU26" s="172"/>
      <c r="AV26" s="172"/>
      <c r="AW26" s="172"/>
      <c r="AX26" s="172"/>
      <c r="AY26" s="175"/>
      <c r="AZ26" s="286"/>
      <c r="BA26" s="212"/>
      <c r="EV26" s="7"/>
      <c r="EW26" s="7"/>
      <c r="EX26" s="7"/>
      <c r="EY26" s="7"/>
      <c r="EZ26" s="7"/>
      <c r="FA26" s="7"/>
      <c r="FB26" s="7"/>
      <c r="FC26" s="7"/>
    </row>
    <row r="27" spans="1:159" ht="13" customHeight="1" x14ac:dyDescent="0.15">
      <c r="A27" s="250"/>
      <c r="B27" s="38">
        <v>210</v>
      </c>
      <c r="C27" s="129">
        <f>Anchor!L132</f>
        <v>0</v>
      </c>
      <c r="D27" s="129">
        <f>Anchor!M132</f>
        <v>0</v>
      </c>
      <c r="E27" s="129">
        <f>Anchor!N132</f>
        <v>0</v>
      </c>
      <c r="F27" s="129">
        <f>Anchor!O132</f>
        <v>0</v>
      </c>
      <c r="G27" s="130">
        <f>('Summary (Full)'!$B$34*D27+'Summary (Full)'!$B$35*E27+'Summary (Full)'!$B$36*F27)/'Summary (Full)'!$B$37</f>
        <v>0</v>
      </c>
      <c r="H27" s="129">
        <f>Anchor!P132</f>
        <v>0</v>
      </c>
      <c r="I27" s="129">
        <f>Anchor!Q132</f>
        <v>0</v>
      </c>
      <c r="J27" s="129">
        <f>Anchor!R132</f>
        <v>0</v>
      </c>
      <c r="K27" s="129">
        <f>Anchor!S132</f>
        <v>0</v>
      </c>
      <c r="L27" s="129">
        <f>Anchor!T132</f>
        <v>0</v>
      </c>
      <c r="M27" s="129">
        <f>Anchor!U132</f>
        <v>0</v>
      </c>
      <c r="N27" s="129">
        <f>Anchor!V132</f>
        <v>0</v>
      </c>
      <c r="O27" s="129">
        <f>Anchor!W132</f>
        <v>0</v>
      </c>
      <c r="P27" s="129">
        <f>Anchor!X132</f>
        <v>0</v>
      </c>
      <c r="Q27" s="131">
        <f>10*LOG10(1/(('Summary (Full)'!$B$41/10^(N27/10)+'Summary (Full)'!$B$42/10^(O27/10)+'Summary (Full)'!$B$43/10^(P27/10))/'Summary (Full)'!$B$44))</f>
        <v>0</v>
      </c>
      <c r="R27" s="129">
        <f>Anchor!Y132</f>
        <v>0</v>
      </c>
      <c r="S27" s="129">
        <f>Anchor!Z132</f>
        <v>0</v>
      </c>
      <c r="T27" s="132"/>
      <c r="U27" s="129">
        <f>Test!L132</f>
        <v>0</v>
      </c>
      <c r="V27" s="129">
        <f>Test!M132</f>
        <v>0</v>
      </c>
      <c r="W27" s="129">
        <f>Test!N132</f>
        <v>0</v>
      </c>
      <c r="X27" s="129">
        <f>Test!O132</f>
        <v>0</v>
      </c>
      <c r="Y27" s="129">
        <f>('Summary (Full)'!$B$34*V27+'Summary (Full)'!$B$35*W27+'Summary (Full)'!$B$36*X27)/'Summary (Full)'!$B$37</f>
        <v>0</v>
      </c>
      <c r="Z27" s="129">
        <f>Test!P132</f>
        <v>0</v>
      </c>
      <c r="AA27" s="129">
        <f>Test!Q132</f>
        <v>0</v>
      </c>
      <c r="AB27" s="129">
        <f>Test!R132</f>
        <v>0</v>
      </c>
      <c r="AC27" s="129">
        <f>Test!S132</f>
        <v>0</v>
      </c>
      <c r="AD27" s="129">
        <f>Test!T132</f>
        <v>0</v>
      </c>
      <c r="AE27" s="129">
        <f>Test!U132</f>
        <v>0</v>
      </c>
      <c r="AF27" s="129">
        <f>Test!V132</f>
        <v>0</v>
      </c>
      <c r="AG27" s="129">
        <f>Test!W132</f>
        <v>0</v>
      </c>
      <c r="AH27" s="129">
        <f>Test!X132</f>
        <v>0</v>
      </c>
      <c r="AI27" s="129">
        <f>10*LOG10(1/(('Summary (Full)'!$B$41/10^(AF27/10)+'Summary (Full)'!$B$42/10^(AG27/10)+'Summary (Full)'!$B$43/10^(AH27/10))/'Summary (Full)'!$B$44))</f>
        <v>0</v>
      </c>
      <c r="AJ27" s="129">
        <f>Test!Y132</f>
        <v>0</v>
      </c>
      <c r="AK27" s="129">
        <f>Test!Z132</f>
        <v>0</v>
      </c>
      <c r="AL27" s="129" t="e">
        <f t="shared" si="2"/>
        <v>#DIV/0!</v>
      </c>
      <c r="AM27" s="129" t="e">
        <f t="shared" si="2"/>
        <v>#DIV/0!</v>
      </c>
      <c r="AO27" s="254" t="s">
        <v>29</v>
      </c>
      <c r="AP27" s="172" t="e" cm="1">
        <f t="array" ref="AP27">bdRateExtend($C25:$C28,D25:D28,$U25:$U28,V25:V28)</f>
        <v>#VALUE!</v>
      </c>
      <c r="AQ27" s="172"/>
      <c r="AR27" s="172"/>
      <c r="AS27" s="172"/>
      <c r="AT27" s="172" t="e" cm="1">
        <f t="array" ref="AT27">bdRateExtend($C25:$C28,H25:H28,$U25:$U28,Z25:Z28)</f>
        <v>#VALUE!</v>
      </c>
      <c r="AU27" s="172"/>
      <c r="AV27" s="172" t="e" cm="1">
        <f t="array" ref="AV27">bdRateExtend($C25:$C28,I25:I28,$U25:$U28,AA25:AA28)</f>
        <v>#VALUE!</v>
      </c>
      <c r="AW27" s="172"/>
      <c r="AX27" s="172" t="e" cm="1">
        <f t="array" ref="AX27">bdRateExtend($C25:$C28,J25:J28,$U25:$U28,AB25:AB28,"None", FALSE,1)</f>
        <v>#VALUE!</v>
      </c>
      <c r="AY27" s="175"/>
      <c r="AZ27" s="286" cm="1">
        <f t="array" ref="AZ27">testVMAFRange($C25:$C28,J25:J28,$U25:$U28,AB25:AB28)</f>
        <v>0</v>
      </c>
      <c r="BA27" s="212"/>
      <c r="EV27" s="7"/>
      <c r="EW27" s="7"/>
      <c r="EX27" s="7"/>
      <c r="EY27" s="7"/>
      <c r="EZ27" s="7"/>
      <c r="FA27" s="7"/>
      <c r="FB27" s="7"/>
      <c r="FC27" s="7"/>
    </row>
    <row r="28" spans="1:159" ht="14" thickBot="1" x14ac:dyDescent="0.2">
      <c r="A28" s="250"/>
      <c r="B28" s="38">
        <v>235</v>
      </c>
      <c r="C28" s="129">
        <f>Anchor!L133</f>
        <v>0</v>
      </c>
      <c r="D28" s="129">
        <f>Anchor!M133</f>
        <v>0</v>
      </c>
      <c r="E28" s="129">
        <f>Anchor!N133</f>
        <v>0</v>
      </c>
      <c r="F28" s="129">
        <f>Anchor!O133</f>
        <v>0</v>
      </c>
      <c r="G28" s="130">
        <f>('Summary (Full)'!$B$34*D28+'Summary (Full)'!$B$35*E28+'Summary (Full)'!$B$36*F28)/'Summary (Full)'!$B$37</f>
        <v>0</v>
      </c>
      <c r="H28" s="129">
        <f>Anchor!P133</f>
        <v>0</v>
      </c>
      <c r="I28" s="129">
        <f>Anchor!Q133</f>
        <v>0</v>
      </c>
      <c r="J28" s="129">
        <f>Anchor!R133</f>
        <v>0</v>
      </c>
      <c r="K28" s="129">
        <f>Anchor!S133</f>
        <v>0</v>
      </c>
      <c r="L28" s="129">
        <f>Anchor!T133</f>
        <v>0</v>
      </c>
      <c r="M28" s="129">
        <f>Anchor!U133</f>
        <v>0</v>
      </c>
      <c r="N28" s="129">
        <f>Anchor!V133</f>
        <v>0</v>
      </c>
      <c r="O28" s="129">
        <f>Anchor!W133</f>
        <v>0</v>
      </c>
      <c r="P28" s="129">
        <f>Anchor!X133</f>
        <v>0</v>
      </c>
      <c r="Q28" s="131">
        <f>10*LOG10(1/(('Summary (Full)'!$B$41/10^(N28/10)+'Summary (Full)'!$B$42/10^(O28/10)+'Summary (Full)'!$B$43/10^(P28/10))/'Summary (Full)'!$B$44))</f>
        <v>0</v>
      </c>
      <c r="R28" s="129">
        <f>Anchor!Y133</f>
        <v>0</v>
      </c>
      <c r="S28" s="129">
        <f>Anchor!Z133</f>
        <v>0</v>
      </c>
      <c r="T28" s="132"/>
      <c r="U28" s="129">
        <f>Test!L133</f>
        <v>0</v>
      </c>
      <c r="V28" s="129">
        <f>Test!M133</f>
        <v>0</v>
      </c>
      <c r="W28" s="129">
        <f>Test!N133</f>
        <v>0</v>
      </c>
      <c r="X28" s="129">
        <f>Test!O133</f>
        <v>0</v>
      </c>
      <c r="Y28" s="129">
        <f>('Summary (Full)'!$B$34*V28+'Summary (Full)'!$B$35*W28+'Summary (Full)'!$B$36*X28)/'Summary (Full)'!$B$37</f>
        <v>0</v>
      </c>
      <c r="Z28" s="129">
        <f>Test!P133</f>
        <v>0</v>
      </c>
      <c r="AA28" s="129">
        <f>Test!Q133</f>
        <v>0</v>
      </c>
      <c r="AB28" s="129">
        <f>Test!R133</f>
        <v>0</v>
      </c>
      <c r="AC28" s="129">
        <f>Test!S133</f>
        <v>0</v>
      </c>
      <c r="AD28" s="129">
        <f>Test!T133</f>
        <v>0</v>
      </c>
      <c r="AE28" s="129">
        <f>Test!U133</f>
        <v>0</v>
      </c>
      <c r="AF28" s="129">
        <f>Test!V133</f>
        <v>0</v>
      </c>
      <c r="AG28" s="129">
        <f>Test!W133</f>
        <v>0</v>
      </c>
      <c r="AH28" s="129">
        <f>Test!X133</f>
        <v>0</v>
      </c>
      <c r="AI28" s="129">
        <f>10*LOG10(1/(('Summary (Full)'!$B$41/10^(AF28/10)+'Summary (Full)'!$B$42/10^(AG28/10)+'Summary (Full)'!$B$43/10^(AH28/10))/'Summary (Full)'!$B$44))</f>
        <v>0</v>
      </c>
      <c r="AJ28" s="129">
        <f>Test!Y133</f>
        <v>0</v>
      </c>
      <c r="AK28" s="129">
        <f>Test!Z133</f>
        <v>0</v>
      </c>
      <c r="AL28" s="129" t="e">
        <f t="shared" si="2"/>
        <v>#DIV/0!</v>
      </c>
      <c r="AM28" s="129" t="e">
        <f t="shared" si="2"/>
        <v>#DIV/0!</v>
      </c>
      <c r="AO28" s="263"/>
      <c r="AP28" s="173"/>
      <c r="AQ28" s="173"/>
      <c r="AR28" s="173"/>
      <c r="AS28" s="173"/>
      <c r="AT28" s="173"/>
      <c r="AU28" s="173"/>
      <c r="AV28" s="173"/>
      <c r="AW28" s="173"/>
      <c r="AX28" s="173"/>
      <c r="AY28" s="188"/>
      <c r="AZ28" s="287"/>
      <c r="BA28" s="240"/>
      <c r="EV28" s="7"/>
      <c r="EW28" s="7"/>
      <c r="EX28" s="7"/>
      <c r="EY28" s="7"/>
      <c r="EZ28" s="7"/>
      <c r="FA28" s="7"/>
      <c r="FB28" s="7"/>
      <c r="FC28" s="7"/>
    </row>
    <row r="29" spans="1:159" ht="13" customHeight="1" x14ac:dyDescent="0.15">
      <c r="A29" s="250" t="s">
        <v>9</v>
      </c>
      <c r="B29" s="38">
        <v>110</v>
      </c>
      <c r="C29" s="129">
        <f>Anchor!L134</f>
        <v>0</v>
      </c>
      <c r="D29" s="129">
        <f>Anchor!M134</f>
        <v>0</v>
      </c>
      <c r="E29" s="129">
        <f>Anchor!N134</f>
        <v>0</v>
      </c>
      <c r="F29" s="129">
        <f>Anchor!O134</f>
        <v>0</v>
      </c>
      <c r="G29" s="130">
        <f>('Summary (Full)'!$B$34*D29+'Summary (Full)'!$B$35*E29+'Summary (Full)'!$B$36*F29)/'Summary (Full)'!$B$37</f>
        <v>0</v>
      </c>
      <c r="H29" s="129">
        <f>Anchor!P134</f>
        <v>0</v>
      </c>
      <c r="I29" s="129">
        <f>Anchor!Q134</f>
        <v>0</v>
      </c>
      <c r="J29" s="129">
        <f>Anchor!R134</f>
        <v>0</v>
      </c>
      <c r="K29" s="129">
        <f>Anchor!S134</f>
        <v>0</v>
      </c>
      <c r="L29" s="129">
        <f>Anchor!T134</f>
        <v>0</v>
      </c>
      <c r="M29" s="129">
        <f>Anchor!U134</f>
        <v>0</v>
      </c>
      <c r="N29" s="129">
        <f>Anchor!V134</f>
        <v>0</v>
      </c>
      <c r="O29" s="129">
        <f>Anchor!W134</f>
        <v>0</v>
      </c>
      <c r="P29" s="129">
        <f>Anchor!X134</f>
        <v>0</v>
      </c>
      <c r="Q29" s="131">
        <f>10*LOG10(1/(('Summary (Full)'!$B$41/10^(N29/10)+'Summary (Full)'!$B$42/10^(O29/10)+'Summary (Full)'!$B$43/10^(P29/10))/'Summary (Full)'!$B$44))</f>
        <v>0</v>
      </c>
      <c r="R29" s="129">
        <f>Anchor!Y134</f>
        <v>0</v>
      </c>
      <c r="S29" s="129">
        <f>Anchor!Z134</f>
        <v>0</v>
      </c>
      <c r="T29" s="132"/>
      <c r="U29" s="129">
        <f>Test!L134</f>
        <v>0</v>
      </c>
      <c r="V29" s="129">
        <f>Test!M134</f>
        <v>0</v>
      </c>
      <c r="W29" s="129">
        <f>Test!N134</f>
        <v>0</v>
      </c>
      <c r="X29" s="129">
        <f>Test!O134</f>
        <v>0</v>
      </c>
      <c r="Y29" s="129">
        <f>('Summary (Full)'!$B$34*V29+'Summary (Full)'!$B$35*W29+'Summary (Full)'!$B$36*X29)/'Summary (Full)'!$B$37</f>
        <v>0</v>
      </c>
      <c r="Z29" s="129">
        <f>Test!P134</f>
        <v>0</v>
      </c>
      <c r="AA29" s="129">
        <f>Test!Q134</f>
        <v>0</v>
      </c>
      <c r="AB29" s="129">
        <f>Test!R134</f>
        <v>0</v>
      </c>
      <c r="AC29" s="129">
        <f>Test!S134</f>
        <v>0</v>
      </c>
      <c r="AD29" s="129">
        <f>Test!T134</f>
        <v>0</v>
      </c>
      <c r="AE29" s="129">
        <f>Test!U134</f>
        <v>0</v>
      </c>
      <c r="AF29" s="129">
        <f>Test!V134</f>
        <v>0</v>
      </c>
      <c r="AG29" s="129">
        <f>Test!W134</f>
        <v>0</v>
      </c>
      <c r="AH29" s="129">
        <f>Test!X134</f>
        <v>0</v>
      </c>
      <c r="AI29" s="129">
        <f>10*LOG10(1/(('Summary (Full)'!$B$41/10^(AF29/10)+'Summary (Full)'!$B$42/10^(AG29/10)+'Summary (Full)'!$B$43/10^(AH29/10))/'Summary (Full)'!$B$44))</f>
        <v>0</v>
      </c>
      <c r="AJ29" s="129">
        <f>Test!Y134</f>
        <v>0</v>
      </c>
      <c r="AK29" s="129">
        <f>Test!Z134</f>
        <v>0</v>
      </c>
      <c r="AL29" s="129" t="e">
        <f t="shared" si="2"/>
        <v>#DIV/0!</v>
      </c>
      <c r="AM29" s="129" t="e">
        <f t="shared" si="2"/>
        <v>#DIV/0!</v>
      </c>
      <c r="AO29" s="253" t="s">
        <v>27</v>
      </c>
      <c r="AP29" s="171" t="e" cm="1">
        <f t="array" ref="AP29">bdRateExtend($C29:$C32,D29:D32,$U29:$U32,V29:V32)</f>
        <v>#VALUE!</v>
      </c>
      <c r="AQ29" s="171" t="e" cm="1">
        <f t="array" ref="AQ29">bdRateExtend($C29:$C34,D29:D34,$U29:$U34,V29:V34)</f>
        <v>#VALUE!</v>
      </c>
      <c r="AR29" s="171" t="e" cm="1">
        <f t="array" ref="AR29">bdRateExtend($C29:$C34,E29:E34,$U29:$U34,W29:W34)</f>
        <v>#VALUE!</v>
      </c>
      <c r="AS29" s="171" t="e" cm="1">
        <f t="array" ref="AS29">bdRateExtend($C29:$C34,F29:F34,$U29:$U34,X29:X34)</f>
        <v>#VALUE!</v>
      </c>
      <c r="AT29" s="171" t="e" cm="1">
        <f t="array" ref="AT29">bdRateExtend($C29:$C32,H29:H32,$U29:$U32,Z29:Z32)</f>
        <v>#VALUE!</v>
      </c>
      <c r="AU29" s="171" t="e" cm="1">
        <f t="array" ref="AU29">bdRateExtend($C29:$C34,H29:H34,$U29:$U34,Z29:Z34)</f>
        <v>#VALUE!</v>
      </c>
      <c r="AV29" s="171" t="e" cm="1">
        <f t="array" ref="AV29">bdRateExtend($C29:$C32,I29:I32,$U29:$U32,AA29:AA32)</f>
        <v>#VALUE!</v>
      </c>
      <c r="AW29" s="171" t="e" cm="1">
        <f t="array" ref="AW29">bdRateExtend($C29:$C34,I29:I34,$U29:$U34,AA29:AA34)</f>
        <v>#VALUE!</v>
      </c>
      <c r="AX29" s="171" t="e" cm="1">
        <f t="array" ref="AX29">bdRateExtend($C29:$C32,J29:J32,$U29:$U32,AB29:AB32,"None", FALSE,1)</f>
        <v>#VALUE!</v>
      </c>
      <c r="AY29" s="174" t="e" cm="1">
        <f t="array" ref="AY29">bdRateExtend($C29:$C34,J29:J34,$U29:$U34,AB29:AB34,"None", FALSE,TRUE)</f>
        <v>#VALUE!</v>
      </c>
      <c r="AZ29" s="285" cm="1">
        <f t="array" ref="AZ29">testVMAFRange($C29:$C32,J29:J32,$U29:$U32,AB29:AB32)</f>
        <v>0</v>
      </c>
      <c r="BA29" s="211" cm="1">
        <f t="array" ref="BA29">testVMAFRange($C29:$C34,J29:J34,$U29:$U34,AB29:AB34)</f>
        <v>0</v>
      </c>
      <c r="EV29" s="7"/>
      <c r="EW29" s="7"/>
      <c r="EX29" s="7"/>
      <c r="EY29" s="7"/>
      <c r="EZ29" s="7"/>
      <c r="FA29" s="7"/>
      <c r="FB29" s="7"/>
      <c r="FC29" s="7"/>
    </row>
    <row r="30" spans="1:159" x14ac:dyDescent="0.15">
      <c r="A30" s="250"/>
      <c r="B30" s="38">
        <v>135</v>
      </c>
      <c r="C30" s="129">
        <f>Anchor!L135</f>
        <v>0</v>
      </c>
      <c r="D30" s="129">
        <f>Anchor!M135</f>
        <v>0</v>
      </c>
      <c r="E30" s="129">
        <f>Anchor!N135</f>
        <v>0</v>
      </c>
      <c r="F30" s="129">
        <f>Anchor!O135</f>
        <v>0</v>
      </c>
      <c r="G30" s="130">
        <f>('Summary (Full)'!$B$34*D30+'Summary (Full)'!$B$35*E30+'Summary (Full)'!$B$36*F30)/'Summary (Full)'!$B$37</f>
        <v>0</v>
      </c>
      <c r="H30" s="129">
        <f>Anchor!P135</f>
        <v>0</v>
      </c>
      <c r="I30" s="129">
        <f>Anchor!Q135</f>
        <v>0</v>
      </c>
      <c r="J30" s="129">
        <f>Anchor!R135</f>
        <v>0</v>
      </c>
      <c r="K30" s="129">
        <f>Anchor!S135</f>
        <v>0</v>
      </c>
      <c r="L30" s="129">
        <f>Anchor!T135</f>
        <v>0</v>
      </c>
      <c r="M30" s="129">
        <f>Anchor!U135</f>
        <v>0</v>
      </c>
      <c r="N30" s="129">
        <f>Anchor!V135</f>
        <v>0</v>
      </c>
      <c r="O30" s="129">
        <f>Anchor!W135</f>
        <v>0</v>
      </c>
      <c r="P30" s="129">
        <f>Anchor!X135</f>
        <v>0</v>
      </c>
      <c r="Q30" s="131">
        <f>10*LOG10(1/(('Summary (Full)'!$B$41/10^(N30/10)+'Summary (Full)'!$B$42/10^(O30/10)+'Summary (Full)'!$B$43/10^(P30/10))/'Summary (Full)'!$B$44))</f>
        <v>0</v>
      </c>
      <c r="R30" s="129">
        <f>Anchor!Y135</f>
        <v>0</v>
      </c>
      <c r="S30" s="129">
        <f>Anchor!Z135</f>
        <v>0</v>
      </c>
      <c r="T30" s="132"/>
      <c r="U30" s="129">
        <f>Test!L135</f>
        <v>0</v>
      </c>
      <c r="V30" s="129">
        <f>Test!M135</f>
        <v>0</v>
      </c>
      <c r="W30" s="129">
        <f>Test!N135</f>
        <v>0</v>
      </c>
      <c r="X30" s="129">
        <f>Test!O135</f>
        <v>0</v>
      </c>
      <c r="Y30" s="129">
        <f>('Summary (Full)'!$B$34*V30+'Summary (Full)'!$B$35*W30+'Summary (Full)'!$B$36*X30)/'Summary (Full)'!$B$37</f>
        <v>0</v>
      </c>
      <c r="Z30" s="129">
        <f>Test!P135</f>
        <v>0</v>
      </c>
      <c r="AA30" s="129">
        <f>Test!Q135</f>
        <v>0</v>
      </c>
      <c r="AB30" s="129">
        <f>Test!R135</f>
        <v>0</v>
      </c>
      <c r="AC30" s="129">
        <f>Test!S135</f>
        <v>0</v>
      </c>
      <c r="AD30" s="129">
        <f>Test!T135</f>
        <v>0</v>
      </c>
      <c r="AE30" s="129">
        <f>Test!U135</f>
        <v>0</v>
      </c>
      <c r="AF30" s="129">
        <f>Test!V135</f>
        <v>0</v>
      </c>
      <c r="AG30" s="129">
        <f>Test!W135</f>
        <v>0</v>
      </c>
      <c r="AH30" s="129">
        <f>Test!X135</f>
        <v>0</v>
      </c>
      <c r="AI30" s="129">
        <f>10*LOG10(1/(('Summary (Full)'!$B$41/10^(AF30/10)+'Summary (Full)'!$B$42/10^(AG30/10)+'Summary (Full)'!$B$43/10^(AH30/10))/'Summary (Full)'!$B$44))</f>
        <v>0</v>
      </c>
      <c r="AJ30" s="129">
        <f>Test!Y135</f>
        <v>0</v>
      </c>
      <c r="AK30" s="129">
        <f>Test!Z135</f>
        <v>0</v>
      </c>
      <c r="AL30" s="129" t="e">
        <f t="shared" si="2"/>
        <v>#DIV/0!</v>
      </c>
      <c r="AM30" s="129" t="e">
        <f t="shared" si="2"/>
        <v>#DIV/0!</v>
      </c>
      <c r="AO30" s="254"/>
      <c r="AP30" s="172"/>
      <c r="AQ30" s="172"/>
      <c r="AR30" s="172"/>
      <c r="AS30" s="172"/>
      <c r="AT30" s="172"/>
      <c r="AU30" s="172"/>
      <c r="AV30" s="172"/>
      <c r="AW30" s="172"/>
      <c r="AX30" s="172"/>
      <c r="AY30" s="175"/>
      <c r="AZ30" s="286"/>
      <c r="BA30" s="212"/>
      <c r="EV30" s="7"/>
      <c r="EW30" s="7"/>
      <c r="EX30" s="7"/>
      <c r="EY30" s="7"/>
      <c r="EZ30" s="7"/>
      <c r="FA30" s="7"/>
      <c r="FB30" s="7"/>
      <c r="FC30" s="7"/>
    </row>
    <row r="31" spans="1:159" ht="13" customHeight="1" x14ac:dyDescent="0.15">
      <c r="A31" s="250"/>
      <c r="B31" s="38">
        <v>160</v>
      </c>
      <c r="C31" s="129">
        <f>Anchor!L136</f>
        <v>0</v>
      </c>
      <c r="D31" s="129">
        <f>Anchor!M136</f>
        <v>0</v>
      </c>
      <c r="E31" s="129">
        <f>Anchor!N136</f>
        <v>0</v>
      </c>
      <c r="F31" s="129">
        <f>Anchor!O136</f>
        <v>0</v>
      </c>
      <c r="G31" s="130">
        <f>('Summary (Full)'!$B$34*D31+'Summary (Full)'!$B$35*E31+'Summary (Full)'!$B$36*F31)/'Summary (Full)'!$B$37</f>
        <v>0</v>
      </c>
      <c r="H31" s="129">
        <f>Anchor!P136</f>
        <v>0</v>
      </c>
      <c r="I31" s="129">
        <f>Anchor!Q136</f>
        <v>0</v>
      </c>
      <c r="J31" s="129">
        <f>Anchor!R136</f>
        <v>0</v>
      </c>
      <c r="K31" s="129">
        <f>Anchor!S136</f>
        <v>0</v>
      </c>
      <c r="L31" s="129">
        <f>Anchor!T136</f>
        <v>0</v>
      </c>
      <c r="M31" s="129">
        <f>Anchor!U136</f>
        <v>0</v>
      </c>
      <c r="N31" s="129">
        <f>Anchor!V136</f>
        <v>0</v>
      </c>
      <c r="O31" s="129">
        <f>Anchor!W136</f>
        <v>0</v>
      </c>
      <c r="P31" s="129">
        <f>Anchor!X136</f>
        <v>0</v>
      </c>
      <c r="Q31" s="131">
        <f>10*LOG10(1/(('Summary (Full)'!$B$41/10^(N31/10)+'Summary (Full)'!$B$42/10^(O31/10)+'Summary (Full)'!$B$43/10^(P31/10))/'Summary (Full)'!$B$44))</f>
        <v>0</v>
      </c>
      <c r="R31" s="129">
        <f>Anchor!Y136</f>
        <v>0</v>
      </c>
      <c r="S31" s="129">
        <f>Anchor!Z136</f>
        <v>0</v>
      </c>
      <c r="T31" s="132"/>
      <c r="U31" s="129">
        <f>Test!L136</f>
        <v>0</v>
      </c>
      <c r="V31" s="129">
        <f>Test!M136</f>
        <v>0</v>
      </c>
      <c r="W31" s="129">
        <f>Test!N136</f>
        <v>0</v>
      </c>
      <c r="X31" s="129">
        <f>Test!O136</f>
        <v>0</v>
      </c>
      <c r="Y31" s="129">
        <f>('Summary (Full)'!$B$34*V31+'Summary (Full)'!$B$35*W31+'Summary (Full)'!$B$36*X31)/'Summary (Full)'!$B$37</f>
        <v>0</v>
      </c>
      <c r="Z31" s="129">
        <f>Test!P136</f>
        <v>0</v>
      </c>
      <c r="AA31" s="129">
        <f>Test!Q136</f>
        <v>0</v>
      </c>
      <c r="AB31" s="129">
        <f>Test!R136</f>
        <v>0</v>
      </c>
      <c r="AC31" s="129">
        <f>Test!S136</f>
        <v>0</v>
      </c>
      <c r="AD31" s="129">
        <f>Test!T136</f>
        <v>0</v>
      </c>
      <c r="AE31" s="129">
        <f>Test!U136</f>
        <v>0</v>
      </c>
      <c r="AF31" s="129">
        <f>Test!V136</f>
        <v>0</v>
      </c>
      <c r="AG31" s="129">
        <f>Test!W136</f>
        <v>0</v>
      </c>
      <c r="AH31" s="129">
        <f>Test!X136</f>
        <v>0</v>
      </c>
      <c r="AI31" s="129">
        <f>10*LOG10(1/(('Summary (Full)'!$B$41/10^(AF31/10)+'Summary (Full)'!$B$42/10^(AG31/10)+'Summary (Full)'!$B$43/10^(AH31/10))/'Summary (Full)'!$B$44))</f>
        <v>0</v>
      </c>
      <c r="AJ31" s="129">
        <f>Test!Y136</f>
        <v>0</v>
      </c>
      <c r="AK31" s="129">
        <f>Test!Z136</f>
        <v>0</v>
      </c>
      <c r="AL31" s="129" t="e">
        <f t="shared" si="2"/>
        <v>#DIV/0!</v>
      </c>
      <c r="AM31" s="129" t="e">
        <f t="shared" si="2"/>
        <v>#DIV/0!</v>
      </c>
      <c r="AO31" s="254" t="s">
        <v>28</v>
      </c>
      <c r="AP31" s="172" t="e" cm="1">
        <f t="array" ref="AP31">bdRateExtend($C30:$C33,D30:D33,$U30:$U33,V30:V33)</f>
        <v>#VALUE!</v>
      </c>
      <c r="AQ31" s="172"/>
      <c r="AR31" s="172"/>
      <c r="AS31" s="172"/>
      <c r="AT31" s="172" t="e" cm="1">
        <f t="array" ref="AT31">bdRateExtend($C30:$C33,H30:H33,$U30:$U33,Z30:Z33)</f>
        <v>#VALUE!</v>
      </c>
      <c r="AU31" s="172"/>
      <c r="AV31" s="172" t="e" cm="1">
        <f t="array" ref="AV31">bdRateExtend($C30:$C33,I30:I33,$U30:$U33,AA30:AA33)</f>
        <v>#VALUE!</v>
      </c>
      <c r="AW31" s="172"/>
      <c r="AX31" s="172" t="e" cm="1">
        <f t="array" ref="AX31">bdRateExtend($C30:$C33,J30:J33,$U30:$U33,AB30:AB33,"None", FALSE,1)</f>
        <v>#VALUE!</v>
      </c>
      <c r="AY31" s="175"/>
      <c r="AZ31" s="286" cm="1">
        <f t="array" ref="AZ31">testVMAFRange($C30:$C33,J30:J33,$U30:$U33,AB30:AB33)</f>
        <v>0</v>
      </c>
      <c r="BA31" s="212"/>
      <c r="EV31" s="7"/>
      <c r="EW31" s="7"/>
      <c r="EX31" s="7"/>
      <c r="EY31" s="7"/>
      <c r="EZ31" s="7"/>
      <c r="FA31" s="7"/>
      <c r="FB31" s="7"/>
      <c r="FC31" s="7"/>
    </row>
    <row r="32" spans="1:159" x14ac:dyDescent="0.15">
      <c r="A32" s="250"/>
      <c r="B32" s="38">
        <v>185</v>
      </c>
      <c r="C32" s="129">
        <f>Anchor!L137</f>
        <v>0</v>
      </c>
      <c r="D32" s="129">
        <f>Anchor!M137</f>
        <v>0</v>
      </c>
      <c r="E32" s="129">
        <f>Anchor!N137</f>
        <v>0</v>
      </c>
      <c r="F32" s="129">
        <f>Anchor!O137</f>
        <v>0</v>
      </c>
      <c r="G32" s="130">
        <f>('Summary (Full)'!$B$34*D32+'Summary (Full)'!$B$35*E32+'Summary (Full)'!$B$36*F32)/'Summary (Full)'!$B$37</f>
        <v>0</v>
      </c>
      <c r="H32" s="129">
        <f>Anchor!P137</f>
        <v>0</v>
      </c>
      <c r="I32" s="129">
        <f>Anchor!Q137</f>
        <v>0</v>
      </c>
      <c r="J32" s="129">
        <f>Anchor!R137</f>
        <v>0</v>
      </c>
      <c r="K32" s="129">
        <f>Anchor!S137</f>
        <v>0</v>
      </c>
      <c r="L32" s="129">
        <f>Anchor!T137</f>
        <v>0</v>
      </c>
      <c r="M32" s="129">
        <f>Anchor!U137</f>
        <v>0</v>
      </c>
      <c r="N32" s="129">
        <f>Anchor!V137</f>
        <v>0</v>
      </c>
      <c r="O32" s="129">
        <f>Anchor!W137</f>
        <v>0</v>
      </c>
      <c r="P32" s="129">
        <f>Anchor!X137</f>
        <v>0</v>
      </c>
      <c r="Q32" s="131">
        <f>10*LOG10(1/(('Summary (Full)'!$B$41/10^(N32/10)+'Summary (Full)'!$B$42/10^(O32/10)+'Summary (Full)'!$B$43/10^(P32/10))/'Summary (Full)'!$B$44))</f>
        <v>0</v>
      </c>
      <c r="R32" s="129">
        <f>Anchor!Y137</f>
        <v>0</v>
      </c>
      <c r="S32" s="129">
        <f>Anchor!Z137</f>
        <v>0</v>
      </c>
      <c r="T32" s="132"/>
      <c r="U32" s="129">
        <f>Test!L137</f>
        <v>0</v>
      </c>
      <c r="V32" s="129">
        <f>Test!M137</f>
        <v>0</v>
      </c>
      <c r="W32" s="129">
        <f>Test!N137</f>
        <v>0</v>
      </c>
      <c r="X32" s="129">
        <f>Test!O137</f>
        <v>0</v>
      </c>
      <c r="Y32" s="129">
        <f>('Summary (Full)'!$B$34*V32+'Summary (Full)'!$B$35*W32+'Summary (Full)'!$B$36*X32)/'Summary (Full)'!$B$37</f>
        <v>0</v>
      </c>
      <c r="Z32" s="129">
        <f>Test!P137</f>
        <v>0</v>
      </c>
      <c r="AA32" s="129">
        <f>Test!Q137</f>
        <v>0</v>
      </c>
      <c r="AB32" s="129">
        <f>Test!R137</f>
        <v>0</v>
      </c>
      <c r="AC32" s="129">
        <f>Test!S137</f>
        <v>0</v>
      </c>
      <c r="AD32" s="129">
        <f>Test!T137</f>
        <v>0</v>
      </c>
      <c r="AE32" s="129">
        <f>Test!U137</f>
        <v>0</v>
      </c>
      <c r="AF32" s="129">
        <f>Test!V137</f>
        <v>0</v>
      </c>
      <c r="AG32" s="129">
        <f>Test!W137</f>
        <v>0</v>
      </c>
      <c r="AH32" s="129">
        <f>Test!X137</f>
        <v>0</v>
      </c>
      <c r="AI32" s="129">
        <f>10*LOG10(1/(('Summary (Full)'!$B$41/10^(AF32/10)+'Summary (Full)'!$B$42/10^(AG32/10)+'Summary (Full)'!$B$43/10^(AH32/10))/'Summary (Full)'!$B$44))</f>
        <v>0</v>
      </c>
      <c r="AJ32" s="129">
        <f>Test!Y137</f>
        <v>0</v>
      </c>
      <c r="AK32" s="129">
        <f>Test!Z137</f>
        <v>0</v>
      </c>
      <c r="AL32" s="129" t="e">
        <f t="shared" si="2"/>
        <v>#DIV/0!</v>
      </c>
      <c r="AM32" s="129" t="e">
        <f t="shared" si="2"/>
        <v>#DIV/0!</v>
      </c>
      <c r="AO32" s="254"/>
      <c r="AP32" s="172"/>
      <c r="AQ32" s="172"/>
      <c r="AR32" s="172"/>
      <c r="AS32" s="172"/>
      <c r="AT32" s="172"/>
      <c r="AU32" s="172"/>
      <c r="AV32" s="172"/>
      <c r="AW32" s="172"/>
      <c r="AX32" s="172"/>
      <c r="AY32" s="175"/>
      <c r="AZ32" s="286"/>
      <c r="BA32" s="212"/>
      <c r="EV32" s="7"/>
      <c r="EW32" s="7"/>
      <c r="EX32" s="7"/>
      <c r="EY32" s="7"/>
      <c r="EZ32" s="7"/>
      <c r="FA32" s="7"/>
      <c r="FB32" s="7"/>
      <c r="FC32" s="7"/>
    </row>
    <row r="33" spans="1:159" ht="13" customHeight="1" x14ac:dyDescent="0.15">
      <c r="A33" s="250"/>
      <c r="B33" s="38">
        <v>210</v>
      </c>
      <c r="C33" s="129">
        <f>Anchor!L138</f>
        <v>0</v>
      </c>
      <c r="D33" s="129">
        <f>Anchor!M138</f>
        <v>0</v>
      </c>
      <c r="E33" s="129">
        <f>Anchor!N138</f>
        <v>0</v>
      </c>
      <c r="F33" s="129">
        <f>Anchor!O138</f>
        <v>0</v>
      </c>
      <c r="G33" s="130">
        <f>('Summary (Full)'!$B$34*D33+'Summary (Full)'!$B$35*E33+'Summary (Full)'!$B$36*F33)/'Summary (Full)'!$B$37</f>
        <v>0</v>
      </c>
      <c r="H33" s="129">
        <f>Anchor!P138</f>
        <v>0</v>
      </c>
      <c r="I33" s="129">
        <f>Anchor!Q138</f>
        <v>0</v>
      </c>
      <c r="J33" s="129">
        <f>Anchor!R138</f>
        <v>0</v>
      </c>
      <c r="K33" s="129">
        <f>Anchor!S138</f>
        <v>0</v>
      </c>
      <c r="L33" s="129">
        <f>Anchor!T138</f>
        <v>0</v>
      </c>
      <c r="M33" s="129">
        <f>Anchor!U138</f>
        <v>0</v>
      </c>
      <c r="N33" s="129">
        <f>Anchor!V138</f>
        <v>0</v>
      </c>
      <c r="O33" s="129">
        <f>Anchor!W138</f>
        <v>0</v>
      </c>
      <c r="P33" s="129">
        <f>Anchor!X138</f>
        <v>0</v>
      </c>
      <c r="Q33" s="131">
        <f>10*LOG10(1/(('Summary (Full)'!$B$41/10^(N33/10)+'Summary (Full)'!$B$42/10^(O33/10)+'Summary (Full)'!$B$43/10^(P33/10))/'Summary (Full)'!$B$44))</f>
        <v>0</v>
      </c>
      <c r="R33" s="129">
        <f>Anchor!Y138</f>
        <v>0</v>
      </c>
      <c r="S33" s="129">
        <f>Anchor!Z138</f>
        <v>0</v>
      </c>
      <c r="T33" s="132"/>
      <c r="U33" s="129">
        <f>Test!L138</f>
        <v>0</v>
      </c>
      <c r="V33" s="129">
        <f>Test!M138</f>
        <v>0</v>
      </c>
      <c r="W33" s="129">
        <f>Test!N138</f>
        <v>0</v>
      </c>
      <c r="X33" s="129">
        <f>Test!O138</f>
        <v>0</v>
      </c>
      <c r="Y33" s="129">
        <f>('Summary (Full)'!$B$34*V33+'Summary (Full)'!$B$35*W33+'Summary (Full)'!$B$36*X33)/'Summary (Full)'!$B$37</f>
        <v>0</v>
      </c>
      <c r="Z33" s="129">
        <f>Test!P138</f>
        <v>0</v>
      </c>
      <c r="AA33" s="129">
        <f>Test!Q138</f>
        <v>0</v>
      </c>
      <c r="AB33" s="129">
        <f>Test!R138</f>
        <v>0</v>
      </c>
      <c r="AC33" s="129">
        <f>Test!S138</f>
        <v>0</v>
      </c>
      <c r="AD33" s="129">
        <f>Test!T138</f>
        <v>0</v>
      </c>
      <c r="AE33" s="129">
        <f>Test!U138</f>
        <v>0</v>
      </c>
      <c r="AF33" s="129">
        <f>Test!V138</f>
        <v>0</v>
      </c>
      <c r="AG33" s="129">
        <f>Test!W138</f>
        <v>0</v>
      </c>
      <c r="AH33" s="129">
        <f>Test!X138</f>
        <v>0</v>
      </c>
      <c r="AI33" s="129">
        <f>10*LOG10(1/(('Summary (Full)'!$B$41/10^(AF33/10)+'Summary (Full)'!$B$42/10^(AG33/10)+'Summary (Full)'!$B$43/10^(AH33/10))/'Summary (Full)'!$B$44))</f>
        <v>0</v>
      </c>
      <c r="AJ33" s="129">
        <f>Test!Y138</f>
        <v>0</v>
      </c>
      <c r="AK33" s="129">
        <f>Test!Z138</f>
        <v>0</v>
      </c>
      <c r="AL33" s="129" t="e">
        <f t="shared" si="2"/>
        <v>#DIV/0!</v>
      </c>
      <c r="AM33" s="129" t="e">
        <f t="shared" si="2"/>
        <v>#DIV/0!</v>
      </c>
      <c r="AO33" s="254" t="s">
        <v>29</v>
      </c>
      <c r="AP33" s="172" t="e" cm="1">
        <f t="array" ref="AP33">bdRateExtend($C31:$C34,D31:D34,$U31:$U34,V31:V34)</f>
        <v>#VALUE!</v>
      </c>
      <c r="AQ33" s="172"/>
      <c r="AR33" s="172"/>
      <c r="AS33" s="172"/>
      <c r="AT33" s="172" t="e" cm="1">
        <f t="array" ref="AT33">bdRateExtend($C31:$C34,H31:H34,$U31:$U34,Z31:Z34)</f>
        <v>#VALUE!</v>
      </c>
      <c r="AU33" s="172"/>
      <c r="AV33" s="172" t="e" cm="1">
        <f t="array" ref="AV33">bdRateExtend($C31:$C34,I31:I34,$U31:$U34,AA31:AA34)</f>
        <v>#VALUE!</v>
      </c>
      <c r="AW33" s="172"/>
      <c r="AX33" s="172" t="e" cm="1">
        <f t="array" ref="AX33">bdRateExtend($C31:$C34,J31:J34,$U31:$U34,AB31:AB34,"None", FALSE,1)</f>
        <v>#VALUE!</v>
      </c>
      <c r="AY33" s="175"/>
      <c r="AZ33" s="286" cm="1">
        <f t="array" ref="AZ33">testVMAFRange($C31:$C34,J31:J34,$U31:$U34,AB31:AB34)</f>
        <v>0</v>
      </c>
      <c r="BA33" s="212"/>
      <c r="EV33" s="7"/>
      <c r="EW33" s="7"/>
      <c r="EX33" s="7"/>
      <c r="EY33" s="7"/>
      <c r="EZ33" s="7"/>
      <c r="FA33" s="7"/>
      <c r="FB33" s="7"/>
      <c r="FC33" s="7"/>
    </row>
    <row r="34" spans="1:159" ht="14" thickBot="1" x14ac:dyDescent="0.2">
      <c r="A34" s="250"/>
      <c r="B34" s="38">
        <v>235</v>
      </c>
      <c r="C34" s="129">
        <f>Anchor!L139</f>
        <v>0</v>
      </c>
      <c r="D34" s="129">
        <f>Anchor!M139</f>
        <v>0</v>
      </c>
      <c r="E34" s="129">
        <f>Anchor!N139</f>
        <v>0</v>
      </c>
      <c r="F34" s="129">
        <f>Anchor!O139</f>
        <v>0</v>
      </c>
      <c r="G34" s="130">
        <f>('Summary (Full)'!$B$34*D34+'Summary (Full)'!$B$35*E34+'Summary (Full)'!$B$36*F34)/'Summary (Full)'!$B$37</f>
        <v>0</v>
      </c>
      <c r="H34" s="129">
        <f>Anchor!P139</f>
        <v>0</v>
      </c>
      <c r="I34" s="129">
        <f>Anchor!Q139</f>
        <v>0</v>
      </c>
      <c r="J34" s="129">
        <f>Anchor!R139</f>
        <v>0</v>
      </c>
      <c r="K34" s="129">
        <f>Anchor!S139</f>
        <v>0</v>
      </c>
      <c r="L34" s="129">
        <f>Anchor!T139</f>
        <v>0</v>
      </c>
      <c r="M34" s="129">
        <f>Anchor!U139</f>
        <v>0</v>
      </c>
      <c r="N34" s="129">
        <f>Anchor!V139</f>
        <v>0</v>
      </c>
      <c r="O34" s="129">
        <f>Anchor!W139</f>
        <v>0</v>
      </c>
      <c r="P34" s="129">
        <f>Anchor!X139</f>
        <v>0</v>
      </c>
      <c r="Q34" s="131">
        <f>10*LOG10(1/(('Summary (Full)'!$B$41/10^(N34/10)+'Summary (Full)'!$B$42/10^(O34/10)+'Summary (Full)'!$B$43/10^(P34/10))/'Summary (Full)'!$B$44))</f>
        <v>0</v>
      </c>
      <c r="R34" s="129">
        <f>Anchor!Y139</f>
        <v>0</v>
      </c>
      <c r="S34" s="129">
        <f>Anchor!Z139</f>
        <v>0</v>
      </c>
      <c r="T34" s="132"/>
      <c r="U34" s="129">
        <f>Test!L139</f>
        <v>0</v>
      </c>
      <c r="V34" s="129">
        <f>Test!M139</f>
        <v>0</v>
      </c>
      <c r="W34" s="129">
        <f>Test!N139</f>
        <v>0</v>
      </c>
      <c r="X34" s="129">
        <f>Test!O139</f>
        <v>0</v>
      </c>
      <c r="Y34" s="129">
        <f>('Summary (Full)'!$B$34*V34+'Summary (Full)'!$B$35*W34+'Summary (Full)'!$B$36*X34)/'Summary (Full)'!$B$37</f>
        <v>0</v>
      </c>
      <c r="Z34" s="129">
        <f>Test!P139</f>
        <v>0</v>
      </c>
      <c r="AA34" s="129">
        <f>Test!Q139</f>
        <v>0</v>
      </c>
      <c r="AB34" s="129">
        <f>Test!R139</f>
        <v>0</v>
      </c>
      <c r="AC34" s="129">
        <f>Test!S139</f>
        <v>0</v>
      </c>
      <c r="AD34" s="129">
        <f>Test!T139</f>
        <v>0</v>
      </c>
      <c r="AE34" s="129">
        <f>Test!U139</f>
        <v>0</v>
      </c>
      <c r="AF34" s="129">
        <f>Test!V139</f>
        <v>0</v>
      </c>
      <c r="AG34" s="129">
        <f>Test!W139</f>
        <v>0</v>
      </c>
      <c r="AH34" s="129">
        <f>Test!X139</f>
        <v>0</v>
      </c>
      <c r="AI34" s="129">
        <f>10*LOG10(1/(('Summary (Full)'!$B$41/10^(AF34/10)+'Summary (Full)'!$B$42/10^(AG34/10)+'Summary (Full)'!$B$43/10^(AH34/10))/'Summary (Full)'!$B$44))</f>
        <v>0</v>
      </c>
      <c r="AJ34" s="129">
        <f>Test!Y139</f>
        <v>0</v>
      </c>
      <c r="AK34" s="129">
        <f>Test!Z139</f>
        <v>0</v>
      </c>
      <c r="AL34" s="129" t="e">
        <f t="shared" si="2"/>
        <v>#DIV/0!</v>
      </c>
      <c r="AM34" s="129" t="e">
        <f t="shared" si="2"/>
        <v>#DIV/0!</v>
      </c>
      <c r="AO34" s="263"/>
      <c r="AP34" s="173"/>
      <c r="AQ34" s="173"/>
      <c r="AR34" s="173"/>
      <c r="AS34" s="173"/>
      <c r="AT34" s="173"/>
      <c r="AU34" s="173"/>
      <c r="AV34" s="173"/>
      <c r="AW34" s="173"/>
      <c r="AX34" s="173"/>
      <c r="AY34" s="188"/>
      <c r="AZ34" s="287"/>
      <c r="BA34" s="240"/>
      <c r="EV34" s="7"/>
      <c r="EW34" s="7"/>
      <c r="EX34" s="7"/>
      <c r="EY34" s="7"/>
      <c r="EZ34" s="7"/>
      <c r="FA34" s="7"/>
      <c r="FB34" s="7"/>
      <c r="FC34" s="7"/>
    </row>
    <row r="35" spans="1:159" ht="13" customHeight="1" x14ac:dyDescent="0.15">
      <c r="A35" s="250" t="s">
        <v>20</v>
      </c>
      <c r="B35" s="38">
        <v>110</v>
      </c>
      <c r="C35" s="129">
        <f>Anchor!L140</f>
        <v>0</v>
      </c>
      <c r="D35" s="129">
        <f>Anchor!M140</f>
        <v>0</v>
      </c>
      <c r="E35" s="129">
        <f>Anchor!N140</f>
        <v>0</v>
      </c>
      <c r="F35" s="129">
        <f>Anchor!O140</f>
        <v>0</v>
      </c>
      <c r="G35" s="130">
        <f>('Summary (Full)'!$B$34*D35+'Summary (Full)'!$B$35*E35+'Summary (Full)'!$B$36*F35)/'Summary (Full)'!$B$37</f>
        <v>0</v>
      </c>
      <c r="H35" s="129">
        <f>Anchor!P140</f>
        <v>0</v>
      </c>
      <c r="I35" s="129">
        <f>Anchor!Q140</f>
        <v>0</v>
      </c>
      <c r="J35" s="129">
        <f>Anchor!R140</f>
        <v>0</v>
      </c>
      <c r="K35" s="129">
        <f>Anchor!S140</f>
        <v>0</v>
      </c>
      <c r="L35" s="129">
        <f>Anchor!T140</f>
        <v>0</v>
      </c>
      <c r="M35" s="129">
        <f>Anchor!U140</f>
        <v>0</v>
      </c>
      <c r="N35" s="129">
        <f>Anchor!V140</f>
        <v>0</v>
      </c>
      <c r="O35" s="129">
        <f>Anchor!W140</f>
        <v>0</v>
      </c>
      <c r="P35" s="129">
        <f>Anchor!X140</f>
        <v>0</v>
      </c>
      <c r="Q35" s="131">
        <f>10*LOG10(1/(('Summary (Full)'!$B$41/10^(N35/10)+'Summary (Full)'!$B$42/10^(O35/10)+'Summary (Full)'!$B$43/10^(P35/10))/'Summary (Full)'!$B$44))</f>
        <v>0</v>
      </c>
      <c r="R35" s="129">
        <f>Anchor!Y140</f>
        <v>0</v>
      </c>
      <c r="S35" s="129">
        <f>Anchor!Z140</f>
        <v>0</v>
      </c>
      <c r="T35" s="132"/>
      <c r="U35" s="129">
        <f>Test!L140</f>
        <v>0</v>
      </c>
      <c r="V35" s="129">
        <f>Test!M140</f>
        <v>0</v>
      </c>
      <c r="W35" s="129">
        <f>Test!N140</f>
        <v>0</v>
      </c>
      <c r="X35" s="129">
        <f>Test!O140</f>
        <v>0</v>
      </c>
      <c r="Y35" s="129">
        <f>('Summary (Full)'!$B$34*V35+'Summary (Full)'!$B$35*W35+'Summary (Full)'!$B$36*X35)/'Summary (Full)'!$B$37</f>
        <v>0</v>
      </c>
      <c r="Z35" s="129">
        <f>Test!P140</f>
        <v>0</v>
      </c>
      <c r="AA35" s="129">
        <f>Test!Q140</f>
        <v>0</v>
      </c>
      <c r="AB35" s="129">
        <f>Test!R140</f>
        <v>0</v>
      </c>
      <c r="AC35" s="129">
        <f>Test!S140</f>
        <v>0</v>
      </c>
      <c r="AD35" s="129">
        <f>Test!T140</f>
        <v>0</v>
      </c>
      <c r="AE35" s="129">
        <f>Test!U140</f>
        <v>0</v>
      </c>
      <c r="AF35" s="129">
        <f>Test!V140</f>
        <v>0</v>
      </c>
      <c r="AG35" s="129">
        <f>Test!W140</f>
        <v>0</v>
      </c>
      <c r="AH35" s="129">
        <f>Test!X140</f>
        <v>0</v>
      </c>
      <c r="AI35" s="129">
        <f>10*LOG10(1/(('Summary (Full)'!$B$41/10^(AF35/10)+'Summary (Full)'!$B$42/10^(AG35/10)+'Summary (Full)'!$B$43/10^(AH35/10))/'Summary (Full)'!$B$44))</f>
        <v>0</v>
      </c>
      <c r="AJ35" s="129">
        <f>Test!Y140</f>
        <v>0</v>
      </c>
      <c r="AK35" s="129">
        <f>Test!Z140</f>
        <v>0</v>
      </c>
      <c r="AL35" s="129" t="e">
        <f t="shared" si="2"/>
        <v>#DIV/0!</v>
      </c>
      <c r="AM35" s="129" t="e">
        <f t="shared" si="2"/>
        <v>#DIV/0!</v>
      </c>
      <c r="AO35" s="253" t="s">
        <v>27</v>
      </c>
      <c r="AP35" s="171" t="e" cm="1">
        <f t="array" ref="AP35">bdRateExtend($C35:$C38,D35:D38,$U35:$U38,V35:V38)</f>
        <v>#VALUE!</v>
      </c>
      <c r="AQ35" s="171" t="e" cm="1">
        <f t="array" ref="AQ35">bdRateExtend($C35:$C40,D35:D40,$U35:$U40,V35:V40)</f>
        <v>#VALUE!</v>
      </c>
      <c r="AR35" s="171" t="e" cm="1">
        <f t="array" ref="AR35">bdRateExtend($C35:$C40,E35:E40,$U35:$U40,W35:W40)</f>
        <v>#VALUE!</v>
      </c>
      <c r="AS35" s="171" t="e" cm="1">
        <f t="array" ref="AS35">bdRateExtend($C35:$C40,F35:F40,$U35:$U40,X35:X40)</f>
        <v>#VALUE!</v>
      </c>
      <c r="AT35" s="171" t="e" cm="1">
        <f t="array" ref="AT35">bdRateExtend($C35:$C38,H35:H38,$U35:$U38,Z35:Z38)</f>
        <v>#VALUE!</v>
      </c>
      <c r="AU35" s="171" t="e" cm="1">
        <f t="array" ref="AU35">bdRateExtend($C35:$C40,H35:H40,$U35:$U40,Z35:Z40)</f>
        <v>#VALUE!</v>
      </c>
      <c r="AV35" s="171" t="e" cm="1">
        <f t="array" ref="AV35">bdRateExtend($C35:$C38,I35:I38,$U35:$U38,AA35:AA38)</f>
        <v>#VALUE!</v>
      </c>
      <c r="AW35" s="171" t="e" cm="1">
        <f t="array" ref="AW35">bdRateExtend($C35:$C40,I35:I40,$U35:$U40,AA35:AA40)</f>
        <v>#VALUE!</v>
      </c>
      <c r="AX35" s="171" t="e" cm="1">
        <f t="array" ref="AX35">bdRateExtend($C35:$C38,J35:J38,$U35:$U38,AB35:AB38,"None", FALSE,1)</f>
        <v>#VALUE!</v>
      </c>
      <c r="AY35" s="174" t="e" cm="1">
        <f t="array" ref="AY35">bdRateExtend($C35:$C40,J35:J40,$U35:$U40,AB35:AB40,"None", FALSE,TRUE)</f>
        <v>#VALUE!</v>
      </c>
      <c r="AZ35" s="285" cm="1">
        <f t="array" ref="AZ35">testVMAFRange($C35:$C38,J35:J38,$U35:$U38,AB35:AB38)</f>
        <v>0</v>
      </c>
      <c r="BA35" s="211" cm="1">
        <f t="array" ref="BA35">testVMAFRange($C35:$C40,J35:J40,$U35:$U40,AB35:AB40)</f>
        <v>0</v>
      </c>
      <c r="EV35" s="7"/>
      <c r="EW35" s="7"/>
      <c r="EX35" s="7"/>
      <c r="EY35" s="7"/>
      <c r="EZ35" s="7"/>
      <c r="FA35" s="7"/>
      <c r="FB35" s="7"/>
      <c r="FC35" s="7"/>
    </row>
    <row r="36" spans="1:159" x14ac:dyDescent="0.15">
      <c r="A36" s="250"/>
      <c r="B36" s="38">
        <v>135</v>
      </c>
      <c r="C36" s="129">
        <f>Anchor!L141</f>
        <v>0</v>
      </c>
      <c r="D36" s="129">
        <f>Anchor!M141</f>
        <v>0</v>
      </c>
      <c r="E36" s="129">
        <f>Anchor!N141</f>
        <v>0</v>
      </c>
      <c r="F36" s="129">
        <f>Anchor!O141</f>
        <v>0</v>
      </c>
      <c r="G36" s="130">
        <f>('Summary (Full)'!$B$34*D36+'Summary (Full)'!$B$35*E36+'Summary (Full)'!$B$36*F36)/'Summary (Full)'!$B$37</f>
        <v>0</v>
      </c>
      <c r="H36" s="129">
        <f>Anchor!P141</f>
        <v>0</v>
      </c>
      <c r="I36" s="129">
        <f>Anchor!Q141</f>
        <v>0</v>
      </c>
      <c r="J36" s="129">
        <f>Anchor!R141</f>
        <v>0</v>
      </c>
      <c r="K36" s="129">
        <f>Anchor!S141</f>
        <v>0</v>
      </c>
      <c r="L36" s="129">
        <f>Anchor!T141</f>
        <v>0</v>
      </c>
      <c r="M36" s="129">
        <f>Anchor!U141</f>
        <v>0</v>
      </c>
      <c r="N36" s="129">
        <f>Anchor!V141</f>
        <v>0</v>
      </c>
      <c r="O36" s="129">
        <f>Anchor!W141</f>
        <v>0</v>
      </c>
      <c r="P36" s="129">
        <f>Anchor!X141</f>
        <v>0</v>
      </c>
      <c r="Q36" s="131">
        <f>10*LOG10(1/(('Summary (Full)'!$B$41/10^(N36/10)+'Summary (Full)'!$B$42/10^(O36/10)+'Summary (Full)'!$B$43/10^(P36/10))/'Summary (Full)'!$B$44))</f>
        <v>0</v>
      </c>
      <c r="R36" s="129">
        <f>Anchor!Y141</f>
        <v>0</v>
      </c>
      <c r="S36" s="129">
        <f>Anchor!Z141</f>
        <v>0</v>
      </c>
      <c r="T36" s="132"/>
      <c r="U36" s="129">
        <f>Test!L141</f>
        <v>0</v>
      </c>
      <c r="V36" s="129">
        <f>Test!M141</f>
        <v>0</v>
      </c>
      <c r="W36" s="129">
        <f>Test!N141</f>
        <v>0</v>
      </c>
      <c r="X36" s="129">
        <f>Test!O141</f>
        <v>0</v>
      </c>
      <c r="Y36" s="129">
        <f>('Summary (Full)'!$B$34*V36+'Summary (Full)'!$B$35*W36+'Summary (Full)'!$B$36*X36)/'Summary (Full)'!$B$37</f>
        <v>0</v>
      </c>
      <c r="Z36" s="129">
        <f>Test!P141</f>
        <v>0</v>
      </c>
      <c r="AA36" s="129">
        <f>Test!Q141</f>
        <v>0</v>
      </c>
      <c r="AB36" s="129">
        <f>Test!R141</f>
        <v>0</v>
      </c>
      <c r="AC36" s="129">
        <f>Test!S141</f>
        <v>0</v>
      </c>
      <c r="AD36" s="129">
        <f>Test!T141</f>
        <v>0</v>
      </c>
      <c r="AE36" s="129">
        <f>Test!U141</f>
        <v>0</v>
      </c>
      <c r="AF36" s="129">
        <f>Test!V141</f>
        <v>0</v>
      </c>
      <c r="AG36" s="129">
        <f>Test!W141</f>
        <v>0</v>
      </c>
      <c r="AH36" s="129">
        <f>Test!X141</f>
        <v>0</v>
      </c>
      <c r="AI36" s="129">
        <f>10*LOG10(1/(('Summary (Full)'!$B$41/10^(AF36/10)+'Summary (Full)'!$B$42/10^(AG36/10)+'Summary (Full)'!$B$43/10^(AH36/10))/'Summary (Full)'!$B$44))</f>
        <v>0</v>
      </c>
      <c r="AJ36" s="129">
        <f>Test!Y141</f>
        <v>0</v>
      </c>
      <c r="AK36" s="129">
        <f>Test!Z141</f>
        <v>0</v>
      </c>
      <c r="AL36" s="129" t="e">
        <f t="shared" si="2"/>
        <v>#DIV/0!</v>
      </c>
      <c r="AM36" s="129" t="e">
        <f t="shared" si="2"/>
        <v>#DIV/0!</v>
      </c>
      <c r="AO36" s="254"/>
      <c r="AP36" s="172"/>
      <c r="AQ36" s="172"/>
      <c r="AR36" s="172"/>
      <c r="AS36" s="172"/>
      <c r="AT36" s="172"/>
      <c r="AU36" s="172"/>
      <c r="AV36" s="172"/>
      <c r="AW36" s="172"/>
      <c r="AX36" s="172"/>
      <c r="AY36" s="175"/>
      <c r="AZ36" s="286"/>
      <c r="BA36" s="212"/>
      <c r="EV36" s="7"/>
      <c r="EW36" s="7"/>
      <c r="EX36" s="7"/>
      <c r="EY36" s="7"/>
      <c r="EZ36" s="7"/>
      <c r="FA36" s="7"/>
      <c r="FB36" s="7"/>
      <c r="FC36" s="7"/>
    </row>
    <row r="37" spans="1:159" ht="13" customHeight="1" x14ac:dyDescent="0.15">
      <c r="A37" s="250"/>
      <c r="B37" s="38">
        <v>160</v>
      </c>
      <c r="C37" s="129">
        <f>Anchor!L142</f>
        <v>0</v>
      </c>
      <c r="D37" s="129">
        <f>Anchor!M142</f>
        <v>0</v>
      </c>
      <c r="E37" s="129">
        <f>Anchor!N142</f>
        <v>0</v>
      </c>
      <c r="F37" s="129">
        <f>Anchor!O142</f>
        <v>0</v>
      </c>
      <c r="G37" s="130">
        <f>('Summary (Full)'!$B$34*D37+'Summary (Full)'!$B$35*E37+'Summary (Full)'!$B$36*F37)/'Summary (Full)'!$B$37</f>
        <v>0</v>
      </c>
      <c r="H37" s="129">
        <f>Anchor!P142</f>
        <v>0</v>
      </c>
      <c r="I37" s="129">
        <f>Anchor!Q142</f>
        <v>0</v>
      </c>
      <c r="J37" s="129">
        <f>Anchor!R142</f>
        <v>0</v>
      </c>
      <c r="K37" s="129">
        <f>Anchor!S142</f>
        <v>0</v>
      </c>
      <c r="L37" s="129">
        <f>Anchor!T142</f>
        <v>0</v>
      </c>
      <c r="M37" s="129">
        <f>Anchor!U142</f>
        <v>0</v>
      </c>
      <c r="N37" s="129">
        <f>Anchor!V142</f>
        <v>0</v>
      </c>
      <c r="O37" s="129">
        <f>Anchor!W142</f>
        <v>0</v>
      </c>
      <c r="P37" s="129">
        <f>Anchor!X142</f>
        <v>0</v>
      </c>
      <c r="Q37" s="131">
        <f>10*LOG10(1/(('Summary (Full)'!$B$41/10^(N37/10)+'Summary (Full)'!$B$42/10^(O37/10)+'Summary (Full)'!$B$43/10^(P37/10))/'Summary (Full)'!$B$44))</f>
        <v>0</v>
      </c>
      <c r="R37" s="129">
        <f>Anchor!Y142</f>
        <v>0</v>
      </c>
      <c r="S37" s="129">
        <f>Anchor!Z142</f>
        <v>0</v>
      </c>
      <c r="T37" s="132"/>
      <c r="U37" s="129">
        <f>Test!L142</f>
        <v>0</v>
      </c>
      <c r="V37" s="129">
        <f>Test!M142</f>
        <v>0</v>
      </c>
      <c r="W37" s="129">
        <f>Test!N142</f>
        <v>0</v>
      </c>
      <c r="X37" s="129">
        <f>Test!O142</f>
        <v>0</v>
      </c>
      <c r="Y37" s="129">
        <f>('Summary (Full)'!$B$34*V37+'Summary (Full)'!$B$35*W37+'Summary (Full)'!$B$36*X37)/'Summary (Full)'!$B$37</f>
        <v>0</v>
      </c>
      <c r="Z37" s="129">
        <f>Test!P142</f>
        <v>0</v>
      </c>
      <c r="AA37" s="129">
        <f>Test!Q142</f>
        <v>0</v>
      </c>
      <c r="AB37" s="129">
        <f>Test!R142</f>
        <v>0</v>
      </c>
      <c r="AC37" s="129">
        <f>Test!S142</f>
        <v>0</v>
      </c>
      <c r="AD37" s="129">
        <f>Test!T142</f>
        <v>0</v>
      </c>
      <c r="AE37" s="129">
        <f>Test!U142</f>
        <v>0</v>
      </c>
      <c r="AF37" s="129">
        <f>Test!V142</f>
        <v>0</v>
      </c>
      <c r="AG37" s="129">
        <f>Test!W142</f>
        <v>0</v>
      </c>
      <c r="AH37" s="129">
        <f>Test!X142</f>
        <v>0</v>
      </c>
      <c r="AI37" s="129">
        <f>10*LOG10(1/(('Summary (Full)'!$B$41/10^(AF37/10)+'Summary (Full)'!$B$42/10^(AG37/10)+'Summary (Full)'!$B$43/10^(AH37/10))/'Summary (Full)'!$B$44))</f>
        <v>0</v>
      </c>
      <c r="AJ37" s="129">
        <f>Test!Y142</f>
        <v>0</v>
      </c>
      <c r="AK37" s="129">
        <f>Test!Z142</f>
        <v>0</v>
      </c>
      <c r="AL37" s="129" t="e">
        <f t="shared" si="2"/>
        <v>#DIV/0!</v>
      </c>
      <c r="AM37" s="129" t="e">
        <f t="shared" si="2"/>
        <v>#DIV/0!</v>
      </c>
      <c r="AO37" s="254" t="s">
        <v>28</v>
      </c>
      <c r="AP37" s="172" t="e" cm="1">
        <f t="array" ref="AP37">bdRateExtend($C36:$C39,D36:D39,$U36:$U39,V36:V39)</f>
        <v>#VALUE!</v>
      </c>
      <c r="AQ37" s="172"/>
      <c r="AR37" s="172"/>
      <c r="AS37" s="172"/>
      <c r="AT37" s="172" t="e" cm="1">
        <f t="array" ref="AT37">bdRateExtend($C36:$C39,H36:H39,$U36:$U39,Z36:Z39)</f>
        <v>#VALUE!</v>
      </c>
      <c r="AU37" s="172"/>
      <c r="AV37" s="172" t="e" cm="1">
        <f t="array" ref="AV37">bdRateExtend($C36:$C39,I36:I39,$U36:$U39,AA36:AA39)</f>
        <v>#VALUE!</v>
      </c>
      <c r="AW37" s="172"/>
      <c r="AX37" s="172" t="e" cm="1">
        <f t="array" ref="AX37">bdRateExtend($C36:$C39,J36:J39,$U36:$U39,AB36:AB39,"None", FALSE,1)</f>
        <v>#VALUE!</v>
      </c>
      <c r="AY37" s="175"/>
      <c r="AZ37" s="286" cm="1">
        <f t="array" ref="AZ37">testVMAFRange($C36:$C39,J36:J39,$U36:$U39,AB36:AB39)</f>
        <v>0</v>
      </c>
      <c r="BA37" s="212"/>
      <c r="EV37" s="7"/>
      <c r="EW37" s="7"/>
      <c r="EX37" s="7"/>
      <c r="EY37" s="7"/>
      <c r="EZ37" s="7"/>
      <c r="FA37" s="7"/>
      <c r="FB37" s="7"/>
      <c r="FC37" s="7"/>
    </row>
    <row r="38" spans="1:159" x14ac:dyDescent="0.15">
      <c r="A38" s="250"/>
      <c r="B38" s="38">
        <v>185</v>
      </c>
      <c r="C38" s="129">
        <f>Anchor!L143</f>
        <v>0</v>
      </c>
      <c r="D38" s="129">
        <f>Anchor!M143</f>
        <v>0</v>
      </c>
      <c r="E38" s="129">
        <f>Anchor!N143</f>
        <v>0</v>
      </c>
      <c r="F38" s="129">
        <f>Anchor!O143</f>
        <v>0</v>
      </c>
      <c r="G38" s="130">
        <f>('Summary (Full)'!$B$34*D38+'Summary (Full)'!$B$35*E38+'Summary (Full)'!$B$36*F38)/'Summary (Full)'!$B$37</f>
        <v>0</v>
      </c>
      <c r="H38" s="129">
        <f>Anchor!P143</f>
        <v>0</v>
      </c>
      <c r="I38" s="129">
        <f>Anchor!Q143</f>
        <v>0</v>
      </c>
      <c r="J38" s="129">
        <f>Anchor!R143</f>
        <v>0</v>
      </c>
      <c r="K38" s="129">
        <f>Anchor!S143</f>
        <v>0</v>
      </c>
      <c r="L38" s="129">
        <f>Anchor!T143</f>
        <v>0</v>
      </c>
      <c r="M38" s="129">
        <f>Anchor!U143</f>
        <v>0</v>
      </c>
      <c r="N38" s="129">
        <f>Anchor!V143</f>
        <v>0</v>
      </c>
      <c r="O38" s="129">
        <f>Anchor!W143</f>
        <v>0</v>
      </c>
      <c r="P38" s="129">
        <f>Anchor!X143</f>
        <v>0</v>
      </c>
      <c r="Q38" s="131">
        <f>10*LOG10(1/(('Summary (Full)'!$B$41/10^(N38/10)+'Summary (Full)'!$B$42/10^(O38/10)+'Summary (Full)'!$B$43/10^(P38/10))/'Summary (Full)'!$B$44))</f>
        <v>0</v>
      </c>
      <c r="R38" s="129">
        <f>Anchor!Y143</f>
        <v>0</v>
      </c>
      <c r="S38" s="129">
        <f>Anchor!Z143</f>
        <v>0</v>
      </c>
      <c r="T38" s="132"/>
      <c r="U38" s="129">
        <f>Test!L143</f>
        <v>0</v>
      </c>
      <c r="V38" s="129">
        <f>Test!M143</f>
        <v>0</v>
      </c>
      <c r="W38" s="129">
        <f>Test!N143</f>
        <v>0</v>
      </c>
      <c r="X38" s="129">
        <f>Test!O143</f>
        <v>0</v>
      </c>
      <c r="Y38" s="129">
        <f>('Summary (Full)'!$B$34*V38+'Summary (Full)'!$B$35*W38+'Summary (Full)'!$B$36*X38)/'Summary (Full)'!$B$37</f>
        <v>0</v>
      </c>
      <c r="Z38" s="129">
        <f>Test!P143</f>
        <v>0</v>
      </c>
      <c r="AA38" s="129">
        <f>Test!Q143</f>
        <v>0</v>
      </c>
      <c r="AB38" s="129">
        <f>Test!R143</f>
        <v>0</v>
      </c>
      <c r="AC38" s="129">
        <f>Test!S143</f>
        <v>0</v>
      </c>
      <c r="AD38" s="129">
        <f>Test!T143</f>
        <v>0</v>
      </c>
      <c r="AE38" s="129">
        <f>Test!U143</f>
        <v>0</v>
      </c>
      <c r="AF38" s="129">
        <f>Test!V143</f>
        <v>0</v>
      </c>
      <c r="AG38" s="129">
        <f>Test!W143</f>
        <v>0</v>
      </c>
      <c r="AH38" s="129">
        <f>Test!X143</f>
        <v>0</v>
      </c>
      <c r="AI38" s="129">
        <f>10*LOG10(1/(('Summary (Full)'!$B$41/10^(AF38/10)+'Summary (Full)'!$B$42/10^(AG38/10)+'Summary (Full)'!$B$43/10^(AH38/10))/'Summary (Full)'!$B$44))</f>
        <v>0</v>
      </c>
      <c r="AJ38" s="129">
        <f>Test!Y143</f>
        <v>0</v>
      </c>
      <c r="AK38" s="129">
        <f>Test!Z143</f>
        <v>0</v>
      </c>
      <c r="AL38" s="129" t="e">
        <f t="shared" si="2"/>
        <v>#DIV/0!</v>
      </c>
      <c r="AM38" s="129" t="e">
        <f t="shared" si="2"/>
        <v>#DIV/0!</v>
      </c>
      <c r="AO38" s="254"/>
      <c r="AP38" s="172"/>
      <c r="AQ38" s="172"/>
      <c r="AR38" s="172"/>
      <c r="AS38" s="172"/>
      <c r="AT38" s="172"/>
      <c r="AU38" s="172"/>
      <c r="AV38" s="172"/>
      <c r="AW38" s="172"/>
      <c r="AX38" s="172"/>
      <c r="AY38" s="175"/>
      <c r="AZ38" s="286"/>
      <c r="BA38" s="212"/>
      <c r="EV38" s="7"/>
      <c r="EW38" s="7"/>
      <c r="EX38" s="7"/>
      <c r="EY38" s="7"/>
      <c r="EZ38" s="7"/>
      <c r="FA38" s="7"/>
      <c r="FB38" s="7"/>
      <c r="FC38" s="7"/>
    </row>
    <row r="39" spans="1:159" ht="13" customHeight="1" x14ac:dyDescent="0.15">
      <c r="A39" s="250"/>
      <c r="B39" s="38">
        <v>210</v>
      </c>
      <c r="C39" s="129">
        <f>Anchor!L144</f>
        <v>0</v>
      </c>
      <c r="D39" s="129">
        <f>Anchor!M144</f>
        <v>0</v>
      </c>
      <c r="E39" s="129">
        <f>Anchor!N144</f>
        <v>0</v>
      </c>
      <c r="F39" s="129">
        <f>Anchor!O144</f>
        <v>0</v>
      </c>
      <c r="G39" s="130">
        <f>('Summary (Full)'!$B$34*D39+'Summary (Full)'!$B$35*E39+'Summary (Full)'!$B$36*F39)/'Summary (Full)'!$B$37</f>
        <v>0</v>
      </c>
      <c r="H39" s="129">
        <f>Anchor!P144</f>
        <v>0</v>
      </c>
      <c r="I39" s="129">
        <f>Anchor!Q144</f>
        <v>0</v>
      </c>
      <c r="J39" s="129">
        <f>Anchor!R144</f>
        <v>0</v>
      </c>
      <c r="K39" s="129">
        <f>Anchor!S144</f>
        <v>0</v>
      </c>
      <c r="L39" s="129">
        <f>Anchor!T144</f>
        <v>0</v>
      </c>
      <c r="M39" s="129">
        <f>Anchor!U144</f>
        <v>0</v>
      </c>
      <c r="N39" s="129">
        <f>Anchor!V144</f>
        <v>0</v>
      </c>
      <c r="O39" s="129">
        <f>Anchor!W144</f>
        <v>0</v>
      </c>
      <c r="P39" s="129">
        <f>Anchor!X144</f>
        <v>0</v>
      </c>
      <c r="Q39" s="131">
        <f>10*LOG10(1/(('Summary (Full)'!$B$41/10^(N39/10)+'Summary (Full)'!$B$42/10^(O39/10)+'Summary (Full)'!$B$43/10^(P39/10))/'Summary (Full)'!$B$44))</f>
        <v>0</v>
      </c>
      <c r="R39" s="129">
        <f>Anchor!Y144</f>
        <v>0</v>
      </c>
      <c r="S39" s="129">
        <f>Anchor!Z144</f>
        <v>0</v>
      </c>
      <c r="T39" s="132"/>
      <c r="U39" s="129">
        <f>Test!L144</f>
        <v>0</v>
      </c>
      <c r="V39" s="129">
        <f>Test!M144</f>
        <v>0</v>
      </c>
      <c r="W39" s="129">
        <f>Test!N144</f>
        <v>0</v>
      </c>
      <c r="X39" s="129">
        <f>Test!O144</f>
        <v>0</v>
      </c>
      <c r="Y39" s="129">
        <f>('Summary (Full)'!$B$34*V39+'Summary (Full)'!$B$35*W39+'Summary (Full)'!$B$36*X39)/'Summary (Full)'!$B$37</f>
        <v>0</v>
      </c>
      <c r="Z39" s="129">
        <f>Test!P144</f>
        <v>0</v>
      </c>
      <c r="AA39" s="129">
        <f>Test!Q144</f>
        <v>0</v>
      </c>
      <c r="AB39" s="129">
        <f>Test!R144</f>
        <v>0</v>
      </c>
      <c r="AC39" s="129">
        <f>Test!S144</f>
        <v>0</v>
      </c>
      <c r="AD39" s="129">
        <f>Test!T144</f>
        <v>0</v>
      </c>
      <c r="AE39" s="129">
        <f>Test!U144</f>
        <v>0</v>
      </c>
      <c r="AF39" s="129">
        <f>Test!V144</f>
        <v>0</v>
      </c>
      <c r="AG39" s="129">
        <f>Test!W144</f>
        <v>0</v>
      </c>
      <c r="AH39" s="129">
        <f>Test!X144</f>
        <v>0</v>
      </c>
      <c r="AI39" s="129">
        <f>10*LOG10(1/(('Summary (Full)'!$B$41/10^(AF39/10)+'Summary (Full)'!$B$42/10^(AG39/10)+'Summary (Full)'!$B$43/10^(AH39/10))/'Summary (Full)'!$B$44))</f>
        <v>0</v>
      </c>
      <c r="AJ39" s="129">
        <f>Test!Y144</f>
        <v>0</v>
      </c>
      <c r="AK39" s="129">
        <f>Test!Z144</f>
        <v>0</v>
      </c>
      <c r="AL39" s="129" t="e">
        <f t="shared" si="2"/>
        <v>#DIV/0!</v>
      </c>
      <c r="AM39" s="129" t="e">
        <f t="shared" si="2"/>
        <v>#DIV/0!</v>
      </c>
      <c r="AO39" s="254" t="s">
        <v>29</v>
      </c>
      <c r="AP39" s="172" t="e" cm="1">
        <f t="array" ref="AP39">bdRateExtend($C37:$C40,D37:D40,$U37:$U40,V37:V40)</f>
        <v>#VALUE!</v>
      </c>
      <c r="AQ39" s="172"/>
      <c r="AR39" s="172"/>
      <c r="AS39" s="172"/>
      <c r="AT39" s="172" t="e" cm="1">
        <f t="array" ref="AT39">bdRateExtend($C37:$C40,H37:H40,$U37:$U40,Z37:Z40)</f>
        <v>#VALUE!</v>
      </c>
      <c r="AU39" s="172"/>
      <c r="AV39" s="172" t="e" cm="1">
        <f t="array" ref="AV39">bdRateExtend($C37:$C40,I37:I40,$U37:$U40,AA37:AA40)</f>
        <v>#VALUE!</v>
      </c>
      <c r="AW39" s="172"/>
      <c r="AX39" s="172" t="e" cm="1">
        <f t="array" ref="AX39">bdRateExtend($C37:$C40,J37:J40,$U37:$U40,AB37:AB40,"None", FALSE,1)</f>
        <v>#VALUE!</v>
      </c>
      <c r="AY39" s="175"/>
      <c r="AZ39" s="286" cm="1">
        <f t="array" ref="AZ39">testVMAFRange($C37:$C40,J37:J40,$U37:$U40,AB37:AB40)</f>
        <v>0</v>
      </c>
      <c r="BA39" s="212"/>
      <c r="EV39" s="7"/>
      <c r="EW39" s="7"/>
      <c r="EX39" s="7"/>
      <c r="EY39" s="7"/>
      <c r="EZ39" s="7"/>
      <c r="FA39" s="7"/>
      <c r="FB39" s="7"/>
      <c r="FC39" s="7"/>
    </row>
    <row r="40" spans="1:159" ht="14" thickBot="1" x14ac:dyDescent="0.2">
      <c r="A40" s="250"/>
      <c r="B40" s="38">
        <v>235</v>
      </c>
      <c r="C40" s="129">
        <f>Anchor!L145</f>
        <v>0</v>
      </c>
      <c r="D40" s="129">
        <f>Anchor!M145</f>
        <v>0</v>
      </c>
      <c r="E40" s="129">
        <f>Anchor!N145</f>
        <v>0</v>
      </c>
      <c r="F40" s="129">
        <f>Anchor!O145</f>
        <v>0</v>
      </c>
      <c r="G40" s="130">
        <f>('Summary (Full)'!$B$34*D40+'Summary (Full)'!$B$35*E40+'Summary (Full)'!$B$36*F40)/'Summary (Full)'!$B$37</f>
        <v>0</v>
      </c>
      <c r="H40" s="129">
        <f>Anchor!P145</f>
        <v>0</v>
      </c>
      <c r="I40" s="129">
        <f>Anchor!Q145</f>
        <v>0</v>
      </c>
      <c r="J40" s="129">
        <f>Anchor!R145</f>
        <v>0</v>
      </c>
      <c r="K40" s="129">
        <f>Anchor!S145</f>
        <v>0</v>
      </c>
      <c r="L40" s="129">
        <f>Anchor!T145</f>
        <v>0</v>
      </c>
      <c r="M40" s="129">
        <f>Anchor!U145</f>
        <v>0</v>
      </c>
      <c r="N40" s="129">
        <f>Anchor!V145</f>
        <v>0</v>
      </c>
      <c r="O40" s="129">
        <f>Anchor!W145</f>
        <v>0</v>
      </c>
      <c r="P40" s="129">
        <f>Anchor!X145</f>
        <v>0</v>
      </c>
      <c r="Q40" s="131">
        <f>10*LOG10(1/(('Summary (Full)'!$B$41/10^(N40/10)+'Summary (Full)'!$B$42/10^(O40/10)+'Summary (Full)'!$B$43/10^(P40/10))/'Summary (Full)'!$B$44))</f>
        <v>0</v>
      </c>
      <c r="R40" s="129">
        <f>Anchor!Y145</f>
        <v>0</v>
      </c>
      <c r="S40" s="129">
        <f>Anchor!Z145</f>
        <v>0</v>
      </c>
      <c r="T40" s="132"/>
      <c r="U40" s="129">
        <f>Test!L145</f>
        <v>0</v>
      </c>
      <c r="V40" s="129">
        <f>Test!M145</f>
        <v>0</v>
      </c>
      <c r="W40" s="129">
        <f>Test!N145</f>
        <v>0</v>
      </c>
      <c r="X40" s="129">
        <f>Test!O145</f>
        <v>0</v>
      </c>
      <c r="Y40" s="129">
        <f>('Summary (Full)'!$B$34*V40+'Summary (Full)'!$B$35*W40+'Summary (Full)'!$B$36*X40)/'Summary (Full)'!$B$37</f>
        <v>0</v>
      </c>
      <c r="Z40" s="129">
        <f>Test!P145</f>
        <v>0</v>
      </c>
      <c r="AA40" s="129">
        <f>Test!Q145</f>
        <v>0</v>
      </c>
      <c r="AB40" s="129">
        <f>Test!R145</f>
        <v>0</v>
      </c>
      <c r="AC40" s="129">
        <f>Test!S145</f>
        <v>0</v>
      </c>
      <c r="AD40" s="129">
        <f>Test!T145</f>
        <v>0</v>
      </c>
      <c r="AE40" s="129">
        <f>Test!U145</f>
        <v>0</v>
      </c>
      <c r="AF40" s="129">
        <f>Test!V145</f>
        <v>0</v>
      </c>
      <c r="AG40" s="129">
        <f>Test!W145</f>
        <v>0</v>
      </c>
      <c r="AH40" s="129">
        <f>Test!X145</f>
        <v>0</v>
      </c>
      <c r="AI40" s="129">
        <f>10*LOG10(1/(('Summary (Full)'!$B$41/10^(AF40/10)+'Summary (Full)'!$B$42/10^(AG40/10)+'Summary (Full)'!$B$43/10^(AH40/10))/'Summary (Full)'!$B$44))</f>
        <v>0</v>
      </c>
      <c r="AJ40" s="129">
        <f>Test!Y145</f>
        <v>0</v>
      </c>
      <c r="AK40" s="129">
        <f>Test!Z145</f>
        <v>0</v>
      </c>
      <c r="AL40" s="129" t="e">
        <f t="shared" si="2"/>
        <v>#DIV/0!</v>
      </c>
      <c r="AM40" s="129" t="e">
        <f t="shared" si="2"/>
        <v>#DIV/0!</v>
      </c>
      <c r="AO40" s="263"/>
      <c r="AP40" s="173"/>
      <c r="AQ40" s="173"/>
      <c r="AR40" s="173"/>
      <c r="AS40" s="173"/>
      <c r="AT40" s="173"/>
      <c r="AU40" s="173"/>
      <c r="AV40" s="173"/>
      <c r="AW40" s="173"/>
      <c r="AX40" s="173"/>
      <c r="AY40" s="188"/>
      <c r="AZ40" s="287"/>
      <c r="BA40" s="240"/>
      <c r="EV40" s="7"/>
      <c r="EW40" s="7"/>
      <c r="EX40" s="7"/>
      <c r="EY40" s="7"/>
      <c r="EZ40" s="7"/>
      <c r="FA40" s="7"/>
      <c r="FB40" s="7"/>
      <c r="FC40" s="7"/>
    </row>
    <row r="41" spans="1:159" x14ac:dyDescent="0.15">
      <c r="EV41" s="7"/>
      <c r="EW41" s="7"/>
      <c r="EX41" s="7"/>
      <c r="EY41" s="7"/>
      <c r="EZ41" s="7"/>
      <c r="FA41" s="7"/>
      <c r="FB41" s="7"/>
      <c r="FC41" s="7"/>
    </row>
    <row r="42" spans="1:159" ht="14" thickBot="1" x14ac:dyDescent="0.2">
      <c r="EV42" s="7"/>
      <c r="EW42" s="7"/>
      <c r="EX42" s="7"/>
      <c r="EY42" s="7"/>
      <c r="EZ42" s="7"/>
      <c r="FA42" s="7"/>
      <c r="FB42" s="7"/>
      <c r="FC42" s="7"/>
    </row>
    <row r="43" spans="1:159" x14ac:dyDescent="0.15">
      <c r="A43" s="265" t="s">
        <v>76</v>
      </c>
      <c r="B43" s="266"/>
      <c r="C43" s="266"/>
      <c r="D43" s="266"/>
      <c r="E43" s="266"/>
      <c r="F43" s="266"/>
      <c r="G43" s="266"/>
      <c r="H43" s="266"/>
      <c r="I43" s="266"/>
      <c r="J43" s="266"/>
      <c r="K43" s="266"/>
      <c r="L43" s="266"/>
      <c r="M43" s="266"/>
      <c r="N43" s="266"/>
      <c r="O43" s="266"/>
      <c r="P43" s="266"/>
      <c r="Q43" s="266"/>
      <c r="R43" s="266"/>
      <c r="S43" s="266"/>
      <c r="T43" s="266"/>
      <c r="U43" s="266"/>
      <c r="V43" s="266"/>
      <c r="W43" s="94"/>
      <c r="X43" s="94"/>
      <c r="Y43" s="94"/>
      <c r="Z43" s="94"/>
      <c r="AA43" s="94"/>
      <c r="AB43" s="94"/>
      <c r="AC43" s="94"/>
      <c r="AD43" s="94"/>
      <c r="AE43" s="94"/>
      <c r="AF43" s="94"/>
      <c r="AG43" s="94"/>
      <c r="AH43" s="94"/>
      <c r="AI43" s="96"/>
      <c r="AJ43" s="96"/>
      <c r="AK43" s="96"/>
      <c r="AL43" s="97"/>
      <c r="EV43" s="7"/>
      <c r="EW43" s="7"/>
      <c r="EX43" s="7"/>
      <c r="EY43" s="7"/>
      <c r="EZ43" s="7"/>
      <c r="FA43" s="7"/>
      <c r="FB43" s="7"/>
      <c r="FC43" s="7"/>
    </row>
    <row r="44" spans="1:159" x14ac:dyDescent="0.15">
      <c r="A44" s="267" t="s">
        <v>13</v>
      </c>
      <c r="B44" s="268"/>
      <c r="C44" s="268"/>
      <c r="D44" s="268"/>
      <c r="E44" s="268"/>
      <c r="F44" s="268"/>
      <c r="G44" s="268"/>
      <c r="H44" s="268"/>
      <c r="I44" s="268"/>
      <c r="J44" s="268"/>
      <c r="K44" s="268"/>
      <c r="L44" s="268"/>
      <c r="M44" s="93"/>
      <c r="N44" s="93"/>
      <c r="O44" s="93"/>
      <c r="P44" s="93"/>
      <c r="Q44" s="268" t="s">
        <v>1</v>
      </c>
      <c r="R44" s="268"/>
      <c r="S44" s="268" t="s">
        <v>22</v>
      </c>
      <c r="T44" s="268"/>
      <c r="U44" s="268" t="s">
        <v>0</v>
      </c>
      <c r="V44" s="268"/>
      <c r="W44" s="268" t="s">
        <v>49</v>
      </c>
      <c r="X44" s="268"/>
      <c r="Y44" s="271" t="s">
        <v>40</v>
      </c>
      <c r="Z44" s="271"/>
      <c r="AA44" s="271" t="s">
        <v>44</v>
      </c>
      <c r="AB44" s="271"/>
      <c r="AC44" s="271" t="s">
        <v>45</v>
      </c>
      <c r="AD44" s="271"/>
      <c r="AE44" s="271"/>
      <c r="AF44" s="271"/>
      <c r="AG44" s="271"/>
      <c r="AH44" s="271"/>
      <c r="AI44" s="282" t="s">
        <v>13</v>
      </c>
      <c r="AJ44" s="282"/>
      <c r="AK44" s="255" t="s">
        <v>42</v>
      </c>
      <c r="AL44" s="256"/>
      <c r="EV44" s="7"/>
      <c r="EW44" s="7"/>
      <c r="EX44" s="7"/>
      <c r="EY44" s="7"/>
      <c r="EZ44" s="7"/>
      <c r="FA44" s="7"/>
      <c r="FB44" s="7"/>
      <c r="FC44" s="7"/>
    </row>
    <row r="45" spans="1:159" x14ac:dyDescent="0.15">
      <c r="A45" s="95"/>
      <c r="B45" s="93"/>
      <c r="C45" s="268" t="s">
        <v>13</v>
      </c>
      <c r="D45" s="268"/>
      <c r="E45" s="268"/>
      <c r="F45" s="268"/>
      <c r="G45" s="93"/>
      <c r="H45" s="93"/>
      <c r="I45" s="93"/>
      <c r="J45" s="93"/>
      <c r="K45" s="93"/>
      <c r="L45" s="93"/>
      <c r="M45" s="268" t="s">
        <v>42</v>
      </c>
      <c r="N45" s="268"/>
      <c r="O45" s="268"/>
      <c r="P45" s="268"/>
      <c r="Q45" s="93"/>
      <c r="R45" s="93"/>
      <c r="S45" s="93"/>
      <c r="T45" s="93"/>
      <c r="U45" s="93"/>
      <c r="V45" s="93"/>
      <c r="W45" s="93"/>
      <c r="X45" s="93"/>
      <c r="Y45" s="93"/>
      <c r="Z45" s="93"/>
      <c r="AA45" s="93"/>
      <c r="AB45" s="93"/>
      <c r="AC45" s="93"/>
      <c r="AD45" s="93"/>
      <c r="AE45" s="93"/>
      <c r="AF45" s="93"/>
      <c r="AG45" s="93"/>
      <c r="AH45" s="93"/>
      <c r="AI45" s="98"/>
      <c r="AJ45" s="98"/>
      <c r="AK45" s="98"/>
      <c r="AL45" s="99"/>
      <c r="EV45" s="7"/>
      <c r="EW45" s="7"/>
      <c r="EX45" s="7"/>
      <c r="EY45" s="7"/>
      <c r="EZ45" s="7"/>
      <c r="FA45" s="7"/>
      <c r="FB45" s="7"/>
      <c r="FC45" s="7"/>
    </row>
    <row r="46" spans="1:159" ht="17" customHeight="1" thickBot="1" x14ac:dyDescent="0.2">
      <c r="A46" s="269" t="s">
        <v>23</v>
      </c>
      <c r="B46" s="270"/>
      <c r="C46" s="117" t="s">
        <v>24</v>
      </c>
      <c r="D46" s="117" t="s">
        <v>25</v>
      </c>
      <c r="E46" s="117" t="s">
        <v>26</v>
      </c>
      <c r="F46" s="117" t="s">
        <v>38</v>
      </c>
      <c r="G46" s="117" t="s">
        <v>5</v>
      </c>
      <c r="H46" s="117" t="s">
        <v>22</v>
      </c>
      <c r="I46" s="117" t="s">
        <v>0</v>
      </c>
      <c r="J46" s="117" t="s">
        <v>39</v>
      </c>
      <c r="K46" s="117" t="s">
        <v>40</v>
      </c>
      <c r="L46" s="117" t="s">
        <v>41</v>
      </c>
      <c r="M46" s="117" t="s">
        <v>24</v>
      </c>
      <c r="N46" s="117" t="s">
        <v>25</v>
      </c>
      <c r="O46" s="117" t="s">
        <v>26</v>
      </c>
      <c r="P46" s="117" t="s">
        <v>38</v>
      </c>
      <c r="Q46" s="117" t="s">
        <v>23</v>
      </c>
      <c r="R46" s="117" t="s">
        <v>24</v>
      </c>
      <c r="S46" s="117" t="s">
        <v>23</v>
      </c>
      <c r="T46" s="117" t="s">
        <v>24</v>
      </c>
      <c r="U46" s="117" t="s">
        <v>23</v>
      </c>
      <c r="V46" s="117" t="s">
        <v>24</v>
      </c>
      <c r="W46" s="117" t="s">
        <v>23</v>
      </c>
      <c r="X46" s="117" t="s">
        <v>24</v>
      </c>
      <c r="Y46" s="117" t="s">
        <v>23</v>
      </c>
      <c r="Z46" s="117" t="s">
        <v>24</v>
      </c>
      <c r="AA46" s="117" t="s">
        <v>23</v>
      </c>
      <c r="AB46" s="117" t="s">
        <v>24</v>
      </c>
      <c r="AC46" s="117" t="s">
        <v>23</v>
      </c>
      <c r="AD46" s="117" t="s">
        <v>24</v>
      </c>
      <c r="AE46" s="117" t="s">
        <v>24</v>
      </c>
      <c r="AF46" s="117" t="s">
        <v>25</v>
      </c>
      <c r="AG46" s="117" t="s">
        <v>26</v>
      </c>
      <c r="AH46" s="117" t="s">
        <v>38</v>
      </c>
      <c r="AI46" s="283" t="s">
        <v>38</v>
      </c>
      <c r="AJ46" s="283"/>
      <c r="AK46" s="257" t="s">
        <v>38</v>
      </c>
      <c r="AL46" s="258"/>
      <c r="EV46" s="7"/>
      <c r="EW46" s="7"/>
      <c r="EX46" s="7"/>
      <c r="EY46" s="7"/>
      <c r="EZ46" s="7"/>
      <c r="FA46" s="7"/>
      <c r="FB46" s="7"/>
      <c r="FC46" s="7"/>
    </row>
    <row r="47" spans="1:159" x14ac:dyDescent="0.15">
      <c r="A47" s="253" t="s">
        <v>27</v>
      </c>
      <c r="B47" s="171" t="e">
        <f>bdRateROI($CL5:$CL63,CM5:CM63,$DZ5:$DZ63,EA5:EA63,CJ11,CJ6,1, 0, TRUE)</f>
        <v>#VALUE!</v>
      </c>
      <c r="C47" s="171" t="e">
        <f t="shared" ref="C47:H47" si="3">bdRateExtend($CL5:$CL63,CN5:CN63,$DZ5:$DZ63,EB5:EB63, "None", FALSE, 0, TRUE)</f>
        <v>#VALUE!</v>
      </c>
      <c r="D47" s="171" t="e">
        <f t="shared" si="3"/>
        <v>#VALUE!</v>
      </c>
      <c r="E47" s="171" t="e">
        <f t="shared" si="3"/>
        <v>#VALUE!</v>
      </c>
      <c r="F47" s="171" t="e">
        <f t="shared" si="3"/>
        <v>#VALUE!</v>
      </c>
      <c r="G47" s="171" t="e">
        <f t="shared" si="3"/>
        <v>#VALUE!</v>
      </c>
      <c r="H47" s="171" t="e">
        <f t="shared" si="3"/>
        <v>#VALUE!</v>
      </c>
      <c r="I47" s="171" t="e">
        <f>bdRateExtend($CL5:$CL63,CT5:CT63,$DZ5:$DZ63,EH5:EH63,"None", FALSE,2,TRUE)</f>
        <v>#VALUE!</v>
      </c>
      <c r="J47" s="171" t="e">
        <f>bdRateExtend($CL5:$CL63,CU5:CU63,$DZ5:$DZ63,EI5:EI63,"None", FALSE,2,TRUE)</f>
        <v>#VALUE!</v>
      </c>
      <c r="K47" s="171" t="e">
        <f t="shared" ref="K47:P47" si="4">bdRateExtend($CL5:$CL63,CV5:CV63,$DZ5:$DZ63,EJ5:EJ63, "None", FALSE, 0, TRUE)</f>
        <v>#VALUE!</v>
      </c>
      <c r="L47" s="171" t="e">
        <f t="shared" si="4"/>
        <v>#VALUE!</v>
      </c>
      <c r="M47" s="171" t="e">
        <f t="shared" si="4"/>
        <v>#VALUE!</v>
      </c>
      <c r="N47" s="171" t="e">
        <f t="shared" si="4"/>
        <v>#VALUE!</v>
      </c>
      <c r="O47" s="171" t="e">
        <f t="shared" si="4"/>
        <v>#VALUE!</v>
      </c>
      <c r="P47" s="171" t="e">
        <f t="shared" si="4"/>
        <v>#VALUE!</v>
      </c>
      <c r="Q47" s="171" t="e">
        <f>bdRateROI($DE5:$DE63,DF5:DF63,$ER5:$ER63,ES5:ES63,CJ11,CJ6,1, 0, TRUE)</f>
        <v>#VALUE!</v>
      </c>
      <c r="R47" s="171" t="e">
        <f>bdRateExtend($DE5:$DE63,DF5:DF63,$ER5:$ER63,ES5:ES63, "None", FALSE, 0, TRUE)</f>
        <v>#VALUE!</v>
      </c>
      <c r="S47" s="171" t="e">
        <f>bdRateROI($DH5:$DH63,DI5:DI63,$ET5:$ET63,EU5:EU63,CJ11,CJ6,1, 0, TRUE)</f>
        <v>#VALUE!</v>
      </c>
      <c r="T47" s="171" t="e">
        <f>bdRateExtend($DH5:$DH63,DI5:DI63,$ET5:$ET63,EU5:EU63, "None", FALSE, 0, TRUE)</f>
        <v>#VALUE!</v>
      </c>
      <c r="U47" s="171" t="e">
        <f>bdRateROI($DK5:$DK63,DL5:DL63,$EV5:$EV63,EW5:EW63,$CJ11,$CJ6,1,2,TRUE)</f>
        <v>#VALUE!</v>
      </c>
      <c r="V47" s="171" t="e">
        <f>bdRateExtend($DK5:$DK63,DL5:DL63,$EV5:$EV63,EW5:EW63,"None", FALSE,2,TRUE)</f>
        <v>#VALUE!</v>
      </c>
      <c r="W47" s="171" t="e">
        <f>bdRateROI(DM5:DM63,DN5:DN63,EX5:EX63,EY5:EY63,$CJ11,$CJ6,1,2,TRUE)</f>
        <v>#VALUE!</v>
      </c>
      <c r="X47" s="171" t="e">
        <f>bdRateExtend(DM5:DM63,DN5:DN63,EX5:EX63,EY5:EY63,"None", FALSE,2,TRUE)</f>
        <v>#VALUE!</v>
      </c>
      <c r="Y47" s="171" t="e">
        <f>bdRateROI(DO5:DO63,DP5:DP63,EZ5:EZ63,FA5:FA63,$CJ11,$CJ6,1, 0, TRUE)</f>
        <v>#VALUE!</v>
      </c>
      <c r="Z47" s="171" t="e">
        <f>bdRateExtend(DO5:DO63,DP5:DP63,EZ5:EZ63,FA5:FA63, "None", FALSE, 0, TRUE)</f>
        <v>#VALUE!</v>
      </c>
      <c r="AA47" s="171" t="e">
        <f>bdRateROI(DQ5:DQ63,DR5:DR63,FB5:FB63,FC5:FC63,$CJ11,$CJ6,1, 0, TRUE)</f>
        <v>#VALUE!</v>
      </c>
      <c r="AB47" s="171" t="e">
        <f>bdRateExtend(DQ5:DQ63,DR5:DR63,FB5:FB63,FC5:FC63, "None", FALSE, 0, TRUE)</f>
        <v>#VALUE!</v>
      </c>
      <c r="AC47" s="171" t="e">
        <f>bdRateROI(DS5:DS63,DT5:DT63,FD5:FD63,FE5:FE63,$CJ11,$CJ6,1, 0, TRUE)</f>
        <v>#VALUE!</v>
      </c>
      <c r="AD47" s="171" t="e">
        <f>bdRateExtend(DS5:DS63,DT5:DT63,FD5:FD63,FE5:FE63, "None", FALSE, 0, TRUE)</f>
        <v>#VALUE!</v>
      </c>
      <c r="AE47" s="171" t="e">
        <f>bdRateExtend($DS5:$DS63,DU5:DU63,$FD5:$FD63,FF5:FF63, "None", FALSE, 0, TRUE)</f>
        <v>#VALUE!</v>
      </c>
      <c r="AF47" s="171" t="e">
        <f>bdRateExtend($DS5:$DS63,DV5:DV63,$FD5:$FD63,FG5:FG63, "None", FALSE, 0, TRUE)</f>
        <v>#VALUE!</v>
      </c>
      <c r="AG47" s="171" t="e">
        <f>bdRateExtend($DS5:$DS63,DW5:DW63,$FD5:$FD63,FH5:FH63, "None", FALSE, 0, TRUE)</f>
        <v>#VALUE!</v>
      </c>
      <c r="AH47" s="171" t="e">
        <f>bdRateExtend($DS5:$DS63,DX5:DX63,$FD5:$FD63,FI5:FI63, "None", FALSE, 0, TRUE)</f>
        <v>#VALUE!</v>
      </c>
      <c r="AI47" s="171" t="e">
        <f>bdRateROI($FK5:$FK63,FL5:FL63,$FP5:$FP63,FQ5:FQ63,$CJ11,$CJ6,1, 0, TRUE)</f>
        <v>#VALUE!</v>
      </c>
      <c r="AJ47" s="171" t="e">
        <f>bdRateExtend($FK5:$FK63,FL5:FL63,$FP5:$FP63,FQ5:FQ63, "None", FALSE, 0, TRUE)</f>
        <v>#VALUE!</v>
      </c>
      <c r="AK47" s="171" t="e">
        <f>bdRateROI($FM5:$FM63,FN5:FN63,$FR5:$FR63,FS5:FS63,$CJ11,$CJ6,1, 0, TRUE)</f>
        <v>#VALUE!</v>
      </c>
      <c r="AL47" s="174" t="e">
        <f>bdRateExtend($FM5:$FM63,FN5:FN63,$FR5:$FR63,FS5:FS63, "None", FALSE, 0, TRUE)</f>
        <v>#VALUE!</v>
      </c>
      <c r="EV47" s="7"/>
      <c r="EW47" s="7"/>
      <c r="EX47" s="7"/>
      <c r="EY47" s="7"/>
      <c r="EZ47" s="7"/>
      <c r="FA47" s="7"/>
      <c r="FB47" s="7"/>
      <c r="FC47" s="7"/>
    </row>
    <row r="48" spans="1:159" x14ac:dyDescent="0.15">
      <c r="A48" s="254"/>
      <c r="B48" s="172"/>
      <c r="C48" s="172"/>
      <c r="D48" s="172"/>
      <c r="E48" s="172"/>
      <c r="F48" s="172"/>
      <c r="G48" s="172"/>
      <c r="H48" s="172"/>
      <c r="I48" s="172"/>
      <c r="J48" s="172"/>
      <c r="K48" s="172"/>
      <c r="L48" s="172"/>
      <c r="M48" s="172"/>
      <c r="N48" s="172"/>
      <c r="O48" s="172"/>
      <c r="P48" s="172"/>
      <c r="Q48" s="172"/>
      <c r="R48" s="172"/>
      <c r="S48" s="172"/>
      <c r="T48" s="172"/>
      <c r="U48" s="172"/>
      <c r="V48" s="172"/>
      <c r="W48" s="172"/>
      <c r="X48" s="172"/>
      <c r="Y48" s="172"/>
      <c r="Z48" s="172"/>
      <c r="AA48" s="172"/>
      <c r="AB48" s="172"/>
      <c r="AC48" s="172"/>
      <c r="AD48" s="172"/>
      <c r="AE48" s="172"/>
      <c r="AF48" s="172"/>
      <c r="AG48" s="172"/>
      <c r="AH48" s="172"/>
      <c r="AI48" s="172"/>
      <c r="AJ48" s="172"/>
      <c r="AK48" s="172"/>
      <c r="AL48" s="175"/>
      <c r="EV48" s="7"/>
      <c r="EW48" s="7"/>
      <c r="EX48" s="7"/>
      <c r="EY48" s="7"/>
      <c r="EZ48" s="7"/>
      <c r="FA48" s="7"/>
      <c r="FB48" s="7"/>
      <c r="FC48" s="7"/>
    </row>
    <row r="49" spans="1:159" x14ac:dyDescent="0.15">
      <c r="A49" s="254" t="s">
        <v>28</v>
      </c>
      <c r="B49" s="172" t="e">
        <f>bdRateROI($CL5:$CL63,CM5:CM63,$DZ5:$DZ63,EA5:EA63,CJ10,CJ11,1, 0, TRUE)</f>
        <v>#VALUE!</v>
      </c>
      <c r="C49" s="172"/>
      <c r="D49" s="172"/>
      <c r="E49" s="172"/>
      <c r="F49" s="172"/>
      <c r="G49" s="172"/>
      <c r="H49" s="172"/>
      <c r="I49" s="172"/>
      <c r="J49" s="172"/>
      <c r="K49" s="172"/>
      <c r="L49" s="172"/>
      <c r="M49" s="172"/>
      <c r="N49" s="172"/>
      <c r="O49" s="172"/>
      <c r="P49" s="172"/>
      <c r="Q49" s="172" t="e">
        <f>bdRateROI($DE5:$DE63,DF5:DF63,$ER5:$ER63,ES5:ES63,CJ10,CJ11,1, 0, TRUE)</f>
        <v>#VALUE!</v>
      </c>
      <c r="R49" s="172"/>
      <c r="S49" s="172" t="e">
        <f>bdRateROI($DH5:$DH63,DI5:DI63,$ET5:$ET63,EU5:EU63,CJ10,CJ11,1, 0, TRUE)</f>
        <v>#VALUE!</v>
      </c>
      <c r="T49" s="172"/>
      <c r="U49" s="172" t="e">
        <f>bdRateROI($DK5:$DK63,DL5:DL63,$EV5:$EV63,EW5:EW63,$CJ$10,$CJ$11,1,2,TRUE)</f>
        <v>#VALUE!</v>
      </c>
      <c r="V49" s="172"/>
      <c r="W49" s="172" t="e">
        <f>bdRateROI(DM5:DM63,DN5:DN63,EX5:EX63,EY5:EY63,$CJ$10,$CJ$11,1,2,TRUE)</f>
        <v>#VALUE!</v>
      </c>
      <c r="X49" s="172"/>
      <c r="Y49" s="172" t="e">
        <f>bdRateROI(DO5:DO63,DP5:DP63,EZ5:EZ63,FA5:FA63,$CJ$10,$CJ$11,1, 0, TRUE)</f>
        <v>#VALUE!</v>
      </c>
      <c r="Z49" s="172"/>
      <c r="AA49" s="172" t="e">
        <f>bdRateROI(DQ5:DQ63,DR5:DR63,FB5:FB63,FC5:FC63,$CJ$10,$CJ$11,1, 0, TRUE)</f>
        <v>#VALUE!</v>
      </c>
      <c r="AB49" s="172"/>
      <c r="AC49" s="172" t="e">
        <f>bdRateROI(DS5:DS63,DT5:DT63,FD5:FD63,FE5:FE63,$CJ$10,$CJ$11,1, 0, TRUE)</f>
        <v>#VALUE!</v>
      </c>
      <c r="AD49" s="172"/>
      <c r="AE49" s="172"/>
      <c r="AF49" s="172"/>
      <c r="AG49" s="172"/>
      <c r="AH49" s="172"/>
      <c r="AI49" s="172" t="e">
        <f>bdRateROI($FK5:$FK63,FL5:FL63,$FP5:$FP63,FQ5:FQ63,$CJ$10,$CJ$11,1, 0, TRUE)</f>
        <v>#VALUE!</v>
      </c>
      <c r="AJ49" s="172"/>
      <c r="AK49" s="172" t="e">
        <f>bdRateROI($FM5:$FM63,FN5:FN63,$FR5:$FR63,FS5:FS63,$CJ$10,$CJ$11,1, 0, TRUE)</f>
        <v>#VALUE!</v>
      </c>
      <c r="AL49" s="175"/>
      <c r="EV49" s="7"/>
      <c r="EW49" s="7"/>
      <c r="EX49" s="7"/>
      <c r="EY49" s="7"/>
      <c r="EZ49" s="7"/>
      <c r="FA49" s="7"/>
      <c r="FB49" s="7"/>
      <c r="FC49" s="7"/>
    </row>
    <row r="50" spans="1:159" x14ac:dyDescent="0.15">
      <c r="A50" s="254"/>
      <c r="B50" s="172"/>
      <c r="C50" s="172"/>
      <c r="D50" s="172"/>
      <c r="E50" s="172"/>
      <c r="F50" s="172"/>
      <c r="G50" s="172"/>
      <c r="H50" s="172"/>
      <c r="I50" s="172"/>
      <c r="J50" s="172"/>
      <c r="K50" s="172"/>
      <c r="L50" s="172"/>
      <c r="M50" s="172"/>
      <c r="N50" s="172"/>
      <c r="O50" s="172"/>
      <c r="P50" s="172"/>
      <c r="Q50" s="172"/>
      <c r="R50" s="172"/>
      <c r="S50" s="172"/>
      <c r="T50" s="172"/>
      <c r="U50" s="172"/>
      <c r="V50" s="172"/>
      <c r="W50" s="172"/>
      <c r="X50" s="172"/>
      <c r="Y50" s="172"/>
      <c r="Z50" s="172"/>
      <c r="AA50" s="172"/>
      <c r="AB50" s="172"/>
      <c r="AC50" s="172"/>
      <c r="AD50" s="172"/>
      <c r="AE50" s="172"/>
      <c r="AF50" s="172"/>
      <c r="AG50" s="172"/>
      <c r="AH50" s="172"/>
      <c r="AI50" s="172"/>
      <c r="AJ50" s="172"/>
      <c r="AK50" s="172"/>
      <c r="AL50" s="175"/>
      <c r="EV50" s="7"/>
      <c r="EW50" s="7"/>
      <c r="EX50" s="7"/>
      <c r="EY50" s="7"/>
      <c r="EZ50" s="7"/>
      <c r="FA50" s="7"/>
      <c r="FB50" s="7"/>
      <c r="FC50" s="7"/>
    </row>
    <row r="51" spans="1:159" x14ac:dyDescent="0.15">
      <c r="A51" s="254" t="s">
        <v>29</v>
      </c>
      <c r="B51" s="172" t="e">
        <f>bdRateROI($CL5:$CL63,CM5:CM63,$DZ5:$DZ63,EA5:EA63,CJ5,CJ10,1, 0, TRUE)</f>
        <v>#VALUE!</v>
      </c>
      <c r="C51" s="172"/>
      <c r="D51" s="172"/>
      <c r="E51" s="172"/>
      <c r="F51" s="172"/>
      <c r="G51" s="172"/>
      <c r="H51" s="172"/>
      <c r="I51" s="172"/>
      <c r="J51" s="172"/>
      <c r="K51" s="172"/>
      <c r="L51" s="172"/>
      <c r="M51" s="172"/>
      <c r="N51" s="172"/>
      <c r="O51" s="172"/>
      <c r="P51" s="172"/>
      <c r="Q51" s="172" t="e">
        <f>bdRateROI($DE5:$DE63,DF5:DF63,$ER5:$ER63,ES5:ES63,CJ5,CJ10,1, 0, TRUE)</f>
        <v>#VALUE!</v>
      </c>
      <c r="R51" s="172"/>
      <c r="S51" s="172" t="e">
        <f>bdRateROI($DH5:$DH63,DI5:DI63,$ET5:$ET63,EU5:EU63,CJ5,CJ10,1, 0, TRUE)</f>
        <v>#VALUE!</v>
      </c>
      <c r="T51" s="172"/>
      <c r="U51" s="172" t="e">
        <f>bdRateROI($DK5:$DK63,DL5:DL63,$EV5:$EV63,EW5:EW63,$CJ$5,$CJ$10,1,2,TRUE)</f>
        <v>#VALUE!</v>
      </c>
      <c r="V51" s="172"/>
      <c r="W51" s="172" t="e">
        <f>bdRateROI(DM5:DM63,DN5:DN63,EX5:EX63,EY5:EY63,$CJ$5,$CJ$10,1,2,TRUE)</f>
        <v>#VALUE!</v>
      </c>
      <c r="X51" s="172"/>
      <c r="Y51" s="172" t="e">
        <f>bdRateROI(DO5:DO63,DP5:DP63,EZ5:EZ63,FA5:FA63,$CJ$5,$CJ$10,1, 0, TRUE)</f>
        <v>#VALUE!</v>
      </c>
      <c r="Z51" s="172"/>
      <c r="AA51" s="172" t="e">
        <f>bdRateROI(DQ5:DQ63,DR5:DR63,FB5:FB63,FC5:FC63,$CJ$5,$CJ$10,1, 0, TRUE)</f>
        <v>#VALUE!</v>
      </c>
      <c r="AB51" s="172"/>
      <c r="AC51" s="172" t="e">
        <f>bdRateROI(DS5:DS63,DT5:DT63,FD5:FD63,FE5:FE63,$CJ$5,$CJ$10,1, 0, TRUE)</f>
        <v>#VALUE!</v>
      </c>
      <c r="AD51" s="172"/>
      <c r="AE51" s="172"/>
      <c r="AF51" s="172"/>
      <c r="AG51" s="172"/>
      <c r="AH51" s="172"/>
      <c r="AI51" s="172" t="e">
        <f>bdRateROI($FK5:$FK63,FL5:FL63,$FP5:$FP63,FQ5:FQ63,$CJ$5,$CJ$10,1, 0, TRUE)</f>
        <v>#VALUE!</v>
      </c>
      <c r="AJ51" s="172"/>
      <c r="AK51" s="172" t="e">
        <f>bdRateROI($FM5:$FM63,FN5:FN63,$FR5:$FR63,FS5:FS63,$CJ$5,$CJ$10,1, 0, TRUE)</f>
        <v>#VALUE!</v>
      </c>
      <c r="AL51" s="175"/>
      <c r="EV51" s="7"/>
      <c r="EW51" s="7"/>
      <c r="EX51" s="7"/>
      <c r="EY51" s="7"/>
      <c r="EZ51" s="7"/>
      <c r="FA51" s="7"/>
      <c r="FB51" s="7"/>
      <c r="FC51" s="7"/>
    </row>
    <row r="52" spans="1:159" ht="14" thickBot="1" x14ac:dyDescent="0.2">
      <c r="A52" s="263"/>
      <c r="B52" s="173"/>
      <c r="C52" s="173"/>
      <c r="D52" s="173"/>
      <c r="E52" s="173"/>
      <c r="F52" s="173"/>
      <c r="G52" s="173"/>
      <c r="H52" s="173"/>
      <c r="I52" s="173"/>
      <c r="J52" s="173"/>
      <c r="K52" s="173"/>
      <c r="L52" s="173"/>
      <c r="M52" s="173"/>
      <c r="N52" s="173"/>
      <c r="O52" s="173"/>
      <c r="P52" s="173"/>
      <c r="Q52" s="173"/>
      <c r="R52" s="173"/>
      <c r="S52" s="173"/>
      <c r="T52" s="173"/>
      <c r="U52" s="173"/>
      <c r="V52" s="173"/>
      <c r="W52" s="173"/>
      <c r="X52" s="173"/>
      <c r="Y52" s="173"/>
      <c r="Z52" s="173"/>
      <c r="AA52" s="173"/>
      <c r="AB52" s="173"/>
      <c r="AC52" s="173"/>
      <c r="AD52" s="173"/>
      <c r="AE52" s="173"/>
      <c r="AF52" s="173"/>
      <c r="AG52" s="173"/>
      <c r="AH52" s="173"/>
      <c r="AI52" s="173"/>
      <c r="AJ52" s="173"/>
      <c r="AK52" s="173"/>
      <c r="AL52" s="188"/>
      <c r="EV52" s="7"/>
      <c r="EW52" s="7"/>
      <c r="EX52" s="7"/>
      <c r="EY52" s="7"/>
      <c r="EZ52" s="7"/>
      <c r="FA52" s="7"/>
      <c r="FB52" s="7"/>
      <c r="FC52" s="7"/>
    </row>
    <row r="53" spans="1:159" x14ac:dyDescent="0.15">
      <c r="EV53" s="7"/>
      <c r="EW53" s="7"/>
      <c r="EX53" s="7"/>
      <c r="EY53" s="7"/>
      <c r="EZ53" s="7"/>
      <c r="FA53" s="7"/>
      <c r="FB53" s="7"/>
      <c r="FC53" s="7"/>
    </row>
    <row r="54" spans="1:159" x14ac:dyDescent="0.15">
      <c r="AP54" s="9"/>
      <c r="EV54" s="7"/>
      <c r="EW54" s="7"/>
      <c r="EX54" s="7"/>
      <c r="EY54" s="7"/>
      <c r="EZ54" s="7"/>
      <c r="FA54" s="7"/>
      <c r="FB54" s="7"/>
      <c r="FC54" s="7"/>
    </row>
    <row r="55" spans="1:159" x14ac:dyDescent="0.15">
      <c r="AP55" s="9"/>
      <c r="EV55" s="7"/>
      <c r="EW55" s="7"/>
      <c r="EX55" s="7"/>
      <c r="EY55" s="7"/>
      <c r="EZ55" s="7"/>
      <c r="FA55" s="7"/>
      <c r="FB55" s="7"/>
      <c r="FC55" s="7"/>
    </row>
    <row r="56" spans="1:159" x14ac:dyDescent="0.15">
      <c r="C56" s="1">
        <f>COUNTIFS(C5:C40, "&lt;&gt;",C5:C40, "&lt;&gt;0")</f>
        <v>0</v>
      </c>
      <c r="U56" s="1">
        <f>COUNTIFS(U5:U40, "&lt;&gt;",U5:U40, "&lt;&gt;0")</f>
        <v>0</v>
      </c>
      <c r="AM56" s="1" t="e">
        <f>U56/C56</f>
        <v>#DIV/0!</v>
      </c>
      <c r="EV56" s="7"/>
      <c r="EW56" s="7"/>
      <c r="EX56" s="7"/>
      <c r="EY56" s="7"/>
      <c r="EZ56" s="7"/>
      <c r="FA56" s="7"/>
      <c r="FB56" s="7"/>
      <c r="FC56" s="7"/>
    </row>
    <row r="57" spans="1:159" x14ac:dyDescent="0.15">
      <c r="R57" s="1" t="e">
        <f>GEOMEAN(R5:R40)</f>
        <v>#NUM!</v>
      </c>
      <c r="S57" s="1" t="e">
        <f>GEOMEAN(S5:S40)</f>
        <v>#NUM!</v>
      </c>
      <c r="AJ57" s="1" t="e">
        <f>GEOMEAN(AJ5:AJ40)</f>
        <v>#NUM!</v>
      </c>
      <c r="AK57" s="1" t="e">
        <f>GEOMEAN(AK5:AK40)</f>
        <v>#NUM!</v>
      </c>
      <c r="AL57" s="1" t="e">
        <f>GEOMEAN(AL5:AL40)</f>
        <v>#DIV/0!</v>
      </c>
      <c r="AM57" s="1" t="e">
        <f>GEOMEAN(AM5:AM40)</f>
        <v>#DIV/0!</v>
      </c>
      <c r="EV57" s="7"/>
      <c r="EW57" s="7"/>
      <c r="EX57" s="7"/>
      <c r="EY57" s="7"/>
      <c r="EZ57" s="7"/>
      <c r="FA57" s="7"/>
      <c r="FB57" s="7"/>
      <c r="FC57" s="7"/>
    </row>
    <row r="58" spans="1:159" x14ac:dyDescent="0.15">
      <c r="R58" s="1">
        <f>SUM(R5:R40)</f>
        <v>0</v>
      </c>
      <c r="S58" s="1">
        <f>SUM(S5:S40)</f>
        <v>0</v>
      </c>
      <c r="AJ58" s="1">
        <f>SUM(AJ5:AJ40)</f>
        <v>0</v>
      </c>
      <c r="AK58" s="1">
        <f>SUM(AK5:AK40)</f>
        <v>0</v>
      </c>
      <c r="AL58" s="1" t="e">
        <f>AVERAGE(AL5:AL40)</f>
        <v>#DIV/0!</v>
      </c>
      <c r="AM58" s="1" t="e">
        <f>AVERAGE(AM5:AM40)</f>
        <v>#DIV/0!</v>
      </c>
      <c r="EV58" s="7"/>
      <c r="EW58" s="7"/>
      <c r="EX58" s="7"/>
      <c r="EY58" s="7"/>
      <c r="EZ58" s="7"/>
      <c r="FA58" s="7"/>
      <c r="FB58" s="7"/>
      <c r="FC58" s="7"/>
    </row>
    <row r="59" spans="1:159" x14ac:dyDescent="0.15">
      <c r="R59" s="1">
        <f>MAX(R5:R40)</f>
        <v>0</v>
      </c>
      <c r="S59" s="1">
        <f>MAX(S5:S40)</f>
        <v>0</v>
      </c>
      <c r="AJ59" s="1">
        <f>MAX(AJ5:AJ40)</f>
        <v>0</v>
      </c>
      <c r="AK59" s="1">
        <f>MAX(AK5:AK40)</f>
        <v>0</v>
      </c>
      <c r="AL59" s="1" t="e">
        <f>MAX(AL5:AL40)</f>
        <v>#DIV/0!</v>
      </c>
      <c r="AM59" s="1" t="e">
        <f>MAX(AM5:AM40)</f>
        <v>#DIV/0!</v>
      </c>
      <c r="EV59" s="7"/>
      <c r="EW59" s="7"/>
      <c r="EX59" s="7"/>
      <c r="EY59" s="7"/>
      <c r="EZ59" s="7"/>
      <c r="FA59" s="7"/>
      <c r="FB59" s="7"/>
      <c r="FC59" s="7"/>
    </row>
    <row r="60" spans="1:159" x14ac:dyDescent="0.15">
      <c r="R60" s="1">
        <f>MIN(R5:R40)</f>
        <v>0</v>
      </c>
      <c r="S60" s="1">
        <f>MIN(S5:S40)</f>
        <v>0</v>
      </c>
      <c r="AJ60" s="1">
        <f>MIN(AJ5:AJ40)</f>
        <v>0</v>
      </c>
      <c r="AK60" s="1">
        <f>MIN(AK5:AK40)</f>
        <v>0</v>
      </c>
      <c r="AL60" s="1" t="e">
        <f>MIN(AL5:AL40)</f>
        <v>#DIV/0!</v>
      </c>
      <c r="AM60" s="1" t="e">
        <f>MIN(AM5:AM40)</f>
        <v>#DIV/0!</v>
      </c>
      <c r="EV60" s="7"/>
      <c r="EW60" s="7"/>
      <c r="EX60" s="7"/>
      <c r="EY60" s="7"/>
      <c r="EZ60" s="7"/>
      <c r="FA60" s="7"/>
      <c r="FB60" s="7"/>
      <c r="FC60" s="7"/>
    </row>
    <row r="61" spans="1:159" x14ac:dyDescent="0.15">
      <c r="AJ61" s="1" t="e">
        <f>AJ57/R57</f>
        <v>#NUM!</v>
      </c>
      <c r="AK61" s="1" t="e">
        <f>AK57/S57</f>
        <v>#NUM!</v>
      </c>
      <c r="EV61" s="7"/>
      <c r="EW61" s="7"/>
      <c r="EX61" s="7"/>
      <c r="EY61" s="7"/>
      <c r="EZ61" s="7"/>
      <c r="FA61" s="7"/>
      <c r="FB61" s="7"/>
      <c r="FC61" s="7"/>
    </row>
    <row r="62" spans="1:159" x14ac:dyDescent="0.15">
      <c r="EV62" s="7"/>
      <c r="EW62" s="7"/>
      <c r="EX62" s="7"/>
      <c r="EY62" s="7"/>
      <c r="EZ62" s="7"/>
      <c r="FA62" s="7"/>
      <c r="FB62" s="7"/>
      <c r="FC62" s="7"/>
    </row>
    <row r="63" spans="1:159" x14ac:dyDescent="0.15">
      <c r="EV63" s="7"/>
      <c r="EW63" s="7"/>
      <c r="EX63" s="7"/>
      <c r="EY63" s="7"/>
      <c r="EZ63" s="7"/>
      <c r="FA63" s="7"/>
      <c r="FB63" s="7"/>
      <c r="FC63" s="7"/>
    </row>
    <row r="64" spans="1:159" x14ac:dyDescent="0.15">
      <c r="EV64" s="7"/>
      <c r="EW64" s="7"/>
      <c r="EX64" s="7"/>
      <c r="EY64" s="7"/>
      <c r="EZ64" s="7"/>
      <c r="FA64" s="7"/>
      <c r="FB64" s="7"/>
      <c r="FC64" s="7"/>
    </row>
    <row r="65" spans="152:159" x14ac:dyDescent="0.15">
      <c r="EV65" s="7"/>
      <c r="EW65" s="7"/>
      <c r="EX65" s="7"/>
      <c r="EY65" s="7"/>
      <c r="EZ65" s="7"/>
      <c r="FA65" s="7"/>
      <c r="FB65" s="7"/>
      <c r="FC65" s="7"/>
    </row>
    <row r="66" spans="152:159" x14ac:dyDescent="0.15">
      <c r="EV66" s="7"/>
      <c r="EW66" s="7"/>
      <c r="EX66" s="7"/>
      <c r="EY66" s="7"/>
      <c r="EZ66" s="7"/>
      <c r="FA66" s="7"/>
      <c r="FB66" s="7"/>
      <c r="FC66" s="7"/>
    </row>
    <row r="67" spans="152:159" x14ac:dyDescent="0.15">
      <c r="EV67" s="7"/>
      <c r="EW67" s="7"/>
      <c r="EX67" s="7"/>
      <c r="EY67" s="7"/>
      <c r="EZ67" s="7"/>
      <c r="FA67" s="7"/>
      <c r="FB67" s="7"/>
      <c r="FC67" s="7"/>
    </row>
    <row r="68" spans="152:159" x14ac:dyDescent="0.15">
      <c r="EV68" s="7"/>
      <c r="EW68" s="7"/>
      <c r="EX68" s="7"/>
      <c r="EY68" s="7"/>
      <c r="EZ68" s="7"/>
      <c r="FA68" s="7"/>
      <c r="FB68" s="7"/>
      <c r="FC68" s="7"/>
    </row>
    <row r="69" spans="152:159" x14ac:dyDescent="0.15">
      <c r="EV69" s="7"/>
      <c r="EW69" s="7"/>
      <c r="EX69" s="7"/>
      <c r="EY69" s="7"/>
      <c r="EZ69" s="7"/>
      <c r="FA69" s="7"/>
      <c r="FB69" s="7"/>
      <c r="FC69" s="7"/>
    </row>
    <row r="70" spans="152:159" x14ac:dyDescent="0.15">
      <c r="EV70" s="7"/>
      <c r="EW70" s="7"/>
      <c r="EX70" s="7"/>
      <c r="EY70" s="7"/>
      <c r="EZ70" s="7"/>
      <c r="FA70" s="7"/>
      <c r="FB70" s="7"/>
      <c r="FC70" s="7"/>
    </row>
    <row r="71" spans="152:159" x14ac:dyDescent="0.15">
      <c r="EV71" s="7"/>
      <c r="EW71" s="7"/>
      <c r="EX71" s="7"/>
      <c r="EY71" s="7"/>
      <c r="EZ71" s="7"/>
      <c r="FA71" s="7"/>
      <c r="FB71" s="7"/>
      <c r="FC71" s="7"/>
    </row>
    <row r="72" spans="152:159" x14ac:dyDescent="0.15">
      <c r="EV72" s="7"/>
      <c r="EW72" s="7"/>
      <c r="EX72" s="7"/>
      <c r="EY72" s="7"/>
      <c r="EZ72" s="7"/>
      <c r="FA72" s="7"/>
      <c r="FB72" s="7"/>
      <c r="FC72" s="7"/>
    </row>
    <row r="73" spans="152:159" x14ac:dyDescent="0.15">
      <c r="EV73" s="7"/>
      <c r="EW73" s="7"/>
      <c r="EX73" s="7"/>
      <c r="EY73" s="7"/>
      <c r="EZ73" s="7"/>
      <c r="FA73" s="7"/>
      <c r="FB73" s="7"/>
      <c r="FC73" s="7"/>
    </row>
    <row r="74" spans="152:159" x14ac:dyDescent="0.15">
      <c r="EV74" s="7"/>
      <c r="EW74" s="7"/>
      <c r="EX74" s="7"/>
      <c r="EY74" s="7"/>
      <c r="EZ74" s="7"/>
      <c r="FA74" s="7"/>
      <c r="FB74" s="7"/>
      <c r="FC74" s="7"/>
    </row>
    <row r="75" spans="152:159" x14ac:dyDescent="0.15">
      <c r="EV75" s="7"/>
      <c r="EW75" s="7"/>
      <c r="EX75" s="7"/>
      <c r="EY75" s="7"/>
      <c r="EZ75" s="7"/>
      <c r="FA75" s="7"/>
      <c r="FB75" s="7"/>
      <c r="FC75" s="7"/>
    </row>
    <row r="76" spans="152:159" x14ac:dyDescent="0.15">
      <c r="EV76" s="7"/>
      <c r="EW76" s="7"/>
      <c r="EX76" s="7"/>
      <c r="EY76" s="7"/>
      <c r="EZ76" s="7"/>
      <c r="FA76" s="7"/>
      <c r="FB76" s="7"/>
      <c r="FC76" s="7"/>
    </row>
    <row r="77" spans="152:159" x14ac:dyDescent="0.15">
      <c r="EV77" s="7"/>
      <c r="EW77" s="7"/>
      <c r="EX77" s="7"/>
      <c r="EY77" s="7"/>
      <c r="EZ77" s="7"/>
      <c r="FA77" s="7"/>
      <c r="FB77" s="7"/>
      <c r="FC77" s="7"/>
    </row>
    <row r="78" spans="152:159" x14ac:dyDescent="0.15">
      <c r="EV78" s="7"/>
      <c r="EW78" s="7"/>
      <c r="EX78" s="7"/>
      <c r="EY78" s="7"/>
      <c r="EZ78" s="7"/>
      <c r="FA78" s="7"/>
      <c r="FB78" s="7"/>
      <c r="FC78" s="7"/>
    </row>
    <row r="79" spans="152:159" x14ac:dyDescent="0.15">
      <c r="EV79" s="7"/>
      <c r="EW79" s="7"/>
      <c r="EX79" s="7"/>
      <c r="EY79" s="7"/>
      <c r="EZ79" s="7"/>
      <c r="FA79" s="7"/>
      <c r="FB79" s="7"/>
      <c r="FC79" s="7"/>
    </row>
    <row r="80" spans="152:159" x14ac:dyDescent="0.15">
      <c r="EV80" s="7"/>
      <c r="EW80" s="7"/>
      <c r="EX80" s="7"/>
      <c r="EY80" s="7"/>
      <c r="EZ80" s="7"/>
      <c r="FA80" s="7"/>
      <c r="FB80" s="7"/>
      <c r="FC80" s="7"/>
    </row>
    <row r="81" spans="152:159" x14ac:dyDescent="0.15">
      <c r="EV81" s="7"/>
      <c r="EW81" s="7"/>
      <c r="EX81" s="7"/>
      <c r="EY81" s="7"/>
      <c r="EZ81" s="7"/>
      <c r="FA81" s="7"/>
      <c r="FB81" s="7"/>
      <c r="FC81" s="7"/>
    </row>
    <row r="82" spans="152:159" x14ac:dyDescent="0.15">
      <c r="EV82" s="7"/>
      <c r="EW82" s="7"/>
      <c r="EX82" s="7"/>
      <c r="EY82" s="7"/>
      <c r="EZ82" s="7"/>
      <c r="FA82" s="7"/>
      <c r="FB82" s="7"/>
      <c r="FC82" s="7"/>
    </row>
    <row r="83" spans="152:159" x14ac:dyDescent="0.15">
      <c r="EV83" s="7"/>
      <c r="EW83" s="7"/>
      <c r="EX83" s="7"/>
      <c r="EY83" s="7"/>
      <c r="EZ83" s="7"/>
      <c r="FA83" s="7"/>
      <c r="FB83" s="7"/>
      <c r="FC83" s="7"/>
    </row>
    <row r="84" spans="152:159" x14ac:dyDescent="0.15">
      <c r="EV84" s="7"/>
      <c r="EW84" s="7"/>
      <c r="EX84" s="7"/>
      <c r="EY84" s="7"/>
      <c r="EZ84" s="7"/>
      <c r="FA84" s="7"/>
      <c r="FB84" s="7"/>
      <c r="FC84" s="7"/>
    </row>
    <row r="85" spans="152:159" x14ac:dyDescent="0.15">
      <c r="EV85" s="7"/>
      <c r="EW85" s="7"/>
      <c r="EX85" s="7"/>
      <c r="EY85" s="7"/>
      <c r="EZ85" s="7"/>
      <c r="FA85" s="7"/>
      <c r="FB85" s="7"/>
      <c r="FC85" s="7"/>
    </row>
    <row r="86" spans="152:159" x14ac:dyDescent="0.15">
      <c r="EV86" s="7"/>
      <c r="EW86" s="7"/>
      <c r="EX86" s="7"/>
      <c r="EY86" s="7"/>
      <c r="EZ86" s="7"/>
      <c r="FA86" s="7"/>
      <c r="FB86" s="7"/>
      <c r="FC86" s="7"/>
    </row>
    <row r="87" spans="152:159" x14ac:dyDescent="0.15">
      <c r="EV87" s="7"/>
      <c r="EW87" s="7"/>
      <c r="EX87" s="7"/>
      <c r="EY87" s="7"/>
      <c r="EZ87" s="7"/>
      <c r="FA87" s="7"/>
      <c r="FB87" s="7"/>
      <c r="FC87" s="7"/>
    </row>
    <row r="88" spans="152:159" x14ac:dyDescent="0.15">
      <c r="EV88" s="7"/>
      <c r="EW88" s="7"/>
      <c r="EX88" s="7"/>
      <c r="EY88" s="7"/>
      <c r="EZ88" s="7"/>
      <c r="FA88" s="7"/>
      <c r="FB88" s="7"/>
      <c r="FC88" s="7"/>
    </row>
    <row r="89" spans="152:159" x14ac:dyDescent="0.15">
      <c r="EV89" s="7"/>
      <c r="EW89" s="7"/>
      <c r="EX89" s="7"/>
      <c r="EY89" s="7"/>
      <c r="EZ89" s="7"/>
      <c r="FA89" s="7"/>
      <c r="FB89" s="7"/>
      <c r="FC89" s="7"/>
    </row>
    <row r="90" spans="152:159" x14ac:dyDescent="0.15">
      <c r="EV90" s="7"/>
      <c r="EW90" s="7"/>
      <c r="EX90" s="7"/>
      <c r="EY90" s="7"/>
      <c r="EZ90" s="7"/>
      <c r="FA90" s="7"/>
      <c r="FB90" s="7"/>
      <c r="FC90" s="7"/>
    </row>
    <row r="91" spans="152:159" x14ac:dyDescent="0.15">
      <c r="EV91" s="7"/>
      <c r="EW91" s="7"/>
      <c r="EX91" s="7"/>
      <c r="EY91" s="7"/>
      <c r="EZ91" s="7"/>
      <c r="FA91" s="7"/>
      <c r="FB91" s="7"/>
      <c r="FC91" s="7"/>
    </row>
    <row r="92" spans="152:159" x14ac:dyDescent="0.15">
      <c r="EV92" s="7"/>
      <c r="EW92" s="7"/>
      <c r="EX92" s="7"/>
      <c r="EY92" s="7"/>
      <c r="EZ92" s="7"/>
      <c r="FA92" s="7"/>
      <c r="FB92" s="7"/>
      <c r="FC92" s="7"/>
    </row>
    <row r="93" spans="152:159" x14ac:dyDescent="0.15">
      <c r="EV93" s="7"/>
      <c r="EW93" s="7"/>
      <c r="EX93" s="7"/>
      <c r="EY93" s="7"/>
      <c r="EZ93" s="7"/>
      <c r="FA93" s="7"/>
      <c r="FB93" s="7"/>
      <c r="FC93" s="7"/>
    </row>
    <row r="94" spans="152:159" x14ac:dyDescent="0.15">
      <c r="EV94" s="7"/>
      <c r="EW94" s="7"/>
      <c r="EX94" s="7"/>
      <c r="EY94" s="7"/>
      <c r="EZ94" s="7"/>
      <c r="FA94" s="7"/>
      <c r="FB94" s="7"/>
      <c r="FC94" s="7"/>
    </row>
    <row r="95" spans="152:159" x14ac:dyDescent="0.15">
      <c r="EV95" s="7"/>
      <c r="EW95" s="7"/>
      <c r="EX95" s="7"/>
      <c r="EY95" s="7"/>
      <c r="EZ95" s="7"/>
      <c r="FA95" s="7"/>
      <c r="FB95" s="7"/>
      <c r="FC95" s="7"/>
    </row>
    <row r="96" spans="152:159" x14ac:dyDescent="0.15">
      <c r="EV96" s="7"/>
      <c r="EW96" s="7"/>
      <c r="EX96" s="7"/>
      <c r="EY96" s="7"/>
      <c r="EZ96" s="7"/>
      <c r="FA96" s="7"/>
      <c r="FB96" s="7"/>
      <c r="FC96" s="7"/>
    </row>
    <row r="97" spans="152:159" x14ac:dyDescent="0.15">
      <c r="EV97" s="7"/>
      <c r="EW97" s="7"/>
      <c r="EX97" s="7"/>
      <c r="EY97" s="7"/>
      <c r="EZ97" s="7"/>
      <c r="FA97" s="7"/>
      <c r="FB97" s="7"/>
      <c r="FC97" s="7"/>
    </row>
    <row r="98" spans="152:159" x14ac:dyDescent="0.15">
      <c r="EV98" s="7"/>
      <c r="EW98" s="7"/>
      <c r="EX98" s="7"/>
      <c r="EY98" s="7"/>
      <c r="EZ98" s="7"/>
      <c r="FA98" s="7"/>
      <c r="FB98" s="7"/>
      <c r="FC98" s="7"/>
    </row>
    <row r="99" spans="152:159" x14ac:dyDescent="0.15">
      <c r="EV99" s="7"/>
      <c r="EW99" s="7"/>
      <c r="EX99" s="7"/>
      <c r="EY99" s="7"/>
      <c r="EZ99" s="7"/>
      <c r="FA99" s="7"/>
      <c r="FB99" s="7"/>
      <c r="FC99" s="7"/>
    </row>
    <row r="100" spans="152:159" x14ac:dyDescent="0.15">
      <c r="EV100" s="7"/>
      <c r="EW100" s="7"/>
      <c r="EX100" s="7"/>
      <c r="EY100" s="7"/>
      <c r="EZ100" s="7"/>
      <c r="FA100" s="7"/>
      <c r="FB100" s="7"/>
      <c r="FC100" s="7"/>
    </row>
    <row r="101" spans="152:159" x14ac:dyDescent="0.15">
      <c r="EV101" s="7"/>
      <c r="EW101" s="7"/>
      <c r="EX101" s="7"/>
      <c r="EY101" s="7"/>
      <c r="EZ101" s="7"/>
      <c r="FA101" s="7"/>
      <c r="FB101" s="7"/>
      <c r="FC101" s="7"/>
    </row>
    <row r="102" spans="152:159" x14ac:dyDescent="0.15">
      <c r="EV102" s="7"/>
      <c r="EW102" s="7"/>
      <c r="EX102" s="7"/>
      <c r="EY102" s="7"/>
      <c r="EZ102" s="7"/>
      <c r="FA102" s="7"/>
      <c r="FB102" s="7"/>
      <c r="FC102" s="7"/>
    </row>
    <row r="103" spans="152:159" x14ac:dyDescent="0.15">
      <c r="EV103" s="7"/>
      <c r="EW103" s="7"/>
      <c r="EX103" s="7"/>
      <c r="EY103" s="7"/>
      <c r="EZ103" s="7"/>
      <c r="FA103" s="7"/>
      <c r="FB103" s="7"/>
      <c r="FC103" s="7"/>
    </row>
    <row r="104" spans="152:159" x14ac:dyDescent="0.15">
      <c r="EV104" s="7"/>
      <c r="EW104" s="7"/>
      <c r="EX104" s="7"/>
      <c r="EY104" s="7"/>
      <c r="EZ104" s="7"/>
      <c r="FA104" s="7"/>
      <c r="FB104" s="7"/>
      <c r="FC104" s="7"/>
    </row>
    <row r="105" spans="152:159" x14ac:dyDescent="0.15">
      <c r="EV105" s="7"/>
      <c r="EW105" s="7"/>
      <c r="EX105" s="7"/>
      <c r="EY105" s="7"/>
      <c r="EZ105" s="7"/>
      <c r="FA105" s="7"/>
      <c r="FB105" s="7"/>
      <c r="FC105" s="7"/>
    </row>
    <row r="106" spans="152:159" x14ac:dyDescent="0.15">
      <c r="EV106" s="7"/>
      <c r="EW106" s="7"/>
      <c r="EX106" s="7"/>
      <c r="EY106" s="7"/>
      <c r="EZ106" s="7"/>
      <c r="FA106" s="7"/>
      <c r="FB106" s="7"/>
      <c r="FC106" s="7"/>
    </row>
    <row r="107" spans="152:159" x14ac:dyDescent="0.15">
      <c r="EV107" s="7"/>
      <c r="EW107" s="7"/>
      <c r="EX107" s="7"/>
      <c r="EY107" s="7"/>
      <c r="EZ107" s="7"/>
      <c r="FA107" s="7"/>
      <c r="FB107" s="7"/>
      <c r="FC107" s="7"/>
    </row>
    <row r="108" spans="152:159" x14ac:dyDescent="0.15">
      <c r="EV108" s="7"/>
      <c r="EW108" s="7"/>
      <c r="EX108" s="7"/>
      <c r="EY108" s="7"/>
      <c r="EZ108" s="7"/>
      <c r="FA108" s="7"/>
      <c r="FB108" s="7"/>
      <c r="FC108" s="7"/>
    </row>
    <row r="109" spans="152:159" x14ac:dyDescent="0.15">
      <c r="EV109" s="7"/>
      <c r="EW109" s="7"/>
      <c r="EX109" s="7"/>
      <c r="EY109" s="7"/>
      <c r="EZ109" s="7"/>
      <c r="FA109" s="7"/>
      <c r="FB109" s="7"/>
      <c r="FC109" s="7"/>
    </row>
    <row r="110" spans="152:159" x14ac:dyDescent="0.15">
      <c r="EV110" s="7"/>
      <c r="EW110" s="7"/>
      <c r="EX110" s="7"/>
      <c r="EY110" s="7"/>
      <c r="EZ110" s="7"/>
      <c r="FA110" s="7"/>
      <c r="FB110" s="7"/>
      <c r="FC110" s="7"/>
    </row>
    <row r="111" spans="152:159" x14ac:dyDescent="0.15">
      <c r="EV111" s="7"/>
      <c r="EW111" s="7"/>
      <c r="EX111" s="7"/>
      <c r="EY111" s="7"/>
      <c r="EZ111" s="7"/>
      <c r="FA111" s="7"/>
      <c r="FB111" s="7"/>
      <c r="FC111" s="7"/>
    </row>
    <row r="112" spans="152:159" x14ac:dyDescent="0.15">
      <c r="EV112" s="7"/>
      <c r="EW112" s="7"/>
      <c r="EX112" s="7"/>
      <c r="EY112" s="7"/>
      <c r="EZ112" s="7"/>
      <c r="FA112" s="7"/>
      <c r="FB112" s="7"/>
      <c r="FC112" s="7"/>
    </row>
    <row r="113" spans="152:159" x14ac:dyDescent="0.15">
      <c r="EV113" s="7"/>
      <c r="EW113" s="7"/>
      <c r="EX113" s="7"/>
      <c r="EY113" s="7"/>
      <c r="EZ113" s="7"/>
      <c r="FA113" s="7"/>
      <c r="FB113" s="7"/>
      <c r="FC113" s="7"/>
    </row>
    <row r="114" spans="152:159" x14ac:dyDescent="0.15">
      <c r="EV114" s="7"/>
      <c r="EW114" s="7"/>
      <c r="EX114" s="7"/>
      <c r="EY114" s="7"/>
      <c r="EZ114" s="7"/>
      <c r="FA114" s="7"/>
      <c r="FB114" s="7"/>
      <c r="FC114" s="7"/>
    </row>
    <row r="115" spans="152:159" x14ac:dyDescent="0.15">
      <c r="EV115" s="7"/>
      <c r="EW115" s="7"/>
      <c r="EX115" s="7"/>
      <c r="EY115" s="7"/>
      <c r="EZ115" s="7"/>
      <c r="FA115" s="7"/>
      <c r="FB115" s="7"/>
      <c r="FC115" s="7"/>
    </row>
    <row r="116" spans="152:159" x14ac:dyDescent="0.15">
      <c r="EV116" s="7"/>
      <c r="EW116" s="7"/>
      <c r="EX116" s="7"/>
      <c r="EY116" s="7"/>
      <c r="EZ116" s="7"/>
      <c r="FA116" s="7"/>
      <c r="FB116" s="7"/>
      <c r="FC116" s="7"/>
    </row>
    <row r="117" spans="152:159" x14ac:dyDescent="0.15">
      <c r="EV117" s="7"/>
      <c r="EW117" s="7"/>
      <c r="EX117" s="7"/>
      <c r="EY117" s="7"/>
      <c r="EZ117" s="7"/>
      <c r="FA117" s="7"/>
      <c r="FB117" s="7"/>
      <c r="FC117" s="7"/>
    </row>
    <row r="118" spans="152:159" x14ac:dyDescent="0.15">
      <c r="EV118" s="7"/>
      <c r="EW118" s="7"/>
      <c r="EX118" s="7"/>
      <c r="EY118" s="7"/>
      <c r="EZ118" s="7"/>
      <c r="FA118" s="7"/>
      <c r="FB118" s="7"/>
      <c r="FC118" s="7"/>
    </row>
    <row r="119" spans="152:159" x14ac:dyDescent="0.15">
      <c r="EV119" s="7"/>
      <c r="EW119" s="7"/>
      <c r="EX119" s="7"/>
      <c r="EY119" s="7"/>
      <c r="EZ119" s="7"/>
      <c r="FA119" s="7"/>
      <c r="FB119" s="7"/>
      <c r="FC119" s="7"/>
    </row>
    <row r="120" spans="152:159" x14ac:dyDescent="0.15">
      <c r="EV120" s="7"/>
      <c r="EW120" s="7"/>
      <c r="EX120" s="7"/>
      <c r="EY120" s="7"/>
      <c r="EZ120" s="7"/>
      <c r="FA120" s="7"/>
      <c r="FB120" s="7"/>
      <c r="FC120" s="7"/>
    </row>
    <row r="121" spans="152:159" x14ac:dyDescent="0.15">
      <c r="EV121" s="7"/>
      <c r="EW121" s="7"/>
      <c r="EX121" s="7"/>
      <c r="EY121" s="7"/>
      <c r="EZ121" s="7"/>
      <c r="FA121" s="7"/>
      <c r="FB121" s="7"/>
      <c r="FC121" s="7"/>
    </row>
    <row r="122" spans="152:159" x14ac:dyDescent="0.15">
      <c r="EV122" s="7"/>
      <c r="EW122" s="7"/>
      <c r="EX122" s="7"/>
      <c r="EY122" s="7"/>
      <c r="EZ122" s="7"/>
      <c r="FA122" s="7"/>
      <c r="FB122" s="7"/>
      <c r="FC122" s="7"/>
    </row>
    <row r="123" spans="152:159" x14ac:dyDescent="0.15">
      <c r="EV123" s="7"/>
      <c r="EW123" s="7"/>
      <c r="EX123" s="7"/>
      <c r="EY123" s="7"/>
      <c r="EZ123" s="7"/>
      <c r="FA123" s="7"/>
      <c r="FB123" s="7"/>
      <c r="FC123" s="7"/>
    </row>
    <row r="124" spans="152:159" x14ac:dyDescent="0.15">
      <c r="EV124" s="7"/>
      <c r="EW124" s="7"/>
      <c r="EX124" s="7"/>
      <c r="EY124" s="7"/>
      <c r="EZ124" s="7"/>
      <c r="FA124" s="7"/>
      <c r="FB124" s="7"/>
      <c r="FC124" s="7"/>
    </row>
    <row r="125" spans="152:159" x14ac:dyDescent="0.15">
      <c r="EV125" s="7"/>
      <c r="EW125" s="7"/>
      <c r="EX125" s="7"/>
      <c r="EY125" s="7"/>
      <c r="EZ125" s="7"/>
      <c r="FA125" s="7"/>
      <c r="FB125" s="7"/>
      <c r="FC125" s="7"/>
    </row>
    <row r="126" spans="152:159" x14ac:dyDescent="0.15">
      <c r="EV126" s="7"/>
      <c r="EW126" s="7"/>
      <c r="EX126" s="7"/>
      <c r="EY126" s="7"/>
      <c r="EZ126" s="7"/>
      <c r="FA126" s="7"/>
      <c r="FB126" s="7"/>
      <c r="FC126" s="7"/>
    </row>
    <row r="127" spans="152:159" x14ac:dyDescent="0.15">
      <c r="EV127" s="7"/>
      <c r="EW127" s="7"/>
      <c r="EX127" s="7"/>
      <c r="EY127" s="7"/>
      <c r="EZ127" s="7"/>
      <c r="FA127" s="7"/>
      <c r="FB127" s="7"/>
      <c r="FC127" s="7"/>
    </row>
    <row r="128" spans="152:159" x14ac:dyDescent="0.15">
      <c r="EV128" s="7"/>
      <c r="EW128" s="7"/>
      <c r="EX128" s="7"/>
      <c r="EY128" s="7"/>
      <c r="EZ128" s="7"/>
      <c r="FA128" s="7"/>
      <c r="FB128" s="7"/>
      <c r="FC128" s="7"/>
    </row>
    <row r="129" spans="152:159" x14ac:dyDescent="0.15">
      <c r="EV129" s="7"/>
      <c r="EW129" s="7"/>
      <c r="EX129" s="7"/>
      <c r="EY129" s="7"/>
      <c r="EZ129" s="7"/>
      <c r="FA129" s="7"/>
      <c r="FB129" s="7"/>
      <c r="FC129" s="7"/>
    </row>
    <row r="130" spans="152:159" x14ac:dyDescent="0.15">
      <c r="EV130" s="7"/>
      <c r="EW130" s="7"/>
      <c r="EX130" s="7"/>
      <c r="EY130" s="7"/>
      <c r="EZ130" s="7"/>
      <c r="FA130" s="7"/>
      <c r="FB130" s="7"/>
      <c r="FC130" s="7"/>
    </row>
    <row r="131" spans="152:159" x14ac:dyDescent="0.15">
      <c r="EV131" s="7"/>
      <c r="EW131" s="7"/>
      <c r="EX131" s="7"/>
      <c r="EY131" s="7"/>
      <c r="EZ131" s="7"/>
      <c r="FA131" s="7"/>
      <c r="FB131" s="7"/>
      <c r="FC131" s="7"/>
    </row>
    <row r="132" spans="152:159" x14ac:dyDescent="0.15">
      <c r="EV132" s="7"/>
      <c r="EW132" s="7"/>
      <c r="EX132" s="7"/>
      <c r="EY132" s="7"/>
      <c r="EZ132" s="7"/>
      <c r="FA132" s="7"/>
      <c r="FB132" s="7"/>
      <c r="FC132" s="7"/>
    </row>
    <row r="133" spans="152:159" x14ac:dyDescent="0.15">
      <c r="EV133" s="7"/>
      <c r="EW133" s="7"/>
      <c r="EX133" s="7"/>
      <c r="EY133" s="7"/>
      <c r="EZ133" s="7"/>
      <c r="FA133" s="7"/>
      <c r="FB133" s="7"/>
      <c r="FC133" s="7"/>
    </row>
    <row r="134" spans="152:159" x14ac:dyDescent="0.15">
      <c r="EV134" s="7"/>
      <c r="EW134" s="7"/>
      <c r="EX134" s="7"/>
      <c r="EY134" s="7"/>
      <c r="EZ134" s="7"/>
      <c r="FA134" s="7"/>
      <c r="FB134" s="7"/>
      <c r="FC134" s="7"/>
    </row>
    <row r="135" spans="152:159" x14ac:dyDescent="0.15">
      <c r="EV135" s="7"/>
      <c r="EW135" s="7"/>
      <c r="EX135" s="7"/>
      <c r="EY135" s="7"/>
      <c r="EZ135" s="7"/>
      <c r="FA135" s="7"/>
      <c r="FB135" s="7"/>
      <c r="FC135" s="7"/>
    </row>
    <row r="136" spans="152:159" x14ac:dyDescent="0.15">
      <c r="EV136" s="7"/>
      <c r="EW136" s="7"/>
      <c r="EX136" s="7"/>
      <c r="EY136" s="7"/>
      <c r="EZ136" s="7"/>
      <c r="FA136" s="7"/>
      <c r="FB136" s="7"/>
      <c r="FC136" s="7"/>
    </row>
    <row r="137" spans="152:159" x14ac:dyDescent="0.15">
      <c r="EV137" s="7"/>
      <c r="EW137" s="7"/>
      <c r="EX137" s="7"/>
      <c r="EY137" s="7"/>
      <c r="EZ137" s="7"/>
      <c r="FA137" s="7"/>
      <c r="FB137" s="7"/>
      <c r="FC137" s="7"/>
    </row>
    <row r="138" spans="152:159" x14ac:dyDescent="0.15">
      <c r="EV138" s="7"/>
      <c r="EW138" s="7"/>
      <c r="EX138" s="7"/>
      <c r="EY138" s="7"/>
      <c r="EZ138" s="7"/>
      <c r="FA138" s="7"/>
      <c r="FB138" s="7"/>
      <c r="FC138" s="7"/>
    </row>
    <row r="139" spans="152:159" x14ac:dyDescent="0.15">
      <c r="EV139" s="7"/>
      <c r="EW139" s="7"/>
      <c r="EX139" s="7"/>
      <c r="EY139" s="7"/>
      <c r="EZ139" s="7"/>
      <c r="FA139" s="7"/>
      <c r="FB139" s="7"/>
      <c r="FC139" s="7"/>
    </row>
    <row r="140" spans="152:159" x14ac:dyDescent="0.15">
      <c r="EV140" s="7"/>
      <c r="EW140" s="7"/>
      <c r="EX140" s="7"/>
      <c r="EY140" s="7"/>
      <c r="EZ140" s="7"/>
      <c r="FA140" s="7"/>
      <c r="FB140" s="7"/>
      <c r="FC140" s="7"/>
    </row>
    <row r="141" spans="152:159" x14ac:dyDescent="0.15">
      <c r="EV141" s="7"/>
      <c r="EW141" s="7"/>
      <c r="EX141" s="7"/>
      <c r="EY141" s="7"/>
      <c r="EZ141" s="7"/>
      <c r="FA141" s="7"/>
      <c r="FB141" s="7"/>
      <c r="FC141" s="7"/>
    </row>
    <row r="142" spans="152:159" x14ac:dyDescent="0.15">
      <c r="EV142" s="7"/>
      <c r="EW142" s="7"/>
      <c r="EX142" s="7"/>
      <c r="EY142" s="7"/>
      <c r="EZ142" s="7"/>
      <c r="FA142" s="7"/>
      <c r="FB142" s="7"/>
      <c r="FC142" s="7"/>
    </row>
    <row r="143" spans="152:159" x14ac:dyDescent="0.15">
      <c r="EV143" s="7"/>
      <c r="EW143" s="7"/>
      <c r="EX143" s="7"/>
      <c r="EY143" s="7"/>
      <c r="EZ143" s="7"/>
      <c r="FA143" s="7"/>
      <c r="FB143" s="7"/>
      <c r="FC143" s="7"/>
    </row>
    <row r="144" spans="152:159" x14ac:dyDescent="0.15">
      <c r="EV144" s="7"/>
      <c r="EW144" s="7"/>
      <c r="EX144" s="7"/>
      <c r="EY144" s="7"/>
      <c r="EZ144" s="7"/>
      <c r="FA144" s="7"/>
      <c r="FB144" s="7"/>
      <c r="FC144" s="7"/>
    </row>
    <row r="145" spans="152:159" x14ac:dyDescent="0.15">
      <c r="EV145" s="7"/>
      <c r="EW145" s="7"/>
      <c r="EX145" s="7"/>
      <c r="EY145" s="7"/>
      <c r="EZ145" s="7"/>
      <c r="FA145" s="7"/>
      <c r="FB145" s="7"/>
      <c r="FC145" s="7"/>
    </row>
    <row r="146" spans="152:159" x14ac:dyDescent="0.15">
      <c r="EV146" s="7"/>
      <c r="EW146" s="7"/>
      <c r="EX146" s="7"/>
      <c r="EY146" s="7"/>
      <c r="EZ146" s="7"/>
      <c r="FA146" s="7"/>
      <c r="FB146" s="7"/>
      <c r="FC146" s="7"/>
    </row>
    <row r="147" spans="152:159" x14ac:dyDescent="0.15">
      <c r="EV147" s="7"/>
      <c r="EW147" s="7"/>
      <c r="EX147" s="7"/>
      <c r="EY147" s="7"/>
      <c r="EZ147" s="7"/>
      <c r="FA147" s="7"/>
      <c r="FB147" s="7"/>
      <c r="FC147" s="7"/>
    </row>
    <row r="148" spans="152:159" x14ac:dyDescent="0.15">
      <c r="EV148" s="7"/>
      <c r="EW148" s="7"/>
      <c r="EX148" s="7"/>
      <c r="EY148" s="7"/>
      <c r="EZ148" s="7"/>
      <c r="FA148" s="7"/>
      <c r="FB148" s="7"/>
      <c r="FC148" s="7"/>
    </row>
    <row r="149" spans="152:159" x14ac:dyDescent="0.15">
      <c r="EV149" s="7"/>
      <c r="EW149" s="7"/>
      <c r="EX149" s="7"/>
      <c r="EY149" s="7"/>
      <c r="EZ149" s="7"/>
      <c r="FA149" s="7"/>
      <c r="FB149" s="7"/>
      <c r="FC149" s="7"/>
    </row>
    <row r="150" spans="152:159" x14ac:dyDescent="0.15">
      <c r="EV150" s="7"/>
      <c r="EW150" s="7"/>
      <c r="EX150" s="7"/>
      <c r="EY150" s="7"/>
      <c r="EZ150" s="7"/>
      <c r="FA150" s="7"/>
      <c r="FB150" s="7"/>
      <c r="FC150" s="7"/>
    </row>
    <row r="151" spans="152:159" x14ac:dyDescent="0.15">
      <c r="EV151" s="7"/>
      <c r="EW151" s="7"/>
      <c r="EX151" s="7"/>
      <c r="EY151" s="7"/>
      <c r="EZ151" s="7"/>
      <c r="FA151" s="7"/>
      <c r="FB151" s="7"/>
      <c r="FC151" s="7"/>
    </row>
    <row r="152" spans="152:159" x14ac:dyDescent="0.15">
      <c r="EV152" s="7"/>
      <c r="EW152" s="7"/>
      <c r="EX152" s="7"/>
      <c r="EY152" s="7"/>
      <c r="EZ152" s="7"/>
      <c r="FA152" s="7"/>
      <c r="FB152" s="7"/>
      <c r="FC152" s="7"/>
    </row>
    <row r="153" spans="152:159" x14ac:dyDescent="0.15">
      <c r="EV153" s="7"/>
      <c r="EW153" s="7"/>
      <c r="EX153" s="7"/>
      <c r="EY153" s="7"/>
      <c r="EZ153" s="7"/>
      <c r="FA153" s="7"/>
      <c r="FB153" s="7"/>
      <c r="FC153" s="7"/>
    </row>
    <row r="154" spans="152:159" x14ac:dyDescent="0.15">
      <c r="EV154" s="7"/>
      <c r="EW154" s="7"/>
      <c r="EX154" s="7"/>
      <c r="EY154" s="7"/>
      <c r="EZ154" s="7"/>
      <c r="FA154" s="7"/>
      <c r="FB154" s="7"/>
      <c r="FC154" s="7"/>
    </row>
    <row r="155" spans="152:159" x14ac:dyDescent="0.15">
      <c r="EV155" s="7"/>
      <c r="EW155" s="7"/>
      <c r="EX155" s="7"/>
      <c r="EY155" s="7"/>
      <c r="EZ155" s="7"/>
      <c r="FA155" s="7"/>
      <c r="FB155" s="7"/>
      <c r="FC155" s="7"/>
    </row>
    <row r="156" spans="152:159" x14ac:dyDescent="0.15">
      <c r="EV156" s="7"/>
      <c r="EW156" s="7"/>
      <c r="EX156" s="7"/>
      <c r="EY156" s="7"/>
      <c r="EZ156" s="7"/>
      <c r="FA156" s="7"/>
      <c r="FB156" s="7"/>
      <c r="FC156" s="7"/>
    </row>
    <row r="157" spans="152:159" x14ac:dyDescent="0.15">
      <c r="EV157" s="7"/>
      <c r="EW157" s="7"/>
      <c r="EX157" s="7"/>
      <c r="EY157" s="7"/>
      <c r="EZ157" s="7"/>
      <c r="FA157" s="7"/>
      <c r="FB157" s="7"/>
      <c r="FC157" s="7"/>
    </row>
    <row r="158" spans="152:159" x14ac:dyDescent="0.15">
      <c r="EV158" s="7"/>
      <c r="EW158" s="7"/>
      <c r="EX158" s="7"/>
      <c r="EY158" s="7"/>
      <c r="EZ158" s="7"/>
      <c r="FA158" s="7"/>
      <c r="FB158" s="7"/>
      <c r="FC158" s="7"/>
    </row>
    <row r="159" spans="152:159" x14ac:dyDescent="0.15">
      <c r="EV159" s="7"/>
      <c r="EW159" s="7"/>
      <c r="EX159" s="7"/>
      <c r="EY159" s="7"/>
      <c r="EZ159" s="7"/>
      <c r="FA159" s="7"/>
      <c r="FB159" s="7"/>
      <c r="FC159" s="7"/>
    </row>
    <row r="160" spans="152:159" x14ac:dyDescent="0.15">
      <c r="EV160" s="7"/>
      <c r="EW160" s="7"/>
      <c r="EX160" s="7"/>
      <c r="EY160" s="7"/>
      <c r="EZ160" s="7"/>
      <c r="FA160" s="7"/>
      <c r="FB160" s="7"/>
      <c r="FC160" s="7"/>
    </row>
    <row r="161" spans="152:159" x14ac:dyDescent="0.15">
      <c r="EV161" s="7"/>
      <c r="EW161" s="7"/>
      <c r="EX161" s="7"/>
      <c r="EY161" s="7"/>
      <c r="EZ161" s="7"/>
      <c r="FA161" s="7"/>
      <c r="FB161" s="7"/>
      <c r="FC161" s="7"/>
    </row>
    <row r="162" spans="152:159" x14ac:dyDescent="0.15">
      <c r="EV162" s="7"/>
      <c r="EW162" s="7"/>
      <c r="EX162" s="7"/>
      <c r="EY162" s="7"/>
      <c r="EZ162" s="7"/>
      <c r="FA162" s="7"/>
      <c r="FB162" s="7"/>
      <c r="FC162" s="7"/>
    </row>
    <row r="163" spans="152:159" x14ac:dyDescent="0.15">
      <c r="EV163" s="7"/>
      <c r="EW163" s="7"/>
      <c r="EX163" s="7"/>
      <c r="EY163" s="7"/>
      <c r="EZ163" s="7"/>
      <c r="FA163" s="7"/>
      <c r="FB163" s="7"/>
      <c r="FC163" s="7"/>
    </row>
    <row r="164" spans="152:159" x14ac:dyDescent="0.15">
      <c r="EV164" s="7"/>
      <c r="EW164" s="7"/>
      <c r="EX164" s="7"/>
      <c r="EY164" s="7"/>
      <c r="EZ164" s="7"/>
      <c r="FA164" s="7"/>
      <c r="FB164" s="7"/>
      <c r="FC164" s="7"/>
    </row>
    <row r="165" spans="152:159" x14ac:dyDescent="0.15">
      <c r="EV165" s="7"/>
      <c r="EW165" s="7"/>
      <c r="EX165" s="7"/>
      <c r="EY165" s="7"/>
      <c r="EZ165" s="7"/>
      <c r="FA165" s="7"/>
      <c r="FB165" s="7"/>
      <c r="FC165" s="7"/>
    </row>
    <row r="166" spans="152:159" x14ac:dyDescent="0.15">
      <c r="EV166" s="7"/>
      <c r="EW166" s="7"/>
      <c r="EX166" s="7"/>
      <c r="EY166" s="7"/>
      <c r="EZ166" s="7"/>
      <c r="FA166" s="7"/>
      <c r="FB166" s="7"/>
      <c r="FC166" s="7"/>
    </row>
    <row r="167" spans="152:159" x14ac:dyDescent="0.15">
      <c r="EV167" s="7"/>
      <c r="EW167" s="7"/>
      <c r="EX167" s="7"/>
      <c r="EY167" s="7"/>
      <c r="EZ167" s="7"/>
      <c r="FA167" s="7"/>
      <c r="FB167" s="7"/>
      <c r="FC167" s="7"/>
    </row>
    <row r="168" spans="152:159" x14ac:dyDescent="0.15">
      <c r="EV168" s="7"/>
      <c r="EW168" s="7"/>
      <c r="EX168" s="7"/>
      <c r="EY168" s="7"/>
      <c r="EZ168" s="7"/>
      <c r="FA168" s="7"/>
      <c r="FB168" s="7"/>
      <c r="FC168" s="7"/>
    </row>
    <row r="169" spans="152:159" x14ac:dyDescent="0.15">
      <c r="EV169" s="7"/>
      <c r="EW169" s="7"/>
      <c r="EX169" s="7"/>
      <c r="EY169" s="7"/>
      <c r="EZ169" s="7"/>
      <c r="FA169" s="7"/>
      <c r="FB169" s="7"/>
      <c r="FC169" s="7"/>
    </row>
    <row r="170" spans="152:159" x14ac:dyDescent="0.15">
      <c r="EV170" s="7"/>
      <c r="EW170" s="7"/>
      <c r="EX170" s="7"/>
      <c r="EY170" s="7"/>
      <c r="EZ170" s="7"/>
      <c r="FA170" s="7"/>
      <c r="FB170" s="7"/>
      <c r="FC170" s="7"/>
    </row>
    <row r="171" spans="152:159" x14ac:dyDescent="0.15">
      <c r="EV171" s="7"/>
      <c r="EW171" s="7"/>
      <c r="EX171" s="7"/>
      <c r="EY171" s="7"/>
      <c r="EZ171" s="7"/>
      <c r="FA171" s="7"/>
      <c r="FB171" s="7"/>
      <c r="FC171" s="7"/>
    </row>
    <row r="172" spans="152:159" x14ac:dyDescent="0.15">
      <c r="EV172" s="7"/>
      <c r="EW172" s="7"/>
      <c r="EX172" s="7"/>
      <c r="EY172" s="7"/>
      <c r="EZ172" s="7"/>
      <c r="FA172" s="7"/>
      <c r="FB172" s="7"/>
      <c r="FC172" s="7"/>
    </row>
    <row r="173" spans="152:159" x14ac:dyDescent="0.15">
      <c r="EV173" s="7"/>
      <c r="EW173" s="7"/>
      <c r="EX173" s="7"/>
      <c r="EY173" s="7"/>
      <c r="EZ173" s="7"/>
      <c r="FA173" s="7"/>
      <c r="FB173" s="7"/>
      <c r="FC173" s="7"/>
    </row>
    <row r="174" spans="152:159" x14ac:dyDescent="0.15">
      <c r="EV174" s="7"/>
      <c r="EW174" s="7"/>
      <c r="EX174" s="7"/>
      <c r="EY174" s="7"/>
      <c r="EZ174" s="7"/>
      <c r="FA174" s="7"/>
      <c r="FB174" s="7"/>
      <c r="FC174" s="7"/>
    </row>
    <row r="175" spans="152:159" x14ac:dyDescent="0.15">
      <c r="EV175" s="7"/>
      <c r="EW175" s="7"/>
      <c r="EX175" s="7"/>
      <c r="EY175" s="7"/>
      <c r="EZ175" s="7"/>
      <c r="FA175" s="7"/>
      <c r="FB175" s="7"/>
      <c r="FC175" s="7"/>
    </row>
    <row r="176" spans="152:159" x14ac:dyDescent="0.15">
      <c r="EV176" s="7"/>
      <c r="EW176" s="7"/>
      <c r="EX176" s="7"/>
      <c r="EY176" s="7"/>
      <c r="EZ176" s="7"/>
      <c r="FA176" s="7"/>
      <c r="FB176" s="7"/>
      <c r="FC176" s="7"/>
    </row>
    <row r="177" spans="152:159" x14ac:dyDescent="0.15">
      <c r="EV177" s="7"/>
      <c r="EW177" s="7"/>
      <c r="EX177" s="7"/>
      <c r="EY177" s="7"/>
      <c r="EZ177" s="7"/>
      <c r="FA177" s="7"/>
      <c r="FB177" s="7"/>
      <c r="FC177" s="7"/>
    </row>
    <row r="178" spans="152:159" x14ac:dyDescent="0.15">
      <c r="EV178" s="7"/>
      <c r="EW178" s="7"/>
      <c r="EX178" s="7"/>
      <c r="EY178" s="7"/>
      <c r="EZ178" s="7"/>
      <c r="FA178" s="7"/>
      <c r="FB178" s="7"/>
      <c r="FC178" s="7"/>
    </row>
    <row r="179" spans="152:159" x14ac:dyDescent="0.15">
      <c r="EV179" s="7"/>
      <c r="EW179" s="7"/>
      <c r="EX179" s="7"/>
      <c r="EY179" s="7"/>
      <c r="EZ179" s="7"/>
      <c r="FA179" s="7"/>
      <c r="FB179" s="7"/>
      <c r="FC179" s="7"/>
    </row>
    <row r="180" spans="152:159" x14ac:dyDescent="0.15">
      <c r="EV180" s="7"/>
      <c r="EW180" s="7"/>
      <c r="EX180" s="7"/>
      <c r="EY180" s="7"/>
      <c r="EZ180" s="7"/>
      <c r="FA180" s="7"/>
      <c r="FB180" s="7"/>
      <c r="FC180" s="7"/>
    </row>
  </sheetData>
  <sheetProtection sheet="1" objects="1" scenarios="1" formatCells="0" formatColumns="0" formatRows="0"/>
  <mergeCells count="270">
    <mergeCell ref="CL2:DC2"/>
    <mergeCell ref="DE2:DF2"/>
    <mergeCell ref="DH2:DI2"/>
    <mergeCell ref="DK2:DL2"/>
    <mergeCell ref="C1:S2"/>
    <mergeCell ref="U1:AK2"/>
    <mergeCell ref="AO1:AY1"/>
    <mergeCell ref="CL1:DL1"/>
    <mergeCell ref="DZ1:EW1"/>
    <mergeCell ref="AO2:AS2"/>
    <mergeCell ref="AT2:AU2"/>
    <mergeCell ref="AV2:AW2"/>
    <mergeCell ref="AX2:AY2"/>
    <mergeCell ref="ET2:EU2"/>
    <mergeCell ref="EV2:EW2"/>
    <mergeCell ref="EX2:EY2"/>
    <mergeCell ref="EZ2:FA2"/>
    <mergeCell ref="FB2:FC2"/>
    <mergeCell ref="FD2:FI2"/>
    <mergeCell ref="DM2:DN2"/>
    <mergeCell ref="DO2:DP2"/>
    <mergeCell ref="DQ2:DR2"/>
    <mergeCell ref="DS2:DX2"/>
    <mergeCell ref="DZ2:EQ2"/>
    <mergeCell ref="ER2:ES2"/>
    <mergeCell ref="CN3:CQ3"/>
    <mergeCell ref="CX3:DA3"/>
    <mergeCell ref="EB3:EE3"/>
    <mergeCell ref="EL3:EO3"/>
    <mergeCell ref="AO4:AP4"/>
    <mergeCell ref="D3:G3"/>
    <mergeCell ref="N3:Q3"/>
    <mergeCell ref="V3:Y3"/>
    <mergeCell ref="AF3:AI3"/>
    <mergeCell ref="AX7:AX8"/>
    <mergeCell ref="AT5:AT6"/>
    <mergeCell ref="AU5:AU10"/>
    <mergeCell ref="AV5:AV6"/>
    <mergeCell ref="AW5:AW10"/>
    <mergeCell ref="AX5:AX6"/>
    <mergeCell ref="AY5:AY10"/>
    <mergeCell ref="AT9:AT10"/>
    <mergeCell ref="AV9:AV10"/>
    <mergeCell ref="AX9:AX10"/>
    <mergeCell ref="A11:A16"/>
    <mergeCell ref="AO11:AO12"/>
    <mergeCell ref="AP11:AP12"/>
    <mergeCell ref="AQ11:AQ16"/>
    <mergeCell ref="AR11:AR16"/>
    <mergeCell ref="AO7:AO8"/>
    <mergeCell ref="AP7:AP8"/>
    <mergeCell ref="AT7:AT8"/>
    <mergeCell ref="AV7:AV8"/>
    <mergeCell ref="A5:A10"/>
    <mergeCell ref="AO5:AO6"/>
    <mergeCell ref="AP5:AP6"/>
    <mergeCell ref="AQ5:AQ10"/>
    <mergeCell ref="AR5:AR10"/>
    <mergeCell ref="AS5:AS10"/>
    <mergeCell ref="AO9:AO10"/>
    <mergeCell ref="AP9:AP10"/>
    <mergeCell ref="AY11:AY16"/>
    <mergeCell ref="AO13:AO14"/>
    <mergeCell ref="AP13:AP14"/>
    <mergeCell ref="AT13:AT14"/>
    <mergeCell ref="AV13:AV14"/>
    <mergeCell ref="AX13:AX14"/>
    <mergeCell ref="AO15:AO16"/>
    <mergeCell ref="AP15:AP16"/>
    <mergeCell ref="AT15:AT16"/>
    <mergeCell ref="AV15:AV16"/>
    <mergeCell ref="AS11:AS16"/>
    <mergeCell ref="AT11:AT12"/>
    <mergeCell ref="AU11:AU16"/>
    <mergeCell ref="AV11:AV12"/>
    <mergeCell ref="AW11:AW16"/>
    <mergeCell ref="AX11:AX12"/>
    <mergeCell ref="AX15:AX16"/>
    <mergeCell ref="AT17:AT18"/>
    <mergeCell ref="AU17:AU22"/>
    <mergeCell ref="AV17:AV18"/>
    <mergeCell ref="AW17:AW22"/>
    <mergeCell ref="AX17:AX18"/>
    <mergeCell ref="AY17:AY22"/>
    <mergeCell ref="AT19:AT20"/>
    <mergeCell ref="AV19:AV20"/>
    <mergeCell ref="AX19:AX20"/>
    <mergeCell ref="AT21:AT22"/>
    <mergeCell ref="AV21:AV22"/>
    <mergeCell ref="AX21:AX22"/>
    <mergeCell ref="A17:A22"/>
    <mergeCell ref="AO17:AO18"/>
    <mergeCell ref="AP17:AP18"/>
    <mergeCell ref="AQ17:AQ22"/>
    <mergeCell ref="AR17:AR22"/>
    <mergeCell ref="AS17:AS22"/>
    <mergeCell ref="AO19:AO20"/>
    <mergeCell ref="AP19:AP20"/>
    <mergeCell ref="AO21:AO22"/>
    <mergeCell ref="AP21:AP22"/>
    <mergeCell ref="A29:A34"/>
    <mergeCell ref="AO29:AO30"/>
    <mergeCell ref="AP29:AP30"/>
    <mergeCell ref="AQ29:AQ34"/>
    <mergeCell ref="AR29:AR34"/>
    <mergeCell ref="AS29:AS34"/>
    <mergeCell ref="AV23:AV24"/>
    <mergeCell ref="AW23:AW28"/>
    <mergeCell ref="AX23:AX24"/>
    <mergeCell ref="AO25:AO26"/>
    <mergeCell ref="AP25:AP26"/>
    <mergeCell ref="AT25:AT26"/>
    <mergeCell ref="AV25:AV26"/>
    <mergeCell ref="AX25:AX26"/>
    <mergeCell ref="AO27:AO28"/>
    <mergeCell ref="AT29:AT30"/>
    <mergeCell ref="AU29:AU34"/>
    <mergeCell ref="AV29:AV30"/>
    <mergeCell ref="AW29:AW34"/>
    <mergeCell ref="AX29:AX30"/>
    <mergeCell ref="A23:A28"/>
    <mergeCell ref="AO23:AO24"/>
    <mergeCell ref="AP23:AP24"/>
    <mergeCell ref="AQ23:AQ28"/>
    <mergeCell ref="AY29:AY34"/>
    <mergeCell ref="AP27:AP28"/>
    <mergeCell ref="AT27:AT28"/>
    <mergeCell ref="AV27:AV28"/>
    <mergeCell ref="AX27:AX28"/>
    <mergeCell ref="AY23:AY28"/>
    <mergeCell ref="AO31:AO32"/>
    <mergeCell ref="AP31:AP32"/>
    <mergeCell ref="AT31:AT32"/>
    <mergeCell ref="AV31:AV32"/>
    <mergeCell ref="AX31:AX32"/>
    <mergeCell ref="AO33:AO34"/>
    <mergeCell ref="AP33:AP34"/>
    <mergeCell ref="AT33:AT34"/>
    <mergeCell ref="AV33:AV34"/>
    <mergeCell ref="AX33:AX34"/>
    <mergeCell ref="AR23:AR28"/>
    <mergeCell ref="AS23:AS28"/>
    <mergeCell ref="AT23:AT24"/>
    <mergeCell ref="AU23:AU28"/>
    <mergeCell ref="AT35:AT36"/>
    <mergeCell ref="AU35:AU40"/>
    <mergeCell ref="AV35:AV36"/>
    <mergeCell ref="AW35:AW40"/>
    <mergeCell ref="AX35:AX36"/>
    <mergeCell ref="AY35:AY40"/>
    <mergeCell ref="AT37:AT38"/>
    <mergeCell ref="AV37:AV38"/>
    <mergeCell ref="AX37:AX38"/>
    <mergeCell ref="AT39:AT40"/>
    <mergeCell ref="AV39:AV40"/>
    <mergeCell ref="AX39:AX40"/>
    <mergeCell ref="AP39:AP40"/>
    <mergeCell ref="A43:V43"/>
    <mergeCell ref="A44:L44"/>
    <mergeCell ref="Q44:R44"/>
    <mergeCell ref="S44:T44"/>
    <mergeCell ref="U44:V44"/>
    <mergeCell ref="W44:X44"/>
    <mergeCell ref="Y44:Z44"/>
    <mergeCell ref="AA44:AB44"/>
    <mergeCell ref="A35:A40"/>
    <mergeCell ref="AC44:AH44"/>
    <mergeCell ref="Q49:Q50"/>
    <mergeCell ref="S49:S50"/>
    <mergeCell ref="U49:U50"/>
    <mergeCell ref="W49:W50"/>
    <mergeCell ref="Y47:Y48"/>
    <mergeCell ref="Z47:Z52"/>
    <mergeCell ref="AA47:AA48"/>
    <mergeCell ref="AB47:AB52"/>
    <mergeCell ref="AC47:AC48"/>
    <mergeCell ref="Y51:Y52"/>
    <mergeCell ref="S47:S48"/>
    <mergeCell ref="T47:T52"/>
    <mergeCell ref="U47:U48"/>
    <mergeCell ref="V47:V52"/>
    <mergeCell ref="W47:W48"/>
    <mergeCell ref="AA51:AA52"/>
    <mergeCell ref="AC51:AC52"/>
    <mergeCell ref="Y49:Y50"/>
    <mergeCell ref="AA49:AA50"/>
    <mergeCell ref="AC49:AC50"/>
    <mergeCell ref="C45:F45"/>
    <mergeCell ref="M45:P45"/>
    <mergeCell ref="A46:B46"/>
    <mergeCell ref="A47:A48"/>
    <mergeCell ref="B47:B48"/>
    <mergeCell ref="C47:C52"/>
    <mergeCell ref="D47:D52"/>
    <mergeCell ref="E47:E52"/>
    <mergeCell ref="F47:F52"/>
    <mergeCell ref="A49:A50"/>
    <mergeCell ref="B49:B50"/>
    <mergeCell ref="AF47:AF52"/>
    <mergeCell ref="AG47:AG52"/>
    <mergeCell ref="AH47:AH52"/>
    <mergeCell ref="A51:A52"/>
    <mergeCell ref="B51:B52"/>
    <mergeCell ref="Q51:Q52"/>
    <mergeCell ref="S51:S52"/>
    <mergeCell ref="U51:U52"/>
    <mergeCell ref="W51:W52"/>
    <mergeCell ref="AE47:AE52"/>
    <mergeCell ref="X47:X52"/>
    <mergeCell ref="M47:M52"/>
    <mergeCell ref="N47:N52"/>
    <mergeCell ref="O47:O52"/>
    <mergeCell ref="P47:P52"/>
    <mergeCell ref="Q47:Q48"/>
    <mergeCell ref="R47:R52"/>
    <mergeCell ref="G47:G52"/>
    <mergeCell ref="H47:H52"/>
    <mergeCell ref="I47:I52"/>
    <mergeCell ref="J47:J52"/>
    <mergeCell ref="K47:K52"/>
    <mergeCell ref="L47:L52"/>
    <mergeCell ref="AD47:AD52"/>
    <mergeCell ref="FK2:FL2"/>
    <mergeCell ref="FM2:FN2"/>
    <mergeCell ref="FP2:FQ2"/>
    <mergeCell ref="FR2:FS2"/>
    <mergeCell ref="AI44:AJ44"/>
    <mergeCell ref="AK44:AL44"/>
    <mergeCell ref="AI46:AJ46"/>
    <mergeCell ref="AK46:AL46"/>
    <mergeCell ref="AI47:AI48"/>
    <mergeCell ref="AJ47:AJ52"/>
    <mergeCell ref="AK47:AK48"/>
    <mergeCell ref="AL47:AL52"/>
    <mergeCell ref="AI49:AI50"/>
    <mergeCell ref="AK49:AK50"/>
    <mergeCell ref="AI51:AI52"/>
    <mergeCell ref="AK51:AK52"/>
    <mergeCell ref="AO35:AO36"/>
    <mergeCell ref="AP35:AP36"/>
    <mergeCell ref="AQ35:AQ40"/>
    <mergeCell ref="AR35:AR40"/>
    <mergeCell ref="AS35:AS40"/>
    <mergeCell ref="AO37:AO38"/>
    <mergeCell ref="AP37:AP38"/>
    <mergeCell ref="AO39:AO40"/>
    <mergeCell ref="AZ5:AZ6"/>
    <mergeCell ref="BA5:BA10"/>
    <mergeCell ref="AZ7:AZ8"/>
    <mergeCell ref="AZ9:AZ10"/>
    <mergeCell ref="AZ11:AZ12"/>
    <mergeCell ref="BA11:BA16"/>
    <mergeCell ref="AZ13:AZ14"/>
    <mergeCell ref="AZ15:AZ16"/>
    <mergeCell ref="AZ17:AZ18"/>
    <mergeCell ref="BA17:BA22"/>
    <mergeCell ref="AZ19:AZ20"/>
    <mergeCell ref="AZ21:AZ22"/>
    <mergeCell ref="AZ23:AZ24"/>
    <mergeCell ref="BA23:BA28"/>
    <mergeCell ref="AZ25:AZ26"/>
    <mergeCell ref="AZ27:AZ28"/>
    <mergeCell ref="AZ29:AZ30"/>
    <mergeCell ref="BA29:BA34"/>
    <mergeCell ref="AZ31:AZ32"/>
    <mergeCell ref="AZ33:AZ34"/>
    <mergeCell ref="AZ35:AZ36"/>
    <mergeCell ref="BA35:BA40"/>
    <mergeCell ref="AZ37:AZ38"/>
    <mergeCell ref="AZ39:AZ40"/>
  </mergeCells>
  <conditionalFormatting sqref="AP5">
    <cfRule type="cellIs" dxfId="2055" priority="653" stopIfTrue="1" operator="greaterThan">
      <formula>0.03</formula>
    </cfRule>
    <cfRule type="cellIs" dxfId="2054" priority="654" stopIfTrue="1" operator="lessThan">
      <formula>-0.03</formula>
    </cfRule>
  </conditionalFormatting>
  <conditionalFormatting sqref="AQ5">
    <cfRule type="cellIs" dxfId="2053" priority="671" stopIfTrue="1" operator="greaterThan">
      <formula>0.03</formula>
    </cfRule>
    <cfRule type="cellIs" dxfId="2052" priority="672" stopIfTrue="1" operator="lessThan">
      <formula>-0.03</formula>
    </cfRule>
  </conditionalFormatting>
  <conditionalFormatting sqref="CH5">
    <cfRule type="cellIs" dxfId="2051" priority="673" stopIfTrue="1" operator="greaterThan">
      <formula>0.03</formula>
    </cfRule>
    <cfRule type="cellIs" dxfId="2050" priority="674" stopIfTrue="1" operator="lessThan">
      <formula>-0.03</formula>
    </cfRule>
  </conditionalFormatting>
  <conditionalFormatting sqref="AQ5:AQ10">
    <cfRule type="cellIs" dxfId="2049" priority="675" stopIfTrue="1" operator="greaterThan">
      <formula>0</formula>
    </cfRule>
    <cfRule type="cellIs" dxfId="2048" priority="676" stopIfTrue="1" operator="lessThan">
      <formula>0</formula>
    </cfRule>
  </conditionalFormatting>
  <conditionalFormatting sqref="AR5:AS5">
    <cfRule type="cellIs" dxfId="2047" priority="667" stopIfTrue="1" operator="greaterThan">
      <formula>0.03</formula>
    </cfRule>
    <cfRule type="cellIs" dxfId="2046" priority="668" stopIfTrue="1" operator="lessThan">
      <formula>-0.03</formula>
    </cfRule>
  </conditionalFormatting>
  <conditionalFormatting sqref="AR5:AS10">
    <cfRule type="cellIs" dxfId="2045" priority="669" stopIfTrue="1" operator="greaterThan">
      <formula>0</formula>
    </cfRule>
    <cfRule type="cellIs" dxfId="2044" priority="670" stopIfTrue="1" operator="lessThan">
      <formula>0</formula>
    </cfRule>
  </conditionalFormatting>
  <conditionalFormatting sqref="AU5">
    <cfRule type="cellIs" dxfId="2043" priority="663" stopIfTrue="1" operator="greaterThan">
      <formula>0.03</formula>
    </cfRule>
    <cfRule type="cellIs" dxfId="2042" priority="664" stopIfTrue="1" operator="lessThan">
      <formula>-0.03</formula>
    </cfRule>
  </conditionalFormatting>
  <conditionalFormatting sqref="AU5:AU10">
    <cfRule type="cellIs" dxfId="2041" priority="665" stopIfTrue="1" operator="greaterThan">
      <formula>0</formula>
    </cfRule>
    <cfRule type="cellIs" dxfId="2040" priority="666" stopIfTrue="1" operator="lessThan">
      <formula>0</formula>
    </cfRule>
  </conditionalFormatting>
  <conditionalFormatting sqref="AW5">
    <cfRule type="cellIs" dxfId="2039" priority="659" stopIfTrue="1" operator="greaterThan">
      <formula>0.03</formula>
    </cfRule>
    <cfRule type="cellIs" dxfId="2038" priority="660" stopIfTrue="1" operator="lessThan">
      <formula>-0.03</formula>
    </cfRule>
  </conditionalFormatting>
  <conditionalFormatting sqref="AW5:AW10">
    <cfRule type="cellIs" dxfId="2037" priority="661" stopIfTrue="1" operator="greaterThan">
      <formula>0</formula>
    </cfRule>
    <cfRule type="cellIs" dxfId="2036" priority="662" stopIfTrue="1" operator="lessThan">
      <formula>0</formula>
    </cfRule>
  </conditionalFormatting>
  <conditionalFormatting sqref="AY5">
    <cfRule type="cellIs" dxfId="2035" priority="655" stopIfTrue="1" operator="greaterThan">
      <formula>0.03</formula>
    </cfRule>
    <cfRule type="cellIs" dxfId="2034" priority="656" stopIfTrue="1" operator="lessThan">
      <formula>-0.03</formula>
    </cfRule>
  </conditionalFormatting>
  <conditionalFormatting sqref="AY5:AY10">
    <cfRule type="cellIs" dxfId="2033" priority="657" stopIfTrue="1" operator="greaterThan">
      <formula>0</formula>
    </cfRule>
    <cfRule type="cellIs" dxfId="2032" priority="658" stopIfTrue="1" operator="lessThan">
      <formula>0</formula>
    </cfRule>
  </conditionalFormatting>
  <conditionalFormatting sqref="AP5:AP6">
    <cfRule type="cellIs" dxfId="2031" priority="677" stopIfTrue="1" operator="greaterThan">
      <formula>0</formula>
    </cfRule>
    <cfRule type="cellIs" dxfId="2030" priority="678" operator="lessThan">
      <formula>0</formula>
    </cfRule>
  </conditionalFormatting>
  <conditionalFormatting sqref="AP7">
    <cfRule type="cellIs" dxfId="2029" priority="649" stopIfTrue="1" operator="greaterThan">
      <formula>0.03</formula>
    </cfRule>
    <cfRule type="cellIs" dxfId="2028" priority="650" stopIfTrue="1" operator="lessThan">
      <formula>-0.03</formula>
    </cfRule>
  </conditionalFormatting>
  <conditionalFormatting sqref="AP7:AP8">
    <cfRule type="cellIs" dxfId="2027" priority="651" stopIfTrue="1" operator="greaterThan">
      <formula>0</formula>
    </cfRule>
    <cfRule type="cellIs" dxfId="2026" priority="652" operator="lessThan">
      <formula>0</formula>
    </cfRule>
  </conditionalFormatting>
  <conditionalFormatting sqref="AP9">
    <cfRule type="cellIs" dxfId="2025" priority="645" stopIfTrue="1" operator="greaterThan">
      <formula>0.03</formula>
    </cfRule>
    <cfRule type="cellIs" dxfId="2024" priority="646" stopIfTrue="1" operator="lessThan">
      <formula>-0.03</formula>
    </cfRule>
  </conditionalFormatting>
  <conditionalFormatting sqref="AP9:AP10">
    <cfRule type="cellIs" dxfId="2023" priority="647" stopIfTrue="1" operator="greaterThan">
      <formula>0</formula>
    </cfRule>
    <cfRule type="cellIs" dxfId="2022" priority="648" operator="lessThan">
      <formula>0</formula>
    </cfRule>
  </conditionalFormatting>
  <conditionalFormatting sqref="AT5">
    <cfRule type="cellIs" dxfId="2021" priority="641" stopIfTrue="1" operator="greaterThan">
      <formula>0.03</formula>
    </cfRule>
    <cfRule type="cellIs" dxfId="2020" priority="642" stopIfTrue="1" operator="lessThan">
      <formula>-0.03</formula>
    </cfRule>
  </conditionalFormatting>
  <conditionalFormatting sqref="AT5:AT6">
    <cfRule type="cellIs" dxfId="2019" priority="643" stopIfTrue="1" operator="greaterThan">
      <formula>0</formula>
    </cfRule>
    <cfRule type="cellIs" dxfId="2018" priority="644" operator="lessThan">
      <formula>0</formula>
    </cfRule>
  </conditionalFormatting>
  <conditionalFormatting sqref="AT7">
    <cfRule type="cellIs" dxfId="2017" priority="637" stopIfTrue="1" operator="greaterThan">
      <formula>0.03</formula>
    </cfRule>
    <cfRule type="cellIs" dxfId="2016" priority="638" stopIfTrue="1" operator="lessThan">
      <formula>-0.03</formula>
    </cfRule>
  </conditionalFormatting>
  <conditionalFormatting sqref="AT7:AT8">
    <cfRule type="cellIs" dxfId="2015" priority="639" stopIfTrue="1" operator="greaterThan">
      <formula>0</formula>
    </cfRule>
    <cfRule type="cellIs" dxfId="2014" priority="640" operator="lessThan">
      <formula>0</formula>
    </cfRule>
  </conditionalFormatting>
  <conditionalFormatting sqref="AT9">
    <cfRule type="cellIs" dxfId="2013" priority="633" stopIfTrue="1" operator="greaterThan">
      <formula>0.03</formula>
    </cfRule>
    <cfRule type="cellIs" dxfId="2012" priority="634" stopIfTrue="1" operator="lessThan">
      <formula>-0.03</formula>
    </cfRule>
  </conditionalFormatting>
  <conditionalFormatting sqref="AT9:AT10">
    <cfRule type="cellIs" dxfId="2011" priority="635" stopIfTrue="1" operator="greaterThan">
      <formula>0</formula>
    </cfRule>
    <cfRule type="cellIs" dxfId="2010" priority="636" operator="lessThan">
      <formula>0</formula>
    </cfRule>
  </conditionalFormatting>
  <conditionalFormatting sqref="AV5">
    <cfRule type="cellIs" dxfId="2009" priority="629" stopIfTrue="1" operator="greaterThan">
      <formula>0.03</formula>
    </cfRule>
    <cfRule type="cellIs" dxfId="2008" priority="630" stopIfTrue="1" operator="lessThan">
      <formula>-0.03</formula>
    </cfRule>
  </conditionalFormatting>
  <conditionalFormatting sqref="AV5:AV6">
    <cfRule type="cellIs" dxfId="2007" priority="631" stopIfTrue="1" operator="greaterThan">
      <formula>0</formula>
    </cfRule>
    <cfRule type="cellIs" dxfId="2006" priority="632" operator="lessThan">
      <formula>0</formula>
    </cfRule>
  </conditionalFormatting>
  <conditionalFormatting sqref="AV7">
    <cfRule type="cellIs" dxfId="2005" priority="625" stopIfTrue="1" operator="greaterThan">
      <formula>0.03</formula>
    </cfRule>
    <cfRule type="cellIs" dxfId="2004" priority="626" stopIfTrue="1" operator="lessThan">
      <formula>-0.03</formula>
    </cfRule>
  </conditionalFormatting>
  <conditionalFormatting sqref="AV7:AV8">
    <cfRule type="cellIs" dxfId="2003" priority="627" stopIfTrue="1" operator="greaterThan">
      <formula>0</formula>
    </cfRule>
    <cfRule type="cellIs" dxfId="2002" priority="628" operator="lessThan">
      <formula>0</formula>
    </cfRule>
  </conditionalFormatting>
  <conditionalFormatting sqref="AV9">
    <cfRule type="cellIs" dxfId="2001" priority="621" stopIfTrue="1" operator="greaterThan">
      <formula>0.03</formula>
    </cfRule>
    <cfRule type="cellIs" dxfId="2000" priority="622" stopIfTrue="1" operator="lessThan">
      <formula>-0.03</formula>
    </cfRule>
  </conditionalFormatting>
  <conditionalFormatting sqref="AV9:AV10">
    <cfRule type="cellIs" dxfId="1999" priority="623" stopIfTrue="1" operator="greaterThan">
      <formula>0</formula>
    </cfRule>
    <cfRule type="cellIs" dxfId="1998" priority="624" operator="lessThan">
      <formula>0</formula>
    </cfRule>
  </conditionalFormatting>
  <conditionalFormatting sqref="AX5">
    <cfRule type="cellIs" dxfId="1997" priority="617" stopIfTrue="1" operator="greaterThan">
      <formula>0.03</formula>
    </cfRule>
    <cfRule type="cellIs" dxfId="1996" priority="618" stopIfTrue="1" operator="lessThan">
      <formula>-0.03</formula>
    </cfRule>
  </conditionalFormatting>
  <conditionalFormatting sqref="AX5:AX6">
    <cfRule type="cellIs" dxfId="1995" priority="619" stopIfTrue="1" operator="greaterThan">
      <formula>0</formula>
    </cfRule>
    <cfRule type="cellIs" dxfId="1994" priority="620" operator="lessThan">
      <formula>0</formula>
    </cfRule>
  </conditionalFormatting>
  <conditionalFormatting sqref="AX7">
    <cfRule type="cellIs" dxfId="1993" priority="613" stopIfTrue="1" operator="greaterThan">
      <formula>0.03</formula>
    </cfRule>
    <cfRule type="cellIs" dxfId="1992" priority="614" stopIfTrue="1" operator="lessThan">
      <formula>-0.03</formula>
    </cfRule>
  </conditionalFormatting>
  <conditionalFormatting sqref="AX7:AX8">
    <cfRule type="cellIs" dxfId="1991" priority="615" stopIfTrue="1" operator="greaterThan">
      <formula>0</formula>
    </cfRule>
    <cfRule type="cellIs" dxfId="1990" priority="616" operator="lessThan">
      <formula>0</formula>
    </cfRule>
  </conditionalFormatting>
  <conditionalFormatting sqref="AX9">
    <cfRule type="cellIs" dxfId="1989" priority="609" stopIfTrue="1" operator="greaterThan">
      <formula>0.03</formula>
    </cfRule>
    <cfRule type="cellIs" dxfId="1988" priority="610" stopIfTrue="1" operator="lessThan">
      <formula>-0.03</formula>
    </cfRule>
  </conditionalFormatting>
  <conditionalFormatting sqref="AX9:AX10">
    <cfRule type="cellIs" dxfId="1987" priority="611" stopIfTrue="1" operator="greaterThan">
      <formula>0</formula>
    </cfRule>
    <cfRule type="cellIs" dxfId="1986" priority="612" operator="lessThan">
      <formula>0</formula>
    </cfRule>
  </conditionalFormatting>
  <conditionalFormatting sqref="AP11">
    <cfRule type="cellIs" dxfId="1985" priority="585" stopIfTrue="1" operator="greaterThan">
      <formula>0.03</formula>
    </cfRule>
    <cfRule type="cellIs" dxfId="1984" priority="586" stopIfTrue="1" operator="lessThan">
      <formula>-0.03</formula>
    </cfRule>
  </conditionalFormatting>
  <conditionalFormatting sqref="AQ11">
    <cfRule type="cellIs" dxfId="1983" priority="603" stopIfTrue="1" operator="greaterThan">
      <formula>0.03</formula>
    </cfRule>
    <cfRule type="cellIs" dxfId="1982" priority="604" stopIfTrue="1" operator="lessThan">
      <formula>-0.03</formula>
    </cfRule>
  </conditionalFormatting>
  <conditionalFormatting sqref="AQ11:AQ16">
    <cfRule type="cellIs" dxfId="1981" priority="605" stopIfTrue="1" operator="greaterThan">
      <formula>0</formula>
    </cfRule>
    <cfRule type="cellIs" dxfId="1980" priority="606" stopIfTrue="1" operator="lessThan">
      <formula>0</formula>
    </cfRule>
  </conditionalFormatting>
  <conditionalFormatting sqref="AR11:AS11">
    <cfRule type="cellIs" dxfId="1979" priority="599" stopIfTrue="1" operator="greaterThan">
      <formula>0.03</formula>
    </cfRule>
    <cfRule type="cellIs" dxfId="1978" priority="600" stopIfTrue="1" operator="lessThan">
      <formula>-0.03</formula>
    </cfRule>
  </conditionalFormatting>
  <conditionalFormatting sqref="AR11:AS16">
    <cfRule type="cellIs" dxfId="1977" priority="601" stopIfTrue="1" operator="greaterThan">
      <formula>0</formula>
    </cfRule>
    <cfRule type="cellIs" dxfId="1976" priority="602" stopIfTrue="1" operator="lessThan">
      <formula>0</formula>
    </cfRule>
  </conditionalFormatting>
  <conditionalFormatting sqref="AU11">
    <cfRule type="cellIs" dxfId="1975" priority="595" stopIfTrue="1" operator="greaterThan">
      <formula>0.03</formula>
    </cfRule>
    <cfRule type="cellIs" dxfId="1974" priority="596" stopIfTrue="1" operator="lessThan">
      <formula>-0.03</formula>
    </cfRule>
  </conditionalFormatting>
  <conditionalFormatting sqref="AU11:AU16">
    <cfRule type="cellIs" dxfId="1973" priority="597" stopIfTrue="1" operator="greaterThan">
      <formula>0</formula>
    </cfRule>
    <cfRule type="cellIs" dxfId="1972" priority="598" stopIfTrue="1" operator="lessThan">
      <formula>0</formula>
    </cfRule>
  </conditionalFormatting>
  <conditionalFormatting sqref="AW11">
    <cfRule type="cellIs" dxfId="1971" priority="591" stopIfTrue="1" operator="greaterThan">
      <formula>0.03</formula>
    </cfRule>
    <cfRule type="cellIs" dxfId="1970" priority="592" stopIfTrue="1" operator="lessThan">
      <formula>-0.03</formula>
    </cfRule>
  </conditionalFormatting>
  <conditionalFormatting sqref="AW11:AW16">
    <cfRule type="cellIs" dxfId="1969" priority="593" stopIfTrue="1" operator="greaterThan">
      <formula>0</formula>
    </cfRule>
    <cfRule type="cellIs" dxfId="1968" priority="594" stopIfTrue="1" operator="lessThan">
      <formula>0</formula>
    </cfRule>
  </conditionalFormatting>
  <conditionalFormatting sqref="AY11">
    <cfRule type="cellIs" dxfId="1967" priority="587" stopIfTrue="1" operator="greaterThan">
      <formula>0.03</formula>
    </cfRule>
    <cfRule type="cellIs" dxfId="1966" priority="588" stopIfTrue="1" operator="lessThan">
      <formula>-0.03</formula>
    </cfRule>
  </conditionalFormatting>
  <conditionalFormatting sqref="AY11:AY16">
    <cfRule type="cellIs" dxfId="1965" priority="589" stopIfTrue="1" operator="greaterThan">
      <formula>0</formula>
    </cfRule>
    <cfRule type="cellIs" dxfId="1964" priority="590" stopIfTrue="1" operator="lessThan">
      <formula>0</formula>
    </cfRule>
  </conditionalFormatting>
  <conditionalFormatting sqref="AP11:AP12">
    <cfRule type="cellIs" dxfId="1963" priority="607" stopIfTrue="1" operator="greaterThan">
      <formula>0</formula>
    </cfRule>
    <cfRule type="cellIs" dxfId="1962" priority="608" operator="lessThan">
      <formula>0</formula>
    </cfRule>
  </conditionalFormatting>
  <conditionalFormatting sqref="AP13">
    <cfRule type="cellIs" dxfId="1961" priority="581" stopIfTrue="1" operator="greaterThan">
      <formula>0.03</formula>
    </cfRule>
    <cfRule type="cellIs" dxfId="1960" priority="582" stopIfTrue="1" operator="lessThan">
      <formula>-0.03</formula>
    </cfRule>
  </conditionalFormatting>
  <conditionalFormatting sqref="AP13:AP14">
    <cfRule type="cellIs" dxfId="1959" priority="583" stopIfTrue="1" operator="greaterThan">
      <formula>0</formula>
    </cfRule>
    <cfRule type="cellIs" dxfId="1958" priority="584" operator="lessThan">
      <formula>0</formula>
    </cfRule>
  </conditionalFormatting>
  <conditionalFormatting sqref="AP15">
    <cfRule type="cellIs" dxfId="1957" priority="577" stopIfTrue="1" operator="greaterThan">
      <formula>0.03</formula>
    </cfRule>
    <cfRule type="cellIs" dxfId="1956" priority="578" stopIfTrue="1" operator="lessThan">
      <formula>-0.03</formula>
    </cfRule>
  </conditionalFormatting>
  <conditionalFormatting sqref="AP15:AP16">
    <cfRule type="cellIs" dxfId="1955" priority="579" stopIfTrue="1" operator="greaterThan">
      <formula>0</formula>
    </cfRule>
    <cfRule type="cellIs" dxfId="1954" priority="580" operator="lessThan">
      <formula>0</formula>
    </cfRule>
  </conditionalFormatting>
  <conditionalFormatting sqref="AT11">
    <cfRule type="cellIs" dxfId="1953" priority="573" stopIfTrue="1" operator="greaterThan">
      <formula>0.03</formula>
    </cfRule>
    <cfRule type="cellIs" dxfId="1952" priority="574" stopIfTrue="1" operator="lessThan">
      <formula>-0.03</formula>
    </cfRule>
  </conditionalFormatting>
  <conditionalFormatting sqref="AT11:AT12">
    <cfRule type="cellIs" dxfId="1951" priority="575" stopIfTrue="1" operator="greaterThan">
      <formula>0</formula>
    </cfRule>
    <cfRule type="cellIs" dxfId="1950" priority="576" operator="lessThan">
      <formula>0</formula>
    </cfRule>
  </conditionalFormatting>
  <conditionalFormatting sqref="AT13">
    <cfRule type="cellIs" dxfId="1949" priority="569" stopIfTrue="1" operator="greaterThan">
      <formula>0.03</formula>
    </cfRule>
    <cfRule type="cellIs" dxfId="1948" priority="570" stopIfTrue="1" operator="lessThan">
      <formula>-0.03</formula>
    </cfRule>
  </conditionalFormatting>
  <conditionalFormatting sqref="AT13:AT14">
    <cfRule type="cellIs" dxfId="1947" priority="571" stopIfTrue="1" operator="greaterThan">
      <formula>0</formula>
    </cfRule>
    <cfRule type="cellIs" dxfId="1946" priority="572" operator="lessThan">
      <formula>0</formula>
    </cfRule>
  </conditionalFormatting>
  <conditionalFormatting sqref="AT15">
    <cfRule type="cellIs" dxfId="1945" priority="565" stopIfTrue="1" operator="greaterThan">
      <formula>0.03</formula>
    </cfRule>
    <cfRule type="cellIs" dxfId="1944" priority="566" stopIfTrue="1" operator="lessThan">
      <formula>-0.03</formula>
    </cfRule>
  </conditionalFormatting>
  <conditionalFormatting sqref="AT15:AT16">
    <cfRule type="cellIs" dxfId="1943" priority="567" stopIfTrue="1" operator="greaterThan">
      <formula>0</formula>
    </cfRule>
    <cfRule type="cellIs" dxfId="1942" priority="568" operator="lessThan">
      <formula>0</formula>
    </cfRule>
  </conditionalFormatting>
  <conditionalFormatting sqref="AV11">
    <cfRule type="cellIs" dxfId="1941" priority="561" stopIfTrue="1" operator="greaterThan">
      <formula>0.03</formula>
    </cfRule>
    <cfRule type="cellIs" dxfId="1940" priority="562" stopIfTrue="1" operator="lessThan">
      <formula>-0.03</formula>
    </cfRule>
  </conditionalFormatting>
  <conditionalFormatting sqref="AV11:AV12">
    <cfRule type="cellIs" dxfId="1939" priority="563" stopIfTrue="1" operator="greaterThan">
      <formula>0</formula>
    </cfRule>
    <cfRule type="cellIs" dxfId="1938" priority="564" operator="lessThan">
      <formula>0</formula>
    </cfRule>
  </conditionalFormatting>
  <conditionalFormatting sqref="AV13">
    <cfRule type="cellIs" dxfId="1937" priority="557" stopIfTrue="1" operator="greaterThan">
      <formula>0.03</formula>
    </cfRule>
    <cfRule type="cellIs" dxfId="1936" priority="558" stopIfTrue="1" operator="lessThan">
      <formula>-0.03</formula>
    </cfRule>
  </conditionalFormatting>
  <conditionalFormatting sqref="AV13:AV14">
    <cfRule type="cellIs" dxfId="1935" priority="559" stopIfTrue="1" operator="greaterThan">
      <formula>0</formula>
    </cfRule>
    <cfRule type="cellIs" dxfId="1934" priority="560" operator="lessThan">
      <formula>0</formula>
    </cfRule>
  </conditionalFormatting>
  <conditionalFormatting sqref="AV15">
    <cfRule type="cellIs" dxfId="1933" priority="553" stopIfTrue="1" operator="greaterThan">
      <formula>0.03</formula>
    </cfRule>
    <cfRule type="cellIs" dxfId="1932" priority="554" stopIfTrue="1" operator="lessThan">
      <formula>-0.03</formula>
    </cfRule>
  </conditionalFormatting>
  <conditionalFormatting sqref="AV15:AV16">
    <cfRule type="cellIs" dxfId="1931" priority="555" stopIfTrue="1" operator="greaterThan">
      <formula>0</formula>
    </cfRule>
    <cfRule type="cellIs" dxfId="1930" priority="556" operator="lessThan">
      <formula>0</formula>
    </cfRule>
  </conditionalFormatting>
  <conditionalFormatting sqref="AP17 AP23 AP29 AP35">
    <cfRule type="cellIs" dxfId="1929" priority="533" stopIfTrue="1" operator="greaterThan">
      <formula>0.03</formula>
    </cfRule>
    <cfRule type="cellIs" dxfId="1928" priority="534" stopIfTrue="1" operator="lessThan">
      <formula>-0.03</formula>
    </cfRule>
  </conditionalFormatting>
  <conditionalFormatting sqref="AQ17 AQ23 AQ29 AQ35">
    <cfRule type="cellIs" dxfId="1927" priority="547" stopIfTrue="1" operator="greaterThan">
      <formula>0.03</formula>
    </cfRule>
    <cfRule type="cellIs" dxfId="1926" priority="548" stopIfTrue="1" operator="lessThan">
      <formula>-0.03</formula>
    </cfRule>
  </conditionalFormatting>
  <conditionalFormatting sqref="AQ17:AQ40">
    <cfRule type="cellIs" dxfId="1925" priority="549" stopIfTrue="1" operator="greaterThan">
      <formula>0</formula>
    </cfRule>
    <cfRule type="cellIs" dxfId="1924" priority="550" stopIfTrue="1" operator="lessThan">
      <formula>0</formula>
    </cfRule>
  </conditionalFormatting>
  <conditionalFormatting sqref="AR17:AS17 AR23:AS23 AR29:AS29 AR35:AS35">
    <cfRule type="cellIs" dxfId="1923" priority="543" stopIfTrue="1" operator="greaterThan">
      <formula>0.03</formula>
    </cfRule>
    <cfRule type="cellIs" dxfId="1922" priority="544" stopIfTrue="1" operator="lessThan">
      <formula>-0.03</formula>
    </cfRule>
  </conditionalFormatting>
  <conditionalFormatting sqref="AR17:AS40">
    <cfRule type="cellIs" dxfId="1921" priority="545" stopIfTrue="1" operator="greaterThan">
      <formula>0</formula>
    </cfRule>
    <cfRule type="cellIs" dxfId="1920" priority="546" stopIfTrue="1" operator="lessThan">
      <formula>0</formula>
    </cfRule>
  </conditionalFormatting>
  <conditionalFormatting sqref="AU17 AU23 AU29 AU35">
    <cfRule type="cellIs" dxfId="1919" priority="539" stopIfTrue="1" operator="greaterThan">
      <formula>0.03</formula>
    </cfRule>
    <cfRule type="cellIs" dxfId="1918" priority="540" stopIfTrue="1" operator="lessThan">
      <formula>-0.03</formula>
    </cfRule>
  </conditionalFormatting>
  <conditionalFormatting sqref="AU17:AU40">
    <cfRule type="cellIs" dxfId="1917" priority="541" stopIfTrue="1" operator="greaterThan">
      <formula>0</formula>
    </cfRule>
    <cfRule type="cellIs" dxfId="1916" priority="542" stopIfTrue="1" operator="lessThan">
      <formula>0</formula>
    </cfRule>
  </conditionalFormatting>
  <conditionalFormatting sqref="AW17 AW23 AW29 AW35">
    <cfRule type="cellIs" dxfId="1915" priority="535" stopIfTrue="1" operator="greaterThan">
      <formula>0.03</formula>
    </cfRule>
    <cfRule type="cellIs" dxfId="1914" priority="536" stopIfTrue="1" operator="lessThan">
      <formula>-0.03</formula>
    </cfRule>
  </conditionalFormatting>
  <conditionalFormatting sqref="AW17:AW40">
    <cfRule type="cellIs" dxfId="1913" priority="537" stopIfTrue="1" operator="greaterThan">
      <formula>0</formula>
    </cfRule>
    <cfRule type="cellIs" dxfId="1912" priority="538" stopIfTrue="1" operator="lessThan">
      <formula>0</formula>
    </cfRule>
  </conditionalFormatting>
  <conditionalFormatting sqref="AP17:AP18 AP23:AP24 AP29:AP30 AP35:AP36">
    <cfRule type="cellIs" dxfId="1911" priority="551" stopIfTrue="1" operator="greaterThan">
      <formula>0</formula>
    </cfRule>
    <cfRule type="cellIs" dxfId="1910" priority="552" operator="lessThan">
      <formula>0</formula>
    </cfRule>
  </conditionalFormatting>
  <conditionalFormatting sqref="AP19 AP25 AP31 AP37">
    <cfRule type="cellIs" dxfId="1909" priority="529" stopIfTrue="1" operator="greaterThan">
      <formula>0.03</formula>
    </cfRule>
    <cfRule type="cellIs" dxfId="1908" priority="530" stopIfTrue="1" operator="lessThan">
      <formula>-0.03</formula>
    </cfRule>
  </conditionalFormatting>
  <conditionalFormatting sqref="AP19:AP20 AP25:AP26 AP31:AP32 AP37:AP38">
    <cfRule type="cellIs" dxfId="1907" priority="531" stopIfTrue="1" operator="greaterThan">
      <formula>0</formula>
    </cfRule>
    <cfRule type="cellIs" dxfId="1906" priority="532" operator="lessThan">
      <formula>0</formula>
    </cfRule>
  </conditionalFormatting>
  <conditionalFormatting sqref="AP21 AP27 AP33 AP39">
    <cfRule type="cellIs" dxfId="1905" priority="525" stopIfTrue="1" operator="greaterThan">
      <formula>0.03</formula>
    </cfRule>
    <cfRule type="cellIs" dxfId="1904" priority="526" stopIfTrue="1" operator="lessThan">
      <formula>-0.03</formula>
    </cfRule>
  </conditionalFormatting>
  <conditionalFormatting sqref="AP21:AP22 AP27:AP28 AP33:AP34 AP39:AP40">
    <cfRule type="cellIs" dxfId="1903" priority="527" stopIfTrue="1" operator="greaterThan">
      <formula>0</formula>
    </cfRule>
    <cfRule type="cellIs" dxfId="1902" priority="528" operator="lessThan">
      <formula>0</formula>
    </cfRule>
  </conditionalFormatting>
  <conditionalFormatting sqref="AT17 AT23 AT29 AT35">
    <cfRule type="cellIs" dxfId="1901" priority="521" stopIfTrue="1" operator="greaterThan">
      <formula>0.03</formula>
    </cfRule>
    <cfRule type="cellIs" dxfId="1900" priority="522" stopIfTrue="1" operator="lessThan">
      <formula>-0.03</formula>
    </cfRule>
  </conditionalFormatting>
  <conditionalFormatting sqref="AT17:AT18 AT23:AT24 AT29:AT30 AT35:AT36">
    <cfRule type="cellIs" dxfId="1899" priority="523" stopIfTrue="1" operator="greaterThan">
      <formula>0</formula>
    </cfRule>
    <cfRule type="cellIs" dxfId="1898" priority="524" operator="lessThan">
      <formula>0</formula>
    </cfRule>
  </conditionalFormatting>
  <conditionalFormatting sqref="AT19 AT25 AT31 AT37">
    <cfRule type="cellIs" dxfId="1897" priority="517" stopIfTrue="1" operator="greaterThan">
      <formula>0.03</formula>
    </cfRule>
    <cfRule type="cellIs" dxfId="1896" priority="518" stopIfTrue="1" operator="lessThan">
      <formula>-0.03</formula>
    </cfRule>
  </conditionalFormatting>
  <conditionalFormatting sqref="AT19:AT20 AT25:AT26 AT31:AT32 AT37:AT38">
    <cfRule type="cellIs" dxfId="1895" priority="519" stopIfTrue="1" operator="greaterThan">
      <formula>0</formula>
    </cfRule>
    <cfRule type="cellIs" dxfId="1894" priority="520" operator="lessThan">
      <formula>0</formula>
    </cfRule>
  </conditionalFormatting>
  <conditionalFormatting sqref="AT21 AT27 AT33 AT39">
    <cfRule type="cellIs" dxfId="1893" priority="513" stopIfTrue="1" operator="greaterThan">
      <formula>0.03</formula>
    </cfRule>
    <cfRule type="cellIs" dxfId="1892" priority="514" stopIfTrue="1" operator="lessThan">
      <formula>-0.03</formula>
    </cfRule>
  </conditionalFormatting>
  <conditionalFormatting sqref="AT21:AT22 AT27:AT28 AT33:AT34 AT39:AT40">
    <cfRule type="cellIs" dxfId="1891" priority="515" stopIfTrue="1" operator="greaterThan">
      <formula>0</formula>
    </cfRule>
    <cfRule type="cellIs" dxfId="1890" priority="516" operator="lessThan">
      <formula>0</formula>
    </cfRule>
  </conditionalFormatting>
  <conditionalFormatting sqref="AV17 AV23 AV29 AV35">
    <cfRule type="cellIs" dxfId="1889" priority="509" stopIfTrue="1" operator="greaterThan">
      <formula>0.03</formula>
    </cfRule>
    <cfRule type="cellIs" dxfId="1888" priority="510" stopIfTrue="1" operator="lessThan">
      <formula>-0.03</formula>
    </cfRule>
  </conditionalFormatting>
  <conditionalFormatting sqref="AV17:AV18 AV23:AV24 AV29:AV30 AV35:AV36">
    <cfRule type="cellIs" dxfId="1887" priority="511" stopIfTrue="1" operator="greaterThan">
      <formula>0</formula>
    </cfRule>
    <cfRule type="cellIs" dxfId="1886" priority="512" operator="lessThan">
      <formula>0</formula>
    </cfRule>
  </conditionalFormatting>
  <conditionalFormatting sqref="AV19 AV25 AV31 AV37">
    <cfRule type="cellIs" dxfId="1885" priority="505" stopIfTrue="1" operator="greaterThan">
      <formula>0.03</formula>
    </cfRule>
    <cfRule type="cellIs" dxfId="1884" priority="506" stopIfTrue="1" operator="lessThan">
      <formula>-0.03</formula>
    </cfRule>
  </conditionalFormatting>
  <conditionalFormatting sqref="AV19:AV20 AV25:AV26 AV31:AV32 AV37:AV38">
    <cfRule type="cellIs" dxfId="1883" priority="507" stopIfTrue="1" operator="greaterThan">
      <formula>0</formula>
    </cfRule>
    <cfRule type="cellIs" dxfId="1882" priority="508" operator="lessThan">
      <formula>0</formula>
    </cfRule>
  </conditionalFormatting>
  <conditionalFormatting sqref="AV21 AV27 AV33 AV39">
    <cfRule type="cellIs" dxfId="1881" priority="501" stopIfTrue="1" operator="greaterThan">
      <formula>0.03</formula>
    </cfRule>
    <cfRule type="cellIs" dxfId="1880" priority="502" stopIfTrue="1" operator="lessThan">
      <formula>-0.03</formula>
    </cfRule>
  </conditionalFormatting>
  <conditionalFormatting sqref="AV21:AV22 AV27:AV28 AV33:AV34 AV39:AV40">
    <cfRule type="cellIs" dxfId="1879" priority="503" stopIfTrue="1" operator="greaterThan">
      <formula>0</formula>
    </cfRule>
    <cfRule type="cellIs" dxfId="1878" priority="504" operator="lessThan">
      <formula>0</formula>
    </cfRule>
  </conditionalFormatting>
  <conditionalFormatting sqref="BA11">
    <cfRule type="cellIs" dxfId="1877" priority="333" stopIfTrue="1" operator="greaterThan">
      <formula>0.03</formula>
    </cfRule>
    <cfRule type="cellIs" dxfId="1876" priority="334" stopIfTrue="1" operator="lessThan">
      <formula>-0.03</formula>
    </cfRule>
  </conditionalFormatting>
  <conditionalFormatting sqref="BA11:BA16">
    <cfRule type="cellIs" dxfId="1875" priority="335" stopIfTrue="1" operator="greaterThan">
      <formula>0</formula>
    </cfRule>
    <cfRule type="cellIs" dxfId="1874" priority="336" stopIfTrue="1" operator="lessThan">
      <formula>0</formula>
    </cfRule>
  </conditionalFormatting>
  <conditionalFormatting sqref="AZ11">
    <cfRule type="cellIs" dxfId="1873" priority="329" stopIfTrue="1" operator="greaterThan">
      <formula>0.03</formula>
    </cfRule>
    <cfRule type="cellIs" dxfId="1872" priority="330" stopIfTrue="1" operator="lessThan">
      <formula>-0.03</formula>
    </cfRule>
  </conditionalFormatting>
  <conditionalFormatting sqref="AZ11:AZ12">
    <cfRule type="cellIs" dxfId="1871" priority="331" stopIfTrue="1" operator="greaterThan">
      <formula>0</formula>
    </cfRule>
    <cfRule type="cellIs" dxfId="1870" priority="332" operator="lessThan">
      <formula>0</formula>
    </cfRule>
  </conditionalFormatting>
  <conditionalFormatting sqref="AZ13">
    <cfRule type="cellIs" dxfId="1869" priority="325" stopIfTrue="1" operator="greaterThan">
      <formula>0.03</formula>
    </cfRule>
    <cfRule type="cellIs" dxfId="1868" priority="326" stopIfTrue="1" operator="lessThan">
      <formula>-0.03</formula>
    </cfRule>
  </conditionalFormatting>
  <conditionalFormatting sqref="AZ13:AZ14">
    <cfRule type="cellIs" dxfId="1867" priority="327" stopIfTrue="1" operator="greaterThan">
      <formula>0</formula>
    </cfRule>
    <cfRule type="cellIs" dxfId="1866" priority="328" operator="lessThan">
      <formula>0</formula>
    </cfRule>
  </conditionalFormatting>
  <conditionalFormatting sqref="AZ15">
    <cfRule type="cellIs" dxfId="1865" priority="321" stopIfTrue="1" operator="greaterThan">
      <formula>0.03</formula>
    </cfRule>
    <cfRule type="cellIs" dxfId="1864" priority="322" stopIfTrue="1" operator="lessThan">
      <formula>-0.03</formula>
    </cfRule>
  </conditionalFormatting>
  <conditionalFormatting sqref="AZ15:AZ16">
    <cfRule type="cellIs" dxfId="1863" priority="323" stopIfTrue="1" operator="greaterThan">
      <formula>0</formula>
    </cfRule>
    <cfRule type="cellIs" dxfId="1862" priority="324" operator="lessThan">
      <formula>0</formula>
    </cfRule>
  </conditionalFormatting>
  <conditionalFormatting sqref="BA5">
    <cfRule type="cellIs" dxfId="1861" priority="317" stopIfTrue="1" operator="greaterThan">
      <formula>0.03</formula>
    </cfRule>
    <cfRule type="cellIs" dxfId="1860" priority="318" stopIfTrue="1" operator="lessThan">
      <formula>-0.03</formula>
    </cfRule>
  </conditionalFormatting>
  <conditionalFormatting sqref="BA5:BA10">
    <cfRule type="cellIs" dxfId="1859" priority="319" stopIfTrue="1" operator="greaterThan">
      <formula>0</formula>
    </cfRule>
    <cfRule type="cellIs" dxfId="1858" priority="320" stopIfTrue="1" operator="lessThan">
      <formula>0</formula>
    </cfRule>
  </conditionalFormatting>
  <conditionalFormatting sqref="AZ5">
    <cfRule type="cellIs" dxfId="1857" priority="313" stopIfTrue="1" operator="greaterThan">
      <formula>0.03</formula>
    </cfRule>
    <cfRule type="cellIs" dxfId="1856" priority="314" stopIfTrue="1" operator="lessThan">
      <formula>-0.03</formula>
    </cfRule>
  </conditionalFormatting>
  <conditionalFormatting sqref="AZ5:AZ6">
    <cfRule type="cellIs" dxfId="1855" priority="315" stopIfTrue="1" operator="greaterThan">
      <formula>0</formula>
    </cfRule>
    <cfRule type="cellIs" dxfId="1854" priority="316" operator="lessThan">
      <formula>0</formula>
    </cfRule>
  </conditionalFormatting>
  <conditionalFormatting sqref="AZ7">
    <cfRule type="cellIs" dxfId="1853" priority="309" stopIfTrue="1" operator="greaterThan">
      <formula>0.03</formula>
    </cfRule>
    <cfRule type="cellIs" dxfId="1852" priority="310" stopIfTrue="1" operator="lessThan">
      <formula>-0.03</formula>
    </cfRule>
  </conditionalFormatting>
  <conditionalFormatting sqref="AZ7:AZ8">
    <cfRule type="cellIs" dxfId="1851" priority="311" stopIfTrue="1" operator="greaterThan">
      <formula>0</formula>
    </cfRule>
    <cfRule type="cellIs" dxfId="1850" priority="312" operator="lessThan">
      <formula>0</formula>
    </cfRule>
  </conditionalFormatting>
  <conditionalFormatting sqref="AZ9">
    <cfRule type="cellIs" dxfId="1849" priority="305" stopIfTrue="1" operator="greaterThan">
      <formula>0.03</formula>
    </cfRule>
    <cfRule type="cellIs" dxfId="1848" priority="306" stopIfTrue="1" operator="lessThan">
      <formula>-0.03</formula>
    </cfRule>
  </conditionalFormatting>
  <conditionalFormatting sqref="AZ9:AZ10">
    <cfRule type="cellIs" dxfId="1847" priority="307" stopIfTrue="1" operator="greaterThan">
      <formula>0</formula>
    </cfRule>
    <cfRule type="cellIs" dxfId="1846" priority="308" operator="lessThan">
      <formula>0</formula>
    </cfRule>
  </conditionalFormatting>
  <conditionalFormatting sqref="BA17">
    <cfRule type="cellIs" dxfId="1845" priority="301" stopIfTrue="1" operator="greaterThan">
      <formula>0.03</formula>
    </cfRule>
    <cfRule type="cellIs" dxfId="1844" priority="302" stopIfTrue="1" operator="lessThan">
      <formula>-0.03</formula>
    </cfRule>
  </conditionalFormatting>
  <conditionalFormatting sqref="BA17:BA22">
    <cfRule type="cellIs" dxfId="1843" priority="303" stopIfTrue="1" operator="greaterThan">
      <formula>0</formula>
    </cfRule>
    <cfRule type="cellIs" dxfId="1842" priority="304" stopIfTrue="1" operator="lessThan">
      <formula>0</formula>
    </cfRule>
  </conditionalFormatting>
  <conditionalFormatting sqref="AZ17">
    <cfRule type="cellIs" dxfId="1841" priority="297" stopIfTrue="1" operator="greaterThan">
      <formula>0.03</formula>
    </cfRule>
    <cfRule type="cellIs" dxfId="1840" priority="298" stopIfTrue="1" operator="lessThan">
      <formula>-0.03</formula>
    </cfRule>
  </conditionalFormatting>
  <conditionalFormatting sqref="AZ17:AZ18">
    <cfRule type="cellIs" dxfId="1839" priority="299" stopIfTrue="1" operator="greaterThan">
      <formula>0</formula>
    </cfRule>
    <cfRule type="cellIs" dxfId="1838" priority="300" operator="lessThan">
      <formula>0</formula>
    </cfRule>
  </conditionalFormatting>
  <conditionalFormatting sqref="AZ19">
    <cfRule type="cellIs" dxfId="1837" priority="293" stopIfTrue="1" operator="greaterThan">
      <formula>0.03</formula>
    </cfRule>
    <cfRule type="cellIs" dxfId="1836" priority="294" stopIfTrue="1" operator="lessThan">
      <formula>-0.03</formula>
    </cfRule>
  </conditionalFormatting>
  <conditionalFormatting sqref="AZ19:AZ20">
    <cfRule type="cellIs" dxfId="1835" priority="295" stopIfTrue="1" operator="greaterThan">
      <formula>0</formula>
    </cfRule>
    <cfRule type="cellIs" dxfId="1834" priority="296" operator="lessThan">
      <formula>0</formula>
    </cfRule>
  </conditionalFormatting>
  <conditionalFormatting sqref="AZ21">
    <cfRule type="cellIs" dxfId="1833" priority="289" stopIfTrue="1" operator="greaterThan">
      <formula>0.03</formula>
    </cfRule>
    <cfRule type="cellIs" dxfId="1832" priority="290" stopIfTrue="1" operator="lessThan">
      <formula>-0.03</formula>
    </cfRule>
  </conditionalFormatting>
  <conditionalFormatting sqref="AZ21:AZ22">
    <cfRule type="cellIs" dxfId="1831" priority="291" stopIfTrue="1" operator="greaterThan">
      <formula>0</formula>
    </cfRule>
    <cfRule type="cellIs" dxfId="1830" priority="292" operator="lessThan">
      <formula>0</formula>
    </cfRule>
  </conditionalFormatting>
  <conditionalFormatting sqref="BA29">
    <cfRule type="cellIs" dxfId="1829" priority="285" stopIfTrue="1" operator="greaterThan">
      <formula>0.03</formula>
    </cfRule>
    <cfRule type="cellIs" dxfId="1828" priority="286" stopIfTrue="1" operator="lessThan">
      <formula>-0.03</formula>
    </cfRule>
  </conditionalFormatting>
  <conditionalFormatting sqref="BA29:BA34">
    <cfRule type="cellIs" dxfId="1827" priority="287" stopIfTrue="1" operator="greaterThan">
      <formula>0</formula>
    </cfRule>
    <cfRule type="cellIs" dxfId="1826" priority="288" stopIfTrue="1" operator="lessThan">
      <formula>0</formula>
    </cfRule>
  </conditionalFormatting>
  <conditionalFormatting sqref="AZ29">
    <cfRule type="cellIs" dxfId="1825" priority="281" stopIfTrue="1" operator="greaterThan">
      <formula>0.03</formula>
    </cfRule>
    <cfRule type="cellIs" dxfId="1824" priority="282" stopIfTrue="1" operator="lessThan">
      <formula>-0.03</formula>
    </cfRule>
  </conditionalFormatting>
  <conditionalFormatting sqref="AZ29:AZ30">
    <cfRule type="cellIs" dxfId="1823" priority="283" stopIfTrue="1" operator="greaterThan">
      <formula>0</formula>
    </cfRule>
    <cfRule type="cellIs" dxfId="1822" priority="284" operator="lessThan">
      <formula>0</formula>
    </cfRule>
  </conditionalFormatting>
  <conditionalFormatting sqref="AZ31">
    <cfRule type="cellIs" dxfId="1821" priority="277" stopIfTrue="1" operator="greaterThan">
      <formula>0.03</formula>
    </cfRule>
    <cfRule type="cellIs" dxfId="1820" priority="278" stopIfTrue="1" operator="lessThan">
      <formula>-0.03</formula>
    </cfRule>
  </conditionalFormatting>
  <conditionalFormatting sqref="AZ31:AZ32">
    <cfRule type="cellIs" dxfId="1819" priority="279" stopIfTrue="1" operator="greaterThan">
      <formula>0</formula>
    </cfRule>
    <cfRule type="cellIs" dxfId="1818" priority="280" operator="lessThan">
      <formula>0</formula>
    </cfRule>
  </conditionalFormatting>
  <conditionalFormatting sqref="AZ33">
    <cfRule type="cellIs" dxfId="1817" priority="273" stopIfTrue="1" operator="greaterThan">
      <formula>0.03</formula>
    </cfRule>
    <cfRule type="cellIs" dxfId="1816" priority="274" stopIfTrue="1" operator="lessThan">
      <formula>-0.03</formula>
    </cfRule>
  </conditionalFormatting>
  <conditionalFormatting sqref="AZ33:AZ34">
    <cfRule type="cellIs" dxfId="1815" priority="275" stopIfTrue="1" operator="greaterThan">
      <formula>0</formula>
    </cfRule>
    <cfRule type="cellIs" dxfId="1814" priority="276" operator="lessThan">
      <formula>0</formula>
    </cfRule>
  </conditionalFormatting>
  <conditionalFormatting sqref="BA23">
    <cfRule type="cellIs" dxfId="1813" priority="269" stopIfTrue="1" operator="greaterThan">
      <formula>0.03</formula>
    </cfRule>
    <cfRule type="cellIs" dxfId="1812" priority="270" stopIfTrue="1" operator="lessThan">
      <formula>-0.03</formula>
    </cfRule>
  </conditionalFormatting>
  <conditionalFormatting sqref="BA23:BA28">
    <cfRule type="cellIs" dxfId="1811" priority="271" stopIfTrue="1" operator="greaterThan">
      <formula>0</formula>
    </cfRule>
    <cfRule type="cellIs" dxfId="1810" priority="272" stopIfTrue="1" operator="lessThan">
      <formula>0</formula>
    </cfRule>
  </conditionalFormatting>
  <conditionalFormatting sqref="AZ23">
    <cfRule type="cellIs" dxfId="1809" priority="265" stopIfTrue="1" operator="greaterThan">
      <formula>0.03</formula>
    </cfRule>
    <cfRule type="cellIs" dxfId="1808" priority="266" stopIfTrue="1" operator="lessThan">
      <formula>-0.03</formula>
    </cfRule>
  </conditionalFormatting>
  <conditionalFormatting sqref="AZ23:AZ24">
    <cfRule type="cellIs" dxfId="1807" priority="267" stopIfTrue="1" operator="greaterThan">
      <formula>0</formula>
    </cfRule>
    <cfRule type="cellIs" dxfId="1806" priority="268" operator="lessThan">
      <formula>0</formula>
    </cfRule>
  </conditionalFormatting>
  <conditionalFormatting sqref="AZ25">
    <cfRule type="cellIs" dxfId="1805" priority="261" stopIfTrue="1" operator="greaterThan">
      <formula>0.03</formula>
    </cfRule>
    <cfRule type="cellIs" dxfId="1804" priority="262" stopIfTrue="1" operator="lessThan">
      <formula>-0.03</formula>
    </cfRule>
  </conditionalFormatting>
  <conditionalFormatting sqref="AZ25:AZ26">
    <cfRule type="cellIs" dxfId="1803" priority="263" stopIfTrue="1" operator="greaterThan">
      <formula>0</formula>
    </cfRule>
    <cfRule type="cellIs" dxfId="1802" priority="264" operator="lessThan">
      <formula>0</formula>
    </cfRule>
  </conditionalFormatting>
  <conditionalFormatting sqref="AZ27">
    <cfRule type="cellIs" dxfId="1801" priority="257" stopIfTrue="1" operator="greaterThan">
      <formula>0.03</formula>
    </cfRule>
    <cfRule type="cellIs" dxfId="1800" priority="258" stopIfTrue="1" operator="lessThan">
      <formula>-0.03</formula>
    </cfRule>
  </conditionalFormatting>
  <conditionalFormatting sqref="AZ27:AZ28">
    <cfRule type="cellIs" dxfId="1799" priority="259" stopIfTrue="1" operator="greaterThan">
      <formula>0</formula>
    </cfRule>
    <cfRule type="cellIs" dxfId="1798" priority="260" operator="lessThan">
      <formula>0</formula>
    </cfRule>
  </conditionalFormatting>
  <conditionalFormatting sqref="BA35">
    <cfRule type="cellIs" dxfId="1797" priority="253" stopIfTrue="1" operator="greaterThan">
      <formula>0.03</formula>
    </cfRule>
    <cfRule type="cellIs" dxfId="1796" priority="254" stopIfTrue="1" operator="lessThan">
      <formula>-0.03</formula>
    </cfRule>
  </conditionalFormatting>
  <conditionalFormatting sqref="BA35:BA40">
    <cfRule type="cellIs" dxfId="1795" priority="255" stopIfTrue="1" operator="greaterThan">
      <formula>0</formula>
    </cfRule>
    <cfRule type="cellIs" dxfId="1794" priority="256" stopIfTrue="1" operator="lessThan">
      <formula>0</formula>
    </cfRule>
  </conditionalFormatting>
  <conditionalFormatting sqref="AZ35">
    <cfRule type="cellIs" dxfId="1793" priority="249" stopIfTrue="1" operator="greaterThan">
      <formula>0.03</formula>
    </cfRule>
    <cfRule type="cellIs" dxfId="1792" priority="250" stopIfTrue="1" operator="lessThan">
      <formula>-0.03</formula>
    </cfRule>
  </conditionalFormatting>
  <conditionalFormatting sqref="AZ35:AZ36">
    <cfRule type="cellIs" dxfId="1791" priority="251" stopIfTrue="1" operator="greaterThan">
      <formula>0</formula>
    </cfRule>
    <cfRule type="cellIs" dxfId="1790" priority="252" operator="lessThan">
      <formula>0</formula>
    </cfRule>
  </conditionalFormatting>
  <conditionalFormatting sqref="AZ37">
    <cfRule type="cellIs" dxfId="1789" priority="245" stopIfTrue="1" operator="greaterThan">
      <formula>0.03</formula>
    </cfRule>
    <cfRule type="cellIs" dxfId="1788" priority="246" stopIfTrue="1" operator="lessThan">
      <formula>-0.03</formula>
    </cfRule>
  </conditionalFormatting>
  <conditionalFormatting sqref="AZ37:AZ38">
    <cfRule type="cellIs" dxfId="1787" priority="247" stopIfTrue="1" operator="greaterThan">
      <formula>0</formula>
    </cfRule>
    <cfRule type="cellIs" dxfId="1786" priority="248" operator="lessThan">
      <formula>0</formula>
    </cfRule>
  </conditionalFormatting>
  <conditionalFormatting sqref="AZ39">
    <cfRule type="cellIs" dxfId="1785" priority="241" stopIfTrue="1" operator="greaterThan">
      <formula>0.03</formula>
    </cfRule>
    <cfRule type="cellIs" dxfId="1784" priority="242" stopIfTrue="1" operator="lessThan">
      <formula>-0.03</formula>
    </cfRule>
  </conditionalFormatting>
  <conditionalFormatting sqref="AZ39:AZ40">
    <cfRule type="cellIs" dxfId="1783" priority="243" stopIfTrue="1" operator="greaterThan">
      <formula>0</formula>
    </cfRule>
    <cfRule type="cellIs" dxfId="1782" priority="244" operator="lessThan">
      <formula>0</formula>
    </cfRule>
  </conditionalFormatting>
  <conditionalFormatting sqref="AX11">
    <cfRule type="cellIs" dxfId="1781" priority="237" stopIfTrue="1" operator="greaterThan">
      <formula>0.03</formula>
    </cfRule>
    <cfRule type="cellIs" dxfId="1780" priority="238" stopIfTrue="1" operator="lessThan">
      <formula>-0.03</formula>
    </cfRule>
  </conditionalFormatting>
  <conditionalFormatting sqref="AX11:AX12">
    <cfRule type="cellIs" dxfId="1779" priority="239" stopIfTrue="1" operator="greaterThan">
      <formula>0</formula>
    </cfRule>
    <cfRule type="cellIs" dxfId="1778" priority="240" operator="lessThan">
      <formula>0</formula>
    </cfRule>
  </conditionalFormatting>
  <conditionalFormatting sqref="AX13">
    <cfRule type="cellIs" dxfId="1777" priority="233" stopIfTrue="1" operator="greaterThan">
      <formula>0.03</formula>
    </cfRule>
    <cfRule type="cellIs" dxfId="1776" priority="234" stopIfTrue="1" operator="lessThan">
      <formula>-0.03</formula>
    </cfRule>
  </conditionalFormatting>
  <conditionalFormatting sqref="AX13:AX14">
    <cfRule type="cellIs" dxfId="1775" priority="235" stopIfTrue="1" operator="greaterThan">
      <formula>0</formula>
    </cfRule>
    <cfRule type="cellIs" dxfId="1774" priority="236" operator="lessThan">
      <formula>0</formula>
    </cfRule>
  </conditionalFormatting>
  <conditionalFormatting sqref="AX15">
    <cfRule type="cellIs" dxfId="1773" priority="229" stopIfTrue="1" operator="greaterThan">
      <formula>0.03</formula>
    </cfRule>
    <cfRule type="cellIs" dxfId="1772" priority="230" stopIfTrue="1" operator="lessThan">
      <formula>-0.03</formula>
    </cfRule>
  </conditionalFormatting>
  <conditionalFormatting sqref="AX15:AX16">
    <cfRule type="cellIs" dxfId="1771" priority="231" stopIfTrue="1" operator="greaterThan">
      <formula>0</formula>
    </cfRule>
    <cfRule type="cellIs" dxfId="1770" priority="232" operator="lessThan">
      <formula>0</formula>
    </cfRule>
  </conditionalFormatting>
  <conditionalFormatting sqref="AY17">
    <cfRule type="cellIs" dxfId="1769" priority="225" stopIfTrue="1" operator="greaterThan">
      <formula>0.03</formula>
    </cfRule>
    <cfRule type="cellIs" dxfId="1768" priority="226" stopIfTrue="1" operator="lessThan">
      <formula>-0.03</formula>
    </cfRule>
  </conditionalFormatting>
  <conditionalFormatting sqref="AY17:AY22">
    <cfRule type="cellIs" dxfId="1767" priority="227" stopIfTrue="1" operator="greaterThan">
      <formula>0</formula>
    </cfRule>
    <cfRule type="cellIs" dxfId="1766" priority="228" stopIfTrue="1" operator="lessThan">
      <formula>0</formula>
    </cfRule>
  </conditionalFormatting>
  <conditionalFormatting sqref="AX17">
    <cfRule type="cellIs" dxfId="1765" priority="221" stopIfTrue="1" operator="greaterThan">
      <formula>0.03</formula>
    </cfRule>
    <cfRule type="cellIs" dxfId="1764" priority="222" stopIfTrue="1" operator="lessThan">
      <formula>-0.03</formula>
    </cfRule>
  </conditionalFormatting>
  <conditionalFormatting sqref="AX17:AX18">
    <cfRule type="cellIs" dxfId="1763" priority="223" stopIfTrue="1" operator="greaterThan">
      <formula>0</formula>
    </cfRule>
    <cfRule type="cellIs" dxfId="1762" priority="224" operator="lessThan">
      <formula>0</formula>
    </cfRule>
  </conditionalFormatting>
  <conditionalFormatting sqref="AX19">
    <cfRule type="cellIs" dxfId="1761" priority="217" stopIfTrue="1" operator="greaterThan">
      <formula>0.03</formula>
    </cfRule>
    <cfRule type="cellIs" dxfId="1760" priority="218" stopIfTrue="1" operator="lessThan">
      <formula>-0.03</formula>
    </cfRule>
  </conditionalFormatting>
  <conditionalFormatting sqref="AX19:AX20">
    <cfRule type="cellIs" dxfId="1759" priority="219" stopIfTrue="1" operator="greaterThan">
      <formula>0</formula>
    </cfRule>
    <cfRule type="cellIs" dxfId="1758" priority="220" operator="lessThan">
      <formula>0</formula>
    </cfRule>
  </conditionalFormatting>
  <conditionalFormatting sqref="AX21">
    <cfRule type="cellIs" dxfId="1757" priority="213" stopIfTrue="1" operator="greaterThan">
      <formula>0.03</formula>
    </cfRule>
    <cfRule type="cellIs" dxfId="1756" priority="214" stopIfTrue="1" operator="lessThan">
      <formula>-0.03</formula>
    </cfRule>
  </conditionalFormatting>
  <conditionalFormatting sqref="AX21:AX22">
    <cfRule type="cellIs" dxfId="1755" priority="215" stopIfTrue="1" operator="greaterThan">
      <formula>0</formula>
    </cfRule>
    <cfRule type="cellIs" dxfId="1754" priority="216" operator="lessThan">
      <formula>0</formula>
    </cfRule>
  </conditionalFormatting>
  <conditionalFormatting sqref="AY23">
    <cfRule type="cellIs" dxfId="1753" priority="209" stopIfTrue="1" operator="greaterThan">
      <formula>0.03</formula>
    </cfRule>
    <cfRule type="cellIs" dxfId="1752" priority="210" stopIfTrue="1" operator="lessThan">
      <formula>-0.03</formula>
    </cfRule>
  </conditionalFormatting>
  <conditionalFormatting sqref="AY23:AY28">
    <cfRule type="cellIs" dxfId="1751" priority="211" stopIfTrue="1" operator="greaterThan">
      <formula>0</formula>
    </cfRule>
    <cfRule type="cellIs" dxfId="1750" priority="212" stopIfTrue="1" operator="lessThan">
      <formula>0</formula>
    </cfRule>
  </conditionalFormatting>
  <conditionalFormatting sqref="AX23">
    <cfRule type="cellIs" dxfId="1749" priority="205" stopIfTrue="1" operator="greaterThan">
      <formula>0.03</formula>
    </cfRule>
    <cfRule type="cellIs" dxfId="1748" priority="206" stopIfTrue="1" operator="lessThan">
      <formula>-0.03</formula>
    </cfRule>
  </conditionalFormatting>
  <conditionalFormatting sqref="AX23:AX24">
    <cfRule type="cellIs" dxfId="1747" priority="207" stopIfTrue="1" operator="greaterThan">
      <formula>0</formula>
    </cfRule>
    <cfRule type="cellIs" dxfId="1746" priority="208" operator="lessThan">
      <formula>0</formula>
    </cfRule>
  </conditionalFormatting>
  <conditionalFormatting sqref="AX25">
    <cfRule type="cellIs" dxfId="1745" priority="201" stopIfTrue="1" operator="greaterThan">
      <formula>0.03</formula>
    </cfRule>
    <cfRule type="cellIs" dxfId="1744" priority="202" stopIfTrue="1" operator="lessThan">
      <formula>-0.03</formula>
    </cfRule>
  </conditionalFormatting>
  <conditionalFormatting sqref="AX25:AX26">
    <cfRule type="cellIs" dxfId="1743" priority="203" stopIfTrue="1" operator="greaterThan">
      <formula>0</formula>
    </cfRule>
    <cfRule type="cellIs" dxfId="1742" priority="204" operator="lessThan">
      <formula>0</formula>
    </cfRule>
  </conditionalFormatting>
  <conditionalFormatting sqref="AX27">
    <cfRule type="cellIs" dxfId="1741" priority="197" stopIfTrue="1" operator="greaterThan">
      <formula>0.03</formula>
    </cfRule>
    <cfRule type="cellIs" dxfId="1740" priority="198" stopIfTrue="1" operator="lessThan">
      <formula>-0.03</formula>
    </cfRule>
  </conditionalFormatting>
  <conditionalFormatting sqref="AX27:AX28">
    <cfRule type="cellIs" dxfId="1739" priority="199" stopIfTrue="1" operator="greaterThan">
      <formula>0</formula>
    </cfRule>
    <cfRule type="cellIs" dxfId="1738" priority="200" operator="lessThan">
      <formula>0</formula>
    </cfRule>
  </conditionalFormatting>
  <conditionalFormatting sqref="AY29">
    <cfRule type="cellIs" dxfId="1737" priority="193" stopIfTrue="1" operator="greaterThan">
      <formula>0.03</formula>
    </cfRule>
    <cfRule type="cellIs" dxfId="1736" priority="194" stopIfTrue="1" operator="lessThan">
      <formula>-0.03</formula>
    </cfRule>
  </conditionalFormatting>
  <conditionalFormatting sqref="AY29:AY34">
    <cfRule type="cellIs" dxfId="1735" priority="195" stopIfTrue="1" operator="greaterThan">
      <formula>0</formula>
    </cfRule>
    <cfRule type="cellIs" dxfId="1734" priority="196" stopIfTrue="1" operator="lessThan">
      <formula>0</formula>
    </cfRule>
  </conditionalFormatting>
  <conditionalFormatting sqref="AX29">
    <cfRule type="cellIs" dxfId="1733" priority="189" stopIfTrue="1" operator="greaterThan">
      <formula>0.03</formula>
    </cfRule>
    <cfRule type="cellIs" dxfId="1732" priority="190" stopIfTrue="1" operator="lessThan">
      <formula>-0.03</formula>
    </cfRule>
  </conditionalFormatting>
  <conditionalFormatting sqref="AX29:AX30">
    <cfRule type="cellIs" dxfId="1731" priority="191" stopIfTrue="1" operator="greaterThan">
      <formula>0</formula>
    </cfRule>
    <cfRule type="cellIs" dxfId="1730" priority="192" operator="lessThan">
      <formula>0</formula>
    </cfRule>
  </conditionalFormatting>
  <conditionalFormatting sqref="AX31">
    <cfRule type="cellIs" dxfId="1729" priority="185" stopIfTrue="1" operator="greaterThan">
      <formula>0.03</formula>
    </cfRule>
    <cfRule type="cellIs" dxfId="1728" priority="186" stopIfTrue="1" operator="lessThan">
      <formula>-0.03</formula>
    </cfRule>
  </conditionalFormatting>
  <conditionalFormatting sqref="AX31:AX32">
    <cfRule type="cellIs" dxfId="1727" priority="187" stopIfTrue="1" operator="greaterThan">
      <formula>0</formula>
    </cfRule>
    <cfRule type="cellIs" dxfId="1726" priority="188" operator="lessThan">
      <formula>0</formula>
    </cfRule>
  </conditionalFormatting>
  <conditionalFormatting sqref="AX33">
    <cfRule type="cellIs" dxfId="1725" priority="181" stopIfTrue="1" operator="greaterThan">
      <formula>0.03</formula>
    </cfRule>
    <cfRule type="cellIs" dxfId="1724" priority="182" stopIfTrue="1" operator="lessThan">
      <formula>-0.03</formula>
    </cfRule>
  </conditionalFormatting>
  <conditionalFormatting sqref="AX33:AX34">
    <cfRule type="cellIs" dxfId="1723" priority="183" stopIfTrue="1" operator="greaterThan">
      <formula>0</formula>
    </cfRule>
    <cfRule type="cellIs" dxfId="1722" priority="184" operator="lessThan">
      <formula>0</formula>
    </cfRule>
  </conditionalFormatting>
  <conditionalFormatting sqref="AY35">
    <cfRule type="cellIs" dxfId="1721" priority="177" stopIfTrue="1" operator="greaterThan">
      <formula>0.03</formula>
    </cfRule>
    <cfRule type="cellIs" dxfId="1720" priority="178" stopIfTrue="1" operator="lessThan">
      <formula>-0.03</formula>
    </cfRule>
  </conditionalFormatting>
  <conditionalFormatting sqref="AY35:AY40">
    <cfRule type="cellIs" dxfId="1719" priority="179" stopIfTrue="1" operator="greaterThan">
      <formula>0</formula>
    </cfRule>
    <cfRule type="cellIs" dxfId="1718" priority="180" stopIfTrue="1" operator="lessThan">
      <formula>0</formula>
    </cfRule>
  </conditionalFormatting>
  <conditionalFormatting sqref="AX35">
    <cfRule type="cellIs" dxfId="1717" priority="173" stopIfTrue="1" operator="greaterThan">
      <formula>0.03</formula>
    </cfRule>
    <cfRule type="cellIs" dxfId="1716" priority="174" stopIfTrue="1" operator="lessThan">
      <formula>-0.03</formula>
    </cfRule>
  </conditionalFormatting>
  <conditionalFormatting sqref="AX35:AX36">
    <cfRule type="cellIs" dxfId="1715" priority="175" stopIfTrue="1" operator="greaterThan">
      <formula>0</formula>
    </cfRule>
    <cfRule type="cellIs" dxfId="1714" priority="176" operator="lessThan">
      <formula>0</formula>
    </cfRule>
  </conditionalFormatting>
  <conditionalFormatting sqref="AX37">
    <cfRule type="cellIs" dxfId="1713" priority="169" stopIfTrue="1" operator="greaterThan">
      <formula>0.03</formula>
    </cfRule>
    <cfRule type="cellIs" dxfId="1712" priority="170" stopIfTrue="1" operator="lessThan">
      <formula>-0.03</formula>
    </cfRule>
  </conditionalFormatting>
  <conditionalFormatting sqref="AX37:AX38">
    <cfRule type="cellIs" dxfId="1711" priority="171" stopIfTrue="1" operator="greaterThan">
      <formula>0</formula>
    </cfRule>
    <cfRule type="cellIs" dxfId="1710" priority="172" operator="lessThan">
      <formula>0</formula>
    </cfRule>
  </conditionalFormatting>
  <conditionalFormatting sqref="AX39">
    <cfRule type="cellIs" dxfId="1709" priority="165" stopIfTrue="1" operator="greaterThan">
      <formula>0.03</formula>
    </cfRule>
    <cfRule type="cellIs" dxfId="1708" priority="166" stopIfTrue="1" operator="lessThan">
      <formula>-0.03</formula>
    </cfRule>
  </conditionalFormatting>
  <conditionalFormatting sqref="AX39:AX40">
    <cfRule type="cellIs" dxfId="1707" priority="167" stopIfTrue="1" operator="greaterThan">
      <formula>0</formula>
    </cfRule>
    <cfRule type="cellIs" dxfId="1706" priority="168" operator="lessThan">
      <formula>0</formula>
    </cfRule>
  </conditionalFormatting>
  <conditionalFormatting sqref="B47">
    <cfRule type="cellIs" dxfId="1705" priority="157" stopIfTrue="1" operator="greaterThan">
      <formula>0.03</formula>
    </cfRule>
    <cfRule type="cellIs" dxfId="1704" priority="158" stopIfTrue="1" operator="lessThan">
      <formula>-0.03</formula>
    </cfRule>
  </conditionalFormatting>
  <conditionalFormatting sqref="C47">
    <cfRule type="cellIs" dxfId="1703" priority="159" stopIfTrue="1" operator="greaterThan">
      <formula>0.03</formula>
    </cfRule>
    <cfRule type="cellIs" dxfId="1702" priority="160" stopIfTrue="1" operator="lessThan">
      <formula>-0.03</formula>
    </cfRule>
  </conditionalFormatting>
  <conditionalFormatting sqref="C47:C52">
    <cfRule type="cellIs" dxfId="1701" priority="161" stopIfTrue="1" operator="greaterThan">
      <formula>0</formula>
    </cfRule>
    <cfRule type="cellIs" dxfId="1700" priority="162" stopIfTrue="1" operator="lessThan">
      <formula>0</formula>
    </cfRule>
  </conditionalFormatting>
  <conditionalFormatting sqref="B47:B48">
    <cfRule type="cellIs" dxfId="1699" priority="163" stopIfTrue="1" operator="greaterThan">
      <formula>0</formula>
    </cfRule>
    <cfRule type="cellIs" dxfId="1698" priority="164" operator="lessThan">
      <formula>0</formula>
    </cfRule>
  </conditionalFormatting>
  <conditionalFormatting sqref="B49">
    <cfRule type="cellIs" dxfId="1697" priority="153" stopIfTrue="1" operator="greaterThan">
      <formula>0.03</formula>
    </cfRule>
    <cfRule type="cellIs" dxfId="1696" priority="154" stopIfTrue="1" operator="lessThan">
      <formula>-0.03</formula>
    </cfRule>
  </conditionalFormatting>
  <conditionalFormatting sqref="B49:B50">
    <cfRule type="cellIs" dxfId="1695" priority="155" stopIfTrue="1" operator="greaterThan">
      <formula>0</formula>
    </cfRule>
    <cfRule type="cellIs" dxfId="1694" priority="156" operator="lessThan">
      <formula>0</formula>
    </cfRule>
  </conditionalFormatting>
  <conditionalFormatting sqref="B51">
    <cfRule type="cellIs" dxfId="1693" priority="149" stopIfTrue="1" operator="greaterThan">
      <formula>0.03</formula>
    </cfRule>
    <cfRule type="cellIs" dxfId="1692" priority="150" stopIfTrue="1" operator="lessThan">
      <formula>-0.03</formula>
    </cfRule>
  </conditionalFormatting>
  <conditionalFormatting sqref="B51:B52">
    <cfRule type="cellIs" dxfId="1691" priority="151" stopIfTrue="1" operator="greaterThan">
      <formula>0</formula>
    </cfRule>
    <cfRule type="cellIs" dxfId="1690" priority="152" operator="lessThan">
      <formula>0</formula>
    </cfRule>
  </conditionalFormatting>
  <conditionalFormatting sqref="D47:P47">
    <cfRule type="cellIs" dxfId="1689" priority="145" stopIfTrue="1" operator="greaterThan">
      <formula>0.03</formula>
    </cfRule>
    <cfRule type="cellIs" dxfId="1688" priority="146" stopIfTrue="1" operator="lessThan">
      <formula>-0.03</formula>
    </cfRule>
  </conditionalFormatting>
  <conditionalFormatting sqref="D47:P52">
    <cfRule type="cellIs" dxfId="1687" priority="147" stopIfTrue="1" operator="greaterThan">
      <formula>0</formula>
    </cfRule>
    <cfRule type="cellIs" dxfId="1686" priority="148" stopIfTrue="1" operator="lessThan">
      <formula>0</formula>
    </cfRule>
  </conditionalFormatting>
  <conditionalFormatting sqref="Q47">
    <cfRule type="cellIs" dxfId="1685" priority="137" stopIfTrue="1" operator="greaterThan">
      <formula>0.03</formula>
    </cfRule>
    <cfRule type="cellIs" dxfId="1684" priority="138" stopIfTrue="1" operator="lessThan">
      <formula>-0.03</formula>
    </cfRule>
  </conditionalFormatting>
  <conditionalFormatting sqref="R47">
    <cfRule type="cellIs" dxfId="1683" priority="139" stopIfTrue="1" operator="greaterThan">
      <formula>0.03</formula>
    </cfRule>
    <cfRule type="cellIs" dxfId="1682" priority="140" stopIfTrue="1" operator="lessThan">
      <formula>-0.03</formula>
    </cfRule>
  </conditionalFormatting>
  <conditionalFormatting sqref="R47:R52">
    <cfRule type="cellIs" dxfId="1681" priority="141" stopIfTrue="1" operator="greaterThan">
      <formula>0</formula>
    </cfRule>
    <cfRule type="cellIs" dxfId="1680" priority="142" stopIfTrue="1" operator="lessThan">
      <formula>0</formula>
    </cfRule>
  </conditionalFormatting>
  <conditionalFormatting sqref="Q47:Q48">
    <cfRule type="cellIs" dxfId="1679" priority="143" stopIfTrue="1" operator="greaterThan">
      <formula>0</formula>
    </cfRule>
    <cfRule type="cellIs" dxfId="1678" priority="144" operator="lessThan">
      <formula>0</formula>
    </cfRule>
  </conditionalFormatting>
  <conditionalFormatting sqref="Q49">
    <cfRule type="cellIs" dxfId="1677" priority="133" stopIfTrue="1" operator="greaterThan">
      <formula>0.03</formula>
    </cfRule>
    <cfRule type="cellIs" dxfId="1676" priority="134" stopIfTrue="1" operator="lessThan">
      <formula>-0.03</formula>
    </cfRule>
  </conditionalFormatting>
  <conditionalFormatting sqref="Q49:Q50">
    <cfRule type="cellIs" dxfId="1675" priority="135" stopIfTrue="1" operator="greaterThan">
      <formula>0</formula>
    </cfRule>
    <cfRule type="cellIs" dxfId="1674" priority="136" operator="lessThan">
      <formula>0</formula>
    </cfRule>
  </conditionalFormatting>
  <conditionalFormatting sqref="Q51">
    <cfRule type="cellIs" dxfId="1673" priority="129" stopIfTrue="1" operator="greaterThan">
      <formula>0.03</formula>
    </cfRule>
    <cfRule type="cellIs" dxfId="1672" priority="130" stopIfTrue="1" operator="lessThan">
      <formula>-0.03</formula>
    </cfRule>
  </conditionalFormatting>
  <conditionalFormatting sqref="Q51:Q52">
    <cfRule type="cellIs" dxfId="1671" priority="131" stopIfTrue="1" operator="greaterThan">
      <formula>0</formula>
    </cfRule>
    <cfRule type="cellIs" dxfId="1670" priority="132" operator="lessThan">
      <formula>0</formula>
    </cfRule>
  </conditionalFormatting>
  <conditionalFormatting sqref="S47">
    <cfRule type="cellIs" dxfId="1669" priority="121" stopIfTrue="1" operator="greaterThan">
      <formula>0.03</formula>
    </cfRule>
    <cfRule type="cellIs" dxfId="1668" priority="122" stopIfTrue="1" operator="lessThan">
      <formula>-0.03</formula>
    </cfRule>
  </conditionalFormatting>
  <conditionalFormatting sqref="T47">
    <cfRule type="cellIs" dxfId="1667" priority="123" stopIfTrue="1" operator="greaterThan">
      <formula>0.03</formula>
    </cfRule>
    <cfRule type="cellIs" dxfId="1666" priority="124" stopIfTrue="1" operator="lessThan">
      <formula>-0.03</formula>
    </cfRule>
  </conditionalFormatting>
  <conditionalFormatting sqref="T47:T52">
    <cfRule type="cellIs" dxfId="1665" priority="125" stopIfTrue="1" operator="greaterThan">
      <formula>0</formula>
    </cfRule>
    <cfRule type="cellIs" dxfId="1664" priority="126" stopIfTrue="1" operator="lessThan">
      <formula>0</formula>
    </cfRule>
  </conditionalFormatting>
  <conditionalFormatting sqref="S47:S48">
    <cfRule type="cellIs" dxfId="1663" priority="127" stopIfTrue="1" operator="greaterThan">
      <formula>0</formula>
    </cfRule>
    <cfRule type="cellIs" dxfId="1662" priority="128" operator="lessThan">
      <formula>0</formula>
    </cfRule>
  </conditionalFormatting>
  <conditionalFormatting sqref="S49">
    <cfRule type="cellIs" dxfId="1661" priority="117" stopIfTrue="1" operator="greaterThan">
      <formula>0.03</formula>
    </cfRule>
    <cfRule type="cellIs" dxfId="1660" priority="118" stopIfTrue="1" operator="lessThan">
      <formula>-0.03</formula>
    </cfRule>
  </conditionalFormatting>
  <conditionalFormatting sqref="S49:S50">
    <cfRule type="cellIs" dxfId="1659" priority="119" stopIfTrue="1" operator="greaterThan">
      <formula>0</formula>
    </cfRule>
    <cfRule type="cellIs" dxfId="1658" priority="120" operator="lessThan">
      <formula>0</formula>
    </cfRule>
  </conditionalFormatting>
  <conditionalFormatting sqref="S51">
    <cfRule type="cellIs" dxfId="1657" priority="113" stopIfTrue="1" operator="greaterThan">
      <formula>0.03</formula>
    </cfRule>
    <cfRule type="cellIs" dxfId="1656" priority="114" stopIfTrue="1" operator="lessThan">
      <formula>-0.03</formula>
    </cfRule>
  </conditionalFormatting>
  <conditionalFormatting sqref="S51:S52">
    <cfRule type="cellIs" dxfId="1655" priority="115" stopIfTrue="1" operator="greaterThan">
      <formula>0</formula>
    </cfRule>
    <cfRule type="cellIs" dxfId="1654" priority="116" operator="lessThan">
      <formula>0</formula>
    </cfRule>
  </conditionalFormatting>
  <conditionalFormatting sqref="U47">
    <cfRule type="cellIs" dxfId="1653" priority="105" stopIfTrue="1" operator="greaterThan">
      <formula>0.03</formula>
    </cfRule>
    <cfRule type="cellIs" dxfId="1652" priority="106" stopIfTrue="1" operator="lessThan">
      <formula>-0.03</formula>
    </cfRule>
  </conditionalFormatting>
  <conditionalFormatting sqref="V47">
    <cfRule type="cellIs" dxfId="1651" priority="107" stopIfTrue="1" operator="greaterThan">
      <formula>0.03</formula>
    </cfRule>
    <cfRule type="cellIs" dxfId="1650" priority="108" stopIfTrue="1" operator="lessThan">
      <formula>-0.03</formula>
    </cfRule>
  </conditionalFormatting>
  <conditionalFormatting sqref="V47:V52">
    <cfRule type="cellIs" dxfId="1649" priority="109" stopIfTrue="1" operator="greaterThan">
      <formula>0</formula>
    </cfRule>
    <cfRule type="cellIs" dxfId="1648" priority="110" stopIfTrue="1" operator="lessThan">
      <formula>0</formula>
    </cfRule>
  </conditionalFormatting>
  <conditionalFormatting sqref="U47:U48">
    <cfRule type="cellIs" dxfId="1647" priority="111" stopIfTrue="1" operator="greaterThan">
      <formula>0</formula>
    </cfRule>
    <cfRule type="cellIs" dxfId="1646" priority="112" operator="lessThan">
      <formula>0</formula>
    </cfRule>
  </conditionalFormatting>
  <conditionalFormatting sqref="U49">
    <cfRule type="cellIs" dxfId="1645" priority="101" stopIfTrue="1" operator="greaterThan">
      <formula>0.03</formula>
    </cfRule>
    <cfRule type="cellIs" dxfId="1644" priority="102" stopIfTrue="1" operator="lessThan">
      <formula>-0.03</formula>
    </cfRule>
  </conditionalFormatting>
  <conditionalFormatting sqref="U49:U50">
    <cfRule type="cellIs" dxfId="1643" priority="103" stopIfTrue="1" operator="greaterThan">
      <formula>0</formula>
    </cfRule>
    <cfRule type="cellIs" dxfId="1642" priority="104" operator="lessThan">
      <formula>0</formula>
    </cfRule>
  </conditionalFormatting>
  <conditionalFormatting sqref="U51">
    <cfRule type="cellIs" dxfId="1641" priority="97" stopIfTrue="1" operator="greaterThan">
      <formula>0.03</formula>
    </cfRule>
    <cfRule type="cellIs" dxfId="1640" priority="98" stopIfTrue="1" operator="lessThan">
      <formula>-0.03</formula>
    </cfRule>
  </conditionalFormatting>
  <conditionalFormatting sqref="U51:U52">
    <cfRule type="cellIs" dxfId="1639" priority="99" stopIfTrue="1" operator="greaterThan">
      <formula>0</formula>
    </cfRule>
    <cfRule type="cellIs" dxfId="1638" priority="100" operator="lessThan">
      <formula>0</formula>
    </cfRule>
  </conditionalFormatting>
  <conditionalFormatting sqref="W47">
    <cfRule type="cellIs" dxfId="1637" priority="89" stopIfTrue="1" operator="greaterThan">
      <formula>0.03</formula>
    </cfRule>
    <cfRule type="cellIs" dxfId="1636" priority="90" stopIfTrue="1" operator="lessThan">
      <formula>-0.03</formula>
    </cfRule>
  </conditionalFormatting>
  <conditionalFormatting sqref="X47">
    <cfRule type="cellIs" dxfId="1635" priority="91" stopIfTrue="1" operator="greaterThan">
      <formula>0.03</formula>
    </cfRule>
    <cfRule type="cellIs" dxfId="1634" priority="92" stopIfTrue="1" operator="lessThan">
      <formula>-0.03</formula>
    </cfRule>
  </conditionalFormatting>
  <conditionalFormatting sqref="X47:X52">
    <cfRule type="cellIs" dxfId="1633" priority="93" stopIfTrue="1" operator="greaterThan">
      <formula>0</formula>
    </cfRule>
    <cfRule type="cellIs" dxfId="1632" priority="94" stopIfTrue="1" operator="lessThan">
      <formula>0</formula>
    </cfRule>
  </conditionalFormatting>
  <conditionalFormatting sqref="W47:W48">
    <cfRule type="cellIs" dxfId="1631" priority="95" stopIfTrue="1" operator="greaterThan">
      <formula>0</formula>
    </cfRule>
    <cfRule type="cellIs" dxfId="1630" priority="96" operator="lessThan">
      <formula>0</formula>
    </cfRule>
  </conditionalFormatting>
  <conditionalFormatting sqref="W49">
    <cfRule type="cellIs" dxfId="1629" priority="85" stopIfTrue="1" operator="greaterThan">
      <formula>0.03</formula>
    </cfRule>
    <cfRule type="cellIs" dxfId="1628" priority="86" stopIfTrue="1" operator="lessThan">
      <formula>-0.03</formula>
    </cfRule>
  </conditionalFormatting>
  <conditionalFormatting sqref="W49:W50">
    <cfRule type="cellIs" dxfId="1627" priority="87" stopIfTrue="1" operator="greaterThan">
      <formula>0</formula>
    </cfRule>
    <cfRule type="cellIs" dxfId="1626" priority="88" operator="lessThan">
      <formula>0</formula>
    </cfRule>
  </conditionalFormatting>
  <conditionalFormatting sqref="W51">
    <cfRule type="cellIs" dxfId="1625" priority="81" stopIfTrue="1" operator="greaterThan">
      <formula>0.03</formula>
    </cfRule>
    <cfRule type="cellIs" dxfId="1624" priority="82" stopIfTrue="1" operator="lessThan">
      <formula>-0.03</formula>
    </cfRule>
  </conditionalFormatting>
  <conditionalFormatting sqref="W51:W52">
    <cfRule type="cellIs" dxfId="1623" priority="83" stopIfTrue="1" operator="greaterThan">
      <formula>0</formula>
    </cfRule>
    <cfRule type="cellIs" dxfId="1622" priority="84" operator="lessThan">
      <formula>0</formula>
    </cfRule>
  </conditionalFormatting>
  <conditionalFormatting sqref="Y47">
    <cfRule type="cellIs" dxfId="1621" priority="73" stopIfTrue="1" operator="greaterThan">
      <formula>0.03</formula>
    </cfRule>
    <cfRule type="cellIs" dxfId="1620" priority="74" stopIfTrue="1" operator="lessThan">
      <formula>-0.03</formula>
    </cfRule>
  </conditionalFormatting>
  <conditionalFormatting sqref="Z47">
    <cfRule type="cellIs" dxfId="1619" priority="75" stopIfTrue="1" operator="greaterThan">
      <formula>0.03</formula>
    </cfRule>
    <cfRule type="cellIs" dxfId="1618" priority="76" stopIfTrue="1" operator="lessThan">
      <formula>-0.03</formula>
    </cfRule>
  </conditionalFormatting>
  <conditionalFormatting sqref="Z47:Z52">
    <cfRule type="cellIs" dxfId="1617" priority="77" stopIfTrue="1" operator="greaterThan">
      <formula>0</formula>
    </cfRule>
    <cfRule type="cellIs" dxfId="1616" priority="78" stopIfTrue="1" operator="lessThan">
      <formula>0</formula>
    </cfRule>
  </conditionalFormatting>
  <conditionalFormatting sqref="Y47:Y48">
    <cfRule type="cellIs" dxfId="1615" priority="79" stopIfTrue="1" operator="greaterThan">
      <formula>0</formula>
    </cfRule>
    <cfRule type="cellIs" dxfId="1614" priority="80" operator="lessThan">
      <formula>0</formula>
    </cfRule>
  </conditionalFormatting>
  <conditionalFormatting sqref="Y49">
    <cfRule type="cellIs" dxfId="1613" priority="69" stopIfTrue="1" operator="greaterThan">
      <formula>0.03</formula>
    </cfRule>
    <cfRule type="cellIs" dxfId="1612" priority="70" stopIfTrue="1" operator="lessThan">
      <formula>-0.03</formula>
    </cfRule>
  </conditionalFormatting>
  <conditionalFormatting sqref="Y49:Y50">
    <cfRule type="cellIs" dxfId="1611" priority="71" stopIfTrue="1" operator="greaterThan">
      <formula>0</formula>
    </cfRule>
    <cfRule type="cellIs" dxfId="1610" priority="72" operator="lessThan">
      <formula>0</formula>
    </cfRule>
  </conditionalFormatting>
  <conditionalFormatting sqref="Y51">
    <cfRule type="cellIs" dxfId="1609" priority="65" stopIfTrue="1" operator="greaterThan">
      <formula>0.03</formula>
    </cfRule>
    <cfRule type="cellIs" dxfId="1608" priority="66" stopIfTrue="1" operator="lessThan">
      <formula>-0.03</formula>
    </cfRule>
  </conditionalFormatting>
  <conditionalFormatting sqref="Y51:Y52">
    <cfRule type="cellIs" dxfId="1607" priority="67" stopIfTrue="1" operator="greaterThan">
      <formula>0</formula>
    </cfRule>
    <cfRule type="cellIs" dxfId="1606" priority="68" operator="lessThan">
      <formula>0</formula>
    </cfRule>
  </conditionalFormatting>
  <conditionalFormatting sqref="AA47">
    <cfRule type="cellIs" dxfId="1605" priority="57" stopIfTrue="1" operator="greaterThan">
      <formula>0.03</formula>
    </cfRule>
    <cfRule type="cellIs" dxfId="1604" priority="58" stopIfTrue="1" operator="lessThan">
      <formula>-0.03</formula>
    </cfRule>
  </conditionalFormatting>
  <conditionalFormatting sqref="AB47">
    <cfRule type="cellIs" dxfId="1603" priority="59" stopIfTrue="1" operator="greaterThan">
      <formula>0.03</formula>
    </cfRule>
    <cfRule type="cellIs" dxfId="1602" priority="60" stopIfTrue="1" operator="lessThan">
      <formula>-0.03</formula>
    </cfRule>
  </conditionalFormatting>
  <conditionalFormatting sqref="AB47:AB52">
    <cfRule type="cellIs" dxfId="1601" priority="61" stopIfTrue="1" operator="greaterThan">
      <formula>0</formula>
    </cfRule>
    <cfRule type="cellIs" dxfId="1600" priority="62" stopIfTrue="1" operator="lessThan">
      <formula>0</formula>
    </cfRule>
  </conditionalFormatting>
  <conditionalFormatting sqref="AA47:AA48">
    <cfRule type="cellIs" dxfId="1599" priority="63" stopIfTrue="1" operator="greaterThan">
      <formula>0</formula>
    </cfRule>
    <cfRule type="cellIs" dxfId="1598" priority="64" operator="lessThan">
      <formula>0</formula>
    </cfRule>
  </conditionalFormatting>
  <conditionalFormatting sqref="AA49">
    <cfRule type="cellIs" dxfId="1597" priority="53" stopIfTrue="1" operator="greaterThan">
      <formula>0.03</formula>
    </cfRule>
    <cfRule type="cellIs" dxfId="1596" priority="54" stopIfTrue="1" operator="lessThan">
      <formula>-0.03</formula>
    </cfRule>
  </conditionalFormatting>
  <conditionalFormatting sqref="AA49:AA50">
    <cfRule type="cellIs" dxfId="1595" priority="55" stopIfTrue="1" operator="greaterThan">
      <formula>0</formula>
    </cfRule>
    <cfRule type="cellIs" dxfId="1594" priority="56" operator="lessThan">
      <formula>0</formula>
    </cfRule>
  </conditionalFormatting>
  <conditionalFormatting sqref="AA51">
    <cfRule type="cellIs" dxfId="1593" priority="49" stopIfTrue="1" operator="greaterThan">
      <formula>0.03</formula>
    </cfRule>
    <cfRule type="cellIs" dxfId="1592" priority="50" stopIfTrue="1" operator="lessThan">
      <formula>-0.03</formula>
    </cfRule>
  </conditionalFormatting>
  <conditionalFormatting sqref="AA51:AA52">
    <cfRule type="cellIs" dxfId="1591" priority="51" stopIfTrue="1" operator="greaterThan">
      <formula>0</formula>
    </cfRule>
    <cfRule type="cellIs" dxfId="1590" priority="52" operator="lessThan">
      <formula>0</formula>
    </cfRule>
  </conditionalFormatting>
  <conditionalFormatting sqref="AC47">
    <cfRule type="cellIs" dxfId="1589" priority="45" stopIfTrue="1" operator="greaterThan">
      <formula>0.03</formula>
    </cfRule>
    <cfRule type="cellIs" dxfId="1588" priority="46" stopIfTrue="1" operator="lessThan">
      <formula>-0.03</formula>
    </cfRule>
  </conditionalFormatting>
  <conditionalFormatting sqref="AC47:AC48">
    <cfRule type="cellIs" dxfId="1587" priority="47" stopIfTrue="1" operator="greaterThan">
      <formula>0</formula>
    </cfRule>
    <cfRule type="cellIs" dxfId="1586" priority="48" operator="lessThan">
      <formula>0</formula>
    </cfRule>
  </conditionalFormatting>
  <conditionalFormatting sqref="AC49">
    <cfRule type="cellIs" dxfId="1585" priority="41" stopIfTrue="1" operator="greaterThan">
      <formula>0.03</formula>
    </cfRule>
    <cfRule type="cellIs" dxfId="1584" priority="42" stopIfTrue="1" operator="lessThan">
      <formula>-0.03</formula>
    </cfRule>
  </conditionalFormatting>
  <conditionalFormatting sqref="AC49:AC50">
    <cfRule type="cellIs" dxfId="1583" priority="43" stopIfTrue="1" operator="greaterThan">
      <formula>0</formula>
    </cfRule>
    <cfRule type="cellIs" dxfId="1582" priority="44" operator="lessThan">
      <formula>0</formula>
    </cfRule>
  </conditionalFormatting>
  <conditionalFormatting sqref="AC51">
    <cfRule type="cellIs" dxfId="1581" priority="37" stopIfTrue="1" operator="greaterThan">
      <formula>0.03</formula>
    </cfRule>
    <cfRule type="cellIs" dxfId="1580" priority="38" stopIfTrue="1" operator="lessThan">
      <formula>-0.03</formula>
    </cfRule>
  </conditionalFormatting>
  <conditionalFormatting sqref="AC51:AC52">
    <cfRule type="cellIs" dxfId="1579" priority="39" stopIfTrue="1" operator="greaterThan">
      <formula>0</formula>
    </cfRule>
    <cfRule type="cellIs" dxfId="1578" priority="40" operator="lessThan">
      <formula>0</formula>
    </cfRule>
  </conditionalFormatting>
  <conditionalFormatting sqref="AI47">
    <cfRule type="cellIs" dxfId="1577" priority="29" stopIfTrue="1" operator="greaterThan">
      <formula>0.03</formula>
    </cfRule>
    <cfRule type="cellIs" dxfId="1576" priority="30" stopIfTrue="1" operator="lessThan">
      <formula>-0.03</formula>
    </cfRule>
  </conditionalFormatting>
  <conditionalFormatting sqref="AJ47">
    <cfRule type="cellIs" dxfId="1575" priority="31" stopIfTrue="1" operator="greaterThan">
      <formula>0.03</formula>
    </cfRule>
    <cfRule type="cellIs" dxfId="1574" priority="32" stopIfTrue="1" operator="lessThan">
      <formula>-0.03</formula>
    </cfRule>
  </conditionalFormatting>
  <conditionalFormatting sqref="AJ47:AJ52">
    <cfRule type="cellIs" dxfId="1573" priority="33" stopIfTrue="1" operator="greaterThan">
      <formula>0</formula>
    </cfRule>
    <cfRule type="cellIs" dxfId="1572" priority="34" stopIfTrue="1" operator="lessThan">
      <formula>0</formula>
    </cfRule>
  </conditionalFormatting>
  <conditionalFormatting sqref="AI47:AI48">
    <cfRule type="cellIs" dxfId="1571" priority="35" stopIfTrue="1" operator="greaterThan">
      <formula>0</formula>
    </cfRule>
    <cfRule type="cellIs" dxfId="1570" priority="36" operator="lessThan">
      <formula>0</formula>
    </cfRule>
  </conditionalFormatting>
  <conditionalFormatting sqref="AI49">
    <cfRule type="cellIs" dxfId="1569" priority="25" stopIfTrue="1" operator="greaterThan">
      <formula>0.03</formula>
    </cfRule>
    <cfRule type="cellIs" dxfId="1568" priority="26" stopIfTrue="1" operator="lessThan">
      <formula>-0.03</formula>
    </cfRule>
  </conditionalFormatting>
  <conditionalFormatting sqref="AI49:AI50">
    <cfRule type="cellIs" dxfId="1567" priority="27" stopIfTrue="1" operator="greaterThan">
      <formula>0</formula>
    </cfRule>
    <cfRule type="cellIs" dxfId="1566" priority="28" operator="lessThan">
      <formula>0</formula>
    </cfRule>
  </conditionalFormatting>
  <conditionalFormatting sqref="AI51">
    <cfRule type="cellIs" dxfId="1565" priority="21" stopIfTrue="1" operator="greaterThan">
      <formula>0.03</formula>
    </cfRule>
    <cfRule type="cellIs" dxfId="1564" priority="22" stopIfTrue="1" operator="lessThan">
      <formula>-0.03</formula>
    </cfRule>
  </conditionalFormatting>
  <conditionalFormatting sqref="AI51:AI52">
    <cfRule type="cellIs" dxfId="1563" priority="23" stopIfTrue="1" operator="greaterThan">
      <formula>0</formula>
    </cfRule>
    <cfRule type="cellIs" dxfId="1562" priority="24" operator="lessThan">
      <formula>0</formula>
    </cfRule>
  </conditionalFormatting>
  <conditionalFormatting sqref="AK47">
    <cfRule type="cellIs" dxfId="1561" priority="13" stopIfTrue="1" operator="greaterThan">
      <formula>0.03</formula>
    </cfRule>
    <cfRule type="cellIs" dxfId="1560" priority="14" stopIfTrue="1" operator="lessThan">
      <formula>-0.03</formula>
    </cfRule>
  </conditionalFormatting>
  <conditionalFormatting sqref="AL47">
    <cfRule type="cellIs" dxfId="1559" priority="15" stopIfTrue="1" operator="greaterThan">
      <formula>0.03</formula>
    </cfRule>
    <cfRule type="cellIs" dxfId="1558" priority="16" stopIfTrue="1" operator="lessThan">
      <formula>-0.03</formula>
    </cfRule>
  </conditionalFormatting>
  <conditionalFormatting sqref="AL47:AL52">
    <cfRule type="cellIs" dxfId="1557" priority="17" stopIfTrue="1" operator="greaterThan">
      <formula>0</formula>
    </cfRule>
    <cfRule type="cellIs" dxfId="1556" priority="18" stopIfTrue="1" operator="lessThan">
      <formula>0</formula>
    </cfRule>
  </conditionalFormatting>
  <conditionalFormatting sqref="AK47:AK48">
    <cfRule type="cellIs" dxfId="1555" priority="19" stopIfTrue="1" operator="greaterThan">
      <formula>0</formula>
    </cfRule>
    <cfRule type="cellIs" dxfId="1554" priority="20" operator="lessThan">
      <formula>0</formula>
    </cfRule>
  </conditionalFormatting>
  <conditionalFormatting sqref="AK49">
    <cfRule type="cellIs" dxfId="1553" priority="9" stopIfTrue="1" operator="greaterThan">
      <formula>0.03</formula>
    </cfRule>
    <cfRule type="cellIs" dxfId="1552" priority="10" stopIfTrue="1" operator="lessThan">
      <formula>-0.03</formula>
    </cfRule>
  </conditionalFormatting>
  <conditionalFormatting sqref="AK49:AK50">
    <cfRule type="cellIs" dxfId="1551" priority="11" stopIfTrue="1" operator="greaterThan">
      <formula>0</formula>
    </cfRule>
    <cfRule type="cellIs" dxfId="1550" priority="12" operator="lessThan">
      <formula>0</formula>
    </cfRule>
  </conditionalFormatting>
  <conditionalFormatting sqref="AK51">
    <cfRule type="cellIs" dxfId="1549" priority="5" stopIfTrue="1" operator="greaterThan">
      <formula>0.03</formula>
    </cfRule>
    <cfRule type="cellIs" dxfId="1548" priority="6" stopIfTrue="1" operator="lessThan">
      <formula>-0.03</formula>
    </cfRule>
  </conditionalFormatting>
  <conditionalFormatting sqref="AK51:AK52">
    <cfRule type="cellIs" dxfId="1547" priority="7" stopIfTrue="1" operator="greaterThan">
      <formula>0</formula>
    </cfRule>
    <cfRule type="cellIs" dxfId="1546" priority="8" operator="lessThan">
      <formula>0</formula>
    </cfRule>
  </conditionalFormatting>
  <conditionalFormatting sqref="AD47:AH47">
    <cfRule type="cellIs" dxfId="1545" priority="1" stopIfTrue="1" operator="greaterThan">
      <formula>0.03</formula>
    </cfRule>
    <cfRule type="cellIs" dxfId="1544" priority="2" stopIfTrue="1" operator="lessThan">
      <formula>-0.03</formula>
    </cfRule>
  </conditionalFormatting>
  <conditionalFormatting sqref="AD47:AH52">
    <cfRule type="cellIs" dxfId="1543" priority="3" stopIfTrue="1" operator="greaterThan">
      <formula>0</formula>
    </cfRule>
    <cfRule type="cellIs" dxfId="1542" priority="4" stopIfTrue="1" operator="lessThan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31C4D9-BF65-D145-8E65-481B0BDD6BC6}">
  <sheetPr codeName="Sheet26"/>
  <dimension ref="A1:FS180"/>
  <sheetViews>
    <sheetView zoomScale="110" zoomScaleNormal="110" workbookViewId="0">
      <selection activeCell="B5" sqref="B5:B40"/>
    </sheetView>
  </sheetViews>
  <sheetFormatPr baseColWidth="10" defaultColWidth="10.83203125" defaultRowHeight="13" outlineLevelCol="1" x14ac:dyDescent="0.15"/>
  <cols>
    <col min="1" max="2" width="10.83203125" style="1"/>
    <col min="3" max="6" width="12.6640625" style="1" bestFit="1" customWidth="1"/>
    <col min="7" max="7" width="12.1640625" style="1" customWidth="1"/>
    <col min="8" max="8" width="12.6640625" style="1" bestFit="1" customWidth="1"/>
    <col min="9" max="9" width="12.1640625" style="1" customWidth="1"/>
    <col min="10" max="11" width="12.1640625" style="1" bestFit="1" customWidth="1"/>
    <col min="12" max="17" width="11.6640625" style="1" customWidth="1"/>
    <col min="18" max="19" width="12.6640625" style="1" bestFit="1" customWidth="1"/>
    <col min="20" max="20" width="13" style="1" customWidth="1"/>
    <col min="21" max="21" width="14.6640625" style="1" bestFit="1" customWidth="1"/>
    <col min="22" max="24" width="12.6640625" style="1" bestFit="1" customWidth="1"/>
    <col min="25" max="25" width="12.1640625" style="1" customWidth="1"/>
    <col min="26" max="26" width="12.6640625" style="1" bestFit="1" customWidth="1"/>
    <col min="27" max="27" width="12.1640625" style="1" customWidth="1"/>
    <col min="28" max="29" width="12.1640625" style="1" bestFit="1" customWidth="1"/>
    <col min="30" max="35" width="11.6640625" style="1" customWidth="1"/>
    <col min="36" max="36" width="14.6640625" style="1" bestFit="1" customWidth="1"/>
    <col min="37" max="37" width="12.6640625" style="1" bestFit="1" customWidth="1"/>
    <col min="38" max="39" width="12.1640625" style="1" customWidth="1"/>
    <col min="40" max="40" width="1" style="1" customWidth="1"/>
    <col min="41" max="47" width="10.83203125" style="4" outlineLevel="1"/>
    <col min="48" max="51" width="12.1640625" style="4" customWidth="1" outlineLevel="1"/>
    <col min="52" max="69" width="10.83203125" style="4" outlineLevel="1"/>
    <col min="70" max="72" width="12.1640625" style="4" customWidth="1" outlineLevel="1"/>
    <col min="73" max="73" width="8.1640625" style="4" customWidth="1" outlineLevel="1"/>
    <col min="74" max="74" width="12.1640625" style="4" customWidth="1" outlineLevel="1"/>
    <col min="75" max="75" width="8.1640625" style="4" customWidth="1" outlineLevel="1"/>
    <col min="76" max="76" width="12.1640625" style="4" customWidth="1" outlineLevel="1"/>
    <col min="77" max="77" width="8.1640625" style="4" customWidth="1" outlineLevel="1"/>
    <col min="78" max="78" width="12.1640625" style="4" customWidth="1" outlineLevel="1"/>
    <col min="79" max="79" width="8.1640625" style="4" customWidth="1" outlineLevel="1"/>
    <col min="80" max="80" width="12.1640625" style="4" customWidth="1" outlineLevel="1"/>
    <col min="81" max="81" width="8.1640625" style="4" customWidth="1" outlineLevel="1"/>
    <col min="82" max="82" width="12.1640625" style="4" customWidth="1" outlineLevel="1"/>
    <col min="83" max="86" width="8.1640625" style="4" customWidth="1" outlineLevel="1"/>
    <col min="87" max="87" width="12" style="10" customWidth="1" outlineLevel="1"/>
    <col min="88" max="88" width="8.1640625" style="10" customWidth="1" outlineLevel="1"/>
    <col min="89" max="89" width="8.1640625" style="4" customWidth="1" outlineLevel="1"/>
    <col min="90" max="107" width="10.83203125" style="4" outlineLevel="1"/>
    <col min="108" max="108" width="1" style="4" customWidth="1" outlineLevel="1"/>
    <col min="109" max="109" width="10.83203125" style="4" outlineLevel="1"/>
    <col min="110" max="110" width="12.1640625" style="4" customWidth="1" outlineLevel="1"/>
    <col min="111" max="111" width="0.83203125" style="4" customWidth="1" outlineLevel="1"/>
    <col min="112" max="112" width="10.83203125" style="4" outlineLevel="1"/>
    <col min="113" max="113" width="12.1640625" style="4" customWidth="1" outlineLevel="1"/>
    <col min="114" max="114" width="0.83203125" style="4" customWidth="1"/>
    <col min="115" max="128" width="12.1640625" style="4" customWidth="1"/>
    <col min="129" max="129" width="1.33203125" style="1" customWidth="1"/>
    <col min="130" max="148" width="10.83203125" style="4"/>
    <col min="149" max="151" width="12.1640625" style="4" customWidth="1"/>
    <col min="152" max="159" width="12.1640625" style="8" customWidth="1"/>
    <col min="160" max="171" width="12.1640625" style="4" customWidth="1"/>
    <col min="172" max="172" width="10.83203125" style="4"/>
    <col min="173" max="173" width="12.1640625" style="4" customWidth="1"/>
    <col min="174" max="174" width="10.83203125" style="4"/>
    <col min="175" max="175" width="12.1640625" style="4" customWidth="1"/>
    <col min="176" max="16384" width="10.83203125" style="1"/>
  </cols>
  <sheetData>
    <row r="1" spans="1:175" x14ac:dyDescent="0.15">
      <c r="C1" s="276" t="s">
        <v>10</v>
      </c>
      <c r="D1" s="276"/>
      <c r="E1" s="276"/>
      <c r="F1" s="276"/>
      <c r="G1" s="276"/>
      <c r="H1" s="276"/>
      <c r="I1" s="276"/>
      <c r="J1" s="276"/>
      <c r="K1" s="276"/>
      <c r="L1" s="276"/>
      <c r="M1" s="276"/>
      <c r="N1" s="276"/>
      <c r="O1" s="276"/>
      <c r="P1" s="276"/>
      <c r="Q1" s="276"/>
      <c r="R1" s="276"/>
      <c r="S1" s="276"/>
      <c r="T1" s="2"/>
      <c r="U1" s="276" t="s">
        <v>11</v>
      </c>
      <c r="V1" s="276"/>
      <c r="W1" s="276"/>
      <c r="X1" s="276"/>
      <c r="Y1" s="276"/>
      <c r="Z1" s="276"/>
      <c r="AA1" s="276"/>
      <c r="AB1" s="276"/>
      <c r="AC1" s="276"/>
      <c r="AD1" s="276"/>
      <c r="AE1" s="276"/>
      <c r="AF1" s="276"/>
      <c r="AG1" s="276"/>
      <c r="AH1" s="276"/>
      <c r="AI1" s="276"/>
      <c r="AJ1" s="276"/>
      <c r="AK1" s="276"/>
      <c r="AL1" s="12"/>
      <c r="AM1" s="12"/>
      <c r="AN1" s="2"/>
      <c r="AO1" s="279" t="s">
        <v>21</v>
      </c>
      <c r="AP1" s="280"/>
      <c r="AQ1" s="280"/>
      <c r="AR1" s="280"/>
      <c r="AS1" s="280"/>
      <c r="AT1" s="280"/>
      <c r="AU1" s="280"/>
      <c r="AV1" s="280"/>
      <c r="AW1" s="280"/>
      <c r="AX1" s="280"/>
      <c r="AY1" s="280"/>
      <c r="CH1" s="19"/>
      <c r="CK1" s="18"/>
      <c r="CL1" s="272" t="s">
        <v>12</v>
      </c>
      <c r="CM1" s="272"/>
      <c r="CN1" s="272"/>
      <c r="CO1" s="272"/>
      <c r="CP1" s="272"/>
      <c r="CQ1" s="272"/>
      <c r="CR1" s="272"/>
      <c r="CS1" s="272"/>
      <c r="CT1" s="272"/>
      <c r="CU1" s="272"/>
      <c r="CV1" s="272"/>
      <c r="CW1" s="272"/>
      <c r="CX1" s="272"/>
      <c r="CY1" s="272"/>
      <c r="CZ1" s="272"/>
      <c r="DA1" s="272"/>
      <c r="DB1" s="272"/>
      <c r="DC1" s="272"/>
      <c r="DD1" s="272"/>
      <c r="DE1" s="272"/>
      <c r="DF1" s="272"/>
      <c r="DG1" s="272"/>
      <c r="DH1" s="272"/>
      <c r="DI1" s="272"/>
      <c r="DJ1" s="272"/>
      <c r="DK1" s="272"/>
      <c r="DL1" s="272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2"/>
      <c r="DZ1" s="272" t="s">
        <v>48</v>
      </c>
      <c r="EA1" s="272"/>
      <c r="EB1" s="272"/>
      <c r="EC1" s="272"/>
      <c r="ED1" s="272"/>
      <c r="EE1" s="272"/>
      <c r="EF1" s="272"/>
      <c r="EG1" s="272"/>
      <c r="EH1" s="272"/>
      <c r="EI1" s="272"/>
      <c r="EJ1" s="272"/>
      <c r="EK1" s="272"/>
      <c r="EL1" s="272"/>
      <c r="EM1" s="272"/>
      <c r="EN1" s="272"/>
      <c r="EO1" s="272"/>
      <c r="EP1" s="272"/>
      <c r="EQ1" s="272"/>
      <c r="ER1" s="272"/>
      <c r="ES1" s="272"/>
      <c r="ET1" s="272"/>
      <c r="EU1" s="272"/>
      <c r="EV1" s="272"/>
      <c r="EW1" s="272"/>
      <c r="EX1" s="1"/>
      <c r="EY1" s="1"/>
      <c r="EZ1" s="1"/>
      <c r="FA1" s="1"/>
      <c r="FB1" s="1"/>
      <c r="FC1" s="1"/>
      <c r="FD1" s="3"/>
      <c r="FE1" s="3"/>
      <c r="FF1" s="3"/>
      <c r="FG1" s="3"/>
      <c r="FH1" s="3"/>
      <c r="FI1" s="15"/>
      <c r="FK1" s="16"/>
      <c r="FL1" s="3"/>
      <c r="FM1" s="3"/>
      <c r="FN1" s="15"/>
      <c r="FP1" s="1"/>
      <c r="FQ1" s="1"/>
      <c r="FR1" s="1"/>
      <c r="FS1" s="1"/>
    </row>
    <row r="2" spans="1:175" x14ac:dyDescent="0.15">
      <c r="C2" s="276"/>
      <c r="D2" s="276"/>
      <c r="E2" s="276"/>
      <c r="F2" s="276"/>
      <c r="G2" s="276"/>
      <c r="H2" s="276"/>
      <c r="I2" s="276"/>
      <c r="J2" s="276"/>
      <c r="K2" s="276"/>
      <c r="L2" s="276"/>
      <c r="M2" s="276"/>
      <c r="N2" s="276"/>
      <c r="O2" s="276"/>
      <c r="P2" s="276"/>
      <c r="Q2" s="276"/>
      <c r="R2" s="276"/>
      <c r="S2" s="276"/>
      <c r="T2" s="2"/>
      <c r="U2" s="276"/>
      <c r="V2" s="276"/>
      <c r="W2" s="276"/>
      <c r="X2" s="276"/>
      <c r="Y2" s="276"/>
      <c r="Z2" s="276"/>
      <c r="AA2" s="276"/>
      <c r="AB2" s="276"/>
      <c r="AC2" s="276"/>
      <c r="AD2" s="276"/>
      <c r="AE2" s="276"/>
      <c r="AF2" s="276"/>
      <c r="AG2" s="276"/>
      <c r="AH2" s="276"/>
      <c r="AI2" s="276"/>
      <c r="AJ2" s="276"/>
      <c r="AK2" s="276"/>
      <c r="AL2" s="12"/>
      <c r="AM2" s="12"/>
      <c r="AN2" s="2"/>
      <c r="AO2" s="281" t="s">
        <v>13</v>
      </c>
      <c r="AP2" s="264"/>
      <c r="AQ2" s="264"/>
      <c r="AR2" s="264"/>
      <c r="AS2" s="264"/>
      <c r="AT2" s="264" t="s">
        <v>1</v>
      </c>
      <c r="AU2" s="264"/>
      <c r="AV2" s="264" t="s">
        <v>22</v>
      </c>
      <c r="AW2" s="264"/>
      <c r="AX2" s="264" t="s">
        <v>0</v>
      </c>
      <c r="AY2" s="264"/>
      <c r="CH2" s="20"/>
      <c r="CI2" s="20"/>
      <c r="CJ2" s="20"/>
      <c r="CK2" s="18"/>
      <c r="CL2" s="273" t="s">
        <v>13</v>
      </c>
      <c r="CM2" s="274"/>
      <c r="CN2" s="274"/>
      <c r="CO2" s="274"/>
      <c r="CP2" s="274"/>
      <c r="CQ2" s="274"/>
      <c r="CR2" s="274"/>
      <c r="CS2" s="274"/>
      <c r="CT2" s="274"/>
      <c r="CU2" s="274"/>
      <c r="CV2" s="274"/>
      <c r="CW2" s="274"/>
      <c r="CX2" s="274"/>
      <c r="CY2" s="274"/>
      <c r="CZ2" s="274"/>
      <c r="DA2" s="274"/>
      <c r="DB2" s="274"/>
      <c r="DC2" s="275"/>
      <c r="DD2" s="3"/>
      <c r="DE2" s="272" t="s">
        <v>14</v>
      </c>
      <c r="DF2" s="272"/>
      <c r="DG2" s="3"/>
      <c r="DH2" s="272" t="s">
        <v>30</v>
      </c>
      <c r="DI2" s="272"/>
      <c r="DJ2" s="3"/>
      <c r="DK2" s="272" t="s">
        <v>15</v>
      </c>
      <c r="DL2" s="272"/>
      <c r="DM2" s="272" t="s">
        <v>43</v>
      </c>
      <c r="DN2" s="272"/>
      <c r="DO2" s="272" t="s">
        <v>40</v>
      </c>
      <c r="DP2" s="272"/>
      <c r="DQ2" s="272" t="s">
        <v>44</v>
      </c>
      <c r="DR2" s="272"/>
      <c r="DS2" s="273" t="s">
        <v>45</v>
      </c>
      <c r="DT2" s="274"/>
      <c r="DU2" s="274"/>
      <c r="DV2" s="274"/>
      <c r="DW2" s="274"/>
      <c r="DX2" s="275"/>
      <c r="DY2" s="2"/>
      <c r="DZ2" s="273" t="s">
        <v>13</v>
      </c>
      <c r="EA2" s="274"/>
      <c r="EB2" s="274"/>
      <c r="EC2" s="274"/>
      <c r="ED2" s="274"/>
      <c r="EE2" s="274"/>
      <c r="EF2" s="274"/>
      <c r="EG2" s="274"/>
      <c r="EH2" s="274"/>
      <c r="EI2" s="274"/>
      <c r="EJ2" s="274"/>
      <c r="EK2" s="274"/>
      <c r="EL2" s="274"/>
      <c r="EM2" s="274"/>
      <c r="EN2" s="274"/>
      <c r="EO2" s="274"/>
      <c r="EP2" s="274"/>
      <c r="EQ2" s="275"/>
      <c r="ER2" s="272" t="s">
        <v>14</v>
      </c>
      <c r="ES2" s="272"/>
      <c r="ET2" s="272" t="s">
        <v>30</v>
      </c>
      <c r="EU2" s="272"/>
      <c r="EV2" s="284" t="s">
        <v>15</v>
      </c>
      <c r="EW2" s="284"/>
      <c r="EX2" s="284" t="s">
        <v>46</v>
      </c>
      <c r="EY2" s="284"/>
      <c r="EZ2" s="284" t="s">
        <v>47</v>
      </c>
      <c r="FA2" s="284"/>
      <c r="FB2" s="284" t="s">
        <v>41</v>
      </c>
      <c r="FC2" s="284"/>
      <c r="FD2" s="273" t="s">
        <v>45</v>
      </c>
      <c r="FE2" s="274"/>
      <c r="FF2" s="274"/>
      <c r="FG2" s="274"/>
      <c r="FH2" s="274"/>
      <c r="FI2" s="275"/>
      <c r="FK2" s="272" t="s">
        <v>106</v>
      </c>
      <c r="FL2" s="272"/>
      <c r="FM2" s="272" t="s">
        <v>107</v>
      </c>
      <c r="FN2" s="272"/>
      <c r="FP2" s="272" t="s">
        <v>105</v>
      </c>
      <c r="FQ2" s="272"/>
      <c r="FR2" s="272" t="s">
        <v>108</v>
      </c>
      <c r="FS2" s="272"/>
    </row>
    <row r="3" spans="1:175" x14ac:dyDescent="0.15">
      <c r="C3" s="12"/>
      <c r="D3" s="276" t="s">
        <v>13</v>
      </c>
      <c r="E3" s="276"/>
      <c r="F3" s="276"/>
      <c r="G3" s="276"/>
      <c r="H3" s="12"/>
      <c r="I3" s="12"/>
      <c r="J3" s="12"/>
      <c r="K3" s="12"/>
      <c r="L3" s="12"/>
      <c r="M3" s="12"/>
      <c r="N3" s="278" t="s">
        <v>42</v>
      </c>
      <c r="O3" s="278"/>
      <c r="P3" s="278"/>
      <c r="Q3" s="278"/>
      <c r="R3" s="12"/>
      <c r="S3" s="12"/>
      <c r="T3" s="2"/>
      <c r="U3" s="12"/>
      <c r="V3" s="276" t="s">
        <v>13</v>
      </c>
      <c r="W3" s="276"/>
      <c r="X3" s="276"/>
      <c r="Y3" s="276"/>
      <c r="Z3" s="12"/>
      <c r="AA3" s="12"/>
      <c r="AB3" s="12"/>
      <c r="AC3" s="12"/>
      <c r="AD3" s="12"/>
      <c r="AE3" s="12"/>
      <c r="AF3" s="277" t="s">
        <v>42</v>
      </c>
      <c r="AG3" s="277"/>
      <c r="AH3" s="277"/>
      <c r="AI3" s="277"/>
      <c r="AJ3" s="12"/>
      <c r="AK3" s="12"/>
      <c r="AL3" s="12"/>
      <c r="AM3" s="12"/>
      <c r="AN3" s="2"/>
      <c r="AO3" s="13"/>
      <c r="AP3" s="14"/>
      <c r="AQ3" s="14"/>
      <c r="AR3" s="14"/>
      <c r="AS3" s="14"/>
      <c r="AT3" s="14"/>
      <c r="AU3" s="14"/>
      <c r="AV3" s="14"/>
      <c r="AW3" s="14"/>
      <c r="AX3" s="14"/>
      <c r="AY3" s="14"/>
      <c r="CH3" s="19"/>
      <c r="CK3" s="18"/>
      <c r="CL3" s="3"/>
      <c r="CM3" s="3"/>
      <c r="CN3" s="273" t="s">
        <v>13</v>
      </c>
      <c r="CO3" s="274"/>
      <c r="CP3" s="274"/>
      <c r="CQ3" s="275"/>
      <c r="CR3" s="3"/>
      <c r="CS3" s="3"/>
      <c r="CT3" s="3"/>
      <c r="CU3" s="3"/>
      <c r="CV3" s="3"/>
      <c r="CW3" s="3"/>
      <c r="CX3" s="273" t="s">
        <v>42</v>
      </c>
      <c r="CY3" s="274"/>
      <c r="CZ3" s="274"/>
      <c r="DA3" s="275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2"/>
      <c r="DZ3" s="3"/>
      <c r="EA3" s="3"/>
      <c r="EB3" s="273" t="s">
        <v>13</v>
      </c>
      <c r="EC3" s="274"/>
      <c r="ED3" s="274"/>
      <c r="EE3" s="275"/>
      <c r="EF3" s="3"/>
      <c r="EG3" s="3"/>
      <c r="EH3" s="3"/>
      <c r="EI3" s="3"/>
      <c r="EJ3" s="3"/>
      <c r="EK3" s="3"/>
      <c r="EL3" s="273" t="s">
        <v>42</v>
      </c>
      <c r="EM3" s="274"/>
      <c r="EN3" s="274"/>
      <c r="EO3" s="275"/>
      <c r="EP3" s="3"/>
      <c r="EQ3" s="3"/>
      <c r="ER3" s="3"/>
      <c r="ES3" s="3"/>
      <c r="ET3" s="3"/>
      <c r="EU3" s="3"/>
      <c r="EV3" s="6"/>
      <c r="EW3" s="6"/>
      <c r="EX3" s="6"/>
      <c r="EY3" s="6"/>
      <c r="EZ3" s="6"/>
      <c r="FA3" s="6"/>
      <c r="FB3" s="6"/>
      <c r="FC3" s="6"/>
      <c r="FD3" s="3"/>
      <c r="FE3" s="3"/>
      <c r="FF3" s="3"/>
      <c r="FG3" s="3"/>
      <c r="FH3" s="3"/>
      <c r="FI3" s="15"/>
      <c r="FK3" s="16"/>
      <c r="FL3" s="3"/>
      <c r="FM3" s="3"/>
      <c r="FN3" s="15"/>
      <c r="FP3" s="16"/>
      <c r="FQ3" s="3"/>
      <c r="FR3" s="16"/>
      <c r="FS3" s="3"/>
    </row>
    <row r="4" spans="1:175" ht="14" thickBot="1" x14ac:dyDescent="0.2">
      <c r="B4" s="1" t="s">
        <v>6</v>
      </c>
      <c r="C4" s="36" t="s">
        <v>3</v>
      </c>
      <c r="D4" s="36" t="s">
        <v>24</v>
      </c>
      <c r="E4" s="36" t="s">
        <v>25</v>
      </c>
      <c r="F4" s="36" t="s">
        <v>26</v>
      </c>
      <c r="G4" s="36" t="s">
        <v>38</v>
      </c>
      <c r="H4" s="36" t="s">
        <v>5</v>
      </c>
      <c r="I4" s="36" t="s">
        <v>22</v>
      </c>
      <c r="J4" s="36" t="s">
        <v>0</v>
      </c>
      <c r="K4" s="36" t="s">
        <v>39</v>
      </c>
      <c r="L4" s="36" t="s">
        <v>40</v>
      </c>
      <c r="M4" s="36" t="s">
        <v>41</v>
      </c>
      <c r="N4" s="37" t="s">
        <v>24</v>
      </c>
      <c r="O4" s="37" t="s">
        <v>25</v>
      </c>
      <c r="P4" s="37" t="s">
        <v>26</v>
      </c>
      <c r="Q4" s="37" t="s">
        <v>38</v>
      </c>
      <c r="R4" s="36" t="s">
        <v>4</v>
      </c>
      <c r="S4" s="36" t="s">
        <v>7</v>
      </c>
      <c r="T4" s="156"/>
      <c r="U4" s="36" t="s">
        <v>3</v>
      </c>
      <c r="V4" s="36" t="s">
        <v>24</v>
      </c>
      <c r="W4" s="36" t="s">
        <v>25</v>
      </c>
      <c r="X4" s="36" t="s">
        <v>26</v>
      </c>
      <c r="Y4" s="36" t="s">
        <v>38</v>
      </c>
      <c r="Z4" s="36" t="s">
        <v>5</v>
      </c>
      <c r="AA4" s="36" t="s">
        <v>22</v>
      </c>
      <c r="AB4" s="36" t="s">
        <v>0</v>
      </c>
      <c r="AC4" s="36" t="s">
        <v>39</v>
      </c>
      <c r="AD4" s="36" t="s">
        <v>40</v>
      </c>
      <c r="AE4" s="36" t="s">
        <v>41</v>
      </c>
      <c r="AF4" s="39" t="s">
        <v>24</v>
      </c>
      <c r="AG4" s="39" t="s">
        <v>25</v>
      </c>
      <c r="AH4" s="39" t="s">
        <v>26</v>
      </c>
      <c r="AI4" s="39" t="s">
        <v>38</v>
      </c>
      <c r="AJ4" s="36" t="s">
        <v>4</v>
      </c>
      <c r="AK4" s="36" t="s">
        <v>7</v>
      </c>
      <c r="AL4" s="36" t="s">
        <v>77</v>
      </c>
      <c r="AM4" s="36" t="s">
        <v>78</v>
      </c>
      <c r="AN4" s="2"/>
      <c r="AO4" s="251" t="s">
        <v>23</v>
      </c>
      <c r="AP4" s="252"/>
      <c r="AQ4" s="116" t="s">
        <v>24</v>
      </c>
      <c r="AR4" s="116" t="s">
        <v>25</v>
      </c>
      <c r="AS4" s="116" t="s">
        <v>26</v>
      </c>
      <c r="AT4" s="116" t="s">
        <v>23</v>
      </c>
      <c r="AU4" s="116" t="s">
        <v>24</v>
      </c>
      <c r="AV4" s="116" t="s">
        <v>23</v>
      </c>
      <c r="AW4" s="116" t="s">
        <v>24</v>
      </c>
      <c r="AX4" s="116" t="s">
        <v>23</v>
      </c>
      <c r="AY4" s="116" t="s">
        <v>24</v>
      </c>
      <c r="CH4" s="21"/>
      <c r="CK4" s="18"/>
      <c r="CL4" s="3" t="str">
        <f>C4</f>
        <v>Bit-rate</v>
      </c>
      <c r="CM4" s="3" t="str">
        <f>D4</f>
        <v>Y</v>
      </c>
      <c r="CN4" s="3" t="str">
        <f t="shared" ref="CN4:DC4" si="0">D4</f>
        <v>Y</v>
      </c>
      <c r="CO4" s="3" t="str">
        <f t="shared" si="0"/>
        <v>U</v>
      </c>
      <c r="CP4" s="3" t="str">
        <f t="shared" si="0"/>
        <v>V</v>
      </c>
      <c r="CQ4" s="3" t="str">
        <f t="shared" si="0"/>
        <v>YUV</v>
      </c>
      <c r="CR4" s="3" t="str">
        <f t="shared" si="0"/>
        <v>SSIM_Y</v>
      </c>
      <c r="CS4" s="3" t="str">
        <f t="shared" si="0"/>
        <v>MS-SSIM</v>
      </c>
      <c r="CT4" s="3" t="str">
        <f t="shared" si="0"/>
        <v>VMAF</v>
      </c>
      <c r="CU4" s="3" t="str">
        <f t="shared" si="0"/>
        <v>nVMAF</v>
      </c>
      <c r="CV4" s="3" t="str">
        <f t="shared" si="0"/>
        <v>PSNR-HVS</v>
      </c>
      <c r="CW4" s="3" t="str">
        <f t="shared" si="0"/>
        <v>DE-2K</v>
      </c>
      <c r="CX4" s="3" t="str">
        <f t="shared" si="0"/>
        <v>Y</v>
      </c>
      <c r="CY4" s="3" t="str">
        <f t="shared" si="0"/>
        <v>U</v>
      </c>
      <c r="CZ4" s="3" t="str">
        <f t="shared" si="0"/>
        <v>V</v>
      </c>
      <c r="DA4" s="3" t="str">
        <f t="shared" si="0"/>
        <v>YUV</v>
      </c>
      <c r="DB4" s="3" t="str">
        <f t="shared" si="0"/>
        <v>Enc-Time</v>
      </c>
      <c r="DC4" s="3" t="str">
        <f t="shared" si="0"/>
        <v>Dec-Time</v>
      </c>
      <c r="DD4" s="3"/>
      <c r="DE4" s="3" t="s">
        <v>3</v>
      </c>
      <c r="DF4" s="3" t="str">
        <f>Z4</f>
        <v>SSIM_Y</v>
      </c>
      <c r="DG4" s="3"/>
      <c r="DH4" s="3" t="s">
        <v>3</v>
      </c>
      <c r="DI4" s="3" t="str">
        <f>I4</f>
        <v>MS-SSIM</v>
      </c>
      <c r="DJ4" s="3"/>
      <c r="DK4" s="3" t="s">
        <v>3</v>
      </c>
      <c r="DL4" s="3" t="str">
        <f>J4</f>
        <v>VMAF</v>
      </c>
      <c r="DM4" s="3" t="s">
        <v>3</v>
      </c>
      <c r="DN4" s="3" t="str">
        <f>K4</f>
        <v>nVMAF</v>
      </c>
      <c r="DO4" s="3" t="s">
        <v>3</v>
      </c>
      <c r="DP4" s="3" t="str">
        <f>L4</f>
        <v>PSNR-HVS</v>
      </c>
      <c r="DQ4" s="3" t="s">
        <v>3</v>
      </c>
      <c r="DR4" s="3" t="str">
        <f>M4</f>
        <v>DE-2K</v>
      </c>
      <c r="DS4" s="3" t="s">
        <v>3</v>
      </c>
      <c r="DT4" s="3" t="str">
        <f>N4</f>
        <v>Y</v>
      </c>
      <c r="DU4" s="3" t="str">
        <f>N4</f>
        <v>Y</v>
      </c>
      <c r="DV4" s="3" t="str">
        <f>O4</f>
        <v>U</v>
      </c>
      <c r="DW4" s="3" t="str">
        <f>P4</f>
        <v>V</v>
      </c>
      <c r="DX4" s="3" t="str">
        <f>Q4</f>
        <v>YUV</v>
      </c>
      <c r="DY4" s="2"/>
      <c r="DZ4" s="3" t="s">
        <v>3</v>
      </c>
      <c r="EA4" s="3" t="s">
        <v>2</v>
      </c>
      <c r="EB4" s="3" t="str">
        <f t="shared" ref="EB4:EQ4" si="1">V4</f>
        <v>Y</v>
      </c>
      <c r="EC4" s="3" t="str">
        <f t="shared" si="1"/>
        <v>U</v>
      </c>
      <c r="ED4" s="3" t="str">
        <f t="shared" si="1"/>
        <v>V</v>
      </c>
      <c r="EE4" s="3" t="str">
        <f t="shared" si="1"/>
        <v>YUV</v>
      </c>
      <c r="EF4" s="3" t="str">
        <f t="shared" si="1"/>
        <v>SSIM_Y</v>
      </c>
      <c r="EG4" s="3" t="str">
        <f t="shared" si="1"/>
        <v>MS-SSIM</v>
      </c>
      <c r="EH4" s="3" t="str">
        <f t="shared" si="1"/>
        <v>VMAF</v>
      </c>
      <c r="EI4" s="3" t="str">
        <f t="shared" si="1"/>
        <v>nVMAF</v>
      </c>
      <c r="EJ4" s="3" t="str">
        <f t="shared" si="1"/>
        <v>PSNR-HVS</v>
      </c>
      <c r="EK4" s="3" t="str">
        <f t="shared" si="1"/>
        <v>DE-2K</v>
      </c>
      <c r="EL4" s="3" t="str">
        <f t="shared" si="1"/>
        <v>Y</v>
      </c>
      <c r="EM4" s="3" t="str">
        <f t="shared" si="1"/>
        <v>U</v>
      </c>
      <c r="EN4" s="3" t="str">
        <f t="shared" si="1"/>
        <v>V</v>
      </c>
      <c r="EO4" s="3" t="str">
        <f t="shared" si="1"/>
        <v>YUV</v>
      </c>
      <c r="EP4" s="3" t="str">
        <f t="shared" si="1"/>
        <v>Enc-Time</v>
      </c>
      <c r="EQ4" s="3" t="str">
        <f t="shared" si="1"/>
        <v>Dec-Time</v>
      </c>
      <c r="ER4" s="3" t="s">
        <v>3</v>
      </c>
      <c r="ES4" s="3" t="s">
        <v>1</v>
      </c>
      <c r="ET4" s="3" t="s">
        <v>3</v>
      </c>
      <c r="EU4" s="3" t="s">
        <v>1</v>
      </c>
      <c r="EV4" s="6" t="s">
        <v>3</v>
      </c>
      <c r="EW4" s="6" t="s">
        <v>0</v>
      </c>
      <c r="EX4" s="6" t="s">
        <v>3</v>
      </c>
      <c r="EY4" s="6" t="s">
        <v>39</v>
      </c>
      <c r="EZ4" s="6" t="s">
        <v>3</v>
      </c>
      <c r="FA4" s="6" t="s">
        <v>39</v>
      </c>
      <c r="FB4" s="6" t="s">
        <v>3</v>
      </c>
      <c r="FC4" s="6" t="s">
        <v>39</v>
      </c>
      <c r="FD4" s="3" t="s">
        <v>3</v>
      </c>
      <c r="FE4" s="3" t="s">
        <v>24</v>
      </c>
      <c r="FF4" s="3" t="s">
        <v>24</v>
      </c>
      <c r="FG4" s="3" t="s">
        <v>25</v>
      </c>
      <c r="FH4" s="3" t="s">
        <v>26</v>
      </c>
      <c r="FI4" s="15" t="s">
        <v>38</v>
      </c>
      <c r="FK4" s="16" t="s">
        <v>3</v>
      </c>
      <c r="FL4" s="3">
        <f>BH4</f>
        <v>0</v>
      </c>
      <c r="FM4" s="3" t="s">
        <v>3</v>
      </c>
      <c r="FN4" s="15">
        <f>BJ4</f>
        <v>0</v>
      </c>
      <c r="FP4" s="16" t="s">
        <v>3</v>
      </c>
      <c r="FQ4" s="3" t="s">
        <v>104</v>
      </c>
      <c r="FR4" s="16" t="s">
        <v>3</v>
      </c>
      <c r="FS4" s="3" t="s">
        <v>104</v>
      </c>
    </row>
    <row r="5" spans="1:175" ht="13" customHeight="1" x14ac:dyDescent="0.15">
      <c r="A5" s="249" t="s">
        <v>17</v>
      </c>
      <c r="B5" s="38">
        <v>110</v>
      </c>
      <c r="C5" s="129">
        <f>Anchor!L146</f>
        <v>0</v>
      </c>
      <c r="D5" s="129">
        <f>Anchor!M146</f>
        <v>0</v>
      </c>
      <c r="E5" s="129">
        <f>Anchor!N146</f>
        <v>0</v>
      </c>
      <c r="F5" s="129">
        <f>Anchor!O146</f>
        <v>0</v>
      </c>
      <c r="G5" s="130">
        <f>('Summary (Full)'!$B$34*D5+'Summary (Full)'!$B$35*E5+'Summary (Full)'!$B$36*F5)/'Summary (Full)'!$B$37</f>
        <v>0</v>
      </c>
      <c r="H5" s="129">
        <f>Anchor!P146</f>
        <v>0</v>
      </c>
      <c r="I5" s="129">
        <f>Anchor!Q146</f>
        <v>0</v>
      </c>
      <c r="J5" s="129">
        <f>Anchor!R146</f>
        <v>0</v>
      </c>
      <c r="K5" s="129">
        <f>Anchor!S146</f>
        <v>0</v>
      </c>
      <c r="L5" s="129">
        <f>Anchor!T146</f>
        <v>0</v>
      </c>
      <c r="M5" s="129">
        <f>Anchor!U146</f>
        <v>0</v>
      </c>
      <c r="N5" s="129">
        <f>Anchor!V146</f>
        <v>0</v>
      </c>
      <c r="O5" s="129">
        <f>Anchor!W146</f>
        <v>0</v>
      </c>
      <c r="P5" s="129">
        <f>Anchor!X146</f>
        <v>0</v>
      </c>
      <c r="Q5" s="131">
        <f>10*LOG10(1/(('Summary (Full)'!$B$41/10^(N5/10)+'Summary (Full)'!$B$42/10^(O5/10)+'Summary (Full)'!$B$43/10^(P5/10))/'Summary (Full)'!$B$44))</f>
        <v>0</v>
      </c>
      <c r="R5" s="129">
        <f>Anchor!Y146</f>
        <v>0</v>
      </c>
      <c r="S5" s="129">
        <f>Anchor!Z146</f>
        <v>0</v>
      </c>
      <c r="T5" s="129"/>
      <c r="U5" s="129">
        <f>Test!L146</f>
        <v>0</v>
      </c>
      <c r="V5" s="129">
        <f>Test!M146</f>
        <v>0</v>
      </c>
      <c r="W5" s="129">
        <f>Test!N146</f>
        <v>0</v>
      </c>
      <c r="X5" s="129">
        <f>Test!O146</f>
        <v>0</v>
      </c>
      <c r="Y5" s="129">
        <f>('Summary (Full)'!$B$34*V5+'Summary (Full)'!$B$35*W5+'Summary (Full)'!$B$36*X5)/'Summary (Full)'!$B$37</f>
        <v>0</v>
      </c>
      <c r="Z5" s="129">
        <f>Test!P146</f>
        <v>0</v>
      </c>
      <c r="AA5" s="129">
        <f>Test!Q146</f>
        <v>0</v>
      </c>
      <c r="AB5" s="129">
        <f>Test!R146</f>
        <v>0</v>
      </c>
      <c r="AC5" s="129">
        <f>Test!S146</f>
        <v>0</v>
      </c>
      <c r="AD5" s="129">
        <f>Test!T146</f>
        <v>0</v>
      </c>
      <c r="AE5" s="129">
        <f>Test!U146</f>
        <v>0</v>
      </c>
      <c r="AF5" s="129">
        <f>Test!V146</f>
        <v>0</v>
      </c>
      <c r="AG5" s="129">
        <f>Test!W146</f>
        <v>0</v>
      </c>
      <c r="AH5" s="129">
        <f>Test!X146</f>
        <v>0</v>
      </c>
      <c r="AI5" s="129">
        <f>10*LOG10(1/(('Summary (Full)'!$B$41/10^(AF5/10)+'Summary (Full)'!$B$42/10^(AG5/10)+'Summary (Full)'!$B$43/10^(AH5/10))/'Summary (Full)'!$B$44))</f>
        <v>0</v>
      </c>
      <c r="AJ5" s="129">
        <f>Test!Y146</f>
        <v>0</v>
      </c>
      <c r="AK5" s="129">
        <f>Test!Z146</f>
        <v>0</v>
      </c>
      <c r="AL5" s="129" t="e">
        <f>AJ5/R5</f>
        <v>#DIV/0!</v>
      </c>
      <c r="AM5" s="129" t="e">
        <f>AK5/S5</f>
        <v>#DIV/0!</v>
      </c>
      <c r="AO5" s="253" t="s">
        <v>27</v>
      </c>
      <c r="AP5" s="171" t="e" cm="1">
        <f t="array" ref="AP5">bdRateExtend($C5:$C8,D5:D8,$U5:$U8,V5:V8)</f>
        <v>#VALUE!</v>
      </c>
      <c r="AQ5" s="171" t="e" cm="1">
        <f t="array" ref="AQ5">bdRateExtend($C5:$C10,D5:D10,$U5:$U10,V5:V10)</f>
        <v>#VALUE!</v>
      </c>
      <c r="AR5" s="171" t="e" cm="1">
        <f t="array" ref="AR5">bdRateExtend($C5:$C10,E5:E10,$U5:$U10,W5:W10)</f>
        <v>#VALUE!</v>
      </c>
      <c r="AS5" s="171" t="e" cm="1">
        <f t="array" ref="AS5">bdRateExtend($C5:$C10,F5:F10,$U5:$U10,X5:X10)</f>
        <v>#VALUE!</v>
      </c>
      <c r="AT5" s="171" t="e" cm="1">
        <f t="array" ref="AT5">bdRateExtend($C5:$C8,H5:H8,$U5:$U8,Z5:Z8)</f>
        <v>#VALUE!</v>
      </c>
      <c r="AU5" s="171" t="e" cm="1">
        <f t="array" ref="AU5">bdRateExtend($C5:$C10,H5:H10,$U5:$U10,Z5:Z10)</f>
        <v>#VALUE!</v>
      </c>
      <c r="AV5" s="171" t="e" cm="1">
        <f t="array" ref="AV5">bdRateExtend($C5:$C8,I5:I8,$U5:$U8,AA5:AA8)</f>
        <v>#VALUE!</v>
      </c>
      <c r="AW5" s="171" t="e" cm="1">
        <f t="array" ref="AW5">bdRateExtend($C5:$C10,I5:I10,$U5:$U10,AA5:AA10)</f>
        <v>#VALUE!</v>
      </c>
      <c r="AX5" s="171" t="e" cm="1">
        <f t="array" ref="AX5">bdRateExtend($C5:$C8,J5:J8,$U5:$U8,AB5:AB8,"None", FALSE,1)</f>
        <v>#VALUE!</v>
      </c>
      <c r="AY5" s="174" t="e" cm="1">
        <f t="array" ref="AY5">bdRateExtend($C5:$C10,J5:J10,$U5:$U10,AB5:AB10,"None", FALSE,1)</f>
        <v>#VALUE!</v>
      </c>
      <c r="AZ5" s="285" cm="1">
        <f t="array" ref="AZ5">testVMAFRange($C5:$C8,J5:J8,$U5:$U8,AB5:AB8)</f>
        <v>0</v>
      </c>
      <c r="BA5" s="211" cm="1">
        <f t="array" ref="BA5">testVMAFRange($C5:$C10,J5:J10,$U5:$U10,AB5:AB10)</f>
        <v>0</v>
      </c>
      <c r="CH5" s="5"/>
      <c r="CI5" s="11" t="s">
        <v>31</v>
      </c>
      <c r="CJ5" s="10" t="e" cm="1">
        <f t="array" ref="CJ5">MIN(IF(CL1:CL201&gt;0,CL1:CL201))</f>
        <v>#VALUE!</v>
      </c>
      <c r="CK5" s="5"/>
      <c r="CL5" s="4" t="e" cm="1">
        <f t="array" ref="CL5">ConvexHullInterpolate(C5:C40,D5:D40,TRUE,6,'Summary (Full)'!B30,D5:S40)</f>
        <v>#VALUE!</v>
      </c>
      <c r="DE5" s="4" t="e" cm="1">
        <f t="array" ref="DE5">ConvexHullInterpolate(C5:C40,H5:H40,TRUE,6,'Summary (Full)'!B30)</f>
        <v>#VALUE!</v>
      </c>
      <c r="DH5" s="4" t="e" cm="1">
        <f t="array" ref="DH5">ConvexHullInterpolate($C5:$C40,I5:I40,TRUE,6,'Summary (Full)'!B30)</f>
        <v>#VALUE!</v>
      </c>
      <c r="DK5" s="4" t="e" cm="1">
        <f t="array" ref="DK5">ConvexHullInterpolate($C5:$C40,J5:J40,TRUE,6,'Summary (Full)'!B30)</f>
        <v>#VALUE!</v>
      </c>
      <c r="DM5" s="4" t="e" cm="1">
        <f t="array" ref="DM5">ConvexHullInterpolate($C5:$C40,K5:K40,TRUE,6,'Summary (Full)'!B30)</f>
        <v>#VALUE!</v>
      </c>
      <c r="DO5" s="4" t="e" cm="1">
        <f t="array" ref="DO5">ConvexHullInterpolate($C5:$C40,L5:L40,TRUE,6,'Summary (Full)'!B30)</f>
        <v>#VALUE!</v>
      </c>
      <c r="DQ5" s="4" t="e" cm="1">
        <f t="array" ref="DQ5">ConvexHullInterpolate($C5:$C40,M5:M40,TRUE,6,'Summary (Full)'!B30)</f>
        <v>#VALUE!</v>
      </c>
      <c r="DS5" s="4" t="e" cm="1">
        <f t="array" ref="DS5">ConvexHullInterpolate($C5:$C40,N5:N40,TRUE,6,'Summary (Full)'!B30, N5:Q40)</f>
        <v>#VALUE!</v>
      </c>
      <c r="DZ5" s="4" t="e" cm="1">
        <f t="array" ref="DZ5">ConvexHullInterpolate(U5:U40,V5:V40,TRUE,6,'Summary (Full)'!B30,V5:AK40)</f>
        <v>#VALUE!</v>
      </c>
      <c r="ER5" s="4" t="e" cm="1">
        <f t="array" ref="ER5">ConvexHullInterpolate($U5:$U40,Z5:Z40,TRUE,6,'Summary (Full)'!B30)</f>
        <v>#VALUE!</v>
      </c>
      <c r="ET5" s="4" t="e" cm="1">
        <f t="array" ref="ET5">ConvexHullInterpolate($U5:$U40,AA5:AA40,TRUE,6,'Summary (Full)'!B30)</f>
        <v>#VALUE!</v>
      </c>
      <c r="EV5" s="7" t="e" cm="1">
        <f t="array" ref="EV5">ConvexHullInterpolate($U5:$U40,AB5:AB40,TRUE,6,'Summary (Full)'!B30)</f>
        <v>#VALUE!</v>
      </c>
      <c r="EW5" s="7"/>
      <c r="EX5" s="7" t="e" cm="1">
        <f t="array" ref="EX5">ConvexHullInterpolate($U5:$U40,AC5:AC40,TRUE,6,'Summary (Full)'!B30)</f>
        <v>#VALUE!</v>
      </c>
      <c r="EY5" s="7"/>
      <c r="EZ5" s="7" t="e" cm="1">
        <f t="array" ref="EZ5">ConvexHullInterpolate($U5:$U40,AD5:AD40,TRUE,6,'Summary (Full)'!B30)</f>
        <v>#VALUE!</v>
      </c>
      <c r="FA5" s="7"/>
      <c r="FB5" s="7" t="e" cm="1">
        <f t="array" ref="FB5">ConvexHullInterpolate($U5:$U40,AE5:AE40,TRUE,6,'Summary (Full)'!B30)</f>
        <v>#VALUE!</v>
      </c>
      <c r="FC5" s="7"/>
      <c r="FD5" s="4" t="e" cm="1">
        <f t="array" ref="FD5">ConvexHullInterpolate($U5:$U40,AF5:AF40,TRUE,6,'Summary (Full)'!B30, AF5:AI40)</f>
        <v>#VALUE!</v>
      </c>
      <c r="FK5" s="4" t="e" cm="1">
        <f t="array" ref="FK5">ConvexHullInterpolate($C5:$C40,G5:G40,TRUE,6,'Summary (Full)'!B30)</f>
        <v>#VALUE!</v>
      </c>
      <c r="FM5" s="4" t="e" cm="1">
        <f t="array" ref="FM5">ConvexHullInterpolate($C5:$C40,Q5:Q40,TRUE,6,'Summary (Full)'!B30)</f>
        <v>#VALUE!</v>
      </c>
      <c r="FP5" s="4" t="e" cm="1">
        <f t="array" ref="FP5">ConvexHullInterpolate($U5:$U40,Y5:Y40,TRUE,6,'Summary (Full)'!B30)</f>
        <v>#VALUE!</v>
      </c>
      <c r="FR5" s="4" t="e" cm="1">
        <f t="array" ref="FR5">ConvexHullInterpolate($U5:$U40,AI5:AI40,TRUE,6,'Summary (Full)'!B30)</f>
        <v>#VALUE!</v>
      </c>
    </row>
    <row r="6" spans="1:175" x14ac:dyDescent="0.15">
      <c r="A6" s="249"/>
      <c r="B6" s="38">
        <v>135</v>
      </c>
      <c r="C6" s="129">
        <f>Anchor!L147</f>
        <v>0</v>
      </c>
      <c r="D6" s="129">
        <f>Anchor!M147</f>
        <v>0</v>
      </c>
      <c r="E6" s="129">
        <f>Anchor!N147</f>
        <v>0</v>
      </c>
      <c r="F6" s="129">
        <f>Anchor!O147</f>
        <v>0</v>
      </c>
      <c r="G6" s="130">
        <f>('Summary (Full)'!$B$34*D6+'Summary (Full)'!$B$35*E6+'Summary (Full)'!$B$36*F6)/'Summary (Full)'!$B$37</f>
        <v>0</v>
      </c>
      <c r="H6" s="129">
        <f>Anchor!P147</f>
        <v>0</v>
      </c>
      <c r="I6" s="129">
        <f>Anchor!Q147</f>
        <v>0</v>
      </c>
      <c r="J6" s="129">
        <f>Anchor!R147</f>
        <v>0</v>
      </c>
      <c r="K6" s="129">
        <f>Anchor!S147</f>
        <v>0</v>
      </c>
      <c r="L6" s="129">
        <f>Anchor!T147</f>
        <v>0</v>
      </c>
      <c r="M6" s="129">
        <f>Anchor!U147</f>
        <v>0</v>
      </c>
      <c r="N6" s="129">
        <f>Anchor!V147</f>
        <v>0</v>
      </c>
      <c r="O6" s="129">
        <f>Anchor!W147</f>
        <v>0</v>
      </c>
      <c r="P6" s="129">
        <f>Anchor!X147</f>
        <v>0</v>
      </c>
      <c r="Q6" s="131">
        <f>10*LOG10(1/(('Summary (Full)'!$B$41/10^(N6/10)+'Summary (Full)'!$B$42/10^(O6/10)+'Summary (Full)'!$B$43/10^(P6/10))/'Summary (Full)'!$B$44))</f>
        <v>0</v>
      </c>
      <c r="R6" s="129">
        <f>Anchor!Y147</f>
        <v>0</v>
      </c>
      <c r="S6" s="129">
        <f>Anchor!Z147</f>
        <v>0</v>
      </c>
      <c r="T6" s="129"/>
      <c r="U6" s="129">
        <f>Test!L147</f>
        <v>0</v>
      </c>
      <c r="V6" s="129">
        <f>Test!M147</f>
        <v>0</v>
      </c>
      <c r="W6" s="129">
        <f>Test!N147</f>
        <v>0</v>
      </c>
      <c r="X6" s="129">
        <f>Test!O147</f>
        <v>0</v>
      </c>
      <c r="Y6" s="129">
        <f>('Summary (Full)'!$B$34*V6+'Summary (Full)'!$B$35*W6+'Summary (Full)'!$B$36*X6)/'Summary (Full)'!$B$37</f>
        <v>0</v>
      </c>
      <c r="Z6" s="129">
        <f>Test!P147</f>
        <v>0</v>
      </c>
      <c r="AA6" s="129">
        <f>Test!Q147</f>
        <v>0</v>
      </c>
      <c r="AB6" s="129">
        <f>Test!R147</f>
        <v>0</v>
      </c>
      <c r="AC6" s="129">
        <f>Test!S147</f>
        <v>0</v>
      </c>
      <c r="AD6" s="129">
        <f>Test!T147</f>
        <v>0</v>
      </c>
      <c r="AE6" s="129">
        <f>Test!U147</f>
        <v>0</v>
      </c>
      <c r="AF6" s="129">
        <f>Test!V147</f>
        <v>0</v>
      </c>
      <c r="AG6" s="129">
        <f>Test!W147</f>
        <v>0</v>
      </c>
      <c r="AH6" s="129">
        <f>Test!X147</f>
        <v>0</v>
      </c>
      <c r="AI6" s="129">
        <f>10*LOG10(1/(('Summary (Full)'!$B$41/10^(AF6/10)+'Summary (Full)'!$B$42/10^(AG6/10)+'Summary (Full)'!$B$43/10^(AH6/10))/'Summary (Full)'!$B$44))</f>
        <v>0</v>
      </c>
      <c r="AJ6" s="129">
        <f>Test!Y147</f>
        <v>0</v>
      </c>
      <c r="AK6" s="129">
        <f>Test!Z147</f>
        <v>0</v>
      </c>
      <c r="AL6" s="129" t="e">
        <f t="shared" ref="AL6:AM40" si="2">AJ6/R6</f>
        <v>#DIV/0!</v>
      </c>
      <c r="AM6" s="129" t="e">
        <f t="shared" si="2"/>
        <v>#DIV/0!</v>
      </c>
      <c r="AO6" s="254"/>
      <c r="AP6" s="172"/>
      <c r="AQ6" s="172"/>
      <c r="AR6" s="172"/>
      <c r="AS6" s="172"/>
      <c r="AT6" s="172"/>
      <c r="AU6" s="172"/>
      <c r="AV6" s="172"/>
      <c r="AW6" s="172"/>
      <c r="AX6" s="172"/>
      <c r="AY6" s="175"/>
      <c r="AZ6" s="286"/>
      <c r="BA6" s="212"/>
      <c r="CH6" s="5"/>
      <c r="CI6" s="11" t="s">
        <v>32</v>
      </c>
      <c r="CJ6" s="10" t="e">
        <f>MAX(CL1:CL201)</f>
        <v>#VALUE!</v>
      </c>
      <c r="CK6" s="5"/>
      <c r="EV6" s="7"/>
      <c r="EW6" s="7"/>
      <c r="EX6" s="7"/>
      <c r="EY6" s="7"/>
      <c r="EZ6" s="7"/>
      <c r="FA6" s="7"/>
      <c r="FB6" s="7"/>
      <c r="FC6" s="7"/>
    </row>
    <row r="7" spans="1:175" ht="13" customHeight="1" x14ac:dyDescent="0.15">
      <c r="A7" s="249"/>
      <c r="B7" s="38">
        <v>160</v>
      </c>
      <c r="C7" s="129">
        <f>Anchor!L148</f>
        <v>0</v>
      </c>
      <c r="D7" s="129">
        <f>Anchor!M148</f>
        <v>0</v>
      </c>
      <c r="E7" s="129">
        <f>Anchor!N148</f>
        <v>0</v>
      </c>
      <c r="F7" s="129">
        <f>Anchor!O148</f>
        <v>0</v>
      </c>
      <c r="G7" s="130">
        <f>('Summary (Full)'!$B$34*D7+'Summary (Full)'!$B$35*E7+'Summary (Full)'!$B$36*F7)/'Summary (Full)'!$B$37</f>
        <v>0</v>
      </c>
      <c r="H7" s="129">
        <f>Anchor!P148</f>
        <v>0</v>
      </c>
      <c r="I7" s="129">
        <f>Anchor!Q148</f>
        <v>0</v>
      </c>
      <c r="J7" s="129">
        <f>Anchor!R148</f>
        <v>0</v>
      </c>
      <c r="K7" s="129">
        <f>Anchor!S148</f>
        <v>0</v>
      </c>
      <c r="L7" s="129">
        <f>Anchor!T148</f>
        <v>0</v>
      </c>
      <c r="M7" s="129">
        <f>Anchor!U148</f>
        <v>0</v>
      </c>
      <c r="N7" s="129">
        <f>Anchor!V148</f>
        <v>0</v>
      </c>
      <c r="O7" s="129">
        <f>Anchor!W148</f>
        <v>0</v>
      </c>
      <c r="P7" s="129">
        <f>Anchor!X148</f>
        <v>0</v>
      </c>
      <c r="Q7" s="131">
        <f>10*LOG10(1/(('Summary (Full)'!$B$41/10^(N7/10)+'Summary (Full)'!$B$42/10^(O7/10)+'Summary (Full)'!$B$43/10^(P7/10))/'Summary (Full)'!$B$44))</f>
        <v>0</v>
      </c>
      <c r="R7" s="129">
        <f>Anchor!Y148</f>
        <v>0</v>
      </c>
      <c r="S7" s="129">
        <f>Anchor!Z148</f>
        <v>0</v>
      </c>
      <c r="T7" s="129"/>
      <c r="U7" s="129">
        <f>Test!L148</f>
        <v>0</v>
      </c>
      <c r="V7" s="129">
        <f>Test!M148</f>
        <v>0</v>
      </c>
      <c r="W7" s="129">
        <f>Test!N148</f>
        <v>0</v>
      </c>
      <c r="X7" s="129">
        <f>Test!O148</f>
        <v>0</v>
      </c>
      <c r="Y7" s="129">
        <f>('Summary (Full)'!$B$34*V7+'Summary (Full)'!$B$35*W7+'Summary (Full)'!$B$36*X7)/'Summary (Full)'!$B$37</f>
        <v>0</v>
      </c>
      <c r="Z7" s="129">
        <f>Test!P148</f>
        <v>0</v>
      </c>
      <c r="AA7" s="129">
        <f>Test!Q148</f>
        <v>0</v>
      </c>
      <c r="AB7" s="129">
        <f>Test!R148</f>
        <v>0</v>
      </c>
      <c r="AC7" s="129">
        <f>Test!S148</f>
        <v>0</v>
      </c>
      <c r="AD7" s="129">
        <f>Test!T148</f>
        <v>0</v>
      </c>
      <c r="AE7" s="129">
        <f>Test!U148</f>
        <v>0</v>
      </c>
      <c r="AF7" s="129">
        <f>Test!V148</f>
        <v>0</v>
      </c>
      <c r="AG7" s="129">
        <f>Test!W148</f>
        <v>0</v>
      </c>
      <c r="AH7" s="129">
        <f>Test!X148</f>
        <v>0</v>
      </c>
      <c r="AI7" s="129">
        <f>10*LOG10(1/(('Summary (Full)'!$B$41/10^(AF7/10)+'Summary (Full)'!$B$42/10^(AG7/10)+'Summary (Full)'!$B$43/10^(AH7/10))/'Summary (Full)'!$B$44))</f>
        <v>0</v>
      </c>
      <c r="AJ7" s="129">
        <f>Test!Y148</f>
        <v>0</v>
      </c>
      <c r="AK7" s="129">
        <f>Test!Z148</f>
        <v>0</v>
      </c>
      <c r="AL7" s="129" t="e">
        <f t="shared" si="2"/>
        <v>#DIV/0!</v>
      </c>
      <c r="AM7" s="129" t="e">
        <f t="shared" si="2"/>
        <v>#DIV/0!</v>
      </c>
      <c r="AO7" s="254" t="s">
        <v>28</v>
      </c>
      <c r="AP7" s="172" t="e" cm="1">
        <f t="array" ref="AP7">bdRateExtend($C6:$C9,D6:D9,$U6:$U9,V6:V9)</f>
        <v>#VALUE!</v>
      </c>
      <c r="AQ7" s="172"/>
      <c r="AR7" s="172"/>
      <c r="AS7" s="172"/>
      <c r="AT7" s="172" t="e" cm="1">
        <f t="array" ref="AT7">bdRateExtend($C6:$C9,H6:H9,$U6:$U9,Z6:Z9)</f>
        <v>#VALUE!</v>
      </c>
      <c r="AU7" s="172"/>
      <c r="AV7" s="172" t="e" cm="1">
        <f t="array" ref="AV7">bdRateExtend($C6:$C9,I6:I9,$U6:$U9,AA6:AA9)</f>
        <v>#VALUE!</v>
      </c>
      <c r="AW7" s="172"/>
      <c r="AX7" s="172" t="e" cm="1">
        <f t="array" ref="AX7">bdRateExtend($C6:$C9,J6:J9,$U6:$U9,AB6:AB9,"None", FALSE,1)</f>
        <v>#VALUE!</v>
      </c>
      <c r="AY7" s="175"/>
      <c r="AZ7" s="286" cm="1">
        <f t="array" ref="AZ7">testVMAFRange($C6:$C9,J6:J9,$U6:$U9,AB6:AB9)</f>
        <v>0</v>
      </c>
      <c r="BA7" s="212"/>
      <c r="CH7" s="5"/>
      <c r="CI7" s="11" t="s">
        <v>33</v>
      </c>
      <c r="CJ7" s="10" t="e">
        <f>CJ6-CJ5</f>
        <v>#VALUE!</v>
      </c>
      <c r="CK7" s="5"/>
      <c r="EV7" s="7"/>
      <c r="EW7" s="7"/>
      <c r="EX7" s="7"/>
      <c r="EY7" s="7"/>
      <c r="EZ7" s="7"/>
      <c r="FA7" s="7"/>
      <c r="FB7" s="7"/>
      <c r="FC7" s="7"/>
    </row>
    <row r="8" spans="1:175" x14ac:dyDescent="0.15">
      <c r="A8" s="249"/>
      <c r="B8" s="38">
        <v>185</v>
      </c>
      <c r="C8" s="129">
        <f>Anchor!L149</f>
        <v>0</v>
      </c>
      <c r="D8" s="129">
        <f>Anchor!M149</f>
        <v>0</v>
      </c>
      <c r="E8" s="129">
        <f>Anchor!N149</f>
        <v>0</v>
      </c>
      <c r="F8" s="129">
        <f>Anchor!O149</f>
        <v>0</v>
      </c>
      <c r="G8" s="130">
        <f>('Summary (Full)'!$B$34*D8+'Summary (Full)'!$B$35*E8+'Summary (Full)'!$B$36*F8)/'Summary (Full)'!$B$37</f>
        <v>0</v>
      </c>
      <c r="H8" s="129">
        <f>Anchor!P149</f>
        <v>0</v>
      </c>
      <c r="I8" s="129">
        <f>Anchor!Q149</f>
        <v>0</v>
      </c>
      <c r="J8" s="129">
        <f>Anchor!R149</f>
        <v>0</v>
      </c>
      <c r="K8" s="129">
        <f>Anchor!S149</f>
        <v>0</v>
      </c>
      <c r="L8" s="129">
        <f>Anchor!T149</f>
        <v>0</v>
      </c>
      <c r="M8" s="129">
        <f>Anchor!U149</f>
        <v>0</v>
      </c>
      <c r="N8" s="129">
        <f>Anchor!V149</f>
        <v>0</v>
      </c>
      <c r="O8" s="129">
        <f>Anchor!W149</f>
        <v>0</v>
      </c>
      <c r="P8" s="129">
        <f>Anchor!X149</f>
        <v>0</v>
      </c>
      <c r="Q8" s="131">
        <f>10*LOG10(1/(('Summary (Full)'!$B$41/10^(N8/10)+'Summary (Full)'!$B$42/10^(O8/10)+'Summary (Full)'!$B$43/10^(P8/10))/'Summary (Full)'!$B$44))</f>
        <v>0</v>
      </c>
      <c r="R8" s="129">
        <f>Anchor!Y149</f>
        <v>0</v>
      </c>
      <c r="S8" s="129">
        <f>Anchor!Z149</f>
        <v>0</v>
      </c>
      <c r="T8" s="129"/>
      <c r="U8" s="129">
        <f>Test!L149</f>
        <v>0</v>
      </c>
      <c r="V8" s="129">
        <f>Test!M149</f>
        <v>0</v>
      </c>
      <c r="W8" s="129">
        <f>Test!N149</f>
        <v>0</v>
      </c>
      <c r="X8" s="129">
        <f>Test!O149</f>
        <v>0</v>
      </c>
      <c r="Y8" s="129">
        <f>('Summary (Full)'!$B$34*V8+'Summary (Full)'!$B$35*W8+'Summary (Full)'!$B$36*X8)/'Summary (Full)'!$B$37</f>
        <v>0</v>
      </c>
      <c r="Z8" s="129">
        <f>Test!P149</f>
        <v>0</v>
      </c>
      <c r="AA8" s="129">
        <f>Test!Q149</f>
        <v>0</v>
      </c>
      <c r="AB8" s="129">
        <f>Test!R149</f>
        <v>0</v>
      </c>
      <c r="AC8" s="129">
        <f>Test!S149</f>
        <v>0</v>
      </c>
      <c r="AD8" s="129">
        <f>Test!T149</f>
        <v>0</v>
      </c>
      <c r="AE8" s="129">
        <f>Test!U149</f>
        <v>0</v>
      </c>
      <c r="AF8" s="129">
        <f>Test!V149</f>
        <v>0</v>
      </c>
      <c r="AG8" s="129">
        <f>Test!W149</f>
        <v>0</v>
      </c>
      <c r="AH8" s="129">
        <f>Test!X149</f>
        <v>0</v>
      </c>
      <c r="AI8" s="129">
        <f>10*LOG10(1/(('Summary (Full)'!$B$41/10^(AF8/10)+'Summary (Full)'!$B$42/10^(AG8/10)+'Summary (Full)'!$B$43/10^(AH8/10))/'Summary (Full)'!$B$44))</f>
        <v>0</v>
      </c>
      <c r="AJ8" s="129">
        <f>Test!Y149</f>
        <v>0</v>
      </c>
      <c r="AK8" s="129">
        <f>Test!Z149</f>
        <v>0</v>
      </c>
      <c r="AL8" s="129" t="e">
        <f t="shared" si="2"/>
        <v>#DIV/0!</v>
      </c>
      <c r="AM8" s="129" t="e">
        <f t="shared" si="2"/>
        <v>#DIV/0!</v>
      </c>
      <c r="AO8" s="254"/>
      <c r="AP8" s="172"/>
      <c r="AQ8" s="172"/>
      <c r="AR8" s="172"/>
      <c r="AS8" s="172"/>
      <c r="AT8" s="172"/>
      <c r="AU8" s="172"/>
      <c r="AV8" s="172"/>
      <c r="AW8" s="172"/>
      <c r="AX8" s="172"/>
      <c r="AY8" s="175"/>
      <c r="AZ8" s="286"/>
      <c r="BA8" s="212"/>
      <c r="CH8" s="5"/>
      <c r="CI8" s="11" t="s">
        <v>34</v>
      </c>
      <c r="CJ8" s="10" t="e">
        <f>CJ7^(3/4)</f>
        <v>#VALUE!</v>
      </c>
      <c r="CK8" s="5"/>
      <c r="EV8" s="7"/>
      <c r="EW8" s="7"/>
      <c r="EX8" s="7"/>
      <c r="EY8" s="7"/>
      <c r="EZ8" s="7"/>
      <c r="FA8" s="7"/>
      <c r="FB8" s="7"/>
      <c r="FC8" s="7"/>
    </row>
    <row r="9" spans="1:175" ht="13" customHeight="1" x14ac:dyDescent="0.15">
      <c r="A9" s="249"/>
      <c r="B9" s="38">
        <v>210</v>
      </c>
      <c r="C9" s="129">
        <f>Anchor!L150</f>
        <v>0</v>
      </c>
      <c r="D9" s="129">
        <f>Anchor!M150</f>
        <v>0</v>
      </c>
      <c r="E9" s="129">
        <f>Anchor!N150</f>
        <v>0</v>
      </c>
      <c r="F9" s="129">
        <f>Anchor!O150</f>
        <v>0</v>
      </c>
      <c r="G9" s="130">
        <f>('Summary (Full)'!$B$34*D9+'Summary (Full)'!$B$35*E9+'Summary (Full)'!$B$36*F9)/'Summary (Full)'!$B$37</f>
        <v>0</v>
      </c>
      <c r="H9" s="129">
        <f>Anchor!P150</f>
        <v>0</v>
      </c>
      <c r="I9" s="129">
        <f>Anchor!Q150</f>
        <v>0</v>
      </c>
      <c r="J9" s="129">
        <f>Anchor!R150</f>
        <v>0</v>
      </c>
      <c r="K9" s="129">
        <f>Anchor!S150</f>
        <v>0</v>
      </c>
      <c r="L9" s="129">
        <f>Anchor!T150</f>
        <v>0</v>
      </c>
      <c r="M9" s="129">
        <f>Anchor!U150</f>
        <v>0</v>
      </c>
      <c r="N9" s="129">
        <f>Anchor!V150</f>
        <v>0</v>
      </c>
      <c r="O9" s="129">
        <f>Anchor!W150</f>
        <v>0</v>
      </c>
      <c r="P9" s="129">
        <f>Anchor!X150</f>
        <v>0</v>
      </c>
      <c r="Q9" s="131">
        <f>10*LOG10(1/(('Summary (Full)'!$B$41/10^(N9/10)+'Summary (Full)'!$B$42/10^(O9/10)+'Summary (Full)'!$B$43/10^(P9/10))/'Summary (Full)'!$B$44))</f>
        <v>0</v>
      </c>
      <c r="R9" s="129">
        <f>Anchor!Y150</f>
        <v>0</v>
      </c>
      <c r="S9" s="129">
        <f>Anchor!Z150</f>
        <v>0</v>
      </c>
      <c r="T9" s="129"/>
      <c r="U9" s="129">
        <f>Test!L150</f>
        <v>0</v>
      </c>
      <c r="V9" s="129">
        <f>Test!M150</f>
        <v>0</v>
      </c>
      <c r="W9" s="129">
        <f>Test!N150</f>
        <v>0</v>
      </c>
      <c r="X9" s="129">
        <f>Test!O150</f>
        <v>0</v>
      </c>
      <c r="Y9" s="129">
        <f>('Summary (Full)'!$B$34*V9+'Summary (Full)'!$B$35*W9+'Summary (Full)'!$B$36*X9)/'Summary (Full)'!$B$37</f>
        <v>0</v>
      </c>
      <c r="Z9" s="129">
        <f>Test!P150</f>
        <v>0</v>
      </c>
      <c r="AA9" s="129">
        <f>Test!Q150</f>
        <v>0</v>
      </c>
      <c r="AB9" s="129">
        <f>Test!R150</f>
        <v>0</v>
      </c>
      <c r="AC9" s="129">
        <f>Test!S150</f>
        <v>0</v>
      </c>
      <c r="AD9" s="129">
        <f>Test!T150</f>
        <v>0</v>
      </c>
      <c r="AE9" s="129">
        <f>Test!U150</f>
        <v>0</v>
      </c>
      <c r="AF9" s="129">
        <f>Test!V150</f>
        <v>0</v>
      </c>
      <c r="AG9" s="129">
        <f>Test!W150</f>
        <v>0</v>
      </c>
      <c r="AH9" s="129">
        <f>Test!X150</f>
        <v>0</v>
      </c>
      <c r="AI9" s="129">
        <f>10*LOG10(1/(('Summary (Full)'!$B$41/10^(AF9/10)+'Summary (Full)'!$B$42/10^(AG9/10)+'Summary (Full)'!$B$43/10^(AH9/10))/'Summary (Full)'!$B$44))</f>
        <v>0</v>
      </c>
      <c r="AJ9" s="129">
        <f>Test!Y150</f>
        <v>0</v>
      </c>
      <c r="AK9" s="129">
        <f>Test!Z150</f>
        <v>0</v>
      </c>
      <c r="AL9" s="129" t="e">
        <f t="shared" si="2"/>
        <v>#DIV/0!</v>
      </c>
      <c r="AM9" s="129" t="e">
        <f t="shared" si="2"/>
        <v>#DIV/0!</v>
      </c>
      <c r="AO9" s="254" t="s">
        <v>29</v>
      </c>
      <c r="AP9" s="172" t="e" cm="1">
        <f t="array" ref="AP9">bdRateExtend($C7:$C10,D7:D10,$U7:$U10,V7:V10)</f>
        <v>#VALUE!</v>
      </c>
      <c r="AQ9" s="172"/>
      <c r="AR9" s="172"/>
      <c r="AS9" s="172"/>
      <c r="AT9" s="172" t="e" cm="1">
        <f t="array" ref="AT9">bdRateExtend($C7:$C10,H7:H10,$U7:$U10,Z7:Z10)</f>
        <v>#VALUE!</v>
      </c>
      <c r="AU9" s="172"/>
      <c r="AV9" s="172" t="e" cm="1">
        <f t="array" ref="AV9">bdRateExtend($C7:$C10,I7:I10,$U7:$U10,AA7:AA10)</f>
        <v>#VALUE!</v>
      </c>
      <c r="AW9" s="172"/>
      <c r="AX9" s="172" t="e" cm="1">
        <f t="array" ref="AX9">bdRateExtend($C7:$C10,J7:J10,$U7:$U10,AB7:AB10,"None", FALSE,1)</f>
        <v>#VALUE!</v>
      </c>
      <c r="AY9" s="175"/>
      <c r="AZ9" s="286" cm="1">
        <f t="array" ref="AZ9">testVMAFRange($C7:$C10,J7:J10,$U7:$U10,AB7:AB10)</f>
        <v>0</v>
      </c>
      <c r="BA9" s="212"/>
      <c r="CH9" s="5"/>
      <c r="CI9" s="11" t="s">
        <v>35</v>
      </c>
      <c r="CJ9" s="10" t="e">
        <f>CJ7^(1/2)</f>
        <v>#VALUE!</v>
      </c>
      <c r="CK9" s="5"/>
      <c r="EV9" s="7"/>
      <c r="EW9" s="7"/>
      <c r="EX9" s="7"/>
      <c r="EY9" s="7"/>
      <c r="EZ9" s="7"/>
      <c r="FA9" s="7"/>
      <c r="FB9" s="7"/>
      <c r="FC9" s="7"/>
    </row>
    <row r="10" spans="1:175" ht="14" thickBot="1" x14ac:dyDescent="0.2">
      <c r="A10" s="249"/>
      <c r="B10" s="38">
        <v>235</v>
      </c>
      <c r="C10" s="129">
        <f>Anchor!L151</f>
        <v>0</v>
      </c>
      <c r="D10" s="129">
        <f>Anchor!M151</f>
        <v>0</v>
      </c>
      <c r="E10" s="129">
        <f>Anchor!N151</f>
        <v>0</v>
      </c>
      <c r="F10" s="129">
        <f>Anchor!O151</f>
        <v>0</v>
      </c>
      <c r="G10" s="130">
        <f>('Summary (Full)'!$B$34*D10+'Summary (Full)'!$B$35*E10+'Summary (Full)'!$B$36*F10)/'Summary (Full)'!$B$37</f>
        <v>0</v>
      </c>
      <c r="H10" s="129">
        <f>Anchor!P151</f>
        <v>0</v>
      </c>
      <c r="I10" s="129">
        <f>Anchor!Q151</f>
        <v>0</v>
      </c>
      <c r="J10" s="129">
        <f>Anchor!R151</f>
        <v>0</v>
      </c>
      <c r="K10" s="129">
        <f>Anchor!S151</f>
        <v>0</v>
      </c>
      <c r="L10" s="129">
        <f>Anchor!T151</f>
        <v>0</v>
      </c>
      <c r="M10" s="129">
        <f>Anchor!U151</f>
        <v>0</v>
      </c>
      <c r="N10" s="129">
        <f>Anchor!V151</f>
        <v>0</v>
      </c>
      <c r="O10" s="129">
        <f>Anchor!W151</f>
        <v>0</v>
      </c>
      <c r="P10" s="129">
        <f>Anchor!X151</f>
        <v>0</v>
      </c>
      <c r="Q10" s="131">
        <f>10*LOG10(1/(('Summary (Full)'!$B$41/10^(N10/10)+'Summary (Full)'!$B$42/10^(O10/10)+'Summary (Full)'!$B$43/10^(P10/10))/'Summary (Full)'!$B$44))</f>
        <v>0</v>
      </c>
      <c r="R10" s="129">
        <f>Anchor!Y151</f>
        <v>0</v>
      </c>
      <c r="S10" s="129">
        <f>Anchor!Z151</f>
        <v>0</v>
      </c>
      <c r="T10" s="129"/>
      <c r="U10" s="129">
        <f>Test!L151</f>
        <v>0</v>
      </c>
      <c r="V10" s="129">
        <f>Test!M151</f>
        <v>0</v>
      </c>
      <c r="W10" s="129">
        <f>Test!N151</f>
        <v>0</v>
      </c>
      <c r="X10" s="129">
        <f>Test!O151</f>
        <v>0</v>
      </c>
      <c r="Y10" s="129">
        <f>('Summary (Full)'!$B$34*V10+'Summary (Full)'!$B$35*W10+'Summary (Full)'!$B$36*X10)/'Summary (Full)'!$B$37</f>
        <v>0</v>
      </c>
      <c r="Z10" s="129">
        <f>Test!P151</f>
        <v>0</v>
      </c>
      <c r="AA10" s="129">
        <f>Test!Q151</f>
        <v>0</v>
      </c>
      <c r="AB10" s="129">
        <f>Test!R151</f>
        <v>0</v>
      </c>
      <c r="AC10" s="129">
        <f>Test!S151</f>
        <v>0</v>
      </c>
      <c r="AD10" s="129">
        <f>Test!T151</f>
        <v>0</v>
      </c>
      <c r="AE10" s="129">
        <f>Test!U151</f>
        <v>0</v>
      </c>
      <c r="AF10" s="129">
        <f>Test!V151</f>
        <v>0</v>
      </c>
      <c r="AG10" s="129">
        <f>Test!W151</f>
        <v>0</v>
      </c>
      <c r="AH10" s="129">
        <f>Test!X151</f>
        <v>0</v>
      </c>
      <c r="AI10" s="129">
        <f>10*LOG10(1/(('Summary (Full)'!$B$41/10^(AF10/10)+'Summary (Full)'!$B$42/10^(AG10/10)+'Summary (Full)'!$B$43/10^(AH10/10))/'Summary (Full)'!$B$44))</f>
        <v>0</v>
      </c>
      <c r="AJ10" s="129">
        <f>Test!Y151</f>
        <v>0</v>
      </c>
      <c r="AK10" s="129">
        <f>Test!Z151</f>
        <v>0</v>
      </c>
      <c r="AL10" s="129" t="e">
        <f t="shared" si="2"/>
        <v>#DIV/0!</v>
      </c>
      <c r="AM10" s="129" t="e">
        <f t="shared" si="2"/>
        <v>#DIV/0!</v>
      </c>
      <c r="AO10" s="263"/>
      <c r="AP10" s="173"/>
      <c r="AQ10" s="173"/>
      <c r="AR10" s="173"/>
      <c r="AS10" s="173"/>
      <c r="AT10" s="173"/>
      <c r="AU10" s="173"/>
      <c r="AV10" s="173"/>
      <c r="AW10" s="173"/>
      <c r="AX10" s="173"/>
      <c r="AY10" s="188"/>
      <c r="AZ10" s="287"/>
      <c r="BA10" s="240"/>
      <c r="CH10" s="5"/>
      <c r="CI10" s="11" t="s">
        <v>36</v>
      </c>
      <c r="CJ10" s="10" t="e">
        <f>CJ5+CJ9</f>
        <v>#VALUE!</v>
      </c>
      <c r="CK10" s="5"/>
      <c r="EV10" s="7"/>
      <c r="EW10" s="7"/>
      <c r="EX10" s="7"/>
      <c r="EY10" s="7"/>
      <c r="EZ10" s="7"/>
      <c r="FA10" s="7"/>
      <c r="FB10" s="7"/>
      <c r="FC10" s="7"/>
    </row>
    <row r="11" spans="1:175" ht="13" customHeight="1" x14ac:dyDescent="0.15">
      <c r="A11" s="249" t="s">
        <v>18</v>
      </c>
      <c r="B11" s="38">
        <v>110</v>
      </c>
      <c r="C11" s="129">
        <f>Anchor!L152</f>
        <v>0</v>
      </c>
      <c r="D11" s="129">
        <f>Anchor!M152</f>
        <v>0</v>
      </c>
      <c r="E11" s="129">
        <f>Anchor!N152</f>
        <v>0</v>
      </c>
      <c r="F11" s="129">
        <f>Anchor!O152</f>
        <v>0</v>
      </c>
      <c r="G11" s="130">
        <f>('Summary (Full)'!$B$34*D11+'Summary (Full)'!$B$35*E11+'Summary (Full)'!$B$36*F11)/'Summary (Full)'!$B$37</f>
        <v>0</v>
      </c>
      <c r="H11" s="129">
        <f>Anchor!P152</f>
        <v>0</v>
      </c>
      <c r="I11" s="129">
        <f>Anchor!Q152</f>
        <v>0</v>
      </c>
      <c r="J11" s="129">
        <f>Anchor!R152</f>
        <v>0</v>
      </c>
      <c r="K11" s="129">
        <f>Anchor!S152</f>
        <v>0</v>
      </c>
      <c r="L11" s="129">
        <f>Anchor!T152</f>
        <v>0</v>
      </c>
      <c r="M11" s="129">
        <f>Anchor!U152</f>
        <v>0</v>
      </c>
      <c r="N11" s="129">
        <f>Anchor!V152</f>
        <v>0</v>
      </c>
      <c r="O11" s="129">
        <f>Anchor!W152</f>
        <v>0</v>
      </c>
      <c r="P11" s="129">
        <f>Anchor!X152</f>
        <v>0</v>
      </c>
      <c r="Q11" s="131">
        <f>10*LOG10(1/(('Summary (Full)'!$B$41/10^(N11/10)+'Summary (Full)'!$B$42/10^(O11/10)+'Summary (Full)'!$B$43/10^(P11/10))/'Summary (Full)'!$B$44))</f>
        <v>0</v>
      </c>
      <c r="R11" s="129">
        <f>Anchor!Y152</f>
        <v>0</v>
      </c>
      <c r="S11" s="129">
        <f>Anchor!Z152</f>
        <v>0</v>
      </c>
      <c r="T11" s="129"/>
      <c r="U11" s="129">
        <f>Test!L152</f>
        <v>0</v>
      </c>
      <c r="V11" s="129">
        <f>Test!M152</f>
        <v>0</v>
      </c>
      <c r="W11" s="129">
        <f>Test!N152</f>
        <v>0</v>
      </c>
      <c r="X11" s="129">
        <f>Test!O152</f>
        <v>0</v>
      </c>
      <c r="Y11" s="129">
        <f>('Summary (Full)'!$B$34*V11+'Summary (Full)'!$B$35*W11+'Summary (Full)'!$B$36*X11)/'Summary (Full)'!$B$37</f>
        <v>0</v>
      </c>
      <c r="Z11" s="129">
        <f>Test!P152</f>
        <v>0</v>
      </c>
      <c r="AA11" s="129">
        <f>Test!Q152</f>
        <v>0</v>
      </c>
      <c r="AB11" s="129">
        <f>Test!R152</f>
        <v>0</v>
      </c>
      <c r="AC11" s="129">
        <f>Test!S152</f>
        <v>0</v>
      </c>
      <c r="AD11" s="129">
        <f>Test!T152</f>
        <v>0</v>
      </c>
      <c r="AE11" s="129">
        <f>Test!U152</f>
        <v>0</v>
      </c>
      <c r="AF11" s="129">
        <f>Test!V152</f>
        <v>0</v>
      </c>
      <c r="AG11" s="129">
        <f>Test!W152</f>
        <v>0</v>
      </c>
      <c r="AH11" s="129">
        <f>Test!X152</f>
        <v>0</v>
      </c>
      <c r="AI11" s="129">
        <f>10*LOG10(1/(('Summary (Full)'!$B$41/10^(AF11/10)+'Summary (Full)'!$B$42/10^(AG11/10)+'Summary (Full)'!$B$43/10^(AH11/10))/'Summary (Full)'!$B$44))</f>
        <v>0</v>
      </c>
      <c r="AJ11" s="129">
        <f>Test!Y152</f>
        <v>0</v>
      </c>
      <c r="AK11" s="129">
        <f>Test!Z152</f>
        <v>0</v>
      </c>
      <c r="AL11" s="129" t="e">
        <f t="shared" si="2"/>
        <v>#DIV/0!</v>
      </c>
      <c r="AM11" s="129" t="e">
        <f t="shared" si="2"/>
        <v>#DIV/0!</v>
      </c>
      <c r="AO11" s="253" t="s">
        <v>27</v>
      </c>
      <c r="AP11" s="171" t="e" cm="1">
        <f t="array" ref="AP11">bdRateExtend($C11:$C14,D11:D14,$U11:$U14,V11:V14)</f>
        <v>#VALUE!</v>
      </c>
      <c r="AQ11" s="171" t="e" cm="1">
        <f t="array" ref="AQ11">bdRateExtend($C11:$C16,D11:D16,$U11:$U16,V11:V16)</f>
        <v>#VALUE!</v>
      </c>
      <c r="AR11" s="171" t="e" cm="1">
        <f t="array" ref="AR11">bdRateExtend($C11:$C16,E11:E16,$U11:$U16,W11:W16)</f>
        <v>#VALUE!</v>
      </c>
      <c r="AS11" s="171" t="e" cm="1">
        <f t="array" ref="AS11">bdRateExtend($C11:$C16,F11:F16,$U11:$U16,X11:X16)</f>
        <v>#VALUE!</v>
      </c>
      <c r="AT11" s="171" t="e" cm="1">
        <f t="array" ref="AT11">bdRateExtend($C11:$C14,H11:H14,$U11:$U14,Z11:Z14)</f>
        <v>#VALUE!</v>
      </c>
      <c r="AU11" s="171" t="e" cm="1">
        <f t="array" ref="AU11">bdRateExtend($C11:$C16,H11:H16,$U11:$U16,Z11:Z16)</f>
        <v>#VALUE!</v>
      </c>
      <c r="AV11" s="171" t="e" cm="1">
        <f t="array" ref="AV11">bdRateExtend($C11:$C14,I11:I14,$U11:$U14,AA11:AA14)</f>
        <v>#VALUE!</v>
      </c>
      <c r="AW11" s="171" t="e" cm="1">
        <f t="array" ref="AW11">bdRateExtend($C11:$C16,I11:I16,$U11:$U16,AA11:AA16)</f>
        <v>#VALUE!</v>
      </c>
      <c r="AX11" s="171" t="e" cm="1">
        <f t="array" ref="AX11">bdRateExtend($C11:$C14,J11:J14,$U11:$U14,AB11:AB14,"None", FALSE,1)</f>
        <v>#VALUE!</v>
      </c>
      <c r="AY11" s="174" t="e" cm="1">
        <f t="array" ref="AY11">bdRateExtend($C11:$C16,J11:J16,$U11:$U16,AB11:AB16,"None", FALSE,TRUE)</f>
        <v>#VALUE!</v>
      </c>
      <c r="AZ11" s="285" cm="1">
        <f t="array" ref="AZ11">testVMAFRange($C11:$C14,J11:J14,$U11:$U14,AB11:AB14)</f>
        <v>0</v>
      </c>
      <c r="BA11" s="211" cm="1">
        <f t="array" ref="BA11">testVMAFRange($C11:$C16,J11:J16,$U11:$U16,AB11:AB16)</f>
        <v>0</v>
      </c>
      <c r="CI11" s="11" t="s">
        <v>37</v>
      </c>
      <c r="CJ11" s="10" t="e">
        <f>CJ5+CJ8</f>
        <v>#VALUE!</v>
      </c>
      <c r="EV11" s="7"/>
      <c r="EW11" s="7"/>
      <c r="EX11" s="7"/>
      <c r="EY11" s="7"/>
      <c r="EZ11" s="7"/>
      <c r="FA11" s="7"/>
      <c r="FB11" s="7"/>
      <c r="FC11" s="7"/>
    </row>
    <row r="12" spans="1:175" x14ac:dyDescent="0.15">
      <c r="A12" s="249"/>
      <c r="B12" s="38">
        <v>135</v>
      </c>
      <c r="C12" s="129">
        <f>Anchor!L153</f>
        <v>0</v>
      </c>
      <c r="D12" s="129">
        <f>Anchor!M153</f>
        <v>0</v>
      </c>
      <c r="E12" s="129">
        <f>Anchor!N153</f>
        <v>0</v>
      </c>
      <c r="F12" s="129">
        <f>Anchor!O153</f>
        <v>0</v>
      </c>
      <c r="G12" s="130">
        <f>('Summary (Full)'!$B$34*D12+'Summary (Full)'!$B$35*E12+'Summary (Full)'!$B$36*F12)/'Summary (Full)'!$B$37</f>
        <v>0</v>
      </c>
      <c r="H12" s="129">
        <f>Anchor!P153</f>
        <v>0</v>
      </c>
      <c r="I12" s="129">
        <f>Anchor!Q153</f>
        <v>0</v>
      </c>
      <c r="J12" s="129">
        <f>Anchor!R153</f>
        <v>0</v>
      </c>
      <c r="K12" s="129">
        <f>Anchor!S153</f>
        <v>0</v>
      </c>
      <c r="L12" s="129">
        <f>Anchor!T153</f>
        <v>0</v>
      </c>
      <c r="M12" s="129">
        <f>Anchor!U153</f>
        <v>0</v>
      </c>
      <c r="N12" s="129">
        <f>Anchor!V153</f>
        <v>0</v>
      </c>
      <c r="O12" s="129">
        <f>Anchor!W153</f>
        <v>0</v>
      </c>
      <c r="P12" s="129">
        <f>Anchor!X153</f>
        <v>0</v>
      </c>
      <c r="Q12" s="131">
        <f>10*LOG10(1/(('Summary (Full)'!$B$41/10^(N12/10)+'Summary (Full)'!$B$42/10^(O12/10)+'Summary (Full)'!$B$43/10^(P12/10))/'Summary (Full)'!$B$44))</f>
        <v>0</v>
      </c>
      <c r="R12" s="129">
        <f>Anchor!Y153</f>
        <v>0</v>
      </c>
      <c r="S12" s="129">
        <f>Anchor!Z153</f>
        <v>0</v>
      </c>
      <c r="T12" s="129"/>
      <c r="U12" s="129">
        <f>Test!L153</f>
        <v>0</v>
      </c>
      <c r="V12" s="129">
        <f>Test!M153</f>
        <v>0</v>
      </c>
      <c r="W12" s="129">
        <f>Test!N153</f>
        <v>0</v>
      </c>
      <c r="X12" s="129">
        <f>Test!O153</f>
        <v>0</v>
      </c>
      <c r="Y12" s="129">
        <f>('Summary (Full)'!$B$34*V12+'Summary (Full)'!$B$35*W12+'Summary (Full)'!$B$36*X12)/'Summary (Full)'!$B$37</f>
        <v>0</v>
      </c>
      <c r="Z12" s="129">
        <f>Test!P153</f>
        <v>0</v>
      </c>
      <c r="AA12" s="129">
        <f>Test!Q153</f>
        <v>0</v>
      </c>
      <c r="AB12" s="129">
        <f>Test!R153</f>
        <v>0</v>
      </c>
      <c r="AC12" s="129">
        <f>Test!S153</f>
        <v>0</v>
      </c>
      <c r="AD12" s="129">
        <f>Test!T153</f>
        <v>0</v>
      </c>
      <c r="AE12" s="129">
        <f>Test!U153</f>
        <v>0</v>
      </c>
      <c r="AF12" s="129">
        <f>Test!V153</f>
        <v>0</v>
      </c>
      <c r="AG12" s="129">
        <f>Test!W153</f>
        <v>0</v>
      </c>
      <c r="AH12" s="129">
        <f>Test!X153</f>
        <v>0</v>
      </c>
      <c r="AI12" s="129">
        <f>10*LOG10(1/(('Summary (Full)'!$B$41/10^(AF12/10)+'Summary (Full)'!$B$42/10^(AG12/10)+'Summary (Full)'!$B$43/10^(AH12/10))/'Summary (Full)'!$B$44))</f>
        <v>0</v>
      </c>
      <c r="AJ12" s="129">
        <f>Test!Y153</f>
        <v>0</v>
      </c>
      <c r="AK12" s="129">
        <f>Test!Z153</f>
        <v>0</v>
      </c>
      <c r="AL12" s="129" t="e">
        <f t="shared" si="2"/>
        <v>#DIV/0!</v>
      </c>
      <c r="AM12" s="129" t="e">
        <f t="shared" si="2"/>
        <v>#DIV/0!</v>
      </c>
      <c r="AO12" s="254"/>
      <c r="AP12" s="172"/>
      <c r="AQ12" s="172"/>
      <c r="AR12" s="172"/>
      <c r="AS12" s="172"/>
      <c r="AT12" s="172"/>
      <c r="AU12" s="172"/>
      <c r="AV12" s="172"/>
      <c r="AW12" s="172"/>
      <c r="AX12" s="172"/>
      <c r="AY12" s="175"/>
      <c r="AZ12" s="286"/>
      <c r="BA12" s="212"/>
      <c r="EV12" s="7"/>
      <c r="EW12" s="7"/>
      <c r="EX12" s="7"/>
      <c r="EY12" s="7"/>
      <c r="EZ12" s="7"/>
      <c r="FA12" s="7"/>
      <c r="FB12" s="7"/>
      <c r="FC12" s="7"/>
    </row>
    <row r="13" spans="1:175" ht="13" customHeight="1" x14ac:dyDescent="0.15">
      <c r="A13" s="249"/>
      <c r="B13" s="38">
        <v>160</v>
      </c>
      <c r="C13" s="129">
        <f>Anchor!L154</f>
        <v>0</v>
      </c>
      <c r="D13" s="129">
        <f>Anchor!M154</f>
        <v>0</v>
      </c>
      <c r="E13" s="129">
        <f>Anchor!N154</f>
        <v>0</v>
      </c>
      <c r="F13" s="129">
        <f>Anchor!O154</f>
        <v>0</v>
      </c>
      <c r="G13" s="130">
        <f>('Summary (Full)'!$B$34*D13+'Summary (Full)'!$B$35*E13+'Summary (Full)'!$B$36*F13)/'Summary (Full)'!$B$37</f>
        <v>0</v>
      </c>
      <c r="H13" s="129">
        <f>Anchor!P154</f>
        <v>0</v>
      </c>
      <c r="I13" s="129">
        <f>Anchor!Q154</f>
        <v>0</v>
      </c>
      <c r="J13" s="129">
        <f>Anchor!R154</f>
        <v>0</v>
      </c>
      <c r="K13" s="129">
        <f>Anchor!S154</f>
        <v>0</v>
      </c>
      <c r="L13" s="129">
        <f>Anchor!T154</f>
        <v>0</v>
      </c>
      <c r="M13" s="129">
        <f>Anchor!U154</f>
        <v>0</v>
      </c>
      <c r="N13" s="129">
        <f>Anchor!V154</f>
        <v>0</v>
      </c>
      <c r="O13" s="129">
        <f>Anchor!W154</f>
        <v>0</v>
      </c>
      <c r="P13" s="129">
        <f>Anchor!X154</f>
        <v>0</v>
      </c>
      <c r="Q13" s="131">
        <f>10*LOG10(1/(('Summary (Full)'!$B$41/10^(N13/10)+'Summary (Full)'!$B$42/10^(O13/10)+'Summary (Full)'!$B$43/10^(P13/10))/'Summary (Full)'!$B$44))</f>
        <v>0</v>
      </c>
      <c r="R13" s="129">
        <f>Anchor!Y154</f>
        <v>0</v>
      </c>
      <c r="S13" s="129">
        <f>Anchor!Z154</f>
        <v>0</v>
      </c>
      <c r="T13" s="129"/>
      <c r="U13" s="129">
        <f>Test!L154</f>
        <v>0</v>
      </c>
      <c r="V13" s="129">
        <f>Test!M154</f>
        <v>0</v>
      </c>
      <c r="W13" s="129">
        <f>Test!N154</f>
        <v>0</v>
      </c>
      <c r="X13" s="129">
        <f>Test!O154</f>
        <v>0</v>
      </c>
      <c r="Y13" s="129">
        <f>('Summary (Full)'!$B$34*V13+'Summary (Full)'!$B$35*W13+'Summary (Full)'!$B$36*X13)/'Summary (Full)'!$B$37</f>
        <v>0</v>
      </c>
      <c r="Z13" s="129">
        <f>Test!P154</f>
        <v>0</v>
      </c>
      <c r="AA13" s="129">
        <f>Test!Q154</f>
        <v>0</v>
      </c>
      <c r="AB13" s="129">
        <f>Test!R154</f>
        <v>0</v>
      </c>
      <c r="AC13" s="129">
        <f>Test!S154</f>
        <v>0</v>
      </c>
      <c r="AD13" s="129">
        <f>Test!T154</f>
        <v>0</v>
      </c>
      <c r="AE13" s="129">
        <f>Test!U154</f>
        <v>0</v>
      </c>
      <c r="AF13" s="129">
        <f>Test!V154</f>
        <v>0</v>
      </c>
      <c r="AG13" s="129">
        <f>Test!W154</f>
        <v>0</v>
      </c>
      <c r="AH13" s="129">
        <f>Test!X154</f>
        <v>0</v>
      </c>
      <c r="AI13" s="129">
        <f>10*LOG10(1/(('Summary (Full)'!$B$41/10^(AF13/10)+'Summary (Full)'!$B$42/10^(AG13/10)+'Summary (Full)'!$B$43/10^(AH13/10))/'Summary (Full)'!$B$44))</f>
        <v>0</v>
      </c>
      <c r="AJ13" s="129">
        <f>Test!Y154</f>
        <v>0</v>
      </c>
      <c r="AK13" s="129">
        <f>Test!Z154</f>
        <v>0</v>
      </c>
      <c r="AL13" s="129" t="e">
        <f t="shared" si="2"/>
        <v>#DIV/0!</v>
      </c>
      <c r="AM13" s="129" t="e">
        <f t="shared" si="2"/>
        <v>#DIV/0!</v>
      </c>
      <c r="AO13" s="254" t="s">
        <v>28</v>
      </c>
      <c r="AP13" s="172" t="e" cm="1">
        <f t="array" ref="AP13">bdRateExtend($C12:$C15,D12:D15,$U12:$U15,V12:V15)</f>
        <v>#VALUE!</v>
      </c>
      <c r="AQ13" s="172"/>
      <c r="AR13" s="172"/>
      <c r="AS13" s="172"/>
      <c r="AT13" s="172" t="e" cm="1">
        <f t="array" ref="AT13">bdRateExtend($C12:$C15,H12:H15,$U12:$U15,Z12:Z15)</f>
        <v>#VALUE!</v>
      </c>
      <c r="AU13" s="172"/>
      <c r="AV13" s="172" t="e" cm="1">
        <f t="array" ref="AV13">bdRateExtend($C12:$C15,I12:I15,$U12:$U15,AA12:AA15)</f>
        <v>#VALUE!</v>
      </c>
      <c r="AW13" s="172"/>
      <c r="AX13" s="172" t="e" cm="1">
        <f t="array" ref="AX13">bdRateExtend($C12:$C15,J12:J15,$U12:$U15,AB12:AB15,"None", FALSE,1)</f>
        <v>#VALUE!</v>
      </c>
      <c r="AY13" s="175"/>
      <c r="AZ13" s="286" cm="1">
        <f t="array" ref="AZ13">testVMAFRange($C12:$C15,J12:J15,$U12:$U15,AB12:AB15)</f>
        <v>0</v>
      </c>
      <c r="BA13" s="212"/>
      <c r="EV13" s="7"/>
      <c r="EW13" s="7"/>
      <c r="EX13" s="7"/>
      <c r="EY13" s="7"/>
      <c r="EZ13" s="7"/>
      <c r="FA13" s="7"/>
      <c r="FB13" s="7"/>
      <c r="FC13" s="7"/>
    </row>
    <row r="14" spans="1:175" x14ac:dyDescent="0.15">
      <c r="A14" s="249"/>
      <c r="B14" s="38">
        <v>185</v>
      </c>
      <c r="C14" s="129">
        <f>Anchor!L155</f>
        <v>0</v>
      </c>
      <c r="D14" s="129">
        <f>Anchor!M155</f>
        <v>0</v>
      </c>
      <c r="E14" s="129">
        <f>Anchor!N155</f>
        <v>0</v>
      </c>
      <c r="F14" s="129">
        <f>Anchor!O155</f>
        <v>0</v>
      </c>
      <c r="G14" s="130">
        <f>('Summary (Full)'!$B$34*D14+'Summary (Full)'!$B$35*E14+'Summary (Full)'!$B$36*F14)/'Summary (Full)'!$B$37</f>
        <v>0</v>
      </c>
      <c r="H14" s="129">
        <f>Anchor!P155</f>
        <v>0</v>
      </c>
      <c r="I14" s="129">
        <f>Anchor!Q155</f>
        <v>0</v>
      </c>
      <c r="J14" s="129">
        <f>Anchor!R155</f>
        <v>0</v>
      </c>
      <c r="K14" s="129">
        <f>Anchor!S155</f>
        <v>0</v>
      </c>
      <c r="L14" s="129">
        <f>Anchor!T155</f>
        <v>0</v>
      </c>
      <c r="M14" s="129">
        <f>Anchor!U155</f>
        <v>0</v>
      </c>
      <c r="N14" s="129">
        <f>Anchor!V155</f>
        <v>0</v>
      </c>
      <c r="O14" s="129">
        <f>Anchor!W155</f>
        <v>0</v>
      </c>
      <c r="P14" s="129">
        <f>Anchor!X155</f>
        <v>0</v>
      </c>
      <c r="Q14" s="131">
        <f>10*LOG10(1/(('Summary (Full)'!$B$41/10^(N14/10)+'Summary (Full)'!$B$42/10^(O14/10)+'Summary (Full)'!$B$43/10^(P14/10))/'Summary (Full)'!$B$44))</f>
        <v>0</v>
      </c>
      <c r="R14" s="129">
        <f>Anchor!Y155</f>
        <v>0</v>
      </c>
      <c r="S14" s="129">
        <f>Anchor!Z155</f>
        <v>0</v>
      </c>
      <c r="T14" s="129"/>
      <c r="U14" s="129">
        <f>Test!L155</f>
        <v>0</v>
      </c>
      <c r="V14" s="129">
        <f>Test!M155</f>
        <v>0</v>
      </c>
      <c r="W14" s="129">
        <f>Test!N155</f>
        <v>0</v>
      </c>
      <c r="X14" s="129">
        <f>Test!O155</f>
        <v>0</v>
      </c>
      <c r="Y14" s="129">
        <f>('Summary (Full)'!$B$34*V14+'Summary (Full)'!$B$35*W14+'Summary (Full)'!$B$36*X14)/'Summary (Full)'!$B$37</f>
        <v>0</v>
      </c>
      <c r="Z14" s="129">
        <f>Test!P155</f>
        <v>0</v>
      </c>
      <c r="AA14" s="129">
        <f>Test!Q155</f>
        <v>0</v>
      </c>
      <c r="AB14" s="129">
        <f>Test!R155</f>
        <v>0</v>
      </c>
      <c r="AC14" s="129">
        <f>Test!S155</f>
        <v>0</v>
      </c>
      <c r="AD14" s="129">
        <f>Test!T155</f>
        <v>0</v>
      </c>
      <c r="AE14" s="129">
        <f>Test!U155</f>
        <v>0</v>
      </c>
      <c r="AF14" s="129">
        <f>Test!V155</f>
        <v>0</v>
      </c>
      <c r="AG14" s="129">
        <f>Test!W155</f>
        <v>0</v>
      </c>
      <c r="AH14" s="129">
        <f>Test!X155</f>
        <v>0</v>
      </c>
      <c r="AI14" s="129">
        <f>10*LOG10(1/(('Summary (Full)'!$B$41/10^(AF14/10)+'Summary (Full)'!$B$42/10^(AG14/10)+'Summary (Full)'!$B$43/10^(AH14/10))/'Summary (Full)'!$B$44))</f>
        <v>0</v>
      </c>
      <c r="AJ14" s="129">
        <f>Test!Y155</f>
        <v>0</v>
      </c>
      <c r="AK14" s="129">
        <f>Test!Z155</f>
        <v>0</v>
      </c>
      <c r="AL14" s="129" t="e">
        <f t="shared" si="2"/>
        <v>#DIV/0!</v>
      </c>
      <c r="AM14" s="129" t="e">
        <f t="shared" si="2"/>
        <v>#DIV/0!</v>
      </c>
      <c r="AO14" s="254"/>
      <c r="AP14" s="172"/>
      <c r="AQ14" s="172"/>
      <c r="AR14" s="172"/>
      <c r="AS14" s="172"/>
      <c r="AT14" s="172"/>
      <c r="AU14" s="172"/>
      <c r="AV14" s="172"/>
      <c r="AW14" s="172"/>
      <c r="AX14" s="172"/>
      <c r="AY14" s="175"/>
      <c r="AZ14" s="286"/>
      <c r="BA14" s="212"/>
      <c r="EV14" s="7"/>
      <c r="EW14" s="7"/>
      <c r="EX14" s="7"/>
      <c r="EY14" s="7"/>
      <c r="EZ14" s="7"/>
      <c r="FA14" s="7"/>
      <c r="FB14" s="7"/>
      <c r="FC14" s="7"/>
    </row>
    <row r="15" spans="1:175" ht="13" customHeight="1" x14ac:dyDescent="0.15">
      <c r="A15" s="249"/>
      <c r="B15" s="38">
        <v>210</v>
      </c>
      <c r="C15" s="129">
        <f>Anchor!L156</f>
        <v>0</v>
      </c>
      <c r="D15" s="129">
        <f>Anchor!M156</f>
        <v>0</v>
      </c>
      <c r="E15" s="129">
        <f>Anchor!N156</f>
        <v>0</v>
      </c>
      <c r="F15" s="129">
        <f>Anchor!O156</f>
        <v>0</v>
      </c>
      <c r="G15" s="130">
        <f>('Summary (Full)'!$B$34*D15+'Summary (Full)'!$B$35*E15+'Summary (Full)'!$B$36*F15)/'Summary (Full)'!$B$37</f>
        <v>0</v>
      </c>
      <c r="H15" s="129">
        <f>Anchor!P156</f>
        <v>0</v>
      </c>
      <c r="I15" s="129">
        <f>Anchor!Q156</f>
        <v>0</v>
      </c>
      <c r="J15" s="129">
        <f>Anchor!R156</f>
        <v>0</v>
      </c>
      <c r="K15" s="129">
        <f>Anchor!S156</f>
        <v>0</v>
      </c>
      <c r="L15" s="129">
        <f>Anchor!T156</f>
        <v>0</v>
      </c>
      <c r="M15" s="129">
        <f>Anchor!U156</f>
        <v>0</v>
      </c>
      <c r="N15" s="129">
        <f>Anchor!V156</f>
        <v>0</v>
      </c>
      <c r="O15" s="129">
        <f>Anchor!W156</f>
        <v>0</v>
      </c>
      <c r="P15" s="129">
        <f>Anchor!X156</f>
        <v>0</v>
      </c>
      <c r="Q15" s="131">
        <f>10*LOG10(1/(('Summary (Full)'!$B$41/10^(N15/10)+'Summary (Full)'!$B$42/10^(O15/10)+'Summary (Full)'!$B$43/10^(P15/10))/'Summary (Full)'!$B$44))</f>
        <v>0</v>
      </c>
      <c r="R15" s="129">
        <f>Anchor!Y156</f>
        <v>0</v>
      </c>
      <c r="S15" s="129">
        <f>Anchor!Z156</f>
        <v>0</v>
      </c>
      <c r="T15" s="129"/>
      <c r="U15" s="129">
        <f>Test!L156</f>
        <v>0</v>
      </c>
      <c r="V15" s="129">
        <f>Test!M156</f>
        <v>0</v>
      </c>
      <c r="W15" s="129">
        <f>Test!N156</f>
        <v>0</v>
      </c>
      <c r="X15" s="129">
        <f>Test!O156</f>
        <v>0</v>
      </c>
      <c r="Y15" s="129">
        <f>('Summary (Full)'!$B$34*V15+'Summary (Full)'!$B$35*W15+'Summary (Full)'!$B$36*X15)/'Summary (Full)'!$B$37</f>
        <v>0</v>
      </c>
      <c r="Z15" s="129">
        <f>Test!P156</f>
        <v>0</v>
      </c>
      <c r="AA15" s="129">
        <f>Test!Q156</f>
        <v>0</v>
      </c>
      <c r="AB15" s="129">
        <f>Test!R156</f>
        <v>0</v>
      </c>
      <c r="AC15" s="129">
        <f>Test!S156</f>
        <v>0</v>
      </c>
      <c r="AD15" s="129">
        <f>Test!T156</f>
        <v>0</v>
      </c>
      <c r="AE15" s="129">
        <f>Test!U156</f>
        <v>0</v>
      </c>
      <c r="AF15" s="129">
        <f>Test!V156</f>
        <v>0</v>
      </c>
      <c r="AG15" s="129">
        <f>Test!W156</f>
        <v>0</v>
      </c>
      <c r="AH15" s="129">
        <f>Test!X156</f>
        <v>0</v>
      </c>
      <c r="AI15" s="129">
        <f>10*LOG10(1/(('Summary (Full)'!$B$41/10^(AF15/10)+'Summary (Full)'!$B$42/10^(AG15/10)+'Summary (Full)'!$B$43/10^(AH15/10))/'Summary (Full)'!$B$44))</f>
        <v>0</v>
      </c>
      <c r="AJ15" s="129">
        <f>Test!Y156</f>
        <v>0</v>
      </c>
      <c r="AK15" s="129">
        <f>Test!Z156</f>
        <v>0</v>
      </c>
      <c r="AL15" s="129" t="e">
        <f t="shared" si="2"/>
        <v>#DIV/0!</v>
      </c>
      <c r="AM15" s="129" t="e">
        <f t="shared" si="2"/>
        <v>#DIV/0!</v>
      </c>
      <c r="AO15" s="254" t="s">
        <v>29</v>
      </c>
      <c r="AP15" s="172" t="e" cm="1">
        <f t="array" ref="AP15">bdRateExtend($C13:$C16,D13:D16,$U13:$U16,V13:V16)</f>
        <v>#VALUE!</v>
      </c>
      <c r="AQ15" s="172"/>
      <c r="AR15" s="172"/>
      <c r="AS15" s="172"/>
      <c r="AT15" s="172" t="e" cm="1">
        <f t="array" ref="AT15">bdRateExtend($C13:$C16,H13:H16,$U13:$U16,Z13:Z16)</f>
        <v>#VALUE!</v>
      </c>
      <c r="AU15" s="172"/>
      <c r="AV15" s="172" t="e" cm="1">
        <f t="array" ref="AV15">bdRateExtend($C13:$C16,I13:I16,$U13:$U16,AA13:AA16)</f>
        <v>#VALUE!</v>
      </c>
      <c r="AW15" s="172"/>
      <c r="AX15" s="172" t="e" cm="1">
        <f t="array" ref="AX15">bdRateExtend($C13:$C16,J13:J16,$U13:$U16,AB13:AB16,"None", FALSE,1)</f>
        <v>#VALUE!</v>
      </c>
      <c r="AY15" s="175"/>
      <c r="AZ15" s="286" cm="1">
        <f t="array" ref="AZ15">testVMAFRange($C13:$C16,J13:J16,$U13:$U16,AB13:AB16)</f>
        <v>0</v>
      </c>
      <c r="BA15" s="212"/>
      <c r="EV15" s="7"/>
      <c r="EW15" s="7"/>
      <c r="EX15" s="7"/>
      <c r="EY15" s="7"/>
      <c r="EZ15" s="7"/>
      <c r="FA15" s="7"/>
      <c r="FB15" s="7"/>
      <c r="FC15" s="7"/>
    </row>
    <row r="16" spans="1:175" ht="14" thickBot="1" x14ac:dyDescent="0.2">
      <c r="A16" s="249"/>
      <c r="B16" s="38">
        <v>235</v>
      </c>
      <c r="C16" s="129">
        <f>Anchor!L157</f>
        <v>0</v>
      </c>
      <c r="D16" s="129">
        <f>Anchor!M157</f>
        <v>0</v>
      </c>
      <c r="E16" s="129">
        <f>Anchor!N157</f>
        <v>0</v>
      </c>
      <c r="F16" s="129">
        <f>Anchor!O157</f>
        <v>0</v>
      </c>
      <c r="G16" s="130">
        <f>('Summary (Full)'!$B$34*D16+'Summary (Full)'!$B$35*E16+'Summary (Full)'!$B$36*F16)/'Summary (Full)'!$B$37</f>
        <v>0</v>
      </c>
      <c r="H16" s="129">
        <f>Anchor!P157</f>
        <v>0</v>
      </c>
      <c r="I16" s="129">
        <f>Anchor!Q157</f>
        <v>0</v>
      </c>
      <c r="J16" s="129">
        <f>Anchor!R157</f>
        <v>0</v>
      </c>
      <c r="K16" s="129">
        <f>Anchor!S157</f>
        <v>0</v>
      </c>
      <c r="L16" s="129">
        <f>Anchor!T157</f>
        <v>0</v>
      </c>
      <c r="M16" s="129">
        <f>Anchor!U157</f>
        <v>0</v>
      </c>
      <c r="N16" s="129">
        <f>Anchor!V157</f>
        <v>0</v>
      </c>
      <c r="O16" s="129">
        <f>Anchor!W157</f>
        <v>0</v>
      </c>
      <c r="P16" s="129">
        <f>Anchor!X157</f>
        <v>0</v>
      </c>
      <c r="Q16" s="131">
        <f>10*LOG10(1/(('Summary (Full)'!$B$41/10^(N16/10)+'Summary (Full)'!$B$42/10^(O16/10)+'Summary (Full)'!$B$43/10^(P16/10))/'Summary (Full)'!$B$44))</f>
        <v>0</v>
      </c>
      <c r="R16" s="129">
        <f>Anchor!Y157</f>
        <v>0</v>
      </c>
      <c r="S16" s="129">
        <f>Anchor!Z157</f>
        <v>0</v>
      </c>
      <c r="T16" s="129"/>
      <c r="U16" s="129">
        <f>Test!L157</f>
        <v>0</v>
      </c>
      <c r="V16" s="129">
        <f>Test!M157</f>
        <v>0</v>
      </c>
      <c r="W16" s="129">
        <f>Test!N157</f>
        <v>0</v>
      </c>
      <c r="X16" s="129">
        <f>Test!O157</f>
        <v>0</v>
      </c>
      <c r="Y16" s="129">
        <f>('Summary (Full)'!$B$34*V16+'Summary (Full)'!$B$35*W16+'Summary (Full)'!$B$36*X16)/'Summary (Full)'!$B$37</f>
        <v>0</v>
      </c>
      <c r="Z16" s="129">
        <f>Test!P157</f>
        <v>0</v>
      </c>
      <c r="AA16" s="129">
        <f>Test!Q157</f>
        <v>0</v>
      </c>
      <c r="AB16" s="129">
        <f>Test!R157</f>
        <v>0</v>
      </c>
      <c r="AC16" s="129">
        <f>Test!S157</f>
        <v>0</v>
      </c>
      <c r="AD16" s="129">
        <f>Test!T157</f>
        <v>0</v>
      </c>
      <c r="AE16" s="129">
        <f>Test!U157</f>
        <v>0</v>
      </c>
      <c r="AF16" s="129">
        <f>Test!V157</f>
        <v>0</v>
      </c>
      <c r="AG16" s="129">
        <f>Test!W157</f>
        <v>0</v>
      </c>
      <c r="AH16" s="129">
        <f>Test!X157</f>
        <v>0</v>
      </c>
      <c r="AI16" s="129">
        <f>10*LOG10(1/(('Summary (Full)'!$B$41/10^(AF16/10)+'Summary (Full)'!$B$42/10^(AG16/10)+'Summary (Full)'!$B$43/10^(AH16/10))/'Summary (Full)'!$B$44))</f>
        <v>0</v>
      </c>
      <c r="AJ16" s="129">
        <f>Test!Y157</f>
        <v>0</v>
      </c>
      <c r="AK16" s="129">
        <f>Test!Z157</f>
        <v>0</v>
      </c>
      <c r="AL16" s="129" t="e">
        <f t="shared" si="2"/>
        <v>#DIV/0!</v>
      </c>
      <c r="AM16" s="129" t="e">
        <f t="shared" si="2"/>
        <v>#DIV/0!</v>
      </c>
      <c r="AO16" s="263"/>
      <c r="AP16" s="173"/>
      <c r="AQ16" s="173"/>
      <c r="AR16" s="173"/>
      <c r="AS16" s="173"/>
      <c r="AT16" s="173"/>
      <c r="AU16" s="173"/>
      <c r="AV16" s="173"/>
      <c r="AW16" s="173"/>
      <c r="AX16" s="173"/>
      <c r="AY16" s="188"/>
      <c r="AZ16" s="287"/>
      <c r="BA16" s="240"/>
      <c r="EV16" s="7"/>
      <c r="EW16" s="7"/>
      <c r="EX16" s="7"/>
      <c r="EY16" s="7"/>
      <c r="EZ16" s="7"/>
      <c r="FA16" s="7"/>
      <c r="FB16" s="7"/>
      <c r="FC16" s="7"/>
    </row>
    <row r="17" spans="1:159" ht="13" customHeight="1" x14ac:dyDescent="0.15">
      <c r="A17" s="249" t="s">
        <v>8</v>
      </c>
      <c r="B17" s="38">
        <v>110</v>
      </c>
      <c r="C17" s="129">
        <f>Anchor!L158</f>
        <v>0</v>
      </c>
      <c r="D17" s="129">
        <f>Anchor!M158</f>
        <v>0</v>
      </c>
      <c r="E17" s="129">
        <f>Anchor!N158</f>
        <v>0</v>
      </c>
      <c r="F17" s="129">
        <f>Anchor!O158</f>
        <v>0</v>
      </c>
      <c r="G17" s="130">
        <f>('Summary (Full)'!$B$34*D17+'Summary (Full)'!$B$35*E17+'Summary (Full)'!$B$36*F17)/'Summary (Full)'!$B$37</f>
        <v>0</v>
      </c>
      <c r="H17" s="129">
        <f>Anchor!P158</f>
        <v>0</v>
      </c>
      <c r="I17" s="129">
        <f>Anchor!Q158</f>
        <v>0</v>
      </c>
      <c r="J17" s="129">
        <f>Anchor!R158</f>
        <v>0</v>
      </c>
      <c r="K17" s="129">
        <f>Anchor!S158</f>
        <v>0</v>
      </c>
      <c r="L17" s="129">
        <f>Anchor!T158</f>
        <v>0</v>
      </c>
      <c r="M17" s="129">
        <f>Anchor!U158</f>
        <v>0</v>
      </c>
      <c r="N17" s="129">
        <f>Anchor!V158</f>
        <v>0</v>
      </c>
      <c r="O17" s="129">
        <f>Anchor!W158</f>
        <v>0</v>
      </c>
      <c r="P17" s="129">
        <f>Anchor!X158</f>
        <v>0</v>
      </c>
      <c r="Q17" s="131">
        <f>10*LOG10(1/(('Summary (Full)'!$B$41/10^(N17/10)+'Summary (Full)'!$B$42/10^(O17/10)+'Summary (Full)'!$B$43/10^(P17/10))/'Summary (Full)'!$B$44))</f>
        <v>0</v>
      </c>
      <c r="R17" s="129">
        <f>Anchor!Y158</f>
        <v>0</v>
      </c>
      <c r="S17" s="129">
        <f>Anchor!Z158</f>
        <v>0</v>
      </c>
      <c r="T17" s="129"/>
      <c r="U17" s="129">
        <f>Test!L158</f>
        <v>0</v>
      </c>
      <c r="V17" s="129">
        <f>Test!M158</f>
        <v>0</v>
      </c>
      <c r="W17" s="129">
        <f>Test!N158</f>
        <v>0</v>
      </c>
      <c r="X17" s="129">
        <f>Test!O158</f>
        <v>0</v>
      </c>
      <c r="Y17" s="129">
        <f>('Summary (Full)'!$B$34*V17+'Summary (Full)'!$B$35*W17+'Summary (Full)'!$B$36*X17)/'Summary (Full)'!$B$37</f>
        <v>0</v>
      </c>
      <c r="Z17" s="129">
        <f>Test!P158</f>
        <v>0</v>
      </c>
      <c r="AA17" s="129">
        <f>Test!Q158</f>
        <v>0</v>
      </c>
      <c r="AB17" s="129">
        <f>Test!R158</f>
        <v>0</v>
      </c>
      <c r="AC17" s="129">
        <f>Test!S158</f>
        <v>0</v>
      </c>
      <c r="AD17" s="129">
        <f>Test!T158</f>
        <v>0</v>
      </c>
      <c r="AE17" s="129">
        <f>Test!U158</f>
        <v>0</v>
      </c>
      <c r="AF17" s="129">
        <f>Test!V158</f>
        <v>0</v>
      </c>
      <c r="AG17" s="129">
        <f>Test!W158</f>
        <v>0</v>
      </c>
      <c r="AH17" s="129">
        <f>Test!X158</f>
        <v>0</v>
      </c>
      <c r="AI17" s="129">
        <f>10*LOG10(1/(('Summary (Full)'!$B$41/10^(AF17/10)+'Summary (Full)'!$B$42/10^(AG17/10)+'Summary (Full)'!$B$43/10^(AH17/10))/'Summary (Full)'!$B$44))</f>
        <v>0</v>
      </c>
      <c r="AJ17" s="129">
        <f>Test!Y158</f>
        <v>0</v>
      </c>
      <c r="AK17" s="129">
        <f>Test!Z158</f>
        <v>0</v>
      </c>
      <c r="AL17" s="129" t="e">
        <f t="shared" si="2"/>
        <v>#DIV/0!</v>
      </c>
      <c r="AM17" s="129" t="e">
        <f t="shared" si="2"/>
        <v>#DIV/0!</v>
      </c>
      <c r="AO17" s="253" t="s">
        <v>27</v>
      </c>
      <c r="AP17" s="171" t="e" cm="1">
        <f t="array" ref="AP17">bdRateExtend($C17:$C20,D17:D20,$U17:$U20,V17:V20)</f>
        <v>#VALUE!</v>
      </c>
      <c r="AQ17" s="171" t="e" cm="1">
        <f t="array" ref="AQ17">bdRateExtend($C17:$C22,D17:D22,$U17:$U22,V17:V22)</f>
        <v>#VALUE!</v>
      </c>
      <c r="AR17" s="171" t="e" cm="1">
        <f t="array" ref="AR17">bdRateExtend($C17:$C22,E17:E22,$U17:$U22,W17:W22)</f>
        <v>#VALUE!</v>
      </c>
      <c r="AS17" s="171" t="e" cm="1">
        <f t="array" ref="AS17">bdRateExtend($C17:$C22,F17:F22,$U17:$U22,X17:X22)</f>
        <v>#VALUE!</v>
      </c>
      <c r="AT17" s="171" t="e" cm="1">
        <f t="array" ref="AT17">bdRateExtend($C17:$C20,H17:H20,$U17:$U20,Z17:Z20)</f>
        <v>#VALUE!</v>
      </c>
      <c r="AU17" s="171" t="e" cm="1">
        <f t="array" ref="AU17">bdRateExtend($C17:$C22,H17:H22,$U17:$U22,Z17:Z22)</f>
        <v>#VALUE!</v>
      </c>
      <c r="AV17" s="171" t="e" cm="1">
        <f t="array" ref="AV17">bdRateExtend($C17:$C20,I17:I20,$U17:$U20,AA17:AA20)</f>
        <v>#VALUE!</v>
      </c>
      <c r="AW17" s="171" t="e" cm="1">
        <f t="array" ref="AW17">bdRateExtend($C17:$C22,I17:I22,$U17:$U22,AA17:AA22)</f>
        <v>#VALUE!</v>
      </c>
      <c r="AX17" s="171" t="e" cm="1">
        <f t="array" ref="AX17">bdRateExtend($C17:$C20,J17:J20,$U17:$U20,AB17:AB20,"None", FALSE,1)</f>
        <v>#VALUE!</v>
      </c>
      <c r="AY17" s="174" t="e" cm="1">
        <f t="array" ref="AY17">bdRateExtend($C17:$C22,J17:J22,$U17:$U22,AB17:AB22,"None", FALSE,TRUE)</f>
        <v>#VALUE!</v>
      </c>
      <c r="AZ17" s="285" cm="1">
        <f t="array" ref="AZ17">testVMAFRange($C17:$C20,J17:J20,$U17:$U20,AB17:AB20)</f>
        <v>0</v>
      </c>
      <c r="BA17" s="211" cm="1">
        <f t="array" ref="BA17">testVMAFRange($C17:$C22,J17:J22,$U17:$U22,AB17:AB22)</f>
        <v>0</v>
      </c>
      <c r="EV17" s="7"/>
      <c r="EW17" s="7"/>
      <c r="EX17" s="7"/>
      <c r="EY17" s="7"/>
      <c r="EZ17" s="7"/>
      <c r="FA17" s="7"/>
      <c r="FB17" s="7"/>
      <c r="FC17" s="7"/>
    </row>
    <row r="18" spans="1:159" x14ac:dyDescent="0.15">
      <c r="A18" s="249"/>
      <c r="B18" s="38">
        <v>135</v>
      </c>
      <c r="C18" s="129">
        <f>Anchor!L159</f>
        <v>0</v>
      </c>
      <c r="D18" s="129">
        <f>Anchor!M159</f>
        <v>0</v>
      </c>
      <c r="E18" s="129">
        <f>Anchor!N159</f>
        <v>0</v>
      </c>
      <c r="F18" s="129">
        <f>Anchor!O159</f>
        <v>0</v>
      </c>
      <c r="G18" s="130">
        <f>('Summary (Full)'!$B$34*D18+'Summary (Full)'!$B$35*E18+'Summary (Full)'!$B$36*F18)/'Summary (Full)'!$B$37</f>
        <v>0</v>
      </c>
      <c r="H18" s="129">
        <f>Anchor!P159</f>
        <v>0</v>
      </c>
      <c r="I18" s="129">
        <f>Anchor!Q159</f>
        <v>0</v>
      </c>
      <c r="J18" s="129">
        <f>Anchor!R159</f>
        <v>0</v>
      </c>
      <c r="K18" s="129">
        <f>Anchor!S159</f>
        <v>0</v>
      </c>
      <c r="L18" s="129">
        <f>Anchor!T159</f>
        <v>0</v>
      </c>
      <c r="M18" s="129">
        <f>Anchor!U159</f>
        <v>0</v>
      </c>
      <c r="N18" s="129">
        <f>Anchor!V159</f>
        <v>0</v>
      </c>
      <c r="O18" s="129">
        <f>Anchor!W159</f>
        <v>0</v>
      </c>
      <c r="P18" s="129">
        <f>Anchor!X159</f>
        <v>0</v>
      </c>
      <c r="Q18" s="131">
        <f>10*LOG10(1/(('Summary (Full)'!$B$41/10^(N18/10)+'Summary (Full)'!$B$42/10^(O18/10)+'Summary (Full)'!$B$43/10^(P18/10))/'Summary (Full)'!$B$44))</f>
        <v>0</v>
      </c>
      <c r="R18" s="129">
        <f>Anchor!Y159</f>
        <v>0</v>
      </c>
      <c r="S18" s="129">
        <f>Anchor!Z159</f>
        <v>0</v>
      </c>
      <c r="T18" s="129"/>
      <c r="U18" s="129">
        <f>Test!L159</f>
        <v>0</v>
      </c>
      <c r="V18" s="129">
        <f>Test!M159</f>
        <v>0</v>
      </c>
      <c r="W18" s="129">
        <f>Test!N159</f>
        <v>0</v>
      </c>
      <c r="X18" s="129">
        <f>Test!O159</f>
        <v>0</v>
      </c>
      <c r="Y18" s="129">
        <f>('Summary (Full)'!$B$34*V18+'Summary (Full)'!$B$35*W18+'Summary (Full)'!$B$36*X18)/'Summary (Full)'!$B$37</f>
        <v>0</v>
      </c>
      <c r="Z18" s="129">
        <f>Test!P159</f>
        <v>0</v>
      </c>
      <c r="AA18" s="129">
        <f>Test!Q159</f>
        <v>0</v>
      </c>
      <c r="AB18" s="129">
        <f>Test!R159</f>
        <v>0</v>
      </c>
      <c r="AC18" s="129">
        <f>Test!S159</f>
        <v>0</v>
      </c>
      <c r="AD18" s="129">
        <f>Test!T159</f>
        <v>0</v>
      </c>
      <c r="AE18" s="129">
        <f>Test!U159</f>
        <v>0</v>
      </c>
      <c r="AF18" s="129">
        <f>Test!V159</f>
        <v>0</v>
      </c>
      <c r="AG18" s="129">
        <f>Test!W159</f>
        <v>0</v>
      </c>
      <c r="AH18" s="129">
        <f>Test!X159</f>
        <v>0</v>
      </c>
      <c r="AI18" s="129">
        <f>10*LOG10(1/(('Summary (Full)'!$B$41/10^(AF18/10)+'Summary (Full)'!$B$42/10^(AG18/10)+'Summary (Full)'!$B$43/10^(AH18/10))/'Summary (Full)'!$B$44))</f>
        <v>0</v>
      </c>
      <c r="AJ18" s="129">
        <f>Test!Y159</f>
        <v>0</v>
      </c>
      <c r="AK18" s="129">
        <f>Test!Z159</f>
        <v>0</v>
      </c>
      <c r="AL18" s="129" t="e">
        <f t="shared" si="2"/>
        <v>#DIV/0!</v>
      </c>
      <c r="AM18" s="129" t="e">
        <f t="shared" si="2"/>
        <v>#DIV/0!</v>
      </c>
      <c r="AO18" s="254"/>
      <c r="AP18" s="172"/>
      <c r="AQ18" s="172"/>
      <c r="AR18" s="172"/>
      <c r="AS18" s="172"/>
      <c r="AT18" s="172"/>
      <c r="AU18" s="172"/>
      <c r="AV18" s="172"/>
      <c r="AW18" s="172"/>
      <c r="AX18" s="172"/>
      <c r="AY18" s="175"/>
      <c r="AZ18" s="286"/>
      <c r="BA18" s="212"/>
      <c r="EV18" s="7"/>
      <c r="EW18" s="7"/>
      <c r="EX18" s="7"/>
      <c r="EY18" s="7"/>
      <c r="EZ18" s="7"/>
      <c r="FA18" s="7"/>
      <c r="FB18" s="7"/>
      <c r="FC18" s="7"/>
    </row>
    <row r="19" spans="1:159" ht="13" customHeight="1" x14ac:dyDescent="0.15">
      <c r="A19" s="249"/>
      <c r="B19" s="38">
        <v>160</v>
      </c>
      <c r="C19" s="129">
        <f>Anchor!L160</f>
        <v>0</v>
      </c>
      <c r="D19" s="129">
        <f>Anchor!M160</f>
        <v>0</v>
      </c>
      <c r="E19" s="129">
        <f>Anchor!N160</f>
        <v>0</v>
      </c>
      <c r="F19" s="129">
        <f>Anchor!O160</f>
        <v>0</v>
      </c>
      <c r="G19" s="130">
        <f>('Summary (Full)'!$B$34*D19+'Summary (Full)'!$B$35*E19+'Summary (Full)'!$B$36*F19)/'Summary (Full)'!$B$37</f>
        <v>0</v>
      </c>
      <c r="H19" s="129">
        <f>Anchor!P160</f>
        <v>0</v>
      </c>
      <c r="I19" s="129">
        <f>Anchor!Q160</f>
        <v>0</v>
      </c>
      <c r="J19" s="129">
        <f>Anchor!R160</f>
        <v>0</v>
      </c>
      <c r="K19" s="129">
        <f>Anchor!S160</f>
        <v>0</v>
      </c>
      <c r="L19" s="129">
        <f>Anchor!T160</f>
        <v>0</v>
      </c>
      <c r="M19" s="129">
        <f>Anchor!U160</f>
        <v>0</v>
      </c>
      <c r="N19" s="129">
        <f>Anchor!V160</f>
        <v>0</v>
      </c>
      <c r="O19" s="129">
        <f>Anchor!W160</f>
        <v>0</v>
      </c>
      <c r="P19" s="129">
        <f>Anchor!X160</f>
        <v>0</v>
      </c>
      <c r="Q19" s="131">
        <f>10*LOG10(1/(('Summary (Full)'!$B$41/10^(N19/10)+'Summary (Full)'!$B$42/10^(O19/10)+'Summary (Full)'!$B$43/10^(P19/10))/'Summary (Full)'!$B$44))</f>
        <v>0</v>
      </c>
      <c r="R19" s="129">
        <f>Anchor!Y160</f>
        <v>0</v>
      </c>
      <c r="S19" s="129">
        <f>Anchor!Z160</f>
        <v>0</v>
      </c>
      <c r="T19" s="129"/>
      <c r="U19" s="129">
        <f>Test!L160</f>
        <v>0</v>
      </c>
      <c r="V19" s="129">
        <f>Test!M160</f>
        <v>0</v>
      </c>
      <c r="W19" s="129">
        <f>Test!N160</f>
        <v>0</v>
      </c>
      <c r="X19" s="129">
        <f>Test!O160</f>
        <v>0</v>
      </c>
      <c r="Y19" s="129">
        <f>('Summary (Full)'!$B$34*V19+'Summary (Full)'!$B$35*W19+'Summary (Full)'!$B$36*X19)/'Summary (Full)'!$B$37</f>
        <v>0</v>
      </c>
      <c r="Z19" s="129">
        <f>Test!P160</f>
        <v>0</v>
      </c>
      <c r="AA19" s="129">
        <f>Test!Q160</f>
        <v>0</v>
      </c>
      <c r="AB19" s="129">
        <f>Test!R160</f>
        <v>0</v>
      </c>
      <c r="AC19" s="129">
        <f>Test!S160</f>
        <v>0</v>
      </c>
      <c r="AD19" s="129">
        <f>Test!T160</f>
        <v>0</v>
      </c>
      <c r="AE19" s="129">
        <f>Test!U160</f>
        <v>0</v>
      </c>
      <c r="AF19" s="129">
        <f>Test!V160</f>
        <v>0</v>
      </c>
      <c r="AG19" s="129">
        <f>Test!W160</f>
        <v>0</v>
      </c>
      <c r="AH19" s="129">
        <f>Test!X160</f>
        <v>0</v>
      </c>
      <c r="AI19" s="129">
        <f>10*LOG10(1/(('Summary (Full)'!$B$41/10^(AF19/10)+'Summary (Full)'!$B$42/10^(AG19/10)+'Summary (Full)'!$B$43/10^(AH19/10))/'Summary (Full)'!$B$44))</f>
        <v>0</v>
      </c>
      <c r="AJ19" s="129">
        <f>Test!Y160</f>
        <v>0</v>
      </c>
      <c r="AK19" s="129">
        <f>Test!Z160</f>
        <v>0</v>
      </c>
      <c r="AL19" s="129" t="e">
        <f t="shared" si="2"/>
        <v>#DIV/0!</v>
      </c>
      <c r="AM19" s="129" t="e">
        <f t="shared" si="2"/>
        <v>#DIV/0!</v>
      </c>
      <c r="AO19" s="254" t="s">
        <v>28</v>
      </c>
      <c r="AP19" s="172" t="e" cm="1">
        <f t="array" ref="AP19">bdRateExtend($C18:$C21,D18:D21,$U18:$U21,V18:V21)</f>
        <v>#VALUE!</v>
      </c>
      <c r="AQ19" s="172"/>
      <c r="AR19" s="172"/>
      <c r="AS19" s="172"/>
      <c r="AT19" s="172" t="e" cm="1">
        <f t="array" ref="AT19">bdRateExtend($C18:$C21,H18:H21,$U18:$U21,Z18:Z21)</f>
        <v>#VALUE!</v>
      </c>
      <c r="AU19" s="172"/>
      <c r="AV19" s="172" t="e" cm="1">
        <f t="array" ref="AV19">bdRateExtend($C18:$C21,I18:I21,$U18:$U21,AA18:AA21)</f>
        <v>#VALUE!</v>
      </c>
      <c r="AW19" s="172"/>
      <c r="AX19" s="172" t="e" cm="1">
        <f t="array" ref="AX19">bdRateExtend($C18:$C21,J18:J21,$U18:$U21,AB18:AB21,"None", FALSE,1)</f>
        <v>#VALUE!</v>
      </c>
      <c r="AY19" s="175"/>
      <c r="AZ19" s="286" cm="1">
        <f t="array" ref="AZ19">testVMAFRange($C18:$C21,J18:J21,$U18:$U21,AB18:AB21)</f>
        <v>0</v>
      </c>
      <c r="BA19" s="212"/>
      <c r="EV19" s="7"/>
      <c r="EW19" s="7"/>
      <c r="EX19" s="7"/>
      <c r="EY19" s="7"/>
      <c r="EZ19" s="7"/>
      <c r="FA19" s="7"/>
      <c r="FB19" s="7"/>
      <c r="FC19" s="7"/>
    </row>
    <row r="20" spans="1:159" x14ac:dyDescent="0.15">
      <c r="A20" s="249"/>
      <c r="B20" s="38">
        <v>185</v>
      </c>
      <c r="C20" s="129">
        <f>Anchor!L161</f>
        <v>0</v>
      </c>
      <c r="D20" s="129">
        <f>Anchor!M161</f>
        <v>0</v>
      </c>
      <c r="E20" s="129">
        <f>Anchor!N161</f>
        <v>0</v>
      </c>
      <c r="F20" s="129">
        <f>Anchor!O161</f>
        <v>0</v>
      </c>
      <c r="G20" s="130">
        <f>('Summary (Full)'!$B$34*D20+'Summary (Full)'!$B$35*E20+'Summary (Full)'!$B$36*F20)/'Summary (Full)'!$B$37</f>
        <v>0</v>
      </c>
      <c r="H20" s="129">
        <f>Anchor!P161</f>
        <v>0</v>
      </c>
      <c r="I20" s="129">
        <f>Anchor!Q161</f>
        <v>0</v>
      </c>
      <c r="J20" s="129">
        <f>Anchor!R161</f>
        <v>0</v>
      </c>
      <c r="K20" s="129">
        <f>Anchor!S161</f>
        <v>0</v>
      </c>
      <c r="L20" s="129">
        <f>Anchor!T161</f>
        <v>0</v>
      </c>
      <c r="M20" s="129">
        <f>Anchor!U161</f>
        <v>0</v>
      </c>
      <c r="N20" s="129">
        <f>Anchor!V161</f>
        <v>0</v>
      </c>
      <c r="O20" s="129">
        <f>Anchor!W161</f>
        <v>0</v>
      </c>
      <c r="P20" s="129">
        <f>Anchor!X161</f>
        <v>0</v>
      </c>
      <c r="Q20" s="131">
        <f>10*LOG10(1/(('Summary (Full)'!$B$41/10^(N20/10)+'Summary (Full)'!$B$42/10^(O20/10)+'Summary (Full)'!$B$43/10^(P20/10))/'Summary (Full)'!$B$44))</f>
        <v>0</v>
      </c>
      <c r="R20" s="129">
        <f>Anchor!Y161</f>
        <v>0</v>
      </c>
      <c r="S20" s="129">
        <f>Anchor!Z161</f>
        <v>0</v>
      </c>
      <c r="T20" s="129"/>
      <c r="U20" s="129">
        <f>Test!L161</f>
        <v>0</v>
      </c>
      <c r="V20" s="129">
        <f>Test!M161</f>
        <v>0</v>
      </c>
      <c r="W20" s="129">
        <f>Test!N161</f>
        <v>0</v>
      </c>
      <c r="X20" s="129">
        <f>Test!O161</f>
        <v>0</v>
      </c>
      <c r="Y20" s="129">
        <f>('Summary (Full)'!$B$34*V20+'Summary (Full)'!$B$35*W20+'Summary (Full)'!$B$36*X20)/'Summary (Full)'!$B$37</f>
        <v>0</v>
      </c>
      <c r="Z20" s="129">
        <f>Test!P161</f>
        <v>0</v>
      </c>
      <c r="AA20" s="129">
        <f>Test!Q161</f>
        <v>0</v>
      </c>
      <c r="AB20" s="129">
        <f>Test!R161</f>
        <v>0</v>
      </c>
      <c r="AC20" s="129">
        <f>Test!S161</f>
        <v>0</v>
      </c>
      <c r="AD20" s="129">
        <f>Test!T161</f>
        <v>0</v>
      </c>
      <c r="AE20" s="129">
        <f>Test!U161</f>
        <v>0</v>
      </c>
      <c r="AF20" s="129">
        <f>Test!V161</f>
        <v>0</v>
      </c>
      <c r="AG20" s="129">
        <f>Test!W161</f>
        <v>0</v>
      </c>
      <c r="AH20" s="129">
        <f>Test!X161</f>
        <v>0</v>
      </c>
      <c r="AI20" s="129">
        <f>10*LOG10(1/(('Summary (Full)'!$B$41/10^(AF20/10)+'Summary (Full)'!$B$42/10^(AG20/10)+'Summary (Full)'!$B$43/10^(AH20/10))/'Summary (Full)'!$B$44))</f>
        <v>0</v>
      </c>
      <c r="AJ20" s="129">
        <f>Test!Y161</f>
        <v>0</v>
      </c>
      <c r="AK20" s="129">
        <f>Test!Z161</f>
        <v>0</v>
      </c>
      <c r="AL20" s="129" t="e">
        <f t="shared" si="2"/>
        <v>#DIV/0!</v>
      </c>
      <c r="AM20" s="129" t="e">
        <f t="shared" si="2"/>
        <v>#DIV/0!</v>
      </c>
      <c r="AO20" s="254"/>
      <c r="AP20" s="172"/>
      <c r="AQ20" s="172"/>
      <c r="AR20" s="172"/>
      <c r="AS20" s="172"/>
      <c r="AT20" s="172"/>
      <c r="AU20" s="172"/>
      <c r="AV20" s="172"/>
      <c r="AW20" s="172"/>
      <c r="AX20" s="172"/>
      <c r="AY20" s="175"/>
      <c r="AZ20" s="286"/>
      <c r="BA20" s="212"/>
      <c r="EV20" s="7"/>
      <c r="EW20" s="7"/>
      <c r="EX20" s="7"/>
      <c r="EY20" s="7"/>
      <c r="EZ20" s="7"/>
      <c r="FA20" s="7"/>
      <c r="FB20" s="7"/>
      <c r="FC20" s="7"/>
    </row>
    <row r="21" spans="1:159" ht="13" customHeight="1" x14ac:dyDescent="0.15">
      <c r="A21" s="249"/>
      <c r="B21" s="38">
        <v>210</v>
      </c>
      <c r="C21" s="129">
        <f>Anchor!L162</f>
        <v>0</v>
      </c>
      <c r="D21" s="129">
        <f>Anchor!M162</f>
        <v>0</v>
      </c>
      <c r="E21" s="129">
        <f>Anchor!N162</f>
        <v>0</v>
      </c>
      <c r="F21" s="129">
        <f>Anchor!O162</f>
        <v>0</v>
      </c>
      <c r="G21" s="130">
        <f>('Summary (Full)'!$B$34*D21+'Summary (Full)'!$B$35*E21+'Summary (Full)'!$B$36*F21)/'Summary (Full)'!$B$37</f>
        <v>0</v>
      </c>
      <c r="H21" s="129">
        <f>Anchor!P162</f>
        <v>0</v>
      </c>
      <c r="I21" s="129">
        <f>Anchor!Q162</f>
        <v>0</v>
      </c>
      <c r="J21" s="129">
        <f>Anchor!R162</f>
        <v>0</v>
      </c>
      <c r="K21" s="129">
        <f>Anchor!S162</f>
        <v>0</v>
      </c>
      <c r="L21" s="129">
        <f>Anchor!T162</f>
        <v>0</v>
      </c>
      <c r="M21" s="129">
        <f>Anchor!U162</f>
        <v>0</v>
      </c>
      <c r="N21" s="129">
        <f>Anchor!V162</f>
        <v>0</v>
      </c>
      <c r="O21" s="129">
        <f>Anchor!W162</f>
        <v>0</v>
      </c>
      <c r="P21" s="129">
        <f>Anchor!X162</f>
        <v>0</v>
      </c>
      <c r="Q21" s="131">
        <f>10*LOG10(1/(('Summary (Full)'!$B$41/10^(N21/10)+'Summary (Full)'!$B$42/10^(O21/10)+'Summary (Full)'!$B$43/10^(P21/10))/'Summary (Full)'!$B$44))</f>
        <v>0</v>
      </c>
      <c r="R21" s="129">
        <f>Anchor!Y162</f>
        <v>0</v>
      </c>
      <c r="S21" s="129">
        <f>Anchor!Z162</f>
        <v>0</v>
      </c>
      <c r="T21" s="129"/>
      <c r="U21" s="129">
        <f>Test!L162</f>
        <v>0</v>
      </c>
      <c r="V21" s="129">
        <f>Test!M162</f>
        <v>0</v>
      </c>
      <c r="W21" s="129">
        <f>Test!N162</f>
        <v>0</v>
      </c>
      <c r="X21" s="129">
        <f>Test!O162</f>
        <v>0</v>
      </c>
      <c r="Y21" s="129">
        <f>('Summary (Full)'!$B$34*V21+'Summary (Full)'!$B$35*W21+'Summary (Full)'!$B$36*X21)/'Summary (Full)'!$B$37</f>
        <v>0</v>
      </c>
      <c r="Z21" s="129">
        <f>Test!P162</f>
        <v>0</v>
      </c>
      <c r="AA21" s="129">
        <f>Test!Q162</f>
        <v>0</v>
      </c>
      <c r="AB21" s="129">
        <f>Test!R162</f>
        <v>0</v>
      </c>
      <c r="AC21" s="129">
        <f>Test!S162</f>
        <v>0</v>
      </c>
      <c r="AD21" s="129">
        <f>Test!T162</f>
        <v>0</v>
      </c>
      <c r="AE21" s="129">
        <f>Test!U162</f>
        <v>0</v>
      </c>
      <c r="AF21" s="129">
        <f>Test!V162</f>
        <v>0</v>
      </c>
      <c r="AG21" s="129">
        <f>Test!W162</f>
        <v>0</v>
      </c>
      <c r="AH21" s="129">
        <f>Test!X162</f>
        <v>0</v>
      </c>
      <c r="AI21" s="129">
        <f>10*LOG10(1/(('Summary (Full)'!$B$41/10^(AF21/10)+'Summary (Full)'!$B$42/10^(AG21/10)+'Summary (Full)'!$B$43/10^(AH21/10))/'Summary (Full)'!$B$44))</f>
        <v>0</v>
      </c>
      <c r="AJ21" s="129">
        <f>Test!Y162</f>
        <v>0</v>
      </c>
      <c r="AK21" s="129">
        <f>Test!Z162</f>
        <v>0</v>
      </c>
      <c r="AL21" s="129" t="e">
        <f t="shared" si="2"/>
        <v>#DIV/0!</v>
      </c>
      <c r="AM21" s="129" t="e">
        <f t="shared" si="2"/>
        <v>#DIV/0!</v>
      </c>
      <c r="AO21" s="254" t="s">
        <v>29</v>
      </c>
      <c r="AP21" s="172" t="e" cm="1">
        <f t="array" ref="AP21">bdRateExtend($C19:$C22,D19:D22,$U19:$U22,V19:V22)</f>
        <v>#VALUE!</v>
      </c>
      <c r="AQ21" s="172"/>
      <c r="AR21" s="172"/>
      <c r="AS21" s="172"/>
      <c r="AT21" s="172" t="e" cm="1">
        <f t="array" ref="AT21">bdRateExtend($C19:$C22,H19:H22,$U19:$U22,Z19:Z22)</f>
        <v>#VALUE!</v>
      </c>
      <c r="AU21" s="172"/>
      <c r="AV21" s="172" t="e" cm="1">
        <f t="array" ref="AV21">bdRateExtend($C19:$C22,I19:I22,$U19:$U22,AA19:AA22)</f>
        <v>#VALUE!</v>
      </c>
      <c r="AW21" s="172"/>
      <c r="AX21" s="172" t="e" cm="1">
        <f t="array" ref="AX21">bdRateExtend($C19:$C22,J19:J22,$U19:$U22,AB19:AB22,"None", FALSE,1)</f>
        <v>#VALUE!</v>
      </c>
      <c r="AY21" s="175"/>
      <c r="AZ21" s="286" cm="1">
        <f t="array" ref="AZ21">testVMAFRange($C19:$C22,J19:J22,$U19:$U22,AB19:AB22)</f>
        <v>0</v>
      </c>
      <c r="BA21" s="212"/>
      <c r="EV21" s="7"/>
      <c r="EW21" s="7"/>
      <c r="EX21" s="7"/>
      <c r="EY21" s="7"/>
      <c r="EZ21" s="7"/>
      <c r="FA21" s="7"/>
      <c r="FB21" s="7"/>
      <c r="FC21" s="7"/>
    </row>
    <row r="22" spans="1:159" ht="14" thickBot="1" x14ac:dyDescent="0.2">
      <c r="A22" s="249"/>
      <c r="B22" s="38">
        <v>235</v>
      </c>
      <c r="C22" s="129">
        <f>Anchor!L163</f>
        <v>0</v>
      </c>
      <c r="D22" s="129">
        <f>Anchor!M163</f>
        <v>0</v>
      </c>
      <c r="E22" s="129">
        <f>Anchor!N163</f>
        <v>0</v>
      </c>
      <c r="F22" s="129">
        <f>Anchor!O163</f>
        <v>0</v>
      </c>
      <c r="G22" s="130">
        <f>('Summary (Full)'!$B$34*D22+'Summary (Full)'!$B$35*E22+'Summary (Full)'!$B$36*F22)/'Summary (Full)'!$B$37</f>
        <v>0</v>
      </c>
      <c r="H22" s="129">
        <f>Anchor!P163</f>
        <v>0</v>
      </c>
      <c r="I22" s="129">
        <f>Anchor!Q163</f>
        <v>0</v>
      </c>
      <c r="J22" s="129">
        <f>Anchor!R163</f>
        <v>0</v>
      </c>
      <c r="K22" s="129">
        <f>Anchor!S163</f>
        <v>0</v>
      </c>
      <c r="L22" s="129">
        <f>Anchor!T163</f>
        <v>0</v>
      </c>
      <c r="M22" s="129">
        <f>Anchor!U163</f>
        <v>0</v>
      </c>
      <c r="N22" s="129">
        <f>Anchor!V163</f>
        <v>0</v>
      </c>
      <c r="O22" s="129">
        <f>Anchor!W163</f>
        <v>0</v>
      </c>
      <c r="P22" s="129">
        <f>Anchor!X163</f>
        <v>0</v>
      </c>
      <c r="Q22" s="131">
        <f>10*LOG10(1/(('Summary (Full)'!$B$41/10^(N22/10)+'Summary (Full)'!$B$42/10^(O22/10)+'Summary (Full)'!$B$43/10^(P22/10))/'Summary (Full)'!$B$44))</f>
        <v>0</v>
      </c>
      <c r="R22" s="129">
        <f>Anchor!Y163</f>
        <v>0</v>
      </c>
      <c r="S22" s="129">
        <f>Anchor!Z163</f>
        <v>0</v>
      </c>
      <c r="T22" s="129"/>
      <c r="U22" s="129">
        <f>Test!L163</f>
        <v>0</v>
      </c>
      <c r="V22" s="129">
        <f>Test!M163</f>
        <v>0</v>
      </c>
      <c r="W22" s="129">
        <f>Test!N163</f>
        <v>0</v>
      </c>
      <c r="X22" s="129">
        <f>Test!O163</f>
        <v>0</v>
      </c>
      <c r="Y22" s="129">
        <f>('Summary (Full)'!$B$34*V22+'Summary (Full)'!$B$35*W22+'Summary (Full)'!$B$36*X22)/'Summary (Full)'!$B$37</f>
        <v>0</v>
      </c>
      <c r="Z22" s="129">
        <f>Test!P163</f>
        <v>0</v>
      </c>
      <c r="AA22" s="129">
        <f>Test!Q163</f>
        <v>0</v>
      </c>
      <c r="AB22" s="129">
        <f>Test!R163</f>
        <v>0</v>
      </c>
      <c r="AC22" s="129">
        <f>Test!S163</f>
        <v>0</v>
      </c>
      <c r="AD22" s="129">
        <f>Test!T163</f>
        <v>0</v>
      </c>
      <c r="AE22" s="129">
        <f>Test!U163</f>
        <v>0</v>
      </c>
      <c r="AF22" s="129">
        <f>Test!V163</f>
        <v>0</v>
      </c>
      <c r="AG22" s="129">
        <f>Test!W163</f>
        <v>0</v>
      </c>
      <c r="AH22" s="129">
        <f>Test!X163</f>
        <v>0</v>
      </c>
      <c r="AI22" s="129">
        <f>10*LOG10(1/(('Summary (Full)'!$B$41/10^(AF22/10)+'Summary (Full)'!$B$42/10^(AG22/10)+'Summary (Full)'!$B$43/10^(AH22/10))/'Summary (Full)'!$B$44))</f>
        <v>0</v>
      </c>
      <c r="AJ22" s="129">
        <f>Test!Y163</f>
        <v>0</v>
      </c>
      <c r="AK22" s="129">
        <f>Test!Z163</f>
        <v>0</v>
      </c>
      <c r="AL22" s="129" t="e">
        <f t="shared" si="2"/>
        <v>#DIV/0!</v>
      </c>
      <c r="AM22" s="129" t="e">
        <f t="shared" si="2"/>
        <v>#DIV/0!</v>
      </c>
      <c r="AO22" s="263"/>
      <c r="AP22" s="173"/>
      <c r="AQ22" s="173"/>
      <c r="AR22" s="173"/>
      <c r="AS22" s="173"/>
      <c r="AT22" s="173"/>
      <c r="AU22" s="173"/>
      <c r="AV22" s="173"/>
      <c r="AW22" s="173"/>
      <c r="AX22" s="173"/>
      <c r="AY22" s="188"/>
      <c r="AZ22" s="287"/>
      <c r="BA22" s="240"/>
      <c r="EV22" s="7"/>
      <c r="EW22" s="7"/>
      <c r="EX22" s="7"/>
      <c r="EY22" s="7"/>
      <c r="EZ22" s="7"/>
      <c r="FA22" s="7"/>
      <c r="FB22" s="7"/>
      <c r="FC22" s="7"/>
    </row>
    <row r="23" spans="1:159" ht="13" customHeight="1" x14ac:dyDescent="0.15">
      <c r="A23" s="250" t="s">
        <v>19</v>
      </c>
      <c r="B23" s="38">
        <v>110</v>
      </c>
      <c r="C23" s="129">
        <f>Anchor!L164</f>
        <v>0</v>
      </c>
      <c r="D23" s="129">
        <f>Anchor!M164</f>
        <v>0</v>
      </c>
      <c r="E23" s="129">
        <f>Anchor!N164</f>
        <v>0</v>
      </c>
      <c r="F23" s="129">
        <f>Anchor!O164</f>
        <v>0</v>
      </c>
      <c r="G23" s="130">
        <f>('Summary (Full)'!$B$34*D23+'Summary (Full)'!$B$35*E23+'Summary (Full)'!$B$36*F23)/'Summary (Full)'!$B$37</f>
        <v>0</v>
      </c>
      <c r="H23" s="129">
        <f>Anchor!P164</f>
        <v>0</v>
      </c>
      <c r="I23" s="129">
        <f>Anchor!Q164</f>
        <v>0</v>
      </c>
      <c r="J23" s="129">
        <f>Anchor!R164</f>
        <v>0</v>
      </c>
      <c r="K23" s="129">
        <f>Anchor!S164</f>
        <v>0</v>
      </c>
      <c r="L23" s="129">
        <f>Anchor!T164</f>
        <v>0</v>
      </c>
      <c r="M23" s="129">
        <f>Anchor!U164</f>
        <v>0</v>
      </c>
      <c r="N23" s="129">
        <f>Anchor!V164</f>
        <v>0</v>
      </c>
      <c r="O23" s="129">
        <f>Anchor!W164</f>
        <v>0</v>
      </c>
      <c r="P23" s="129">
        <f>Anchor!X164</f>
        <v>0</v>
      </c>
      <c r="Q23" s="131">
        <f>10*LOG10(1/(('Summary (Full)'!$B$41/10^(N23/10)+'Summary (Full)'!$B$42/10^(O23/10)+'Summary (Full)'!$B$43/10^(P23/10))/'Summary (Full)'!$B$44))</f>
        <v>0</v>
      </c>
      <c r="R23" s="129">
        <f>Anchor!Y164</f>
        <v>0</v>
      </c>
      <c r="S23" s="129">
        <f>Anchor!Z164</f>
        <v>0</v>
      </c>
      <c r="T23" s="129"/>
      <c r="U23" s="129">
        <f>Test!L164</f>
        <v>0</v>
      </c>
      <c r="V23" s="129">
        <f>Test!M164</f>
        <v>0</v>
      </c>
      <c r="W23" s="129">
        <f>Test!N164</f>
        <v>0</v>
      </c>
      <c r="X23" s="129">
        <f>Test!O164</f>
        <v>0</v>
      </c>
      <c r="Y23" s="129">
        <f>('Summary (Full)'!$B$34*V23+'Summary (Full)'!$B$35*W23+'Summary (Full)'!$B$36*X23)/'Summary (Full)'!$B$37</f>
        <v>0</v>
      </c>
      <c r="Z23" s="129">
        <f>Test!P164</f>
        <v>0</v>
      </c>
      <c r="AA23" s="129">
        <f>Test!Q164</f>
        <v>0</v>
      </c>
      <c r="AB23" s="129">
        <f>Test!R164</f>
        <v>0</v>
      </c>
      <c r="AC23" s="129">
        <f>Test!S164</f>
        <v>0</v>
      </c>
      <c r="AD23" s="129">
        <f>Test!T164</f>
        <v>0</v>
      </c>
      <c r="AE23" s="129">
        <f>Test!U164</f>
        <v>0</v>
      </c>
      <c r="AF23" s="129">
        <f>Test!V164</f>
        <v>0</v>
      </c>
      <c r="AG23" s="129">
        <f>Test!W164</f>
        <v>0</v>
      </c>
      <c r="AH23" s="129">
        <f>Test!X164</f>
        <v>0</v>
      </c>
      <c r="AI23" s="129">
        <f>10*LOG10(1/(('Summary (Full)'!$B$41/10^(AF23/10)+'Summary (Full)'!$B$42/10^(AG23/10)+'Summary (Full)'!$B$43/10^(AH23/10))/'Summary (Full)'!$B$44))</f>
        <v>0</v>
      </c>
      <c r="AJ23" s="129">
        <f>Test!Y164</f>
        <v>0</v>
      </c>
      <c r="AK23" s="129">
        <f>Test!Z164</f>
        <v>0</v>
      </c>
      <c r="AL23" s="129" t="e">
        <f t="shared" si="2"/>
        <v>#DIV/0!</v>
      </c>
      <c r="AM23" s="129" t="e">
        <f t="shared" si="2"/>
        <v>#DIV/0!</v>
      </c>
      <c r="AO23" s="253" t="s">
        <v>27</v>
      </c>
      <c r="AP23" s="171" t="e" cm="1">
        <f t="array" ref="AP23">bdRateExtend($C23:$C26,D23:D26,$U23:$U26,V23:V26)</f>
        <v>#VALUE!</v>
      </c>
      <c r="AQ23" s="171" t="e" cm="1">
        <f t="array" ref="AQ23">bdRateExtend($C23:$C28,D23:D28,$U23:$U28,V23:V28)</f>
        <v>#VALUE!</v>
      </c>
      <c r="AR23" s="171" t="e" cm="1">
        <f t="array" ref="AR23">bdRateExtend($C23:$C28,E23:E28,$U23:$U28,W23:W28)</f>
        <v>#VALUE!</v>
      </c>
      <c r="AS23" s="171" t="e" cm="1">
        <f t="array" ref="AS23">bdRateExtend($C23:$C28,F23:F28,$U23:$U28,X23:X28)</f>
        <v>#VALUE!</v>
      </c>
      <c r="AT23" s="171" t="e" cm="1">
        <f t="array" ref="AT23">bdRateExtend($C23:$C26,H23:H26,$U23:$U26,Z23:Z26)</f>
        <v>#VALUE!</v>
      </c>
      <c r="AU23" s="171" t="e" cm="1">
        <f t="array" ref="AU23">bdRateExtend($C23:$C28,H23:H28,$U23:$U28,Z23:Z28)</f>
        <v>#VALUE!</v>
      </c>
      <c r="AV23" s="171" t="e" cm="1">
        <f t="array" ref="AV23">bdRateExtend($C23:$C26,I23:I26,$U23:$U26,AA23:AA26)</f>
        <v>#VALUE!</v>
      </c>
      <c r="AW23" s="171" t="e" cm="1">
        <f t="array" ref="AW23">bdRateExtend($C23:$C28,I23:I28,$U23:$U28,AA23:AA28)</f>
        <v>#VALUE!</v>
      </c>
      <c r="AX23" s="171" t="e" cm="1">
        <f t="array" ref="AX23">bdRateExtend($C23:$C26,J23:J26,$U23:$U26,AB23:AB26,"None", FALSE,1)</f>
        <v>#VALUE!</v>
      </c>
      <c r="AY23" s="174" t="e" cm="1">
        <f t="array" ref="AY23">bdRateExtend($C23:$C28,J23:J28,$U23:$U28,AB23:AB28,"None", FALSE,TRUE)</f>
        <v>#VALUE!</v>
      </c>
      <c r="AZ23" s="285" cm="1">
        <f t="array" ref="AZ23">testVMAFRange($C23:$C26,J23:J26,$U23:$U26,AB23:AB26)</f>
        <v>0</v>
      </c>
      <c r="BA23" s="211" cm="1">
        <f t="array" ref="BA23">testVMAFRange($C23:$C28,J23:J28,$U23:$U28,AB23:AB28)</f>
        <v>0</v>
      </c>
      <c r="EV23" s="7"/>
      <c r="EW23" s="7"/>
      <c r="EX23" s="7"/>
      <c r="EY23" s="7"/>
      <c r="EZ23" s="7"/>
      <c r="FA23" s="7"/>
      <c r="FB23" s="7"/>
      <c r="FC23" s="7"/>
    </row>
    <row r="24" spans="1:159" x14ac:dyDescent="0.15">
      <c r="A24" s="250"/>
      <c r="B24" s="38">
        <v>135</v>
      </c>
      <c r="C24" s="129">
        <f>Anchor!L165</f>
        <v>0</v>
      </c>
      <c r="D24" s="129">
        <f>Anchor!M165</f>
        <v>0</v>
      </c>
      <c r="E24" s="129">
        <f>Anchor!N165</f>
        <v>0</v>
      </c>
      <c r="F24" s="129">
        <f>Anchor!O165</f>
        <v>0</v>
      </c>
      <c r="G24" s="130">
        <f>('Summary (Full)'!$B$34*D24+'Summary (Full)'!$B$35*E24+'Summary (Full)'!$B$36*F24)/'Summary (Full)'!$B$37</f>
        <v>0</v>
      </c>
      <c r="H24" s="129">
        <f>Anchor!P165</f>
        <v>0</v>
      </c>
      <c r="I24" s="129">
        <f>Anchor!Q165</f>
        <v>0</v>
      </c>
      <c r="J24" s="129">
        <f>Anchor!R165</f>
        <v>0</v>
      </c>
      <c r="K24" s="129">
        <f>Anchor!S165</f>
        <v>0</v>
      </c>
      <c r="L24" s="129">
        <f>Anchor!T165</f>
        <v>0</v>
      </c>
      <c r="M24" s="129">
        <f>Anchor!U165</f>
        <v>0</v>
      </c>
      <c r="N24" s="129">
        <f>Anchor!V165</f>
        <v>0</v>
      </c>
      <c r="O24" s="129">
        <f>Anchor!W165</f>
        <v>0</v>
      </c>
      <c r="P24" s="129">
        <f>Anchor!X165</f>
        <v>0</v>
      </c>
      <c r="Q24" s="131">
        <f>10*LOG10(1/(('Summary (Full)'!$B$41/10^(N24/10)+'Summary (Full)'!$B$42/10^(O24/10)+'Summary (Full)'!$B$43/10^(P24/10))/'Summary (Full)'!$B$44))</f>
        <v>0</v>
      </c>
      <c r="R24" s="129">
        <f>Anchor!Y165</f>
        <v>0</v>
      </c>
      <c r="S24" s="129">
        <f>Anchor!Z165</f>
        <v>0</v>
      </c>
      <c r="T24" s="129"/>
      <c r="U24" s="129">
        <f>Test!L165</f>
        <v>0</v>
      </c>
      <c r="V24" s="129">
        <f>Test!M165</f>
        <v>0</v>
      </c>
      <c r="W24" s="129">
        <f>Test!N165</f>
        <v>0</v>
      </c>
      <c r="X24" s="129">
        <f>Test!O165</f>
        <v>0</v>
      </c>
      <c r="Y24" s="129">
        <f>('Summary (Full)'!$B$34*V24+'Summary (Full)'!$B$35*W24+'Summary (Full)'!$B$36*X24)/'Summary (Full)'!$B$37</f>
        <v>0</v>
      </c>
      <c r="Z24" s="129">
        <f>Test!P165</f>
        <v>0</v>
      </c>
      <c r="AA24" s="129">
        <f>Test!Q165</f>
        <v>0</v>
      </c>
      <c r="AB24" s="129">
        <f>Test!R165</f>
        <v>0</v>
      </c>
      <c r="AC24" s="129">
        <f>Test!S165</f>
        <v>0</v>
      </c>
      <c r="AD24" s="129">
        <f>Test!T165</f>
        <v>0</v>
      </c>
      <c r="AE24" s="129">
        <f>Test!U165</f>
        <v>0</v>
      </c>
      <c r="AF24" s="129">
        <f>Test!V165</f>
        <v>0</v>
      </c>
      <c r="AG24" s="129">
        <f>Test!W165</f>
        <v>0</v>
      </c>
      <c r="AH24" s="129">
        <f>Test!X165</f>
        <v>0</v>
      </c>
      <c r="AI24" s="129">
        <f>10*LOG10(1/(('Summary (Full)'!$B$41/10^(AF24/10)+'Summary (Full)'!$B$42/10^(AG24/10)+'Summary (Full)'!$B$43/10^(AH24/10))/'Summary (Full)'!$B$44))</f>
        <v>0</v>
      </c>
      <c r="AJ24" s="129">
        <f>Test!Y165</f>
        <v>0</v>
      </c>
      <c r="AK24" s="129">
        <f>Test!Z165</f>
        <v>0</v>
      </c>
      <c r="AL24" s="129" t="e">
        <f t="shared" si="2"/>
        <v>#DIV/0!</v>
      </c>
      <c r="AM24" s="129" t="e">
        <f t="shared" si="2"/>
        <v>#DIV/0!</v>
      </c>
      <c r="AO24" s="254"/>
      <c r="AP24" s="172"/>
      <c r="AQ24" s="172"/>
      <c r="AR24" s="172"/>
      <c r="AS24" s="172"/>
      <c r="AT24" s="172"/>
      <c r="AU24" s="172"/>
      <c r="AV24" s="172"/>
      <c r="AW24" s="172"/>
      <c r="AX24" s="172"/>
      <c r="AY24" s="175"/>
      <c r="AZ24" s="286"/>
      <c r="BA24" s="212"/>
      <c r="EV24" s="7"/>
      <c r="EW24" s="7"/>
      <c r="EX24" s="7"/>
      <c r="EY24" s="7"/>
      <c r="EZ24" s="7"/>
      <c r="FA24" s="7"/>
      <c r="FB24" s="7"/>
      <c r="FC24" s="7"/>
    </row>
    <row r="25" spans="1:159" ht="13" customHeight="1" x14ac:dyDescent="0.15">
      <c r="A25" s="250"/>
      <c r="B25" s="38">
        <v>160</v>
      </c>
      <c r="C25" s="129">
        <f>Anchor!L166</f>
        <v>0</v>
      </c>
      <c r="D25" s="129">
        <f>Anchor!M166</f>
        <v>0</v>
      </c>
      <c r="E25" s="129">
        <f>Anchor!N166</f>
        <v>0</v>
      </c>
      <c r="F25" s="129">
        <f>Anchor!O166</f>
        <v>0</v>
      </c>
      <c r="G25" s="130">
        <f>('Summary (Full)'!$B$34*D25+'Summary (Full)'!$B$35*E25+'Summary (Full)'!$B$36*F25)/'Summary (Full)'!$B$37</f>
        <v>0</v>
      </c>
      <c r="H25" s="129">
        <f>Anchor!P166</f>
        <v>0</v>
      </c>
      <c r="I25" s="129">
        <f>Anchor!Q166</f>
        <v>0</v>
      </c>
      <c r="J25" s="129">
        <f>Anchor!R166</f>
        <v>0</v>
      </c>
      <c r="K25" s="129">
        <f>Anchor!S166</f>
        <v>0</v>
      </c>
      <c r="L25" s="129">
        <f>Anchor!T166</f>
        <v>0</v>
      </c>
      <c r="M25" s="129">
        <f>Anchor!U166</f>
        <v>0</v>
      </c>
      <c r="N25" s="129">
        <f>Anchor!V166</f>
        <v>0</v>
      </c>
      <c r="O25" s="129">
        <f>Anchor!W166</f>
        <v>0</v>
      </c>
      <c r="P25" s="129">
        <f>Anchor!X166</f>
        <v>0</v>
      </c>
      <c r="Q25" s="131">
        <f>10*LOG10(1/(('Summary (Full)'!$B$41/10^(N25/10)+'Summary (Full)'!$B$42/10^(O25/10)+'Summary (Full)'!$B$43/10^(P25/10))/'Summary (Full)'!$B$44))</f>
        <v>0</v>
      </c>
      <c r="R25" s="129">
        <f>Anchor!Y166</f>
        <v>0</v>
      </c>
      <c r="S25" s="129">
        <f>Anchor!Z166</f>
        <v>0</v>
      </c>
      <c r="T25" s="129"/>
      <c r="U25" s="129">
        <f>Test!L166</f>
        <v>0</v>
      </c>
      <c r="V25" s="129">
        <f>Test!M166</f>
        <v>0</v>
      </c>
      <c r="W25" s="129">
        <f>Test!N166</f>
        <v>0</v>
      </c>
      <c r="X25" s="129">
        <f>Test!O166</f>
        <v>0</v>
      </c>
      <c r="Y25" s="129">
        <f>('Summary (Full)'!$B$34*V25+'Summary (Full)'!$B$35*W25+'Summary (Full)'!$B$36*X25)/'Summary (Full)'!$B$37</f>
        <v>0</v>
      </c>
      <c r="Z25" s="129">
        <f>Test!P166</f>
        <v>0</v>
      </c>
      <c r="AA25" s="129">
        <f>Test!Q166</f>
        <v>0</v>
      </c>
      <c r="AB25" s="129">
        <f>Test!R166</f>
        <v>0</v>
      </c>
      <c r="AC25" s="129">
        <f>Test!S166</f>
        <v>0</v>
      </c>
      <c r="AD25" s="129">
        <f>Test!T166</f>
        <v>0</v>
      </c>
      <c r="AE25" s="129">
        <f>Test!U166</f>
        <v>0</v>
      </c>
      <c r="AF25" s="129">
        <f>Test!V166</f>
        <v>0</v>
      </c>
      <c r="AG25" s="129">
        <f>Test!W166</f>
        <v>0</v>
      </c>
      <c r="AH25" s="129">
        <f>Test!X166</f>
        <v>0</v>
      </c>
      <c r="AI25" s="129">
        <f>10*LOG10(1/(('Summary (Full)'!$B$41/10^(AF25/10)+'Summary (Full)'!$B$42/10^(AG25/10)+'Summary (Full)'!$B$43/10^(AH25/10))/'Summary (Full)'!$B$44))</f>
        <v>0</v>
      </c>
      <c r="AJ25" s="129">
        <f>Test!Y166</f>
        <v>0</v>
      </c>
      <c r="AK25" s="129">
        <f>Test!Z166</f>
        <v>0</v>
      </c>
      <c r="AL25" s="129" t="e">
        <f t="shared" si="2"/>
        <v>#DIV/0!</v>
      </c>
      <c r="AM25" s="129" t="e">
        <f t="shared" si="2"/>
        <v>#DIV/0!</v>
      </c>
      <c r="AO25" s="254" t="s">
        <v>28</v>
      </c>
      <c r="AP25" s="172" t="e" cm="1">
        <f t="array" ref="AP25">bdRateExtend($C24:$C27,D24:D27,$U24:$U27,V24:V27)</f>
        <v>#VALUE!</v>
      </c>
      <c r="AQ25" s="172"/>
      <c r="AR25" s="172"/>
      <c r="AS25" s="172"/>
      <c r="AT25" s="172" t="e" cm="1">
        <f t="array" ref="AT25">bdRateExtend($C24:$C27,H24:H27,$U24:$U27,Z24:Z27)</f>
        <v>#VALUE!</v>
      </c>
      <c r="AU25" s="172"/>
      <c r="AV25" s="172" t="e" cm="1">
        <f t="array" ref="AV25">bdRateExtend($C24:$C27,I24:I27,$U24:$U27,AA24:AA27)</f>
        <v>#VALUE!</v>
      </c>
      <c r="AW25" s="172"/>
      <c r="AX25" s="172" t="e" cm="1">
        <f t="array" ref="AX25">bdRateExtend($C24:$C27,J24:J27,$U24:$U27,AB24:AB27,"None", FALSE,1)</f>
        <v>#VALUE!</v>
      </c>
      <c r="AY25" s="175"/>
      <c r="AZ25" s="286" cm="1">
        <f t="array" ref="AZ25">testVMAFRange($C24:$C27,J24:J27,$U24:$U27,AB24:AB27)</f>
        <v>0</v>
      </c>
      <c r="BA25" s="212"/>
      <c r="EV25" s="7"/>
      <c r="EW25" s="7"/>
      <c r="EX25" s="7"/>
      <c r="EY25" s="7"/>
      <c r="EZ25" s="7"/>
      <c r="FA25" s="7"/>
      <c r="FB25" s="7"/>
      <c r="FC25" s="7"/>
    </row>
    <row r="26" spans="1:159" x14ac:dyDescent="0.15">
      <c r="A26" s="250"/>
      <c r="B26" s="38">
        <v>185</v>
      </c>
      <c r="C26" s="129">
        <f>Anchor!L167</f>
        <v>0</v>
      </c>
      <c r="D26" s="129">
        <f>Anchor!M167</f>
        <v>0</v>
      </c>
      <c r="E26" s="129">
        <f>Anchor!N167</f>
        <v>0</v>
      </c>
      <c r="F26" s="129">
        <f>Anchor!O167</f>
        <v>0</v>
      </c>
      <c r="G26" s="130">
        <f>('Summary (Full)'!$B$34*D26+'Summary (Full)'!$B$35*E26+'Summary (Full)'!$B$36*F26)/'Summary (Full)'!$B$37</f>
        <v>0</v>
      </c>
      <c r="H26" s="129">
        <f>Anchor!P167</f>
        <v>0</v>
      </c>
      <c r="I26" s="129">
        <f>Anchor!Q167</f>
        <v>0</v>
      </c>
      <c r="J26" s="129">
        <f>Anchor!R167</f>
        <v>0</v>
      </c>
      <c r="K26" s="129">
        <f>Anchor!S167</f>
        <v>0</v>
      </c>
      <c r="L26" s="129">
        <f>Anchor!T167</f>
        <v>0</v>
      </c>
      <c r="M26" s="129">
        <f>Anchor!U167</f>
        <v>0</v>
      </c>
      <c r="N26" s="129">
        <f>Anchor!V167</f>
        <v>0</v>
      </c>
      <c r="O26" s="129">
        <f>Anchor!W167</f>
        <v>0</v>
      </c>
      <c r="P26" s="129">
        <f>Anchor!X167</f>
        <v>0</v>
      </c>
      <c r="Q26" s="131">
        <f>10*LOG10(1/(('Summary (Full)'!$B$41/10^(N26/10)+'Summary (Full)'!$B$42/10^(O26/10)+'Summary (Full)'!$B$43/10^(P26/10))/'Summary (Full)'!$B$44))</f>
        <v>0</v>
      </c>
      <c r="R26" s="129">
        <f>Anchor!Y167</f>
        <v>0</v>
      </c>
      <c r="S26" s="129">
        <f>Anchor!Z167</f>
        <v>0</v>
      </c>
      <c r="T26" s="129"/>
      <c r="U26" s="129">
        <f>Test!L167</f>
        <v>0</v>
      </c>
      <c r="V26" s="129">
        <f>Test!M167</f>
        <v>0</v>
      </c>
      <c r="W26" s="129">
        <f>Test!N167</f>
        <v>0</v>
      </c>
      <c r="X26" s="129">
        <f>Test!O167</f>
        <v>0</v>
      </c>
      <c r="Y26" s="129">
        <f>('Summary (Full)'!$B$34*V26+'Summary (Full)'!$B$35*W26+'Summary (Full)'!$B$36*X26)/'Summary (Full)'!$B$37</f>
        <v>0</v>
      </c>
      <c r="Z26" s="129">
        <f>Test!P167</f>
        <v>0</v>
      </c>
      <c r="AA26" s="129">
        <f>Test!Q167</f>
        <v>0</v>
      </c>
      <c r="AB26" s="129">
        <f>Test!R167</f>
        <v>0</v>
      </c>
      <c r="AC26" s="129">
        <f>Test!S167</f>
        <v>0</v>
      </c>
      <c r="AD26" s="129">
        <f>Test!T167</f>
        <v>0</v>
      </c>
      <c r="AE26" s="129">
        <f>Test!U167</f>
        <v>0</v>
      </c>
      <c r="AF26" s="129">
        <f>Test!V167</f>
        <v>0</v>
      </c>
      <c r="AG26" s="129">
        <f>Test!W167</f>
        <v>0</v>
      </c>
      <c r="AH26" s="129">
        <f>Test!X167</f>
        <v>0</v>
      </c>
      <c r="AI26" s="129">
        <f>10*LOG10(1/(('Summary (Full)'!$B$41/10^(AF26/10)+'Summary (Full)'!$B$42/10^(AG26/10)+'Summary (Full)'!$B$43/10^(AH26/10))/'Summary (Full)'!$B$44))</f>
        <v>0</v>
      </c>
      <c r="AJ26" s="129">
        <f>Test!Y167</f>
        <v>0</v>
      </c>
      <c r="AK26" s="129">
        <f>Test!Z167</f>
        <v>0</v>
      </c>
      <c r="AL26" s="129" t="e">
        <f t="shared" si="2"/>
        <v>#DIV/0!</v>
      </c>
      <c r="AM26" s="129" t="e">
        <f t="shared" si="2"/>
        <v>#DIV/0!</v>
      </c>
      <c r="AO26" s="254"/>
      <c r="AP26" s="172"/>
      <c r="AQ26" s="172"/>
      <c r="AR26" s="172"/>
      <c r="AS26" s="172"/>
      <c r="AT26" s="172"/>
      <c r="AU26" s="172"/>
      <c r="AV26" s="172"/>
      <c r="AW26" s="172"/>
      <c r="AX26" s="172"/>
      <c r="AY26" s="175"/>
      <c r="AZ26" s="286"/>
      <c r="BA26" s="212"/>
      <c r="EV26" s="7"/>
      <c r="EW26" s="7"/>
      <c r="EX26" s="7"/>
      <c r="EY26" s="7"/>
      <c r="EZ26" s="7"/>
      <c r="FA26" s="7"/>
      <c r="FB26" s="7"/>
      <c r="FC26" s="7"/>
    </row>
    <row r="27" spans="1:159" ht="13" customHeight="1" x14ac:dyDescent="0.15">
      <c r="A27" s="250"/>
      <c r="B27" s="38">
        <v>210</v>
      </c>
      <c r="C27" s="129">
        <f>Anchor!L168</f>
        <v>0</v>
      </c>
      <c r="D27" s="129">
        <f>Anchor!M168</f>
        <v>0</v>
      </c>
      <c r="E27" s="129">
        <f>Anchor!N168</f>
        <v>0</v>
      </c>
      <c r="F27" s="129">
        <f>Anchor!O168</f>
        <v>0</v>
      </c>
      <c r="G27" s="130">
        <f>('Summary (Full)'!$B$34*D27+'Summary (Full)'!$B$35*E27+'Summary (Full)'!$B$36*F27)/'Summary (Full)'!$B$37</f>
        <v>0</v>
      </c>
      <c r="H27" s="129">
        <f>Anchor!P168</f>
        <v>0</v>
      </c>
      <c r="I27" s="129">
        <f>Anchor!Q168</f>
        <v>0</v>
      </c>
      <c r="J27" s="129">
        <f>Anchor!R168</f>
        <v>0</v>
      </c>
      <c r="K27" s="129">
        <f>Anchor!S168</f>
        <v>0</v>
      </c>
      <c r="L27" s="129">
        <f>Anchor!T168</f>
        <v>0</v>
      </c>
      <c r="M27" s="129">
        <f>Anchor!U168</f>
        <v>0</v>
      </c>
      <c r="N27" s="129">
        <f>Anchor!V168</f>
        <v>0</v>
      </c>
      <c r="O27" s="129">
        <f>Anchor!W168</f>
        <v>0</v>
      </c>
      <c r="P27" s="129">
        <f>Anchor!X168</f>
        <v>0</v>
      </c>
      <c r="Q27" s="131">
        <f>10*LOG10(1/(('Summary (Full)'!$B$41/10^(N27/10)+'Summary (Full)'!$B$42/10^(O27/10)+'Summary (Full)'!$B$43/10^(P27/10))/'Summary (Full)'!$B$44))</f>
        <v>0</v>
      </c>
      <c r="R27" s="129">
        <f>Anchor!Y168</f>
        <v>0</v>
      </c>
      <c r="S27" s="129">
        <f>Anchor!Z168</f>
        <v>0</v>
      </c>
      <c r="T27" s="129"/>
      <c r="U27" s="129">
        <f>Test!L168</f>
        <v>0</v>
      </c>
      <c r="V27" s="129">
        <f>Test!M168</f>
        <v>0</v>
      </c>
      <c r="W27" s="129">
        <f>Test!N168</f>
        <v>0</v>
      </c>
      <c r="X27" s="129">
        <f>Test!O168</f>
        <v>0</v>
      </c>
      <c r="Y27" s="129">
        <f>('Summary (Full)'!$B$34*V27+'Summary (Full)'!$B$35*W27+'Summary (Full)'!$B$36*X27)/'Summary (Full)'!$B$37</f>
        <v>0</v>
      </c>
      <c r="Z27" s="129">
        <f>Test!P168</f>
        <v>0</v>
      </c>
      <c r="AA27" s="129">
        <f>Test!Q168</f>
        <v>0</v>
      </c>
      <c r="AB27" s="129">
        <f>Test!R168</f>
        <v>0</v>
      </c>
      <c r="AC27" s="129">
        <f>Test!S168</f>
        <v>0</v>
      </c>
      <c r="AD27" s="129">
        <f>Test!T168</f>
        <v>0</v>
      </c>
      <c r="AE27" s="129">
        <f>Test!U168</f>
        <v>0</v>
      </c>
      <c r="AF27" s="129">
        <f>Test!V168</f>
        <v>0</v>
      </c>
      <c r="AG27" s="129">
        <f>Test!W168</f>
        <v>0</v>
      </c>
      <c r="AH27" s="129">
        <f>Test!X168</f>
        <v>0</v>
      </c>
      <c r="AI27" s="129">
        <f>10*LOG10(1/(('Summary (Full)'!$B$41/10^(AF27/10)+'Summary (Full)'!$B$42/10^(AG27/10)+'Summary (Full)'!$B$43/10^(AH27/10))/'Summary (Full)'!$B$44))</f>
        <v>0</v>
      </c>
      <c r="AJ27" s="129">
        <f>Test!Y168</f>
        <v>0</v>
      </c>
      <c r="AK27" s="129">
        <f>Test!Z168</f>
        <v>0</v>
      </c>
      <c r="AL27" s="129" t="e">
        <f t="shared" si="2"/>
        <v>#DIV/0!</v>
      </c>
      <c r="AM27" s="129" t="e">
        <f t="shared" si="2"/>
        <v>#DIV/0!</v>
      </c>
      <c r="AO27" s="254" t="s">
        <v>29</v>
      </c>
      <c r="AP27" s="172" t="e" cm="1">
        <f t="array" ref="AP27">bdRateExtend($C25:$C28,D25:D28,$U25:$U28,V25:V28)</f>
        <v>#VALUE!</v>
      </c>
      <c r="AQ27" s="172"/>
      <c r="AR27" s="172"/>
      <c r="AS27" s="172"/>
      <c r="AT27" s="172" t="e" cm="1">
        <f t="array" ref="AT27">bdRateExtend($C25:$C28,H25:H28,$U25:$U28,Z25:Z28)</f>
        <v>#VALUE!</v>
      </c>
      <c r="AU27" s="172"/>
      <c r="AV27" s="172" t="e" cm="1">
        <f t="array" ref="AV27">bdRateExtend($C25:$C28,I25:I28,$U25:$U28,AA25:AA28)</f>
        <v>#VALUE!</v>
      </c>
      <c r="AW27" s="172"/>
      <c r="AX27" s="172" t="e" cm="1">
        <f t="array" ref="AX27">bdRateExtend($C25:$C28,J25:J28,$U25:$U28,AB25:AB28,"None", FALSE,1)</f>
        <v>#VALUE!</v>
      </c>
      <c r="AY27" s="175"/>
      <c r="AZ27" s="286" cm="1">
        <f t="array" ref="AZ27">testVMAFRange($C25:$C28,J25:J28,$U25:$U28,AB25:AB28)</f>
        <v>0</v>
      </c>
      <c r="BA27" s="212"/>
      <c r="EV27" s="7"/>
      <c r="EW27" s="7"/>
      <c r="EX27" s="7"/>
      <c r="EY27" s="7"/>
      <c r="EZ27" s="7"/>
      <c r="FA27" s="7"/>
      <c r="FB27" s="7"/>
      <c r="FC27" s="7"/>
    </row>
    <row r="28" spans="1:159" ht="14" thickBot="1" x14ac:dyDescent="0.2">
      <c r="A28" s="250"/>
      <c r="B28" s="38">
        <v>235</v>
      </c>
      <c r="C28" s="129">
        <f>Anchor!L169</f>
        <v>0</v>
      </c>
      <c r="D28" s="129">
        <f>Anchor!M169</f>
        <v>0</v>
      </c>
      <c r="E28" s="129">
        <f>Anchor!N169</f>
        <v>0</v>
      </c>
      <c r="F28" s="129">
        <f>Anchor!O169</f>
        <v>0</v>
      </c>
      <c r="G28" s="130">
        <f>('Summary (Full)'!$B$34*D28+'Summary (Full)'!$B$35*E28+'Summary (Full)'!$B$36*F28)/'Summary (Full)'!$B$37</f>
        <v>0</v>
      </c>
      <c r="H28" s="129">
        <f>Anchor!P169</f>
        <v>0</v>
      </c>
      <c r="I28" s="129">
        <f>Anchor!Q169</f>
        <v>0</v>
      </c>
      <c r="J28" s="129">
        <f>Anchor!R169</f>
        <v>0</v>
      </c>
      <c r="K28" s="129">
        <f>Anchor!S169</f>
        <v>0</v>
      </c>
      <c r="L28" s="129">
        <f>Anchor!T169</f>
        <v>0</v>
      </c>
      <c r="M28" s="129">
        <f>Anchor!U169</f>
        <v>0</v>
      </c>
      <c r="N28" s="129">
        <f>Anchor!V169</f>
        <v>0</v>
      </c>
      <c r="O28" s="129">
        <f>Anchor!W169</f>
        <v>0</v>
      </c>
      <c r="P28" s="129">
        <f>Anchor!X169</f>
        <v>0</v>
      </c>
      <c r="Q28" s="131">
        <f>10*LOG10(1/(('Summary (Full)'!$B$41/10^(N28/10)+'Summary (Full)'!$B$42/10^(O28/10)+'Summary (Full)'!$B$43/10^(P28/10))/'Summary (Full)'!$B$44))</f>
        <v>0</v>
      </c>
      <c r="R28" s="129">
        <f>Anchor!Y169</f>
        <v>0</v>
      </c>
      <c r="S28" s="129">
        <f>Anchor!Z169</f>
        <v>0</v>
      </c>
      <c r="T28" s="129"/>
      <c r="U28" s="129">
        <f>Test!L169</f>
        <v>0</v>
      </c>
      <c r="V28" s="129">
        <f>Test!M169</f>
        <v>0</v>
      </c>
      <c r="W28" s="129">
        <f>Test!N169</f>
        <v>0</v>
      </c>
      <c r="X28" s="129">
        <f>Test!O169</f>
        <v>0</v>
      </c>
      <c r="Y28" s="129">
        <f>('Summary (Full)'!$B$34*V28+'Summary (Full)'!$B$35*W28+'Summary (Full)'!$B$36*X28)/'Summary (Full)'!$B$37</f>
        <v>0</v>
      </c>
      <c r="Z28" s="129">
        <f>Test!P169</f>
        <v>0</v>
      </c>
      <c r="AA28" s="129">
        <f>Test!Q169</f>
        <v>0</v>
      </c>
      <c r="AB28" s="129">
        <f>Test!R169</f>
        <v>0</v>
      </c>
      <c r="AC28" s="129">
        <f>Test!S169</f>
        <v>0</v>
      </c>
      <c r="AD28" s="129">
        <f>Test!T169</f>
        <v>0</v>
      </c>
      <c r="AE28" s="129">
        <f>Test!U169</f>
        <v>0</v>
      </c>
      <c r="AF28" s="129">
        <f>Test!V169</f>
        <v>0</v>
      </c>
      <c r="AG28" s="129">
        <f>Test!W169</f>
        <v>0</v>
      </c>
      <c r="AH28" s="129">
        <f>Test!X169</f>
        <v>0</v>
      </c>
      <c r="AI28" s="129">
        <f>10*LOG10(1/(('Summary (Full)'!$B$41/10^(AF28/10)+'Summary (Full)'!$B$42/10^(AG28/10)+'Summary (Full)'!$B$43/10^(AH28/10))/'Summary (Full)'!$B$44))</f>
        <v>0</v>
      </c>
      <c r="AJ28" s="129">
        <f>Test!Y169</f>
        <v>0</v>
      </c>
      <c r="AK28" s="129">
        <f>Test!Z169</f>
        <v>0</v>
      </c>
      <c r="AL28" s="129" t="e">
        <f t="shared" si="2"/>
        <v>#DIV/0!</v>
      </c>
      <c r="AM28" s="129" t="e">
        <f t="shared" si="2"/>
        <v>#DIV/0!</v>
      </c>
      <c r="AO28" s="263"/>
      <c r="AP28" s="173"/>
      <c r="AQ28" s="173"/>
      <c r="AR28" s="173"/>
      <c r="AS28" s="173"/>
      <c r="AT28" s="173"/>
      <c r="AU28" s="173"/>
      <c r="AV28" s="173"/>
      <c r="AW28" s="173"/>
      <c r="AX28" s="173"/>
      <c r="AY28" s="188"/>
      <c r="AZ28" s="287"/>
      <c r="BA28" s="240"/>
      <c r="EV28" s="7"/>
      <c r="EW28" s="7"/>
      <c r="EX28" s="7"/>
      <c r="EY28" s="7"/>
      <c r="EZ28" s="7"/>
      <c r="FA28" s="7"/>
      <c r="FB28" s="7"/>
      <c r="FC28" s="7"/>
    </row>
    <row r="29" spans="1:159" ht="13" customHeight="1" x14ac:dyDescent="0.15">
      <c r="A29" s="250" t="s">
        <v>9</v>
      </c>
      <c r="B29" s="38">
        <v>110</v>
      </c>
      <c r="C29" s="129">
        <f>Anchor!L170</f>
        <v>0</v>
      </c>
      <c r="D29" s="129">
        <f>Anchor!M170</f>
        <v>0</v>
      </c>
      <c r="E29" s="129">
        <f>Anchor!N170</f>
        <v>0</v>
      </c>
      <c r="F29" s="129">
        <f>Anchor!O170</f>
        <v>0</v>
      </c>
      <c r="G29" s="130">
        <f>('Summary (Full)'!$B$34*D29+'Summary (Full)'!$B$35*E29+'Summary (Full)'!$B$36*F29)/'Summary (Full)'!$B$37</f>
        <v>0</v>
      </c>
      <c r="H29" s="129">
        <f>Anchor!P170</f>
        <v>0</v>
      </c>
      <c r="I29" s="129">
        <f>Anchor!Q170</f>
        <v>0</v>
      </c>
      <c r="J29" s="129">
        <f>Anchor!R170</f>
        <v>0</v>
      </c>
      <c r="K29" s="129">
        <f>Anchor!S170</f>
        <v>0</v>
      </c>
      <c r="L29" s="129">
        <f>Anchor!T170</f>
        <v>0</v>
      </c>
      <c r="M29" s="129">
        <f>Anchor!U170</f>
        <v>0</v>
      </c>
      <c r="N29" s="129">
        <f>Anchor!V170</f>
        <v>0</v>
      </c>
      <c r="O29" s="129">
        <f>Anchor!W170</f>
        <v>0</v>
      </c>
      <c r="P29" s="129">
        <f>Anchor!X170</f>
        <v>0</v>
      </c>
      <c r="Q29" s="131">
        <f>10*LOG10(1/(('Summary (Full)'!$B$41/10^(N29/10)+'Summary (Full)'!$B$42/10^(O29/10)+'Summary (Full)'!$B$43/10^(P29/10))/'Summary (Full)'!$B$44))</f>
        <v>0</v>
      </c>
      <c r="R29" s="129">
        <f>Anchor!Y170</f>
        <v>0</v>
      </c>
      <c r="S29" s="129">
        <f>Anchor!Z170</f>
        <v>0</v>
      </c>
      <c r="T29" s="129"/>
      <c r="U29" s="129">
        <f>Test!L170</f>
        <v>0</v>
      </c>
      <c r="V29" s="129">
        <f>Test!M170</f>
        <v>0</v>
      </c>
      <c r="W29" s="129">
        <f>Test!N170</f>
        <v>0</v>
      </c>
      <c r="X29" s="129">
        <f>Test!O170</f>
        <v>0</v>
      </c>
      <c r="Y29" s="129">
        <f>('Summary (Full)'!$B$34*V29+'Summary (Full)'!$B$35*W29+'Summary (Full)'!$B$36*X29)/'Summary (Full)'!$B$37</f>
        <v>0</v>
      </c>
      <c r="Z29" s="129">
        <f>Test!P170</f>
        <v>0</v>
      </c>
      <c r="AA29" s="129">
        <f>Test!Q170</f>
        <v>0</v>
      </c>
      <c r="AB29" s="129">
        <f>Test!R170</f>
        <v>0</v>
      </c>
      <c r="AC29" s="129">
        <f>Test!S170</f>
        <v>0</v>
      </c>
      <c r="AD29" s="129">
        <f>Test!T170</f>
        <v>0</v>
      </c>
      <c r="AE29" s="129">
        <f>Test!U170</f>
        <v>0</v>
      </c>
      <c r="AF29" s="129">
        <f>Test!V170</f>
        <v>0</v>
      </c>
      <c r="AG29" s="129">
        <f>Test!W170</f>
        <v>0</v>
      </c>
      <c r="AH29" s="129">
        <f>Test!X170</f>
        <v>0</v>
      </c>
      <c r="AI29" s="129">
        <f>10*LOG10(1/(('Summary (Full)'!$B$41/10^(AF29/10)+'Summary (Full)'!$B$42/10^(AG29/10)+'Summary (Full)'!$B$43/10^(AH29/10))/'Summary (Full)'!$B$44))</f>
        <v>0</v>
      </c>
      <c r="AJ29" s="129">
        <f>Test!Y170</f>
        <v>0</v>
      </c>
      <c r="AK29" s="129">
        <f>Test!Z170</f>
        <v>0</v>
      </c>
      <c r="AL29" s="129" t="e">
        <f t="shared" si="2"/>
        <v>#DIV/0!</v>
      </c>
      <c r="AM29" s="129" t="e">
        <f t="shared" si="2"/>
        <v>#DIV/0!</v>
      </c>
      <c r="AO29" s="253" t="s">
        <v>27</v>
      </c>
      <c r="AP29" s="171" t="e" cm="1">
        <f t="array" ref="AP29">bdRateExtend($C29:$C32,D29:D32,$U29:$U32,V29:V32)</f>
        <v>#VALUE!</v>
      </c>
      <c r="AQ29" s="171" t="e" cm="1">
        <f t="array" ref="AQ29">bdRateExtend($C29:$C34,D29:D34,$U29:$U34,V29:V34)</f>
        <v>#VALUE!</v>
      </c>
      <c r="AR29" s="171" t="e" cm="1">
        <f t="array" ref="AR29">bdRateExtend($C29:$C34,E29:E34,$U29:$U34,W29:W34)</f>
        <v>#VALUE!</v>
      </c>
      <c r="AS29" s="171" t="e" cm="1">
        <f t="array" ref="AS29">bdRateExtend($C29:$C34,F29:F34,$U29:$U34,X29:X34)</f>
        <v>#VALUE!</v>
      </c>
      <c r="AT29" s="171" t="e" cm="1">
        <f t="array" ref="AT29">bdRateExtend($C29:$C32,H29:H32,$U29:$U32,Z29:Z32)</f>
        <v>#VALUE!</v>
      </c>
      <c r="AU29" s="171" t="e" cm="1">
        <f t="array" ref="AU29">bdRateExtend($C29:$C34,H29:H34,$U29:$U34,Z29:Z34)</f>
        <v>#VALUE!</v>
      </c>
      <c r="AV29" s="171" t="e" cm="1">
        <f t="array" ref="AV29">bdRateExtend($C29:$C32,I29:I32,$U29:$U32,AA29:AA32)</f>
        <v>#VALUE!</v>
      </c>
      <c r="AW29" s="171" t="e" cm="1">
        <f t="array" ref="AW29">bdRateExtend($C29:$C34,I29:I34,$U29:$U34,AA29:AA34)</f>
        <v>#VALUE!</v>
      </c>
      <c r="AX29" s="171" t="e" cm="1">
        <f t="array" ref="AX29">bdRateExtend($C29:$C32,J29:J32,$U29:$U32,AB29:AB32,"None", FALSE,1)</f>
        <v>#VALUE!</v>
      </c>
      <c r="AY29" s="174" t="e" cm="1">
        <f t="array" ref="AY29">bdRateExtend($C29:$C34,J29:J34,$U29:$U34,AB29:AB34,"None", FALSE,TRUE)</f>
        <v>#VALUE!</v>
      </c>
      <c r="AZ29" s="285" cm="1">
        <f t="array" ref="AZ29">testVMAFRange($C29:$C32,J29:J32,$U29:$U32,AB29:AB32)</f>
        <v>0</v>
      </c>
      <c r="BA29" s="211" cm="1">
        <f t="array" ref="BA29">testVMAFRange($C29:$C34,J29:J34,$U29:$U34,AB29:AB34)</f>
        <v>0</v>
      </c>
      <c r="EV29" s="7"/>
      <c r="EW29" s="7"/>
      <c r="EX29" s="7"/>
      <c r="EY29" s="7"/>
      <c r="EZ29" s="7"/>
      <c r="FA29" s="7"/>
      <c r="FB29" s="7"/>
      <c r="FC29" s="7"/>
    </row>
    <row r="30" spans="1:159" x14ac:dyDescent="0.15">
      <c r="A30" s="250"/>
      <c r="B30" s="38">
        <v>135</v>
      </c>
      <c r="C30" s="129">
        <f>Anchor!L171</f>
        <v>0</v>
      </c>
      <c r="D30" s="129">
        <f>Anchor!M171</f>
        <v>0</v>
      </c>
      <c r="E30" s="129">
        <f>Anchor!N171</f>
        <v>0</v>
      </c>
      <c r="F30" s="129">
        <f>Anchor!O171</f>
        <v>0</v>
      </c>
      <c r="G30" s="130">
        <f>('Summary (Full)'!$B$34*D30+'Summary (Full)'!$B$35*E30+'Summary (Full)'!$B$36*F30)/'Summary (Full)'!$B$37</f>
        <v>0</v>
      </c>
      <c r="H30" s="129">
        <f>Anchor!P171</f>
        <v>0</v>
      </c>
      <c r="I30" s="129">
        <f>Anchor!Q171</f>
        <v>0</v>
      </c>
      <c r="J30" s="129">
        <f>Anchor!R171</f>
        <v>0</v>
      </c>
      <c r="K30" s="129">
        <f>Anchor!S171</f>
        <v>0</v>
      </c>
      <c r="L30" s="129">
        <f>Anchor!T171</f>
        <v>0</v>
      </c>
      <c r="M30" s="129">
        <f>Anchor!U171</f>
        <v>0</v>
      </c>
      <c r="N30" s="129">
        <f>Anchor!V171</f>
        <v>0</v>
      </c>
      <c r="O30" s="129">
        <f>Anchor!W171</f>
        <v>0</v>
      </c>
      <c r="P30" s="129">
        <f>Anchor!X171</f>
        <v>0</v>
      </c>
      <c r="Q30" s="131">
        <f>10*LOG10(1/(('Summary (Full)'!$B$41/10^(N30/10)+'Summary (Full)'!$B$42/10^(O30/10)+'Summary (Full)'!$B$43/10^(P30/10))/'Summary (Full)'!$B$44))</f>
        <v>0</v>
      </c>
      <c r="R30" s="129">
        <f>Anchor!Y171</f>
        <v>0</v>
      </c>
      <c r="S30" s="129">
        <f>Anchor!Z171</f>
        <v>0</v>
      </c>
      <c r="T30" s="129"/>
      <c r="U30" s="129">
        <f>Test!L171</f>
        <v>0</v>
      </c>
      <c r="V30" s="129">
        <f>Test!M171</f>
        <v>0</v>
      </c>
      <c r="W30" s="129">
        <f>Test!N171</f>
        <v>0</v>
      </c>
      <c r="X30" s="129">
        <f>Test!O171</f>
        <v>0</v>
      </c>
      <c r="Y30" s="129">
        <f>('Summary (Full)'!$B$34*V30+'Summary (Full)'!$B$35*W30+'Summary (Full)'!$B$36*X30)/'Summary (Full)'!$B$37</f>
        <v>0</v>
      </c>
      <c r="Z30" s="129">
        <f>Test!P171</f>
        <v>0</v>
      </c>
      <c r="AA30" s="129">
        <f>Test!Q171</f>
        <v>0</v>
      </c>
      <c r="AB30" s="129">
        <f>Test!R171</f>
        <v>0</v>
      </c>
      <c r="AC30" s="129">
        <f>Test!S171</f>
        <v>0</v>
      </c>
      <c r="AD30" s="129">
        <f>Test!T171</f>
        <v>0</v>
      </c>
      <c r="AE30" s="129">
        <f>Test!U171</f>
        <v>0</v>
      </c>
      <c r="AF30" s="129">
        <f>Test!V171</f>
        <v>0</v>
      </c>
      <c r="AG30" s="129">
        <f>Test!W171</f>
        <v>0</v>
      </c>
      <c r="AH30" s="129">
        <f>Test!X171</f>
        <v>0</v>
      </c>
      <c r="AI30" s="129">
        <f>10*LOG10(1/(('Summary (Full)'!$B$41/10^(AF30/10)+'Summary (Full)'!$B$42/10^(AG30/10)+'Summary (Full)'!$B$43/10^(AH30/10))/'Summary (Full)'!$B$44))</f>
        <v>0</v>
      </c>
      <c r="AJ30" s="129">
        <f>Test!Y171</f>
        <v>0</v>
      </c>
      <c r="AK30" s="129">
        <f>Test!Z171</f>
        <v>0</v>
      </c>
      <c r="AL30" s="129" t="e">
        <f t="shared" si="2"/>
        <v>#DIV/0!</v>
      </c>
      <c r="AM30" s="129" t="e">
        <f t="shared" si="2"/>
        <v>#DIV/0!</v>
      </c>
      <c r="AO30" s="254"/>
      <c r="AP30" s="172"/>
      <c r="AQ30" s="172"/>
      <c r="AR30" s="172"/>
      <c r="AS30" s="172"/>
      <c r="AT30" s="172"/>
      <c r="AU30" s="172"/>
      <c r="AV30" s="172"/>
      <c r="AW30" s="172"/>
      <c r="AX30" s="172"/>
      <c r="AY30" s="175"/>
      <c r="AZ30" s="286"/>
      <c r="BA30" s="212"/>
      <c r="EV30" s="7"/>
      <c r="EW30" s="7"/>
      <c r="EX30" s="7"/>
      <c r="EY30" s="7"/>
      <c r="EZ30" s="7"/>
      <c r="FA30" s="7"/>
      <c r="FB30" s="7"/>
      <c r="FC30" s="7"/>
    </row>
    <row r="31" spans="1:159" ht="13" customHeight="1" x14ac:dyDescent="0.15">
      <c r="A31" s="250"/>
      <c r="B31" s="38">
        <v>160</v>
      </c>
      <c r="C31" s="129">
        <f>Anchor!L172</f>
        <v>0</v>
      </c>
      <c r="D31" s="129">
        <f>Anchor!M172</f>
        <v>0</v>
      </c>
      <c r="E31" s="129">
        <f>Anchor!N172</f>
        <v>0</v>
      </c>
      <c r="F31" s="129">
        <f>Anchor!O172</f>
        <v>0</v>
      </c>
      <c r="G31" s="130">
        <f>('Summary (Full)'!$B$34*D31+'Summary (Full)'!$B$35*E31+'Summary (Full)'!$B$36*F31)/'Summary (Full)'!$B$37</f>
        <v>0</v>
      </c>
      <c r="H31" s="129">
        <f>Anchor!P172</f>
        <v>0</v>
      </c>
      <c r="I31" s="129">
        <f>Anchor!Q172</f>
        <v>0</v>
      </c>
      <c r="J31" s="129">
        <f>Anchor!R172</f>
        <v>0</v>
      </c>
      <c r="K31" s="129">
        <f>Anchor!S172</f>
        <v>0</v>
      </c>
      <c r="L31" s="129">
        <f>Anchor!T172</f>
        <v>0</v>
      </c>
      <c r="M31" s="129">
        <f>Anchor!U172</f>
        <v>0</v>
      </c>
      <c r="N31" s="129">
        <f>Anchor!V172</f>
        <v>0</v>
      </c>
      <c r="O31" s="129">
        <f>Anchor!W172</f>
        <v>0</v>
      </c>
      <c r="P31" s="129">
        <f>Anchor!X172</f>
        <v>0</v>
      </c>
      <c r="Q31" s="131">
        <f>10*LOG10(1/(('Summary (Full)'!$B$41/10^(N31/10)+'Summary (Full)'!$B$42/10^(O31/10)+'Summary (Full)'!$B$43/10^(P31/10))/'Summary (Full)'!$B$44))</f>
        <v>0</v>
      </c>
      <c r="R31" s="129">
        <f>Anchor!Y172</f>
        <v>0</v>
      </c>
      <c r="S31" s="129">
        <f>Anchor!Z172</f>
        <v>0</v>
      </c>
      <c r="T31" s="129"/>
      <c r="U31" s="129">
        <f>Test!L172</f>
        <v>0</v>
      </c>
      <c r="V31" s="129">
        <f>Test!M172</f>
        <v>0</v>
      </c>
      <c r="W31" s="129">
        <f>Test!N172</f>
        <v>0</v>
      </c>
      <c r="X31" s="129">
        <f>Test!O172</f>
        <v>0</v>
      </c>
      <c r="Y31" s="129">
        <f>('Summary (Full)'!$B$34*V31+'Summary (Full)'!$B$35*W31+'Summary (Full)'!$B$36*X31)/'Summary (Full)'!$B$37</f>
        <v>0</v>
      </c>
      <c r="Z31" s="129">
        <f>Test!P172</f>
        <v>0</v>
      </c>
      <c r="AA31" s="129">
        <f>Test!Q172</f>
        <v>0</v>
      </c>
      <c r="AB31" s="129">
        <f>Test!R172</f>
        <v>0</v>
      </c>
      <c r="AC31" s="129">
        <f>Test!S172</f>
        <v>0</v>
      </c>
      <c r="AD31" s="129">
        <f>Test!T172</f>
        <v>0</v>
      </c>
      <c r="AE31" s="129">
        <f>Test!U172</f>
        <v>0</v>
      </c>
      <c r="AF31" s="129">
        <f>Test!V172</f>
        <v>0</v>
      </c>
      <c r="AG31" s="129">
        <f>Test!W172</f>
        <v>0</v>
      </c>
      <c r="AH31" s="129">
        <f>Test!X172</f>
        <v>0</v>
      </c>
      <c r="AI31" s="129">
        <f>10*LOG10(1/(('Summary (Full)'!$B$41/10^(AF31/10)+'Summary (Full)'!$B$42/10^(AG31/10)+'Summary (Full)'!$B$43/10^(AH31/10))/'Summary (Full)'!$B$44))</f>
        <v>0</v>
      </c>
      <c r="AJ31" s="129">
        <f>Test!Y172</f>
        <v>0</v>
      </c>
      <c r="AK31" s="129">
        <f>Test!Z172</f>
        <v>0</v>
      </c>
      <c r="AL31" s="129" t="e">
        <f t="shared" si="2"/>
        <v>#DIV/0!</v>
      </c>
      <c r="AM31" s="129" t="e">
        <f t="shared" si="2"/>
        <v>#DIV/0!</v>
      </c>
      <c r="AO31" s="254" t="s">
        <v>28</v>
      </c>
      <c r="AP31" s="172" t="e" cm="1">
        <f t="array" ref="AP31">bdRateExtend($C30:$C33,D30:D33,$U30:$U33,V30:V33)</f>
        <v>#VALUE!</v>
      </c>
      <c r="AQ31" s="172"/>
      <c r="AR31" s="172"/>
      <c r="AS31" s="172"/>
      <c r="AT31" s="172" t="e" cm="1">
        <f t="array" ref="AT31">bdRateExtend($C30:$C33,H30:H33,$U30:$U33,Z30:Z33)</f>
        <v>#VALUE!</v>
      </c>
      <c r="AU31" s="172"/>
      <c r="AV31" s="172" t="e" cm="1">
        <f t="array" ref="AV31">bdRateExtend($C30:$C33,I30:I33,$U30:$U33,AA30:AA33)</f>
        <v>#VALUE!</v>
      </c>
      <c r="AW31" s="172"/>
      <c r="AX31" s="172" t="e" cm="1">
        <f t="array" ref="AX31">bdRateExtend($C30:$C33,J30:J33,$U30:$U33,AB30:AB33,"None", FALSE,1)</f>
        <v>#VALUE!</v>
      </c>
      <c r="AY31" s="175"/>
      <c r="AZ31" s="286" cm="1">
        <f t="array" ref="AZ31">testVMAFRange($C30:$C33,J30:J33,$U30:$U33,AB30:AB33)</f>
        <v>0</v>
      </c>
      <c r="BA31" s="212"/>
      <c r="EV31" s="7"/>
      <c r="EW31" s="7"/>
      <c r="EX31" s="7"/>
      <c r="EY31" s="7"/>
      <c r="EZ31" s="7"/>
      <c r="FA31" s="7"/>
      <c r="FB31" s="7"/>
      <c r="FC31" s="7"/>
    </row>
    <row r="32" spans="1:159" x14ac:dyDescent="0.15">
      <c r="A32" s="250"/>
      <c r="B32" s="38">
        <v>185</v>
      </c>
      <c r="C32" s="129">
        <f>Anchor!L173</f>
        <v>0</v>
      </c>
      <c r="D32" s="129">
        <f>Anchor!M173</f>
        <v>0</v>
      </c>
      <c r="E32" s="129">
        <f>Anchor!N173</f>
        <v>0</v>
      </c>
      <c r="F32" s="129">
        <f>Anchor!O173</f>
        <v>0</v>
      </c>
      <c r="G32" s="130">
        <f>('Summary (Full)'!$B$34*D32+'Summary (Full)'!$B$35*E32+'Summary (Full)'!$B$36*F32)/'Summary (Full)'!$B$37</f>
        <v>0</v>
      </c>
      <c r="H32" s="129">
        <f>Anchor!P173</f>
        <v>0</v>
      </c>
      <c r="I32" s="129">
        <f>Anchor!Q173</f>
        <v>0</v>
      </c>
      <c r="J32" s="129">
        <f>Anchor!R173</f>
        <v>0</v>
      </c>
      <c r="K32" s="129">
        <f>Anchor!S173</f>
        <v>0</v>
      </c>
      <c r="L32" s="129">
        <f>Anchor!T173</f>
        <v>0</v>
      </c>
      <c r="M32" s="129">
        <f>Anchor!U173</f>
        <v>0</v>
      </c>
      <c r="N32" s="129">
        <f>Anchor!V173</f>
        <v>0</v>
      </c>
      <c r="O32" s="129">
        <f>Anchor!W173</f>
        <v>0</v>
      </c>
      <c r="P32" s="129">
        <f>Anchor!X173</f>
        <v>0</v>
      </c>
      <c r="Q32" s="131">
        <f>10*LOG10(1/(('Summary (Full)'!$B$41/10^(N32/10)+'Summary (Full)'!$B$42/10^(O32/10)+'Summary (Full)'!$B$43/10^(P32/10))/'Summary (Full)'!$B$44))</f>
        <v>0</v>
      </c>
      <c r="R32" s="129">
        <f>Anchor!Y173</f>
        <v>0</v>
      </c>
      <c r="S32" s="129">
        <f>Anchor!Z173</f>
        <v>0</v>
      </c>
      <c r="T32" s="129"/>
      <c r="U32" s="129">
        <f>Test!L173</f>
        <v>0</v>
      </c>
      <c r="V32" s="129">
        <f>Test!M173</f>
        <v>0</v>
      </c>
      <c r="W32" s="129">
        <f>Test!N173</f>
        <v>0</v>
      </c>
      <c r="X32" s="129">
        <f>Test!O173</f>
        <v>0</v>
      </c>
      <c r="Y32" s="129">
        <f>('Summary (Full)'!$B$34*V32+'Summary (Full)'!$B$35*W32+'Summary (Full)'!$B$36*X32)/'Summary (Full)'!$B$37</f>
        <v>0</v>
      </c>
      <c r="Z32" s="129">
        <f>Test!P173</f>
        <v>0</v>
      </c>
      <c r="AA32" s="129">
        <f>Test!Q173</f>
        <v>0</v>
      </c>
      <c r="AB32" s="129">
        <f>Test!R173</f>
        <v>0</v>
      </c>
      <c r="AC32" s="129">
        <f>Test!S173</f>
        <v>0</v>
      </c>
      <c r="AD32" s="129">
        <f>Test!T173</f>
        <v>0</v>
      </c>
      <c r="AE32" s="129">
        <f>Test!U173</f>
        <v>0</v>
      </c>
      <c r="AF32" s="129">
        <f>Test!V173</f>
        <v>0</v>
      </c>
      <c r="AG32" s="129">
        <f>Test!W173</f>
        <v>0</v>
      </c>
      <c r="AH32" s="129">
        <f>Test!X173</f>
        <v>0</v>
      </c>
      <c r="AI32" s="129">
        <f>10*LOG10(1/(('Summary (Full)'!$B$41/10^(AF32/10)+'Summary (Full)'!$B$42/10^(AG32/10)+'Summary (Full)'!$B$43/10^(AH32/10))/'Summary (Full)'!$B$44))</f>
        <v>0</v>
      </c>
      <c r="AJ32" s="129">
        <f>Test!Y173</f>
        <v>0</v>
      </c>
      <c r="AK32" s="129">
        <f>Test!Z173</f>
        <v>0</v>
      </c>
      <c r="AL32" s="129" t="e">
        <f t="shared" si="2"/>
        <v>#DIV/0!</v>
      </c>
      <c r="AM32" s="129" t="e">
        <f t="shared" si="2"/>
        <v>#DIV/0!</v>
      </c>
      <c r="AO32" s="254"/>
      <c r="AP32" s="172"/>
      <c r="AQ32" s="172"/>
      <c r="AR32" s="172"/>
      <c r="AS32" s="172"/>
      <c r="AT32" s="172"/>
      <c r="AU32" s="172"/>
      <c r="AV32" s="172"/>
      <c r="AW32" s="172"/>
      <c r="AX32" s="172"/>
      <c r="AY32" s="175"/>
      <c r="AZ32" s="286"/>
      <c r="BA32" s="212"/>
      <c r="EV32" s="7"/>
      <c r="EW32" s="7"/>
      <c r="EX32" s="7"/>
      <c r="EY32" s="7"/>
      <c r="EZ32" s="7"/>
      <c r="FA32" s="7"/>
      <c r="FB32" s="7"/>
      <c r="FC32" s="7"/>
    </row>
    <row r="33" spans="1:159" ht="13" customHeight="1" x14ac:dyDescent="0.15">
      <c r="A33" s="250"/>
      <c r="B33" s="38">
        <v>210</v>
      </c>
      <c r="C33" s="129">
        <f>Anchor!L174</f>
        <v>0</v>
      </c>
      <c r="D33" s="129">
        <f>Anchor!M174</f>
        <v>0</v>
      </c>
      <c r="E33" s="129">
        <f>Anchor!N174</f>
        <v>0</v>
      </c>
      <c r="F33" s="129">
        <f>Anchor!O174</f>
        <v>0</v>
      </c>
      <c r="G33" s="130">
        <f>('Summary (Full)'!$B$34*D33+'Summary (Full)'!$B$35*E33+'Summary (Full)'!$B$36*F33)/'Summary (Full)'!$B$37</f>
        <v>0</v>
      </c>
      <c r="H33" s="129">
        <f>Anchor!P174</f>
        <v>0</v>
      </c>
      <c r="I33" s="129">
        <f>Anchor!Q174</f>
        <v>0</v>
      </c>
      <c r="J33" s="129">
        <f>Anchor!R174</f>
        <v>0</v>
      </c>
      <c r="K33" s="129">
        <f>Anchor!S174</f>
        <v>0</v>
      </c>
      <c r="L33" s="129">
        <f>Anchor!T174</f>
        <v>0</v>
      </c>
      <c r="M33" s="129">
        <f>Anchor!U174</f>
        <v>0</v>
      </c>
      <c r="N33" s="129">
        <f>Anchor!V174</f>
        <v>0</v>
      </c>
      <c r="O33" s="129">
        <f>Anchor!W174</f>
        <v>0</v>
      </c>
      <c r="P33" s="129">
        <f>Anchor!X174</f>
        <v>0</v>
      </c>
      <c r="Q33" s="131">
        <f>10*LOG10(1/(('Summary (Full)'!$B$41/10^(N33/10)+'Summary (Full)'!$B$42/10^(O33/10)+'Summary (Full)'!$B$43/10^(P33/10))/'Summary (Full)'!$B$44))</f>
        <v>0</v>
      </c>
      <c r="R33" s="129">
        <f>Anchor!Y174</f>
        <v>0</v>
      </c>
      <c r="S33" s="129">
        <f>Anchor!Z174</f>
        <v>0</v>
      </c>
      <c r="T33" s="129"/>
      <c r="U33" s="129">
        <f>Test!L174</f>
        <v>0</v>
      </c>
      <c r="V33" s="129">
        <f>Test!M174</f>
        <v>0</v>
      </c>
      <c r="W33" s="129">
        <f>Test!N174</f>
        <v>0</v>
      </c>
      <c r="X33" s="129">
        <f>Test!O174</f>
        <v>0</v>
      </c>
      <c r="Y33" s="129">
        <f>('Summary (Full)'!$B$34*V33+'Summary (Full)'!$B$35*W33+'Summary (Full)'!$B$36*X33)/'Summary (Full)'!$B$37</f>
        <v>0</v>
      </c>
      <c r="Z33" s="129">
        <f>Test!P174</f>
        <v>0</v>
      </c>
      <c r="AA33" s="129">
        <f>Test!Q174</f>
        <v>0</v>
      </c>
      <c r="AB33" s="129">
        <f>Test!R174</f>
        <v>0</v>
      </c>
      <c r="AC33" s="129">
        <f>Test!S174</f>
        <v>0</v>
      </c>
      <c r="AD33" s="129">
        <f>Test!T174</f>
        <v>0</v>
      </c>
      <c r="AE33" s="129">
        <f>Test!U174</f>
        <v>0</v>
      </c>
      <c r="AF33" s="129">
        <f>Test!V174</f>
        <v>0</v>
      </c>
      <c r="AG33" s="129">
        <f>Test!W174</f>
        <v>0</v>
      </c>
      <c r="AH33" s="129">
        <f>Test!X174</f>
        <v>0</v>
      </c>
      <c r="AI33" s="129">
        <f>10*LOG10(1/(('Summary (Full)'!$B$41/10^(AF33/10)+'Summary (Full)'!$B$42/10^(AG33/10)+'Summary (Full)'!$B$43/10^(AH33/10))/'Summary (Full)'!$B$44))</f>
        <v>0</v>
      </c>
      <c r="AJ33" s="129">
        <f>Test!Y174</f>
        <v>0</v>
      </c>
      <c r="AK33" s="129">
        <f>Test!Z174</f>
        <v>0</v>
      </c>
      <c r="AL33" s="129" t="e">
        <f t="shared" si="2"/>
        <v>#DIV/0!</v>
      </c>
      <c r="AM33" s="129" t="e">
        <f t="shared" si="2"/>
        <v>#DIV/0!</v>
      </c>
      <c r="AO33" s="254" t="s">
        <v>29</v>
      </c>
      <c r="AP33" s="172" t="e" cm="1">
        <f t="array" ref="AP33">bdRateExtend($C31:$C34,D31:D34,$U31:$U34,V31:V34)</f>
        <v>#VALUE!</v>
      </c>
      <c r="AQ33" s="172"/>
      <c r="AR33" s="172"/>
      <c r="AS33" s="172"/>
      <c r="AT33" s="172" t="e" cm="1">
        <f t="array" ref="AT33">bdRateExtend($C31:$C34,H31:H34,$U31:$U34,Z31:Z34)</f>
        <v>#VALUE!</v>
      </c>
      <c r="AU33" s="172"/>
      <c r="AV33" s="172" t="e" cm="1">
        <f t="array" ref="AV33">bdRateExtend($C31:$C34,I31:I34,$U31:$U34,AA31:AA34)</f>
        <v>#VALUE!</v>
      </c>
      <c r="AW33" s="172"/>
      <c r="AX33" s="172" t="e" cm="1">
        <f t="array" ref="AX33">bdRateExtend($C31:$C34,J31:J34,$U31:$U34,AB31:AB34,"None", FALSE,1)</f>
        <v>#VALUE!</v>
      </c>
      <c r="AY33" s="175"/>
      <c r="AZ33" s="286" cm="1">
        <f t="array" ref="AZ33">testVMAFRange($C31:$C34,J31:J34,$U31:$U34,AB31:AB34)</f>
        <v>0</v>
      </c>
      <c r="BA33" s="212"/>
      <c r="EV33" s="7"/>
      <c r="EW33" s="7"/>
      <c r="EX33" s="7"/>
      <c r="EY33" s="7"/>
      <c r="EZ33" s="7"/>
      <c r="FA33" s="7"/>
      <c r="FB33" s="7"/>
      <c r="FC33" s="7"/>
    </row>
    <row r="34" spans="1:159" ht="14" thickBot="1" x14ac:dyDescent="0.2">
      <c r="A34" s="250"/>
      <c r="B34" s="38">
        <v>235</v>
      </c>
      <c r="C34" s="129">
        <f>Anchor!L175</f>
        <v>0</v>
      </c>
      <c r="D34" s="129">
        <f>Anchor!M175</f>
        <v>0</v>
      </c>
      <c r="E34" s="129">
        <f>Anchor!N175</f>
        <v>0</v>
      </c>
      <c r="F34" s="129">
        <f>Anchor!O175</f>
        <v>0</v>
      </c>
      <c r="G34" s="130">
        <f>('Summary (Full)'!$B$34*D34+'Summary (Full)'!$B$35*E34+'Summary (Full)'!$B$36*F34)/'Summary (Full)'!$B$37</f>
        <v>0</v>
      </c>
      <c r="H34" s="129">
        <f>Anchor!P175</f>
        <v>0</v>
      </c>
      <c r="I34" s="129">
        <f>Anchor!Q175</f>
        <v>0</v>
      </c>
      <c r="J34" s="129">
        <f>Anchor!R175</f>
        <v>0</v>
      </c>
      <c r="K34" s="129">
        <f>Anchor!S175</f>
        <v>0</v>
      </c>
      <c r="L34" s="129">
        <f>Anchor!T175</f>
        <v>0</v>
      </c>
      <c r="M34" s="129">
        <f>Anchor!U175</f>
        <v>0</v>
      </c>
      <c r="N34" s="129">
        <f>Anchor!V175</f>
        <v>0</v>
      </c>
      <c r="O34" s="129">
        <f>Anchor!W175</f>
        <v>0</v>
      </c>
      <c r="P34" s="129">
        <f>Anchor!X175</f>
        <v>0</v>
      </c>
      <c r="Q34" s="131">
        <f>10*LOG10(1/(('Summary (Full)'!$B$41/10^(N34/10)+'Summary (Full)'!$B$42/10^(O34/10)+'Summary (Full)'!$B$43/10^(P34/10))/'Summary (Full)'!$B$44))</f>
        <v>0</v>
      </c>
      <c r="R34" s="129">
        <f>Anchor!Y175</f>
        <v>0</v>
      </c>
      <c r="S34" s="129">
        <f>Anchor!Z175</f>
        <v>0</v>
      </c>
      <c r="T34" s="129"/>
      <c r="U34" s="129">
        <f>Test!L175</f>
        <v>0</v>
      </c>
      <c r="V34" s="129">
        <f>Test!M175</f>
        <v>0</v>
      </c>
      <c r="W34" s="129">
        <f>Test!N175</f>
        <v>0</v>
      </c>
      <c r="X34" s="129">
        <f>Test!O175</f>
        <v>0</v>
      </c>
      <c r="Y34" s="129">
        <f>('Summary (Full)'!$B$34*V34+'Summary (Full)'!$B$35*W34+'Summary (Full)'!$B$36*X34)/'Summary (Full)'!$B$37</f>
        <v>0</v>
      </c>
      <c r="Z34" s="129">
        <f>Test!P175</f>
        <v>0</v>
      </c>
      <c r="AA34" s="129">
        <f>Test!Q175</f>
        <v>0</v>
      </c>
      <c r="AB34" s="129">
        <f>Test!R175</f>
        <v>0</v>
      </c>
      <c r="AC34" s="129">
        <f>Test!S175</f>
        <v>0</v>
      </c>
      <c r="AD34" s="129">
        <f>Test!T175</f>
        <v>0</v>
      </c>
      <c r="AE34" s="129">
        <f>Test!U175</f>
        <v>0</v>
      </c>
      <c r="AF34" s="129">
        <f>Test!V175</f>
        <v>0</v>
      </c>
      <c r="AG34" s="129">
        <f>Test!W175</f>
        <v>0</v>
      </c>
      <c r="AH34" s="129">
        <f>Test!X175</f>
        <v>0</v>
      </c>
      <c r="AI34" s="129">
        <f>10*LOG10(1/(('Summary (Full)'!$B$41/10^(AF34/10)+'Summary (Full)'!$B$42/10^(AG34/10)+'Summary (Full)'!$B$43/10^(AH34/10))/'Summary (Full)'!$B$44))</f>
        <v>0</v>
      </c>
      <c r="AJ34" s="129">
        <f>Test!Y175</f>
        <v>0</v>
      </c>
      <c r="AK34" s="129">
        <f>Test!Z175</f>
        <v>0</v>
      </c>
      <c r="AL34" s="129" t="e">
        <f t="shared" si="2"/>
        <v>#DIV/0!</v>
      </c>
      <c r="AM34" s="129" t="e">
        <f t="shared" si="2"/>
        <v>#DIV/0!</v>
      </c>
      <c r="AO34" s="263"/>
      <c r="AP34" s="173"/>
      <c r="AQ34" s="173"/>
      <c r="AR34" s="173"/>
      <c r="AS34" s="173"/>
      <c r="AT34" s="173"/>
      <c r="AU34" s="173"/>
      <c r="AV34" s="173"/>
      <c r="AW34" s="173"/>
      <c r="AX34" s="173"/>
      <c r="AY34" s="188"/>
      <c r="AZ34" s="287"/>
      <c r="BA34" s="240"/>
      <c r="EV34" s="7"/>
      <c r="EW34" s="7"/>
      <c r="EX34" s="7"/>
      <c r="EY34" s="7"/>
      <c r="EZ34" s="7"/>
      <c r="FA34" s="7"/>
      <c r="FB34" s="7"/>
      <c r="FC34" s="7"/>
    </row>
    <row r="35" spans="1:159" ht="13" customHeight="1" x14ac:dyDescent="0.15">
      <c r="A35" s="250" t="s">
        <v>20</v>
      </c>
      <c r="B35" s="38">
        <v>110</v>
      </c>
      <c r="C35" s="129">
        <f>Anchor!L176</f>
        <v>0</v>
      </c>
      <c r="D35" s="129">
        <f>Anchor!M176</f>
        <v>0</v>
      </c>
      <c r="E35" s="129">
        <f>Anchor!N176</f>
        <v>0</v>
      </c>
      <c r="F35" s="129">
        <f>Anchor!O176</f>
        <v>0</v>
      </c>
      <c r="G35" s="130">
        <f>('Summary (Full)'!$B$34*D35+'Summary (Full)'!$B$35*E35+'Summary (Full)'!$B$36*F35)/'Summary (Full)'!$B$37</f>
        <v>0</v>
      </c>
      <c r="H35" s="129">
        <f>Anchor!P176</f>
        <v>0</v>
      </c>
      <c r="I35" s="129">
        <f>Anchor!Q176</f>
        <v>0</v>
      </c>
      <c r="J35" s="129">
        <f>Anchor!R176</f>
        <v>0</v>
      </c>
      <c r="K35" s="129">
        <f>Anchor!S176</f>
        <v>0</v>
      </c>
      <c r="L35" s="129">
        <f>Anchor!T176</f>
        <v>0</v>
      </c>
      <c r="M35" s="129">
        <f>Anchor!U176</f>
        <v>0</v>
      </c>
      <c r="N35" s="129">
        <f>Anchor!V176</f>
        <v>0</v>
      </c>
      <c r="O35" s="129">
        <f>Anchor!W176</f>
        <v>0</v>
      </c>
      <c r="P35" s="129">
        <f>Anchor!X176</f>
        <v>0</v>
      </c>
      <c r="Q35" s="131">
        <f>10*LOG10(1/(('Summary (Full)'!$B$41/10^(N35/10)+'Summary (Full)'!$B$42/10^(O35/10)+'Summary (Full)'!$B$43/10^(P35/10))/'Summary (Full)'!$B$44))</f>
        <v>0</v>
      </c>
      <c r="R35" s="129">
        <f>Anchor!Y176</f>
        <v>0</v>
      </c>
      <c r="S35" s="129">
        <f>Anchor!Z176</f>
        <v>0</v>
      </c>
      <c r="T35" s="129"/>
      <c r="U35" s="129">
        <f>Test!L176</f>
        <v>0</v>
      </c>
      <c r="V35" s="129">
        <f>Test!M176</f>
        <v>0</v>
      </c>
      <c r="W35" s="129">
        <f>Test!N176</f>
        <v>0</v>
      </c>
      <c r="X35" s="129">
        <f>Test!O176</f>
        <v>0</v>
      </c>
      <c r="Y35" s="129">
        <f>('Summary (Full)'!$B$34*V35+'Summary (Full)'!$B$35*W35+'Summary (Full)'!$B$36*X35)/'Summary (Full)'!$B$37</f>
        <v>0</v>
      </c>
      <c r="Z35" s="129">
        <f>Test!P176</f>
        <v>0</v>
      </c>
      <c r="AA35" s="129">
        <f>Test!Q176</f>
        <v>0</v>
      </c>
      <c r="AB35" s="129">
        <f>Test!R176</f>
        <v>0</v>
      </c>
      <c r="AC35" s="129">
        <f>Test!S176</f>
        <v>0</v>
      </c>
      <c r="AD35" s="129">
        <f>Test!T176</f>
        <v>0</v>
      </c>
      <c r="AE35" s="129">
        <f>Test!U176</f>
        <v>0</v>
      </c>
      <c r="AF35" s="129">
        <f>Test!V176</f>
        <v>0</v>
      </c>
      <c r="AG35" s="129">
        <f>Test!W176</f>
        <v>0</v>
      </c>
      <c r="AH35" s="129">
        <f>Test!X176</f>
        <v>0</v>
      </c>
      <c r="AI35" s="129">
        <f>10*LOG10(1/(('Summary (Full)'!$B$41/10^(AF35/10)+'Summary (Full)'!$B$42/10^(AG35/10)+'Summary (Full)'!$B$43/10^(AH35/10))/'Summary (Full)'!$B$44))</f>
        <v>0</v>
      </c>
      <c r="AJ35" s="129">
        <f>Test!Y176</f>
        <v>0</v>
      </c>
      <c r="AK35" s="129">
        <f>Test!Z176</f>
        <v>0</v>
      </c>
      <c r="AL35" s="129" t="e">
        <f t="shared" si="2"/>
        <v>#DIV/0!</v>
      </c>
      <c r="AM35" s="129" t="e">
        <f t="shared" si="2"/>
        <v>#DIV/0!</v>
      </c>
      <c r="AO35" s="253" t="s">
        <v>27</v>
      </c>
      <c r="AP35" s="171" t="e" cm="1">
        <f t="array" ref="AP35">bdRateExtend($C35:$C38,D35:D38,$U35:$U38,V35:V38)</f>
        <v>#VALUE!</v>
      </c>
      <c r="AQ35" s="171" t="e" cm="1">
        <f t="array" ref="AQ35">bdRateExtend($C35:$C40,D35:D40,$U35:$U40,V35:V40)</f>
        <v>#VALUE!</v>
      </c>
      <c r="AR35" s="171" t="e" cm="1">
        <f t="array" ref="AR35">bdRateExtend($C35:$C40,E35:E40,$U35:$U40,W35:W40)</f>
        <v>#VALUE!</v>
      </c>
      <c r="AS35" s="171" t="e" cm="1">
        <f t="array" ref="AS35">bdRateExtend($C35:$C40,F35:F40,$U35:$U40,X35:X40)</f>
        <v>#VALUE!</v>
      </c>
      <c r="AT35" s="171" t="e" cm="1">
        <f t="array" ref="AT35">bdRateExtend($C35:$C38,H35:H38,$U35:$U38,Z35:Z38)</f>
        <v>#VALUE!</v>
      </c>
      <c r="AU35" s="171" t="e" cm="1">
        <f t="array" ref="AU35">bdRateExtend($C35:$C40,H35:H40,$U35:$U40,Z35:Z40)</f>
        <v>#VALUE!</v>
      </c>
      <c r="AV35" s="171" t="e" cm="1">
        <f t="array" ref="AV35">bdRateExtend($C35:$C38,I35:I38,$U35:$U38,AA35:AA38)</f>
        <v>#VALUE!</v>
      </c>
      <c r="AW35" s="171" t="e" cm="1">
        <f t="array" ref="AW35">bdRateExtend($C35:$C40,I35:I40,$U35:$U40,AA35:AA40)</f>
        <v>#VALUE!</v>
      </c>
      <c r="AX35" s="171" t="e" cm="1">
        <f t="array" ref="AX35">bdRateExtend($C35:$C38,J35:J38,$U35:$U38,AB35:AB38,"None", FALSE,1)</f>
        <v>#VALUE!</v>
      </c>
      <c r="AY35" s="174" t="e" cm="1">
        <f t="array" ref="AY35">bdRateExtend($C35:$C40,J35:J40,$U35:$U40,AB35:AB40,"None", FALSE,TRUE)</f>
        <v>#VALUE!</v>
      </c>
      <c r="AZ35" s="285" cm="1">
        <f t="array" ref="AZ35">testVMAFRange($C35:$C38,J35:J38,$U35:$U38,AB35:AB38)</f>
        <v>0</v>
      </c>
      <c r="BA35" s="211" cm="1">
        <f t="array" ref="BA35">testVMAFRange($C35:$C40,J35:J40,$U35:$U40,AB35:AB40)</f>
        <v>0</v>
      </c>
      <c r="EV35" s="7"/>
      <c r="EW35" s="7"/>
      <c r="EX35" s="7"/>
      <c r="EY35" s="7"/>
      <c r="EZ35" s="7"/>
      <c r="FA35" s="7"/>
      <c r="FB35" s="7"/>
      <c r="FC35" s="7"/>
    </row>
    <row r="36" spans="1:159" x14ac:dyDescent="0.15">
      <c r="A36" s="250"/>
      <c r="B36" s="38">
        <v>135</v>
      </c>
      <c r="C36" s="129">
        <f>Anchor!L177</f>
        <v>0</v>
      </c>
      <c r="D36" s="129">
        <f>Anchor!M177</f>
        <v>0</v>
      </c>
      <c r="E36" s="129">
        <f>Anchor!N177</f>
        <v>0</v>
      </c>
      <c r="F36" s="129">
        <f>Anchor!O177</f>
        <v>0</v>
      </c>
      <c r="G36" s="130">
        <f>('Summary (Full)'!$B$34*D36+'Summary (Full)'!$B$35*E36+'Summary (Full)'!$B$36*F36)/'Summary (Full)'!$B$37</f>
        <v>0</v>
      </c>
      <c r="H36" s="129">
        <f>Anchor!P177</f>
        <v>0</v>
      </c>
      <c r="I36" s="129">
        <f>Anchor!Q177</f>
        <v>0</v>
      </c>
      <c r="J36" s="129">
        <f>Anchor!R177</f>
        <v>0</v>
      </c>
      <c r="K36" s="129">
        <f>Anchor!S177</f>
        <v>0</v>
      </c>
      <c r="L36" s="129">
        <f>Anchor!T177</f>
        <v>0</v>
      </c>
      <c r="M36" s="129">
        <f>Anchor!U177</f>
        <v>0</v>
      </c>
      <c r="N36" s="129">
        <f>Anchor!V177</f>
        <v>0</v>
      </c>
      <c r="O36" s="129">
        <f>Anchor!W177</f>
        <v>0</v>
      </c>
      <c r="P36" s="129">
        <f>Anchor!X177</f>
        <v>0</v>
      </c>
      <c r="Q36" s="131">
        <f>10*LOG10(1/(('Summary (Full)'!$B$41/10^(N36/10)+'Summary (Full)'!$B$42/10^(O36/10)+'Summary (Full)'!$B$43/10^(P36/10))/'Summary (Full)'!$B$44))</f>
        <v>0</v>
      </c>
      <c r="R36" s="129">
        <f>Anchor!Y177</f>
        <v>0</v>
      </c>
      <c r="S36" s="129">
        <f>Anchor!Z177</f>
        <v>0</v>
      </c>
      <c r="T36" s="129"/>
      <c r="U36" s="129">
        <f>Test!L177</f>
        <v>0</v>
      </c>
      <c r="V36" s="129">
        <f>Test!M177</f>
        <v>0</v>
      </c>
      <c r="W36" s="129">
        <f>Test!N177</f>
        <v>0</v>
      </c>
      <c r="X36" s="129">
        <f>Test!O177</f>
        <v>0</v>
      </c>
      <c r="Y36" s="129">
        <f>('Summary (Full)'!$B$34*V36+'Summary (Full)'!$B$35*W36+'Summary (Full)'!$B$36*X36)/'Summary (Full)'!$B$37</f>
        <v>0</v>
      </c>
      <c r="Z36" s="129">
        <f>Test!P177</f>
        <v>0</v>
      </c>
      <c r="AA36" s="129">
        <f>Test!Q177</f>
        <v>0</v>
      </c>
      <c r="AB36" s="129">
        <f>Test!R177</f>
        <v>0</v>
      </c>
      <c r="AC36" s="129">
        <f>Test!S177</f>
        <v>0</v>
      </c>
      <c r="AD36" s="129">
        <f>Test!T177</f>
        <v>0</v>
      </c>
      <c r="AE36" s="129">
        <f>Test!U177</f>
        <v>0</v>
      </c>
      <c r="AF36" s="129">
        <f>Test!V177</f>
        <v>0</v>
      </c>
      <c r="AG36" s="129">
        <f>Test!W177</f>
        <v>0</v>
      </c>
      <c r="AH36" s="129">
        <f>Test!X177</f>
        <v>0</v>
      </c>
      <c r="AI36" s="129">
        <f>10*LOG10(1/(('Summary (Full)'!$B$41/10^(AF36/10)+'Summary (Full)'!$B$42/10^(AG36/10)+'Summary (Full)'!$B$43/10^(AH36/10))/'Summary (Full)'!$B$44))</f>
        <v>0</v>
      </c>
      <c r="AJ36" s="129">
        <f>Test!Y177</f>
        <v>0</v>
      </c>
      <c r="AK36" s="129">
        <f>Test!Z177</f>
        <v>0</v>
      </c>
      <c r="AL36" s="129" t="e">
        <f t="shared" si="2"/>
        <v>#DIV/0!</v>
      </c>
      <c r="AM36" s="129" t="e">
        <f t="shared" si="2"/>
        <v>#DIV/0!</v>
      </c>
      <c r="AO36" s="254"/>
      <c r="AP36" s="172"/>
      <c r="AQ36" s="172"/>
      <c r="AR36" s="172"/>
      <c r="AS36" s="172"/>
      <c r="AT36" s="172"/>
      <c r="AU36" s="172"/>
      <c r="AV36" s="172"/>
      <c r="AW36" s="172"/>
      <c r="AX36" s="172"/>
      <c r="AY36" s="175"/>
      <c r="AZ36" s="286"/>
      <c r="BA36" s="212"/>
      <c r="EV36" s="7"/>
      <c r="EW36" s="7"/>
      <c r="EX36" s="7"/>
      <c r="EY36" s="7"/>
      <c r="EZ36" s="7"/>
      <c r="FA36" s="7"/>
      <c r="FB36" s="7"/>
      <c r="FC36" s="7"/>
    </row>
    <row r="37" spans="1:159" ht="13" customHeight="1" x14ac:dyDescent="0.15">
      <c r="A37" s="250"/>
      <c r="B37" s="38">
        <v>160</v>
      </c>
      <c r="C37" s="129">
        <f>Anchor!L178</f>
        <v>0</v>
      </c>
      <c r="D37" s="129">
        <f>Anchor!M178</f>
        <v>0</v>
      </c>
      <c r="E37" s="129">
        <f>Anchor!N178</f>
        <v>0</v>
      </c>
      <c r="F37" s="129">
        <f>Anchor!O178</f>
        <v>0</v>
      </c>
      <c r="G37" s="130">
        <f>('Summary (Full)'!$B$34*D37+'Summary (Full)'!$B$35*E37+'Summary (Full)'!$B$36*F37)/'Summary (Full)'!$B$37</f>
        <v>0</v>
      </c>
      <c r="H37" s="129">
        <f>Anchor!P178</f>
        <v>0</v>
      </c>
      <c r="I37" s="129">
        <f>Anchor!Q178</f>
        <v>0</v>
      </c>
      <c r="J37" s="129">
        <f>Anchor!R178</f>
        <v>0</v>
      </c>
      <c r="K37" s="129">
        <f>Anchor!S178</f>
        <v>0</v>
      </c>
      <c r="L37" s="129">
        <f>Anchor!T178</f>
        <v>0</v>
      </c>
      <c r="M37" s="129">
        <f>Anchor!U178</f>
        <v>0</v>
      </c>
      <c r="N37" s="129">
        <f>Anchor!V178</f>
        <v>0</v>
      </c>
      <c r="O37" s="129">
        <f>Anchor!W178</f>
        <v>0</v>
      </c>
      <c r="P37" s="129">
        <f>Anchor!X178</f>
        <v>0</v>
      </c>
      <c r="Q37" s="131">
        <f>10*LOG10(1/(('Summary (Full)'!$B$41/10^(N37/10)+'Summary (Full)'!$B$42/10^(O37/10)+'Summary (Full)'!$B$43/10^(P37/10))/'Summary (Full)'!$B$44))</f>
        <v>0</v>
      </c>
      <c r="R37" s="129">
        <f>Anchor!Y178</f>
        <v>0</v>
      </c>
      <c r="S37" s="129">
        <f>Anchor!Z178</f>
        <v>0</v>
      </c>
      <c r="T37" s="129"/>
      <c r="U37" s="129">
        <f>Test!L178</f>
        <v>0</v>
      </c>
      <c r="V37" s="129">
        <f>Test!M178</f>
        <v>0</v>
      </c>
      <c r="W37" s="129">
        <f>Test!N178</f>
        <v>0</v>
      </c>
      <c r="X37" s="129">
        <f>Test!O178</f>
        <v>0</v>
      </c>
      <c r="Y37" s="129">
        <f>('Summary (Full)'!$B$34*V37+'Summary (Full)'!$B$35*W37+'Summary (Full)'!$B$36*X37)/'Summary (Full)'!$B$37</f>
        <v>0</v>
      </c>
      <c r="Z37" s="129">
        <f>Test!P178</f>
        <v>0</v>
      </c>
      <c r="AA37" s="129">
        <f>Test!Q178</f>
        <v>0</v>
      </c>
      <c r="AB37" s="129">
        <f>Test!R178</f>
        <v>0</v>
      </c>
      <c r="AC37" s="129">
        <f>Test!S178</f>
        <v>0</v>
      </c>
      <c r="AD37" s="129">
        <f>Test!T178</f>
        <v>0</v>
      </c>
      <c r="AE37" s="129">
        <f>Test!U178</f>
        <v>0</v>
      </c>
      <c r="AF37" s="129">
        <f>Test!V178</f>
        <v>0</v>
      </c>
      <c r="AG37" s="129">
        <f>Test!W178</f>
        <v>0</v>
      </c>
      <c r="AH37" s="129">
        <f>Test!X178</f>
        <v>0</v>
      </c>
      <c r="AI37" s="129">
        <f>10*LOG10(1/(('Summary (Full)'!$B$41/10^(AF37/10)+'Summary (Full)'!$B$42/10^(AG37/10)+'Summary (Full)'!$B$43/10^(AH37/10))/'Summary (Full)'!$B$44))</f>
        <v>0</v>
      </c>
      <c r="AJ37" s="129">
        <f>Test!Y178</f>
        <v>0</v>
      </c>
      <c r="AK37" s="129">
        <f>Test!Z178</f>
        <v>0</v>
      </c>
      <c r="AL37" s="129" t="e">
        <f t="shared" si="2"/>
        <v>#DIV/0!</v>
      </c>
      <c r="AM37" s="129" t="e">
        <f t="shared" si="2"/>
        <v>#DIV/0!</v>
      </c>
      <c r="AO37" s="254" t="s">
        <v>28</v>
      </c>
      <c r="AP37" s="172" t="e" cm="1">
        <f t="array" ref="AP37">bdRateExtend($C36:$C39,D36:D39,$U36:$U39,V36:V39)</f>
        <v>#VALUE!</v>
      </c>
      <c r="AQ37" s="172"/>
      <c r="AR37" s="172"/>
      <c r="AS37" s="172"/>
      <c r="AT37" s="172" t="e" cm="1">
        <f t="array" ref="AT37">bdRateExtend($C36:$C39,H36:H39,$U36:$U39,Z36:Z39)</f>
        <v>#VALUE!</v>
      </c>
      <c r="AU37" s="172"/>
      <c r="AV37" s="172" t="e" cm="1">
        <f t="array" ref="AV37">bdRateExtend($C36:$C39,I36:I39,$U36:$U39,AA36:AA39)</f>
        <v>#VALUE!</v>
      </c>
      <c r="AW37" s="172"/>
      <c r="AX37" s="172" t="e" cm="1">
        <f t="array" ref="AX37">bdRateExtend($C36:$C39,J36:J39,$U36:$U39,AB36:AB39,"None", FALSE,1)</f>
        <v>#VALUE!</v>
      </c>
      <c r="AY37" s="175"/>
      <c r="AZ37" s="286" cm="1">
        <f t="array" ref="AZ37">testVMAFRange($C36:$C39,J36:J39,$U36:$U39,AB36:AB39)</f>
        <v>0</v>
      </c>
      <c r="BA37" s="212"/>
      <c r="EV37" s="7"/>
      <c r="EW37" s="7"/>
      <c r="EX37" s="7"/>
      <c r="EY37" s="7"/>
      <c r="EZ37" s="7"/>
      <c r="FA37" s="7"/>
      <c r="FB37" s="7"/>
      <c r="FC37" s="7"/>
    </row>
    <row r="38" spans="1:159" x14ac:dyDescent="0.15">
      <c r="A38" s="250"/>
      <c r="B38" s="38">
        <v>185</v>
      </c>
      <c r="C38" s="129">
        <f>Anchor!L179</f>
        <v>0</v>
      </c>
      <c r="D38" s="129">
        <f>Anchor!M179</f>
        <v>0</v>
      </c>
      <c r="E38" s="129">
        <f>Anchor!N179</f>
        <v>0</v>
      </c>
      <c r="F38" s="129">
        <f>Anchor!O179</f>
        <v>0</v>
      </c>
      <c r="G38" s="130">
        <f>('Summary (Full)'!$B$34*D38+'Summary (Full)'!$B$35*E38+'Summary (Full)'!$B$36*F38)/'Summary (Full)'!$B$37</f>
        <v>0</v>
      </c>
      <c r="H38" s="129">
        <f>Anchor!P179</f>
        <v>0</v>
      </c>
      <c r="I38" s="129">
        <f>Anchor!Q179</f>
        <v>0</v>
      </c>
      <c r="J38" s="129">
        <f>Anchor!R179</f>
        <v>0</v>
      </c>
      <c r="K38" s="129">
        <f>Anchor!S179</f>
        <v>0</v>
      </c>
      <c r="L38" s="129">
        <f>Anchor!T179</f>
        <v>0</v>
      </c>
      <c r="M38" s="129">
        <f>Anchor!U179</f>
        <v>0</v>
      </c>
      <c r="N38" s="129">
        <f>Anchor!V179</f>
        <v>0</v>
      </c>
      <c r="O38" s="129">
        <f>Anchor!W179</f>
        <v>0</v>
      </c>
      <c r="P38" s="129">
        <f>Anchor!X179</f>
        <v>0</v>
      </c>
      <c r="Q38" s="131">
        <f>10*LOG10(1/(('Summary (Full)'!$B$41/10^(N38/10)+'Summary (Full)'!$B$42/10^(O38/10)+'Summary (Full)'!$B$43/10^(P38/10))/'Summary (Full)'!$B$44))</f>
        <v>0</v>
      </c>
      <c r="R38" s="129">
        <f>Anchor!Y179</f>
        <v>0</v>
      </c>
      <c r="S38" s="129">
        <f>Anchor!Z179</f>
        <v>0</v>
      </c>
      <c r="T38" s="129"/>
      <c r="U38" s="129">
        <f>Test!L179</f>
        <v>0</v>
      </c>
      <c r="V38" s="129">
        <f>Test!M179</f>
        <v>0</v>
      </c>
      <c r="W38" s="129">
        <f>Test!N179</f>
        <v>0</v>
      </c>
      <c r="X38" s="129">
        <f>Test!O179</f>
        <v>0</v>
      </c>
      <c r="Y38" s="129">
        <f>('Summary (Full)'!$B$34*V38+'Summary (Full)'!$B$35*W38+'Summary (Full)'!$B$36*X38)/'Summary (Full)'!$B$37</f>
        <v>0</v>
      </c>
      <c r="Z38" s="129">
        <f>Test!P179</f>
        <v>0</v>
      </c>
      <c r="AA38" s="129">
        <f>Test!Q179</f>
        <v>0</v>
      </c>
      <c r="AB38" s="129">
        <f>Test!R179</f>
        <v>0</v>
      </c>
      <c r="AC38" s="129">
        <f>Test!S179</f>
        <v>0</v>
      </c>
      <c r="AD38" s="129">
        <f>Test!T179</f>
        <v>0</v>
      </c>
      <c r="AE38" s="129">
        <f>Test!U179</f>
        <v>0</v>
      </c>
      <c r="AF38" s="129">
        <f>Test!V179</f>
        <v>0</v>
      </c>
      <c r="AG38" s="129">
        <f>Test!W179</f>
        <v>0</v>
      </c>
      <c r="AH38" s="129">
        <f>Test!X179</f>
        <v>0</v>
      </c>
      <c r="AI38" s="129">
        <f>10*LOG10(1/(('Summary (Full)'!$B$41/10^(AF38/10)+'Summary (Full)'!$B$42/10^(AG38/10)+'Summary (Full)'!$B$43/10^(AH38/10))/'Summary (Full)'!$B$44))</f>
        <v>0</v>
      </c>
      <c r="AJ38" s="129">
        <f>Test!Y179</f>
        <v>0</v>
      </c>
      <c r="AK38" s="129">
        <f>Test!Z179</f>
        <v>0</v>
      </c>
      <c r="AL38" s="129" t="e">
        <f t="shared" si="2"/>
        <v>#DIV/0!</v>
      </c>
      <c r="AM38" s="129" t="e">
        <f t="shared" si="2"/>
        <v>#DIV/0!</v>
      </c>
      <c r="AO38" s="254"/>
      <c r="AP38" s="172"/>
      <c r="AQ38" s="172"/>
      <c r="AR38" s="172"/>
      <c r="AS38" s="172"/>
      <c r="AT38" s="172"/>
      <c r="AU38" s="172"/>
      <c r="AV38" s="172"/>
      <c r="AW38" s="172"/>
      <c r="AX38" s="172"/>
      <c r="AY38" s="175"/>
      <c r="AZ38" s="286"/>
      <c r="BA38" s="212"/>
      <c r="EV38" s="7"/>
      <c r="EW38" s="7"/>
      <c r="EX38" s="7"/>
      <c r="EY38" s="7"/>
      <c r="EZ38" s="7"/>
      <c r="FA38" s="7"/>
      <c r="FB38" s="7"/>
      <c r="FC38" s="7"/>
    </row>
    <row r="39" spans="1:159" ht="13" customHeight="1" x14ac:dyDescent="0.15">
      <c r="A39" s="250"/>
      <c r="B39" s="38">
        <v>210</v>
      </c>
      <c r="C39" s="129">
        <f>Anchor!L180</f>
        <v>0</v>
      </c>
      <c r="D39" s="129">
        <f>Anchor!M180</f>
        <v>0</v>
      </c>
      <c r="E39" s="129">
        <f>Anchor!N180</f>
        <v>0</v>
      </c>
      <c r="F39" s="129">
        <f>Anchor!O180</f>
        <v>0</v>
      </c>
      <c r="G39" s="130">
        <f>('Summary (Full)'!$B$34*D39+'Summary (Full)'!$B$35*E39+'Summary (Full)'!$B$36*F39)/'Summary (Full)'!$B$37</f>
        <v>0</v>
      </c>
      <c r="H39" s="129">
        <f>Anchor!P180</f>
        <v>0</v>
      </c>
      <c r="I39" s="129">
        <f>Anchor!Q180</f>
        <v>0</v>
      </c>
      <c r="J39" s="129">
        <f>Anchor!R180</f>
        <v>0</v>
      </c>
      <c r="K39" s="129">
        <f>Anchor!S180</f>
        <v>0</v>
      </c>
      <c r="L39" s="129">
        <f>Anchor!T180</f>
        <v>0</v>
      </c>
      <c r="M39" s="129">
        <f>Anchor!U180</f>
        <v>0</v>
      </c>
      <c r="N39" s="129">
        <f>Anchor!V180</f>
        <v>0</v>
      </c>
      <c r="O39" s="129">
        <f>Anchor!W180</f>
        <v>0</v>
      </c>
      <c r="P39" s="129">
        <f>Anchor!X180</f>
        <v>0</v>
      </c>
      <c r="Q39" s="131">
        <f>10*LOG10(1/(('Summary (Full)'!$B$41/10^(N39/10)+'Summary (Full)'!$B$42/10^(O39/10)+'Summary (Full)'!$B$43/10^(P39/10))/'Summary (Full)'!$B$44))</f>
        <v>0</v>
      </c>
      <c r="R39" s="129">
        <f>Anchor!Y180</f>
        <v>0</v>
      </c>
      <c r="S39" s="129">
        <f>Anchor!Z180</f>
        <v>0</v>
      </c>
      <c r="T39" s="129"/>
      <c r="U39" s="129">
        <f>Test!L180</f>
        <v>0</v>
      </c>
      <c r="V39" s="129">
        <f>Test!M180</f>
        <v>0</v>
      </c>
      <c r="W39" s="129">
        <f>Test!N180</f>
        <v>0</v>
      </c>
      <c r="X39" s="129">
        <f>Test!O180</f>
        <v>0</v>
      </c>
      <c r="Y39" s="129">
        <f>('Summary (Full)'!$B$34*V39+'Summary (Full)'!$B$35*W39+'Summary (Full)'!$B$36*X39)/'Summary (Full)'!$B$37</f>
        <v>0</v>
      </c>
      <c r="Z39" s="129">
        <f>Test!P180</f>
        <v>0</v>
      </c>
      <c r="AA39" s="129">
        <f>Test!Q180</f>
        <v>0</v>
      </c>
      <c r="AB39" s="129">
        <f>Test!R180</f>
        <v>0</v>
      </c>
      <c r="AC39" s="129">
        <f>Test!S180</f>
        <v>0</v>
      </c>
      <c r="AD39" s="129">
        <f>Test!T180</f>
        <v>0</v>
      </c>
      <c r="AE39" s="129">
        <f>Test!U180</f>
        <v>0</v>
      </c>
      <c r="AF39" s="129">
        <f>Test!V180</f>
        <v>0</v>
      </c>
      <c r="AG39" s="129">
        <f>Test!W180</f>
        <v>0</v>
      </c>
      <c r="AH39" s="129">
        <f>Test!X180</f>
        <v>0</v>
      </c>
      <c r="AI39" s="129">
        <f>10*LOG10(1/(('Summary (Full)'!$B$41/10^(AF39/10)+'Summary (Full)'!$B$42/10^(AG39/10)+'Summary (Full)'!$B$43/10^(AH39/10))/'Summary (Full)'!$B$44))</f>
        <v>0</v>
      </c>
      <c r="AJ39" s="129">
        <f>Test!Y180</f>
        <v>0</v>
      </c>
      <c r="AK39" s="129">
        <f>Test!Z180</f>
        <v>0</v>
      </c>
      <c r="AL39" s="129" t="e">
        <f t="shared" si="2"/>
        <v>#DIV/0!</v>
      </c>
      <c r="AM39" s="129" t="e">
        <f t="shared" si="2"/>
        <v>#DIV/0!</v>
      </c>
      <c r="AO39" s="254" t="s">
        <v>29</v>
      </c>
      <c r="AP39" s="172" t="e" cm="1">
        <f t="array" ref="AP39">bdRateExtend($C37:$C40,D37:D40,$U37:$U40,V37:V40)</f>
        <v>#VALUE!</v>
      </c>
      <c r="AQ39" s="172"/>
      <c r="AR39" s="172"/>
      <c r="AS39" s="172"/>
      <c r="AT39" s="172" t="e" cm="1">
        <f t="array" ref="AT39">bdRateExtend($C37:$C40,H37:H40,$U37:$U40,Z37:Z40)</f>
        <v>#VALUE!</v>
      </c>
      <c r="AU39" s="172"/>
      <c r="AV39" s="172" t="e" cm="1">
        <f t="array" ref="AV39">bdRateExtend($C37:$C40,I37:I40,$U37:$U40,AA37:AA40)</f>
        <v>#VALUE!</v>
      </c>
      <c r="AW39" s="172"/>
      <c r="AX39" s="172" t="e" cm="1">
        <f t="array" ref="AX39">bdRateExtend($C37:$C40,J37:J40,$U37:$U40,AB37:AB40,"None", FALSE,1)</f>
        <v>#VALUE!</v>
      </c>
      <c r="AY39" s="175"/>
      <c r="AZ39" s="286" cm="1">
        <f t="array" ref="AZ39">testVMAFRange($C37:$C40,J37:J40,$U37:$U40,AB37:AB40)</f>
        <v>0</v>
      </c>
      <c r="BA39" s="212"/>
      <c r="EV39" s="7"/>
      <c r="EW39" s="7"/>
      <c r="EX39" s="7"/>
      <c r="EY39" s="7"/>
      <c r="EZ39" s="7"/>
      <c r="FA39" s="7"/>
      <c r="FB39" s="7"/>
      <c r="FC39" s="7"/>
    </row>
    <row r="40" spans="1:159" ht="14" thickBot="1" x14ac:dyDescent="0.2">
      <c r="A40" s="250"/>
      <c r="B40" s="38">
        <v>235</v>
      </c>
      <c r="C40" s="129">
        <f>Anchor!L181</f>
        <v>0</v>
      </c>
      <c r="D40" s="129">
        <f>Anchor!M181</f>
        <v>0</v>
      </c>
      <c r="E40" s="129">
        <f>Anchor!N181</f>
        <v>0</v>
      </c>
      <c r="F40" s="129">
        <f>Anchor!O181</f>
        <v>0</v>
      </c>
      <c r="G40" s="130">
        <f>('Summary (Full)'!$B$34*D40+'Summary (Full)'!$B$35*E40+'Summary (Full)'!$B$36*F40)/'Summary (Full)'!$B$37</f>
        <v>0</v>
      </c>
      <c r="H40" s="129">
        <f>Anchor!P181</f>
        <v>0</v>
      </c>
      <c r="I40" s="129">
        <f>Anchor!Q181</f>
        <v>0</v>
      </c>
      <c r="J40" s="129">
        <f>Anchor!R181</f>
        <v>0</v>
      </c>
      <c r="K40" s="129">
        <f>Anchor!S181</f>
        <v>0</v>
      </c>
      <c r="L40" s="129">
        <f>Anchor!T181</f>
        <v>0</v>
      </c>
      <c r="M40" s="129">
        <f>Anchor!U181</f>
        <v>0</v>
      </c>
      <c r="N40" s="129">
        <f>Anchor!V181</f>
        <v>0</v>
      </c>
      <c r="O40" s="129">
        <f>Anchor!W181</f>
        <v>0</v>
      </c>
      <c r="P40" s="129">
        <f>Anchor!X181</f>
        <v>0</v>
      </c>
      <c r="Q40" s="131">
        <f>10*LOG10(1/(('Summary (Full)'!$B$41/10^(N40/10)+'Summary (Full)'!$B$42/10^(O40/10)+'Summary (Full)'!$B$43/10^(P40/10))/'Summary (Full)'!$B$44))</f>
        <v>0</v>
      </c>
      <c r="R40" s="129">
        <f>Anchor!Y181</f>
        <v>0</v>
      </c>
      <c r="S40" s="129">
        <f>Anchor!Z181</f>
        <v>0</v>
      </c>
      <c r="T40" s="129"/>
      <c r="U40" s="129">
        <f>Test!L181</f>
        <v>0</v>
      </c>
      <c r="V40" s="129">
        <f>Test!M181</f>
        <v>0</v>
      </c>
      <c r="W40" s="129">
        <f>Test!N181</f>
        <v>0</v>
      </c>
      <c r="X40" s="129">
        <f>Test!O181</f>
        <v>0</v>
      </c>
      <c r="Y40" s="129">
        <f>('Summary (Full)'!$B$34*V40+'Summary (Full)'!$B$35*W40+'Summary (Full)'!$B$36*X40)/'Summary (Full)'!$B$37</f>
        <v>0</v>
      </c>
      <c r="Z40" s="129">
        <f>Test!P181</f>
        <v>0</v>
      </c>
      <c r="AA40" s="129">
        <f>Test!Q181</f>
        <v>0</v>
      </c>
      <c r="AB40" s="129">
        <f>Test!R181</f>
        <v>0</v>
      </c>
      <c r="AC40" s="129">
        <f>Test!S181</f>
        <v>0</v>
      </c>
      <c r="AD40" s="129">
        <f>Test!T181</f>
        <v>0</v>
      </c>
      <c r="AE40" s="129">
        <f>Test!U181</f>
        <v>0</v>
      </c>
      <c r="AF40" s="129">
        <f>Test!V181</f>
        <v>0</v>
      </c>
      <c r="AG40" s="129">
        <f>Test!W181</f>
        <v>0</v>
      </c>
      <c r="AH40" s="129">
        <f>Test!X181</f>
        <v>0</v>
      </c>
      <c r="AI40" s="129">
        <f>10*LOG10(1/(('Summary (Full)'!$B$41/10^(AF40/10)+'Summary (Full)'!$B$42/10^(AG40/10)+'Summary (Full)'!$B$43/10^(AH40/10))/'Summary (Full)'!$B$44))</f>
        <v>0</v>
      </c>
      <c r="AJ40" s="129">
        <f>Test!Y181</f>
        <v>0</v>
      </c>
      <c r="AK40" s="129">
        <f>Test!Z181</f>
        <v>0</v>
      </c>
      <c r="AL40" s="129" t="e">
        <f t="shared" si="2"/>
        <v>#DIV/0!</v>
      </c>
      <c r="AM40" s="129" t="e">
        <f t="shared" si="2"/>
        <v>#DIV/0!</v>
      </c>
      <c r="AO40" s="263"/>
      <c r="AP40" s="173"/>
      <c r="AQ40" s="173"/>
      <c r="AR40" s="173"/>
      <c r="AS40" s="173"/>
      <c r="AT40" s="173"/>
      <c r="AU40" s="173"/>
      <c r="AV40" s="173"/>
      <c r="AW40" s="173"/>
      <c r="AX40" s="173"/>
      <c r="AY40" s="188"/>
      <c r="AZ40" s="287"/>
      <c r="BA40" s="240"/>
      <c r="EV40" s="7"/>
      <c r="EW40" s="7"/>
      <c r="EX40" s="7"/>
      <c r="EY40" s="7"/>
      <c r="EZ40" s="7"/>
      <c r="FA40" s="7"/>
      <c r="FB40" s="7"/>
      <c r="FC40" s="7"/>
    </row>
    <row r="41" spans="1:159" x14ac:dyDescent="0.15">
      <c r="EV41" s="7"/>
      <c r="EW41" s="7"/>
      <c r="EX41" s="7"/>
      <c r="EY41" s="7"/>
      <c r="EZ41" s="7"/>
      <c r="FA41" s="7"/>
      <c r="FB41" s="7"/>
      <c r="FC41" s="7"/>
    </row>
    <row r="42" spans="1:159" ht="14" thickBot="1" x14ac:dyDescent="0.2">
      <c r="EV42" s="7"/>
      <c r="EW42" s="7"/>
      <c r="EX42" s="7"/>
      <c r="EY42" s="7"/>
      <c r="EZ42" s="7"/>
      <c r="FA42" s="7"/>
      <c r="FB42" s="7"/>
      <c r="FC42" s="7"/>
    </row>
    <row r="43" spans="1:159" x14ac:dyDescent="0.15">
      <c r="A43" s="265" t="s">
        <v>76</v>
      </c>
      <c r="B43" s="266"/>
      <c r="C43" s="266"/>
      <c r="D43" s="266"/>
      <c r="E43" s="266"/>
      <c r="F43" s="266"/>
      <c r="G43" s="266"/>
      <c r="H43" s="266"/>
      <c r="I43" s="266"/>
      <c r="J43" s="266"/>
      <c r="K43" s="266"/>
      <c r="L43" s="266"/>
      <c r="M43" s="266"/>
      <c r="N43" s="266"/>
      <c r="O43" s="266"/>
      <c r="P43" s="266"/>
      <c r="Q43" s="266"/>
      <c r="R43" s="266"/>
      <c r="S43" s="266"/>
      <c r="T43" s="266"/>
      <c r="U43" s="266"/>
      <c r="V43" s="266"/>
      <c r="W43" s="94"/>
      <c r="X43" s="94"/>
      <c r="Y43" s="94"/>
      <c r="Z43" s="94"/>
      <c r="AA43" s="94"/>
      <c r="AB43" s="94"/>
      <c r="AC43" s="94"/>
      <c r="AD43" s="94"/>
      <c r="AE43" s="94"/>
      <c r="AF43" s="94"/>
      <c r="AG43" s="94"/>
      <c r="AH43" s="94"/>
      <c r="AI43" s="96"/>
      <c r="AJ43" s="96"/>
      <c r="AK43" s="96"/>
      <c r="AL43" s="97"/>
      <c r="EV43" s="7"/>
      <c r="EW43" s="7"/>
      <c r="EX43" s="7"/>
      <c r="EY43" s="7"/>
      <c r="EZ43" s="7"/>
      <c r="FA43" s="7"/>
      <c r="FB43" s="7"/>
      <c r="FC43" s="7"/>
    </row>
    <row r="44" spans="1:159" x14ac:dyDescent="0.15">
      <c r="A44" s="267" t="s">
        <v>13</v>
      </c>
      <c r="B44" s="268"/>
      <c r="C44" s="268"/>
      <c r="D44" s="268"/>
      <c r="E44" s="268"/>
      <c r="F44" s="268"/>
      <c r="G44" s="268"/>
      <c r="H44" s="268"/>
      <c r="I44" s="268"/>
      <c r="J44" s="268"/>
      <c r="K44" s="268"/>
      <c r="L44" s="268"/>
      <c r="M44" s="93"/>
      <c r="N44" s="93"/>
      <c r="O44" s="93"/>
      <c r="P44" s="93"/>
      <c r="Q44" s="268" t="s">
        <v>1</v>
      </c>
      <c r="R44" s="268"/>
      <c r="S44" s="268" t="s">
        <v>22</v>
      </c>
      <c r="T44" s="268"/>
      <c r="U44" s="268" t="s">
        <v>0</v>
      </c>
      <c r="V44" s="268"/>
      <c r="W44" s="268" t="s">
        <v>49</v>
      </c>
      <c r="X44" s="268"/>
      <c r="Y44" s="271" t="s">
        <v>40</v>
      </c>
      <c r="Z44" s="271"/>
      <c r="AA44" s="271" t="s">
        <v>44</v>
      </c>
      <c r="AB44" s="271"/>
      <c r="AC44" s="271" t="s">
        <v>45</v>
      </c>
      <c r="AD44" s="271"/>
      <c r="AE44" s="271"/>
      <c r="AF44" s="271"/>
      <c r="AG44" s="271"/>
      <c r="AH44" s="271"/>
      <c r="AI44" s="282" t="s">
        <v>13</v>
      </c>
      <c r="AJ44" s="282"/>
      <c r="AK44" s="255" t="s">
        <v>42</v>
      </c>
      <c r="AL44" s="256"/>
      <c r="EV44" s="7"/>
      <c r="EW44" s="7"/>
      <c r="EX44" s="7"/>
      <c r="EY44" s="7"/>
      <c r="EZ44" s="7"/>
      <c r="FA44" s="7"/>
      <c r="FB44" s="7"/>
      <c r="FC44" s="7"/>
    </row>
    <row r="45" spans="1:159" x14ac:dyDescent="0.15">
      <c r="A45" s="95"/>
      <c r="B45" s="93"/>
      <c r="C45" s="268" t="s">
        <v>13</v>
      </c>
      <c r="D45" s="268"/>
      <c r="E45" s="268"/>
      <c r="F45" s="268"/>
      <c r="G45" s="93"/>
      <c r="H45" s="93"/>
      <c r="I45" s="93"/>
      <c r="J45" s="93"/>
      <c r="K45" s="93"/>
      <c r="L45" s="93"/>
      <c r="M45" s="268" t="s">
        <v>42</v>
      </c>
      <c r="N45" s="268"/>
      <c r="O45" s="268"/>
      <c r="P45" s="268"/>
      <c r="Q45" s="93"/>
      <c r="R45" s="93"/>
      <c r="S45" s="93"/>
      <c r="T45" s="93"/>
      <c r="U45" s="93"/>
      <c r="V45" s="93"/>
      <c r="W45" s="93"/>
      <c r="X45" s="93"/>
      <c r="Y45" s="93"/>
      <c r="Z45" s="93"/>
      <c r="AA45" s="93"/>
      <c r="AB45" s="93"/>
      <c r="AC45" s="93"/>
      <c r="AD45" s="93"/>
      <c r="AE45" s="93"/>
      <c r="AF45" s="93"/>
      <c r="AG45" s="93"/>
      <c r="AH45" s="93"/>
      <c r="AI45" s="98"/>
      <c r="AJ45" s="98"/>
      <c r="AK45" s="98"/>
      <c r="AL45" s="99"/>
      <c r="EV45" s="7"/>
      <c r="EW45" s="7"/>
      <c r="EX45" s="7"/>
      <c r="EY45" s="7"/>
      <c r="EZ45" s="7"/>
      <c r="FA45" s="7"/>
      <c r="FB45" s="7"/>
      <c r="FC45" s="7"/>
    </row>
    <row r="46" spans="1:159" ht="17" customHeight="1" thickBot="1" x14ac:dyDescent="0.2">
      <c r="A46" s="269" t="s">
        <v>23</v>
      </c>
      <c r="B46" s="270"/>
      <c r="C46" s="117" t="s">
        <v>24</v>
      </c>
      <c r="D46" s="117" t="s">
        <v>25</v>
      </c>
      <c r="E46" s="117" t="s">
        <v>26</v>
      </c>
      <c r="F46" s="117" t="s">
        <v>38</v>
      </c>
      <c r="G46" s="117" t="s">
        <v>5</v>
      </c>
      <c r="H46" s="117" t="s">
        <v>22</v>
      </c>
      <c r="I46" s="117" t="s">
        <v>0</v>
      </c>
      <c r="J46" s="117" t="s">
        <v>39</v>
      </c>
      <c r="K46" s="117" t="s">
        <v>40</v>
      </c>
      <c r="L46" s="117" t="s">
        <v>41</v>
      </c>
      <c r="M46" s="117" t="s">
        <v>24</v>
      </c>
      <c r="N46" s="117" t="s">
        <v>25</v>
      </c>
      <c r="O46" s="117" t="s">
        <v>26</v>
      </c>
      <c r="P46" s="117" t="s">
        <v>38</v>
      </c>
      <c r="Q46" s="117" t="s">
        <v>23</v>
      </c>
      <c r="R46" s="117" t="s">
        <v>24</v>
      </c>
      <c r="S46" s="117" t="s">
        <v>23</v>
      </c>
      <c r="T46" s="117" t="s">
        <v>24</v>
      </c>
      <c r="U46" s="117" t="s">
        <v>23</v>
      </c>
      <c r="V46" s="117" t="s">
        <v>24</v>
      </c>
      <c r="W46" s="117" t="s">
        <v>23</v>
      </c>
      <c r="X46" s="117" t="s">
        <v>24</v>
      </c>
      <c r="Y46" s="117" t="s">
        <v>23</v>
      </c>
      <c r="Z46" s="117" t="s">
        <v>24</v>
      </c>
      <c r="AA46" s="117" t="s">
        <v>23</v>
      </c>
      <c r="AB46" s="117" t="s">
        <v>24</v>
      </c>
      <c r="AC46" s="117" t="s">
        <v>23</v>
      </c>
      <c r="AD46" s="117" t="s">
        <v>24</v>
      </c>
      <c r="AE46" s="117" t="s">
        <v>24</v>
      </c>
      <c r="AF46" s="117" t="s">
        <v>25</v>
      </c>
      <c r="AG46" s="117" t="s">
        <v>26</v>
      </c>
      <c r="AH46" s="117" t="s">
        <v>38</v>
      </c>
      <c r="AI46" s="283" t="s">
        <v>38</v>
      </c>
      <c r="AJ46" s="283"/>
      <c r="AK46" s="257" t="s">
        <v>38</v>
      </c>
      <c r="AL46" s="258"/>
      <c r="EV46" s="7"/>
      <c r="EW46" s="7"/>
      <c r="EX46" s="7"/>
      <c r="EY46" s="7"/>
      <c r="EZ46" s="7"/>
      <c r="FA46" s="7"/>
      <c r="FB46" s="7"/>
      <c r="FC46" s="7"/>
    </row>
    <row r="47" spans="1:159" x14ac:dyDescent="0.15">
      <c r="A47" s="253" t="s">
        <v>27</v>
      </c>
      <c r="B47" s="171" t="e">
        <f>bdRateROI($CL5:$CL63,CM5:CM63,$DZ5:$DZ63,EA5:EA63,CJ11,CJ6,1, 0, TRUE)</f>
        <v>#VALUE!</v>
      </c>
      <c r="C47" s="171" t="e">
        <f t="shared" ref="C47:H47" si="3">bdRateExtend($CL5:$CL63,CN5:CN63,$DZ5:$DZ63,EB5:EB63, "None", FALSE, 0, TRUE)</f>
        <v>#VALUE!</v>
      </c>
      <c r="D47" s="171" t="e">
        <f t="shared" si="3"/>
        <v>#VALUE!</v>
      </c>
      <c r="E47" s="171" t="e">
        <f t="shared" si="3"/>
        <v>#VALUE!</v>
      </c>
      <c r="F47" s="171" t="e">
        <f t="shared" si="3"/>
        <v>#VALUE!</v>
      </c>
      <c r="G47" s="171" t="e">
        <f t="shared" si="3"/>
        <v>#VALUE!</v>
      </c>
      <c r="H47" s="171" t="e">
        <f t="shared" si="3"/>
        <v>#VALUE!</v>
      </c>
      <c r="I47" s="171" t="e">
        <f>bdRateExtend($CL5:$CL63,CT5:CT63,$DZ5:$DZ63,EH5:EH63,"None", FALSE,2,TRUE)</f>
        <v>#VALUE!</v>
      </c>
      <c r="J47" s="171" t="e">
        <f>bdRateExtend($CL5:$CL63,CU5:CU63,$DZ5:$DZ63,EI5:EI63,"None", FALSE,2,TRUE)</f>
        <v>#VALUE!</v>
      </c>
      <c r="K47" s="171" t="e">
        <f t="shared" ref="K47:P47" si="4">bdRateExtend($CL5:$CL63,CV5:CV63,$DZ5:$DZ63,EJ5:EJ63, "None", FALSE, 0, TRUE)</f>
        <v>#VALUE!</v>
      </c>
      <c r="L47" s="171" t="e">
        <f t="shared" si="4"/>
        <v>#VALUE!</v>
      </c>
      <c r="M47" s="171" t="e">
        <f t="shared" si="4"/>
        <v>#VALUE!</v>
      </c>
      <c r="N47" s="171" t="e">
        <f t="shared" si="4"/>
        <v>#VALUE!</v>
      </c>
      <c r="O47" s="171" t="e">
        <f t="shared" si="4"/>
        <v>#VALUE!</v>
      </c>
      <c r="P47" s="171" t="e">
        <f t="shared" si="4"/>
        <v>#VALUE!</v>
      </c>
      <c r="Q47" s="171" t="e">
        <f>bdRateROI($DE5:$DE63,DF5:DF63,$ER5:$ER63,ES5:ES63,CJ11,CJ6,1, 0, TRUE)</f>
        <v>#VALUE!</v>
      </c>
      <c r="R47" s="171" t="e">
        <f>bdRateExtend($DE5:$DE63,DF5:DF63,$ER5:$ER63,ES5:ES63, "None", FALSE, 0, TRUE)</f>
        <v>#VALUE!</v>
      </c>
      <c r="S47" s="171" t="e">
        <f>bdRateROI($DH5:$DH63,DI5:DI63,$ET5:$ET63,EU5:EU63,CJ11,CJ6,1, 0, TRUE)</f>
        <v>#VALUE!</v>
      </c>
      <c r="T47" s="171" t="e">
        <f>bdRateExtend($DH5:$DH63,DI5:DI63,$ET5:$ET63,EU5:EU63, "None", FALSE, 0, TRUE)</f>
        <v>#VALUE!</v>
      </c>
      <c r="U47" s="171" t="e">
        <f>bdRateROI($DK5:$DK63,DL5:DL63,$EV5:$EV63,EW5:EW63,$CJ11,$CJ6,1,2,TRUE)</f>
        <v>#VALUE!</v>
      </c>
      <c r="V47" s="171" t="e">
        <f>bdRateExtend($DK5:$DK63,DL5:DL63,$EV5:$EV63,EW5:EW63,"None", FALSE,2,TRUE)</f>
        <v>#VALUE!</v>
      </c>
      <c r="W47" s="171" t="e">
        <f>bdRateROI(DM5:DM63,DN5:DN63,EX5:EX63,EY5:EY63,$CJ11,$CJ6,1,2,TRUE)</f>
        <v>#VALUE!</v>
      </c>
      <c r="X47" s="171" t="e">
        <f>bdRateExtend(DM5:DM63,DN5:DN63,EX5:EX63,EY5:EY63,"None", FALSE,2,TRUE)</f>
        <v>#VALUE!</v>
      </c>
      <c r="Y47" s="171" t="e">
        <f>bdRateROI(DO5:DO63,DP5:DP63,EZ5:EZ63,FA5:FA63,$CJ11,$CJ6,1, 0, TRUE)</f>
        <v>#VALUE!</v>
      </c>
      <c r="Z47" s="171" t="e">
        <f>bdRateExtend(DO5:DO63,DP5:DP63,EZ5:EZ63,FA5:FA63, "None", FALSE, 0, TRUE)</f>
        <v>#VALUE!</v>
      </c>
      <c r="AA47" s="171" t="e">
        <f>bdRateROI(DQ5:DQ63,DR5:DR63,FB5:FB63,FC5:FC63,$CJ11,$CJ6,1, 0, TRUE)</f>
        <v>#VALUE!</v>
      </c>
      <c r="AB47" s="171" t="e">
        <f>bdRateExtend(DQ5:DQ63,DR5:DR63,FB5:FB63,FC5:FC63, "None", FALSE, 0, TRUE)</f>
        <v>#VALUE!</v>
      </c>
      <c r="AC47" s="171" t="e">
        <f>bdRateROI(DS5:DS63,DT5:DT63,FD5:FD63,FE5:FE63,$CJ11,$CJ6,1, 0, TRUE)</f>
        <v>#VALUE!</v>
      </c>
      <c r="AD47" s="171" t="e">
        <f>bdRateExtend(DS5:DS63,DT5:DT63,FD5:FD63,FE5:FE63, "None", FALSE, 0, TRUE)</f>
        <v>#VALUE!</v>
      </c>
      <c r="AE47" s="171" t="e">
        <f>bdRateExtend($DS5:$DS63,DU5:DU63,$FD5:$FD63,FF5:FF63, "None", FALSE, 0, TRUE)</f>
        <v>#VALUE!</v>
      </c>
      <c r="AF47" s="171" t="e">
        <f>bdRateExtend($DS5:$DS63,DV5:DV63,$FD5:$FD63,FG5:FG63, "None", FALSE, 0, TRUE)</f>
        <v>#VALUE!</v>
      </c>
      <c r="AG47" s="171" t="e">
        <f>bdRateExtend($DS5:$DS63,DW5:DW63,$FD5:$FD63,FH5:FH63, "None", FALSE, 0, TRUE)</f>
        <v>#VALUE!</v>
      </c>
      <c r="AH47" s="171" t="e">
        <f>bdRateExtend($DS5:$DS63,DX5:DX63,$FD5:$FD63,FI5:FI63, "None", FALSE, 0, TRUE)</f>
        <v>#VALUE!</v>
      </c>
      <c r="AI47" s="171" t="e">
        <f>bdRateROI($FK5:$FK63,FL5:FL63,$FP5:$FP63,FQ5:FQ63,$CJ11,$CJ6,1, 0, TRUE)</f>
        <v>#VALUE!</v>
      </c>
      <c r="AJ47" s="171" t="e">
        <f>bdRateExtend($FK5:$FK63,FL5:FL63,$FP5:$FP63,FQ5:FQ63, "None", FALSE, 0, TRUE)</f>
        <v>#VALUE!</v>
      </c>
      <c r="AK47" s="171" t="e">
        <f>bdRateROI($FM5:$FM63,FN5:FN63,$FR5:$FR63,FS5:FS63,$CJ11,$CJ6,1, 0, TRUE)</f>
        <v>#VALUE!</v>
      </c>
      <c r="AL47" s="174" t="e">
        <f>bdRateExtend($FM5:$FM63,FN5:FN63,$FR5:$FR63,FS5:FS63, "None", FALSE, 0, TRUE)</f>
        <v>#VALUE!</v>
      </c>
      <c r="EV47" s="7"/>
      <c r="EW47" s="7"/>
      <c r="EX47" s="7"/>
      <c r="EY47" s="7"/>
      <c r="EZ47" s="7"/>
      <c r="FA47" s="7"/>
      <c r="FB47" s="7"/>
      <c r="FC47" s="7"/>
    </row>
    <row r="48" spans="1:159" x14ac:dyDescent="0.15">
      <c r="A48" s="254"/>
      <c r="B48" s="172"/>
      <c r="C48" s="172"/>
      <c r="D48" s="172"/>
      <c r="E48" s="172"/>
      <c r="F48" s="172"/>
      <c r="G48" s="172"/>
      <c r="H48" s="172"/>
      <c r="I48" s="172"/>
      <c r="J48" s="172"/>
      <c r="K48" s="172"/>
      <c r="L48" s="172"/>
      <c r="M48" s="172"/>
      <c r="N48" s="172"/>
      <c r="O48" s="172"/>
      <c r="P48" s="172"/>
      <c r="Q48" s="172"/>
      <c r="R48" s="172"/>
      <c r="S48" s="172"/>
      <c r="T48" s="172"/>
      <c r="U48" s="172"/>
      <c r="V48" s="172"/>
      <c r="W48" s="172"/>
      <c r="X48" s="172"/>
      <c r="Y48" s="172"/>
      <c r="Z48" s="172"/>
      <c r="AA48" s="172"/>
      <c r="AB48" s="172"/>
      <c r="AC48" s="172"/>
      <c r="AD48" s="172"/>
      <c r="AE48" s="172"/>
      <c r="AF48" s="172"/>
      <c r="AG48" s="172"/>
      <c r="AH48" s="172"/>
      <c r="AI48" s="172"/>
      <c r="AJ48" s="172"/>
      <c r="AK48" s="172"/>
      <c r="AL48" s="175"/>
      <c r="EV48" s="7"/>
      <c r="EW48" s="7"/>
      <c r="EX48" s="7"/>
      <c r="EY48" s="7"/>
      <c r="EZ48" s="7"/>
      <c r="FA48" s="7"/>
      <c r="FB48" s="7"/>
      <c r="FC48" s="7"/>
    </row>
    <row r="49" spans="1:159" x14ac:dyDescent="0.15">
      <c r="A49" s="254" t="s">
        <v>28</v>
      </c>
      <c r="B49" s="172" t="e">
        <f>bdRateROI($CL5:$CL63,CM5:CM63,$DZ5:$DZ63,EA5:EA63,CJ10,CJ11,1, 0, TRUE)</f>
        <v>#VALUE!</v>
      </c>
      <c r="C49" s="172"/>
      <c r="D49" s="172"/>
      <c r="E49" s="172"/>
      <c r="F49" s="172"/>
      <c r="G49" s="172"/>
      <c r="H49" s="172"/>
      <c r="I49" s="172"/>
      <c r="J49" s="172"/>
      <c r="K49" s="172"/>
      <c r="L49" s="172"/>
      <c r="M49" s="172"/>
      <c r="N49" s="172"/>
      <c r="O49" s="172"/>
      <c r="P49" s="172"/>
      <c r="Q49" s="172" t="e">
        <f>bdRateROI($DE5:$DE63,DF5:DF63,$ER5:$ER63,ES5:ES63,CJ10,CJ11,1, 0, TRUE)</f>
        <v>#VALUE!</v>
      </c>
      <c r="R49" s="172"/>
      <c r="S49" s="172" t="e">
        <f>bdRateROI($DH5:$DH63,DI5:DI63,$ET5:$ET63,EU5:EU63,CJ10,CJ11,1, 0, TRUE)</f>
        <v>#VALUE!</v>
      </c>
      <c r="T49" s="172"/>
      <c r="U49" s="172" t="e">
        <f>bdRateROI($DK5:$DK63,DL5:DL63,$EV5:$EV63,EW5:EW63,$CJ$10,$CJ$11,1,2,TRUE)</f>
        <v>#VALUE!</v>
      </c>
      <c r="V49" s="172"/>
      <c r="W49" s="172" t="e">
        <f>bdRateROI(DM5:DM63,DN5:DN63,EX5:EX63,EY5:EY63,$CJ$10,$CJ$11,1,2,TRUE)</f>
        <v>#VALUE!</v>
      </c>
      <c r="X49" s="172"/>
      <c r="Y49" s="172" t="e">
        <f>bdRateROI(DO5:DO63,DP5:DP63,EZ5:EZ63,FA5:FA63,$CJ$10,$CJ$11,1, 0, TRUE)</f>
        <v>#VALUE!</v>
      </c>
      <c r="Z49" s="172"/>
      <c r="AA49" s="172" t="e">
        <f>bdRateROI(DQ5:DQ63,DR5:DR63,FB5:FB63,FC5:FC63,$CJ$10,$CJ$11,1, 0, TRUE)</f>
        <v>#VALUE!</v>
      </c>
      <c r="AB49" s="172"/>
      <c r="AC49" s="172" t="e">
        <f>bdRateROI(DS5:DS63,DT5:DT63,FD5:FD63,FE5:FE63,$CJ$10,$CJ$11,1, 0, TRUE)</f>
        <v>#VALUE!</v>
      </c>
      <c r="AD49" s="172"/>
      <c r="AE49" s="172"/>
      <c r="AF49" s="172"/>
      <c r="AG49" s="172"/>
      <c r="AH49" s="172"/>
      <c r="AI49" s="172" t="e">
        <f>bdRateROI($FK5:$FK63,FL5:FL63,$FP5:$FP63,FQ5:FQ63,$CJ$10,$CJ$11,1, 0, TRUE)</f>
        <v>#VALUE!</v>
      </c>
      <c r="AJ49" s="172"/>
      <c r="AK49" s="172" t="e">
        <f>bdRateROI($FM5:$FM63,FN5:FN63,$FR5:$FR63,FS5:FS63,$CJ$10,$CJ$11,1, 0, TRUE)</f>
        <v>#VALUE!</v>
      </c>
      <c r="AL49" s="175"/>
      <c r="EV49" s="7"/>
      <c r="EW49" s="7"/>
      <c r="EX49" s="7"/>
      <c r="EY49" s="7"/>
      <c r="EZ49" s="7"/>
      <c r="FA49" s="7"/>
      <c r="FB49" s="7"/>
      <c r="FC49" s="7"/>
    </row>
    <row r="50" spans="1:159" x14ac:dyDescent="0.15">
      <c r="A50" s="254"/>
      <c r="B50" s="172"/>
      <c r="C50" s="172"/>
      <c r="D50" s="172"/>
      <c r="E50" s="172"/>
      <c r="F50" s="172"/>
      <c r="G50" s="172"/>
      <c r="H50" s="172"/>
      <c r="I50" s="172"/>
      <c r="J50" s="172"/>
      <c r="K50" s="172"/>
      <c r="L50" s="172"/>
      <c r="M50" s="172"/>
      <c r="N50" s="172"/>
      <c r="O50" s="172"/>
      <c r="P50" s="172"/>
      <c r="Q50" s="172"/>
      <c r="R50" s="172"/>
      <c r="S50" s="172"/>
      <c r="T50" s="172"/>
      <c r="U50" s="172"/>
      <c r="V50" s="172"/>
      <c r="W50" s="172"/>
      <c r="X50" s="172"/>
      <c r="Y50" s="172"/>
      <c r="Z50" s="172"/>
      <c r="AA50" s="172"/>
      <c r="AB50" s="172"/>
      <c r="AC50" s="172"/>
      <c r="AD50" s="172"/>
      <c r="AE50" s="172"/>
      <c r="AF50" s="172"/>
      <c r="AG50" s="172"/>
      <c r="AH50" s="172"/>
      <c r="AI50" s="172"/>
      <c r="AJ50" s="172"/>
      <c r="AK50" s="172"/>
      <c r="AL50" s="175"/>
      <c r="EV50" s="7"/>
      <c r="EW50" s="7"/>
      <c r="EX50" s="7"/>
      <c r="EY50" s="7"/>
      <c r="EZ50" s="7"/>
      <c r="FA50" s="7"/>
      <c r="FB50" s="7"/>
      <c r="FC50" s="7"/>
    </row>
    <row r="51" spans="1:159" x14ac:dyDescent="0.15">
      <c r="A51" s="254" t="s">
        <v>29</v>
      </c>
      <c r="B51" s="172" t="e">
        <f>bdRateROI($CL5:$CL63,CM5:CM63,$DZ5:$DZ63,EA5:EA63,CJ5,CJ10,1, 0, TRUE)</f>
        <v>#VALUE!</v>
      </c>
      <c r="C51" s="172"/>
      <c r="D51" s="172"/>
      <c r="E51" s="172"/>
      <c r="F51" s="172"/>
      <c r="G51" s="172"/>
      <c r="H51" s="172"/>
      <c r="I51" s="172"/>
      <c r="J51" s="172"/>
      <c r="K51" s="172"/>
      <c r="L51" s="172"/>
      <c r="M51" s="172"/>
      <c r="N51" s="172"/>
      <c r="O51" s="172"/>
      <c r="P51" s="172"/>
      <c r="Q51" s="172" t="e">
        <f>bdRateROI($DE5:$DE63,DF5:DF63,$ER5:$ER63,ES5:ES63,CJ5,CJ10,1, 0, TRUE)</f>
        <v>#VALUE!</v>
      </c>
      <c r="R51" s="172"/>
      <c r="S51" s="172" t="e">
        <f>bdRateROI($DH5:$DH63,DI5:DI63,$ET5:$ET63,EU5:EU63,CJ5,CJ10,1, 0, TRUE)</f>
        <v>#VALUE!</v>
      </c>
      <c r="T51" s="172"/>
      <c r="U51" s="172" t="e">
        <f>bdRateROI($DK5:$DK63,DL5:DL63,$EV5:$EV63,EW5:EW63,$CJ$5,$CJ$10,1,2,TRUE)</f>
        <v>#VALUE!</v>
      </c>
      <c r="V51" s="172"/>
      <c r="W51" s="172" t="e">
        <f>bdRateROI(DM5:DM63,DN5:DN63,EX5:EX63,EY5:EY63,$CJ$5,$CJ$10,1,2,TRUE)</f>
        <v>#VALUE!</v>
      </c>
      <c r="X51" s="172"/>
      <c r="Y51" s="172" t="e">
        <f>bdRateROI(DO5:DO63,DP5:DP63,EZ5:EZ63,FA5:FA63,$CJ$5,$CJ$10,1, 0, TRUE)</f>
        <v>#VALUE!</v>
      </c>
      <c r="Z51" s="172"/>
      <c r="AA51" s="172" t="e">
        <f>bdRateROI(DQ5:DQ63,DR5:DR63,FB5:FB63,FC5:FC63,$CJ$5,$CJ$10,1, 0, TRUE)</f>
        <v>#VALUE!</v>
      </c>
      <c r="AB51" s="172"/>
      <c r="AC51" s="172" t="e">
        <f>bdRateROI(DS5:DS63,DT5:DT63,FD5:FD63,FE5:FE63,$CJ$5,$CJ$10,1, 0, TRUE)</f>
        <v>#VALUE!</v>
      </c>
      <c r="AD51" s="172"/>
      <c r="AE51" s="172"/>
      <c r="AF51" s="172"/>
      <c r="AG51" s="172"/>
      <c r="AH51" s="172"/>
      <c r="AI51" s="172" t="e">
        <f>bdRateROI($FK5:$FK63,FL5:FL63,$FP5:$FP63,FQ5:FQ63,$CJ$5,$CJ$10,1, 0, TRUE)</f>
        <v>#VALUE!</v>
      </c>
      <c r="AJ51" s="172"/>
      <c r="AK51" s="172" t="e">
        <f>bdRateROI($FM5:$FM63,FN5:FN63,$FR5:$FR63,FS5:FS63,$CJ$5,$CJ$10,1, 0, TRUE)</f>
        <v>#VALUE!</v>
      </c>
      <c r="AL51" s="175"/>
      <c r="EV51" s="7"/>
      <c r="EW51" s="7"/>
      <c r="EX51" s="7"/>
      <c r="EY51" s="7"/>
      <c r="EZ51" s="7"/>
      <c r="FA51" s="7"/>
      <c r="FB51" s="7"/>
      <c r="FC51" s="7"/>
    </row>
    <row r="52" spans="1:159" ht="14" thickBot="1" x14ac:dyDescent="0.2">
      <c r="A52" s="263"/>
      <c r="B52" s="173"/>
      <c r="C52" s="173"/>
      <c r="D52" s="173"/>
      <c r="E52" s="173"/>
      <c r="F52" s="173"/>
      <c r="G52" s="173"/>
      <c r="H52" s="173"/>
      <c r="I52" s="173"/>
      <c r="J52" s="173"/>
      <c r="K52" s="173"/>
      <c r="L52" s="173"/>
      <c r="M52" s="173"/>
      <c r="N52" s="173"/>
      <c r="O52" s="173"/>
      <c r="P52" s="173"/>
      <c r="Q52" s="173"/>
      <c r="R52" s="173"/>
      <c r="S52" s="173"/>
      <c r="T52" s="173"/>
      <c r="U52" s="173"/>
      <c r="V52" s="173"/>
      <c r="W52" s="173"/>
      <c r="X52" s="173"/>
      <c r="Y52" s="173"/>
      <c r="Z52" s="173"/>
      <c r="AA52" s="173"/>
      <c r="AB52" s="173"/>
      <c r="AC52" s="173"/>
      <c r="AD52" s="173"/>
      <c r="AE52" s="173"/>
      <c r="AF52" s="173"/>
      <c r="AG52" s="173"/>
      <c r="AH52" s="173"/>
      <c r="AI52" s="173"/>
      <c r="AJ52" s="173"/>
      <c r="AK52" s="173"/>
      <c r="AL52" s="188"/>
      <c r="EV52" s="7"/>
      <c r="EW52" s="7"/>
      <c r="EX52" s="7"/>
      <c r="EY52" s="7"/>
      <c r="EZ52" s="7"/>
      <c r="FA52" s="7"/>
      <c r="FB52" s="7"/>
      <c r="FC52" s="7"/>
    </row>
    <row r="53" spans="1:159" x14ac:dyDescent="0.15">
      <c r="EV53" s="7"/>
      <c r="EW53" s="7"/>
      <c r="EX53" s="7"/>
      <c r="EY53" s="7"/>
      <c r="EZ53" s="7"/>
      <c r="FA53" s="7"/>
      <c r="FB53" s="7"/>
      <c r="FC53" s="7"/>
    </row>
    <row r="54" spans="1:159" x14ac:dyDescent="0.15">
      <c r="AP54" s="9"/>
      <c r="EV54" s="7"/>
      <c r="EW54" s="7"/>
      <c r="EX54" s="7"/>
      <c r="EY54" s="7"/>
      <c r="EZ54" s="7"/>
      <c r="FA54" s="7"/>
      <c r="FB54" s="7"/>
      <c r="FC54" s="7"/>
    </row>
    <row r="55" spans="1:159" x14ac:dyDescent="0.15">
      <c r="AP55" s="9"/>
      <c r="EV55" s="7"/>
      <c r="EW55" s="7"/>
      <c r="EX55" s="7"/>
      <c r="EY55" s="7"/>
      <c r="EZ55" s="7"/>
      <c r="FA55" s="7"/>
      <c r="FB55" s="7"/>
      <c r="FC55" s="7"/>
    </row>
    <row r="56" spans="1:159" x14ac:dyDescent="0.15">
      <c r="C56" s="1">
        <f>COUNTIFS(C5:C40, "&lt;&gt;",C5:C40, "&lt;&gt;0")</f>
        <v>0</v>
      </c>
      <c r="U56" s="1">
        <f>COUNTIFS(U5:U40, "&lt;&gt;",U5:U40, "&lt;&gt;0")</f>
        <v>0</v>
      </c>
      <c r="AM56" s="1" t="e">
        <f>U56/C56</f>
        <v>#DIV/0!</v>
      </c>
      <c r="EV56" s="7"/>
      <c r="EW56" s="7"/>
      <c r="EX56" s="7"/>
      <c r="EY56" s="7"/>
      <c r="EZ56" s="7"/>
      <c r="FA56" s="7"/>
      <c r="FB56" s="7"/>
      <c r="FC56" s="7"/>
    </row>
    <row r="57" spans="1:159" x14ac:dyDescent="0.15">
      <c r="R57" s="1" t="e">
        <f>GEOMEAN(R5:R40)</f>
        <v>#NUM!</v>
      </c>
      <c r="S57" s="1" t="e">
        <f>GEOMEAN(S5:S40)</f>
        <v>#NUM!</v>
      </c>
      <c r="AJ57" s="1" t="e">
        <f>GEOMEAN(AJ5:AJ40)</f>
        <v>#NUM!</v>
      </c>
      <c r="AK57" s="1" t="e">
        <f>GEOMEAN(AK5:AK40)</f>
        <v>#NUM!</v>
      </c>
      <c r="AL57" s="1" t="e">
        <f>GEOMEAN(AL5:AL40)</f>
        <v>#DIV/0!</v>
      </c>
      <c r="AM57" s="1" t="e">
        <f>GEOMEAN(AM5:AM40)</f>
        <v>#DIV/0!</v>
      </c>
      <c r="EV57" s="7"/>
      <c r="EW57" s="7"/>
      <c r="EX57" s="7"/>
      <c r="EY57" s="7"/>
      <c r="EZ57" s="7"/>
      <c r="FA57" s="7"/>
      <c r="FB57" s="7"/>
      <c r="FC57" s="7"/>
    </row>
    <row r="58" spans="1:159" x14ac:dyDescent="0.15">
      <c r="R58" s="1">
        <f>SUM(R5:R40)</f>
        <v>0</v>
      </c>
      <c r="S58" s="1">
        <f>SUM(S5:S40)</f>
        <v>0</v>
      </c>
      <c r="AJ58" s="1">
        <f>SUM(AJ5:AJ40)</f>
        <v>0</v>
      </c>
      <c r="AK58" s="1">
        <f>SUM(AK5:AK40)</f>
        <v>0</v>
      </c>
      <c r="AL58" s="1" t="e">
        <f>AVERAGE(AL5:AL40)</f>
        <v>#DIV/0!</v>
      </c>
      <c r="AM58" s="1" t="e">
        <f>AVERAGE(AM5:AM40)</f>
        <v>#DIV/0!</v>
      </c>
      <c r="EV58" s="7"/>
      <c r="EW58" s="7"/>
      <c r="EX58" s="7"/>
      <c r="EY58" s="7"/>
      <c r="EZ58" s="7"/>
      <c r="FA58" s="7"/>
      <c r="FB58" s="7"/>
      <c r="FC58" s="7"/>
    </row>
    <row r="59" spans="1:159" x14ac:dyDescent="0.15">
      <c r="R59" s="1">
        <f>MAX(R5:R40)</f>
        <v>0</v>
      </c>
      <c r="S59" s="1">
        <f>MAX(S5:S40)</f>
        <v>0</v>
      </c>
      <c r="AJ59" s="1">
        <f>MAX(AJ5:AJ40)</f>
        <v>0</v>
      </c>
      <c r="AK59" s="1">
        <f>MAX(AK5:AK40)</f>
        <v>0</v>
      </c>
      <c r="AL59" s="1" t="e">
        <f>MAX(AL5:AL40)</f>
        <v>#DIV/0!</v>
      </c>
      <c r="AM59" s="1" t="e">
        <f>MAX(AM5:AM40)</f>
        <v>#DIV/0!</v>
      </c>
      <c r="EV59" s="7"/>
      <c r="EW59" s="7"/>
      <c r="EX59" s="7"/>
      <c r="EY59" s="7"/>
      <c r="EZ59" s="7"/>
      <c r="FA59" s="7"/>
      <c r="FB59" s="7"/>
      <c r="FC59" s="7"/>
    </row>
    <row r="60" spans="1:159" x14ac:dyDescent="0.15">
      <c r="R60" s="1">
        <f>MIN(R5:R40)</f>
        <v>0</v>
      </c>
      <c r="S60" s="1">
        <f>MIN(S5:S40)</f>
        <v>0</v>
      </c>
      <c r="AJ60" s="1">
        <f>MIN(AJ5:AJ40)</f>
        <v>0</v>
      </c>
      <c r="AK60" s="1">
        <f>MIN(AK5:AK40)</f>
        <v>0</v>
      </c>
      <c r="AL60" s="1" t="e">
        <f>MIN(AL5:AL40)</f>
        <v>#DIV/0!</v>
      </c>
      <c r="AM60" s="1" t="e">
        <f>MIN(AM5:AM40)</f>
        <v>#DIV/0!</v>
      </c>
      <c r="EV60" s="7"/>
      <c r="EW60" s="7"/>
      <c r="EX60" s="7"/>
      <c r="EY60" s="7"/>
      <c r="EZ60" s="7"/>
      <c r="FA60" s="7"/>
      <c r="FB60" s="7"/>
      <c r="FC60" s="7"/>
    </row>
    <row r="61" spans="1:159" x14ac:dyDescent="0.15">
      <c r="AJ61" s="1" t="e">
        <f>AJ57/R57</f>
        <v>#NUM!</v>
      </c>
      <c r="AK61" s="1" t="e">
        <f>AK57/S57</f>
        <v>#NUM!</v>
      </c>
      <c r="EV61" s="7"/>
      <c r="EW61" s="7"/>
      <c r="EX61" s="7"/>
      <c r="EY61" s="7"/>
      <c r="EZ61" s="7"/>
      <c r="FA61" s="7"/>
      <c r="FB61" s="7"/>
      <c r="FC61" s="7"/>
    </row>
    <row r="62" spans="1:159" x14ac:dyDescent="0.15">
      <c r="EV62" s="7"/>
      <c r="EW62" s="7"/>
      <c r="EX62" s="7"/>
      <c r="EY62" s="7"/>
      <c r="EZ62" s="7"/>
      <c r="FA62" s="7"/>
      <c r="FB62" s="7"/>
      <c r="FC62" s="7"/>
    </row>
    <row r="63" spans="1:159" x14ac:dyDescent="0.15">
      <c r="EV63" s="7"/>
      <c r="EW63" s="7"/>
      <c r="EX63" s="7"/>
      <c r="EY63" s="7"/>
      <c r="EZ63" s="7"/>
      <c r="FA63" s="7"/>
      <c r="FB63" s="7"/>
      <c r="FC63" s="7"/>
    </row>
    <row r="64" spans="1:159" x14ac:dyDescent="0.15">
      <c r="EV64" s="7"/>
      <c r="EW64" s="7"/>
      <c r="EX64" s="7"/>
      <c r="EY64" s="7"/>
      <c r="EZ64" s="7"/>
      <c r="FA64" s="7"/>
      <c r="FB64" s="7"/>
      <c r="FC64" s="7"/>
    </row>
    <row r="65" spans="152:159" x14ac:dyDescent="0.15">
      <c r="EV65" s="7"/>
      <c r="EW65" s="7"/>
      <c r="EX65" s="7"/>
      <c r="EY65" s="7"/>
      <c r="EZ65" s="7"/>
      <c r="FA65" s="7"/>
      <c r="FB65" s="7"/>
      <c r="FC65" s="7"/>
    </row>
    <row r="66" spans="152:159" x14ac:dyDescent="0.15">
      <c r="EV66" s="7"/>
      <c r="EW66" s="7"/>
      <c r="EX66" s="7"/>
      <c r="EY66" s="7"/>
      <c r="EZ66" s="7"/>
      <c r="FA66" s="7"/>
      <c r="FB66" s="7"/>
      <c r="FC66" s="7"/>
    </row>
    <row r="67" spans="152:159" x14ac:dyDescent="0.15">
      <c r="EV67" s="7"/>
      <c r="EW67" s="7"/>
      <c r="EX67" s="7"/>
      <c r="EY67" s="7"/>
      <c r="EZ67" s="7"/>
      <c r="FA67" s="7"/>
      <c r="FB67" s="7"/>
      <c r="FC67" s="7"/>
    </row>
    <row r="68" spans="152:159" x14ac:dyDescent="0.15">
      <c r="EV68" s="7"/>
      <c r="EW68" s="7"/>
      <c r="EX68" s="7"/>
      <c r="EY68" s="7"/>
      <c r="EZ68" s="7"/>
      <c r="FA68" s="7"/>
      <c r="FB68" s="7"/>
      <c r="FC68" s="7"/>
    </row>
    <row r="69" spans="152:159" x14ac:dyDescent="0.15">
      <c r="EV69" s="7"/>
      <c r="EW69" s="7"/>
      <c r="EX69" s="7"/>
      <c r="EY69" s="7"/>
      <c r="EZ69" s="7"/>
      <c r="FA69" s="7"/>
      <c r="FB69" s="7"/>
      <c r="FC69" s="7"/>
    </row>
    <row r="70" spans="152:159" x14ac:dyDescent="0.15">
      <c r="EV70" s="7"/>
      <c r="EW70" s="7"/>
      <c r="EX70" s="7"/>
      <c r="EY70" s="7"/>
      <c r="EZ70" s="7"/>
      <c r="FA70" s="7"/>
      <c r="FB70" s="7"/>
      <c r="FC70" s="7"/>
    </row>
    <row r="71" spans="152:159" x14ac:dyDescent="0.15">
      <c r="EV71" s="7"/>
      <c r="EW71" s="7"/>
      <c r="EX71" s="7"/>
      <c r="EY71" s="7"/>
      <c r="EZ71" s="7"/>
      <c r="FA71" s="7"/>
      <c r="FB71" s="7"/>
      <c r="FC71" s="7"/>
    </row>
    <row r="72" spans="152:159" x14ac:dyDescent="0.15">
      <c r="EV72" s="7"/>
      <c r="EW72" s="7"/>
      <c r="EX72" s="7"/>
      <c r="EY72" s="7"/>
      <c r="EZ72" s="7"/>
      <c r="FA72" s="7"/>
      <c r="FB72" s="7"/>
      <c r="FC72" s="7"/>
    </row>
    <row r="73" spans="152:159" x14ac:dyDescent="0.15">
      <c r="EV73" s="7"/>
      <c r="EW73" s="7"/>
      <c r="EX73" s="7"/>
      <c r="EY73" s="7"/>
      <c r="EZ73" s="7"/>
      <c r="FA73" s="7"/>
      <c r="FB73" s="7"/>
      <c r="FC73" s="7"/>
    </row>
    <row r="74" spans="152:159" x14ac:dyDescent="0.15">
      <c r="EV74" s="7"/>
      <c r="EW74" s="7"/>
      <c r="EX74" s="7"/>
      <c r="EY74" s="7"/>
      <c r="EZ74" s="7"/>
      <c r="FA74" s="7"/>
      <c r="FB74" s="7"/>
      <c r="FC74" s="7"/>
    </row>
    <row r="75" spans="152:159" x14ac:dyDescent="0.15">
      <c r="EV75" s="7"/>
      <c r="EW75" s="7"/>
      <c r="EX75" s="7"/>
      <c r="EY75" s="7"/>
      <c r="EZ75" s="7"/>
      <c r="FA75" s="7"/>
      <c r="FB75" s="7"/>
      <c r="FC75" s="7"/>
    </row>
    <row r="76" spans="152:159" x14ac:dyDescent="0.15">
      <c r="EV76" s="7"/>
      <c r="EW76" s="7"/>
      <c r="EX76" s="7"/>
      <c r="EY76" s="7"/>
      <c r="EZ76" s="7"/>
      <c r="FA76" s="7"/>
      <c r="FB76" s="7"/>
      <c r="FC76" s="7"/>
    </row>
    <row r="77" spans="152:159" x14ac:dyDescent="0.15">
      <c r="EV77" s="7"/>
      <c r="EW77" s="7"/>
      <c r="EX77" s="7"/>
      <c r="EY77" s="7"/>
      <c r="EZ77" s="7"/>
      <c r="FA77" s="7"/>
      <c r="FB77" s="7"/>
      <c r="FC77" s="7"/>
    </row>
    <row r="78" spans="152:159" x14ac:dyDescent="0.15">
      <c r="EV78" s="7"/>
      <c r="EW78" s="7"/>
      <c r="EX78" s="7"/>
      <c r="EY78" s="7"/>
      <c r="EZ78" s="7"/>
      <c r="FA78" s="7"/>
      <c r="FB78" s="7"/>
      <c r="FC78" s="7"/>
    </row>
    <row r="79" spans="152:159" x14ac:dyDescent="0.15">
      <c r="EV79" s="7"/>
      <c r="EW79" s="7"/>
      <c r="EX79" s="7"/>
      <c r="EY79" s="7"/>
      <c r="EZ79" s="7"/>
      <c r="FA79" s="7"/>
      <c r="FB79" s="7"/>
      <c r="FC79" s="7"/>
    </row>
    <row r="80" spans="152:159" x14ac:dyDescent="0.15">
      <c r="EV80" s="7"/>
      <c r="EW80" s="7"/>
      <c r="EX80" s="7"/>
      <c r="EY80" s="7"/>
      <c r="EZ80" s="7"/>
      <c r="FA80" s="7"/>
      <c r="FB80" s="7"/>
      <c r="FC80" s="7"/>
    </row>
    <row r="81" spans="152:159" x14ac:dyDescent="0.15">
      <c r="EV81" s="7"/>
      <c r="EW81" s="7"/>
      <c r="EX81" s="7"/>
      <c r="EY81" s="7"/>
      <c r="EZ81" s="7"/>
      <c r="FA81" s="7"/>
      <c r="FB81" s="7"/>
      <c r="FC81" s="7"/>
    </row>
    <row r="82" spans="152:159" x14ac:dyDescent="0.15">
      <c r="EV82" s="7"/>
      <c r="EW82" s="7"/>
      <c r="EX82" s="7"/>
      <c r="EY82" s="7"/>
      <c r="EZ82" s="7"/>
      <c r="FA82" s="7"/>
      <c r="FB82" s="7"/>
      <c r="FC82" s="7"/>
    </row>
    <row r="83" spans="152:159" x14ac:dyDescent="0.15">
      <c r="EV83" s="7"/>
      <c r="EW83" s="7"/>
      <c r="EX83" s="7"/>
      <c r="EY83" s="7"/>
      <c r="EZ83" s="7"/>
      <c r="FA83" s="7"/>
      <c r="FB83" s="7"/>
      <c r="FC83" s="7"/>
    </row>
    <row r="84" spans="152:159" x14ac:dyDescent="0.15">
      <c r="EV84" s="7"/>
      <c r="EW84" s="7"/>
      <c r="EX84" s="7"/>
      <c r="EY84" s="7"/>
      <c r="EZ84" s="7"/>
      <c r="FA84" s="7"/>
      <c r="FB84" s="7"/>
      <c r="FC84" s="7"/>
    </row>
    <row r="85" spans="152:159" x14ac:dyDescent="0.15">
      <c r="EV85" s="7"/>
      <c r="EW85" s="7"/>
      <c r="EX85" s="7"/>
      <c r="EY85" s="7"/>
      <c r="EZ85" s="7"/>
      <c r="FA85" s="7"/>
      <c r="FB85" s="7"/>
      <c r="FC85" s="7"/>
    </row>
    <row r="86" spans="152:159" x14ac:dyDescent="0.15">
      <c r="EV86" s="7"/>
      <c r="EW86" s="7"/>
      <c r="EX86" s="7"/>
      <c r="EY86" s="7"/>
      <c r="EZ86" s="7"/>
      <c r="FA86" s="7"/>
      <c r="FB86" s="7"/>
      <c r="FC86" s="7"/>
    </row>
    <row r="87" spans="152:159" x14ac:dyDescent="0.15">
      <c r="EV87" s="7"/>
      <c r="EW87" s="7"/>
      <c r="EX87" s="7"/>
      <c r="EY87" s="7"/>
      <c r="EZ87" s="7"/>
      <c r="FA87" s="7"/>
      <c r="FB87" s="7"/>
      <c r="FC87" s="7"/>
    </row>
    <row r="88" spans="152:159" x14ac:dyDescent="0.15">
      <c r="EV88" s="7"/>
      <c r="EW88" s="7"/>
      <c r="EX88" s="7"/>
      <c r="EY88" s="7"/>
      <c r="EZ88" s="7"/>
      <c r="FA88" s="7"/>
      <c r="FB88" s="7"/>
      <c r="FC88" s="7"/>
    </row>
    <row r="89" spans="152:159" x14ac:dyDescent="0.15">
      <c r="EV89" s="7"/>
      <c r="EW89" s="7"/>
      <c r="EX89" s="7"/>
      <c r="EY89" s="7"/>
      <c r="EZ89" s="7"/>
      <c r="FA89" s="7"/>
      <c r="FB89" s="7"/>
      <c r="FC89" s="7"/>
    </row>
    <row r="90" spans="152:159" x14ac:dyDescent="0.15">
      <c r="EV90" s="7"/>
      <c r="EW90" s="7"/>
      <c r="EX90" s="7"/>
      <c r="EY90" s="7"/>
      <c r="EZ90" s="7"/>
      <c r="FA90" s="7"/>
      <c r="FB90" s="7"/>
      <c r="FC90" s="7"/>
    </row>
    <row r="91" spans="152:159" x14ac:dyDescent="0.15">
      <c r="EV91" s="7"/>
      <c r="EW91" s="7"/>
      <c r="EX91" s="7"/>
      <c r="EY91" s="7"/>
      <c r="EZ91" s="7"/>
      <c r="FA91" s="7"/>
      <c r="FB91" s="7"/>
      <c r="FC91" s="7"/>
    </row>
    <row r="92" spans="152:159" x14ac:dyDescent="0.15">
      <c r="EV92" s="7"/>
      <c r="EW92" s="7"/>
      <c r="EX92" s="7"/>
      <c r="EY92" s="7"/>
      <c r="EZ92" s="7"/>
      <c r="FA92" s="7"/>
      <c r="FB92" s="7"/>
      <c r="FC92" s="7"/>
    </row>
    <row r="93" spans="152:159" x14ac:dyDescent="0.15">
      <c r="EV93" s="7"/>
      <c r="EW93" s="7"/>
      <c r="EX93" s="7"/>
      <c r="EY93" s="7"/>
      <c r="EZ93" s="7"/>
      <c r="FA93" s="7"/>
      <c r="FB93" s="7"/>
      <c r="FC93" s="7"/>
    </row>
    <row r="94" spans="152:159" x14ac:dyDescent="0.15">
      <c r="EV94" s="7"/>
      <c r="EW94" s="7"/>
      <c r="EX94" s="7"/>
      <c r="EY94" s="7"/>
      <c r="EZ94" s="7"/>
      <c r="FA94" s="7"/>
      <c r="FB94" s="7"/>
      <c r="FC94" s="7"/>
    </row>
    <row r="95" spans="152:159" x14ac:dyDescent="0.15">
      <c r="EV95" s="7"/>
      <c r="EW95" s="7"/>
      <c r="EX95" s="7"/>
      <c r="EY95" s="7"/>
      <c r="EZ95" s="7"/>
      <c r="FA95" s="7"/>
      <c r="FB95" s="7"/>
      <c r="FC95" s="7"/>
    </row>
    <row r="96" spans="152:159" x14ac:dyDescent="0.15">
      <c r="EV96" s="7"/>
      <c r="EW96" s="7"/>
      <c r="EX96" s="7"/>
      <c r="EY96" s="7"/>
      <c r="EZ96" s="7"/>
      <c r="FA96" s="7"/>
      <c r="FB96" s="7"/>
      <c r="FC96" s="7"/>
    </row>
    <row r="97" spans="152:159" x14ac:dyDescent="0.15">
      <c r="EV97" s="7"/>
      <c r="EW97" s="7"/>
      <c r="EX97" s="7"/>
      <c r="EY97" s="7"/>
      <c r="EZ97" s="7"/>
      <c r="FA97" s="7"/>
      <c r="FB97" s="7"/>
      <c r="FC97" s="7"/>
    </row>
    <row r="98" spans="152:159" x14ac:dyDescent="0.15">
      <c r="EV98" s="7"/>
      <c r="EW98" s="7"/>
      <c r="EX98" s="7"/>
      <c r="EY98" s="7"/>
      <c r="EZ98" s="7"/>
      <c r="FA98" s="7"/>
      <c r="FB98" s="7"/>
      <c r="FC98" s="7"/>
    </row>
    <row r="99" spans="152:159" x14ac:dyDescent="0.15">
      <c r="EV99" s="7"/>
      <c r="EW99" s="7"/>
      <c r="EX99" s="7"/>
      <c r="EY99" s="7"/>
      <c r="EZ99" s="7"/>
      <c r="FA99" s="7"/>
      <c r="FB99" s="7"/>
      <c r="FC99" s="7"/>
    </row>
    <row r="100" spans="152:159" x14ac:dyDescent="0.15">
      <c r="EV100" s="7"/>
      <c r="EW100" s="7"/>
      <c r="EX100" s="7"/>
      <c r="EY100" s="7"/>
      <c r="EZ100" s="7"/>
      <c r="FA100" s="7"/>
      <c r="FB100" s="7"/>
      <c r="FC100" s="7"/>
    </row>
    <row r="101" spans="152:159" x14ac:dyDescent="0.15">
      <c r="EV101" s="7"/>
      <c r="EW101" s="7"/>
      <c r="EX101" s="7"/>
      <c r="EY101" s="7"/>
      <c r="EZ101" s="7"/>
      <c r="FA101" s="7"/>
      <c r="FB101" s="7"/>
      <c r="FC101" s="7"/>
    </row>
    <row r="102" spans="152:159" x14ac:dyDescent="0.15">
      <c r="EV102" s="7"/>
      <c r="EW102" s="7"/>
      <c r="EX102" s="7"/>
      <c r="EY102" s="7"/>
      <c r="EZ102" s="7"/>
      <c r="FA102" s="7"/>
      <c r="FB102" s="7"/>
      <c r="FC102" s="7"/>
    </row>
    <row r="103" spans="152:159" x14ac:dyDescent="0.15">
      <c r="EV103" s="7"/>
      <c r="EW103" s="7"/>
      <c r="EX103" s="7"/>
      <c r="EY103" s="7"/>
      <c r="EZ103" s="7"/>
      <c r="FA103" s="7"/>
      <c r="FB103" s="7"/>
      <c r="FC103" s="7"/>
    </row>
    <row r="104" spans="152:159" x14ac:dyDescent="0.15">
      <c r="EV104" s="7"/>
      <c r="EW104" s="7"/>
      <c r="EX104" s="7"/>
      <c r="EY104" s="7"/>
      <c r="EZ104" s="7"/>
      <c r="FA104" s="7"/>
      <c r="FB104" s="7"/>
      <c r="FC104" s="7"/>
    </row>
    <row r="105" spans="152:159" x14ac:dyDescent="0.15">
      <c r="EV105" s="7"/>
      <c r="EW105" s="7"/>
      <c r="EX105" s="7"/>
      <c r="EY105" s="7"/>
      <c r="EZ105" s="7"/>
      <c r="FA105" s="7"/>
      <c r="FB105" s="7"/>
      <c r="FC105" s="7"/>
    </row>
    <row r="106" spans="152:159" x14ac:dyDescent="0.15">
      <c r="EV106" s="7"/>
      <c r="EW106" s="7"/>
      <c r="EX106" s="7"/>
      <c r="EY106" s="7"/>
      <c r="EZ106" s="7"/>
      <c r="FA106" s="7"/>
      <c r="FB106" s="7"/>
      <c r="FC106" s="7"/>
    </row>
    <row r="107" spans="152:159" x14ac:dyDescent="0.15">
      <c r="EV107" s="7"/>
      <c r="EW107" s="7"/>
      <c r="EX107" s="7"/>
      <c r="EY107" s="7"/>
      <c r="EZ107" s="7"/>
      <c r="FA107" s="7"/>
      <c r="FB107" s="7"/>
      <c r="FC107" s="7"/>
    </row>
    <row r="108" spans="152:159" x14ac:dyDescent="0.15">
      <c r="EV108" s="7"/>
      <c r="EW108" s="7"/>
      <c r="EX108" s="7"/>
      <c r="EY108" s="7"/>
      <c r="EZ108" s="7"/>
      <c r="FA108" s="7"/>
      <c r="FB108" s="7"/>
      <c r="FC108" s="7"/>
    </row>
    <row r="109" spans="152:159" x14ac:dyDescent="0.15">
      <c r="EV109" s="7"/>
      <c r="EW109" s="7"/>
      <c r="EX109" s="7"/>
      <c r="EY109" s="7"/>
      <c r="EZ109" s="7"/>
      <c r="FA109" s="7"/>
      <c r="FB109" s="7"/>
      <c r="FC109" s="7"/>
    </row>
    <row r="110" spans="152:159" x14ac:dyDescent="0.15">
      <c r="EV110" s="7"/>
      <c r="EW110" s="7"/>
      <c r="EX110" s="7"/>
      <c r="EY110" s="7"/>
      <c r="EZ110" s="7"/>
      <c r="FA110" s="7"/>
      <c r="FB110" s="7"/>
      <c r="FC110" s="7"/>
    </row>
    <row r="111" spans="152:159" x14ac:dyDescent="0.15">
      <c r="EV111" s="7"/>
      <c r="EW111" s="7"/>
      <c r="EX111" s="7"/>
      <c r="EY111" s="7"/>
      <c r="EZ111" s="7"/>
      <c r="FA111" s="7"/>
      <c r="FB111" s="7"/>
      <c r="FC111" s="7"/>
    </row>
    <row r="112" spans="152:159" x14ac:dyDescent="0.15">
      <c r="EV112" s="7"/>
      <c r="EW112" s="7"/>
      <c r="EX112" s="7"/>
      <c r="EY112" s="7"/>
      <c r="EZ112" s="7"/>
      <c r="FA112" s="7"/>
      <c r="FB112" s="7"/>
      <c r="FC112" s="7"/>
    </row>
    <row r="113" spans="152:159" x14ac:dyDescent="0.15">
      <c r="EV113" s="7"/>
      <c r="EW113" s="7"/>
      <c r="EX113" s="7"/>
      <c r="EY113" s="7"/>
      <c r="EZ113" s="7"/>
      <c r="FA113" s="7"/>
      <c r="FB113" s="7"/>
      <c r="FC113" s="7"/>
    </row>
    <row r="114" spans="152:159" x14ac:dyDescent="0.15">
      <c r="EV114" s="7"/>
      <c r="EW114" s="7"/>
      <c r="EX114" s="7"/>
      <c r="EY114" s="7"/>
      <c r="EZ114" s="7"/>
      <c r="FA114" s="7"/>
      <c r="FB114" s="7"/>
      <c r="FC114" s="7"/>
    </row>
    <row r="115" spans="152:159" x14ac:dyDescent="0.15">
      <c r="EV115" s="7"/>
      <c r="EW115" s="7"/>
      <c r="EX115" s="7"/>
      <c r="EY115" s="7"/>
      <c r="EZ115" s="7"/>
      <c r="FA115" s="7"/>
      <c r="FB115" s="7"/>
      <c r="FC115" s="7"/>
    </row>
    <row r="116" spans="152:159" x14ac:dyDescent="0.15">
      <c r="EV116" s="7"/>
      <c r="EW116" s="7"/>
      <c r="EX116" s="7"/>
      <c r="EY116" s="7"/>
      <c r="EZ116" s="7"/>
      <c r="FA116" s="7"/>
      <c r="FB116" s="7"/>
      <c r="FC116" s="7"/>
    </row>
    <row r="117" spans="152:159" x14ac:dyDescent="0.15">
      <c r="EV117" s="7"/>
      <c r="EW117" s="7"/>
      <c r="EX117" s="7"/>
      <c r="EY117" s="7"/>
      <c r="EZ117" s="7"/>
      <c r="FA117" s="7"/>
      <c r="FB117" s="7"/>
      <c r="FC117" s="7"/>
    </row>
    <row r="118" spans="152:159" x14ac:dyDescent="0.15">
      <c r="EV118" s="7"/>
      <c r="EW118" s="7"/>
      <c r="EX118" s="7"/>
      <c r="EY118" s="7"/>
      <c r="EZ118" s="7"/>
      <c r="FA118" s="7"/>
      <c r="FB118" s="7"/>
      <c r="FC118" s="7"/>
    </row>
    <row r="119" spans="152:159" x14ac:dyDescent="0.15">
      <c r="EV119" s="7"/>
      <c r="EW119" s="7"/>
      <c r="EX119" s="7"/>
      <c r="EY119" s="7"/>
      <c r="EZ119" s="7"/>
      <c r="FA119" s="7"/>
      <c r="FB119" s="7"/>
      <c r="FC119" s="7"/>
    </row>
    <row r="120" spans="152:159" x14ac:dyDescent="0.15">
      <c r="EV120" s="7"/>
      <c r="EW120" s="7"/>
      <c r="EX120" s="7"/>
      <c r="EY120" s="7"/>
      <c r="EZ120" s="7"/>
      <c r="FA120" s="7"/>
      <c r="FB120" s="7"/>
      <c r="FC120" s="7"/>
    </row>
    <row r="121" spans="152:159" x14ac:dyDescent="0.15">
      <c r="EV121" s="7"/>
      <c r="EW121" s="7"/>
      <c r="EX121" s="7"/>
      <c r="EY121" s="7"/>
      <c r="EZ121" s="7"/>
      <c r="FA121" s="7"/>
      <c r="FB121" s="7"/>
      <c r="FC121" s="7"/>
    </row>
    <row r="122" spans="152:159" x14ac:dyDescent="0.15">
      <c r="EV122" s="7"/>
      <c r="EW122" s="7"/>
      <c r="EX122" s="7"/>
      <c r="EY122" s="7"/>
      <c r="EZ122" s="7"/>
      <c r="FA122" s="7"/>
      <c r="FB122" s="7"/>
      <c r="FC122" s="7"/>
    </row>
    <row r="123" spans="152:159" x14ac:dyDescent="0.15">
      <c r="EV123" s="7"/>
      <c r="EW123" s="7"/>
      <c r="EX123" s="7"/>
      <c r="EY123" s="7"/>
      <c r="EZ123" s="7"/>
      <c r="FA123" s="7"/>
      <c r="FB123" s="7"/>
      <c r="FC123" s="7"/>
    </row>
    <row r="124" spans="152:159" x14ac:dyDescent="0.15">
      <c r="EV124" s="7"/>
      <c r="EW124" s="7"/>
      <c r="EX124" s="7"/>
      <c r="EY124" s="7"/>
      <c r="EZ124" s="7"/>
      <c r="FA124" s="7"/>
      <c r="FB124" s="7"/>
      <c r="FC124" s="7"/>
    </row>
    <row r="125" spans="152:159" x14ac:dyDescent="0.15">
      <c r="EV125" s="7"/>
      <c r="EW125" s="7"/>
      <c r="EX125" s="7"/>
      <c r="EY125" s="7"/>
      <c r="EZ125" s="7"/>
      <c r="FA125" s="7"/>
      <c r="FB125" s="7"/>
      <c r="FC125" s="7"/>
    </row>
    <row r="126" spans="152:159" x14ac:dyDescent="0.15">
      <c r="EV126" s="7"/>
      <c r="EW126" s="7"/>
      <c r="EX126" s="7"/>
      <c r="EY126" s="7"/>
      <c r="EZ126" s="7"/>
      <c r="FA126" s="7"/>
      <c r="FB126" s="7"/>
      <c r="FC126" s="7"/>
    </row>
    <row r="127" spans="152:159" x14ac:dyDescent="0.15">
      <c r="EV127" s="7"/>
      <c r="EW127" s="7"/>
      <c r="EX127" s="7"/>
      <c r="EY127" s="7"/>
      <c r="EZ127" s="7"/>
      <c r="FA127" s="7"/>
      <c r="FB127" s="7"/>
      <c r="FC127" s="7"/>
    </row>
    <row r="128" spans="152:159" x14ac:dyDescent="0.15">
      <c r="EV128" s="7"/>
      <c r="EW128" s="7"/>
      <c r="EX128" s="7"/>
      <c r="EY128" s="7"/>
      <c r="EZ128" s="7"/>
      <c r="FA128" s="7"/>
      <c r="FB128" s="7"/>
      <c r="FC128" s="7"/>
    </row>
    <row r="129" spans="152:159" x14ac:dyDescent="0.15">
      <c r="EV129" s="7"/>
      <c r="EW129" s="7"/>
      <c r="EX129" s="7"/>
      <c r="EY129" s="7"/>
      <c r="EZ129" s="7"/>
      <c r="FA129" s="7"/>
      <c r="FB129" s="7"/>
      <c r="FC129" s="7"/>
    </row>
    <row r="130" spans="152:159" x14ac:dyDescent="0.15">
      <c r="EV130" s="7"/>
      <c r="EW130" s="7"/>
      <c r="EX130" s="7"/>
      <c r="EY130" s="7"/>
      <c r="EZ130" s="7"/>
      <c r="FA130" s="7"/>
      <c r="FB130" s="7"/>
      <c r="FC130" s="7"/>
    </row>
    <row r="131" spans="152:159" x14ac:dyDescent="0.15">
      <c r="EV131" s="7"/>
      <c r="EW131" s="7"/>
      <c r="EX131" s="7"/>
      <c r="EY131" s="7"/>
      <c r="EZ131" s="7"/>
      <c r="FA131" s="7"/>
      <c r="FB131" s="7"/>
      <c r="FC131" s="7"/>
    </row>
    <row r="132" spans="152:159" x14ac:dyDescent="0.15">
      <c r="EV132" s="7"/>
      <c r="EW132" s="7"/>
      <c r="EX132" s="7"/>
      <c r="EY132" s="7"/>
      <c r="EZ132" s="7"/>
      <c r="FA132" s="7"/>
      <c r="FB132" s="7"/>
      <c r="FC132" s="7"/>
    </row>
    <row r="133" spans="152:159" x14ac:dyDescent="0.15">
      <c r="EV133" s="7"/>
      <c r="EW133" s="7"/>
      <c r="EX133" s="7"/>
      <c r="EY133" s="7"/>
      <c r="EZ133" s="7"/>
      <c r="FA133" s="7"/>
      <c r="FB133" s="7"/>
      <c r="FC133" s="7"/>
    </row>
    <row r="134" spans="152:159" x14ac:dyDescent="0.15">
      <c r="EV134" s="7"/>
      <c r="EW134" s="7"/>
      <c r="EX134" s="7"/>
      <c r="EY134" s="7"/>
      <c r="EZ134" s="7"/>
      <c r="FA134" s="7"/>
      <c r="FB134" s="7"/>
      <c r="FC134" s="7"/>
    </row>
    <row r="135" spans="152:159" x14ac:dyDescent="0.15">
      <c r="EV135" s="7"/>
      <c r="EW135" s="7"/>
      <c r="EX135" s="7"/>
      <c r="EY135" s="7"/>
      <c r="EZ135" s="7"/>
      <c r="FA135" s="7"/>
      <c r="FB135" s="7"/>
      <c r="FC135" s="7"/>
    </row>
    <row r="136" spans="152:159" x14ac:dyDescent="0.15">
      <c r="EV136" s="7"/>
      <c r="EW136" s="7"/>
      <c r="EX136" s="7"/>
      <c r="EY136" s="7"/>
      <c r="EZ136" s="7"/>
      <c r="FA136" s="7"/>
      <c r="FB136" s="7"/>
      <c r="FC136" s="7"/>
    </row>
    <row r="137" spans="152:159" x14ac:dyDescent="0.15">
      <c r="EV137" s="7"/>
      <c r="EW137" s="7"/>
      <c r="EX137" s="7"/>
      <c r="EY137" s="7"/>
      <c r="EZ137" s="7"/>
      <c r="FA137" s="7"/>
      <c r="FB137" s="7"/>
      <c r="FC137" s="7"/>
    </row>
    <row r="138" spans="152:159" x14ac:dyDescent="0.15">
      <c r="EV138" s="7"/>
      <c r="EW138" s="7"/>
      <c r="EX138" s="7"/>
      <c r="EY138" s="7"/>
      <c r="EZ138" s="7"/>
      <c r="FA138" s="7"/>
      <c r="FB138" s="7"/>
      <c r="FC138" s="7"/>
    </row>
    <row r="139" spans="152:159" x14ac:dyDescent="0.15">
      <c r="EV139" s="7"/>
      <c r="EW139" s="7"/>
      <c r="EX139" s="7"/>
      <c r="EY139" s="7"/>
      <c r="EZ139" s="7"/>
      <c r="FA139" s="7"/>
      <c r="FB139" s="7"/>
      <c r="FC139" s="7"/>
    </row>
    <row r="140" spans="152:159" x14ac:dyDescent="0.15">
      <c r="EV140" s="7"/>
      <c r="EW140" s="7"/>
      <c r="EX140" s="7"/>
      <c r="EY140" s="7"/>
      <c r="EZ140" s="7"/>
      <c r="FA140" s="7"/>
      <c r="FB140" s="7"/>
      <c r="FC140" s="7"/>
    </row>
    <row r="141" spans="152:159" x14ac:dyDescent="0.15">
      <c r="EV141" s="7"/>
      <c r="EW141" s="7"/>
      <c r="EX141" s="7"/>
      <c r="EY141" s="7"/>
      <c r="EZ141" s="7"/>
      <c r="FA141" s="7"/>
      <c r="FB141" s="7"/>
      <c r="FC141" s="7"/>
    </row>
    <row r="142" spans="152:159" x14ac:dyDescent="0.15">
      <c r="EV142" s="7"/>
      <c r="EW142" s="7"/>
      <c r="EX142" s="7"/>
      <c r="EY142" s="7"/>
      <c r="EZ142" s="7"/>
      <c r="FA142" s="7"/>
      <c r="FB142" s="7"/>
      <c r="FC142" s="7"/>
    </row>
    <row r="143" spans="152:159" x14ac:dyDescent="0.15">
      <c r="EV143" s="7"/>
      <c r="EW143" s="7"/>
      <c r="EX143" s="7"/>
      <c r="EY143" s="7"/>
      <c r="EZ143" s="7"/>
      <c r="FA143" s="7"/>
      <c r="FB143" s="7"/>
      <c r="FC143" s="7"/>
    </row>
    <row r="144" spans="152:159" x14ac:dyDescent="0.15">
      <c r="EV144" s="7"/>
      <c r="EW144" s="7"/>
      <c r="EX144" s="7"/>
      <c r="EY144" s="7"/>
      <c r="EZ144" s="7"/>
      <c r="FA144" s="7"/>
      <c r="FB144" s="7"/>
      <c r="FC144" s="7"/>
    </row>
    <row r="145" spans="152:159" x14ac:dyDescent="0.15">
      <c r="EV145" s="7"/>
      <c r="EW145" s="7"/>
      <c r="EX145" s="7"/>
      <c r="EY145" s="7"/>
      <c r="EZ145" s="7"/>
      <c r="FA145" s="7"/>
      <c r="FB145" s="7"/>
      <c r="FC145" s="7"/>
    </row>
    <row r="146" spans="152:159" x14ac:dyDescent="0.15">
      <c r="EV146" s="7"/>
      <c r="EW146" s="7"/>
      <c r="EX146" s="7"/>
      <c r="EY146" s="7"/>
      <c r="EZ146" s="7"/>
      <c r="FA146" s="7"/>
      <c r="FB146" s="7"/>
      <c r="FC146" s="7"/>
    </row>
    <row r="147" spans="152:159" x14ac:dyDescent="0.15">
      <c r="EV147" s="7"/>
      <c r="EW147" s="7"/>
      <c r="EX147" s="7"/>
      <c r="EY147" s="7"/>
      <c r="EZ147" s="7"/>
      <c r="FA147" s="7"/>
      <c r="FB147" s="7"/>
      <c r="FC147" s="7"/>
    </row>
    <row r="148" spans="152:159" x14ac:dyDescent="0.15">
      <c r="EV148" s="7"/>
      <c r="EW148" s="7"/>
      <c r="EX148" s="7"/>
      <c r="EY148" s="7"/>
      <c r="EZ148" s="7"/>
      <c r="FA148" s="7"/>
      <c r="FB148" s="7"/>
      <c r="FC148" s="7"/>
    </row>
    <row r="149" spans="152:159" x14ac:dyDescent="0.15">
      <c r="EV149" s="7"/>
      <c r="EW149" s="7"/>
      <c r="EX149" s="7"/>
      <c r="EY149" s="7"/>
      <c r="EZ149" s="7"/>
      <c r="FA149" s="7"/>
      <c r="FB149" s="7"/>
      <c r="FC149" s="7"/>
    </row>
    <row r="150" spans="152:159" x14ac:dyDescent="0.15">
      <c r="EV150" s="7"/>
      <c r="EW150" s="7"/>
      <c r="EX150" s="7"/>
      <c r="EY150" s="7"/>
      <c r="EZ150" s="7"/>
      <c r="FA150" s="7"/>
      <c r="FB150" s="7"/>
      <c r="FC150" s="7"/>
    </row>
    <row r="151" spans="152:159" x14ac:dyDescent="0.15">
      <c r="EV151" s="7"/>
      <c r="EW151" s="7"/>
      <c r="EX151" s="7"/>
      <c r="EY151" s="7"/>
      <c r="EZ151" s="7"/>
      <c r="FA151" s="7"/>
      <c r="FB151" s="7"/>
      <c r="FC151" s="7"/>
    </row>
    <row r="152" spans="152:159" x14ac:dyDescent="0.15">
      <c r="EV152" s="7"/>
      <c r="EW152" s="7"/>
      <c r="EX152" s="7"/>
      <c r="EY152" s="7"/>
      <c r="EZ152" s="7"/>
      <c r="FA152" s="7"/>
      <c r="FB152" s="7"/>
      <c r="FC152" s="7"/>
    </row>
    <row r="153" spans="152:159" x14ac:dyDescent="0.15">
      <c r="EV153" s="7"/>
      <c r="EW153" s="7"/>
      <c r="EX153" s="7"/>
      <c r="EY153" s="7"/>
      <c r="EZ153" s="7"/>
      <c r="FA153" s="7"/>
      <c r="FB153" s="7"/>
      <c r="FC153" s="7"/>
    </row>
    <row r="154" spans="152:159" x14ac:dyDescent="0.15">
      <c r="EV154" s="7"/>
      <c r="EW154" s="7"/>
      <c r="EX154" s="7"/>
      <c r="EY154" s="7"/>
      <c r="EZ154" s="7"/>
      <c r="FA154" s="7"/>
      <c r="FB154" s="7"/>
      <c r="FC154" s="7"/>
    </row>
    <row r="155" spans="152:159" x14ac:dyDescent="0.15">
      <c r="EV155" s="7"/>
      <c r="EW155" s="7"/>
      <c r="EX155" s="7"/>
      <c r="EY155" s="7"/>
      <c r="EZ155" s="7"/>
      <c r="FA155" s="7"/>
      <c r="FB155" s="7"/>
      <c r="FC155" s="7"/>
    </row>
    <row r="156" spans="152:159" x14ac:dyDescent="0.15">
      <c r="EV156" s="7"/>
      <c r="EW156" s="7"/>
      <c r="EX156" s="7"/>
      <c r="EY156" s="7"/>
      <c r="EZ156" s="7"/>
      <c r="FA156" s="7"/>
      <c r="FB156" s="7"/>
      <c r="FC156" s="7"/>
    </row>
    <row r="157" spans="152:159" x14ac:dyDescent="0.15">
      <c r="EV157" s="7"/>
      <c r="EW157" s="7"/>
      <c r="EX157" s="7"/>
      <c r="EY157" s="7"/>
      <c r="EZ157" s="7"/>
      <c r="FA157" s="7"/>
      <c r="FB157" s="7"/>
      <c r="FC157" s="7"/>
    </row>
    <row r="158" spans="152:159" x14ac:dyDescent="0.15">
      <c r="EV158" s="7"/>
      <c r="EW158" s="7"/>
      <c r="EX158" s="7"/>
      <c r="EY158" s="7"/>
      <c r="EZ158" s="7"/>
      <c r="FA158" s="7"/>
      <c r="FB158" s="7"/>
      <c r="FC158" s="7"/>
    </row>
    <row r="159" spans="152:159" x14ac:dyDescent="0.15">
      <c r="EV159" s="7"/>
      <c r="EW159" s="7"/>
      <c r="EX159" s="7"/>
      <c r="EY159" s="7"/>
      <c r="EZ159" s="7"/>
      <c r="FA159" s="7"/>
      <c r="FB159" s="7"/>
      <c r="FC159" s="7"/>
    </row>
    <row r="160" spans="152:159" x14ac:dyDescent="0.15">
      <c r="EV160" s="7"/>
      <c r="EW160" s="7"/>
      <c r="EX160" s="7"/>
      <c r="EY160" s="7"/>
      <c r="EZ160" s="7"/>
      <c r="FA160" s="7"/>
      <c r="FB160" s="7"/>
      <c r="FC160" s="7"/>
    </row>
    <row r="161" spans="152:159" x14ac:dyDescent="0.15">
      <c r="EV161" s="7"/>
      <c r="EW161" s="7"/>
      <c r="EX161" s="7"/>
      <c r="EY161" s="7"/>
      <c r="EZ161" s="7"/>
      <c r="FA161" s="7"/>
      <c r="FB161" s="7"/>
      <c r="FC161" s="7"/>
    </row>
    <row r="162" spans="152:159" x14ac:dyDescent="0.15">
      <c r="EV162" s="7"/>
      <c r="EW162" s="7"/>
      <c r="EX162" s="7"/>
      <c r="EY162" s="7"/>
      <c r="EZ162" s="7"/>
      <c r="FA162" s="7"/>
      <c r="FB162" s="7"/>
      <c r="FC162" s="7"/>
    </row>
    <row r="163" spans="152:159" x14ac:dyDescent="0.15">
      <c r="EV163" s="7"/>
      <c r="EW163" s="7"/>
      <c r="EX163" s="7"/>
      <c r="EY163" s="7"/>
      <c r="EZ163" s="7"/>
      <c r="FA163" s="7"/>
      <c r="FB163" s="7"/>
      <c r="FC163" s="7"/>
    </row>
    <row r="164" spans="152:159" x14ac:dyDescent="0.15">
      <c r="EV164" s="7"/>
      <c r="EW164" s="7"/>
      <c r="EX164" s="7"/>
      <c r="EY164" s="7"/>
      <c r="EZ164" s="7"/>
      <c r="FA164" s="7"/>
      <c r="FB164" s="7"/>
      <c r="FC164" s="7"/>
    </row>
    <row r="165" spans="152:159" x14ac:dyDescent="0.15">
      <c r="EV165" s="7"/>
      <c r="EW165" s="7"/>
      <c r="EX165" s="7"/>
      <c r="EY165" s="7"/>
      <c r="EZ165" s="7"/>
      <c r="FA165" s="7"/>
      <c r="FB165" s="7"/>
      <c r="FC165" s="7"/>
    </row>
    <row r="166" spans="152:159" x14ac:dyDescent="0.15">
      <c r="EV166" s="7"/>
      <c r="EW166" s="7"/>
      <c r="EX166" s="7"/>
      <c r="EY166" s="7"/>
      <c r="EZ166" s="7"/>
      <c r="FA166" s="7"/>
      <c r="FB166" s="7"/>
      <c r="FC166" s="7"/>
    </row>
    <row r="167" spans="152:159" x14ac:dyDescent="0.15">
      <c r="EV167" s="7"/>
      <c r="EW167" s="7"/>
      <c r="EX167" s="7"/>
      <c r="EY167" s="7"/>
      <c r="EZ167" s="7"/>
      <c r="FA167" s="7"/>
      <c r="FB167" s="7"/>
      <c r="FC167" s="7"/>
    </row>
    <row r="168" spans="152:159" x14ac:dyDescent="0.15">
      <c r="EV168" s="7"/>
      <c r="EW168" s="7"/>
      <c r="EX168" s="7"/>
      <c r="EY168" s="7"/>
      <c r="EZ168" s="7"/>
      <c r="FA168" s="7"/>
      <c r="FB168" s="7"/>
      <c r="FC168" s="7"/>
    </row>
    <row r="169" spans="152:159" x14ac:dyDescent="0.15">
      <c r="EV169" s="7"/>
      <c r="EW169" s="7"/>
      <c r="EX169" s="7"/>
      <c r="EY169" s="7"/>
      <c r="EZ169" s="7"/>
      <c r="FA169" s="7"/>
      <c r="FB169" s="7"/>
      <c r="FC169" s="7"/>
    </row>
    <row r="170" spans="152:159" x14ac:dyDescent="0.15">
      <c r="EV170" s="7"/>
      <c r="EW170" s="7"/>
      <c r="EX170" s="7"/>
      <c r="EY170" s="7"/>
      <c r="EZ170" s="7"/>
      <c r="FA170" s="7"/>
      <c r="FB170" s="7"/>
      <c r="FC170" s="7"/>
    </row>
    <row r="171" spans="152:159" x14ac:dyDescent="0.15">
      <c r="EV171" s="7"/>
      <c r="EW171" s="7"/>
      <c r="EX171" s="7"/>
      <c r="EY171" s="7"/>
      <c r="EZ171" s="7"/>
      <c r="FA171" s="7"/>
      <c r="FB171" s="7"/>
      <c r="FC171" s="7"/>
    </row>
    <row r="172" spans="152:159" x14ac:dyDescent="0.15">
      <c r="EV172" s="7"/>
      <c r="EW172" s="7"/>
      <c r="EX172" s="7"/>
      <c r="EY172" s="7"/>
      <c r="EZ172" s="7"/>
      <c r="FA172" s="7"/>
      <c r="FB172" s="7"/>
      <c r="FC172" s="7"/>
    </row>
    <row r="173" spans="152:159" x14ac:dyDescent="0.15">
      <c r="EV173" s="7"/>
      <c r="EW173" s="7"/>
      <c r="EX173" s="7"/>
      <c r="EY173" s="7"/>
      <c r="EZ173" s="7"/>
      <c r="FA173" s="7"/>
      <c r="FB173" s="7"/>
      <c r="FC173" s="7"/>
    </row>
    <row r="174" spans="152:159" x14ac:dyDescent="0.15">
      <c r="EV174" s="7"/>
      <c r="EW174" s="7"/>
      <c r="EX174" s="7"/>
      <c r="EY174" s="7"/>
      <c r="EZ174" s="7"/>
      <c r="FA174" s="7"/>
      <c r="FB174" s="7"/>
      <c r="FC174" s="7"/>
    </row>
    <row r="175" spans="152:159" x14ac:dyDescent="0.15">
      <c r="EV175" s="7"/>
      <c r="EW175" s="7"/>
      <c r="EX175" s="7"/>
      <c r="EY175" s="7"/>
      <c r="EZ175" s="7"/>
      <c r="FA175" s="7"/>
      <c r="FB175" s="7"/>
      <c r="FC175" s="7"/>
    </row>
    <row r="176" spans="152:159" x14ac:dyDescent="0.15">
      <c r="EV176" s="7"/>
      <c r="EW176" s="7"/>
      <c r="EX176" s="7"/>
      <c r="EY176" s="7"/>
      <c r="EZ176" s="7"/>
      <c r="FA176" s="7"/>
      <c r="FB176" s="7"/>
      <c r="FC176" s="7"/>
    </row>
    <row r="177" spans="152:159" x14ac:dyDescent="0.15">
      <c r="EV177" s="7"/>
      <c r="EW177" s="7"/>
      <c r="EX177" s="7"/>
      <c r="EY177" s="7"/>
      <c r="EZ177" s="7"/>
      <c r="FA177" s="7"/>
      <c r="FB177" s="7"/>
      <c r="FC177" s="7"/>
    </row>
    <row r="178" spans="152:159" x14ac:dyDescent="0.15">
      <c r="EV178" s="7"/>
      <c r="EW178" s="7"/>
      <c r="EX178" s="7"/>
      <c r="EY178" s="7"/>
      <c r="EZ178" s="7"/>
      <c r="FA178" s="7"/>
      <c r="FB178" s="7"/>
      <c r="FC178" s="7"/>
    </row>
    <row r="179" spans="152:159" x14ac:dyDescent="0.15">
      <c r="EV179" s="7"/>
      <c r="EW179" s="7"/>
      <c r="EX179" s="7"/>
      <c r="EY179" s="7"/>
      <c r="EZ179" s="7"/>
      <c r="FA179" s="7"/>
      <c r="FB179" s="7"/>
      <c r="FC179" s="7"/>
    </row>
    <row r="180" spans="152:159" x14ac:dyDescent="0.15">
      <c r="EV180" s="7"/>
      <c r="EW180" s="7"/>
      <c r="EX180" s="7"/>
      <c r="EY180" s="7"/>
      <c r="EZ180" s="7"/>
      <c r="FA180" s="7"/>
      <c r="FB180" s="7"/>
      <c r="FC180" s="7"/>
    </row>
  </sheetData>
  <sheetProtection sheet="1" objects="1" scenarios="1" formatCells="0" formatColumns="0" formatRows="0"/>
  <mergeCells count="270">
    <mergeCell ref="CL2:DC2"/>
    <mergeCell ref="DE2:DF2"/>
    <mergeCell ref="DH2:DI2"/>
    <mergeCell ref="DK2:DL2"/>
    <mergeCell ref="C1:S2"/>
    <mergeCell ref="U1:AK2"/>
    <mergeCell ref="AO1:AY1"/>
    <mergeCell ref="CL1:DL1"/>
    <mergeCell ref="DZ1:EW1"/>
    <mergeCell ref="AO2:AS2"/>
    <mergeCell ref="AT2:AU2"/>
    <mergeCell ref="AV2:AW2"/>
    <mergeCell ref="AX2:AY2"/>
    <mergeCell ref="ET2:EU2"/>
    <mergeCell ref="EV2:EW2"/>
    <mergeCell ref="EX2:EY2"/>
    <mergeCell ref="EZ2:FA2"/>
    <mergeCell ref="FB2:FC2"/>
    <mergeCell ref="FD2:FI2"/>
    <mergeCell ref="DM2:DN2"/>
    <mergeCell ref="DO2:DP2"/>
    <mergeCell ref="DQ2:DR2"/>
    <mergeCell ref="DS2:DX2"/>
    <mergeCell ref="DZ2:EQ2"/>
    <mergeCell ref="ER2:ES2"/>
    <mergeCell ref="CN3:CQ3"/>
    <mergeCell ref="CX3:DA3"/>
    <mergeCell ref="EB3:EE3"/>
    <mergeCell ref="EL3:EO3"/>
    <mergeCell ref="AO4:AP4"/>
    <mergeCell ref="D3:G3"/>
    <mergeCell ref="N3:Q3"/>
    <mergeCell ref="V3:Y3"/>
    <mergeCell ref="AF3:AI3"/>
    <mergeCell ref="AX7:AX8"/>
    <mergeCell ref="AT5:AT6"/>
    <mergeCell ref="AU5:AU10"/>
    <mergeCell ref="AV5:AV6"/>
    <mergeCell ref="AW5:AW10"/>
    <mergeCell ref="AX5:AX6"/>
    <mergeCell ref="AY5:AY10"/>
    <mergeCell ref="AT9:AT10"/>
    <mergeCell ref="AV9:AV10"/>
    <mergeCell ref="AX9:AX10"/>
    <mergeCell ref="A11:A16"/>
    <mergeCell ref="AO11:AO12"/>
    <mergeCell ref="AP11:AP12"/>
    <mergeCell ref="AQ11:AQ16"/>
    <mergeCell ref="AR11:AR16"/>
    <mergeCell ref="AO7:AO8"/>
    <mergeCell ref="AP7:AP8"/>
    <mergeCell ref="AT7:AT8"/>
    <mergeCell ref="AV7:AV8"/>
    <mergeCell ref="A5:A10"/>
    <mergeCell ref="AO5:AO6"/>
    <mergeCell ref="AP5:AP6"/>
    <mergeCell ref="AQ5:AQ10"/>
    <mergeCell ref="AR5:AR10"/>
    <mergeCell ref="AS5:AS10"/>
    <mergeCell ref="AO9:AO10"/>
    <mergeCell ref="AP9:AP10"/>
    <mergeCell ref="AY11:AY16"/>
    <mergeCell ref="AO13:AO14"/>
    <mergeCell ref="AP13:AP14"/>
    <mergeCell ref="AT13:AT14"/>
    <mergeCell ref="AV13:AV14"/>
    <mergeCell ref="AX13:AX14"/>
    <mergeCell ref="AO15:AO16"/>
    <mergeCell ref="AP15:AP16"/>
    <mergeCell ref="AT15:AT16"/>
    <mergeCell ref="AV15:AV16"/>
    <mergeCell ref="AS11:AS16"/>
    <mergeCell ref="AT11:AT12"/>
    <mergeCell ref="AU11:AU16"/>
    <mergeCell ref="AV11:AV12"/>
    <mergeCell ref="AW11:AW16"/>
    <mergeCell ref="AX11:AX12"/>
    <mergeCell ref="AX15:AX16"/>
    <mergeCell ref="AT17:AT18"/>
    <mergeCell ref="AU17:AU22"/>
    <mergeCell ref="AV17:AV18"/>
    <mergeCell ref="AW17:AW22"/>
    <mergeCell ref="AX17:AX18"/>
    <mergeCell ref="AY17:AY22"/>
    <mergeCell ref="AT19:AT20"/>
    <mergeCell ref="AV19:AV20"/>
    <mergeCell ref="AX19:AX20"/>
    <mergeCell ref="AT21:AT22"/>
    <mergeCell ref="AV21:AV22"/>
    <mergeCell ref="AX21:AX22"/>
    <mergeCell ref="A17:A22"/>
    <mergeCell ref="AO17:AO18"/>
    <mergeCell ref="AP17:AP18"/>
    <mergeCell ref="AQ17:AQ22"/>
    <mergeCell ref="AR17:AR22"/>
    <mergeCell ref="AS17:AS22"/>
    <mergeCell ref="AO19:AO20"/>
    <mergeCell ref="AP19:AP20"/>
    <mergeCell ref="AO21:AO22"/>
    <mergeCell ref="AP21:AP22"/>
    <mergeCell ref="A29:A34"/>
    <mergeCell ref="AO29:AO30"/>
    <mergeCell ref="AP29:AP30"/>
    <mergeCell ref="AQ29:AQ34"/>
    <mergeCell ref="AR29:AR34"/>
    <mergeCell ref="AS29:AS34"/>
    <mergeCell ref="AV23:AV24"/>
    <mergeCell ref="AW23:AW28"/>
    <mergeCell ref="AX23:AX24"/>
    <mergeCell ref="AO25:AO26"/>
    <mergeCell ref="AP25:AP26"/>
    <mergeCell ref="AT25:AT26"/>
    <mergeCell ref="AV25:AV26"/>
    <mergeCell ref="AX25:AX26"/>
    <mergeCell ref="AO27:AO28"/>
    <mergeCell ref="AT29:AT30"/>
    <mergeCell ref="AU29:AU34"/>
    <mergeCell ref="AV29:AV30"/>
    <mergeCell ref="AW29:AW34"/>
    <mergeCell ref="AX29:AX30"/>
    <mergeCell ref="A23:A28"/>
    <mergeCell ref="AO23:AO24"/>
    <mergeCell ref="AP23:AP24"/>
    <mergeCell ref="AQ23:AQ28"/>
    <mergeCell ref="AY29:AY34"/>
    <mergeCell ref="AP27:AP28"/>
    <mergeCell ref="AT27:AT28"/>
    <mergeCell ref="AV27:AV28"/>
    <mergeCell ref="AX27:AX28"/>
    <mergeCell ref="AY23:AY28"/>
    <mergeCell ref="AO31:AO32"/>
    <mergeCell ref="AP31:AP32"/>
    <mergeCell ref="AT31:AT32"/>
    <mergeCell ref="AV31:AV32"/>
    <mergeCell ref="AX31:AX32"/>
    <mergeCell ref="AO33:AO34"/>
    <mergeCell ref="AP33:AP34"/>
    <mergeCell ref="AT33:AT34"/>
    <mergeCell ref="AV33:AV34"/>
    <mergeCell ref="AX33:AX34"/>
    <mergeCell ref="AR23:AR28"/>
    <mergeCell ref="AS23:AS28"/>
    <mergeCell ref="AT23:AT24"/>
    <mergeCell ref="AU23:AU28"/>
    <mergeCell ref="AT35:AT36"/>
    <mergeCell ref="AU35:AU40"/>
    <mergeCell ref="AV35:AV36"/>
    <mergeCell ref="AW35:AW40"/>
    <mergeCell ref="AX35:AX36"/>
    <mergeCell ref="AY35:AY40"/>
    <mergeCell ref="AT37:AT38"/>
    <mergeCell ref="AV37:AV38"/>
    <mergeCell ref="AX37:AX38"/>
    <mergeCell ref="AT39:AT40"/>
    <mergeCell ref="AV39:AV40"/>
    <mergeCell ref="AX39:AX40"/>
    <mergeCell ref="AP39:AP40"/>
    <mergeCell ref="A43:V43"/>
    <mergeCell ref="A44:L44"/>
    <mergeCell ref="Q44:R44"/>
    <mergeCell ref="S44:T44"/>
    <mergeCell ref="U44:V44"/>
    <mergeCell ref="W44:X44"/>
    <mergeCell ref="Y44:Z44"/>
    <mergeCell ref="AA44:AB44"/>
    <mergeCell ref="A35:A40"/>
    <mergeCell ref="AC44:AH44"/>
    <mergeCell ref="Q49:Q50"/>
    <mergeCell ref="S49:S50"/>
    <mergeCell ref="U49:U50"/>
    <mergeCell ref="W49:W50"/>
    <mergeCell ref="Y47:Y48"/>
    <mergeCell ref="Z47:Z52"/>
    <mergeCell ref="AA47:AA48"/>
    <mergeCell ref="AB47:AB52"/>
    <mergeCell ref="AC47:AC48"/>
    <mergeCell ref="Y51:Y52"/>
    <mergeCell ref="S47:S48"/>
    <mergeCell ref="T47:T52"/>
    <mergeCell ref="U47:U48"/>
    <mergeCell ref="V47:V52"/>
    <mergeCell ref="W47:W48"/>
    <mergeCell ref="AA51:AA52"/>
    <mergeCell ref="AC51:AC52"/>
    <mergeCell ref="Y49:Y50"/>
    <mergeCell ref="AA49:AA50"/>
    <mergeCell ref="AC49:AC50"/>
    <mergeCell ref="C45:F45"/>
    <mergeCell ref="M45:P45"/>
    <mergeCell ref="A46:B46"/>
    <mergeCell ref="A47:A48"/>
    <mergeCell ref="B47:B48"/>
    <mergeCell ref="C47:C52"/>
    <mergeCell ref="D47:D52"/>
    <mergeCell ref="E47:E52"/>
    <mergeCell ref="F47:F52"/>
    <mergeCell ref="A49:A50"/>
    <mergeCell ref="B49:B50"/>
    <mergeCell ref="AF47:AF52"/>
    <mergeCell ref="AG47:AG52"/>
    <mergeCell ref="AH47:AH52"/>
    <mergeCell ref="A51:A52"/>
    <mergeCell ref="B51:B52"/>
    <mergeCell ref="Q51:Q52"/>
    <mergeCell ref="S51:S52"/>
    <mergeCell ref="U51:U52"/>
    <mergeCell ref="W51:W52"/>
    <mergeCell ref="AE47:AE52"/>
    <mergeCell ref="X47:X52"/>
    <mergeCell ref="M47:M52"/>
    <mergeCell ref="N47:N52"/>
    <mergeCell ref="O47:O52"/>
    <mergeCell ref="P47:P52"/>
    <mergeCell ref="Q47:Q48"/>
    <mergeCell ref="R47:R52"/>
    <mergeCell ref="G47:G52"/>
    <mergeCell ref="H47:H52"/>
    <mergeCell ref="I47:I52"/>
    <mergeCell ref="J47:J52"/>
    <mergeCell ref="K47:K52"/>
    <mergeCell ref="L47:L52"/>
    <mergeCell ref="AD47:AD52"/>
    <mergeCell ref="FK2:FL2"/>
    <mergeCell ref="FM2:FN2"/>
    <mergeCell ref="FP2:FQ2"/>
    <mergeCell ref="FR2:FS2"/>
    <mergeCell ref="AI44:AJ44"/>
    <mergeCell ref="AK44:AL44"/>
    <mergeCell ref="AI46:AJ46"/>
    <mergeCell ref="AK46:AL46"/>
    <mergeCell ref="AI47:AI48"/>
    <mergeCell ref="AJ47:AJ52"/>
    <mergeCell ref="AK47:AK48"/>
    <mergeCell ref="AL47:AL52"/>
    <mergeCell ref="AI49:AI50"/>
    <mergeCell ref="AK49:AK50"/>
    <mergeCell ref="AI51:AI52"/>
    <mergeCell ref="AK51:AK52"/>
    <mergeCell ref="AO35:AO36"/>
    <mergeCell ref="AP35:AP36"/>
    <mergeCell ref="AQ35:AQ40"/>
    <mergeCell ref="AR35:AR40"/>
    <mergeCell ref="AS35:AS40"/>
    <mergeCell ref="AO37:AO38"/>
    <mergeCell ref="AP37:AP38"/>
    <mergeCell ref="AO39:AO40"/>
    <mergeCell ref="AZ5:AZ6"/>
    <mergeCell ref="BA5:BA10"/>
    <mergeCell ref="AZ7:AZ8"/>
    <mergeCell ref="AZ9:AZ10"/>
    <mergeCell ref="AZ11:AZ12"/>
    <mergeCell ref="BA11:BA16"/>
    <mergeCell ref="AZ13:AZ14"/>
    <mergeCell ref="AZ15:AZ16"/>
    <mergeCell ref="AZ17:AZ18"/>
    <mergeCell ref="BA17:BA22"/>
    <mergeCell ref="AZ19:AZ20"/>
    <mergeCell ref="AZ21:AZ22"/>
    <mergeCell ref="AZ23:AZ24"/>
    <mergeCell ref="BA23:BA28"/>
    <mergeCell ref="AZ25:AZ26"/>
    <mergeCell ref="AZ27:AZ28"/>
    <mergeCell ref="AZ29:AZ30"/>
    <mergeCell ref="BA29:BA34"/>
    <mergeCell ref="AZ31:AZ32"/>
    <mergeCell ref="AZ33:AZ34"/>
    <mergeCell ref="AZ35:AZ36"/>
    <mergeCell ref="BA35:BA40"/>
    <mergeCell ref="AZ37:AZ38"/>
    <mergeCell ref="AZ39:AZ40"/>
  </mergeCells>
  <conditionalFormatting sqref="AP5">
    <cfRule type="cellIs" dxfId="1541" priority="661" stopIfTrue="1" operator="greaterThan">
      <formula>0.03</formula>
    </cfRule>
    <cfRule type="cellIs" dxfId="1540" priority="662" stopIfTrue="1" operator="lessThan">
      <formula>-0.03</formula>
    </cfRule>
  </conditionalFormatting>
  <conditionalFormatting sqref="AQ5">
    <cfRule type="cellIs" dxfId="1539" priority="679" stopIfTrue="1" operator="greaterThan">
      <formula>0.03</formula>
    </cfRule>
    <cfRule type="cellIs" dxfId="1538" priority="680" stopIfTrue="1" operator="lessThan">
      <formula>-0.03</formula>
    </cfRule>
  </conditionalFormatting>
  <conditionalFormatting sqref="CH5">
    <cfRule type="cellIs" dxfId="1537" priority="681" stopIfTrue="1" operator="greaterThan">
      <formula>0.03</formula>
    </cfRule>
    <cfRule type="cellIs" dxfId="1536" priority="682" stopIfTrue="1" operator="lessThan">
      <formula>-0.03</formula>
    </cfRule>
  </conditionalFormatting>
  <conditionalFormatting sqref="AQ5:AQ10">
    <cfRule type="cellIs" dxfId="1535" priority="683" stopIfTrue="1" operator="greaterThan">
      <formula>0</formula>
    </cfRule>
    <cfRule type="cellIs" dxfId="1534" priority="684" stopIfTrue="1" operator="lessThan">
      <formula>0</formula>
    </cfRule>
  </conditionalFormatting>
  <conditionalFormatting sqref="AR5:AS5">
    <cfRule type="cellIs" dxfId="1533" priority="675" stopIfTrue="1" operator="greaterThan">
      <formula>0.03</formula>
    </cfRule>
    <cfRule type="cellIs" dxfId="1532" priority="676" stopIfTrue="1" operator="lessThan">
      <formula>-0.03</formula>
    </cfRule>
  </conditionalFormatting>
  <conditionalFormatting sqref="AR5:AS10">
    <cfRule type="cellIs" dxfId="1531" priority="677" stopIfTrue="1" operator="greaterThan">
      <formula>0</formula>
    </cfRule>
    <cfRule type="cellIs" dxfId="1530" priority="678" stopIfTrue="1" operator="lessThan">
      <formula>0</formula>
    </cfRule>
  </conditionalFormatting>
  <conditionalFormatting sqref="AU5">
    <cfRule type="cellIs" dxfId="1529" priority="671" stopIfTrue="1" operator="greaterThan">
      <formula>0.03</formula>
    </cfRule>
    <cfRule type="cellIs" dxfId="1528" priority="672" stopIfTrue="1" operator="lessThan">
      <formula>-0.03</formula>
    </cfRule>
  </conditionalFormatting>
  <conditionalFormatting sqref="AU5:AU10">
    <cfRule type="cellIs" dxfId="1527" priority="673" stopIfTrue="1" operator="greaterThan">
      <formula>0</formula>
    </cfRule>
    <cfRule type="cellIs" dxfId="1526" priority="674" stopIfTrue="1" operator="lessThan">
      <formula>0</formula>
    </cfRule>
  </conditionalFormatting>
  <conditionalFormatting sqref="AW5">
    <cfRule type="cellIs" dxfId="1525" priority="667" stopIfTrue="1" operator="greaterThan">
      <formula>0.03</formula>
    </cfRule>
    <cfRule type="cellIs" dxfId="1524" priority="668" stopIfTrue="1" operator="lessThan">
      <formula>-0.03</formula>
    </cfRule>
  </conditionalFormatting>
  <conditionalFormatting sqref="AW5:AW10">
    <cfRule type="cellIs" dxfId="1523" priority="669" stopIfTrue="1" operator="greaterThan">
      <formula>0</formula>
    </cfRule>
    <cfRule type="cellIs" dxfId="1522" priority="670" stopIfTrue="1" operator="lessThan">
      <formula>0</formula>
    </cfRule>
  </conditionalFormatting>
  <conditionalFormatting sqref="AY5">
    <cfRule type="cellIs" dxfId="1521" priority="663" stopIfTrue="1" operator="greaterThan">
      <formula>0.03</formula>
    </cfRule>
    <cfRule type="cellIs" dxfId="1520" priority="664" stopIfTrue="1" operator="lessThan">
      <formula>-0.03</formula>
    </cfRule>
  </conditionalFormatting>
  <conditionalFormatting sqref="AY5:AY10">
    <cfRule type="cellIs" dxfId="1519" priority="665" stopIfTrue="1" operator="greaterThan">
      <formula>0</formula>
    </cfRule>
    <cfRule type="cellIs" dxfId="1518" priority="666" stopIfTrue="1" operator="lessThan">
      <formula>0</formula>
    </cfRule>
  </conditionalFormatting>
  <conditionalFormatting sqref="AP5:AP6">
    <cfRule type="cellIs" dxfId="1517" priority="685" stopIfTrue="1" operator="greaterThan">
      <formula>0</formula>
    </cfRule>
    <cfRule type="cellIs" dxfId="1516" priority="686" operator="lessThan">
      <formula>0</formula>
    </cfRule>
  </conditionalFormatting>
  <conditionalFormatting sqref="AP7">
    <cfRule type="cellIs" dxfId="1515" priority="657" stopIfTrue="1" operator="greaterThan">
      <formula>0.03</formula>
    </cfRule>
    <cfRule type="cellIs" dxfId="1514" priority="658" stopIfTrue="1" operator="lessThan">
      <formula>-0.03</formula>
    </cfRule>
  </conditionalFormatting>
  <conditionalFormatting sqref="AP7:AP8">
    <cfRule type="cellIs" dxfId="1513" priority="659" stopIfTrue="1" operator="greaterThan">
      <formula>0</formula>
    </cfRule>
    <cfRule type="cellIs" dxfId="1512" priority="660" operator="lessThan">
      <formula>0</formula>
    </cfRule>
  </conditionalFormatting>
  <conditionalFormatting sqref="AP9">
    <cfRule type="cellIs" dxfId="1511" priority="653" stopIfTrue="1" operator="greaterThan">
      <formula>0.03</formula>
    </cfRule>
    <cfRule type="cellIs" dxfId="1510" priority="654" stopIfTrue="1" operator="lessThan">
      <formula>-0.03</formula>
    </cfRule>
  </conditionalFormatting>
  <conditionalFormatting sqref="AP9:AP10">
    <cfRule type="cellIs" dxfId="1509" priority="655" stopIfTrue="1" operator="greaterThan">
      <formula>0</formula>
    </cfRule>
    <cfRule type="cellIs" dxfId="1508" priority="656" operator="lessThan">
      <formula>0</formula>
    </cfRule>
  </conditionalFormatting>
  <conditionalFormatting sqref="AT5">
    <cfRule type="cellIs" dxfId="1507" priority="649" stopIfTrue="1" operator="greaterThan">
      <formula>0.03</formula>
    </cfRule>
    <cfRule type="cellIs" dxfId="1506" priority="650" stopIfTrue="1" operator="lessThan">
      <formula>-0.03</formula>
    </cfRule>
  </conditionalFormatting>
  <conditionalFormatting sqref="AT5:AT6">
    <cfRule type="cellIs" dxfId="1505" priority="651" stopIfTrue="1" operator="greaterThan">
      <formula>0</formula>
    </cfRule>
    <cfRule type="cellIs" dxfId="1504" priority="652" operator="lessThan">
      <formula>0</formula>
    </cfRule>
  </conditionalFormatting>
  <conditionalFormatting sqref="AT7">
    <cfRule type="cellIs" dxfId="1503" priority="645" stopIfTrue="1" operator="greaterThan">
      <formula>0.03</formula>
    </cfRule>
    <cfRule type="cellIs" dxfId="1502" priority="646" stopIfTrue="1" operator="lessThan">
      <formula>-0.03</formula>
    </cfRule>
  </conditionalFormatting>
  <conditionalFormatting sqref="AT7:AT8">
    <cfRule type="cellIs" dxfId="1501" priority="647" stopIfTrue="1" operator="greaterThan">
      <formula>0</formula>
    </cfRule>
    <cfRule type="cellIs" dxfId="1500" priority="648" operator="lessThan">
      <formula>0</formula>
    </cfRule>
  </conditionalFormatting>
  <conditionalFormatting sqref="AT9">
    <cfRule type="cellIs" dxfId="1499" priority="641" stopIfTrue="1" operator="greaterThan">
      <formula>0.03</formula>
    </cfRule>
    <cfRule type="cellIs" dxfId="1498" priority="642" stopIfTrue="1" operator="lessThan">
      <formula>-0.03</formula>
    </cfRule>
  </conditionalFormatting>
  <conditionalFormatting sqref="AT9:AT10">
    <cfRule type="cellIs" dxfId="1497" priority="643" stopIfTrue="1" operator="greaterThan">
      <formula>0</formula>
    </cfRule>
    <cfRule type="cellIs" dxfId="1496" priority="644" operator="lessThan">
      <formula>0</formula>
    </cfRule>
  </conditionalFormatting>
  <conditionalFormatting sqref="AV5">
    <cfRule type="cellIs" dxfId="1495" priority="637" stopIfTrue="1" operator="greaterThan">
      <formula>0.03</formula>
    </cfRule>
    <cfRule type="cellIs" dxfId="1494" priority="638" stopIfTrue="1" operator="lessThan">
      <formula>-0.03</formula>
    </cfRule>
  </conditionalFormatting>
  <conditionalFormatting sqref="AV5:AV6">
    <cfRule type="cellIs" dxfId="1493" priority="639" stopIfTrue="1" operator="greaterThan">
      <formula>0</formula>
    </cfRule>
    <cfRule type="cellIs" dxfId="1492" priority="640" operator="lessThan">
      <formula>0</formula>
    </cfRule>
  </conditionalFormatting>
  <conditionalFormatting sqref="AV7">
    <cfRule type="cellIs" dxfId="1491" priority="633" stopIfTrue="1" operator="greaterThan">
      <formula>0.03</formula>
    </cfRule>
    <cfRule type="cellIs" dxfId="1490" priority="634" stopIfTrue="1" operator="lessThan">
      <formula>-0.03</formula>
    </cfRule>
  </conditionalFormatting>
  <conditionalFormatting sqref="AV7:AV8">
    <cfRule type="cellIs" dxfId="1489" priority="635" stopIfTrue="1" operator="greaterThan">
      <formula>0</formula>
    </cfRule>
    <cfRule type="cellIs" dxfId="1488" priority="636" operator="lessThan">
      <formula>0</formula>
    </cfRule>
  </conditionalFormatting>
  <conditionalFormatting sqref="AV9">
    <cfRule type="cellIs" dxfId="1487" priority="629" stopIfTrue="1" operator="greaterThan">
      <formula>0.03</formula>
    </cfRule>
    <cfRule type="cellIs" dxfId="1486" priority="630" stopIfTrue="1" operator="lessThan">
      <formula>-0.03</formula>
    </cfRule>
  </conditionalFormatting>
  <conditionalFormatting sqref="AV9:AV10">
    <cfRule type="cellIs" dxfId="1485" priority="631" stopIfTrue="1" operator="greaterThan">
      <formula>0</formula>
    </cfRule>
    <cfRule type="cellIs" dxfId="1484" priority="632" operator="lessThan">
      <formula>0</formula>
    </cfRule>
  </conditionalFormatting>
  <conditionalFormatting sqref="AX5">
    <cfRule type="cellIs" dxfId="1483" priority="625" stopIfTrue="1" operator="greaterThan">
      <formula>0.03</formula>
    </cfRule>
    <cfRule type="cellIs" dxfId="1482" priority="626" stopIfTrue="1" operator="lessThan">
      <formula>-0.03</formula>
    </cfRule>
  </conditionalFormatting>
  <conditionalFormatting sqref="AX5:AX6">
    <cfRule type="cellIs" dxfId="1481" priority="627" stopIfTrue="1" operator="greaterThan">
      <formula>0</formula>
    </cfRule>
    <cfRule type="cellIs" dxfId="1480" priority="628" operator="lessThan">
      <formula>0</formula>
    </cfRule>
  </conditionalFormatting>
  <conditionalFormatting sqref="AX7">
    <cfRule type="cellIs" dxfId="1479" priority="621" stopIfTrue="1" operator="greaterThan">
      <formula>0.03</formula>
    </cfRule>
    <cfRule type="cellIs" dxfId="1478" priority="622" stopIfTrue="1" operator="lessThan">
      <formula>-0.03</formula>
    </cfRule>
  </conditionalFormatting>
  <conditionalFormatting sqref="AX7:AX8">
    <cfRule type="cellIs" dxfId="1477" priority="623" stopIfTrue="1" operator="greaterThan">
      <formula>0</formula>
    </cfRule>
    <cfRule type="cellIs" dxfId="1476" priority="624" operator="lessThan">
      <formula>0</formula>
    </cfRule>
  </conditionalFormatting>
  <conditionalFormatting sqref="AX9">
    <cfRule type="cellIs" dxfId="1475" priority="617" stopIfTrue="1" operator="greaterThan">
      <formula>0.03</formula>
    </cfRule>
    <cfRule type="cellIs" dxfId="1474" priority="618" stopIfTrue="1" operator="lessThan">
      <formula>-0.03</formula>
    </cfRule>
  </conditionalFormatting>
  <conditionalFormatting sqref="AX9:AX10">
    <cfRule type="cellIs" dxfId="1473" priority="619" stopIfTrue="1" operator="greaterThan">
      <formula>0</formula>
    </cfRule>
    <cfRule type="cellIs" dxfId="1472" priority="620" operator="lessThan">
      <formula>0</formula>
    </cfRule>
  </conditionalFormatting>
  <conditionalFormatting sqref="AP11">
    <cfRule type="cellIs" dxfId="1471" priority="593" stopIfTrue="1" operator="greaterThan">
      <formula>0.03</formula>
    </cfRule>
    <cfRule type="cellIs" dxfId="1470" priority="594" stopIfTrue="1" operator="lessThan">
      <formula>-0.03</formula>
    </cfRule>
  </conditionalFormatting>
  <conditionalFormatting sqref="AQ11">
    <cfRule type="cellIs" dxfId="1469" priority="611" stopIfTrue="1" operator="greaterThan">
      <formula>0.03</formula>
    </cfRule>
    <cfRule type="cellIs" dxfId="1468" priority="612" stopIfTrue="1" operator="lessThan">
      <formula>-0.03</formula>
    </cfRule>
  </conditionalFormatting>
  <conditionalFormatting sqref="AQ11:AQ16">
    <cfRule type="cellIs" dxfId="1467" priority="613" stopIfTrue="1" operator="greaterThan">
      <formula>0</formula>
    </cfRule>
    <cfRule type="cellIs" dxfId="1466" priority="614" stopIfTrue="1" operator="lessThan">
      <formula>0</formula>
    </cfRule>
  </conditionalFormatting>
  <conditionalFormatting sqref="AR11:AS11">
    <cfRule type="cellIs" dxfId="1465" priority="607" stopIfTrue="1" operator="greaterThan">
      <formula>0.03</formula>
    </cfRule>
    <cfRule type="cellIs" dxfId="1464" priority="608" stopIfTrue="1" operator="lessThan">
      <formula>-0.03</formula>
    </cfRule>
  </conditionalFormatting>
  <conditionalFormatting sqref="AR11:AS16">
    <cfRule type="cellIs" dxfId="1463" priority="609" stopIfTrue="1" operator="greaterThan">
      <formula>0</formula>
    </cfRule>
    <cfRule type="cellIs" dxfId="1462" priority="610" stopIfTrue="1" operator="lessThan">
      <formula>0</formula>
    </cfRule>
  </conditionalFormatting>
  <conditionalFormatting sqref="AU11">
    <cfRule type="cellIs" dxfId="1461" priority="603" stopIfTrue="1" operator="greaterThan">
      <formula>0.03</formula>
    </cfRule>
    <cfRule type="cellIs" dxfId="1460" priority="604" stopIfTrue="1" operator="lessThan">
      <formula>-0.03</formula>
    </cfRule>
  </conditionalFormatting>
  <conditionalFormatting sqref="AU11:AU16">
    <cfRule type="cellIs" dxfId="1459" priority="605" stopIfTrue="1" operator="greaterThan">
      <formula>0</formula>
    </cfRule>
    <cfRule type="cellIs" dxfId="1458" priority="606" stopIfTrue="1" operator="lessThan">
      <formula>0</formula>
    </cfRule>
  </conditionalFormatting>
  <conditionalFormatting sqref="AW11">
    <cfRule type="cellIs" dxfId="1457" priority="599" stopIfTrue="1" operator="greaterThan">
      <formula>0.03</formula>
    </cfRule>
    <cfRule type="cellIs" dxfId="1456" priority="600" stopIfTrue="1" operator="lessThan">
      <formula>-0.03</formula>
    </cfRule>
  </conditionalFormatting>
  <conditionalFormatting sqref="AW11:AW16">
    <cfRule type="cellIs" dxfId="1455" priority="601" stopIfTrue="1" operator="greaterThan">
      <formula>0</formula>
    </cfRule>
    <cfRule type="cellIs" dxfId="1454" priority="602" stopIfTrue="1" operator="lessThan">
      <formula>0</formula>
    </cfRule>
  </conditionalFormatting>
  <conditionalFormatting sqref="AY11">
    <cfRule type="cellIs" dxfId="1453" priority="595" stopIfTrue="1" operator="greaterThan">
      <formula>0.03</formula>
    </cfRule>
    <cfRule type="cellIs" dxfId="1452" priority="596" stopIfTrue="1" operator="lessThan">
      <formula>-0.03</formula>
    </cfRule>
  </conditionalFormatting>
  <conditionalFormatting sqref="AY11:AY16">
    <cfRule type="cellIs" dxfId="1451" priority="597" stopIfTrue="1" operator="greaterThan">
      <formula>0</formula>
    </cfRule>
    <cfRule type="cellIs" dxfId="1450" priority="598" stopIfTrue="1" operator="lessThan">
      <formula>0</formula>
    </cfRule>
  </conditionalFormatting>
  <conditionalFormatting sqref="AP11:AP12">
    <cfRule type="cellIs" dxfId="1449" priority="615" stopIfTrue="1" operator="greaterThan">
      <formula>0</formula>
    </cfRule>
    <cfRule type="cellIs" dxfId="1448" priority="616" operator="lessThan">
      <formula>0</formula>
    </cfRule>
  </conditionalFormatting>
  <conditionalFormatting sqref="AP13">
    <cfRule type="cellIs" dxfId="1447" priority="589" stopIfTrue="1" operator="greaterThan">
      <formula>0.03</formula>
    </cfRule>
    <cfRule type="cellIs" dxfId="1446" priority="590" stopIfTrue="1" operator="lessThan">
      <formula>-0.03</formula>
    </cfRule>
  </conditionalFormatting>
  <conditionalFormatting sqref="AP13:AP14">
    <cfRule type="cellIs" dxfId="1445" priority="591" stopIfTrue="1" operator="greaterThan">
      <formula>0</formula>
    </cfRule>
    <cfRule type="cellIs" dxfId="1444" priority="592" operator="lessThan">
      <formula>0</formula>
    </cfRule>
  </conditionalFormatting>
  <conditionalFormatting sqref="AP15">
    <cfRule type="cellIs" dxfId="1443" priority="585" stopIfTrue="1" operator="greaterThan">
      <formula>0.03</formula>
    </cfRule>
    <cfRule type="cellIs" dxfId="1442" priority="586" stopIfTrue="1" operator="lessThan">
      <formula>-0.03</formula>
    </cfRule>
  </conditionalFormatting>
  <conditionalFormatting sqref="AP15:AP16">
    <cfRule type="cellIs" dxfId="1441" priority="587" stopIfTrue="1" operator="greaterThan">
      <formula>0</formula>
    </cfRule>
    <cfRule type="cellIs" dxfId="1440" priority="588" operator="lessThan">
      <formula>0</formula>
    </cfRule>
  </conditionalFormatting>
  <conditionalFormatting sqref="AT11">
    <cfRule type="cellIs" dxfId="1439" priority="581" stopIfTrue="1" operator="greaterThan">
      <formula>0.03</formula>
    </cfRule>
    <cfRule type="cellIs" dxfId="1438" priority="582" stopIfTrue="1" operator="lessThan">
      <formula>-0.03</formula>
    </cfRule>
  </conditionalFormatting>
  <conditionalFormatting sqref="AT11:AT12">
    <cfRule type="cellIs" dxfId="1437" priority="583" stopIfTrue="1" operator="greaterThan">
      <formula>0</formula>
    </cfRule>
    <cfRule type="cellIs" dxfId="1436" priority="584" operator="lessThan">
      <formula>0</formula>
    </cfRule>
  </conditionalFormatting>
  <conditionalFormatting sqref="AT13">
    <cfRule type="cellIs" dxfId="1435" priority="577" stopIfTrue="1" operator="greaterThan">
      <formula>0.03</formula>
    </cfRule>
    <cfRule type="cellIs" dxfId="1434" priority="578" stopIfTrue="1" operator="lessThan">
      <formula>-0.03</formula>
    </cfRule>
  </conditionalFormatting>
  <conditionalFormatting sqref="AT13:AT14">
    <cfRule type="cellIs" dxfId="1433" priority="579" stopIfTrue="1" operator="greaterThan">
      <formula>0</formula>
    </cfRule>
    <cfRule type="cellIs" dxfId="1432" priority="580" operator="lessThan">
      <formula>0</formula>
    </cfRule>
  </conditionalFormatting>
  <conditionalFormatting sqref="AT15">
    <cfRule type="cellIs" dxfId="1431" priority="573" stopIfTrue="1" operator="greaterThan">
      <formula>0.03</formula>
    </cfRule>
    <cfRule type="cellIs" dxfId="1430" priority="574" stopIfTrue="1" operator="lessThan">
      <formula>-0.03</formula>
    </cfRule>
  </conditionalFormatting>
  <conditionalFormatting sqref="AT15:AT16">
    <cfRule type="cellIs" dxfId="1429" priority="575" stopIfTrue="1" operator="greaterThan">
      <formula>0</formula>
    </cfRule>
    <cfRule type="cellIs" dxfId="1428" priority="576" operator="lessThan">
      <formula>0</formula>
    </cfRule>
  </conditionalFormatting>
  <conditionalFormatting sqref="AV11">
    <cfRule type="cellIs" dxfId="1427" priority="569" stopIfTrue="1" operator="greaterThan">
      <formula>0.03</formula>
    </cfRule>
    <cfRule type="cellIs" dxfId="1426" priority="570" stopIfTrue="1" operator="lessThan">
      <formula>-0.03</formula>
    </cfRule>
  </conditionalFormatting>
  <conditionalFormatting sqref="AV11:AV12">
    <cfRule type="cellIs" dxfId="1425" priority="571" stopIfTrue="1" operator="greaterThan">
      <formula>0</formula>
    </cfRule>
    <cfRule type="cellIs" dxfId="1424" priority="572" operator="lessThan">
      <formula>0</formula>
    </cfRule>
  </conditionalFormatting>
  <conditionalFormatting sqref="AV13">
    <cfRule type="cellIs" dxfId="1423" priority="565" stopIfTrue="1" operator="greaterThan">
      <formula>0.03</formula>
    </cfRule>
    <cfRule type="cellIs" dxfId="1422" priority="566" stopIfTrue="1" operator="lessThan">
      <formula>-0.03</formula>
    </cfRule>
  </conditionalFormatting>
  <conditionalFormatting sqref="AV13:AV14">
    <cfRule type="cellIs" dxfId="1421" priority="567" stopIfTrue="1" operator="greaterThan">
      <formula>0</formula>
    </cfRule>
    <cfRule type="cellIs" dxfId="1420" priority="568" operator="lessThan">
      <formula>0</formula>
    </cfRule>
  </conditionalFormatting>
  <conditionalFormatting sqref="AV15">
    <cfRule type="cellIs" dxfId="1419" priority="561" stopIfTrue="1" operator="greaterThan">
      <formula>0.03</formula>
    </cfRule>
    <cfRule type="cellIs" dxfId="1418" priority="562" stopIfTrue="1" operator="lessThan">
      <formula>-0.03</formula>
    </cfRule>
  </conditionalFormatting>
  <conditionalFormatting sqref="AV15:AV16">
    <cfRule type="cellIs" dxfId="1417" priority="563" stopIfTrue="1" operator="greaterThan">
      <formula>0</formula>
    </cfRule>
    <cfRule type="cellIs" dxfId="1416" priority="564" operator="lessThan">
      <formula>0</formula>
    </cfRule>
  </conditionalFormatting>
  <conditionalFormatting sqref="AP17 AP23 AP29 AP35">
    <cfRule type="cellIs" dxfId="1415" priority="541" stopIfTrue="1" operator="greaterThan">
      <formula>0.03</formula>
    </cfRule>
    <cfRule type="cellIs" dxfId="1414" priority="542" stopIfTrue="1" operator="lessThan">
      <formula>-0.03</formula>
    </cfRule>
  </conditionalFormatting>
  <conditionalFormatting sqref="AQ17 AQ23 AQ29 AQ35">
    <cfRule type="cellIs" dxfId="1413" priority="555" stopIfTrue="1" operator="greaterThan">
      <formula>0.03</formula>
    </cfRule>
    <cfRule type="cellIs" dxfId="1412" priority="556" stopIfTrue="1" operator="lessThan">
      <formula>-0.03</formula>
    </cfRule>
  </conditionalFormatting>
  <conditionalFormatting sqref="AQ17:AQ40">
    <cfRule type="cellIs" dxfId="1411" priority="557" stopIfTrue="1" operator="greaterThan">
      <formula>0</formula>
    </cfRule>
    <cfRule type="cellIs" dxfId="1410" priority="558" stopIfTrue="1" operator="lessThan">
      <formula>0</formula>
    </cfRule>
  </conditionalFormatting>
  <conditionalFormatting sqref="AR17:AS17 AR23:AS23 AR29:AS29 AR35:AS35">
    <cfRule type="cellIs" dxfId="1409" priority="551" stopIfTrue="1" operator="greaterThan">
      <formula>0.03</formula>
    </cfRule>
    <cfRule type="cellIs" dxfId="1408" priority="552" stopIfTrue="1" operator="lessThan">
      <formula>-0.03</formula>
    </cfRule>
  </conditionalFormatting>
  <conditionalFormatting sqref="AR17:AS40">
    <cfRule type="cellIs" dxfId="1407" priority="553" stopIfTrue="1" operator="greaterThan">
      <formula>0</formula>
    </cfRule>
    <cfRule type="cellIs" dxfId="1406" priority="554" stopIfTrue="1" operator="lessThan">
      <formula>0</formula>
    </cfRule>
  </conditionalFormatting>
  <conditionalFormatting sqref="AU17 AU23 AU29 AU35">
    <cfRule type="cellIs" dxfId="1405" priority="547" stopIfTrue="1" operator="greaterThan">
      <formula>0.03</formula>
    </cfRule>
    <cfRule type="cellIs" dxfId="1404" priority="548" stopIfTrue="1" operator="lessThan">
      <formula>-0.03</formula>
    </cfRule>
  </conditionalFormatting>
  <conditionalFormatting sqref="AU17:AU40">
    <cfRule type="cellIs" dxfId="1403" priority="549" stopIfTrue="1" operator="greaterThan">
      <formula>0</formula>
    </cfRule>
    <cfRule type="cellIs" dxfId="1402" priority="550" stopIfTrue="1" operator="lessThan">
      <formula>0</formula>
    </cfRule>
  </conditionalFormatting>
  <conditionalFormatting sqref="AW17 AW23 AW29 AW35">
    <cfRule type="cellIs" dxfId="1401" priority="543" stopIfTrue="1" operator="greaterThan">
      <formula>0.03</formula>
    </cfRule>
    <cfRule type="cellIs" dxfId="1400" priority="544" stopIfTrue="1" operator="lessThan">
      <formula>-0.03</formula>
    </cfRule>
  </conditionalFormatting>
  <conditionalFormatting sqref="AW17:AW40">
    <cfRule type="cellIs" dxfId="1399" priority="545" stopIfTrue="1" operator="greaterThan">
      <formula>0</formula>
    </cfRule>
    <cfRule type="cellIs" dxfId="1398" priority="546" stopIfTrue="1" operator="lessThan">
      <formula>0</formula>
    </cfRule>
  </conditionalFormatting>
  <conditionalFormatting sqref="AP17:AP18 AP23:AP24 AP29:AP30 AP35:AP36">
    <cfRule type="cellIs" dxfId="1397" priority="559" stopIfTrue="1" operator="greaterThan">
      <formula>0</formula>
    </cfRule>
    <cfRule type="cellIs" dxfId="1396" priority="560" operator="lessThan">
      <formula>0</formula>
    </cfRule>
  </conditionalFormatting>
  <conditionalFormatting sqref="AP19 AP25 AP31 AP37">
    <cfRule type="cellIs" dxfId="1395" priority="537" stopIfTrue="1" operator="greaterThan">
      <formula>0.03</formula>
    </cfRule>
    <cfRule type="cellIs" dxfId="1394" priority="538" stopIfTrue="1" operator="lessThan">
      <formula>-0.03</formula>
    </cfRule>
  </conditionalFormatting>
  <conditionalFormatting sqref="AP19:AP20 AP25:AP26 AP31:AP32 AP37:AP38">
    <cfRule type="cellIs" dxfId="1393" priority="539" stopIfTrue="1" operator="greaterThan">
      <formula>0</formula>
    </cfRule>
    <cfRule type="cellIs" dxfId="1392" priority="540" operator="lessThan">
      <formula>0</formula>
    </cfRule>
  </conditionalFormatting>
  <conditionalFormatting sqref="AP21 AP27 AP33 AP39">
    <cfRule type="cellIs" dxfId="1391" priority="533" stopIfTrue="1" operator="greaterThan">
      <formula>0.03</formula>
    </cfRule>
    <cfRule type="cellIs" dxfId="1390" priority="534" stopIfTrue="1" operator="lessThan">
      <formula>-0.03</formula>
    </cfRule>
  </conditionalFormatting>
  <conditionalFormatting sqref="AP21:AP22 AP27:AP28 AP33:AP34 AP39:AP40">
    <cfRule type="cellIs" dxfId="1389" priority="535" stopIfTrue="1" operator="greaterThan">
      <formula>0</formula>
    </cfRule>
    <cfRule type="cellIs" dxfId="1388" priority="536" operator="lessThan">
      <formula>0</formula>
    </cfRule>
  </conditionalFormatting>
  <conditionalFormatting sqref="AT17 AT23 AT29 AT35">
    <cfRule type="cellIs" dxfId="1387" priority="529" stopIfTrue="1" operator="greaterThan">
      <formula>0.03</formula>
    </cfRule>
    <cfRule type="cellIs" dxfId="1386" priority="530" stopIfTrue="1" operator="lessThan">
      <formula>-0.03</formula>
    </cfRule>
  </conditionalFormatting>
  <conditionalFormatting sqref="AT17:AT18 AT23:AT24 AT29:AT30 AT35:AT36">
    <cfRule type="cellIs" dxfId="1385" priority="531" stopIfTrue="1" operator="greaterThan">
      <formula>0</formula>
    </cfRule>
    <cfRule type="cellIs" dxfId="1384" priority="532" operator="lessThan">
      <formula>0</formula>
    </cfRule>
  </conditionalFormatting>
  <conditionalFormatting sqref="AT19 AT25 AT31 AT37">
    <cfRule type="cellIs" dxfId="1383" priority="525" stopIfTrue="1" operator="greaterThan">
      <formula>0.03</formula>
    </cfRule>
    <cfRule type="cellIs" dxfId="1382" priority="526" stopIfTrue="1" operator="lessThan">
      <formula>-0.03</formula>
    </cfRule>
  </conditionalFormatting>
  <conditionalFormatting sqref="AT19:AT20 AT25:AT26 AT31:AT32 AT37:AT38">
    <cfRule type="cellIs" dxfId="1381" priority="527" stopIfTrue="1" operator="greaterThan">
      <formula>0</formula>
    </cfRule>
    <cfRule type="cellIs" dxfId="1380" priority="528" operator="lessThan">
      <formula>0</formula>
    </cfRule>
  </conditionalFormatting>
  <conditionalFormatting sqref="AT21 AT27 AT33 AT39">
    <cfRule type="cellIs" dxfId="1379" priority="521" stopIfTrue="1" operator="greaterThan">
      <formula>0.03</formula>
    </cfRule>
    <cfRule type="cellIs" dxfId="1378" priority="522" stopIfTrue="1" operator="lessThan">
      <formula>-0.03</formula>
    </cfRule>
  </conditionalFormatting>
  <conditionalFormatting sqref="AT21:AT22 AT27:AT28 AT33:AT34 AT39:AT40">
    <cfRule type="cellIs" dxfId="1377" priority="523" stopIfTrue="1" operator="greaterThan">
      <formula>0</formula>
    </cfRule>
    <cfRule type="cellIs" dxfId="1376" priority="524" operator="lessThan">
      <formula>0</formula>
    </cfRule>
  </conditionalFormatting>
  <conditionalFormatting sqref="AV17 AV23 AV29 AV35">
    <cfRule type="cellIs" dxfId="1375" priority="517" stopIfTrue="1" operator="greaterThan">
      <formula>0.03</formula>
    </cfRule>
    <cfRule type="cellIs" dxfId="1374" priority="518" stopIfTrue="1" operator="lessThan">
      <formula>-0.03</formula>
    </cfRule>
  </conditionalFormatting>
  <conditionalFormatting sqref="AV17:AV18 AV23:AV24 AV29:AV30 AV35:AV36">
    <cfRule type="cellIs" dxfId="1373" priority="519" stopIfTrue="1" operator="greaterThan">
      <formula>0</formula>
    </cfRule>
    <cfRule type="cellIs" dxfId="1372" priority="520" operator="lessThan">
      <formula>0</formula>
    </cfRule>
  </conditionalFormatting>
  <conditionalFormatting sqref="AV19 AV25 AV31 AV37">
    <cfRule type="cellIs" dxfId="1371" priority="513" stopIfTrue="1" operator="greaterThan">
      <formula>0.03</formula>
    </cfRule>
    <cfRule type="cellIs" dxfId="1370" priority="514" stopIfTrue="1" operator="lessThan">
      <formula>-0.03</formula>
    </cfRule>
  </conditionalFormatting>
  <conditionalFormatting sqref="AV19:AV20 AV25:AV26 AV31:AV32 AV37:AV38">
    <cfRule type="cellIs" dxfId="1369" priority="515" stopIfTrue="1" operator="greaterThan">
      <formula>0</formula>
    </cfRule>
    <cfRule type="cellIs" dxfId="1368" priority="516" operator="lessThan">
      <formula>0</formula>
    </cfRule>
  </conditionalFormatting>
  <conditionalFormatting sqref="AV21 AV27 AV33 AV39">
    <cfRule type="cellIs" dxfId="1367" priority="509" stopIfTrue="1" operator="greaterThan">
      <formula>0.03</formula>
    </cfRule>
    <cfRule type="cellIs" dxfId="1366" priority="510" stopIfTrue="1" operator="lessThan">
      <formula>-0.03</formula>
    </cfRule>
  </conditionalFormatting>
  <conditionalFormatting sqref="AV21:AV22 AV27:AV28 AV33:AV34 AV39:AV40">
    <cfRule type="cellIs" dxfId="1365" priority="511" stopIfTrue="1" operator="greaterThan">
      <formula>0</formula>
    </cfRule>
    <cfRule type="cellIs" dxfId="1364" priority="512" operator="lessThan">
      <formula>0</formula>
    </cfRule>
  </conditionalFormatting>
  <conditionalFormatting sqref="BA11">
    <cfRule type="cellIs" dxfId="1363" priority="341" stopIfTrue="1" operator="greaterThan">
      <formula>0.03</formula>
    </cfRule>
    <cfRule type="cellIs" dxfId="1362" priority="342" stopIfTrue="1" operator="lessThan">
      <formula>-0.03</formula>
    </cfRule>
  </conditionalFormatting>
  <conditionalFormatting sqref="BA11:BA16">
    <cfRule type="cellIs" dxfId="1361" priority="343" stopIfTrue="1" operator="greaterThan">
      <formula>0</formula>
    </cfRule>
    <cfRule type="cellIs" dxfId="1360" priority="344" stopIfTrue="1" operator="lessThan">
      <formula>0</formula>
    </cfRule>
  </conditionalFormatting>
  <conditionalFormatting sqref="AZ11">
    <cfRule type="cellIs" dxfId="1359" priority="337" stopIfTrue="1" operator="greaterThan">
      <formula>0.03</formula>
    </cfRule>
    <cfRule type="cellIs" dxfId="1358" priority="338" stopIfTrue="1" operator="lessThan">
      <formula>-0.03</formula>
    </cfRule>
  </conditionalFormatting>
  <conditionalFormatting sqref="AZ11:AZ12">
    <cfRule type="cellIs" dxfId="1357" priority="339" stopIfTrue="1" operator="greaterThan">
      <formula>0</formula>
    </cfRule>
    <cfRule type="cellIs" dxfId="1356" priority="340" operator="lessThan">
      <formula>0</formula>
    </cfRule>
  </conditionalFormatting>
  <conditionalFormatting sqref="AZ13">
    <cfRule type="cellIs" dxfId="1355" priority="333" stopIfTrue="1" operator="greaterThan">
      <formula>0.03</formula>
    </cfRule>
    <cfRule type="cellIs" dxfId="1354" priority="334" stopIfTrue="1" operator="lessThan">
      <formula>-0.03</formula>
    </cfRule>
  </conditionalFormatting>
  <conditionalFormatting sqref="AZ13:AZ14">
    <cfRule type="cellIs" dxfId="1353" priority="335" stopIfTrue="1" operator="greaterThan">
      <formula>0</formula>
    </cfRule>
    <cfRule type="cellIs" dxfId="1352" priority="336" operator="lessThan">
      <formula>0</formula>
    </cfRule>
  </conditionalFormatting>
  <conditionalFormatting sqref="AZ15">
    <cfRule type="cellIs" dxfId="1351" priority="329" stopIfTrue="1" operator="greaterThan">
      <formula>0.03</formula>
    </cfRule>
    <cfRule type="cellIs" dxfId="1350" priority="330" stopIfTrue="1" operator="lessThan">
      <formula>-0.03</formula>
    </cfRule>
  </conditionalFormatting>
  <conditionalFormatting sqref="AZ15:AZ16">
    <cfRule type="cellIs" dxfId="1349" priority="331" stopIfTrue="1" operator="greaterThan">
      <formula>0</formula>
    </cfRule>
    <cfRule type="cellIs" dxfId="1348" priority="332" operator="lessThan">
      <formula>0</formula>
    </cfRule>
  </conditionalFormatting>
  <conditionalFormatting sqref="BA5">
    <cfRule type="cellIs" dxfId="1347" priority="325" stopIfTrue="1" operator="greaterThan">
      <formula>0.03</formula>
    </cfRule>
    <cfRule type="cellIs" dxfId="1346" priority="326" stopIfTrue="1" operator="lessThan">
      <formula>-0.03</formula>
    </cfRule>
  </conditionalFormatting>
  <conditionalFormatting sqref="BA5:BA10">
    <cfRule type="cellIs" dxfId="1345" priority="327" stopIfTrue="1" operator="greaterThan">
      <formula>0</formula>
    </cfRule>
    <cfRule type="cellIs" dxfId="1344" priority="328" stopIfTrue="1" operator="lessThan">
      <formula>0</formula>
    </cfRule>
  </conditionalFormatting>
  <conditionalFormatting sqref="AZ5">
    <cfRule type="cellIs" dxfId="1343" priority="321" stopIfTrue="1" operator="greaterThan">
      <formula>0.03</formula>
    </cfRule>
    <cfRule type="cellIs" dxfId="1342" priority="322" stopIfTrue="1" operator="lessThan">
      <formula>-0.03</formula>
    </cfRule>
  </conditionalFormatting>
  <conditionalFormatting sqref="AZ5:AZ6">
    <cfRule type="cellIs" dxfId="1341" priority="323" stopIfTrue="1" operator="greaterThan">
      <formula>0</formula>
    </cfRule>
    <cfRule type="cellIs" dxfId="1340" priority="324" operator="lessThan">
      <formula>0</formula>
    </cfRule>
  </conditionalFormatting>
  <conditionalFormatting sqref="AZ7">
    <cfRule type="cellIs" dxfId="1339" priority="317" stopIfTrue="1" operator="greaterThan">
      <formula>0.03</formula>
    </cfRule>
    <cfRule type="cellIs" dxfId="1338" priority="318" stopIfTrue="1" operator="lessThan">
      <formula>-0.03</formula>
    </cfRule>
  </conditionalFormatting>
  <conditionalFormatting sqref="AZ7:AZ8">
    <cfRule type="cellIs" dxfId="1337" priority="319" stopIfTrue="1" operator="greaterThan">
      <formula>0</formula>
    </cfRule>
    <cfRule type="cellIs" dxfId="1336" priority="320" operator="lessThan">
      <formula>0</formula>
    </cfRule>
  </conditionalFormatting>
  <conditionalFormatting sqref="AZ9">
    <cfRule type="cellIs" dxfId="1335" priority="313" stopIfTrue="1" operator="greaterThan">
      <formula>0.03</formula>
    </cfRule>
    <cfRule type="cellIs" dxfId="1334" priority="314" stopIfTrue="1" operator="lessThan">
      <formula>-0.03</formula>
    </cfRule>
  </conditionalFormatting>
  <conditionalFormatting sqref="AZ9:AZ10">
    <cfRule type="cellIs" dxfId="1333" priority="315" stopIfTrue="1" operator="greaterThan">
      <formula>0</formula>
    </cfRule>
    <cfRule type="cellIs" dxfId="1332" priority="316" operator="lessThan">
      <formula>0</formula>
    </cfRule>
  </conditionalFormatting>
  <conditionalFormatting sqref="BA17">
    <cfRule type="cellIs" dxfId="1331" priority="309" stopIfTrue="1" operator="greaterThan">
      <formula>0.03</formula>
    </cfRule>
    <cfRule type="cellIs" dxfId="1330" priority="310" stopIfTrue="1" operator="lessThan">
      <formula>-0.03</formula>
    </cfRule>
  </conditionalFormatting>
  <conditionalFormatting sqref="BA17:BA22">
    <cfRule type="cellIs" dxfId="1329" priority="311" stopIfTrue="1" operator="greaterThan">
      <formula>0</formula>
    </cfRule>
    <cfRule type="cellIs" dxfId="1328" priority="312" stopIfTrue="1" operator="lessThan">
      <formula>0</formula>
    </cfRule>
  </conditionalFormatting>
  <conditionalFormatting sqref="AZ17">
    <cfRule type="cellIs" dxfId="1327" priority="305" stopIfTrue="1" operator="greaterThan">
      <formula>0.03</formula>
    </cfRule>
    <cfRule type="cellIs" dxfId="1326" priority="306" stopIfTrue="1" operator="lessThan">
      <formula>-0.03</formula>
    </cfRule>
  </conditionalFormatting>
  <conditionalFormatting sqref="AZ17:AZ18">
    <cfRule type="cellIs" dxfId="1325" priority="307" stopIfTrue="1" operator="greaterThan">
      <formula>0</formula>
    </cfRule>
    <cfRule type="cellIs" dxfId="1324" priority="308" operator="lessThan">
      <formula>0</formula>
    </cfRule>
  </conditionalFormatting>
  <conditionalFormatting sqref="AZ19">
    <cfRule type="cellIs" dxfId="1323" priority="301" stopIfTrue="1" operator="greaterThan">
      <formula>0.03</formula>
    </cfRule>
    <cfRule type="cellIs" dxfId="1322" priority="302" stopIfTrue="1" operator="lessThan">
      <formula>-0.03</formula>
    </cfRule>
  </conditionalFormatting>
  <conditionalFormatting sqref="AZ19:AZ20">
    <cfRule type="cellIs" dxfId="1321" priority="303" stopIfTrue="1" operator="greaterThan">
      <formula>0</formula>
    </cfRule>
    <cfRule type="cellIs" dxfId="1320" priority="304" operator="lessThan">
      <formula>0</formula>
    </cfRule>
  </conditionalFormatting>
  <conditionalFormatting sqref="AZ21">
    <cfRule type="cellIs" dxfId="1319" priority="297" stopIfTrue="1" operator="greaterThan">
      <formula>0.03</formula>
    </cfRule>
    <cfRule type="cellIs" dxfId="1318" priority="298" stopIfTrue="1" operator="lessThan">
      <formula>-0.03</formula>
    </cfRule>
  </conditionalFormatting>
  <conditionalFormatting sqref="AZ21:AZ22">
    <cfRule type="cellIs" dxfId="1317" priority="299" stopIfTrue="1" operator="greaterThan">
      <formula>0</formula>
    </cfRule>
    <cfRule type="cellIs" dxfId="1316" priority="300" operator="lessThan">
      <formula>0</formula>
    </cfRule>
  </conditionalFormatting>
  <conditionalFormatting sqref="BA29">
    <cfRule type="cellIs" dxfId="1315" priority="293" stopIfTrue="1" operator="greaterThan">
      <formula>0.03</formula>
    </cfRule>
    <cfRule type="cellIs" dxfId="1314" priority="294" stopIfTrue="1" operator="lessThan">
      <formula>-0.03</formula>
    </cfRule>
  </conditionalFormatting>
  <conditionalFormatting sqref="BA29:BA34">
    <cfRule type="cellIs" dxfId="1313" priority="295" stopIfTrue="1" operator="greaterThan">
      <formula>0</formula>
    </cfRule>
    <cfRule type="cellIs" dxfId="1312" priority="296" stopIfTrue="1" operator="lessThan">
      <formula>0</formula>
    </cfRule>
  </conditionalFormatting>
  <conditionalFormatting sqref="AZ29">
    <cfRule type="cellIs" dxfId="1311" priority="289" stopIfTrue="1" operator="greaterThan">
      <formula>0.03</formula>
    </cfRule>
    <cfRule type="cellIs" dxfId="1310" priority="290" stopIfTrue="1" operator="lessThan">
      <formula>-0.03</formula>
    </cfRule>
  </conditionalFormatting>
  <conditionalFormatting sqref="AZ29:AZ30">
    <cfRule type="cellIs" dxfId="1309" priority="291" stopIfTrue="1" operator="greaterThan">
      <formula>0</formula>
    </cfRule>
    <cfRule type="cellIs" dxfId="1308" priority="292" operator="lessThan">
      <formula>0</formula>
    </cfRule>
  </conditionalFormatting>
  <conditionalFormatting sqref="AZ31">
    <cfRule type="cellIs" dxfId="1307" priority="285" stopIfTrue="1" operator="greaterThan">
      <formula>0.03</formula>
    </cfRule>
    <cfRule type="cellIs" dxfId="1306" priority="286" stopIfTrue="1" operator="lessThan">
      <formula>-0.03</formula>
    </cfRule>
  </conditionalFormatting>
  <conditionalFormatting sqref="AZ31:AZ32">
    <cfRule type="cellIs" dxfId="1305" priority="287" stopIfTrue="1" operator="greaterThan">
      <formula>0</formula>
    </cfRule>
    <cfRule type="cellIs" dxfId="1304" priority="288" operator="lessThan">
      <formula>0</formula>
    </cfRule>
  </conditionalFormatting>
  <conditionalFormatting sqref="AZ33">
    <cfRule type="cellIs" dxfId="1303" priority="281" stopIfTrue="1" operator="greaterThan">
      <formula>0.03</formula>
    </cfRule>
    <cfRule type="cellIs" dxfId="1302" priority="282" stopIfTrue="1" operator="lessThan">
      <formula>-0.03</formula>
    </cfRule>
  </conditionalFormatting>
  <conditionalFormatting sqref="AZ33:AZ34">
    <cfRule type="cellIs" dxfId="1301" priority="283" stopIfTrue="1" operator="greaterThan">
      <formula>0</formula>
    </cfRule>
    <cfRule type="cellIs" dxfId="1300" priority="284" operator="lessThan">
      <formula>0</formula>
    </cfRule>
  </conditionalFormatting>
  <conditionalFormatting sqref="BA23">
    <cfRule type="cellIs" dxfId="1299" priority="277" stopIfTrue="1" operator="greaterThan">
      <formula>0.03</formula>
    </cfRule>
    <cfRule type="cellIs" dxfId="1298" priority="278" stopIfTrue="1" operator="lessThan">
      <formula>-0.03</formula>
    </cfRule>
  </conditionalFormatting>
  <conditionalFormatting sqref="BA23:BA28">
    <cfRule type="cellIs" dxfId="1297" priority="279" stopIfTrue="1" operator="greaterThan">
      <formula>0</formula>
    </cfRule>
    <cfRule type="cellIs" dxfId="1296" priority="280" stopIfTrue="1" operator="lessThan">
      <formula>0</formula>
    </cfRule>
  </conditionalFormatting>
  <conditionalFormatting sqref="AZ23">
    <cfRule type="cellIs" dxfId="1295" priority="273" stopIfTrue="1" operator="greaterThan">
      <formula>0.03</formula>
    </cfRule>
    <cfRule type="cellIs" dxfId="1294" priority="274" stopIfTrue="1" operator="lessThan">
      <formula>-0.03</formula>
    </cfRule>
  </conditionalFormatting>
  <conditionalFormatting sqref="AZ23:AZ24">
    <cfRule type="cellIs" dxfId="1293" priority="275" stopIfTrue="1" operator="greaterThan">
      <formula>0</formula>
    </cfRule>
    <cfRule type="cellIs" dxfId="1292" priority="276" operator="lessThan">
      <formula>0</formula>
    </cfRule>
  </conditionalFormatting>
  <conditionalFormatting sqref="AZ25">
    <cfRule type="cellIs" dxfId="1291" priority="269" stopIfTrue="1" operator="greaterThan">
      <formula>0.03</formula>
    </cfRule>
    <cfRule type="cellIs" dxfId="1290" priority="270" stopIfTrue="1" operator="lessThan">
      <formula>-0.03</formula>
    </cfRule>
  </conditionalFormatting>
  <conditionalFormatting sqref="AZ25:AZ26">
    <cfRule type="cellIs" dxfId="1289" priority="271" stopIfTrue="1" operator="greaterThan">
      <formula>0</formula>
    </cfRule>
    <cfRule type="cellIs" dxfId="1288" priority="272" operator="lessThan">
      <formula>0</formula>
    </cfRule>
  </conditionalFormatting>
  <conditionalFormatting sqref="AZ27">
    <cfRule type="cellIs" dxfId="1287" priority="265" stopIfTrue="1" operator="greaterThan">
      <formula>0.03</formula>
    </cfRule>
    <cfRule type="cellIs" dxfId="1286" priority="266" stopIfTrue="1" operator="lessThan">
      <formula>-0.03</formula>
    </cfRule>
  </conditionalFormatting>
  <conditionalFormatting sqref="AZ27:AZ28">
    <cfRule type="cellIs" dxfId="1285" priority="267" stopIfTrue="1" operator="greaterThan">
      <formula>0</formula>
    </cfRule>
    <cfRule type="cellIs" dxfId="1284" priority="268" operator="lessThan">
      <formula>0</formula>
    </cfRule>
  </conditionalFormatting>
  <conditionalFormatting sqref="BA35">
    <cfRule type="cellIs" dxfId="1283" priority="261" stopIfTrue="1" operator="greaterThan">
      <formula>0.03</formula>
    </cfRule>
    <cfRule type="cellIs" dxfId="1282" priority="262" stopIfTrue="1" operator="lessThan">
      <formula>-0.03</formula>
    </cfRule>
  </conditionalFormatting>
  <conditionalFormatting sqref="BA35:BA40">
    <cfRule type="cellIs" dxfId="1281" priority="263" stopIfTrue="1" operator="greaterThan">
      <formula>0</formula>
    </cfRule>
    <cfRule type="cellIs" dxfId="1280" priority="264" stopIfTrue="1" operator="lessThan">
      <formula>0</formula>
    </cfRule>
  </conditionalFormatting>
  <conditionalFormatting sqref="AZ35">
    <cfRule type="cellIs" dxfId="1279" priority="257" stopIfTrue="1" operator="greaterThan">
      <formula>0.03</formula>
    </cfRule>
    <cfRule type="cellIs" dxfId="1278" priority="258" stopIfTrue="1" operator="lessThan">
      <formula>-0.03</formula>
    </cfRule>
  </conditionalFormatting>
  <conditionalFormatting sqref="AZ35:AZ36">
    <cfRule type="cellIs" dxfId="1277" priority="259" stopIfTrue="1" operator="greaterThan">
      <formula>0</formula>
    </cfRule>
    <cfRule type="cellIs" dxfId="1276" priority="260" operator="lessThan">
      <formula>0</formula>
    </cfRule>
  </conditionalFormatting>
  <conditionalFormatting sqref="AZ37">
    <cfRule type="cellIs" dxfId="1275" priority="253" stopIfTrue="1" operator="greaterThan">
      <formula>0.03</formula>
    </cfRule>
    <cfRule type="cellIs" dxfId="1274" priority="254" stopIfTrue="1" operator="lessThan">
      <formula>-0.03</formula>
    </cfRule>
  </conditionalFormatting>
  <conditionalFormatting sqref="AZ37:AZ38">
    <cfRule type="cellIs" dxfId="1273" priority="255" stopIfTrue="1" operator="greaterThan">
      <formula>0</formula>
    </cfRule>
    <cfRule type="cellIs" dxfId="1272" priority="256" operator="lessThan">
      <formula>0</formula>
    </cfRule>
  </conditionalFormatting>
  <conditionalFormatting sqref="AZ39">
    <cfRule type="cellIs" dxfId="1271" priority="249" stopIfTrue="1" operator="greaterThan">
      <formula>0.03</formula>
    </cfRule>
    <cfRule type="cellIs" dxfId="1270" priority="250" stopIfTrue="1" operator="lessThan">
      <formula>-0.03</formula>
    </cfRule>
  </conditionalFormatting>
  <conditionalFormatting sqref="AZ39:AZ40">
    <cfRule type="cellIs" dxfId="1269" priority="251" stopIfTrue="1" operator="greaterThan">
      <formula>0</formula>
    </cfRule>
    <cfRule type="cellIs" dxfId="1268" priority="252" operator="lessThan">
      <formula>0</formula>
    </cfRule>
  </conditionalFormatting>
  <conditionalFormatting sqref="AX11">
    <cfRule type="cellIs" dxfId="1267" priority="245" stopIfTrue="1" operator="greaterThan">
      <formula>0.03</formula>
    </cfRule>
    <cfRule type="cellIs" dxfId="1266" priority="246" stopIfTrue="1" operator="lessThan">
      <formula>-0.03</formula>
    </cfRule>
  </conditionalFormatting>
  <conditionalFormatting sqref="AX11:AX12">
    <cfRule type="cellIs" dxfId="1265" priority="247" stopIfTrue="1" operator="greaterThan">
      <formula>0</formula>
    </cfRule>
    <cfRule type="cellIs" dxfId="1264" priority="248" operator="lessThan">
      <formula>0</formula>
    </cfRule>
  </conditionalFormatting>
  <conditionalFormatting sqref="AX13">
    <cfRule type="cellIs" dxfId="1263" priority="241" stopIfTrue="1" operator="greaterThan">
      <formula>0.03</formula>
    </cfRule>
    <cfRule type="cellIs" dxfId="1262" priority="242" stopIfTrue="1" operator="lessThan">
      <formula>-0.03</formula>
    </cfRule>
  </conditionalFormatting>
  <conditionalFormatting sqref="AX13:AX14">
    <cfRule type="cellIs" dxfId="1261" priority="243" stopIfTrue="1" operator="greaterThan">
      <formula>0</formula>
    </cfRule>
    <cfRule type="cellIs" dxfId="1260" priority="244" operator="lessThan">
      <formula>0</formula>
    </cfRule>
  </conditionalFormatting>
  <conditionalFormatting sqref="AX15">
    <cfRule type="cellIs" dxfId="1259" priority="237" stopIfTrue="1" operator="greaterThan">
      <formula>0.03</formula>
    </cfRule>
    <cfRule type="cellIs" dxfId="1258" priority="238" stopIfTrue="1" operator="lessThan">
      <formula>-0.03</formula>
    </cfRule>
  </conditionalFormatting>
  <conditionalFormatting sqref="AX15:AX16">
    <cfRule type="cellIs" dxfId="1257" priority="239" stopIfTrue="1" operator="greaterThan">
      <formula>0</formula>
    </cfRule>
    <cfRule type="cellIs" dxfId="1256" priority="240" operator="lessThan">
      <formula>0</formula>
    </cfRule>
  </conditionalFormatting>
  <conditionalFormatting sqref="AY17">
    <cfRule type="cellIs" dxfId="1255" priority="233" stopIfTrue="1" operator="greaterThan">
      <formula>0.03</formula>
    </cfRule>
    <cfRule type="cellIs" dxfId="1254" priority="234" stopIfTrue="1" operator="lessThan">
      <formula>-0.03</formula>
    </cfRule>
  </conditionalFormatting>
  <conditionalFormatting sqref="AY17:AY22">
    <cfRule type="cellIs" dxfId="1253" priority="235" stopIfTrue="1" operator="greaterThan">
      <formula>0</formula>
    </cfRule>
    <cfRule type="cellIs" dxfId="1252" priority="236" stopIfTrue="1" operator="lessThan">
      <formula>0</formula>
    </cfRule>
  </conditionalFormatting>
  <conditionalFormatting sqref="AX17">
    <cfRule type="cellIs" dxfId="1251" priority="229" stopIfTrue="1" operator="greaterThan">
      <formula>0.03</formula>
    </cfRule>
    <cfRule type="cellIs" dxfId="1250" priority="230" stopIfTrue="1" operator="lessThan">
      <formula>-0.03</formula>
    </cfRule>
  </conditionalFormatting>
  <conditionalFormatting sqref="AX17:AX18">
    <cfRule type="cellIs" dxfId="1249" priority="231" stopIfTrue="1" operator="greaterThan">
      <formula>0</formula>
    </cfRule>
    <cfRule type="cellIs" dxfId="1248" priority="232" operator="lessThan">
      <formula>0</formula>
    </cfRule>
  </conditionalFormatting>
  <conditionalFormatting sqref="AX19">
    <cfRule type="cellIs" dxfId="1247" priority="225" stopIfTrue="1" operator="greaterThan">
      <formula>0.03</formula>
    </cfRule>
    <cfRule type="cellIs" dxfId="1246" priority="226" stopIfTrue="1" operator="lessThan">
      <formula>-0.03</formula>
    </cfRule>
  </conditionalFormatting>
  <conditionalFormatting sqref="AX19:AX20">
    <cfRule type="cellIs" dxfId="1245" priority="227" stopIfTrue="1" operator="greaterThan">
      <formula>0</formula>
    </cfRule>
    <cfRule type="cellIs" dxfId="1244" priority="228" operator="lessThan">
      <formula>0</formula>
    </cfRule>
  </conditionalFormatting>
  <conditionalFormatting sqref="AX21">
    <cfRule type="cellIs" dxfId="1243" priority="221" stopIfTrue="1" operator="greaterThan">
      <formula>0.03</formula>
    </cfRule>
    <cfRule type="cellIs" dxfId="1242" priority="222" stopIfTrue="1" operator="lessThan">
      <formula>-0.03</formula>
    </cfRule>
  </conditionalFormatting>
  <conditionalFormatting sqref="AX21:AX22">
    <cfRule type="cellIs" dxfId="1241" priority="223" stopIfTrue="1" operator="greaterThan">
      <formula>0</formula>
    </cfRule>
    <cfRule type="cellIs" dxfId="1240" priority="224" operator="lessThan">
      <formula>0</formula>
    </cfRule>
  </conditionalFormatting>
  <conditionalFormatting sqref="AY23">
    <cfRule type="cellIs" dxfId="1239" priority="217" stopIfTrue="1" operator="greaterThan">
      <formula>0.03</formula>
    </cfRule>
    <cfRule type="cellIs" dxfId="1238" priority="218" stopIfTrue="1" operator="lessThan">
      <formula>-0.03</formula>
    </cfRule>
  </conditionalFormatting>
  <conditionalFormatting sqref="AY23:AY28">
    <cfRule type="cellIs" dxfId="1237" priority="219" stopIfTrue="1" operator="greaterThan">
      <formula>0</formula>
    </cfRule>
    <cfRule type="cellIs" dxfId="1236" priority="220" stopIfTrue="1" operator="lessThan">
      <formula>0</formula>
    </cfRule>
  </conditionalFormatting>
  <conditionalFormatting sqref="AX23">
    <cfRule type="cellIs" dxfId="1235" priority="213" stopIfTrue="1" operator="greaterThan">
      <formula>0.03</formula>
    </cfRule>
    <cfRule type="cellIs" dxfId="1234" priority="214" stopIfTrue="1" operator="lessThan">
      <formula>-0.03</formula>
    </cfRule>
  </conditionalFormatting>
  <conditionalFormatting sqref="AX23:AX24">
    <cfRule type="cellIs" dxfId="1233" priority="215" stopIfTrue="1" operator="greaterThan">
      <formula>0</formula>
    </cfRule>
    <cfRule type="cellIs" dxfId="1232" priority="216" operator="lessThan">
      <formula>0</formula>
    </cfRule>
  </conditionalFormatting>
  <conditionalFormatting sqref="AX25">
    <cfRule type="cellIs" dxfId="1231" priority="209" stopIfTrue="1" operator="greaterThan">
      <formula>0.03</formula>
    </cfRule>
    <cfRule type="cellIs" dxfId="1230" priority="210" stopIfTrue="1" operator="lessThan">
      <formula>-0.03</formula>
    </cfRule>
  </conditionalFormatting>
  <conditionalFormatting sqref="AX25:AX26">
    <cfRule type="cellIs" dxfId="1229" priority="211" stopIfTrue="1" operator="greaterThan">
      <formula>0</formula>
    </cfRule>
    <cfRule type="cellIs" dxfId="1228" priority="212" operator="lessThan">
      <formula>0</formula>
    </cfRule>
  </conditionalFormatting>
  <conditionalFormatting sqref="AX27">
    <cfRule type="cellIs" dxfId="1227" priority="205" stopIfTrue="1" operator="greaterThan">
      <formula>0.03</formula>
    </cfRule>
    <cfRule type="cellIs" dxfId="1226" priority="206" stopIfTrue="1" operator="lessThan">
      <formula>-0.03</formula>
    </cfRule>
  </conditionalFormatting>
  <conditionalFormatting sqref="AX27:AX28">
    <cfRule type="cellIs" dxfId="1225" priority="207" stopIfTrue="1" operator="greaterThan">
      <formula>0</formula>
    </cfRule>
    <cfRule type="cellIs" dxfId="1224" priority="208" operator="lessThan">
      <formula>0</formula>
    </cfRule>
  </conditionalFormatting>
  <conditionalFormatting sqref="AY29">
    <cfRule type="cellIs" dxfId="1223" priority="201" stopIfTrue="1" operator="greaterThan">
      <formula>0.03</formula>
    </cfRule>
    <cfRule type="cellIs" dxfId="1222" priority="202" stopIfTrue="1" operator="lessThan">
      <formula>-0.03</formula>
    </cfRule>
  </conditionalFormatting>
  <conditionalFormatting sqref="AY29:AY34">
    <cfRule type="cellIs" dxfId="1221" priority="203" stopIfTrue="1" operator="greaterThan">
      <formula>0</formula>
    </cfRule>
    <cfRule type="cellIs" dxfId="1220" priority="204" stopIfTrue="1" operator="lessThan">
      <formula>0</formula>
    </cfRule>
  </conditionalFormatting>
  <conditionalFormatting sqref="AX29">
    <cfRule type="cellIs" dxfId="1219" priority="197" stopIfTrue="1" operator="greaterThan">
      <formula>0.03</formula>
    </cfRule>
    <cfRule type="cellIs" dxfId="1218" priority="198" stopIfTrue="1" operator="lessThan">
      <formula>-0.03</formula>
    </cfRule>
  </conditionalFormatting>
  <conditionalFormatting sqref="AX29:AX30">
    <cfRule type="cellIs" dxfId="1217" priority="199" stopIfTrue="1" operator="greaterThan">
      <formula>0</formula>
    </cfRule>
    <cfRule type="cellIs" dxfId="1216" priority="200" operator="lessThan">
      <formula>0</formula>
    </cfRule>
  </conditionalFormatting>
  <conditionalFormatting sqref="AX31">
    <cfRule type="cellIs" dxfId="1215" priority="193" stopIfTrue="1" operator="greaterThan">
      <formula>0.03</formula>
    </cfRule>
    <cfRule type="cellIs" dxfId="1214" priority="194" stopIfTrue="1" operator="lessThan">
      <formula>-0.03</formula>
    </cfRule>
  </conditionalFormatting>
  <conditionalFormatting sqref="AX31:AX32">
    <cfRule type="cellIs" dxfId="1213" priority="195" stopIfTrue="1" operator="greaterThan">
      <formula>0</formula>
    </cfRule>
    <cfRule type="cellIs" dxfId="1212" priority="196" operator="lessThan">
      <formula>0</formula>
    </cfRule>
  </conditionalFormatting>
  <conditionalFormatting sqref="AX33">
    <cfRule type="cellIs" dxfId="1211" priority="189" stopIfTrue="1" operator="greaterThan">
      <formula>0.03</formula>
    </cfRule>
    <cfRule type="cellIs" dxfId="1210" priority="190" stopIfTrue="1" operator="lessThan">
      <formula>-0.03</formula>
    </cfRule>
  </conditionalFormatting>
  <conditionalFormatting sqref="AX33:AX34">
    <cfRule type="cellIs" dxfId="1209" priority="191" stopIfTrue="1" operator="greaterThan">
      <formula>0</formula>
    </cfRule>
    <cfRule type="cellIs" dxfId="1208" priority="192" operator="lessThan">
      <formula>0</formula>
    </cfRule>
  </conditionalFormatting>
  <conditionalFormatting sqref="AY35">
    <cfRule type="cellIs" dxfId="1207" priority="185" stopIfTrue="1" operator="greaterThan">
      <formula>0.03</formula>
    </cfRule>
    <cfRule type="cellIs" dxfId="1206" priority="186" stopIfTrue="1" operator="lessThan">
      <formula>-0.03</formula>
    </cfRule>
  </conditionalFormatting>
  <conditionalFormatting sqref="AY35:AY40">
    <cfRule type="cellIs" dxfId="1205" priority="187" stopIfTrue="1" operator="greaterThan">
      <formula>0</formula>
    </cfRule>
    <cfRule type="cellIs" dxfId="1204" priority="188" stopIfTrue="1" operator="lessThan">
      <formula>0</formula>
    </cfRule>
  </conditionalFormatting>
  <conditionalFormatting sqref="AX35">
    <cfRule type="cellIs" dxfId="1203" priority="181" stopIfTrue="1" operator="greaterThan">
      <formula>0.03</formula>
    </cfRule>
    <cfRule type="cellIs" dxfId="1202" priority="182" stopIfTrue="1" operator="lessThan">
      <formula>-0.03</formula>
    </cfRule>
  </conditionalFormatting>
  <conditionalFormatting sqref="AX35:AX36">
    <cfRule type="cellIs" dxfId="1201" priority="183" stopIfTrue="1" operator="greaterThan">
      <formula>0</formula>
    </cfRule>
    <cfRule type="cellIs" dxfId="1200" priority="184" operator="lessThan">
      <formula>0</formula>
    </cfRule>
  </conditionalFormatting>
  <conditionalFormatting sqref="AX37">
    <cfRule type="cellIs" dxfId="1199" priority="177" stopIfTrue="1" operator="greaterThan">
      <formula>0.03</formula>
    </cfRule>
    <cfRule type="cellIs" dxfId="1198" priority="178" stopIfTrue="1" operator="lessThan">
      <formula>-0.03</formula>
    </cfRule>
  </conditionalFormatting>
  <conditionalFormatting sqref="AX37:AX38">
    <cfRule type="cellIs" dxfId="1197" priority="179" stopIfTrue="1" operator="greaterThan">
      <formula>0</formula>
    </cfRule>
    <cfRule type="cellIs" dxfId="1196" priority="180" operator="lessThan">
      <formula>0</formula>
    </cfRule>
  </conditionalFormatting>
  <conditionalFormatting sqref="AX39">
    <cfRule type="cellIs" dxfId="1195" priority="173" stopIfTrue="1" operator="greaterThan">
      <formula>0.03</formula>
    </cfRule>
    <cfRule type="cellIs" dxfId="1194" priority="174" stopIfTrue="1" operator="lessThan">
      <formula>-0.03</formula>
    </cfRule>
  </conditionalFormatting>
  <conditionalFormatting sqref="AX39:AX40">
    <cfRule type="cellIs" dxfId="1193" priority="175" stopIfTrue="1" operator="greaterThan">
      <formula>0</formula>
    </cfRule>
    <cfRule type="cellIs" dxfId="1192" priority="176" operator="lessThan">
      <formula>0</formula>
    </cfRule>
  </conditionalFormatting>
  <conditionalFormatting sqref="B47">
    <cfRule type="cellIs" dxfId="1191" priority="157" stopIfTrue="1" operator="greaterThan">
      <formula>0.03</formula>
    </cfRule>
    <cfRule type="cellIs" dxfId="1190" priority="158" stopIfTrue="1" operator="lessThan">
      <formula>-0.03</formula>
    </cfRule>
  </conditionalFormatting>
  <conditionalFormatting sqref="C47">
    <cfRule type="cellIs" dxfId="1189" priority="159" stopIfTrue="1" operator="greaterThan">
      <formula>0.03</formula>
    </cfRule>
    <cfRule type="cellIs" dxfId="1188" priority="160" stopIfTrue="1" operator="lessThan">
      <formula>-0.03</formula>
    </cfRule>
  </conditionalFormatting>
  <conditionalFormatting sqref="C47:C52">
    <cfRule type="cellIs" dxfId="1187" priority="161" stopIfTrue="1" operator="greaterThan">
      <formula>0</formula>
    </cfRule>
    <cfRule type="cellIs" dxfId="1186" priority="162" stopIfTrue="1" operator="lessThan">
      <formula>0</formula>
    </cfRule>
  </conditionalFormatting>
  <conditionalFormatting sqref="B47:B48">
    <cfRule type="cellIs" dxfId="1185" priority="163" stopIfTrue="1" operator="greaterThan">
      <formula>0</formula>
    </cfRule>
    <cfRule type="cellIs" dxfId="1184" priority="164" operator="lessThan">
      <formula>0</formula>
    </cfRule>
  </conditionalFormatting>
  <conditionalFormatting sqref="B49">
    <cfRule type="cellIs" dxfId="1183" priority="153" stopIfTrue="1" operator="greaterThan">
      <formula>0.03</formula>
    </cfRule>
    <cfRule type="cellIs" dxfId="1182" priority="154" stopIfTrue="1" operator="lessThan">
      <formula>-0.03</formula>
    </cfRule>
  </conditionalFormatting>
  <conditionalFormatting sqref="B49:B50">
    <cfRule type="cellIs" dxfId="1181" priority="155" stopIfTrue="1" operator="greaterThan">
      <formula>0</formula>
    </cfRule>
    <cfRule type="cellIs" dxfId="1180" priority="156" operator="lessThan">
      <formula>0</formula>
    </cfRule>
  </conditionalFormatting>
  <conditionalFormatting sqref="B51">
    <cfRule type="cellIs" dxfId="1179" priority="149" stopIfTrue="1" operator="greaterThan">
      <formula>0.03</formula>
    </cfRule>
    <cfRule type="cellIs" dxfId="1178" priority="150" stopIfTrue="1" operator="lessThan">
      <formula>-0.03</formula>
    </cfRule>
  </conditionalFormatting>
  <conditionalFormatting sqref="B51:B52">
    <cfRule type="cellIs" dxfId="1177" priority="151" stopIfTrue="1" operator="greaterThan">
      <formula>0</formula>
    </cfRule>
    <cfRule type="cellIs" dxfId="1176" priority="152" operator="lessThan">
      <formula>0</formula>
    </cfRule>
  </conditionalFormatting>
  <conditionalFormatting sqref="D47:P47">
    <cfRule type="cellIs" dxfId="1175" priority="145" stopIfTrue="1" operator="greaterThan">
      <formula>0.03</formula>
    </cfRule>
    <cfRule type="cellIs" dxfId="1174" priority="146" stopIfTrue="1" operator="lessThan">
      <formula>-0.03</formula>
    </cfRule>
  </conditionalFormatting>
  <conditionalFormatting sqref="D47:P52">
    <cfRule type="cellIs" dxfId="1173" priority="147" stopIfTrue="1" operator="greaterThan">
      <formula>0</formula>
    </cfRule>
    <cfRule type="cellIs" dxfId="1172" priority="148" stopIfTrue="1" operator="lessThan">
      <formula>0</formula>
    </cfRule>
  </conditionalFormatting>
  <conditionalFormatting sqref="Q47">
    <cfRule type="cellIs" dxfId="1171" priority="137" stopIfTrue="1" operator="greaterThan">
      <formula>0.03</formula>
    </cfRule>
    <cfRule type="cellIs" dxfId="1170" priority="138" stopIfTrue="1" operator="lessThan">
      <formula>-0.03</formula>
    </cfRule>
  </conditionalFormatting>
  <conditionalFormatting sqref="R47">
    <cfRule type="cellIs" dxfId="1169" priority="139" stopIfTrue="1" operator="greaterThan">
      <formula>0.03</formula>
    </cfRule>
    <cfRule type="cellIs" dxfId="1168" priority="140" stopIfTrue="1" operator="lessThan">
      <formula>-0.03</formula>
    </cfRule>
  </conditionalFormatting>
  <conditionalFormatting sqref="R47:R52">
    <cfRule type="cellIs" dxfId="1167" priority="141" stopIfTrue="1" operator="greaterThan">
      <formula>0</formula>
    </cfRule>
    <cfRule type="cellIs" dxfId="1166" priority="142" stopIfTrue="1" operator="lessThan">
      <formula>0</formula>
    </cfRule>
  </conditionalFormatting>
  <conditionalFormatting sqref="Q47:Q48">
    <cfRule type="cellIs" dxfId="1165" priority="143" stopIfTrue="1" operator="greaterThan">
      <formula>0</formula>
    </cfRule>
    <cfRule type="cellIs" dxfId="1164" priority="144" operator="lessThan">
      <formula>0</formula>
    </cfRule>
  </conditionalFormatting>
  <conditionalFormatting sqref="Q49">
    <cfRule type="cellIs" dxfId="1163" priority="133" stopIfTrue="1" operator="greaterThan">
      <formula>0.03</formula>
    </cfRule>
    <cfRule type="cellIs" dxfId="1162" priority="134" stopIfTrue="1" operator="lessThan">
      <formula>-0.03</formula>
    </cfRule>
  </conditionalFormatting>
  <conditionalFormatting sqref="Q49:Q50">
    <cfRule type="cellIs" dxfId="1161" priority="135" stopIfTrue="1" operator="greaterThan">
      <formula>0</formula>
    </cfRule>
    <cfRule type="cellIs" dxfId="1160" priority="136" operator="lessThan">
      <formula>0</formula>
    </cfRule>
  </conditionalFormatting>
  <conditionalFormatting sqref="Q51">
    <cfRule type="cellIs" dxfId="1159" priority="129" stopIfTrue="1" operator="greaterThan">
      <formula>0.03</formula>
    </cfRule>
    <cfRule type="cellIs" dxfId="1158" priority="130" stopIfTrue="1" operator="lessThan">
      <formula>-0.03</formula>
    </cfRule>
  </conditionalFormatting>
  <conditionalFormatting sqref="Q51:Q52">
    <cfRule type="cellIs" dxfId="1157" priority="131" stopIfTrue="1" operator="greaterThan">
      <formula>0</formula>
    </cfRule>
    <cfRule type="cellIs" dxfId="1156" priority="132" operator="lessThan">
      <formula>0</formula>
    </cfRule>
  </conditionalFormatting>
  <conditionalFormatting sqref="S47">
    <cfRule type="cellIs" dxfId="1155" priority="121" stopIfTrue="1" operator="greaterThan">
      <formula>0.03</formula>
    </cfRule>
    <cfRule type="cellIs" dxfId="1154" priority="122" stopIfTrue="1" operator="lessThan">
      <formula>-0.03</formula>
    </cfRule>
  </conditionalFormatting>
  <conditionalFormatting sqref="T47">
    <cfRule type="cellIs" dxfId="1153" priority="123" stopIfTrue="1" operator="greaterThan">
      <formula>0.03</formula>
    </cfRule>
    <cfRule type="cellIs" dxfId="1152" priority="124" stopIfTrue="1" operator="lessThan">
      <formula>-0.03</formula>
    </cfRule>
  </conditionalFormatting>
  <conditionalFormatting sqref="T47:T52">
    <cfRule type="cellIs" dxfId="1151" priority="125" stopIfTrue="1" operator="greaterThan">
      <formula>0</formula>
    </cfRule>
    <cfRule type="cellIs" dxfId="1150" priority="126" stopIfTrue="1" operator="lessThan">
      <formula>0</formula>
    </cfRule>
  </conditionalFormatting>
  <conditionalFormatting sqref="S47:S48">
    <cfRule type="cellIs" dxfId="1149" priority="127" stopIfTrue="1" operator="greaterThan">
      <formula>0</formula>
    </cfRule>
    <cfRule type="cellIs" dxfId="1148" priority="128" operator="lessThan">
      <formula>0</formula>
    </cfRule>
  </conditionalFormatting>
  <conditionalFormatting sqref="S49">
    <cfRule type="cellIs" dxfId="1147" priority="117" stopIfTrue="1" operator="greaterThan">
      <formula>0.03</formula>
    </cfRule>
    <cfRule type="cellIs" dxfId="1146" priority="118" stopIfTrue="1" operator="lessThan">
      <formula>-0.03</formula>
    </cfRule>
  </conditionalFormatting>
  <conditionalFormatting sqref="S49:S50">
    <cfRule type="cellIs" dxfId="1145" priority="119" stopIfTrue="1" operator="greaterThan">
      <formula>0</formula>
    </cfRule>
    <cfRule type="cellIs" dxfId="1144" priority="120" operator="lessThan">
      <formula>0</formula>
    </cfRule>
  </conditionalFormatting>
  <conditionalFormatting sqref="S51">
    <cfRule type="cellIs" dxfId="1143" priority="113" stopIfTrue="1" operator="greaterThan">
      <formula>0.03</formula>
    </cfRule>
    <cfRule type="cellIs" dxfId="1142" priority="114" stopIfTrue="1" operator="lessThan">
      <formula>-0.03</formula>
    </cfRule>
  </conditionalFormatting>
  <conditionalFormatting sqref="S51:S52">
    <cfRule type="cellIs" dxfId="1141" priority="115" stopIfTrue="1" operator="greaterThan">
      <formula>0</formula>
    </cfRule>
    <cfRule type="cellIs" dxfId="1140" priority="116" operator="lessThan">
      <formula>0</formula>
    </cfRule>
  </conditionalFormatting>
  <conditionalFormatting sqref="U47">
    <cfRule type="cellIs" dxfId="1139" priority="105" stopIfTrue="1" operator="greaterThan">
      <formula>0.03</formula>
    </cfRule>
    <cfRule type="cellIs" dxfId="1138" priority="106" stopIfTrue="1" operator="lessThan">
      <formula>-0.03</formula>
    </cfRule>
  </conditionalFormatting>
  <conditionalFormatting sqref="V47">
    <cfRule type="cellIs" dxfId="1137" priority="107" stopIfTrue="1" operator="greaterThan">
      <formula>0.03</formula>
    </cfRule>
    <cfRule type="cellIs" dxfId="1136" priority="108" stopIfTrue="1" operator="lessThan">
      <formula>-0.03</formula>
    </cfRule>
  </conditionalFormatting>
  <conditionalFormatting sqref="V47:V52">
    <cfRule type="cellIs" dxfId="1135" priority="109" stopIfTrue="1" operator="greaterThan">
      <formula>0</formula>
    </cfRule>
    <cfRule type="cellIs" dxfId="1134" priority="110" stopIfTrue="1" operator="lessThan">
      <formula>0</formula>
    </cfRule>
  </conditionalFormatting>
  <conditionalFormatting sqref="U47:U48">
    <cfRule type="cellIs" dxfId="1133" priority="111" stopIfTrue="1" operator="greaterThan">
      <formula>0</formula>
    </cfRule>
    <cfRule type="cellIs" dxfId="1132" priority="112" operator="lessThan">
      <formula>0</formula>
    </cfRule>
  </conditionalFormatting>
  <conditionalFormatting sqref="U49">
    <cfRule type="cellIs" dxfId="1131" priority="101" stopIfTrue="1" operator="greaterThan">
      <formula>0.03</formula>
    </cfRule>
    <cfRule type="cellIs" dxfId="1130" priority="102" stopIfTrue="1" operator="lessThan">
      <formula>-0.03</formula>
    </cfRule>
  </conditionalFormatting>
  <conditionalFormatting sqref="U49:U50">
    <cfRule type="cellIs" dxfId="1129" priority="103" stopIfTrue="1" operator="greaterThan">
      <formula>0</formula>
    </cfRule>
    <cfRule type="cellIs" dxfId="1128" priority="104" operator="lessThan">
      <formula>0</formula>
    </cfRule>
  </conditionalFormatting>
  <conditionalFormatting sqref="U51">
    <cfRule type="cellIs" dxfId="1127" priority="97" stopIfTrue="1" operator="greaterThan">
      <formula>0.03</formula>
    </cfRule>
    <cfRule type="cellIs" dxfId="1126" priority="98" stopIfTrue="1" operator="lessThan">
      <formula>-0.03</formula>
    </cfRule>
  </conditionalFormatting>
  <conditionalFormatting sqref="U51:U52">
    <cfRule type="cellIs" dxfId="1125" priority="99" stopIfTrue="1" operator="greaterThan">
      <formula>0</formula>
    </cfRule>
    <cfRule type="cellIs" dxfId="1124" priority="100" operator="lessThan">
      <formula>0</formula>
    </cfRule>
  </conditionalFormatting>
  <conditionalFormatting sqref="W47">
    <cfRule type="cellIs" dxfId="1123" priority="89" stopIfTrue="1" operator="greaterThan">
      <formula>0.03</formula>
    </cfRule>
    <cfRule type="cellIs" dxfId="1122" priority="90" stopIfTrue="1" operator="lessThan">
      <formula>-0.03</formula>
    </cfRule>
  </conditionalFormatting>
  <conditionalFormatting sqref="X47">
    <cfRule type="cellIs" dxfId="1121" priority="91" stopIfTrue="1" operator="greaterThan">
      <formula>0.03</formula>
    </cfRule>
    <cfRule type="cellIs" dxfId="1120" priority="92" stopIfTrue="1" operator="lessThan">
      <formula>-0.03</formula>
    </cfRule>
  </conditionalFormatting>
  <conditionalFormatting sqref="X47:X52">
    <cfRule type="cellIs" dxfId="1119" priority="93" stopIfTrue="1" operator="greaterThan">
      <formula>0</formula>
    </cfRule>
    <cfRule type="cellIs" dxfId="1118" priority="94" stopIfTrue="1" operator="lessThan">
      <formula>0</formula>
    </cfRule>
  </conditionalFormatting>
  <conditionalFormatting sqref="W47:W48">
    <cfRule type="cellIs" dxfId="1117" priority="95" stopIfTrue="1" operator="greaterThan">
      <formula>0</formula>
    </cfRule>
    <cfRule type="cellIs" dxfId="1116" priority="96" operator="lessThan">
      <formula>0</formula>
    </cfRule>
  </conditionalFormatting>
  <conditionalFormatting sqref="W49">
    <cfRule type="cellIs" dxfId="1115" priority="85" stopIfTrue="1" operator="greaterThan">
      <formula>0.03</formula>
    </cfRule>
    <cfRule type="cellIs" dxfId="1114" priority="86" stopIfTrue="1" operator="lessThan">
      <formula>-0.03</formula>
    </cfRule>
  </conditionalFormatting>
  <conditionalFormatting sqref="W49:W50">
    <cfRule type="cellIs" dxfId="1113" priority="87" stopIfTrue="1" operator="greaterThan">
      <formula>0</formula>
    </cfRule>
    <cfRule type="cellIs" dxfId="1112" priority="88" operator="lessThan">
      <formula>0</formula>
    </cfRule>
  </conditionalFormatting>
  <conditionalFormatting sqref="W51">
    <cfRule type="cellIs" dxfId="1111" priority="81" stopIfTrue="1" operator="greaterThan">
      <formula>0.03</formula>
    </cfRule>
    <cfRule type="cellIs" dxfId="1110" priority="82" stopIfTrue="1" operator="lessThan">
      <formula>-0.03</formula>
    </cfRule>
  </conditionalFormatting>
  <conditionalFormatting sqref="W51:W52">
    <cfRule type="cellIs" dxfId="1109" priority="83" stopIfTrue="1" operator="greaterThan">
      <formula>0</formula>
    </cfRule>
    <cfRule type="cellIs" dxfId="1108" priority="84" operator="lessThan">
      <formula>0</formula>
    </cfRule>
  </conditionalFormatting>
  <conditionalFormatting sqref="Y47">
    <cfRule type="cellIs" dxfId="1107" priority="73" stopIfTrue="1" operator="greaterThan">
      <formula>0.03</formula>
    </cfRule>
    <cfRule type="cellIs" dxfId="1106" priority="74" stopIfTrue="1" operator="lessThan">
      <formula>-0.03</formula>
    </cfRule>
  </conditionalFormatting>
  <conditionalFormatting sqref="Z47">
    <cfRule type="cellIs" dxfId="1105" priority="75" stopIfTrue="1" operator="greaterThan">
      <formula>0.03</formula>
    </cfRule>
    <cfRule type="cellIs" dxfId="1104" priority="76" stopIfTrue="1" operator="lessThan">
      <formula>-0.03</formula>
    </cfRule>
  </conditionalFormatting>
  <conditionalFormatting sqref="Z47:Z52">
    <cfRule type="cellIs" dxfId="1103" priority="77" stopIfTrue="1" operator="greaterThan">
      <formula>0</formula>
    </cfRule>
    <cfRule type="cellIs" dxfId="1102" priority="78" stopIfTrue="1" operator="lessThan">
      <formula>0</formula>
    </cfRule>
  </conditionalFormatting>
  <conditionalFormatting sqref="Y47:Y48">
    <cfRule type="cellIs" dxfId="1101" priority="79" stopIfTrue="1" operator="greaterThan">
      <formula>0</formula>
    </cfRule>
    <cfRule type="cellIs" dxfId="1100" priority="80" operator="lessThan">
      <formula>0</formula>
    </cfRule>
  </conditionalFormatting>
  <conditionalFormatting sqref="Y49">
    <cfRule type="cellIs" dxfId="1099" priority="69" stopIfTrue="1" operator="greaterThan">
      <formula>0.03</formula>
    </cfRule>
    <cfRule type="cellIs" dxfId="1098" priority="70" stopIfTrue="1" operator="lessThan">
      <formula>-0.03</formula>
    </cfRule>
  </conditionalFormatting>
  <conditionalFormatting sqref="Y49:Y50">
    <cfRule type="cellIs" dxfId="1097" priority="71" stopIfTrue="1" operator="greaterThan">
      <formula>0</formula>
    </cfRule>
    <cfRule type="cellIs" dxfId="1096" priority="72" operator="lessThan">
      <formula>0</formula>
    </cfRule>
  </conditionalFormatting>
  <conditionalFormatting sqref="Y51">
    <cfRule type="cellIs" dxfId="1095" priority="65" stopIfTrue="1" operator="greaterThan">
      <formula>0.03</formula>
    </cfRule>
    <cfRule type="cellIs" dxfId="1094" priority="66" stopIfTrue="1" operator="lessThan">
      <formula>-0.03</formula>
    </cfRule>
  </conditionalFormatting>
  <conditionalFormatting sqref="Y51:Y52">
    <cfRule type="cellIs" dxfId="1093" priority="67" stopIfTrue="1" operator="greaterThan">
      <formula>0</formula>
    </cfRule>
    <cfRule type="cellIs" dxfId="1092" priority="68" operator="lessThan">
      <formula>0</formula>
    </cfRule>
  </conditionalFormatting>
  <conditionalFormatting sqref="AA47">
    <cfRule type="cellIs" dxfId="1091" priority="57" stopIfTrue="1" operator="greaterThan">
      <formula>0.03</formula>
    </cfRule>
    <cfRule type="cellIs" dxfId="1090" priority="58" stopIfTrue="1" operator="lessThan">
      <formula>-0.03</formula>
    </cfRule>
  </conditionalFormatting>
  <conditionalFormatting sqref="AB47">
    <cfRule type="cellIs" dxfId="1089" priority="59" stopIfTrue="1" operator="greaterThan">
      <formula>0.03</formula>
    </cfRule>
    <cfRule type="cellIs" dxfId="1088" priority="60" stopIfTrue="1" operator="lessThan">
      <formula>-0.03</formula>
    </cfRule>
  </conditionalFormatting>
  <conditionalFormatting sqref="AB47:AB52">
    <cfRule type="cellIs" dxfId="1087" priority="61" stopIfTrue="1" operator="greaterThan">
      <formula>0</formula>
    </cfRule>
    <cfRule type="cellIs" dxfId="1086" priority="62" stopIfTrue="1" operator="lessThan">
      <formula>0</formula>
    </cfRule>
  </conditionalFormatting>
  <conditionalFormatting sqref="AA47:AA48">
    <cfRule type="cellIs" dxfId="1085" priority="63" stopIfTrue="1" operator="greaterThan">
      <formula>0</formula>
    </cfRule>
    <cfRule type="cellIs" dxfId="1084" priority="64" operator="lessThan">
      <formula>0</formula>
    </cfRule>
  </conditionalFormatting>
  <conditionalFormatting sqref="AA49">
    <cfRule type="cellIs" dxfId="1083" priority="53" stopIfTrue="1" operator="greaterThan">
      <formula>0.03</formula>
    </cfRule>
    <cfRule type="cellIs" dxfId="1082" priority="54" stopIfTrue="1" operator="lessThan">
      <formula>-0.03</formula>
    </cfRule>
  </conditionalFormatting>
  <conditionalFormatting sqref="AA49:AA50">
    <cfRule type="cellIs" dxfId="1081" priority="55" stopIfTrue="1" operator="greaterThan">
      <formula>0</formula>
    </cfRule>
    <cfRule type="cellIs" dxfId="1080" priority="56" operator="lessThan">
      <formula>0</formula>
    </cfRule>
  </conditionalFormatting>
  <conditionalFormatting sqref="AA51">
    <cfRule type="cellIs" dxfId="1079" priority="49" stopIfTrue="1" operator="greaterThan">
      <formula>0.03</formula>
    </cfRule>
    <cfRule type="cellIs" dxfId="1078" priority="50" stopIfTrue="1" operator="lessThan">
      <formula>-0.03</formula>
    </cfRule>
  </conditionalFormatting>
  <conditionalFormatting sqref="AA51:AA52">
    <cfRule type="cellIs" dxfId="1077" priority="51" stopIfTrue="1" operator="greaterThan">
      <formula>0</formula>
    </cfRule>
    <cfRule type="cellIs" dxfId="1076" priority="52" operator="lessThan">
      <formula>0</formula>
    </cfRule>
  </conditionalFormatting>
  <conditionalFormatting sqref="AC47">
    <cfRule type="cellIs" dxfId="1075" priority="45" stopIfTrue="1" operator="greaterThan">
      <formula>0.03</formula>
    </cfRule>
    <cfRule type="cellIs" dxfId="1074" priority="46" stopIfTrue="1" operator="lessThan">
      <formula>-0.03</formula>
    </cfRule>
  </conditionalFormatting>
  <conditionalFormatting sqref="AC47:AC48">
    <cfRule type="cellIs" dxfId="1073" priority="47" stopIfTrue="1" operator="greaterThan">
      <formula>0</formula>
    </cfRule>
    <cfRule type="cellIs" dxfId="1072" priority="48" operator="lessThan">
      <formula>0</formula>
    </cfRule>
  </conditionalFormatting>
  <conditionalFormatting sqref="AC49">
    <cfRule type="cellIs" dxfId="1071" priority="41" stopIfTrue="1" operator="greaterThan">
      <formula>0.03</formula>
    </cfRule>
    <cfRule type="cellIs" dxfId="1070" priority="42" stopIfTrue="1" operator="lessThan">
      <formula>-0.03</formula>
    </cfRule>
  </conditionalFormatting>
  <conditionalFormatting sqref="AC49:AC50">
    <cfRule type="cellIs" dxfId="1069" priority="43" stopIfTrue="1" operator="greaterThan">
      <formula>0</formula>
    </cfRule>
    <cfRule type="cellIs" dxfId="1068" priority="44" operator="lessThan">
      <formula>0</formula>
    </cfRule>
  </conditionalFormatting>
  <conditionalFormatting sqref="AC51">
    <cfRule type="cellIs" dxfId="1067" priority="37" stopIfTrue="1" operator="greaterThan">
      <formula>0.03</formula>
    </cfRule>
    <cfRule type="cellIs" dxfId="1066" priority="38" stopIfTrue="1" operator="lessThan">
      <formula>-0.03</formula>
    </cfRule>
  </conditionalFormatting>
  <conditionalFormatting sqref="AC51:AC52">
    <cfRule type="cellIs" dxfId="1065" priority="39" stopIfTrue="1" operator="greaterThan">
      <formula>0</formula>
    </cfRule>
    <cfRule type="cellIs" dxfId="1064" priority="40" operator="lessThan">
      <formula>0</formula>
    </cfRule>
  </conditionalFormatting>
  <conditionalFormatting sqref="AI47">
    <cfRule type="cellIs" dxfId="1063" priority="29" stopIfTrue="1" operator="greaterThan">
      <formula>0.03</formula>
    </cfRule>
    <cfRule type="cellIs" dxfId="1062" priority="30" stopIfTrue="1" operator="lessThan">
      <formula>-0.03</formula>
    </cfRule>
  </conditionalFormatting>
  <conditionalFormatting sqref="AJ47">
    <cfRule type="cellIs" dxfId="1061" priority="31" stopIfTrue="1" operator="greaterThan">
      <formula>0.03</formula>
    </cfRule>
    <cfRule type="cellIs" dxfId="1060" priority="32" stopIfTrue="1" operator="lessThan">
      <formula>-0.03</formula>
    </cfRule>
  </conditionalFormatting>
  <conditionalFormatting sqref="AJ47:AJ52">
    <cfRule type="cellIs" dxfId="1059" priority="33" stopIfTrue="1" operator="greaterThan">
      <formula>0</formula>
    </cfRule>
    <cfRule type="cellIs" dxfId="1058" priority="34" stopIfTrue="1" operator="lessThan">
      <formula>0</formula>
    </cfRule>
  </conditionalFormatting>
  <conditionalFormatting sqref="AI47:AI48">
    <cfRule type="cellIs" dxfId="1057" priority="35" stopIfTrue="1" operator="greaterThan">
      <formula>0</formula>
    </cfRule>
    <cfRule type="cellIs" dxfId="1056" priority="36" operator="lessThan">
      <formula>0</formula>
    </cfRule>
  </conditionalFormatting>
  <conditionalFormatting sqref="AI49">
    <cfRule type="cellIs" dxfId="1055" priority="25" stopIfTrue="1" operator="greaterThan">
      <formula>0.03</formula>
    </cfRule>
    <cfRule type="cellIs" dxfId="1054" priority="26" stopIfTrue="1" operator="lessThan">
      <formula>-0.03</formula>
    </cfRule>
  </conditionalFormatting>
  <conditionalFormatting sqref="AI49:AI50">
    <cfRule type="cellIs" dxfId="1053" priority="27" stopIfTrue="1" operator="greaterThan">
      <formula>0</formula>
    </cfRule>
    <cfRule type="cellIs" dxfId="1052" priority="28" operator="lessThan">
      <formula>0</formula>
    </cfRule>
  </conditionalFormatting>
  <conditionalFormatting sqref="AI51">
    <cfRule type="cellIs" dxfId="1051" priority="21" stopIfTrue="1" operator="greaterThan">
      <formula>0.03</formula>
    </cfRule>
    <cfRule type="cellIs" dxfId="1050" priority="22" stopIfTrue="1" operator="lessThan">
      <formula>-0.03</formula>
    </cfRule>
  </conditionalFormatting>
  <conditionalFormatting sqref="AI51:AI52">
    <cfRule type="cellIs" dxfId="1049" priority="23" stopIfTrue="1" operator="greaterThan">
      <formula>0</formula>
    </cfRule>
    <cfRule type="cellIs" dxfId="1048" priority="24" operator="lessThan">
      <formula>0</formula>
    </cfRule>
  </conditionalFormatting>
  <conditionalFormatting sqref="AK47">
    <cfRule type="cellIs" dxfId="1047" priority="13" stopIfTrue="1" operator="greaterThan">
      <formula>0.03</formula>
    </cfRule>
    <cfRule type="cellIs" dxfId="1046" priority="14" stopIfTrue="1" operator="lessThan">
      <formula>-0.03</formula>
    </cfRule>
  </conditionalFormatting>
  <conditionalFormatting sqref="AL47">
    <cfRule type="cellIs" dxfId="1045" priority="15" stopIfTrue="1" operator="greaterThan">
      <formula>0.03</formula>
    </cfRule>
    <cfRule type="cellIs" dxfId="1044" priority="16" stopIfTrue="1" operator="lessThan">
      <formula>-0.03</formula>
    </cfRule>
  </conditionalFormatting>
  <conditionalFormatting sqref="AL47:AL52">
    <cfRule type="cellIs" dxfId="1043" priority="17" stopIfTrue="1" operator="greaterThan">
      <formula>0</formula>
    </cfRule>
    <cfRule type="cellIs" dxfId="1042" priority="18" stopIfTrue="1" operator="lessThan">
      <formula>0</formula>
    </cfRule>
  </conditionalFormatting>
  <conditionalFormatting sqref="AK47:AK48">
    <cfRule type="cellIs" dxfId="1041" priority="19" stopIfTrue="1" operator="greaterThan">
      <formula>0</formula>
    </cfRule>
    <cfRule type="cellIs" dxfId="1040" priority="20" operator="lessThan">
      <formula>0</formula>
    </cfRule>
  </conditionalFormatting>
  <conditionalFormatting sqref="AK49">
    <cfRule type="cellIs" dxfId="1039" priority="9" stopIfTrue="1" operator="greaterThan">
      <formula>0.03</formula>
    </cfRule>
    <cfRule type="cellIs" dxfId="1038" priority="10" stopIfTrue="1" operator="lessThan">
      <formula>-0.03</formula>
    </cfRule>
  </conditionalFormatting>
  <conditionalFormatting sqref="AK49:AK50">
    <cfRule type="cellIs" dxfId="1037" priority="11" stopIfTrue="1" operator="greaterThan">
      <formula>0</formula>
    </cfRule>
    <cfRule type="cellIs" dxfId="1036" priority="12" operator="lessThan">
      <formula>0</formula>
    </cfRule>
  </conditionalFormatting>
  <conditionalFormatting sqref="AK51">
    <cfRule type="cellIs" dxfId="1035" priority="5" stopIfTrue="1" operator="greaterThan">
      <formula>0.03</formula>
    </cfRule>
    <cfRule type="cellIs" dxfId="1034" priority="6" stopIfTrue="1" operator="lessThan">
      <formula>-0.03</formula>
    </cfRule>
  </conditionalFormatting>
  <conditionalFormatting sqref="AK51:AK52">
    <cfRule type="cellIs" dxfId="1033" priority="7" stopIfTrue="1" operator="greaterThan">
      <formula>0</formula>
    </cfRule>
    <cfRule type="cellIs" dxfId="1032" priority="8" operator="lessThan">
      <formula>0</formula>
    </cfRule>
  </conditionalFormatting>
  <conditionalFormatting sqref="AD47:AH47">
    <cfRule type="cellIs" dxfId="1031" priority="1" stopIfTrue="1" operator="greaterThan">
      <formula>0.03</formula>
    </cfRule>
    <cfRule type="cellIs" dxfId="1030" priority="2" stopIfTrue="1" operator="lessThan">
      <formula>-0.03</formula>
    </cfRule>
  </conditionalFormatting>
  <conditionalFormatting sqref="AD47:AH52">
    <cfRule type="cellIs" dxfId="1029" priority="3" stopIfTrue="1" operator="greaterThan">
      <formula>0</formula>
    </cfRule>
    <cfRule type="cellIs" dxfId="1028" priority="4" stopIfTrue="1" operator="lessThan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11D2B-EDC3-CF43-982E-B371E72BC126}">
  <sheetPr codeName="Sheet27"/>
  <dimension ref="A1:FS180"/>
  <sheetViews>
    <sheetView topLeftCell="A2" zoomScale="110" zoomScaleNormal="110" workbookViewId="0">
      <selection activeCell="B5" sqref="B5:B40"/>
    </sheetView>
  </sheetViews>
  <sheetFormatPr baseColWidth="10" defaultColWidth="10.83203125" defaultRowHeight="13" outlineLevelCol="1" x14ac:dyDescent="0.15"/>
  <cols>
    <col min="1" max="2" width="10.83203125" style="1"/>
    <col min="3" max="6" width="12.6640625" style="1" bestFit="1" customWidth="1"/>
    <col min="7" max="7" width="12.1640625" style="1" customWidth="1"/>
    <col min="8" max="8" width="12.6640625" style="1" bestFit="1" customWidth="1"/>
    <col min="9" max="9" width="12.1640625" style="1" customWidth="1"/>
    <col min="10" max="11" width="12.1640625" style="1" bestFit="1" customWidth="1"/>
    <col min="12" max="17" width="11.6640625" style="1" customWidth="1"/>
    <col min="18" max="19" width="12.6640625" style="1" bestFit="1" customWidth="1"/>
    <col min="20" max="20" width="13" style="1" customWidth="1"/>
    <col min="21" max="21" width="14.6640625" style="1" bestFit="1" customWidth="1"/>
    <col min="22" max="24" width="12.6640625" style="1" bestFit="1" customWidth="1"/>
    <col min="25" max="25" width="12.1640625" style="1" customWidth="1"/>
    <col min="26" max="26" width="12.6640625" style="1" bestFit="1" customWidth="1"/>
    <col min="27" max="27" width="12.1640625" style="1" customWidth="1"/>
    <col min="28" max="29" width="12.1640625" style="1" bestFit="1" customWidth="1"/>
    <col min="30" max="35" width="11.6640625" style="1" customWidth="1"/>
    <col min="36" max="36" width="14.6640625" style="1" bestFit="1" customWidth="1"/>
    <col min="37" max="37" width="12.6640625" style="1" bestFit="1" customWidth="1"/>
    <col min="38" max="39" width="12.1640625" style="1" customWidth="1"/>
    <col min="40" max="40" width="1" style="1" customWidth="1"/>
    <col min="41" max="47" width="10.83203125" style="4" outlineLevel="1"/>
    <col min="48" max="51" width="12.1640625" style="4" customWidth="1" outlineLevel="1"/>
    <col min="52" max="69" width="10.83203125" style="4" outlineLevel="1"/>
    <col min="70" max="72" width="12.1640625" style="4" customWidth="1" outlineLevel="1"/>
    <col min="73" max="73" width="8.1640625" style="4" customWidth="1" outlineLevel="1"/>
    <col min="74" max="74" width="12.1640625" style="4" customWidth="1" outlineLevel="1"/>
    <col min="75" max="75" width="8.1640625" style="4" customWidth="1" outlineLevel="1"/>
    <col min="76" max="76" width="12.1640625" style="4" customWidth="1" outlineLevel="1"/>
    <col min="77" max="77" width="8.1640625" style="4" customWidth="1" outlineLevel="1"/>
    <col min="78" max="78" width="12.1640625" style="4" customWidth="1" outlineLevel="1"/>
    <col min="79" max="79" width="8.1640625" style="4" customWidth="1" outlineLevel="1"/>
    <col min="80" max="80" width="12.1640625" style="4" customWidth="1" outlineLevel="1"/>
    <col min="81" max="81" width="8.1640625" style="4" customWidth="1" outlineLevel="1"/>
    <col min="82" max="82" width="12.1640625" style="4" customWidth="1" outlineLevel="1"/>
    <col min="83" max="86" width="8.1640625" style="4" customWidth="1" outlineLevel="1"/>
    <col min="87" max="87" width="12" style="10" customWidth="1" outlineLevel="1"/>
    <col min="88" max="88" width="8.1640625" style="10" customWidth="1" outlineLevel="1"/>
    <col min="89" max="89" width="8.1640625" style="4" customWidth="1" outlineLevel="1"/>
    <col min="90" max="107" width="10.83203125" style="4" outlineLevel="1"/>
    <col min="108" max="108" width="1" style="4" customWidth="1" outlineLevel="1"/>
    <col min="109" max="109" width="10.83203125" style="4" outlineLevel="1"/>
    <col min="110" max="110" width="12.1640625" style="4" customWidth="1" outlineLevel="1"/>
    <col min="111" max="111" width="0.83203125" style="4" customWidth="1" outlineLevel="1"/>
    <col min="112" max="112" width="10.83203125" style="4" outlineLevel="1"/>
    <col min="113" max="113" width="12.1640625" style="4" customWidth="1" outlineLevel="1"/>
    <col min="114" max="114" width="0.83203125" style="4" customWidth="1"/>
    <col min="115" max="128" width="12.1640625" style="4" customWidth="1"/>
    <col min="129" max="129" width="1.33203125" style="1" customWidth="1"/>
    <col min="130" max="148" width="10.83203125" style="4"/>
    <col min="149" max="151" width="12.1640625" style="4" customWidth="1"/>
    <col min="152" max="159" width="12.1640625" style="8" customWidth="1"/>
    <col min="160" max="171" width="12.1640625" style="4" customWidth="1"/>
    <col min="172" max="172" width="10.83203125" style="4"/>
    <col min="173" max="173" width="12.1640625" style="4" customWidth="1"/>
    <col min="174" max="174" width="10.83203125" style="4"/>
    <col min="175" max="175" width="12.1640625" style="4" customWidth="1"/>
    <col min="176" max="16384" width="10.83203125" style="1"/>
  </cols>
  <sheetData>
    <row r="1" spans="1:175" x14ac:dyDescent="0.15">
      <c r="C1" s="276" t="s">
        <v>10</v>
      </c>
      <c r="D1" s="276"/>
      <c r="E1" s="276"/>
      <c r="F1" s="276"/>
      <c r="G1" s="276"/>
      <c r="H1" s="276"/>
      <c r="I1" s="276"/>
      <c r="J1" s="276"/>
      <c r="K1" s="276"/>
      <c r="L1" s="276"/>
      <c r="M1" s="276"/>
      <c r="N1" s="276"/>
      <c r="O1" s="276"/>
      <c r="P1" s="276"/>
      <c r="Q1" s="276"/>
      <c r="R1" s="276"/>
      <c r="S1" s="276"/>
      <c r="T1" s="2"/>
      <c r="U1" s="276" t="s">
        <v>11</v>
      </c>
      <c r="V1" s="276"/>
      <c r="W1" s="276"/>
      <c r="X1" s="276"/>
      <c r="Y1" s="276"/>
      <c r="Z1" s="276"/>
      <c r="AA1" s="276"/>
      <c r="AB1" s="276"/>
      <c r="AC1" s="276"/>
      <c r="AD1" s="276"/>
      <c r="AE1" s="276"/>
      <c r="AF1" s="276"/>
      <c r="AG1" s="276"/>
      <c r="AH1" s="276"/>
      <c r="AI1" s="276"/>
      <c r="AJ1" s="276"/>
      <c r="AK1" s="276"/>
      <c r="AL1" s="12"/>
      <c r="AM1" s="12"/>
      <c r="AN1" s="2"/>
      <c r="AO1" s="279" t="s">
        <v>21</v>
      </c>
      <c r="AP1" s="280"/>
      <c r="AQ1" s="280"/>
      <c r="AR1" s="280"/>
      <c r="AS1" s="280"/>
      <c r="AT1" s="280"/>
      <c r="AU1" s="280"/>
      <c r="AV1" s="280"/>
      <c r="AW1" s="280"/>
      <c r="AX1" s="280"/>
      <c r="AY1" s="280"/>
      <c r="CH1" s="19"/>
      <c r="CK1" s="18"/>
      <c r="CL1" s="272" t="s">
        <v>12</v>
      </c>
      <c r="CM1" s="272"/>
      <c r="CN1" s="272"/>
      <c r="CO1" s="272"/>
      <c r="CP1" s="272"/>
      <c r="CQ1" s="272"/>
      <c r="CR1" s="272"/>
      <c r="CS1" s="272"/>
      <c r="CT1" s="272"/>
      <c r="CU1" s="272"/>
      <c r="CV1" s="272"/>
      <c r="CW1" s="272"/>
      <c r="CX1" s="272"/>
      <c r="CY1" s="272"/>
      <c r="CZ1" s="272"/>
      <c r="DA1" s="272"/>
      <c r="DB1" s="272"/>
      <c r="DC1" s="272"/>
      <c r="DD1" s="272"/>
      <c r="DE1" s="272"/>
      <c r="DF1" s="272"/>
      <c r="DG1" s="272"/>
      <c r="DH1" s="272"/>
      <c r="DI1" s="272"/>
      <c r="DJ1" s="272"/>
      <c r="DK1" s="272"/>
      <c r="DL1" s="272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2"/>
      <c r="DZ1" s="272" t="s">
        <v>48</v>
      </c>
      <c r="EA1" s="272"/>
      <c r="EB1" s="272"/>
      <c r="EC1" s="272"/>
      <c r="ED1" s="272"/>
      <c r="EE1" s="272"/>
      <c r="EF1" s="272"/>
      <c r="EG1" s="272"/>
      <c r="EH1" s="272"/>
      <c r="EI1" s="272"/>
      <c r="EJ1" s="272"/>
      <c r="EK1" s="272"/>
      <c r="EL1" s="272"/>
      <c r="EM1" s="272"/>
      <c r="EN1" s="272"/>
      <c r="EO1" s="272"/>
      <c r="EP1" s="272"/>
      <c r="EQ1" s="272"/>
      <c r="ER1" s="272"/>
      <c r="ES1" s="272"/>
      <c r="ET1" s="272"/>
      <c r="EU1" s="272"/>
      <c r="EV1" s="272"/>
      <c r="EW1" s="272"/>
      <c r="EX1" s="1"/>
      <c r="EY1" s="1"/>
      <c r="EZ1" s="1"/>
      <c r="FA1" s="1"/>
      <c r="FB1" s="1"/>
      <c r="FC1" s="1"/>
      <c r="FD1" s="3"/>
      <c r="FE1" s="3"/>
      <c r="FF1" s="3"/>
      <c r="FG1" s="3"/>
      <c r="FH1" s="3"/>
      <c r="FI1" s="15"/>
      <c r="FK1" s="16"/>
      <c r="FL1" s="3"/>
      <c r="FM1" s="3"/>
      <c r="FN1" s="15"/>
      <c r="FP1" s="1"/>
      <c r="FQ1" s="1"/>
      <c r="FR1" s="1"/>
      <c r="FS1" s="1"/>
    </row>
    <row r="2" spans="1:175" x14ac:dyDescent="0.15">
      <c r="C2" s="276"/>
      <c r="D2" s="276"/>
      <c r="E2" s="276"/>
      <c r="F2" s="276"/>
      <c r="G2" s="276"/>
      <c r="H2" s="276"/>
      <c r="I2" s="276"/>
      <c r="J2" s="276"/>
      <c r="K2" s="276"/>
      <c r="L2" s="276"/>
      <c r="M2" s="276"/>
      <c r="N2" s="276"/>
      <c r="O2" s="276"/>
      <c r="P2" s="276"/>
      <c r="Q2" s="276"/>
      <c r="R2" s="276"/>
      <c r="S2" s="276"/>
      <c r="T2" s="2"/>
      <c r="U2" s="276"/>
      <c r="V2" s="276"/>
      <c r="W2" s="276"/>
      <c r="X2" s="276"/>
      <c r="Y2" s="276"/>
      <c r="Z2" s="276"/>
      <c r="AA2" s="276"/>
      <c r="AB2" s="276"/>
      <c r="AC2" s="276"/>
      <c r="AD2" s="276"/>
      <c r="AE2" s="276"/>
      <c r="AF2" s="276"/>
      <c r="AG2" s="276"/>
      <c r="AH2" s="276"/>
      <c r="AI2" s="276"/>
      <c r="AJ2" s="276"/>
      <c r="AK2" s="276"/>
      <c r="AL2" s="12"/>
      <c r="AM2" s="12"/>
      <c r="AN2" s="2"/>
      <c r="AO2" s="281" t="s">
        <v>13</v>
      </c>
      <c r="AP2" s="264"/>
      <c r="AQ2" s="264"/>
      <c r="AR2" s="264"/>
      <c r="AS2" s="264"/>
      <c r="AT2" s="264" t="s">
        <v>1</v>
      </c>
      <c r="AU2" s="264"/>
      <c r="AV2" s="264" t="s">
        <v>22</v>
      </c>
      <c r="AW2" s="264"/>
      <c r="AX2" s="264" t="s">
        <v>0</v>
      </c>
      <c r="AY2" s="264"/>
      <c r="CH2" s="20"/>
      <c r="CI2" s="20"/>
      <c r="CJ2" s="20"/>
      <c r="CK2" s="18"/>
      <c r="CL2" s="273" t="s">
        <v>13</v>
      </c>
      <c r="CM2" s="274"/>
      <c r="CN2" s="274"/>
      <c r="CO2" s="274"/>
      <c r="CP2" s="274"/>
      <c r="CQ2" s="274"/>
      <c r="CR2" s="274"/>
      <c r="CS2" s="274"/>
      <c r="CT2" s="274"/>
      <c r="CU2" s="274"/>
      <c r="CV2" s="274"/>
      <c r="CW2" s="274"/>
      <c r="CX2" s="274"/>
      <c r="CY2" s="274"/>
      <c r="CZ2" s="274"/>
      <c r="DA2" s="274"/>
      <c r="DB2" s="274"/>
      <c r="DC2" s="275"/>
      <c r="DD2" s="3"/>
      <c r="DE2" s="272" t="s">
        <v>14</v>
      </c>
      <c r="DF2" s="272"/>
      <c r="DG2" s="3"/>
      <c r="DH2" s="272" t="s">
        <v>30</v>
      </c>
      <c r="DI2" s="272"/>
      <c r="DJ2" s="3"/>
      <c r="DK2" s="272" t="s">
        <v>15</v>
      </c>
      <c r="DL2" s="272"/>
      <c r="DM2" s="272" t="s">
        <v>43</v>
      </c>
      <c r="DN2" s="272"/>
      <c r="DO2" s="272" t="s">
        <v>40</v>
      </c>
      <c r="DP2" s="272"/>
      <c r="DQ2" s="272" t="s">
        <v>44</v>
      </c>
      <c r="DR2" s="272"/>
      <c r="DS2" s="273" t="s">
        <v>45</v>
      </c>
      <c r="DT2" s="274"/>
      <c r="DU2" s="274"/>
      <c r="DV2" s="274"/>
      <c r="DW2" s="274"/>
      <c r="DX2" s="275"/>
      <c r="DY2" s="2"/>
      <c r="DZ2" s="273" t="s">
        <v>13</v>
      </c>
      <c r="EA2" s="274"/>
      <c r="EB2" s="274"/>
      <c r="EC2" s="274"/>
      <c r="ED2" s="274"/>
      <c r="EE2" s="274"/>
      <c r="EF2" s="274"/>
      <c r="EG2" s="274"/>
      <c r="EH2" s="274"/>
      <c r="EI2" s="274"/>
      <c r="EJ2" s="274"/>
      <c r="EK2" s="274"/>
      <c r="EL2" s="274"/>
      <c r="EM2" s="274"/>
      <c r="EN2" s="274"/>
      <c r="EO2" s="274"/>
      <c r="EP2" s="274"/>
      <c r="EQ2" s="275"/>
      <c r="ER2" s="272" t="s">
        <v>14</v>
      </c>
      <c r="ES2" s="272"/>
      <c r="ET2" s="272" t="s">
        <v>30</v>
      </c>
      <c r="EU2" s="272"/>
      <c r="EV2" s="284" t="s">
        <v>15</v>
      </c>
      <c r="EW2" s="284"/>
      <c r="EX2" s="284" t="s">
        <v>46</v>
      </c>
      <c r="EY2" s="284"/>
      <c r="EZ2" s="284" t="s">
        <v>47</v>
      </c>
      <c r="FA2" s="284"/>
      <c r="FB2" s="284" t="s">
        <v>41</v>
      </c>
      <c r="FC2" s="284"/>
      <c r="FD2" s="273" t="s">
        <v>45</v>
      </c>
      <c r="FE2" s="274"/>
      <c r="FF2" s="274"/>
      <c r="FG2" s="274"/>
      <c r="FH2" s="274"/>
      <c r="FI2" s="275"/>
      <c r="FK2" s="272" t="s">
        <v>106</v>
      </c>
      <c r="FL2" s="272"/>
      <c r="FM2" s="272" t="s">
        <v>107</v>
      </c>
      <c r="FN2" s="272"/>
      <c r="FP2" s="272" t="s">
        <v>105</v>
      </c>
      <c r="FQ2" s="272"/>
      <c r="FR2" s="272" t="s">
        <v>108</v>
      </c>
      <c r="FS2" s="272"/>
    </row>
    <row r="3" spans="1:175" x14ac:dyDescent="0.15">
      <c r="C3" s="12"/>
      <c r="D3" s="276" t="s">
        <v>13</v>
      </c>
      <c r="E3" s="276"/>
      <c r="F3" s="276"/>
      <c r="G3" s="276"/>
      <c r="H3" s="12"/>
      <c r="I3" s="12"/>
      <c r="J3" s="12"/>
      <c r="K3" s="12"/>
      <c r="L3" s="12"/>
      <c r="M3" s="12"/>
      <c r="N3" s="278" t="s">
        <v>42</v>
      </c>
      <c r="O3" s="278"/>
      <c r="P3" s="278"/>
      <c r="Q3" s="278"/>
      <c r="R3" s="12"/>
      <c r="S3" s="12"/>
      <c r="T3" s="2"/>
      <c r="U3" s="12"/>
      <c r="V3" s="276" t="s">
        <v>13</v>
      </c>
      <c r="W3" s="276"/>
      <c r="X3" s="276"/>
      <c r="Y3" s="276"/>
      <c r="Z3" s="12"/>
      <c r="AA3" s="12"/>
      <c r="AB3" s="12"/>
      <c r="AC3" s="12"/>
      <c r="AD3" s="12"/>
      <c r="AE3" s="12"/>
      <c r="AF3" s="277" t="s">
        <v>42</v>
      </c>
      <c r="AG3" s="277"/>
      <c r="AH3" s="277"/>
      <c r="AI3" s="277"/>
      <c r="AJ3" s="12"/>
      <c r="AK3" s="12"/>
      <c r="AL3" s="12"/>
      <c r="AM3" s="12"/>
      <c r="AN3" s="2"/>
      <c r="AO3" s="13"/>
      <c r="AP3" s="14"/>
      <c r="AQ3" s="14"/>
      <c r="AR3" s="14"/>
      <c r="AS3" s="14"/>
      <c r="AT3" s="14"/>
      <c r="AU3" s="14"/>
      <c r="AV3" s="14"/>
      <c r="AW3" s="14"/>
      <c r="AX3" s="14"/>
      <c r="AY3" s="14"/>
      <c r="CH3" s="19"/>
      <c r="CK3" s="18"/>
      <c r="CL3" s="3"/>
      <c r="CM3" s="3"/>
      <c r="CN3" s="273" t="s">
        <v>13</v>
      </c>
      <c r="CO3" s="274"/>
      <c r="CP3" s="274"/>
      <c r="CQ3" s="275"/>
      <c r="CR3" s="3"/>
      <c r="CS3" s="3"/>
      <c r="CT3" s="3"/>
      <c r="CU3" s="3"/>
      <c r="CV3" s="3"/>
      <c r="CW3" s="3"/>
      <c r="CX3" s="273" t="s">
        <v>42</v>
      </c>
      <c r="CY3" s="274"/>
      <c r="CZ3" s="274"/>
      <c r="DA3" s="275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2"/>
      <c r="DZ3" s="3"/>
      <c r="EA3" s="3"/>
      <c r="EB3" s="273" t="s">
        <v>13</v>
      </c>
      <c r="EC3" s="274"/>
      <c r="ED3" s="274"/>
      <c r="EE3" s="275"/>
      <c r="EF3" s="3"/>
      <c r="EG3" s="3"/>
      <c r="EH3" s="3"/>
      <c r="EI3" s="3"/>
      <c r="EJ3" s="3"/>
      <c r="EK3" s="3"/>
      <c r="EL3" s="273" t="s">
        <v>42</v>
      </c>
      <c r="EM3" s="274"/>
      <c r="EN3" s="274"/>
      <c r="EO3" s="275"/>
      <c r="EP3" s="3"/>
      <c r="EQ3" s="3"/>
      <c r="ER3" s="3"/>
      <c r="ES3" s="3"/>
      <c r="ET3" s="3"/>
      <c r="EU3" s="3"/>
      <c r="EV3" s="6"/>
      <c r="EW3" s="6"/>
      <c r="EX3" s="6"/>
      <c r="EY3" s="6"/>
      <c r="EZ3" s="6"/>
      <c r="FA3" s="6"/>
      <c r="FB3" s="6"/>
      <c r="FC3" s="6"/>
      <c r="FD3" s="3"/>
      <c r="FE3" s="3"/>
      <c r="FF3" s="3"/>
      <c r="FG3" s="3"/>
      <c r="FH3" s="3"/>
      <c r="FI3" s="15"/>
      <c r="FK3" s="16"/>
      <c r="FL3" s="3"/>
      <c r="FM3" s="3"/>
      <c r="FN3" s="15"/>
      <c r="FP3" s="16"/>
      <c r="FQ3" s="3"/>
      <c r="FR3" s="16"/>
      <c r="FS3" s="3"/>
    </row>
    <row r="4" spans="1:175" ht="14" thickBot="1" x14ac:dyDescent="0.2">
      <c r="B4" s="1" t="s">
        <v>6</v>
      </c>
      <c r="C4" s="36" t="s">
        <v>3</v>
      </c>
      <c r="D4" s="36" t="s">
        <v>24</v>
      </c>
      <c r="E4" s="36" t="s">
        <v>25</v>
      </c>
      <c r="F4" s="36" t="s">
        <v>26</v>
      </c>
      <c r="G4" s="36" t="s">
        <v>38</v>
      </c>
      <c r="H4" s="36" t="s">
        <v>5</v>
      </c>
      <c r="I4" s="36" t="s">
        <v>22</v>
      </c>
      <c r="J4" s="36" t="s">
        <v>0</v>
      </c>
      <c r="K4" s="36" t="s">
        <v>39</v>
      </c>
      <c r="L4" s="36" t="s">
        <v>40</v>
      </c>
      <c r="M4" s="36" t="s">
        <v>41</v>
      </c>
      <c r="N4" s="37" t="s">
        <v>24</v>
      </c>
      <c r="O4" s="37" t="s">
        <v>25</v>
      </c>
      <c r="P4" s="37" t="s">
        <v>26</v>
      </c>
      <c r="Q4" s="37" t="s">
        <v>38</v>
      </c>
      <c r="R4" s="36" t="s">
        <v>4</v>
      </c>
      <c r="S4" s="36" t="s">
        <v>7</v>
      </c>
      <c r="T4" s="2"/>
      <c r="U4" s="36" t="s">
        <v>3</v>
      </c>
      <c r="V4" s="36" t="s">
        <v>24</v>
      </c>
      <c r="W4" s="36" t="s">
        <v>25</v>
      </c>
      <c r="X4" s="36" t="s">
        <v>26</v>
      </c>
      <c r="Y4" s="36" t="s">
        <v>38</v>
      </c>
      <c r="Z4" s="36" t="s">
        <v>5</v>
      </c>
      <c r="AA4" s="36" t="s">
        <v>22</v>
      </c>
      <c r="AB4" s="36" t="s">
        <v>0</v>
      </c>
      <c r="AC4" s="36" t="s">
        <v>39</v>
      </c>
      <c r="AD4" s="36" t="s">
        <v>40</v>
      </c>
      <c r="AE4" s="36" t="s">
        <v>41</v>
      </c>
      <c r="AF4" s="39" t="s">
        <v>24</v>
      </c>
      <c r="AG4" s="39" t="s">
        <v>25</v>
      </c>
      <c r="AH4" s="39" t="s">
        <v>26</v>
      </c>
      <c r="AI4" s="39" t="s">
        <v>38</v>
      </c>
      <c r="AJ4" s="36" t="s">
        <v>4</v>
      </c>
      <c r="AK4" s="36" t="s">
        <v>7</v>
      </c>
      <c r="AL4" s="36" t="s">
        <v>77</v>
      </c>
      <c r="AM4" s="36" t="s">
        <v>78</v>
      </c>
      <c r="AN4" s="2"/>
      <c r="AO4" s="251" t="s">
        <v>23</v>
      </c>
      <c r="AP4" s="252"/>
      <c r="AQ4" s="116" t="s">
        <v>24</v>
      </c>
      <c r="AR4" s="116" t="s">
        <v>25</v>
      </c>
      <c r="AS4" s="116" t="s">
        <v>26</v>
      </c>
      <c r="AT4" s="116" t="s">
        <v>23</v>
      </c>
      <c r="AU4" s="116" t="s">
        <v>24</v>
      </c>
      <c r="AV4" s="116" t="s">
        <v>23</v>
      </c>
      <c r="AW4" s="116" t="s">
        <v>24</v>
      </c>
      <c r="AX4" s="116" t="s">
        <v>23</v>
      </c>
      <c r="AY4" s="116" t="s">
        <v>24</v>
      </c>
      <c r="CH4" s="21"/>
      <c r="CK4" s="18"/>
      <c r="CL4" s="3" t="str">
        <f>C4</f>
        <v>Bit-rate</v>
      </c>
      <c r="CM4" s="3" t="str">
        <f>D4</f>
        <v>Y</v>
      </c>
      <c r="CN4" s="3" t="str">
        <f t="shared" ref="CN4:DC4" si="0">D4</f>
        <v>Y</v>
      </c>
      <c r="CO4" s="3" t="str">
        <f t="shared" si="0"/>
        <v>U</v>
      </c>
      <c r="CP4" s="3" t="str">
        <f t="shared" si="0"/>
        <v>V</v>
      </c>
      <c r="CQ4" s="3" t="str">
        <f t="shared" si="0"/>
        <v>YUV</v>
      </c>
      <c r="CR4" s="3" t="str">
        <f t="shared" si="0"/>
        <v>SSIM_Y</v>
      </c>
      <c r="CS4" s="3" t="str">
        <f t="shared" si="0"/>
        <v>MS-SSIM</v>
      </c>
      <c r="CT4" s="3" t="str">
        <f t="shared" si="0"/>
        <v>VMAF</v>
      </c>
      <c r="CU4" s="3" t="str">
        <f t="shared" si="0"/>
        <v>nVMAF</v>
      </c>
      <c r="CV4" s="3" t="str">
        <f t="shared" si="0"/>
        <v>PSNR-HVS</v>
      </c>
      <c r="CW4" s="3" t="str">
        <f t="shared" si="0"/>
        <v>DE-2K</v>
      </c>
      <c r="CX4" s="3" t="str">
        <f t="shared" si="0"/>
        <v>Y</v>
      </c>
      <c r="CY4" s="3" t="str">
        <f t="shared" si="0"/>
        <v>U</v>
      </c>
      <c r="CZ4" s="3" t="str">
        <f t="shared" si="0"/>
        <v>V</v>
      </c>
      <c r="DA4" s="3" t="str">
        <f t="shared" si="0"/>
        <v>YUV</v>
      </c>
      <c r="DB4" s="3" t="str">
        <f t="shared" si="0"/>
        <v>Enc-Time</v>
      </c>
      <c r="DC4" s="3" t="str">
        <f t="shared" si="0"/>
        <v>Dec-Time</v>
      </c>
      <c r="DD4" s="3"/>
      <c r="DE4" s="3" t="s">
        <v>3</v>
      </c>
      <c r="DF4" s="3" t="str">
        <f>Z4</f>
        <v>SSIM_Y</v>
      </c>
      <c r="DG4" s="3"/>
      <c r="DH4" s="3" t="s">
        <v>3</v>
      </c>
      <c r="DI4" s="3" t="str">
        <f>I4</f>
        <v>MS-SSIM</v>
      </c>
      <c r="DJ4" s="3"/>
      <c r="DK4" s="3" t="s">
        <v>3</v>
      </c>
      <c r="DL4" s="3" t="str">
        <f>J4</f>
        <v>VMAF</v>
      </c>
      <c r="DM4" s="3" t="s">
        <v>3</v>
      </c>
      <c r="DN4" s="3" t="str">
        <f>K4</f>
        <v>nVMAF</v>
      </c>
      <c r="DO4" s="3" t="s">
        <v>3</v>
      </c>
      <c r="DP4" s="3" t="str">
        <f>L4</f>
        <v>PSNR-HVS</v>
      </c>
      <c r="DQ4" s="3" t="s">
        <v>3</v>
      </c>
      <c r="DR4" s="3" t="str">
        <f>M4</f>
        <v>DE-2K</v>
      </c>
      <c r="DS4" s="3" t="s">
        <v>3</v>
      </c>
      <c r="DT4" s="3" t="str">
        <f>N4</f>
        <v>Y</v>
      </c>
      <c r="DU4" s="3" t="str">
        <f>N4</f>
        <v>Y</v>
      </c>
      <c r="DV4" s="3" t="str">
        <f>O4</f>
        <v>U</v>
      </c>
      <c r="DW4" s="3" t="str">
        <f>P4</f>
        <v>V</v>
      </c>
      <c r="DX4" s="3" t="str">
        <f>Q4</f>
        <v>YUV</v>
      </c>
      <c r="DY4" s="2"/>
      <c r="DZ4" s="3" t="s">
        <v>3</v>
      </c>
      <c r="EA4" s="3" t="s">
        <v>2</v>
      </c>
      <c r="EB4" s="3" t="str">
        <f t="shared" ref="EB4:EQ4" si="1">V4</f>
        <v>Y</v>
      </c>
      <c r="EC4" s="3" t="str">
        <f t="shared" si="1"/>
        <v>U</v>
      </c>
      <c r="ED4" s="3" t="str">
        <f t="shared" si="1"/>
        <v>V</v>
      </c>
      <c r="EE4" s="3" t="str">
        <f t="shared" si="1"/>
        <v>YUV</v>
      </c>
      <c r="EF4" s="3" t="str">
        <f t="shared" si="1"/>
        <v>SSIM_Y</v>
      </c>
      <c r="EG4" s="3" t="str">
        <f t="shared" si="1"/>
        <v>MS-SSIM</v>
      </c>
      <c r="EH4" s="3" t="str">
        <f t="shared" si="1"/>
        <v>VMAF</v>
      </c>
      <c r="EI4" s="3" t="str">
        <f t="shared" si="1"/>
        <v>nVMAF</v>
      </c>
      <c r="EJ4" s="3" t="str">
        <f t="shared" si="1"/>
        <v>PSNR-HVS</v>
      </c>
      <c r="EK4" s="3" t="str">
        <f t="shared" si="1"/>
        <v>DE-2K</v>
      </c>
      <c r="EL4" s="3" t="str">
        <f t="shared" si="1"/>
        <v>Y</v>
      </c>
      <c r="EM4" s="3" t="str">
        <f t="shared" si="1"/>
        <v>U</v>
      </c>
      <c r="EN4" s="3" t="str">
        <f t="shared" si="1"/>
        <v>V</v>
      </c>
      <c r="EO4" s="3" t="str">
        <f t="shared" si="1"/>
        <v>YUV</v>
      </c>
      <c r="EP4" s="3" t="str">
        <f t="shared" si="1"/>
        <v>Enc-Time</v>
      </c>
      <c r="EQ4" s="3" t="str">
        <f t="shared" si="1"/>
        <v>Dec-Time</v>
      </c>
      <c r="ER4" s="3" t="s">
        <v>3</v>
      </c>
      <c r="ES4" s="3" t="s">
        <v>1</v>
      </c>
      <c r="ET4" s="3" t="s">
        <v>3</v>
      </c>
      <c r="EU4" s="3" t="s">
        <v>1</v>
      </c>
      <c r="EV4" s="6" t="s">
        <v>3</v>
      </c>
      <c r="EW4" s="6" t="s">
        <v>0</v>
      </c>
      <c r="EX4" s="6" t="s">
        <v>3</v>
      </c>
      <c r="EY4" s="6" t="s">
        <v>39</v>
      </c>
      <c r="EZ4" s="6" t="s">
        <v>3</v>
      </c>
      <c r="FA4" s="6" t="s">
        <v>39</v>
      </c>
      <c r="FB4" s="6" t="s">
        <v>3</v>
      </c>
      <c r="FC4" s="6" t="s">
        <v>39</v>
      </c>
      <c r="FD4" s="3" t="s">
        <v>3</v>
      </c>
      <c r="FE4" s="3" t="s">
        <v>24</v>
      </c>
      <c r="FF4" s="3" t="s">
        <v>24</v>
      </c>
      <c r="FG4" s="3" t="s">
        <v>25</v>
      </c>
      <c r="FH4" s="3" t="s">
        <v>26</v>
      </c>
      <c r="FI4" s="15" t="s">
        <v>38</v>
      </c>
      <c r="FK4" s="16" t="s">
        <v>3</v>
      </c>
      <c r="FL4" s="3">
        <f>BH4</f>
        <v>0</v>
      </c>
      <c r="FM4" s="3" t="s">
        <v>3</v>
      </c>
      <c r="FN4" s="15">
        <f>BJ4</f>
        <v>0</v>
      </c>
      <c r="FP4" s="16" t="s">
        <v>3</v>
      </c>
      <c r="FQ4" s="3" t="s">
        <v>104</v>
      </c>
      <c r="FR4" s="16" t="s">
        <v>3</v>
      </c>
      <c r="FS4" s="3" t="s">
        <v>104</v>
      </c>
    </row>
    <row r="5" spans="1:175" ht="13" customHeight="1" x14ac:dyDescent="0.15">
      <c r="A5" s="249" t="s">
        <v>17</v>
      </c>
      <c r="B5" s="38">
        <v>110</v>
      </c>
      <c r="C5" s="129">
        <f>Anchor!L182</f>
        <v>0</v>
      </c>
      <c r="D5" s="129">
        <f>Anchor!M182</f>
        <v>0</v>
      </c>
      <c r="E5" s="129">
        <f>Anchor!N182</f>
        <v>0</v>
      </c>
      <c r="F5" s="129">
        <f>Anchor!O182</f>
        <v>0</v>
      </c>
      <c r="G5" s="130">
        <f>('Summary (Full)'!$B$34*D5+'Summary (Full)'!$B$35*E5+'Summary (Full)'!$B$36*F5)/'Summary (Full)'!$B$37</f>
        <v>0</v>
      </c>
      <c r="H5" s="129">
        <f>Anchor!P182</f>
        <v>0</v>
      </c>
      <c r="I5" s="129">
        <f>Anchor!Q182</f>
        <v>0</v>
      </c>
      <c r="J5" s="129">
        <f>Anchor!R182</f>
        <v>0</v>
      </c>
      <c r="K5" s="129">
        <f>Anchor!S182</f>
        <v>0</v>
      </c>
      <c r="L5" s="129">
        <f>Anchor!T182</f>
        <v>0</v>
      </c>
      <c r="M5" s="129">
        <f>Anchor!U182</f>
        <v>0</v>
      </c>
      <c r="N5" s="129">
        <f>Anchor!V182</f>
        <v>0</v>
      </c>
      <c r="O5" s="129">
        <f>Anchor!W182</f>
        <v>0</v>
      </c>
      <c r="P5" s="129">
        <f>Anchor!X182</f>
        <v>0</v>
      </c>
      <c r="Q5" s="131">
        <f>10*LOG10(1/(('Summary (Full)'!$B$41/10^(N5/10)+'Summary (Full)'!$B$42/10^(O5/10)+'Summary (Full)'!$B$43/10^(P5/10))/'Summary (Full)'!$B$44))</f>
        <v>0</v>
      </c>
      <c r="R5" s="129">
        <f>Anchor!Y182</f>
        <v>0</v>
      </c>
      <c r="S5" s="129">
        <f>Anchor!Z182</f>
        <v>0</v>
      </c>
      <c r="T5" s="132"/>
      <c r="U5" s="129">
        <f>Test!L182</f>
        <v>0</v>
      </c>
      <c r="V5" s="129">
        <f>Test!M182</f>
        <v>0</v>
      </c>
      <c r="W5" s="129">
        <f>Test!N182</f>
        <v>0</v>
      </c>
      <c r="X5" s="129">
        <f>Test!O182</f>
        <v>0</v>
      </c>
      <c r="Y5" s="129">
        <f>('Summary (Full)'!$B$34*V5+'Summary (Full)'!$B$35*W5+'Summary (Full)'!$B$36*X5)/'Summary (Full)'!$B$37</f>
        <v>0</v>
      </c>
      <c r="Z5" s="129">
        <f>Test!P182</f>
        <v>0</v>
      </c>
      <c r="AA5" s="129">
        <f>Test!Q182</f>
        <v>0</v>
      </c>
      <c r="AB5" s="129">
        <f>Test!R182</f>
        <v>0</v>
      </c>
      <c r="AC5" s="129">
        <f>Test!S182</f>
        <v>0</v>
      </c>
      <c r="AD5" s="129">
        <f>Test!T182</f>
        <v>0</v>
      </c>
      <c r="AE5" s="129">
        <f>Test!U182</f>
        <v>0</v>
      </c>
      <c r="AF5" s="129">
        <f>Test!V182</f>
        <v>0</v>
      </c>
      <c r="AG5" s="129">
        <f>Test!W182</f>
        <v>0</v>
      </c>
      <c r="AH5" s="129">
        <f>Test!X182</f>
        <v>0</v>
      </c>
      <c r="AI5" s="129">
        <f>10*LOG10(1/(('Summary (Full)'!$B$41/10^(AF5/10)+'Summary (Full)'!$B$42/10^(AG5/10)+'Summary (Full)'!$B$43/10^(AH5/10))/'Summary (Full)'!$B$44))</f>
        <v>0</v>
      </c>
      <c r="AJ5" s="129">
        <f>Test!Y182</f>
        <v>0</v>
      </c>
      <c r="AK5" s="129">
        <f>Test!Z182</f>
        <v>0</v>
      </c>
      <c r="AL5" s="129" t="e">
        <f>AJ5/R5</f>
        <v>#DIV/0!</v>
      </c>
      <c r="AM5" s="129" t="e">
        <f>AK5/S5</f>
        <v>#DIV/0!</v>
      </c>
      <c r="AO5" s="253" t="s">
        <v>27</v>
      </c>
      <c r="AP5" s="171" t="e" cm="1">
        <f t="array" ref="AP5">bdRateExtend($C5:$C8,D5:D8,$U5:$U8,V5:V8)</f>
        <v>#VALUE!</v>
      </c>
      <c r="AQ5" s="171" t="e" cm="1">
        <f t="array" ref="AQ5">bdRateExtend($C5:$C10,D5:D10,$U5:$U10,V5:V10)</f>
        <v>#VALUE!</v>
      </c>
      <c r="AR5" s="171" t="e" cm="1">
        <f t="array" ref="AR5">bdRateExtend($C5:$C10,E5:E10,$U5:$U10,W5:W10)</f>
        <v>#VALUE!</v>
      </c>
      <c r="AS5" s="171" t="e" cm="1">
        <f t="array" ref="AS5">bdRateExtend($C5:$C10,F5:F10,$U5:$U10,X5:X10)</f>
        <v>#VALUE!</v>
      </c>
      <c r="AT5" s="171" t="e" cm="1">
        <f t="array" ref="AT5">bdRateExtend($C5:$C8,H5:H8,$U5:$U8,Z5:Z8)</f>
        <v>#VALUE!</v>
      </c>
      <c r="AU5" s="171" t="e" cm="1">
        <f t="array" ref="AU5">bdRateExtend($C5:$C10,H5:H10,$U5:$U10,Z5:Z10)</f>
        <v>#VALUE!</v>
      </c>
      <c r="AV5" s="171" t="e" cm="1">
        <f t="array" ref="AV5">bdRateExtend($C5:$C8,I5:I8,$U5:$U8,AA5:AA8)</f>
        <v>#VALUE!</v>
      </c>
      <c r="AW5" s="171" t="e" cm="1">
        <f t="array" ref="AW5">bdRateExtend($C5:$C10,I5:I10,$U5:$U10,AA5:AA10)</f>
        <v>#VALUE!</v>
      </c>
      <c r="AX5" s="171" t="e" cm="1">
        <f t="array" ref="AX5">bdRateExtend($C5:$C8,J5:J8,$U5:$U8,AB5:AB8,"None", FALSE,1)</f>
        <v>#VALUE!</v>
      </c>
      <c r="AY5" s="174" t="e" cm="1">
        <f t="array" ref="AY5">bdRateExtend($C5:$C10,J5:J10,$U5:$U10,AB5:AB10,"None", FALSE,1)</f>
        <v>#VALUE!</v>
      </c>
      <c r="AZ5" s="285" cm="1">
        <f t="array" ref="AZ5">testVMAFRange($C5:$C8,J5:J8,$U5:$U8,AB5:AB8)</f>
        <v>0</v>
      </c>
      <c r="BA5" s="211" cm="1">
        <f t="array" ref="BA5">testVMAFRange($C5:$C10,J5:J10,$U5:$U10,AB5:AB10)</f>
        <v>0</v>
      </c>
      <c r="CH5" s="5"/>
      <c r="CI5" s="11" t="s">
        <v>31</v>
      </c>
      <c r="CJ5" s="10" t="e" cm="1">
        <f t="array" ref="CJ5">MIN(IF(CL1:CL201&gt;0,CL1:CL201))</f>
        <v>#VALUE!</v>
      </c>
      <c r="CK5" s="5"/>
      <c r="CL5" s="4" t="e" cm="1">
        <f t="array" ref="CL5">ConvexHullInterpolate(C5:C40,D5:D40,TRUE,6,'Summary (Full)'!B30,D5:S40)</f>
        <v>#VALUE!</v>
      </c>
      <c r="DE5" s="4" t="e" cm="1">
        <f t="array" ref="DE5">ConvexHullInterpolate(C5:C40,H5:H40,TRUE,6,'Summary (Full)'!B30)</f>
        <v>#VALUE!</v>
      </c>
      <c r="DH5" s="4" t="e" cm="1">
        <f t="array" ref="DH5">ConvexHullInterpolate($C5:$C40,I5:I40,TRUE,6,'Summary (Full)'!B30)</f>
        <v>#VALUE!</v>
      </c>
      <c r="DK5" s="4" t="e" cm="1">
        <f t="array" ref="DK5">ConvexHullInterpolate($C5:$C40,J5:J40,TRUE,6,'Summary (Full)'!B30)</f>
        <v>#VALUE!</v>
      </c>
      <c r="DM5" s="4" t="e" cm="1">
        <f t="array" ref="DM5">ConvexHullInterpolate($C5:$C40,K5:K40,TRUE,6,'Summary (Full)'!B30)</f>
        <v>#VALUE!</v>
      </c>
      <c r="DO5" s="4" t="e" cm="1">
        <f t="array" ref="DO5">ConvexHullInterpolate($C5:$C40,L5:L40,TRUE,6,'Summary (Full)'!B30)</f>
        <v>#VALUE!</v>
      </c>
      <c r="DQ5" s="4" t="e" cm="1">
        <f t="array" ref="DQ5">ConvexHullInterpolate($C5:$C40,M5:M40,TRUE,6,'Summary (Full)'!B30)</f>
        <v>#VALUE!</v>
      </c>
      <c r="DS5" s="4" t="e" cm="1">
        <f t="array" ref="DS5">ConvexHullInterpolate($C5:$C40,N5:N40,TRUE,6,'Summary (Full)'!B30, N5:Q40)</f>
        <v>#VALUE!</v>
      </c>
      <c r="DZ5" s="4" t="e" cm="1">
        <f t="array" ref="DZ5">ConvexHullInterpolate(U5:U40,V5:V40,TRUE,6,'Summary (Full)'!B30,V5:AK40)</f>
        <v>#VALUE!</v>
      </c>
      <c r="ER5" s="4" t="e" cm="1">
        <f t="array" ref="ER5">ConvexHullInterpolate($U5:$U40,Z5:Z40,TRUE,6,'Summary (Full)'!B30)</f>
        <v>#VALUE!</v>
      </c>
      <c r="ET5" s="4" t="e" cm="1">
        <f t="array" ref="ET5">ConvexHullInterpolate($U5:$U40,AA5:AA40,TRUE,6,'Summary (Full)'!B30)</f>
        <v>#VALUE!</v>
      </c>
      <c r="EV5" s="7" t="e" cm="1">
        <f t="array" ref="EV5">ConvexHullInterpolate($U5:$U40,AB5:AB40,TRUE,6,'Summary (Full)'!B30)</f>
        <v>#VALUE!</v>
      </c>
      <c r="EW5" s="7"/>
      <c r="EX5" s="7" t="e" cm="1">
        <f t="array" ref="EX5">ConvexHullInterpolate($U5:$U40,AC5:AC40,TRUE,6,'Summary (Full)'!B30)</f>
        <v>#VALUE!</v>
      </c>
      <c r="EY5" s="7"/>
      <c r="EZ5" s="7" t="e" cm="1">
        <f t="array" ref="EZ5">ConvexHullInterpolate($U5:$U40,AD5:AD40,TRUE,6,'Summary (Full)'!B30)</f>
        <v>#VALUE!</v>
      </c>
      <c r="FA5" s="7"/>
      <c r="FB5" s="7" t="e" cm="1">
        <f t="array" ref="FB5">ConvexHullInterpolate($U5:$U40,AE5:AE40,TRUE,6,'Summary (Full)'!B30)</f>
        <v>#VALUE!</v>
      </c>
      <c r="FC5" s="7"/>
      <c r="FD5" s="4" t="e" cm="1">
        <f t="array" ref="FD5">ConvexHullInterpolate($U5:$U40,AF5:AF40,TRUE,6,'Summary (Full)'!B30, AF5:AI40)</f>
        <v>#VALUE!</v>
      </c>
      <c r="FK5" s="4" t="e" cm="1">
        <f t="array" ref="FK5">ConvexHullInterpolate($C5:$C40,G5:G40,TRUE,6,'Summary (Full)'!B30)</f>
        <v>#VALUE!</v>
      </c>
      <c r="FM5" s="4" t="e" cm="1">
        <f t="array" ref="FM5">ConvexHullInterpolate($C5:$C40,Q5:Q40,TRUE,6,'Summary (Full)'!B30)</f>
        <v>#VALUE!</v>
      </c>
      <c r="FP5" s="4" t="e" cm="1">
        <f t="array" ref="FP5">ConvexHullInterpolate($U5:$U40,Y5:Y40,TRUE,6,'Summary (Full)'!B30)</f>
        <v>#VALUE!</v>
      </c>
      <c r="FR5" s="4" t="e" cm="1">
        <f t="array" ref="FR5">ConvexHullInterpolate($U5:$U40,AI5:AI40,TRUE,6,'Summary (Full)'!B30)</f>
        <v>#VALUE!</v>
      </c>
    </row>
    <row r="6" spans="1:175" x14ac:dyDescent="0.15">
      <c r="A6" s="249"/>
      <c r="B6" s="38">
        <v>135</v>
      </c>
      <c r="C6" s="129">
        <f>Anchor!L183</f>
        <v>0</v>
      </c>
      <c r="D6" s="129">
        <f>Anchor!M183</f>
        <v>0</v>
      </c>
      <c r="E6" s="129">
        <f>Anchor!N183</f>
        <v>0</v>
      </c>
      <c r="F6" s="129">
        <f>Anchor!O183</f>
        <v>0</v>
      </c>
      <c r="G6" s="130">
        <f>('Summary (Full)'!$B$34*D6+'Summary (Full)'!$B$35*E6+'Summary (Full)'!$B$36*F6)/'Summary (Full)'!$B$37</f>
        <v>0</v>
      </c>
      <c r="H6" s="129">
        <f>Anchor!P183</f>
        <v>0</v>
      </c>
      <c r="I6" s="129">
        <f>Anchor!Q183</f>
        <v>0</v>
      </c>
      <c r="J6" s="129">
        <f>Anchor!R183</f>
        <v>0</v>
      </c>
      <c r="K6" s="129">
        <f>Anchor!S183</f>
        <v>0</v>
      </c>
      <c r="L6" s="129">
        <f>Anchor!T183</f>
        <v>0</v>
      </c>
      <c r="M6" s="129">
        <f>Anchor!U183</f>
        <v>0</v>
      </c>
      <c r="N6" s="129">
        <f>Anchor!V183</f>
        <v>0</v>
      </c>
      <c r="O6" s="129">
        <f>Anchor!W183</f>
        <v>0</v>
      </c>
      <c r="P6" s="129">
        <f>Anchor!X183</f>
        <v>0</v>
      </c>
      <c r="Q6" s="131">
        <f>10*LOG10(1/(('Summary (Full)'!$B$41/10^(N6/10)+'Summary (Full)'!$B$42/10^(O6/10)+'Summary (Full)'!$B$43/10^(P6/10))/'Summary (Full)'!$B$44))</f>
        <v>0</v>
      </c>
      <c r="R6" s="129">
        <f>Anchor!Y183</f>
        <v>0</v>
      </c>
      <c r="S6" s="129">
        <f>Anchor!Z183</f>
        <v>0</v>
      </c>
      <c r="T6" s="132"/>
      <c r="U6" s="129">
        <f>Test!L183</f>
        <v>0</v>
      </c>
      <c r="V6" s="129">
        <f>Test!M183</f>
        <v>0</v>
      </c>
      <c r="W6" s="129">
        <f>Test!N183</f>
        <v>0</v>
      </c>
      <c r="X6" s="129">
        <f>Test!O183</f>
        <v>0</v>
      </c>
      <c r="Y6" s="129">
        <f>('Summary (Full)'!$B$34*V6+'Summary (Full)'!$B$35*W6+'Summary (Full)'!$B$36*X6)/'Summary (Full)'!$B$37</f>
        <v>0</v>
      </c>
      <c r="Z6" s="129">
        <f>Test!P183</f>
        <v>0</v>
      </c>
      <c r="AA6" s="129">
        <f>Test!Q183</f>
        <v>0</v>
      </c>
      <c r="AB6" s="129">
        <f>Test!R183</f>
        <v>0</v>
      </c>
      <c r="AC6" s="129">
        <f>Test!S183</f>
        <v>0</v>
      </c>
      <c r="AD6" s="129">
        <f>Test!T183</f>
        <v>0</v>
      </c>
      <c r="AE6" s="129">
        <f>Test!U183</f>
        <v>0</v>
      </c>
      <c r="AF6" s="129">
        <f>Test!V183</f>
        <v>0</v>
      </c>
      <c r="AG6" s="129">
        <f>Test!W183</f>
        <v>0</v>
      </c>
      <c r="AH6" s="129">
        <f>Test!X183</f>
        <v>0</v>
      </c>
      <c r="AI6" s="129">
        <f>10*LOG10(1/(('Summary (Full)'!$B$41/10^(AF6/10)+'Summary (Full)'!$B$42/10^(AG6/10)+'Summary (Full)'!$B$43/10^(AH6/10))/'Summary (Full)'!$B$44))</f>
        <v>0</v>
      </c>
      <c r="AJ6" s="129">
        <f>Test!Y183</f>
        <v>0</v>
      </c>
      <c r="AK6" s="129">
        <f>Test!Z183</f>
        <v>0</v>
      </c>
      <c r="AL6" s="129" t="e">
        <f t="shared" ref="AL6:AM40" si="2">AJ6/R6</f>
        <v>#DIV/0!</v>
      </c>
      <c r="AM6" s="129" t="e">
        <f t="shared" si="2"/>
        <v>#DIV/0!</v>
      </c>
      <c r="AO6" s="254"/>
      <c r="AP6" s="172"/>
      <c r="AQ6" s="172"/>
      <c r="AR6" s="172"/>
      <c r="AS6" s="172"/>
      <c r="AT6" s="172"/>
      <c r="AU6" s="172"/>
      <c r="AV6" s="172"/>
      <c r="AW6" s="172"/>
      <c r="AX6" s="172"/>
      <c r="AY6" s="175"/>
      <c r="AZ6" s="286"/>
      <c r="BA6" s="212"/>
      <c r="CH6" s="5"/>
      <c r="CI6" s="11" t="s">
        <v>32</v>
      </c>
      <c r="CJ6" s="10" t="e">
        <f>MAX(CL1:CL201)</f>
        <v>#VALUE!</v>
      </c>
      <c r="CK6" s="5"/>
      <c r="EV6" s="7"/>
      <c r="EW6" s="7"/>
      <c r="EX6" s="7"/>
      <c r="EY6" s="7"/>
      <c r="EZ6" s="7"/>
      <c r="FA6" s="7"/>
      <c r="FB6" s="7"/>
      <c r="FC6" s="7"/>
    </row>
    <row r="7" spans="1:175" ht="13" customHeight="1" x14ac:dyDescent="0.15">
      <c r="A7" s="249"/>
      <c r="B7" s="38">
        <v>160</v>
      </c>
      <c r="C7" s="129">
        <f>Anchor!L184</f>
        <v>0</v>
      </c>
      <c r="D7" s="129">
        <f>Anchor!M184</f>
        <v>0</v>
      </c>
      <c r="E7" s="129">
        <f>Anchor!N184</f>
        <v>0</v>
      </c>
      <c r="F7" s="129">
        <f>Anchor!O184</f>
        <v>0</v>
      </c>
      <c r="G7" s="130">
        <f>('Summary (Full)'!$B$34*D7+'Summary (Full)'!$B$35*E7+'Summary (Full)'!$B$36*F7)/'Summary (Full)'!$B$37</f>
        <v>0</v>
      </c>
      <c r="H7" s="129">
        <f>Anchor!P184</f>
        <v>0</v>
      </c>
      <c r="I7" s="129">
        <f>Anchor!Q184</f>
        <v>0</v>
      </c>
      <c r="J7" s="129">
        <f>Anchor!R184</f>
        <v>0</v>
      </c>
      <c r="K7" s="129">
        <f>Anchor!S184</f>
        <v>0</v>
      </c>
      <c r="L7" s="129">
        <f>Anchor!T184</f>
        <v>0</v>
      </c>
      <c r="M7" s="129">
        <f>Anchor!U184</f>
        <v>0</v>
      </c>
      <c r="N7" s="129">
        <f>Anchor!V184</f>
        <v>0</v>
      </c>
      <c r="O7" s="129">
        <f>Anchor!W184</f>
        <v>0</v>
      </c>
      <c r="P7" s="129">
        <f>Anchor!X184</f>
        <v>0</v>
      </c>
      <c r="Q7" s="131">
        <f>10*LOG10(1/(('Summary (Full)'!$B$41/10^(N7/10)+'Summary (Full)'!$B$42/10^(O7/10)+'Summary (Full)'!$B$43/10^(P7/10))/'Summary (Full)'!$B$44))</f>
        <v>0</v>
      </c>
      <c r="R7" s="129">
        <f>Anchor!Y184</f>
        <v>0</v>
      </c>
      <c r="S7" s="129">
        <f>Anchor!Z184</f>
        <v>0</v>
      </c>
      <c r="T7" s="132"/>
      <c r="U7" s="129">
        <f>Test!L184</f>
        <v>0</v>
      </c>
      <c r="V7" s="129">
        <f>Test!M184</f>
        <v>0</v>
      </c>
      <c r="W7" s="129">
        <f>Test!N184</f>
        <v>0</v>
      </c>
      <c r="X7" s="129">
        <f>Test!O184</f>
        <v>0</v>
      </c>
      <c r="Y7" s="129">
        <f>('Summary (Full)'!$B$34*V7+'Summary (Full)'!$B$35*W7+'Summary (Full)'!$B$36*X7)/'Summary (Full)'!$B$37</f>
        <v>0</v>
      </c>
      <c r="Z7" s="129">
        <f>Test!P184</f>
        <v>0</v>
      </c>
      <c r="AA7" s="129">
        <f>Test!Q184</f>
        <v>0</v>
      </c>
      <c r="AB7" s="129">
        <f>Test!R184</f>
        <v>0</v>
      </c>
      <c r="AC7" s="129">
        <f>Test!S184</f>
        <v>0</v>
      </c>
      <c r="AD7" s="129">
        <f>Test!T184</f>
        <v>0</v>
      </c>
      <c r="AE7" s="129">
        <f>Test!U184</f>
        <v>0</v>
      </c>
      <c r="AF7" s="129">
        <f>Test!V184</f>
        <v>0</v>
      </c>
      <c r="AG7" s="129">
        <f>Test!W184</f>
        <v>0</v>
      </c>
      <c r="AH7" s="129">
        <f>Test!X184</f>
        <v>0</v>
      </c>
      <c r="AI7" s="129">
        <f>10*LOG10(1/(('Summary (Full)'!$B$41/10^(AF7/10)+'Summary (Full)'!$B$42/10^(AG7/10)+'Summary (Full)'!$B$43/10^(AH7/10))/'Summary (Full)'!$B$44))</f>
        <v>0</v>
      </c>
      <c r="AJ7" s="129">
        <f>Test!Y184</f>
        <v>0</v>
      </c>
      <c r="AK7" s="129">
        <f>Test!Z184</f>
        <v>0</v>
      </c>
      <c r="AL7" s="129" t="e">
        <f t="shared" si="2"/>
        <v>#DIV/0!</v>
      </c>
      <c r="AM7" s="129" t="e">
        <f t="shared" si="2"/>
        <v>#DIV/0!</v>
      </c>
      <c r="AO7" s="254" t="s">
        <v>28</v>
      </c>
      <c r="AP7" s="172" t="e" cm="1">
        <f t="array" ref="AP7">bdRateExtend($C6:$C9,D6:D9,$U6:$U9,V6:V9)</f>
        <v>#VALUE!</v>
      </c>
      <c r="AQ7" s="172"/>
      <c r="AR7" s="172"/>
      <c r="AS7" s="172"/>
      <c r="AT7" s="172" t="e" cm="1">
        <f t="array" ref="AT7">bdRateExtend($C6:$C9,H6:H9,$U6:$U9,Z6:Z9)</f>
        <v>#VALUE!</v>
      </c>
      <c r="AU7" s="172"/>
      <c r="AV7" s="172" t="e" cm="1">
        <f t="array" ref="AV7">bdRateExtend($C6:$C9,I6:I9,$U6:$U9,AA6:AA9)</f>
        <v>#VALUE!</v>
      </c>
      <c r="AW7" s="172"/>
      <c r="AX7" s="172" t="e" cm="1">
        <f t="array" ref="AX7">bdRateExtend($C6:$C9,J6:J9,$U6:$U9,AB6:AB9,"None", FALSE,1)</f>
        <v>#VALUE!</v>
      </c>
      <c r="AY7" s="175"/>
      <c r="AZ7" s="286" cm="1">
        <f t="array" ref="AZ7">testVMAFRange($C6:$C9,J6:J9,$U6:$U9,AB6:AB9)</f>
        <v>0</v>
      </c>
      <c r="BA7" s="212"/>
      <c r="CH7" s="5"/>
      <c r="CI7" s="11" t="s">
        <v>33</v>
      </c>
      <c r="CJ7" s="10" t="e">
        <f>CJ6-CJ5</f>
        <v>#VALUE!</v>
      </c>
      <c r="CK7" s="5"/>
      <c r="EV7" s="7"/>
      <c r="EW7" s="7"/>
      <c r="EX7" s="7"/>
      <c r="EY7" s="7"/>
      <c r="EZ7" s="7"/>
      <c r="FA7" s="7"/>
      <c r="FB7" s="7"/>
      <c r="FC7" s="7"/>
    </row>
    <row r="8" spans="1:175" x14ac:dyDescent="0.15">
      <c r="A8" s="249"/>
      <c r="B8" s="38">
        <v>185</v>
      </c>
      <c r="C8" s="129">
        <f>Anchor!L185</f>
        <v>0</v>
      </c>
      <c r="D8" s="129">
        <f>Anchor!M185</f>
        <v>0</v>
      </c>
      <c r="E8" s="129">
        <f>Anchor!N185</f>
        <v>0</v>
      </c>
      <c r="F8" s="129">
        <f>Anchor!O185</f>
        <v>0</v>
      </c>
      <c r="G8" s="130">
        <f>('Summary (Full)'!$B$34*D8+'Summary (Full)'!$B$35*E8+'Summary (Full)'!$B$36*F8)/'Summary (Full)'!$B$37</f>
        <v>0</v>
      </c>
      <c r="H8" s="129">
        <f>Anchor!P185</f>
        <v>0</v>
      </c>
      <c r="I8" s="129">
        <f>Anchor!Q185</f>
        <v>0</v>
      </c>
      <c r="J8" s="129">
        <f>Anchor!R185</f>
        <v>0</v>
      </c>
      <c r="K8" s="129">
        <f>Anchor!S185</f>
        <v>0</v>
      </c>
      <c r="L8" s="129">
        <f>Anchor!T185</f>
        <v>0</v>
      </c>
      <c r="M8" s="129">
        <f>Anchor!U185</f>
        <v>0</v>
      </c>
      <c r="N8" s="129">
        <f>Anchor!V185</f>
        <v>0</v>
      </c>
      <c r="O8" s="129">
        <f>Anchor!W185</f>
        <v>0</v>
      </c>
      <c r="P8" s="129">
        <f>Anchor!X185</f>
        <v>0</v>
      </c>
      <c r="Q8" s="131">
        <f>10*LOG10(1/(('Summary (Full)'!$B$41/10^(N8/10)+'Summary (Full)'!$B$42/10^(O8/10)+'Summary (Full)'!$B$43/10^(P8/10))/'Summary (Full)'!$B$44))</f>
        <v>0</v>
      </c>
      <c r="R8" s="129">
        <f>Anchor!Y185</f>
        <v>0</v>
      </c>
      <c r="S8" s="129">
        <f>Anchor!Z185</f>
        <v>0</v>
      </c>
      <c r="T8" s="132"/>
      <c r="U8" s="129">
        <f>Test!L185</f>
        <v>0</v>
      </c>
      <c r="V8" s="129">
        <f>Test!M185</f>
        <v>0</v>
      </c>
      <c r="W8" s="129">
        <f>Test!N185</f>
        <v>0</v>
      </c>
      <c r="X8" s="129">
        <f>Test!O185</f>
        <v>0</v>
      </c>
      <c r="Y8" s="129">
        <f>('Summary (Full)'!$B$34*V8+'Summary (Full)'!$B$35*W8+'Summary (Full)'!$B$36*X8)/'Summary (Full)'!$B$37</f>
        <v>0</v>
      </c>
      <c r="Z8" s="129">
        <f>Test!P185</f>
        <v>0</v>
      </c>
      <c r="AA8" s="129">
        <f>Test!Q185</f>
        <v>0</v>
      </c>
      <c r="AB8" s="129">
        <f>Test!R185</f>
        <v>0</v>
      </c>
      <c r="AC8" s="129">
        <f>Test!S185</f>
        <v>0</v>
      </c>
      <c r="AD8" s="129">
        <f>Test!T185</f>
        <v>0</v>
      </c>
      <c r="AE8" s="129">
        <f>Test!U185</f>
        <v>0</v>
      </c>
      <c r="AF8" s="129">
        <f>Test!V185</f>
        <v>0</v>
      </c>
      <c r="AG8" s="129">
        <f>Test!W185</f>
        <v>0</v>
      </c>
      <c r="AH8" s="129">
        <f>Test!X185</f>
        <v>0</v>
      </c>
      <c r="AI8" s="129">
        <f>10*LOG10(1/(('Summary (Full)'!$B$41/10^(AF8/10)+'Summary (Full)'!$B$42/10^(AG8/10)+'Summary (Full)'!$B$43/10^(AH8/10))/'Summary (Full)'!$B$44))</f>
        <v>0</v>
      </c>
      <c r="AJ8" s="129">
        <f>Test!Y185</f>
        <v>0</v>
      </c>
      <c r="AK8" s="129">
        <f>Test!Z185</f>
        <v>0</v>
      </c>
      <c r="AL8" s="129" t="e">
        <f t="shared" si="2"/>
        <v>#DIV/0!</v>
      </c>
      <c r="AM8" s="129" t="e">
        <f t="shared" si="2"/>
        <v>#DIV/0!</v>
      </c>
      <c r="AO8" s="254"/>
      <c r="AP8" s="172"/>
      <c r="AQ8" s="172"/>
      <c r="AR8" s="172"/>
      <c r="AS8" s="172"/>
      <c r="AT8" s="172"/>
      <c r="AU8" s="172"/>
      <c r="AV8" s="172"/>
      <c r="AW8" s="172"/>
      <c r="AX8" s="172"/>
      <c r="AY8" s="175"/>
      <c r="AZ8" s="286"/>
      <c r="BA8" s="212"/>
      <c r="CH8" s="5"/>
      <c r="CI8" s="11" t="s">
        <v>34</v>
      </c>
      <c r="CJ8" s="10" t="e">
        <f>CJ7^(3/4)</f>
        <v>#VALUE!</v>
      </c>
      <c r="CK8" s="5"/>
      <c r="EV8" s="7"/>
      <c r="EW8" s="7"/>
      <c r="EX8" s="7"/>
      <c r="EY8" s="7"/>
      <c r="EZ8" s="7"/>
      <c r="FA8" s="7"/>
      <c r="FB8" s="7"/>
      <c r="FC8" s="7"/>
    </row>
    <row r="9" spans="1:175" ht="13" customHeight="1" x14ac:dyDescent="0.15">
      <c r="A9" s="249"/>
      <c r="B9" s="38">
        <v>210</v>
      </c>
      <c r="C9" s="129">
        <f>Anchor!L186</f>
        <v>0</v>
      </c>
      <c r="D9" s="129">
        <f>Anchor!M186</f>
        <v>0</v>
      </c>
      <c r="E9" s="129">
        <f>Anchor!N186</f>
        <v>0</v>
      </c>
      <c r="F9" s="129">
        <f>Anchor!O186</f>
        <v>0</v>
      </c>
      <c r="G9" s="130">
        <f>('Summary (Full)'!$B$34*D9+'Summary (Full)'!$B$35*E9+'Summary (Full)'!$B$36*F9)/'Summary (Full)'!$B$37</f>
        <v>0</v>
      </c>
      <c r="H9" s="129">
        <f>Anchor!P186</f>
        <v>0</v>
      </c>
      <c r="I9" s="129">
        <f>Anchor!Q186</f>
        <v>0</v>
      </c>
      <c r="J9" s="129">
        <f>Anchor!R186</f>
        <v>0</v>
      </c>
      <c r="K9" s="129">
        <f>Anchor!S186</f>
        <v>0</v>
      </c>
      <c r="L9" s="129">
        <f>Anchor!T186</f>
        <v>0</v>
      </c>
      <c r="M9" s="129">
        <f>Anchor!U186</f>
        <v>0</v>
      </c>
      <c r="N9" s="129">
        <f>Anchor!V186</f>
        <v>0</v>
      </c>
      <c r="O9" s="129">
        <f>Anchor!W186</f>
        <v>0</v>
      </c>
      <c r="P9" s="129">
        <f>Anchor!X186</f>
        <v>0</v>
      </c>
      <c r="Q9" s="131">
        <f>10*LOG10(1/(('Summary (Full)'!$B$41/10^(N9/10)+'Summary (Full)'!$B$42/10^(O9/10)+'Summary (Full)'!$B$43/10^(P9/10))/'Summary (Full)'!$B$44))</f>
        <v>0</v>
      </c>
      <c r="R9" s="129">
        <f>Anchor!Y186</f>
        <v>0</v>
      </c>
      <c r="S9" s="129">
        <f>Anchor!Z186</f>
        <v>0</v>
      </c>
      <c r="T9" s="132"/>
      <c r="U9" s="129">
        <f>Test!L186</f>
        <v>0</v>
      </c>
      <c r="V9" s="129">
        <f>Test!M186</f>
        <v>0</v>
      </c>
      <c r="W9" s="129">
        <f>Test!N186</f>
        <v>0</v>
      </c>
      <c r="X9" s="129">
        <f>Test!O186</f>
        <v>0</v>
      </c>
      <c r="Y9" s="129">
        <f>('Summary (Full)'!$B$34*V9+'Summary (Full)'!$B$35*W9+'Summary (Full)'!$B$36*X9)/'Summary (Full)'!$B$37</f>
        <v>0</v>
      </c>
      <c r="Z9" s="129">
        <f>Test!P186</f>
        <v>0</v>
      </c>
      <c r="AA9" s="129">
        <f>Test!Q186</f>
        <v>0</v>
      </c>
      <c r="AB9" s="129">
        <f>Test!R186</f>
        <v>0</v>
      </c>
      <c r="AC9" s="129">
        <f>Test!S186</f>
        <v>0</v>
      </c>
      <c r="AD9" s="129">
        <f>Test!T186</f>
        <v>0</v>
      </c>
      <c r="AE9" s="129">
        <f>Test!U186</f>
        <v>0</v>
      </c>
      <c r="AF9" s="129">
        <f>Test!V186</f>
        <v>0</v>
      </c>
      <c r="AG9" s="129">
        <f>Test!W186</f>
        <v>0</v>
      </c>
      <c r="AH9" s="129">
        <f>Test!X186</f>
        <v>0</v>
      </c>
      <c r="AI9" s="129">
        <f>10*LOG10(1/(('Summary (Full)'!$B$41/10^(AF9/10)+'Summary (Full)'!$B$42/10^(AG9/10)+'Summary (Full)'!$B$43/10^(AH9/10))/'Summary (Full)'!$B$44))</f>
        <v>0</v>
      </c>
      <c r="AJ9" s="129">
        <f>Test!Y186</f>
        <v>0</v>
      </c>
      <c r="AK9" s="129">
        <f>Test!Z186</f>
        <v>0</v>
      </c>
      <c r="AL9" s="129" t="e">
        <f t="shared" si="2"/>
        <v>#DIV/0!</v>
      </c>
      <c r="AM9" s="129" t="e">
        <f t="shared" si="2"/>
        <v>#DIV/0!</v>
      </c>
      <c r="AO9" s="254" t="s">
        <v>29</v>
      </c>
      <c r="AP9" s="172" t="e" cm="1">
        <f t="array" ref="AP9">bdRateExtend($C7:$C10,D7:D10,$U7:$U10,V7:V10)</f>
        <v>#VALUE!</v>
      </c>
      <c r="AQ9" s="172"/>
      <c r="AR9" s="172"/>
      <c r="AS9" s="172"/>
      <c r="AT9" s="172" t="e" cm="1">
        <f t="array" ref="AT9">bdRateExtend($C7:$C10,H7:H10,$U7:$U10,Z7:Z10)</f>
        <v>#VALUE!</v>
      </c>
      <c r="AU9" s="172"/>
      <c r="AV9" s="172" t="e" cm="1">
        <f t="array" ref="AV9">bdRateExtend($C7:$C10,I7:I10,$U7:$U10,AA7:AA10)</f>
        <v>#VALUE!</v>
      </c>
      <c r="AW9" s="172"/>
      <c r="AX9" s="172" t="e" cm="1">
        <f t="array" ref="AX9">bdRateExtend($C7:$C10,J7:J10,$U7:$U10,AB7:AB10,"None", FALSE,1)</f>
        <v>#VALUE!</v>
      </c>
      <c r="AY9" s="175"/>
      <c r="AZ9" s="286" cm="1">
        <f t="array" ref="AZ9">testVMAFRange($C7:$C10,J7:J10,$U7:$U10,AB7:AB10)</f>
        <v>0</v>
      </c>
      <c r="BA9" s="212"/>
      <c r="CH9" s="5"/>
      <c r="CI9" s="11" t="s">
        <v>35</v>
      </c>
      <c r="CJ9" s="10" t="e">
        <f>CJ7^(1/2)</f>
        <v>#VALUE!</v>
      </c>
      <c r="CK9" s="5"/>
      <c r="EV9" s="7"/>
      <c r="EW9" s="7"/>
      <c r="EX9" s="7"/>
      <c r="EY9" s="7"/>
      <c r="EZ9" s="7"/>
      <c r="FA9" s="7"/>
      <c r="FB9" s="7"/>
      <c r="FC9" s="7"/>
    </row>
    <row r="10" spans="1:175" ht="14" thickBot="1" x14ac:dyDescent="0.2">
      <c r="A10" s="249"/>
      <c r="B10" s="38">
        <v>235</v>
      </c>
      <c r="C10" s="129">
        <f>Anchor!L187</f>
        <v>0</v>
      </c>
      <c r="D10" s="129">
        <f>Anchor!M187</f>
        <v>0</v>
      </c>
      <c r="E10" s="129">
        <f>Anchor!N187</f>
        <v>0</v>
      </c>
      <c r="F10" s="129">
        <f>Anchor!O187</f>
        <v>0</v>
      </c>
      <c r="G10" s="130">
        <f>('Summary (Full)'!$B$34*D10+'Summary (Full)'!$B$35*E10+'Summary (Full)'!$B$36*F10)/'Summary (Full)'!$B$37</f>
        <v>0</v>
      </c>
      <c r="H10" s="129">
        <f>Anchor!P187</f>
        <v>0</v>
      </c>
      <c r="I10" s="129">
        <f>Anchor!Q187</f>
        <v>0</v>
      </c>
      <c r="J10" s="129">
        <f>Anchor!R187</f>
        <v>0</v>
      </c>
      <c r="K10" s="129">
        <f>Anchor!S187</f>
        <v>0</v>
      </c>
      <c r="L10" s="129">
        <f>Anchor!T187</f>
        <v>0</v>
      </c>
      <c r="M10" s="129">
        <f>Anchor!U187</f>
        <v>0</v>
      </c>
      <c r="N10" s="129">
        <f>Anchor!V187</f>
        <v>0</v>
      </c>
      <c r="O10" s="129">
        <f>Anchor!W187</f>
        <v>0</v>
      </c>
      <c r="P10" s="129">
        <f>Anchor!X187</f>
        <v>0</v>
      </c>
      <c r="Q10" s="131">
        <f>10*LOG10(1/(('Summary (Full)'!$B$41/10^(N10/10)+'Summary (Full)'!$B$42/10^(O10/10)+'Summary (Full)'!$B$43/10^(P10/10))/'Summary (Full)'!$B$44))</f>
        <v>0</v>
      </c>
      <c r="R10" s="129">
        <f>Anchor!Y187</f>
        <v>0</v>
      </c>
      <c r="S10" s="129">
        <f>Anchor!Z187</f>
        <v>0</v>
      </c>
      <c r="T10" s="132"/>
      <c r="U10" s="129">
        <f>Test!L187</f>
        <v>0</v>
      </c>
      <c r="V10" s="129">
        <f>Test!M187</f>
        <v>0</v>
      </c>
      <c r="W10" s="129">
        <f>Test!N187</f>
        <v>0</v>
      </c>
      <c r="X10" s="129">
        <f>Test!O187</f>
        <v>0</v>
      </c>
      <c r="Y10" s="129">
        <f>('Summary (Full)'!$B$34*V10+'Summary (Full)'!$B$35*W10+'Summary (Full)'!$B$36*X10)/'Summary (Full)'!$B$37</f>
        <v>0</v>
      </c>
      <c r="Z10" s="129">
        <f>Test!P187</f>
        <v>0</v>
      </c>
      <c r="AA10" s="129">
        <f>Test!Q187</f>
        <v>0</v>
      </c>
      <c r="AB10" s="129">
        <f>Test!R187</f>
        <v>0</v>
      </c>
      <c r="AC10" s="129">
        <f>Test!S187</f>
        <v>0</v>
      </c>
      <c r="AD10" s="129">
        <f>Test!T187</f>
        <v>0</v>
      </c>
      <c r="AE10" s="129">
        <f>Test!U187</f>
        <v>0</v>
      </c>
      <c r="AF10" s="129">
        <f>Test!V187</f>
        <v>0</v>
      </c>
      <c r="AG10" s="129">
        <f>Test!W187</f>
        <v>0</v>
      </c>
      <c r="AH10" s="129">
        <f>Test!X187</f>
        <v>0</v>
      </c>
      <c r="AI10" s="129">
        <f>10*LOG10(1/(('Summary (Full)'!$B$41/10^(AF10/10)+'Summary (Full)'!$B$42/10^(AG10/10)+'Summary (Full)'!$B$43/10^(AH10/10))/'Summary (Full)'!$B$44))</f>
        <v>0</v>
      </c>
      <c r="AJ10" s="129">
        <f>Test!Y187</f>
        <v>0</v>
      </c>
      <c r="AK10" s="129">
        <f>Test!Z187</f>
        <v>0</v>
      </c>
      <c r="AL10" s="129" t="e">
        <f t="shared" si="2"/>
        <v>#DIV/0!</v>
      </c>
      <c r="AM10" s="129" t="e">
        <f t="shared" si="2"/>
        <v>#DIV/0!</v>
      </c>
      <c r="AO10" s="263"/>
      <c r="AP10" s="173"/>
      <c r="AQ10" s="173"/>
      <c r="AR10" s="173"/>
      <c r="AS10" s="173"/>
      <c r="AT10" s="173"/>
      <c r="AU10" s="173"/>
      <c r="AV10" s="173"/>
      <c r="AW10" s="173"/>
      <c r="AX10" s="173"/>
      <c r="AY10" s="188"/>
      <c r="AZ10" s="287"/>
      <c r="BA10" s="240"/>
      <c r="CH10" s="5"/>
      <c r="CI10" s="11" t="s">
        <v>36</v>
      </c>
      <c r="CJ10" s="10" t="e">
        <f>CJ5+CJ9</f>
        <v>#VALUE!</v>
      </c>
      <c r="CK10" s="5"/>
      <c r="EV10" s="7"/>
      <c r="EW10" s="7"/>
      <c r="EX10" s="7"/>
      <c r="EY10" s="7"/>
      <c r="EZ10" s="7"/>
      <c r="FA10" s="7"/>
      <c r="FB10" s="7"/>
      <c r="FC10" s="7"/>
    </row>
    <row r="11" spans="1:175" ht="13" customHeight="1" x14ac:dyDescent="0.15">
      <c r="A11" s="249" t="s">
        <v>18</v>
      </c>
      <c r="B11" s="38">
        <v>110</v>
      </c>
      <c r="C11" s="129">
        <f>Anchor!L188</f>
        <v>0</v>
      </c>
      <c r="D11" s="129">
        <f>Anchor!M188</f>
        <v>0</v>
      </c>
      <c r="E11" s="129">
        <f>Anchor!N188</f>
        <v>0</v>
      </c>
      <c r="F11" s="129">
        <f>Anchor!O188</f>
        <v>0</v>
      </c>
      <c r="G11" s="130">
        <f>('Summary (Full)'!$B$34*D11+'Summary (Full)'!$B$35*E11+'Summary (Full)'!$B$36*F11)/'Summary (Full)'!$B$37</f>
        <v>0</v>
      </c>
      <c r="H11" s="129">
        <f>Anchor!P188</f>
        <v>0</v>
      </c>
      <c r="I11" s="129">
        <f>Anchor!Q188</f>
        <v>0</v>
      </c>
      <c r="J11" s="129">
        <f>Anchor!R188</f>
        <v>0</v>
      </c>
      <c r="K11" s="129">
        <f>Anchor!S188</f>
        <v>0</v>
      </c>
      <c r="L11" s="129">
        <f>Anchor!T188</f>
        <v>0</v>
      </c>
      <c r="M11" s="129">
        <f>Anchor!U188</f>
        <v>0</v>
      </c>
      <c r="N11" s="129">
        <f>Anchor!V188</f>
        <v>0</v>
      </c>
      <c r="O11" s="129">
        <f>Anchor!W188</f>
        <v>0</v>
      </c>
      <c r="P11" s="129">
        <f>Anchor!X188</f>
        <v>0</v>
      </c>
      <c r="Q11" s="131">
        <f>10*LOG10(1/(('Summary (Full)'!$B$41/10^(N11/10)+'Summary (Full)'!$B$42/10^(O11/10)+'Summary (Full)'!$B$43/10^(P11/10))/'Summary (Full)'!$B$44))</f>
        <v>0</v>
      </c>
      <c r="R11" s="129">
        <f>Anchor!Y188</f>
        <v>0</v>
      </c>
      <c r="S11" s="129">
        <f>Anchor!Z188</f>
        <v>0</v>
      </c>
      <c r="T11" s="132"/>
      <c r="U11" s="129">
        <f>Test!L188</f>
        <v>0</v>
      </c>
      <c r="V11" s="129">
        <f>Test!M188</f>
        <v>0</v>
      </c>
      <c r="W11" s="129">
        <f>Test!N188</f>
        <v>0</v>
      </c>
      <c r="X11" s="129">
        <f>Test!O188</f>
        <v>0</v>
      </c>
      <c r="Y11" s="129">
        <f>('Summary (Full)'!$B$34*V11+'Summary (Full)'!$B$35*W11+'Summary (Full)'!$B$36*X11)/'Summary (Full)'!$B$37</f>
        <v>0</v>
      </c>
      <c r="Z11" s="129">
        <f>Test!P188</f>
        <v>0</v>
      </c>
      <c r="AA11" s="129">
        <f>Test!Q188</f>
        <v>0</v>
      </c>
      <c r="AB11" s="129">
        <f>Test!R188</f>
        <v>0</v>
      </c>
      <c r="AC11" s="129">
        <f>Test!S188</f>
        <v>0</v>
      </c>
      <c r="AD11" s="129">
        <f>Test!T188</f>
        <v>0</v>
      </c>
      <c r="AE11" s="129">
        <f>Test!U188</f>
        <v>0</v>
      </c>
      <c r="AF11" s="129">
        <f>Test!V188</f>
        <v>0</v>
      </c>
      <c r="AG11" s="129">
        <f>Test!W188</f>
        <v>0</v>
      </c>
      <c r="AH11" s="129">
        <f>Test!X188</f>
        <v>0</v>
      </c>
      <c r="AI11" s="129">
        <f>10*LOG10(1/(('Summary (Full)'!$B$41/10^(AF11/10)+'Summary (Full)'!$B$42/10^(AG11/10)+'Summary (Full)'!$B$43/10^(AH11/10))/'Summary (Full)'!$B$44))</f>
        <v>0</v>
      </c>
      <c r="AJ11" s="129">
        <f>Test!Y188</f>
        <v>0</v>
      </c>
      <c r="AK11" s="129">
        <f>Test!Z188</f>
        <v>0</v>
      </c>
      <c r="AL11" s="129" t="e">
        <f t="shared" si="2"/>
        <v>#DIV/0!</v>
      </c>
      <c r="AM11" s="129" t="e">
        <f t="shared" si="2"/>
        <v>#DIV/0!</v>
      </c>
      <c r="AO11" s="253" t="s">
        <v>27</v>
      </c>
      <c r="AP11" s="171" t="e" cm="1">
        <f t="array" ref="AP11">bdRateExtend($C11:$C14,D11:D14,$U11:$U14,V11:V14)</f>
        <v>#VALUE!</v>
      </c>
      <c r="AQ11" s="171" t="e" cm="1">
        <f t="array" ref="AQ11">bdRateExtend($C11:$C16,D11:D16,$U11:$U16,V11:V16)</f>
        <v>#VALUE!</v>
      </c>
      <c r="AR11" s="171" t="e" cm="1">
        <f t="array" ref="AR11">bdRateExtend($C11:$C16,E11:E16,$U11:$U16,W11:W16)</f>
        <v>#VALUE!</v>
      </c>
      <c r="AS11" s="171" t="e" cm="1">
        <f t="array" ref="AS11">bdRateExtend($C11:$C16,F11:F16,$U11:$U16,X11:X16)</f>
        <v>#VALUE!</v>
      </c>
      <c r="AT11" s="171" t="e" cm="1">
        <f t="array" ref="AT11">bdRateExtend($C11:$C14,H11:H14,$U11:$U14,Z11:Z14)</f>
        <v>#VALUE!</v>
      </c>
      <c r="AU11" s="171" t="e" cm="1">
        <f t="array" ref="AU11">bdRateExtend($C11:$C16,H11:H16,$U11:$U16,Z11:Z16)</f>
        <v>#VALUE!</v>
      </c>
      <c r="AV11" s="171" t="e" cm="1">
        <f t="array" ref="AV11">bdRateExtend($C11:$C14,I11:I14,$U11:$U14,AA11:AA14)</f>
        <v>#VALUE!</v>
      </c>
      <c r="AW11" s="171" t="e" cm="1">
        <f t="array" ref="AW11">bdRateExtend($C11:$C16,I11:I16,$U11:$U16,AA11:AA16)</f>
        <v>#VALUE!</v>
      </c>
      <c r="AX11" s="171" t="e" cm="1">
        <f t="array" ref="AX11">bdRateExtend($C11:$C14,J11:J14,$U11:$U14,AB11:AB14,"None", FALSE,1)</f>
        <v>#VALUE!</v>
      </c>
      <c r="AY11" s="174" t="e" cm="1">
        <f t="array" ref="AY11">bdRateExtend($C11:$C16,J11:J16,$U11:$U16,AB11:AB16,"None", FALSE,TRUE)</f>
        <v>#VALUE!</v>
      </c>
      <c r="AZ11" s="285" cm="1">
        <f t="array" ref="AZ11">testVMAFRange($C11:$C14,J11:J14,$U11:$U14,AB11:AB14)</f>
        <v>0</v>
      </c>
      <c r="BA11" s="211" cm="1">
        <f t="array" ref="BA11">testVMAFRange($C11:$C16,J11:J16,$U11:$U16,AB11:AB16)</f>
        <v>0</v>
      </c>
      <c r="CI11" s="11" t="s">
        <v>37</v>
      </c>
      <c r="CJ11" s="10" t="e">
        <f>CJ5+CJ8</f>
        <v>#VALUE!</v>
      </c>
      <c r="EV11" s="7"/>
      <c r="EW11" s="7"/>
      <c r="EX11" s="7"/>
      <c r="EY11" s="7"/>
      <c r="EZ11" s="7"/>
      <c r="FA11" s="7"/>
      <c r="FB11" s="7"/>
      <c r="FC11" s="7"/>
    </row>
    <row r="12" spans="1:175" x14ac:dyDescent="0.15">
      <c r="A12" s="249"/>
      <c r="B12" s="38">
        <v>135</v>
      </c>
      <c r="C12" s="129">
        <f>Anchor!L189</f>
        <v>0</v>
      </c>
      <c r="D12" s="129">
        <f>Anchor!M189</f>
        <v>0</v>
      </c>
      <c r="E12" s="129">
        <f>Anchor!N189</f>
        <v>0</v>
      </c>
      <c r="F12" s="129">
        <f>Anchor!O189</f>
        <v>0</v>
      </c>
      <c r="G12" s="130">
        <f>('Summary (Full)'!$B$34*D12+'Summary (Full)'!$B$35*E12+'Summary (Full)'!$B$36*F12)/'Summary (Full)'!$B$37</f>
        <v>0</v>
      </c>
      <c r="H12" s="129">
        <f>Anchor!P189</f>
        <v>0</v>
      </c>
      <c r="I12" s="129">
        <f>Anchor!Q189</f>
        <v>0</v>
      </c>
      <c r="J12" s="129">
        <f>Anchor!R189</f>
        <v>0</v>
      </c>
      <c r="K12" s="129">
        <f>Anchor!S189</f>
        <v>0</v>
      </c>
      <c r="L12" s="129">
        <f>Anchor!T189</f>
        <v>0</v>
      </c>
      <c r="M12" s="129">
        <f>Anchor!U189</f>
        <v>0</v>
      </c>
      <c r="N12" s="129">
        <f>Anchor!V189</f>
        <v>0</v>
      </c>
      <c r="O12" s="129">
        <f>Anchor!W189</f>
        <v>0</v>
      </c>
      <c r="P12" s="129">
        <f>Anchor!X189</f>
        <v>0</v>
      </c>
      <c r="Q12" s="131">
        <f>10*LOG10(1/(('Summary (Full)'!$B$41/10^(N12/10)+'Summary (Full)'!$B$42/10^(O12/10)+'Summary (Full)'!$B$43/10^(P12/10))/'Summary (Full)'!$B$44))</f>
        <v>0</v>
      </c>
      <c r="R12" s="129">
        <f>Anchor!Y189</f>
        <v>0</v>
      </c>
      <c r="S12" s="129">
        <f>Anchor!Z189</f>
        <v>0</v>
      </c>
      <c r="T12" s="132"/>
      <c r="U12" s="129">
        <f>Test!L189</f>
        <v>0</v>
      </c>
      <c r="V12" s="129">
        <f>Test!M189</f>
        <v>0</v>
      </c>
      <c r="W12" s="129">
        <f>Test!N189</f>
        <v>0</v>
      </c>
      <c r="X12" s="129">
        <f>Test!O189</f>
        <v>0</v>
      </c>
      <c r="Y12" s="129">
        <f>('Summary (Full)'!$B$34*V12+'Summary (Full)'!$B$35*W12+'Summary (Full)'!$B$36*X12)/'Summary (Full)'!$B$37</f>
        <v>0</v>
      </c>
      <c r="Z12" s="129">
        <f>Test!P189</f>
        <v>0</v>
      </c>
      <c r="AA12" s="129">
        <f>Test!Q189</f>
        <v>0</v>
      </c>
      <c r="AB12" s="129">
        <f>Test!R189</f>
        <v>0</v>
      </c>
      <c r="AC12" s="129">
        <f>Test!S189</f>
        <v>0</v>
      </c>
      <c r="AD12" s="129">
        <f>Test!T189</f>
        <v>0</v>
      </c>
      <c r="AE12" s="129">
        <f>Test!U189</f>
        <v>0</v>
      </c>
      <c r="AF12" s="129">
        <f>Test!V189</f>
        <v>0</v>
      </c>
      <c r="AG12" s="129">
        <f>Test!W189</f>
        <v>0</v>
      </c>
      <c r="AH12" s="129">
        <f>Test!X189</f>
        <v>0</v>
      </c>
      <c r="AI12" s="129">
        <f>10*LOG10(1/(('Summary (Full)'!$B$41/10^(AF12/10)+'Summary (Full)'!$B$42/10^(AG12/10)+'Summary (Full)'!$B$43/10^(AH12/10))/'Summary (Full)'!$B$44))</f>
        <v>0</v>
      </c>
      <c r="AJ12" s="129">
        <f>Test!Y189</f>
        <v>0</v>
      </c>
      <c r="AK12" s="129">
        <f>Test!Z189</f>
        <v>0</v>
      </c>
      <c r="AL12" s="129" t="e">
        <f t="shared" si="2"/>
        <v>#DIV/0!</v>
      </c>
      <c r="AM12" s="129" t="e">
        <f t="shared" si="2"/>
        <v>#DIV/0!</v>
      </c>
      <c r="AO12" s="254"/>
      <c r="AP12" s="172"/>
      <c r="AQ12" s="172"/>
      <c r="AR12" s="172"/>
      <c r="AS12" s="172"/>
      <c r="AT12" s="172"/>
      <c r="AU12" s="172"/>
      <c r="AV12" s="172"/>
      <c r="AW12" s="172"/>
      <c r="AX12" s="172"/>
      <c r="AY12" s="175"/>
      <c r="AZ12" s="286"/>
      <c r="BA12" s="212"/>
      <c r="EV12" s="7"/>
      <c r="EW12" s="7"/>
      <c r="EX12" s="7"/>
      <c r="EY12" s="7"/>
      <c r="EZ12" s="7"/>
      <c r="FA12" s="7"/>
      <c r="FB12" s="7"/>
      <c r="FC12" s="7"/>
    </row>
    <row r="13" spans="1:175" ht="13" customHeight="1" x14ac:dyDescent="0.15">
      <c r="A13" s="249"/>
      <c r="B13" s="38">
        <v>160</v>
      </c>
      <c r="C13" s="129">
        <f>Anchor!L190</f>
        <v>0</v>
      </c>
      <c r="D13" s="129">
        <f>Anchor!M190</f>
        <v>0</v>
      </c>
      <c r="E13" s="129">
        <f>Anchor!N190</f>
        <v>0</v>
      </c>
      <c r="F13" s="129">
        <f>Anchor!O190</f>
        <v>0</v>
      </c>
      <c r="G13" s="130">
        <f>('Summary (Full)'!$B$34*D13+'Summary (Full)'!$B$35*E13+'Summary (Full)'!$B$36*F13)/'Summary (Full)'!$B$37</f>
        <v>0</v>
      </c>
      <c r="H13" s="129">
        <f>Anchor!P190</f>
        <v>0</v>
      </c>
      <c r="I13" s="129">
        <f>Anchor!Q190</f>
        <v>0</v>
      </c>
      <c r="J13" s="129">
        <f>Anchor!R190</f>
        <v>0</v>
      </c>
      <c r="K13" s="129">
        <f>Anchor!S190</f>
        <v>0</v>
      </c>
      <c r="L13" s="129">
        <f>Anchor!T190</f>
        <v>0</v>
      </c>
      <c r="M13" s="129">
        <f>Anchor!U190</f>
        <v>0</v>
      </c>
      <c r="N13" s="129">
        <f>Anchor!V190</f>
        <v>0</v>
      </c>
      <c r="O13" s="129">
        <f>Anchor!W190</f>
        <v>0</v>
      </c>
      <c r="P13" s="129">
        <f>Anchor!X190</f>
        <v>0</v>
      </c>
      <c r="Q13" s="131">
        <f>10*LOG10(1/(('Summary (Full)'!$B$41/10^(N13/10)+'Summary (Full)'!$B$42/10^(O13/10)+'Summary (Full)'!$B$43/10^(P13/10))/'Summary (Full)'!$B$44))</f>
        <v>0</v>
      </c>
      <c r="R13" s="129">
        <f>Anchor!Y190</f>
        <v>0</v>
      </c>
      <c r="S13" s="129">
        <f>Anchor!Z190</f>
        <v>0</v>
      </c>
      <c r="T13" s="132"/>
      <c r="U13" s="129">
        <f>Test!L190</f>
        <v>0</v>
      </c>
      <c r="V13" s="129">
        <f>Test!M190</f>
        <v>0</v>
      </c>
      <c r="W13" s="129">
        <f>Test!N190</f>
        <v>0</v>
      </c>
      <c r="X13" s="129">
        <f>Test!O190</f>
        <v>0</v>
      </c>
      <c r="Y13" s="129">
        <f>('Summary (Full)'!$B$34*V13+'Summary (Full)'!$B$35*W13+'Summary (Full)'!$B$36*X13)/'Summary (Full)'!$B$37</f>
        <v>0</v>
      </c>
      <c r="Z13" s="129">
        <f>Test!P190</f>
        <v>0</v>
      </c>
      <c r="AA13" s="129">
        <f>Test!Q190</f>
        <v>0</v>
      </c>
      <c r="AB13" s="129">
        <f>Test!R190</f>
        <v>0</v>
      </c>
      <c r="AC13" s="129">
        <f>Test!S190</f>
        <v>0</v>
      </c>
      <c r="AD13" s="129">
        <f>Test!T190</f>
        <v>0</v>
      </c>
      <c r="AE13" s="129">
        <f>Test!U190</f>
        <v>0</v>
      </c>
      <c r="AF13" s="129">
        <f>Test!V190</f>
        <v>0</v>
      </c>
      <c r="AG13" s="129">
        <f>Test!W190</f>
        <v>0</v>
      </c>
      <c r="AH13" s="129">
        <f>Test!X190</f>
        <v>0</v>
      </c>
      <c r="AI13" s="129">
        <f>10*LOG10(1/(('Summary (Full)'!$B$41/10^(AF13/10)+'Summary (Full)'!$B$42/10^(AG13/10)+'Summary (Full)'!$B$43/10^(AH13/10))/'Summary (Full)'!$B$44))</f>
        <v>0</v>
      </c>
      <c r="AJ13" s="129">
        <f>Test!Y190</f>
        <v>0</v>
      </c>
      <c r="AK13" s="129">
        <f>Test!Z190</f>
        <v>0</v>
      </c>
      <c r="AL13" s="129" t="e">
        <f t="shared" si="2"/>
        <v>#DIV/0!</v>
      </c>
      <c r="AM13" s="129" t="e">
        <f t="shared" si="2"/>
        <v>#DIV/0!</v>
      </c>
      <c r="AO13" s="254" t="s">
        <v>28</v>
      </c>
      <c r="AP13" s="172" t="e" cm="1">
        <f t="array" ref="AP13">bdRateExtend($C12:$C15,D12:D15,$U12:$U15,V12:V15)</f>
        <v>#VALUE!</v>
      </c>
      <c r="AQ13" s="172"/>
      <c r="AR13" s="172"/>
      <c r="AS13" s="172"/>
      <c r="AT13" s="172" t="e" cm="1">
        <f t="array" ref="AT13">bdRateExtend($C12:$C15,H12:H15,$U12:$U15,Z12:Z15)</f>
        <v>#VALUE!</v>
      </c>
      <c r="AU13" s="172"/>
      <c r="AV13" s="172" t="e" cm="1">
        <f t="array" ref="AV13">bdRateExtend($C12:$C15,I12:I15,$U12:$U15,AA12:AA15)</f>
        <v>#VALUE!</v>
      </c>
      <c r="AW13" s="172"/>
      <c r="AX13" s="172" t="e" cm="1">
        <f t="array" ref="AX13">bdRateExtend($C12:$C15,J12:J15,$U12:$U15,AB12:AB15,"None", FALSE,1)</f>
        <v>#VALUE!</v>
      </c>
      <c r="AY13" s="175"/>
      <c r="AZ13" s="286" cm="1">
        <f t="array" ref="AZ13">testVMAFRange($C12:$C15,J12:J15,$U12:$U15,AB12:AB15)</f>
        <v>0</v>
      </c>
      <c r="BA13" s="212"/>
      <c r="EV13" s="7"/>
      <c r="EW13" s="7"/>
      <c r="EX13" s="7"/>
      <c r="EY13" s="7"/>
      <c r="EZ13" s="7"/>
      <c r="FA13" s="7"/>
      <c r="FB13" s="7"/>
      <c r="FC13" s="7"/>
    </row>
    <row r="14" spans="1:175" x14ac:dyDescent="0.15">
      <c r="A14" s="249"/>
      <c r="B14" s="38">
        <v>185</v>
      </c>
      <c r="C14" s="129">
        <f>Anchor!L191</f>
        <v>0</v>
      </c>
      <c r="D14" s="129">
        <f>Anchor!M191</f>
        <v>0</v>
      </c>
      <c r="E14" s="129">
        <f>Anchor!N191</f>
        <v>0</v>
      </c>
      <c r="F14" s="129">
        <f>Anchor!O191</f>
        <v>0</v>
      </c>
      <c r="G14" s="130">
        <f>('Summary (Full)'!$B$34*D14+'Summary (Full)'!$B$35*E14+'Summary (Full)'!$B$36*F14)/'Summary (Full)'!$B$37</f>
        <v>0</v>
      </c>
      <c r="H14" s="129">
        <f>Anchor!P191</f>
        <v>0</v>
      </c>
      <c r="I14" s="129">
        <f>Anchor!Q191</f>
        <v>0</v>
      </c>
      <c r="J14" s="129">
        <f>Anchor!R191</f>
        <v>0</v>
      </c>
      <c r="K14" s="129">
        <f>Anchor!S191</f>
        <v>0</v>
      </c>
      <c r="L14" s="129">
        <f>Anchor!T191</f>
        <v>0</v>
      </c>
      <c r="M14" s="129">
        <f>Anchor!U191</f>
        <v>0</v>
      </c>
      <c r="N14" s="129">
        <f>Anchor!V191</f>
        <v>0</v>
      </c>
      <c r="O14" s="129">
        <f>Anchor!W191</f>
        <v>0</v>
      </c>
      <c r="P14" s="129">
        <f>Anchor!X191</f>
        <v>0</v>
      </c>
      <c r="Q14" s="131">
        <f>10*LOG10(1/(('Summary (Full)'!$B$41/10^(N14/10)+'Summary (Full)'!$B$42/10^(O14/10)+'Summary (Full)'!$B$43/10^(P14/10))/'Summary (Full)'!$B$44))</f>
        <v>0</v>
      </c>
      <c r="R14" s="129">
        <f>Anchor!Y191</f>
        <v>0</v>
      </c>
      <c r="S14" s="129">
        <f>Anchor!Z191</f>
        <v>0</v>
      </c>
      <c r="T14" s="132"/>
      <c r="U14" s="129">
        <f>Test!L191</f>
        <v>0</v>
      </c>
      <c r="V14" s="129">
        <f>Test!M191</f>
        <v>0</v>
      </c>
      <c r="W14" s="129">
        <f>Test!N191</f>
        <v>0</v>
      </c>
      <c r="X14" s="129">
        <f>Test!O191</f>
        <v>0</v>
      </c>
      <c r="Y14" s="129">
        <f>('Summary (Full)'!$B$34*V14+'Summary (Full)'!$B$35*W14+'Summary (Full)'!$B$36*X14)/'Summary (Full)'!$B$37</f>
        <v>0</v>
      </c>
      <c r="Z14" s="129">
        <f>Test!P191</f>
        <v>0</v>
      </c>
      <c r="AA14" s="129">
        <f>Test!Q191</f>
        <v>0</v>
      </c>
      <c r="AB14" s="129">
        <f>Test!R191</f>
        <v>0</v>
      </c>
      <c r="AC14" s="129">
        <f>Test!S191</f>
        <v>0</v>
      </c>
      <c r="AD14" s="129">
        <f>Test!T191</f>
        <v>0</v>
      </c>
      <c r="AE14" s="129">
        <f>Test!U191</f>
        <v>0</v>
      </c>
      <c r="AF14" s="129">
        <f>Test!V191</f>
        <v>0</v>
      </c>
      <c r="AG14" s="129">
        <f>Test!W191</f>
        <v>0</v>
      </c>
      <c r="AH14" s="129">
        <f>Test!X191</f>
        <v>0</v>
      </c>
      <c r="AI14" s="129">
        <f>10*LOG10(1/(('Summary (Full)'!$B$41/10^(AF14/10)+'Summary (Full)'!$B$42/10^(AG14/10)+'Summary (Full)'!$B$43/10^(AH14/10))/'Summary (Full)'!$B$44))</f>
        <v>0</v>
      </c>
      <c r="AJ14" s="129">
        <f>Test!Y191</f>
        <v>0</v>
      </c>
      <c r="AK14" s="129">
        <f>Test!Z191</f>
        <v>0</v>
      </c>
      <c r="AL14" s="129" t="e">
        <f t="shared" si="2"/>
        <v>#DIV/0!</v>
      </c>
      <c r="AM14" s="129" t="e">
        <f t="shared" si="2"/>
        <v>#DIV/0!</v>
      </c>
      <c r="AO14" s="254"/>
      <c r="AP14" s="172"/>
      <c r="AQ14" s="172"/>
      <c r="AR14" s="172"/>
      <c r="AS14" s="172"/>
      <c r="AT14" s="172"/>
      <c r="AU14" s="172"/>
      <c r="AV14" s="172"/>
      <c r="AW14" s="172"/>
      <c r="AX14" s="172"/>
      <c r="AY14" s="175"/>
      <c r="AZ14" s="286"/>
      <c r="BA14" s="212"/>
      <c r="EV14" s="7"/>
      <c r="EW14" s="7"/>
      <c r="EX14" s="7"/>
      <c r="EY14" s="7"/>
      <c r="EZ14" s="7"/>
      <c r="FA14" s="7"/>
      <c r="FB14" s="7"/>
      <c r="FC14" s="7"/>
    </row>
    <row r="15" spans="1:175" ht="13" customHeight="1" x14ac:dyDescent="0.15">
      <c r="A15" s="249"/>
      <c r="B15" s="38">
        <v>210</v>
      </c>
      <c r="C15" s="129">
        <f>Anchor!L192</f>
        <v>0</v>
      </c>
      <c r="D15" s="129">
        <f>Anchor!M192</f>
        <v>0</v>
      </c>
      <c r="E15" s="129">
        <f>Anchor!N192</f>
        <v>0</v>
      </c>
      <c r="F15" s="129">
        <f>Anchor!O192</f>
        <v>0</v>
      </c>
      <c r="G15" s="130">
        <f>('Summary (Full)'!$B$34*D15+'Summary (Full)'!$B$35*E15+'Summary (Full)'!$B$36*F15)/'Summary (Full)'!$B$37</f>
        <v>0</v>
      </c>
      <c r="H15" s="129">
        <f>Anchor!P192</f>
        <v>0</v>
      </c>
      <c r="I15" s="129">
        <f>Anchor!Q192</f>
        <v>0</v>
      </c>
      <c r="J15" s="129">
        <f>Anchor!R192</f>
        <v>0</v>
      </c>
      <c r="K15" s="129">
        <f>Anchor!S192</f>
        <v>0</v>
      </c>
      <c r="L15" s="129">
        <f>Anchor!T192</f>
        <v>0</v>
      </c>
      <c r="M15" s="129">
        <f>Anchor!U192</f>
        <v>0</v>
      </c>
      <c r="N15" s="129">
        <f>Anchor!V192</f>
        <v>0</v>
      </c>
      <c r="O15" s="129">
        <f>Anchor!W192</f>
        <v>0</v>
      </c>
      <c r="P15" s="129">
        <f>Anchor!X192</f>
        <v>0</v>
      </c>
      <c r="Q15" s="131">
        <f>10*LOG10(1/(('Summary (Full)'!$B$41/10^(N15/10)+'Summary (Full)'!$B$42/10^(O15/10)+'Summary (Full)'!$B$43/10^(P15/10))/'Summary (Full)'!$B$44))</f>
        <v>0</v>
      </c>
      <c r="R15" s="129">
        <f>Anchor!Y192</f>
        <v>0</v>
      </c>
      <c r="S15" s="129">
        <f>Anchor!Z192</f>
        <v>0</v>
      </c>
      <c r="T15" s="132"/>
      <c r="U15" s="129">
        <f>Test!L192</f>
        <v>0</v>
      </c>
      <c r="V15" s="129">
        <f>Test!M192</f>
        <v>0</v>
      </c>
      <c r="W15" s="129">
        <f>Test!N192</f>
        <v>0</v>
      </c>
      <c r="X15" s="129">
        <f>Test!O192</f>
        <v>0</v>
      </c>
      <c r="Y15" s="129">
        <f>('Summary (Full)'!$B$34*V15+'Summary (Full)'!$B$35*W15+'Summary (Full)'!$B$36*X15)/'Summary (Full)'!$B$37</f>
        <v>0</v>
      </c>
      <c r="Z15" s="129">
        <f>Test!P192</f>
        <v>0</v>
      </c>
      <c r="AA15" s="129">
        <f>Test!Q192</f>
        <v>0</v>
      </c>
      <c r="AB15" s="129">
        <f>Test!R192</f>
        <v>0</v>
      </c>
      <c r="AC15" s="129">
        <f>Test!S192</f>
        <v>0</v>
      </c>
      <c r="AD15" s="129">
        <f>Test!T192</f>
        <v>0</v>
      </c>
      <c r="AE15" s="129">
        <f>Test!U192</f>
        <v>0</v>
      </c>
      <c r="AF15" s="129">
        <f>Test!V192</f>
        <v>0</v>
      </c>
      <c r="AG15" s="129">
        <f>Test!W192</f>
        <v>0</v>
      </c>
      <c r="AH15" s="129">
        <f>Test!X192</f>
        <v>0</v>
      </c>
      <c r="AI15" s="129">
        <f>10*LOG10(1/(('Summary (Full)'!$B$41/10^(AF15/10)+'Summary (Full)'!$B$42/10^(AG15/10)+'Summary (Full)'!$B$43/10^(AH15/10))/'Summary (Full)'!$B$44))</f>
        <v>0</v>
      </c>
      <c r="AJ15" s="129">
        <f>Test!Y192</f>
        <v>0</v>
      </c>
      <c r="AK15" s="129">
        <f>Test!Z192</f>
        <v>0</v>
      </c>
      <c r="AL15" s="129" t="e">
        <f t="shared" si="2"/>
        <v>#DIV/0!</v>
      </c>
      <c r="AM15" s="129" t="e">
        <f t="shared" si="2"/>
        <v>#DIV/0!</v>
      </c>
      <c r="AO15" s="254" t="s">
        <v>29</v>
      </c>
      <c r="AP15" s="172" t="e" cm="1">
        <f t="array" ref="AP15">bdRateExtend($C13:$C16,D13:D16,$U13:$U16,V13:V16)</f>
        <v>#VALUE!</v>
      </c>
      <c r="AQ15" s="172"/>
      <c r="AR15" s="172"/>
      <c r="AS15" s="172"/>
      <c r="AT15" s="172" t="e" cm="1">
        <f t="array" ref="AT15">bdRateExtend($C13:$C16,H13:H16,$U13:$U16,Z13:Z16)</f>
        <v>#VALUE!</v>
      </c>
      <c r="AU15" s="172"/>
      <c r="AV15" s="172" t="e" cm="1">
        <f t="array" ref="AV15">bdRateExtend($C13:$C16,I13:I16,$U13:$U16,AA13:AA16)</f>
        <v>#VALUE!</v>
      </c>
      <c r="AW15" s="172"/>
      <c r="AX15" s="172" t="e" cm="1">
        <f t="array" ref="AX15">bdRateExtend($C13:$C16,J13:J16,$U13:$U16,AB13:AB16,"None", FALSE,1)</f>
        <v>#VALUE!</v>
      </c>
      <c r="AY15" s="175"/>
      <c r="AZ15" s="286" cm="1">
        <f t="array" ref="AZ15">testVMAFRange($C13:$C16,J13:J16,$U13:$U16,AB13:AB16)</f>
        <v>0</v>
      </c>
      <c r="BA15" s="212"/>
      <c r="EV15" s="7"/>
      <c r="EW15" s="7"/>
      <c r="EX15" s="7"/>
      <c r="EY15" s="7"/>
      <c r="EZ15" s="7"/>
      <c r="FA15" s="7"/>
      <c r="FB15" s="7"/>
      <c r="FC15" s="7"/>
    </row>
    <row r="16" spans="1:175" ht="14" thickBot="1" x14ac:dyDescent="0.2">
      <c r="A16" s="249"/>
      <c r="B16" s="38">
        <v>235</v>
      </c>
      <c r="C16" s="129">
        <f>Anchor!L193</f>
        <v>0</v>
      </c>
      <c r="D16" s="129">
        <f>Anchor!M193</f>
        <v>0</v>
      </c>
      <c r="E16" s="129">
        <f>Anchor!N193</f>
        <v>0</v>
      </c>
      <c r="F16" s="129">
        <f>Anchor!O193</f>
        <v>0</v>
      </c>
      <c r="G16" s="130">
        <f>('Summary (Full)'!$B$34*D16+'Summary (Full)'!$B$35*E16+'Summary (Full)'!$B$36*F16)/'Summary (Full)'!$B$37</f>
        <v>0</v>
      </c>
      <c r="H16" s="129">
        <f>Anchor!P193</f>
        <v>0</v>
      </c>
      <c r="I16" s="129">
        <f>Anchor!Q193</f>
        <v>0</v>
      </c>
      <c r="J16" s="129">
        <f>Anchor!R193</f>
        <v>0</v>
      </c>
      <c r="K16" s="129">
        <f>Anchor!S193</f>
        <v>0</v>
      </c>
      <c r="L16" s="129">
        <f>Anchor!T193</f>
        <v>0</v>
      </c>
      <c r="M16" s="129">
        <f>Anchor!U193</f>
        <v>0</v>
      </c>
      <c r="N16" s="129">
        <f>Anchor!V193</f>
        <v>0</v>
      </c>
      <c r="O16" s="129">
        <f>Anchor!W193</f>
        <v>0</v>
      </c>
      <c r="P16" s="129">
        <f>Anchor!X193</f>
        <v>0</v>
      </c>
      <c r="Q16" s="131">
        <f>10*LOG10(1/(('Summary (Full)'!$B$41/10^(N16/10)+'Summary (Full)'!$B$42/10^(O16/10)+'Summary (Full)'!$B$43/10^(P16/10))/'Summary (Full)'!$B$44))</f>
        <v>0</v>
      </c>
      <c r="R16" s="129">
        <f>Anchor!Y193</f>
        <v>0</v>
      </c>
      <c r="S16" s="129">
        <f>Anchor!Z193</f>
        <v>0</v>
      </c>
      <c r="T16" s="132"/>
      <c r="U16" s="129">
        <f>Test!L193</f>
        <v>0</v>
      </c>
      <c r="V16" s="129">
        <f>Test!M193</f>
        <v>0</v>
      </c>
      <c r="W16" s="129">
        <f>Test!N193</f>
        <v>0</v>
      </c>
      <c r="X16" s="129">
        <f>Test!O193</f>
        <v>0</v>
      </c>
      <c r="Y16" s="129">
        <f>('Summary (Full)'!$B$34*V16+'Summary (Full)'!$B$35*W16+'Summary (Full)'!$B$36*X16)/'Summary (Full)'!$B$37</f>
        <v>0</v>
      </c>
      <c r="Z16" s="129">
        <f>Test!P193</f>
        <v>0</v>
      </c>
      <c r="AA16" s="129">
        <f>Test!Q193</f>
        <v>0</v>
      </c>
      <c r="AB16" s="129">
        <f>Test!R193</f>
        <v>0</v>
      </c>
      <c r="AC16" s="129">
        <f>Test!S193</f>
        <v>0</v>
      </c>
      <c r="AD16" s="129">
        <f>Test!T193</f>
        <v>0</v>
      </c>
      <c r="AE16" s="129">
        <f>Test!U193</f>
        <v>0</v>
      </c>
      <c r="AF16" s="129">
        <f>Test!V193</f>
        <v>0</v>
      </c>
      <c r="AG16" s="129">
        <f>Test!W193</f>
        <v>0</v>
      </c>
      <c r="AH16" s="129">
        <f>Test!X193</f>
        <v>0</v>
      </c>
      <c r="AI16" s="129">
        <f>10*LOG10(1/(('Summary (Full)'!$B$41/10^(AF16/10)+'Summary (Full)'!$B$42/10^(AG16/10)+'Summary (Full)'!$B$43/10^(AH16/10))/'Summary (Full)'!$B$44))</f>
        <v>0</v>
      </c>
      <c r="AJ16" s="129">
        <f>Test!Y193</f>
        <v>0</v>
      </c>
      <c r="AK16" s="129">
        <f>Test!Z193</f>
        <v>0</v>
      </c>
      <c r="AL16" s="129" t="e">
        <f t="shared" si="2"/>
        <v>#DIV/0!</v>
      </c>
      <c r="AM16" s="129" t="e">
        <f t="shared" si="2"/>
        <v>#DIV/0!</v>
      </c>
      <c r="AO16" s="263"/>
      <c r="AP16" s="173"/>
      <c r="AQ16" s="173"/>
      <c r="AR16" s="173"/>
      <c r="AS16" s="173"/>
      <c r="AT16" s="173"/>
      <c r="AU16" s="173"/>
      <c r="AV16" s="173"/>
      <c r="AW16" s="173"/>
      <c r="AX16" s="173"/>
      <c r="AY16" s="188"/>
      <c r="AZ16" s="287"/>
      <c r="BA16" s="240"/>
      <c r="EV16" s="7"/>
      <c r="EW16" s="7"/>
      <c r="EX16" s="7"/>
      <c r="EY16" s="7"/>
      <c r="EZ16" s="7"/>
      <c r="FA16" s="7"/>
      <c r="FB16" s="7"/>
      <c r="FC16" s="7"/>
    </row>
    <row r="17" spans="1:159" ht="13" customHeight="1" x14ac:dyDescent="0.15">
      <c r="A17" s="249" t="s">
        <v>8</v>
      </c>
      <c r="B17" s="38">
        <v>110</v>
      </c>
      <c r="C17" s="129">
        <f>Anchor!L194</f>
        <v>0</v>
      </c>
      <c r="D17" s="129">
        <f>Anchor!M194</f>
        <v>0</v>
      </c>
      <c r="E17" s="129">
        <f>Anchor!N194</f>
        <v>0</v>
      </c>
      <c r="F17" s="129">
        <f>Anchor!O194</f>
        <v>0</v>
      </c>
      <c r="G17" s="130">
        <f>('Summary (Full)'!$B$34*D17+'Summary (Full)'!$B$35*E17+'Summary (Full)'!$B$36*F17)/'Summary (Full)'!$B$37</f>
        <v>0</v>
      </c>
      <c r="H17" s="129">
        <f>Anchor!P194</f>
        <v>0</v>
      </c>
      <c r="I17" s="129">
        <f>Anchor!Q194</f>
        <v>0</v>
      </c>
      <c r="J17" s="129">
        <f>Anchor!R194</f>
        <v>0</v>
      </c>
      <c r="K17" s="129">
        <f>Anchor!S194</f>
        <v>0</v>
      </c>
      <c r="L17" s="129">
        <f>Anchor!T194</f>
        <v>0</v>
      </c>
      <c r="M17" s="129">
        <f>Anchor!U194</f>
        <v>0</v>
      </c>
      <c r="N17" s="129">
        <f>Anchor!V194</f>
        <v>0</v>
      </c>
      <c r="O17" s="129">
        <f>Anchor!W194</f>
        <v>0</v>
      </c>
      <c r="P17" s="129">
        <f>Anchor!X194</f>
        <v>0</v>
      </c>
      <c r="Q17" s="131">
        <f>10*LOG10(1/(('Summary (Full)'!$B$41/10^(N17/10)+'Summary (Full)'!$B$42/10^(O17/10)+'Summary (Full)'!$B$43/10^(P17/10))/'Summary (Full)'!$B$44))</f>
        <v>0</v>
      </c>
      <c r="R17" s="129">
        <f>Anchor!Y194</f>
        <v>0</v>
      </c>
      <c r="S17" s="129">
        <f>Anchor!Z194</f>
        <v>0</v>
      </c>
      <c r="T17" s="132"/>
      <c r="U17" s="129">
        <f>Test!L194</f>
        <v>0</v>
      </c>
      <c r="V17" s="129">
        <f>Test!M194</f>
        <v>0</v>
      </c>
      <c r="W17" s="129">
        <f>Test!N194</f>
        <v>0</v>
      </c>
      <c r="X17" s="129">
        <f>Test!O194</f>
        <v>0</v>
      </c>
      <c r="Y17" s="129">
        <f>('Summary (Full)'!$B$34*V17+'Summary (Full)'!$B$35*W17+'Summary (Full)'!$B$36*X17)/'Summary (Full)'!$B$37</f>
        <v>0</v>
      </c>
      <c r="Z17" s="129">
        <f>Test!P194</f>
        <v>0</v>
      </c>
      <c r="AA17" s="129">
        <f>Test!Q194</f>
        <v>0</v>
      </c>
      <c r="AB17" s="129">
        <f>Test!R194</f>
        <v>0</v>
      </c>
      <c r="AC17" s="129">
        <f>Test!S194</f>
        <v>0</v>
      </c>
      <c r="AD17" s="129">
        <f>Test!T194</f>
        <v>0</v>
      </c>
      <c r="AE17" s="129">
        <f>Test!U194</f>
        <v>0</v>
      </c>
      <c r="AF17" s="129">
        <f>Test!V194</f>
        <v>0</v>
      </c>
      <c r="AG17" s="129">
        <f>Test!W194</f>
        <v>0</v>
      </c>
      <c r="AH17" s="129">
        <f>Test!X194</f>
        <v>0</v>
      </c>
      <c r="AI17" s="129">
        <f>10*LOG10(1/(('Summary (Full)'!$B$41/10^(AF17/10)+'Summary (Full)'!$B$42/10^(AG17/10)+'Summary (Full)'!$B$43/10^(AH17/10))/'Summary (Full)'!$B$44))</f>
        <v>0</v>
      </c>
      <c r="AJ17" s="129">
        <f>Test!Y194</f>
        <v>0</v>
      </c>
      <c r="AK17" s="129">
        <f>Test!Z194</f>
        <v>0</v>
      </c>
      <c r="AL17" s="129" t="e">
        <f t="shared" si="2"/>
        <v>#DIV/0!</v>
      </c>
      <c r="AM17" s="129" t="e">
        <f t="shared" si="2"/>
        <v>#DIV/0!</v>
      </c>
      <c r="AO17" s="253" t="s">
        <v>27</v>
      </c>
      <c r="AP17" s="171" t="e" cm="1">
        <f t="array" ref="AP17">bdRateExtend($C17:$C20,D17:D20,$U17:$U20,V17:V20)</f>
        <v>#VALUE!</v>
      </c>
      <c r="AQ17" s="171" t="e" cm="1">
        <f t="array" ref="AQ17">bdRateExtend($C17:$C22,D17:D22,$U17:$U22,V17:V22)</f>
        <v>#VALUE!</v>
      </c>
      <c r="AR17" s="171" t="e" cm="1">
        <f t="array" ref="AR17">bdRateExtend($C17:$C22,E17:E22,$U17:$U22,W17:W22)</f>
        <v>#VALUE!</v>
      </c>
      <c r="AS17" s="171" t="e" cm="1">
        <f t="array" ref="AS17">bdRateExtend($C17:$C22,F17:F22,$U17:$U22,X17:X22)</f>
        <v>#VALUE!</v>
      </c>
      <c r="AT17" s="171" t="e" cm="1">
        <f t="array" ref="AT17">bdRateExtend($C17:$C20,H17:H20,$U17:$U20,Z17:Z20)</f>
        <v>#VALUE!</v>
      </c>
      <c r="AU17" s="171" t="e" cm="1">
        <f t="array" ref="AU17">bdRateExtend($C17:$C22,H17:H22,$U17:$U22,Z17:Z22)</f>
        <v>#VALUE!</v>
      </c>
      <c r="AV17" s="171" t="e" cm="1">
        <f t="array" ref="AV17">bdRateExtend($C17:$C20,I17:I20,$U17:$U20,AA17:AA20)</f>
        <v>#VALUE!</v>
      </c>
      <c r="AW17" s="171" t="e" cm="1">
        <f t="array" ref="AW17">bdRateExtend($C17:$C22,I17:I22,$U17:$U22,AA17:AA22)</f>
        <v>#VALUE!</v>
      </c>
      <c r="AX17" s="171" t="e" cm="1">
        <f t="array" ref="AX17">bdRateExtend($C17:$C20,J17:J20,$U17:$U20,AB17:AB20,"None", FALSE,1)</f>
        <v>#VALUE!</v>
      </c>
      <c r="AY17" s="174" t="e" cm="1">
        <f t="array" ref="AY17">bdRateExtend($C17:$C22,J17:J22,$U17:$U22,AB17:AB22,"None", FALSE,TRUE)</f>
        <v>#VALUE!</v>
      </c>
      <c r="AZ17" s="285" cm="1">
        <f t="array" ref="AZ17">testVMAFRange($C17:$C20,J17:J20,$U17:$U20,AB17:AB20)</f>
        <v>0</v>
      </c>
      <c r="BA17" s="211" cm="1">
        <f t="array" ref="BA17">testVMAFRange($C17:$C22,J17:J22,$U17:$U22,AB17:AB22)</f>
        <v>0</v>
      </c>
      <c r="EV17" s="7"/>
      <c r="EW17" s="7"/>
      <c r="EX17" s="7"/>
      <c r="EY17" s="7"/>
      <c r="EZ17" s="7"/>
      <c r="FA17" s="7"/>
      <c r="FB17" s="7"/>
      <c r="FC17" s="7"/>
    </row>
    <row r="18" spans="1:159" x14ac:dyDescent="0.15">
      <c r="A18" s="249"/>
      <c r="B18" s="38">
        <v>135</v>
      </c>
      <c r="C18" s="129">
        <f>Anchor!L195</f>
        <v>0</v>
      </c>
      <c r="D18" s="129">
        <f>Anchor!M195</f>
        <v>0</v>
      </c>
      <c r="E18" s="129">
        <f>Anchor!N195</f>
        <v>0</v>
      </c>
      <c r="F18" s="129">
        <f>Anchor!O195</f>
        <v>0</v>
      </c>
      <c r="G18" s="130">
        <f>('Summary (Full)'!$B$34*D18+'Summary (Full)'!$B$35*E18+'Summary (Full)'!$B$36*F18)/'Summary (Full)'!$B$37</f>
        <v>0</v>
      </c>
      <c r="H18" s="129">
        <f>Anchor!P195</f>
        <v>0</v>
      </c>
      <c r="I18" s="129">
        <f>Anchor!Q195</f>
        <v>0</v>
      </c>
      <c r="J18" s="129">
        <f>Anchor!R195</f>
        <v>0</v>
      </c>
      <c r="K18" s="129">
        <f>Anchor!S195</f>
        <v>0</v>
      </c>
      <c r="L18" s="129">
        <f>Anchor!T195</f>
        <v>0</v>
      </c>
      <c r="M18" s="129">
        <f>Anchor!U195</f>
        <v>0</v>
      </c>
      <c r="N18" s="129">
        <f>Anchor!V195</f>
        <v>0</v>
      </c>
      <c r="O18" s="129">
        <f>Anchor!W195</f>
        <v>0</v>
      </c>
      <c r="P18" s="129">
        <f>Anchor!X195</f>
        <v>0</v>
      </c>
      <c r="Q18" s="131">
        <f>10*LOG10(1/(('Summary (Full)'!$B$41/10^(N18/10)+'Summary (Full)'!$B$42/10^(O18/10)+'Summary (Full)'!$B$43/10^(P18/10))/'Summary (Full)'!$B$44))</f>
        <v>0</v>
      </c>
      <c r="R18" s="129">
        <f>Anchor!Y195</f>
        <v>0</v>
      </c>
      <c r="S18" s="129">
        <f>Anchor!Z195</f>
        <v>0</v>
      </c>
      <c r="T18" s="132"/>
      <c r="U18" s="129">
        <f>Test!L195</f>
        <v>0</v>
      </c>
      <c r="V18" s="129">
        <f>Test!M195</f>
        <v>0</v>
      </c>
      <c r="W18" s="129">
        <f>Test!N195</f>
        <v>0</v>
      </c>
      <c r="X18" s="129">
        <f>Test!O195</f>
        <v>0</v>
      </c>
      <c r="Y18" s="129">
        <f>('Summary (Full)'!$B$34*V18+'Summary (Full)'!$B$35*W18+'Summary (Full)'!$B$36*X18)/'Summary (Full)'!$B$37</f>
        <v>0</v>
      </c>
      <c r="Z18" s="129">
        <f>Test!P195</f>
        <v>0</v>
      </c>
      <c r="AA18" s="129">
        <f>Test!Q195</f>
        <v>0</v>
      </c>
      <c r="AB18" s="129">
        <f>Test!R195</f>
        <v>0</v>
      </c>
      <c r="AC18" s="129">
        <f>Test!S195</f>
        <v>0</v>
      </c>
      <c r="AD18" s="129">
        <f>Test!T195</f>
        <v>0</v>
      </c>
      <c r="AE18" s="129">
        <f>Test!U195</f>
        <v>0</v>
      </c>
      <c r="AF18" s="129">
        <f>Test!V195</f>
        <v>0</v>
      </c>
      <c r="AG18" s="129">
        <f>Test!W195</f>
        <v>0</v>
      </c>
      <c r="AH18" s="129">
        <f>Test!X195</f>
        <v>0</v>
      </c>
      <c r="AI18" s="129">
        <f>10*LOG10(1/(('Summary (Full)'!$B$41/10^(AF18/10)+'Summary (Full)'!$B$42/10^(AG18/10)+'Summary (Full)'!$B$43/10^(AH18/10))/'Summary (Full)'!$B$44))</f>
        <v>0</v>
      </c>
      <c r="AJ18" s="129">
        <f>Test!Y195</f>
        <v>0</v>
      </c>
      <c r="AK18" s="129">
        <f>Test!Z195</f>
        <v>0</v>
      </c>
      <c r="AL18" s="129" t="e">
        <f t="shared" si="2"/>
        <v>#DIV/0!</v>
      </c>
      <c r="AM18" s="129" t="e">
        <f t="shared" si="2"/>
        <v>#DIV/0!</v>
      </c>
      <c r="AO18" s="254"/>
      <c r="AP18" s="172"/>
      <c r="AQ18" s="172"/>
      <c r="AR18" s="172"/>
      <c r="AS18" s="172"/>
      <c r="AT18" s="172"/>
      <c r="AU18" s="172"/>
      <c r="AV18" s="172"/>
      <c r="AW18" s="172"/>
      <c r="AX18" s="172"/>
      <c r="AY18" s="175"/>
      <c r="AZ18" s="286"/>
      <c r="BA18" s="212"/>
      <c r="EV18" s="7"/>
      <c r="EW18" s="7"/>
      <c r="EX18" s="7"/>
      <c r="EY18" s="7"/>
      <c r="EZ18" s="7"/>
      <c r="FA18" s="7"/>
      <c r="FB18" s="7"/>
      <c r="FC18" s="7"/>
    </row>
    <row r="19" spans="1:159" ht="13" customHeight="1" x14ac:dyDescent="0.15">
      <c r="A19" s="249"/>
      <c r="B19" s="38">
        <v>160</v>
      </c>
      <c r="C19" s="129">
        <f>Anchor!L196</f>
        <v>0</v>
      </c>
      <c r="D19" s="129">
        <f>Anchor!M196</f>
        <v>0</v>
      </c>
      <c r="E19" s="129">
        <f>Anchor!N196</f>
        <v>0</v>
      </c>
      <c r="F19" s="129">
        <f>Anchor!O196</f>
        <v>0</v>
      </c>
      <c r="G19" s="130">
        <f>('Summary (Full)'!$B$34*D19+'Summary (Full)'!$B$35*E19+'Summary (Full)'!$B$36*F19)/'Summary (Full)'!$B$37</f>
        <v>0</v>
      </c>
      <c r="H19" s="129">
        <f>Anchor!P196</f>
        <v>0</v>
      </c>
      <c r="I19" s="129">
        <f>Anchor!Q196</f>
        <v>0</v>
      </c>
      <c r="J19" s="129">
        <f>Anchor!R196</f>
        <v>0</v>
      </c>
      <c r="K19" s="129">
        <f>Anchor!S196</f>
        <v>0</v>
      </c>
      <c r="L19" s="129">
        <f>Anchor!T196</f>
        <v>0</v>
      </c>
      <c r="M19" s="129">
        <f>Anchor!U196</f>
        <v>0</v>
      </c>
      <c r="N19" s="129">
        <f>Anchor!V196</f>
        <v>0</v>
      </c>
      <c r="O19" s="129">
        <f>Anchor!W196</f>
        <v>0</v>
      </c>
      <c r="P19" s="129">
        <f>Anchor!X196</f>
        <v>0</v>
      </c>
      <c r="Q19" s="131">
        <f>10*LOG10(1/(('Summary (Full)'!$B$41/10^(N19/10)+'Summary (Full)'!$B$42/10^(O19/10)+'Summary (Full)'!$B$43/10^(P19/10))/'Summary (Full)'!$B$44))</f>
        <v>0</v>
      </c>
      <c r="R19" s="129">
        <f>Anchor!Y196</f>
        <v>0</v>
      </c>
      <c r="S19" s="129">
        <f>Anchor!Z196</f>
        <v>0</v>
      </c>
      <c r="T19" s="132"/>
      <c r="U19" s="129">
        <f>Test!L196</f>
        <v>0</v>
      </c>
      <c r="V19" s="129">
        <f>Test!M196</f>
        <v>0</v>
      </c>
      <c r="W19" s="129">
        <f>Test!N196</f>
        <v>0</v>
      </c>
      <c r="X19" s="129">
        <f>Test!O196</f>
        <v>0</v>
      </c>
      <c r="Y19" s="129">
        <f>('Summary (Full)'!$B$34*V19+'Summary (Full)'!$B$35*W19+'Summary (Full)'!$B$36*X19)/'Summary (Full)'!$B$37</f>
        <v>0</v>
      </c>
      <c r="Z19" s="129">
        <f>Test!P196</f>
        <v>0</v>
      </c>
      <c r="AA19" s="129">
        <f>Test!Q196</f>
        <v>0</v>
      </c>
      <c r="AB19" s="129">
        <f>Test!R196</f>
        <v>0</v>
      </c>
      <c r="AC19" s="129">
        <f>Test!S196</f>
        <v>0</v>
      </c>
      <c r="AD19" s="129">
        <f>Test!T196</f>
        <v>0</v>
      </c>
      <c r="AE19" s="129">
        <f>Test!U196</f>
        <v>0</v>
      </c>
      <c r="AF19" s="129">
        <f>Test!V196</f>
        <v>0</v>
      </c>
      <c r="AG19" s="129">
        <f>Test!W196</f>
        <v>0</v>
      </c>
      <c r="AH19" s="129">
        <f>Test!X196</f>
        <v>0</v>
      </c>
      <c r="AI19" s="129">
        <f>10*LOG10(1/(('Summary (Full)'!$B$41/10^(AF19/10)+'Summary (Full)'!$B$42/10^(AG19/10)+'Summary (Full)'!$B$43/10^(AH19/10))/'Summary (Full)'!$B$44))</f>
        <v>0</v>
      </c>
      <c r="AJ19" s="129">
        <f>Test!Y196</f>
        <v>0</v>
      </c>
      <c r="AK19" s="129">
        <f>Test!Z196</f>
        <v>0</v>
      </c>
      <c r="AL19" s="129" t="e">
        <f t="shared" si="2"/>
        <v>#DIV/0!</v>
      </c>
      <c r="AM19" s="129" t="e">
        <f t="shared" si="2"/>
        <v>#DIV/0!</v>
      </c>
      <c r="AO19" s="254" t="s">
        <v>28</v>
      </c>
      <c r="AP19" s="172" t="e" cm="1">
        <f t="array" ref="AP19">bdRateExtend($C18:$C21,D18:D21,$U18:$U21,V18:V21)</f>
        <v>#VALUE!</v>
      </c>
      <c r="AQ19" s="172"/>
      <c r="AR19" s="172"/>
      <c r="AS19" s="172"/>
      <c r="AT19" s="172" t="e" cm="1">
        <f t="array" ref="AT19">bdRateExtend($C18:$C21,H18:H21,$U18:$U21,Z18:Z21)</f>
        <v>#VALUE!</v>
      </c>
      <c r="AU19" s="172"/>
      <c r="AV19" s="172" t="e" cm="1">
        <f t="array" ref="AV19">bdRateExtend($C18:$C21,I18:I21,$U18:$U21,AA18:AA21)</f>
        <v>#VALUE!</v>
      </c>
      <c r="AW19" s="172"/>
      <c r="AX19" s="172" t="e" cm="1">
        <f t="array" ref="AX19">bdRateExtend($C18:$C21,J18:J21,$U18:$U21,AB18:AB21,"None", FALSE,1)</f>
        <v>#VALUE!</v>
      </c>
      <c r="AY19" s="175"/>
      <c r="AZ19" s="286" cm="1">
        <f t="array" ref="AZ19">testVMAFRange($C18:$C21,J18:J21,$U18:$U21,AB18:AB21)</f>
        <v>0</v>
      </c>
      <c r="BA19" s="212"/>
      <c r="EV19" s="7"/>
      <c r="EW19" s="7"/>
      <c r="EX19" s="7"/>
      <c r="EY19" s="7"/>
      <c r="EZ19" s="7"/>
      <c r="FA19" s="7"/>
      <c r="FB19" s="7"/>
      <c r="FC19" s="7"/>
    </row>
    <row r="20" spans="1:159" x14ac:dyDescent="0.15">
      <c r="A20" s="249"/>
      <c r="B20" s="38">
        <v>185</v>
      </c>
      <c r="C20" s="129">
        <f>Anchor!L197</f>
        <v>0</v>
      </c>
      <c r="D20" s="129">
        <f>Anchor!M197</f>
        <v>0</v>
      </c>
      <c r="E20" s="129">
        <f>Anchor!N197</f>
        <v>0</v>
      </c>
      <c r="F20" s="129">
        <f>Anchor!O197</f>
        <v>0</v>
      </c>
      <c r="G20" s="130">
        <f>('Summary (Full)'!$B$34*D20+'Summary (Full)'!$B$35*E20+'Summary (Full)'!$B$36*F20)/'Summary (Full)'!$B$37</f>
        <v>0</v>
      </c>
      <c r="H20" s="129">
        <f>Anchor!P197</f>
        <v>0</v>
      </c>
      <c r="I20" s="129">
        <f>Anchor!Q197</f>
        <v>0</v>
      </c>
      <c r="J20" s="129">
        <f>Anchor!R197</f>
        <v>0</v>
      </c>
      <c r="K20" s="129">
        <f>Anchor!S197</f>
        <v>0</v>
      </c>
      <c r="L20" s="129">
        <f>Anchor!T197</f>
        <v>0</v>
      </c>
      <c r="M20" s="129">
        <f>Anchor!U197</f>
        <v>0</v>
      </c>
      <c r="N20" s="129">
        <f>Anchor!V197</f>
        <v>0</v>
      </c>
      <c r="O20" s="129">
        <f>Anchor!W197</f>
        <v>0</v>
      </c>
      <c r="P20" s="129">
        <f>Anchor!X197</f>
        <v>0</v>
      </c>
      <c r="Q20" s="131">
        <f>10*LOG10(1/(('Summary (Full)'!$B$41/10^(N20/10)+'Summary (Full)'!$B$42/10^(O20/10)+'Summary (Full)'!$B$43/10^(P20/10))/'Summary (Full)'!$B$44))</f>
        <v>0</v>
      </c>
      <c r="R20" s="129">
        <f>Anchor!Y197</f>
        <v>0</v>
      </c>
      <c r="S20" s="129">
        <f>Anchor!Z197</f>
        <v>0</v>
      </c>
      <c r="T20" s="132"/>
      <c r="U20" s="129">
        <f>Test!L197</f>
        <v>0</v>
      </c>
      <c r="V20" s="129">
        <f>Test!M197</f>
        <v>0</v>
      </c>
      <c r="W20" s="129">
        <f>Test!N197</f>
        <v>0</v>
      </c>
      <c r="X20" s="129">
        <f>Test!O197</f>
        <v>0</v>
      </c>
      <c r="Y20" s="129">
        <f>('Summary (Full)'!$B$34*V20+'Summary (Full)'!$B$35*W20+'Summary (Full)'!$B$36*X20)/'Summary (Full)'!$B$37</f>
        <v>0</v>
      </c>
      <c r="Z20" s="129">
        <f>Test!P197</f>
        <v>0</v>
      </c>
      <c r="AA20" s="129">
        <f>Test!Q197</f>
        <v>0</v>
      </c>
      <c r="AB20" s="129">
        <f>Test!R197</f>
        <v>0</v>
      </c>
      <c r="AC20" s="129">
        <f>Test!S197</f>
        <v>0</v>
      </c>
      <c r="AD20" s="129">
        <f>Test!T197</f>
        <v>0</v>
      </c>
      <c r="AE20" s="129">
        <f>Test!U197</f>
        <v>0</v>
      </c>
      <c r="AF20" s="129">
        <f>Test!V197</f>
        <v>0</v>
      </c>
      <c r="AG20" s="129">
        <f>Test!W197</f>
        <v>0</v>
      </c>
      <c r="AH20" s="129">
        <f>Test!X197</f>
        <v>0</v>
      </c>
      <c r="AI20" s="129">
        <f>10*LOG10(1/(('Summary (Full)'!$B$41/10^(AF20/10)+'Summary (Full)'!$B$42/10^(AG20/10)+'Summary (Full)'!$B$43/10^(AH20/10))/'Summary (Full)'!$B$44))</f>
        <v>0</v>
      </c>
      <c r="AJ20" s="129">
        <f>Test!Y197</f>
        <v>0</v>
      </c>
      <c r="AK20" s="129">
        <f>Test!Z197</f>
        <v>0</v>
      </c>
      <c r="AL20" s="129" t="e">
        <f t="shared" si="2"/>
        <v>#DIV/0!</v>
      </c>
      <c r="AM20" s="129" t="e">
        <f t="shared" si="2"/>
        <v>#DIV/0!</v>
      </c>
      <c r="AO20" s="254"/>
      <c r="AP20" s="172"/>
      <c r="AQ20" s="172"/>
      <c r="AR20" s="172"/>
      <c r="AS20" s="172"/>
      <c r="AT20" s="172"/>
      <c r="AU20" s="172"/>
      <c r="AV20" s="172"/>
      <c r="AW20" s="172"/>
      <c r="AX20" s="172"/>
      <c r="AY20" s="175"/>
      <c r="AZ20" s="286"/>
      <c r="BA20" s="212"/>
      <c r="EV20" s="7"/>
      <c r="EW20" s="7"/>
      <c r="EX20" s="7"/>
      <c r="EY20" s="7"/>
      <c r="EZ20" s="7"/>
      <c r="FA20" s="7"/>
      <c r="FB20" s="7"/>
      <c r="FC20" s="7"/>
    </row>
    <row r="21" spans="1:159" ht="13" customHeight="1" x14ac:dyDescent="0.15">
      <c r="A21" s="249"/>
      <c r="B21" s="38">
        <v>210</v>
      </c>
      <c r="C21" s="129">
        <f>Anchor!L198</f>
        <v>0</v>
      </c>
      <c r="D21" s="129">
        <f>Anchor!M198</f>
        <v>0</v>
      </c>
      <c r="E21" s="129">
        <f>Anchor!N198</f>
        <v>0</v>
      </c>
      <c r="F21" s="129">
        <f>Anchor!O198</f>
        <v>0</v>
      </c>
      <c r="G21" s="130">
        <f>('Summary (Full)'!$B$34*D21+'Summary (Full)'!$B$35*E21+'Summary (Full)'!$B$36*F21)/'Summary (Full)'!$B$37</f>
        <v>0</v>
      </c>
      <c r="H21" s="129">
        <f>Anchor!P198</f>
        <v>0</v>
      </c>
      <c r="I21" s="129">
        <f>Anchor!Q198</f>
        <v>0</v>
      </c>
      <c r="J21" s="129">
        <f>Anchor!R198</f>
        <v>0</v>
      </c>
      <c r="K21" s="129">
        <f>Anchor!S198</f>
        <v>0</v>
      </c>
      <c r="L21" s="129">
        <f>Anchor!T198</f>
        <v>0</v>
      </c>
      <c r="M21" s="129">
        <f>Anchor!U198</f>
        <v>0</v>
      </c>
      <c r="N21" s="129">
        <f>Anchor!V198</f>
        <v>0</v>
      </c>
      <c r="O21" s="129">
        <f>Anchor!W198</f>
        <v>0</v>
      </c>
      <c r="P21" s="129">
        <f>Anchor!X198</f>
        <v>0</v>
      </c>
      <c r="Q21" s="131">
        <f>10*LOG10(1/(('Summary (Full)'!$B$41/10^(N21/10)+'Summary (Full)'!$B$42/10^(O21/10)+'Summary (Full)'!$B$43/10^(P21/10))/'Summary (Full)'!$B$44))</f>
        <v>0</v>
      </c>
      <c r="R21" s="129">
        <f>Anchor!Y198</f>
        <v>0</v>
      </c>
      <c r="S21" s="129">
        <f>Anchor!Z198</f>
        <v>0</v>
      </c>
      <c r="T21" s="132"/>
      <c r="U21" s="129">
        <f>Test!L198</f>
        <v>0</v>
      </c>
      <c r="V21" s="129">
        <f>Test!M198</f>
        <v>0</v>
      </c>
      <c r="W21" s="129">
        <f>Test!N198</f>
        <v>0</v>
      </c>
      <c r="X21" s="129">
        <f>Test!O198</f>
        <v>0</v>
      </c>
      <c r="Y21" s="129">
        <f>('Summary (Full)'!$B$34*V21+'Summary (Full)'!$B$35*W21+'Summary (Full)'!$B$36*X21)/'Summary (Full)'!$B$37</f>
        <v>0</v>
      </c>
      <c r="Z21" s="129">
        <f>Test!P198</f>
        <v>0</v>
      </c>
      <c r="AA21" s="129">
        <f>Test!Q198</f>
        <v>0</v>
      </c>
      <c r="AB21" s="129">
        <f>Test!R198</f>
        <v>0</v>
      </c>
      <c r="AC21" s="129">
        <f>Test!S198</f>
        <v>0</v>
      </c>
      <c r="AD21" s="129">
        <f>Test!T198</f>
        <v>0</v>
      </c>
      <c r="AE21" s="129">
        <f>Test!U198</f>
        <v>0</v>
      </c>
      <c r="AF21" s="129">
        <f>Test!V198</f>
        <v>0</v>
      </c>
      <c r="AG21" s="129">
        <f>Test!W198</f>
        <v>0</v>
      </c>
      <c r="AH21" s="129">
        <f>Test!X198</f>
        <v>0</v>
      </c>
      <c r="AI21" s="129">
        <f>10*LOG10(1/(('Summary (Full)'!$B$41/10^(AF21/10)+'Summary (Full)'!$B$42/10^(AG21/10)+'Summary (Full)'!$B$43/10^(AH21/10))/'Summary (Full)'!$B$44))</f>
        <v>0</v>
      </c>
      <c r="AJ21" s="129">
        <f>Test!Y198</f>
        <v>0</v>
      </c>
      <c r="AK21" s="129">
        <f>Test!Z198</f>
        <v>0</v>
      </c>
      <c r="AL21" s="129" t="e">
        <f t="shared" si="2"/>
        <v>#DIV/0!</v>
      </c>
      <c r="AM21" s="129" t="e">
        <f t="shared" si="2"/>
        <v>#DIV/0!</v>
      </c>
      <c r="AO21" s="254" t="s">
        <v>29</v>
      </c>
      <c r="AP21" s="172" t="e" cm="1">
        <f t="array" ref="AP21">bdRateExtend($C19:$C22,D19:D22,$U19:$U22,V19:V22)</f>
        <v>#VALUE!</v>
      </c>
      <c r="AQ21" s="172"/>
      <c r="AR21" s="172"/>
      <c r="AS21" s="172"/>
      <c r="AT21" s="172" t="e" cm="1">
        <f t="array" ref="AT21">bdRateExtend($C19:$C22,H19:H22,$U19:$U22,Z19:Z22)</f>
        <v>#VALUE!</v>
      </c>
      <c r="AU21" s="172"/>
      <c r="AV21" s="172" t="e" cm="1">
        <f t="array" ref="AV21">bdRateExtend($C19:$C22,I19:I22,$U19:$U22,AA19:AA22)</f>
        <v>#VALUE!</v>
      </c>
      <c r="AW21" s="172"/>
      <c r="AX21" s="172" t="e" cm="1">
        <f t="array" ref="AX21">bdRateExtend($C19:$C22,J19:J22,$U19:$U22,AB19:AB22,"None", FALSE,1)</f>
        <v>#VALUE!</v>
      </c>
      <c r="AY21" s="175"/>
      <c r="AZ21" s="286" cm="1">
        <f t="array" ref="AZ21">testVMAFRange($C19:$C22,J19:J22,$U19:$U22,AB19:AB22)</f>
        <v>0</v>
      </c>
      <c r="BA21" s="212"/>
      <c r="EV21" s="7"/>
      <c r="EW21" s="7"/>
      <c r="EX21" s="7"/>
      <c r="EY21" s="7"/>
      <c r="EZ21" s="7"/>
      <c r="FA21" s="7"/>
      <c r="FB21" s="7"/>
      <c r="FC21" s="7"/>
    </row>
    <row r="22" spans="1:159" ht="14" thickBot="1" x14ac:dyDescent="0.2">
      <c r="A22" s="249"/>
      <c r="B22" s="38">
        <v>235</v>
      </c>
      <c r="C22" s="129">
        <f>Anchor!L199</f>
        <v>0</v>
      </c>
      <c r="D22" s="129">
        <f>Anchor!M199</f>
        <v>0</v>
      </c>
      <c r="E22" s="129">
        <f>Anchor!N199</f>
        <v>0</v>
      </c>
      <c r="F22" s="129">
        <f>Anchor!O199</f>
        <v>0</v>
      </c>
      <c r="G22" s="130">
        <f>('Summary (Full)'!$B$34*D22+'Summary (Full)'!$B$35*E22+'Summary (Full)'!$B$36*F22)/'Summary (Full)'!$B$37</f>
        <v>0</v>
      </c>
      <c r="H22" s="129">
        <f>Anchor!P199</f>
        <v>0</v>
      </c>
      <c r="I22" s="129">
        <f>Anchor!Q199</f>
        <v>0</v>
      </c>
      <c r="J22" s="129">
        <f>Anchor!R199</f>
        <v>0</v>
      </c>
      <c r="K22" s="129">
        <f>Anchor!S199</f>
        <v>0</v>
      </c>
      <c r="L22" s="129">
        <f>Anchor!T199</f>
        <v>0</v>
      </c>
      <c r="M22" s="129">
        <f>Anchor!U199</f>
        <v>0</v>
      </c>
      <c r="N22" s="129">
        <f>Anchor!V199</f>
        <v>0</v>
      </c>
      <c r="O22" s="129">
        <f>Anchor!W199</f>
        <v>0</v>
      </c>
      <c r="P22" s="129">
        <f>Anchor!X199</f>
        <v>0</v>
      </c>
      <c r="Q22" s="131">
        <f>10*LOG10(1/(('Summary (Full)'!$B$41/10^(N22/10)+'Summary (Full)'!$B$42/10^(O22/10)+'Summary (Full)'!$B$43/10^(P22/10))/'Summary (Full)'!$B$44))</f>
        <v>0</v>
      </c>
      <c r="R22" s="129">
        <f>Anchor!Y199</f>
        <v>0</v>
      </c>
      <c r="S22" s="129">
        <f>Anchor!Z199</f>
        <v>0</v>
      </c>
      <c r="T22" s="132"/>
      <c r="U22" s="129">
        <f>Test!L199</f>
        <v>0</v>
      </c>
      <c r="V22" s="129">
        <f>Test!M199</f>
        <v>0</v>
      </c>
      <c r="W22" s="129">
        <f>Test!N199</f>
        <v>0</v>
      </c>
      <c r="X22" s="129">
        <f>Test!O199</f>
        <v>0</v>
      </c>
      <c r="Y22" s="129">
        <f>('Summary (Full)'!$B$34*V22+'Summary (Full)'!$B$35*W22+'Summary (Full)'!$B$36*X22)/'Summary (Full)'!$B$37</f>
        <v>0</v>
      </c>
      <c r="Z22" s="129">
        <f>Test!P199</f>
        <v>0</v>
      </c>
      <c r="AA22" s="129">
        <f>Test!Q199</f>
        <v>0</v>
      </c>
      <c r="AB22" s="129">
        <f>Test!R199</f>
        <v>0</v>
      </c>
      <c r="AC22" s="129">
        <f>Test!S199</f>
        <v>0</v>
      </c>
      <c r="AD22" s="129">
        <f>Test!T199</f>
        <v>0</v>
      </c>
      <c r="AE22" s="129">
        <f>Test!U199</f>
        <v>0</v>
      </c>
      <c r="AF22" s="129">
        <f>Test!V199</f>
        <v>0</v>
      </c>
      <c r="AG22" s="129">
        <f>Test!W199</f>
        <v>0</v>
      </c>
      <c r="AH22" s="129">
        <f>Test!X199</f>
        <v>0</v>
      </c>
      <c r="AI22" s="129">
        <f>10*LOG10(1/(('Summary (Full)'!$B$41/10^(AF22/10)+'Summary (Full)'!$B$42/10^(AG22/10)+'Summary (Full)'!$B$43/10^(AH22/10))/'Summary (Full)'!$B$44))</f>
        <v>0</v>
      </c>
      <c r="AJ22" s="129">
        <f>Test!Y199</f>
        <v>0</v>
      </c>
      <c r="AK22" s="129">
        <f>Test!Z199</f>
        <v>0</v>
      </c>
      <c r="AL22" s="129" t="e">
        <f t="shared" si="2"/>
        <v>#DIV/0!</v>
      </c>
      <c r="AM22" s="129" t="e">
        <f t="shared" si="2"/>
        <v>#DIV/0!</v>
      </c>
      <c r="AO22" s="263"/>
      <c r="AP22" s="173"/>
      <c r="AQ22" s="173"/>
      <c r="AR22" s="173"/>
      <c r="AS22" s="173"/>
      <c r="AT22" s="173"/>
      <c r="AU22" s="173"/>
      <c r="AV22" s="173"/>
      <c r="AW22" s="173"/>
      <c r="AX22" s="173"/>
      <c r="AY22" s="188"/>
      <c r="AZ22" s="287"/>
      <c r="BA22" s="240"/>
      <c r="EV22" s="7"/>
      <c r="EW22" s="7"/>
      <c r="EX22" s="7"/>
      <c r="EY22" s="7"/>
      <c r="EZ22" s="7"/>
      <c r="FA22" s="7"/>
      <c r="FB22" s="7"/>
      <c r="FC22" s="7"/>
    </row>
    <row r="23" spans="1:159" ht="13" customHeight="1" x14ac:dyDescent="0.15">
      <c r="A23" s="250" t="s">
        <v>19</v>
      </c>
      <c r="B23" s="38">
        <v>110</v>
      </c>
      <c r="C23" s="129">
        <f>Anchor!L200</f>
        <v>0</v>
      </c>
      <c r="D23" s="129">
        <f>Anchor!M200</f>
        <v>0</v>
      </c>
      <c r="E23" s="129">
        <f>Anchor!N200</f>
        <v>0</v>
      </c>
      <c r="F23" s="129">
        <f>Anchor!O200</f>
        <v>0</v>
      </c>
      <c r="G23" s="130">
        <f>('Summary (Full)'!$B$34*D23+'Summary (Full)'!$B$35*E23+'Summary (Full)'!$B$36*F23)/'Summary (Full)'!$B$37</f>
        <v>0</v>
      </c>
      <c r="H23" s="129">
        <f>Anchor!P200</f>
        <v>0</v>
      </c>
      <c r="I23" s="129">
        <f>Anchor!Q200</f>
        <v>0</v>
      </c>
      <c r="J23" s="129">
        <f>Anchor!R200</f>
        <v>0</v>
      </c>
      <c r="K23" s="129">
        <f>Anchor!S200</f>
        <v>0</v>
      </c>
      <c r="L23" s="129">
        <f>Anchor!T200</f>
        <v>0</v>
      </c>
      <c r="M23" s="129">
        <f>Anchor!U200</f>
        <v>0</v>
      </c>
      <c r="N23" s="129">
        <f>Anchor!V200</f>
        <v>0</v>
      </c>
      <c r="O23" s="129">
        <f>Anchor!W200</f>
        <v>0</v>
      </c>
      <c r="P23" s="129">
        <f>Anchor!X200</f>
        <v>0</v>
      </c>
      <c r="Q23" s="131">
        <f>10*LOG10(1/(('Summary (Full)'!$B$41/10^(N23/10)+'Summary (Full)'!$B$42/10^(O23/10)+'Summary (Full)'!$B$43/10^(P23/10))/'Summary (Full)'!$B$44))</f>
        <v>0</v>
      </c>
      <c r="R23" s="129">
        <f>Anchor!Y200</f>
        <v>0</v>
      </c>
      <c r="S23" s="129">
        <f>Anchor!Z200</f>
        <v>0</v>
      </c>
      <c r="T23" s="132"/>
      <c r="U23" s="129">
        <f>Test!L200</f>
        <v>0</v>
      </c>
      <c r="V23" s="129">
        <f>Test!M200</f>
        <v>0</v>
      </c>
      <c r="W23" s="129">
        <f>Test!N200</f>
        <v>0</v>
      </c>
      <c r="X23" s="129">
        <f>Test!O200</f>
        <v>0</v>
      </c>
      <c r="Y23" s="129">
        <f>('Summary (Full)'!$B$34*V23+'Summary (Full)'!$B$35*W23+'Summary (Full)'!$B$36*X23)/'Summary (Full)'!$B$37</f>
        <v>0</v>
      </c>
      <c r="Z23" s="129">
        <f>Test!P200</f>
        <v>0</v>
      </c>
      <c r="AA23" s="129">
        <f>Test!Q200</f>
        <v>0</v>
      </c>
      <c r="AB23" s="129">
        <f>Test!R200</f>
        <v>0</v>
      </c>
      <c r="AC23" s="129">
        <f>Test!S200</f>
        <v>0</v>
      </c>
      <c r="AD23" s="129">
        <f>Test!T200</f>
        <v>0</v>
      </c>
      <c r="AE23" s="129">
        <f>Test!U200</f>
        <v>0</v>
      </c>
      <c r="AF23" s="129">
        <f>Test!V200</f>
        <v>0</v>
      </c>
      <c r="AG23" s="129">
        <f>Test!W200</f>
        <v>0</v>
      </c>
      <c r="AH23" s="129">
        <f>Test!X200</f>
        <v>0</v>
      </c>
      <c r="AI23" s="129">
        <f>10*LOG10(1/(('Summary (Full)'!$B$41/10^(AF23/10)+'Summary (Full)'!$B$42/10^(AG23/10)+'Summary (Full)'!$B$43/10^(AH23/10))/'Summary (Full)'!$B$44))</f>
        <v>0</v>
      </c>
      <c r="AJ23" s="129">
        <f>Test!Y200</f>
        <v>0</v>
      </c>
      <c r="AK23" s="129">
        <f>Test!Z200</f>
        <v>0</v>
      </c>
      <c r="AL23" s="129" t="e">
        <f t="shared" si="2"/>
        <v>#DIV/0!</v>
      </c>
      <c r="AM23" s="129" t="e">
        <f t="shared" si="2"/>
        <v>#DIV/0!</v>
      </c>
      <c r="AO23" s="253" t="s">
        <v>27</v>
      </c>
      <c r="AP23" s="171" t="e" cm="1">
        <f t="array" ref="AP23">bdRateExtend($C23:$C26,D23:D26,$U23:$U26,V23:V26)</f>
        <v>#VALUE!</v>
      </c>
      <c r="AQ23" s="171" t="e" cm="1">
        <f t="array" ref="AQ23">bdRateExtend($C23:$C28,D23:D28,$U23:$U28,V23:V28)</f>
        <v>#VALUE!</v>
      </c>
      <c r="AR23" s="171" t="e" cm="1">
        <f t="array" ref="AR23">bdRateExtend($C23:$C28,E23:E28,$U23:$U28,W23:W28)</f>
        <v>#VALUE!</v>
      </c>
      <c r="AS23" s="171" t="e" cm="1">
        <f t="array" ref="AS23">bdRateExtend($C23:$C28,F23:F28,$U23:$U28,X23:X28)</f>
        <v>#VALUE!</v>
      </c>
      <c r="AT23" s="171" t="e" cm="1">
        <f t="array" ref="AT23">bdRateExtend($C23:$C26,H23:H26,$U23:$U26,Z23:Z26)</f>
        <v>#VALUE!</v>
      </c>
      <c r="AU23" s="171" t="e" cm="1">
        <f t="array" ref="AU23">bdRateExtend($C23:$C28,H23:H28,$U23:$U28,Z23:Z28)</f>
        <v>#VALUE!</v>
      </c>
      <c r="AV23" s="171" t="e" cm="1">
        <f t="array" ref="AV23">bdRateExtend($C23:$C26,I23:I26,$U23:$U26,AA23:AA26)</f>
        <v>#VALUE!</v>
      </c>
      <c r="AW23" s="171" t="e" cm="1">
        <f t="array" ref="AW23">bdRateExtend($C23:$C28,I23:I28,$U23:$U28,AA23:AA28)</f>
        <v>#VALUE!</v>
      </c>
      <c r="AX23" s="171" t="e" cm="1">
        <f t="array" ref="AX23">bdRateExtend($C23:$C26,J23:J26,$U23:$U26,AB23:AB26,"None", FALSE,1)</f>
        <v>#VALUE!</v>
      </c>
      <c r="AY23" s="174" t="e" cm="1">
        <f t="array" ref="AY23">bdRateExtend($C23:$C28,J23:J28,$U23:$U28,AB23:AB28,"None", FALSE,TRUE)</f>
        <v>#VALUE!</v>
      </c>
      <c r="AZ23" s="285" cm="1">
        <f t="array" ref="AZ23">testVMAFRange($C23:$C26,J23:J26,$U23:$U26,AB23:AB26)</f>
        <v>0</v>
      </c>
      <c r="BA23" s="211" cm="1">
        <f t="array" ref="BA23">testVMAFRange($C23:$C28,J23:J28,$U23:$U28,AB23:AB28)</f>
        <v>0</v>
      </c>
      <c r="EV23" s="7"/>
      <c r="EW23" s="7"/>
      <c r="EX23" s="7"/>
      <c r="EY23" s="7"/>
      <c r="EZ23" s="7"/>
      <c r="FA23" s="7"/>
      <c r="FB23" s="7"/>
      <c r="FC23" s="7"/>
    </row>
    <row r="24" spans="1:159" x14ac:dyDescent="0.15">
      <c r="A24" s="250"/>
      <c r="B24" s="38">
        <v>135</v>
      </c>
      <c r="C24" s="129">
        <f>Anchor!L201</f>
        <v>0</v>
      </c>
      <c r="D24" s="129">
        <f>Anchor!M201</f>
        <v>0</v>
      </c>
      <c r="E24" s="129">
        <f>Anchor!N201</f>
        <v>0</v>
      </c>
      <c r="F24" s="129">
        <f>Anchor!O201</f>
        <v>0</v>
      </c>
      <c r="G24" s="130">
        <f>('Summary (Full)'!$B$34*D24+'Summary (Full)'!$B$35*E24+'Summary (Full)'!$B$36*F24)/'Summary (Full)'!$B$37</f>
        <v>0</v>
      </c>
      <c r="H24" s="129">
        <f>Anchor!P201</f>
        <v>0</v>
      </c>
      <c r="I24" s="129">
        <f>Anchor!Q201</f>
        <v>0</v>
      </c>
      <c r="J24" s="129">
        <f>Anchor!R201</f>
        <v>0</v>
      </c>
      <c r="K24" s="129">
        <f>Anchor!S201</f>
        <v>0</v>
      </c>
      <c r="L24" s="129">
        <f>Anchor!T201</f>
        <v>0</v>
      </c>
      <c r="M24" s="129">
        <f>Anchor!U201</f>
        <v>0</v>
      </c>
      <c r="N24" s="129">
        <f>Anchor!V201</f>
        <v>0</v>
      </c>
      <c r="O24" s="129">
        <f>Anchor!W201</f>
        <v>0</v>
      </c>
      <c r="P24" s="129">
        <f>Anchor!X201</f>
        <v>0</v>
      </c>
      <c r="Q24" s="131">
        <f>10*LOG10(1/(('Summary (Full)'!$B$41/10^(N24/10)+'Summary (Full)'!$B$42/10^(O24/10)+'Summary (Full)'!$B$43/10^(P24/10))/'Summary (Full)'!$B$44))</f>
        <v>0</v>
      </c>
      <c r="R24" s="129">
        <f>Anchor!Y201</f>
        <v>0</v>
      </c>
      <c r="S24" s="129">
        <f>Anchor!Z201</f>
        <v>0</v>
      </c>
      <c r="T24" s="132"/>
      <c r="U24" s="129">
        <f>Test!L201</f>
        <v>0</v>
      </c>
      <c r="V24" s="129">
        <f>Test!M201</f>
        <v>0</v>
      </c>
      <c r="W24" s="129">
        <f>Test!N201</f>
        <v>0</v>
      </c>
      <c r="X24" s="129">
        <f>Test!O201</f>
        <v>0</v>
      </c>
      <c r="Y24" s="129">
        <f>('Summary (Full)'!$B$34*V24+'Summary (Full)'!$B$35*W24+'Summary (Full)'!$B$36*X24)/'Summary (Full)'!$B$37</f>
        <v>0</v>
      </c>
      <c r="Z24" s="129">
        <f>Test!P201</f>
        <v>0</v>
      </c>
      <c r="AA24" s="129">
        <f>Test!Q201</f>
        <v>0</v>
      </c>
      <c r="AB24" s="129">
        <f>Test!R201</f>
        <v>0</v>
      </c>
      <c r="AC24" s="129">
        <f>Test!S201</f>
        <v>0</v>
      </c>
      <c r="AD24" s="129">
        <f>Test!T201</f>
        <v>0</v>
      </c>
      <c r="AE24" s="129">
        <f>Test!U201</f>
        <v>0</v>
      </c>
      <c r="AF24" s="129">
        <f>Test!V201</f>
        <v>0</v>
      </c>
      <c r="AG24" s="129">
        <f>Test!W201</f>
        <v>0</v>
      </c>
      <c r="AH24" s="129">
        <f>Test!X201</f>
        <v>0</v>
      </c>
      <c r="AI24" s="129">
        <f>10*LOG10(1/(('Summary (Full)'!$B$41/10^(AF24/10)+'Summary (Full)'!$B$42/10^(AG24/10)+'Summary (Full)'!$B$43/10^(AH24/10))/'Summary (Full)'!$B$44))</f>
        <v>0</v>
      </c>
      <c r="AJ24" s="129">
        <f>Test!Y201</f>
        <v>0</v>
      </c>
      <c r="AK24" s="129">
        <f>Test!Z201</f>
        <v>0</v>
      </c>
      <c r="AL24" s="129" t="e">
        <f t="shared" si="2"/>
        <v>#DIV/0!</v>
      </c>
      <c r="AM24" s="129" t="e">
        <f t="shared" si="2"/>
        <v>#DIV/0!</v>
      </c>
      <c r="AO24" s="254"/>
      <c r="AP24" s="172"/>
      <c r="AQ24" s="172"/>
      <c r="AR24" s="172"/>
      <c r="AS24" s="172"/>
      <c r="AT24" s="172"/>
      <c r="AU24" s="172"/>
      <c r="AV24" s="172"/>
      <c r="AW24" s="172"/>
      <c r="AX24" s="172"/>
      <c r="AY24" s="175"/>
      <c r="AZ24" s="286"/>
      <c r="BA24" s="212"/>
      <c r="EV24" s="7"/>
      <c r="EW24" s="7"/>
      <c r="EX24" s="7"/>
      <c r="EY24" s="7"/>
      <c r="EZ24" s="7"/>
      <c r="FA24" s="7"/>
      <c r="FB24" s="7"/>
      <c r="FC24" s="7"/>
    </row>
    <row r="25" spans="1:159" ht="13" customHeight="1" x14ac:dyDescent="0.15">
      <c r="A25" s="250"/>
      <c r="B25" s="38">
        <v>160</v>
      </c>
      <c r="C25" s="129">
        <f>Anchor!L202</f>
        <v>0</v>
      </c>
      <c r="D25" s="129">
        <f>Anchor!M202</f>
        <v>0</v>
      </c>
      <c r="E25" s="129">
        <f>Anchor!N202</f>
        <v>0</v>
      </c>
      <c r="F25" s="129">
        <f>Anchor!O202</f>
        <v>0</v>
      </c>
      <c r="G25" s="130">
        <f>('Summary (Full)'!$B$34*D25+'Summary (Full)'!$B$35*E25+'Summary (Full)'!$B$36*F25)/'Summary (Full)'!$B$37</f>
        <v>0</v>
      </c>
      <c r="H25" s="129">
        <f>Anchor!P202</f>
        <v>0</v>
      </c>
      <c r="I25" s="129">
        <f>Anchor!Q202</f>
        <v>0</v>
      </c>
      <c r="J25" s="129">
        <f>Anchor!R202</f>
        <v>0</v>
      </c>
      <c r="K25" s="129">
        <f>Anchor!S202</f>
        <v>0</v>
      </c>
      <c r="L25" s="129">
        <f>Anchor!T202</f>
        <v>0</v>
      </c>
      <c r="M25" s="129">
        <f>Anchor!U202</f>
        <v>0</v>
      </c>
      <c r="N25" s="129">
        <f>Anchor!V202</f>
        <v>0</v>
      </c>
      <c r="O25" s="129">
        <f>Anchor!W202</f>
        <v>0</v>
      </c>
      <c r="P25" s="129">
        <f>Anchor!X202</f>
        <v>0</v>
      </c>
      <c r="Q25" s="131">
        <f>10*LOG10(1/(('Summary (Full)'!$B$41/10^(N25/10)+'Summary (Full)'!$B$42/10^(O25/10)+'Summary (Full)'!$B$43/10^(P25/10))/'Summary (Full)'!$B$44))</f>
        <v>0</v>
      </c>
      <c r="R25" s="129">
        <f>Anchor!Y202</f>
        <v>0</v>
      </c>
      <c r="S25" s="129">
        <f>Anchor!Z202</f>
        <v>0</v>
      </c>
      <c r="T25" s="132"/>
      <c r="U25" s="129">
        <f>Test!L202</f>
        <v>0</v>
      </c>
      <c r="V25" s="129">
        <f>Test!M202</f>
        <v>0</v>
      </c>
      <c r="W25" s="129">
        <f>Test!N202</f>
        <v>0</v>
      </c>
      <c r="X25" s="129">
        <f>Test!O202</f>
        <v>0</v>
      </c>
      <c r="Y25" s="129">
        <f>('Summary (Full)'!$B$34*V25+'Summary (Full)'!$B$35*W25+'Summary (Full)'!$B$36*X25)/'Summary (Full)'!$B$37</f>
        <v>0</v>
      </c>
      <c r="Z25" s="129">
        <f>Test!P202</f>
        <v>0</v>
      </c>
      <c r="AA25" s="129">
        <f>Test!Q202</f>
        <v>0</v>
      </c>
      <c r="AB25" s="129">
        <f>Test!R202</f>
        <v>0</v>
      </c>
      <c r="AC25" s="129">
        <f>Test!S202</f>
        <v>0</v>
      </c>
      <c r="AD25" s="129">
        <f>Test!T202</f>
        <v>0</v>
      </c>
      <c r="AE25" s="129">
        <f>Test!U202</f>
        <v>0</v>
      </c>
      <c r="AF25" s="129">
        <f>Test!V202</f>
        <v>0</v>
      </c>
      <c r="AG25" s="129">
        <f>Test!W202</f>
        <v>0</v>
      </c>
      <c r="AH25" s="129">
        <f>Test!X202</f>
        <v>0</v>
      </c>
      <c r="AI25" s="129">
        <f>10*LOG10(1/(('Summary (Full)'!$B$41/10^(AF25/10)+'Summary (Full)'!$B$42/10^(AG25/10)+'Summary (Full)'!$B$43/10^(AH25/10))/'Summary (Full)'!$B$44))</f>
        <v>0</v>
      </c>
      <c r="AJ25" s="129">
        <f>Test!Y202</f>
        <v>0</v>
      </c>
      <c r="AK25" s="129">
        <f>Test!Z202</f>
        <v>0</v>
      </c>
      <c r="AL25" s="129" t="e">
        <f t="shared" si="2"/>
        <v>#DIV/0!</v>
      </c>
      <c r="AM25" s="129" t="e">
        <f t="shared" si="2"/>
        <v>#DIV/0!</v>
      </c>
      <c r="AO25" s="254" t="s">
        <v>28</v>
      </c>
      <c r="AP25" s="172" t="e" cm="1">
        <f t="array" ref="AP25">bdRateExtend($C24:$C27,D24:D27,$U24:$U27,V24:V27)</f>
        <v>#VALUE!</v>
      </c>
      <c r="AQ25" s="172"/>
      <c r="AR25" s="172"/>
      <c r="AS25" s="172"/>
      <c r="AT25" s="172" t="e" cm="1">
        <f t="array" ref="AT25">bdRateExtend($C24:$C27,H24:H27,$U24:$U27,Z24:Z27)</f>
        <v>#VALUE!</v>
      </c>
      <c r="AU25" s="172"/>
      <c r="AV25" s="172" t="e" cm="1">
        <f t="array" ref="AV25">bdRateExtend($C24:$C27,I24:I27,$U24:$U27,AA24:AA27)</f>
        <v>#VALUE!</v>
      </c>
      <c r="AW25" s="172"/>
      <c r="AX25" s="172" t="e" cm="1">
        <f t="array" ref="AX25">bdRateExtend($C24:$C27,J24:J27,$U24:$U27,AB24:AB27,"None", FALSE,1)</f>
        <v>#VALUE!</v>
      </c>
      <c r="AY25" s="175"/>
      <c r="AZ25" s="286" cm="1">
        <f t="array" ref="AZ25">testVMAFRange($C24:$C27,J24:J27,$U24:$U27,AB24:AB27)</f>
        <v>0</v>
      </c>
      <c r="BA25" s="212"/>
      <c r="EV25" s="7"/>
      <c r="EW25" s="7"/>
      <c r="EX25" s="7"/>
      <c r="EY25" s="7"/>
      <c r="EZ25" s="7"/>
      <c r="FA25" s="7"/>
      <c r="FB25" s="7"/>
      <c r="FC25" s="7"/>
    </row>
    <row r="26" spans="1:159" x14ac:dyDescent="0.15">
      <c r="A26" s="250"/>
      <c r="B26" s="38">
        <v>185</v>
      </c>
      <c r="C26" s="129">
        <f>Anchor!L203</f>
        <v>0</v>
      </c>
      <c r="D26" s="129">
        <f>Anchor!M203</f>
        <v>0</v>
      </c>
      <c r="E26" s="129">
        <f>Anchor!N203</f>
        <v>0</v>
      </c>
      <c r="F26" s="129">
        <f>Anchor!O203</f>
        <v>0</v>
      </c>
      <c r="G26" s="130">
        <f>('Summary (Full)'!$B$34*D26+'Summary (Full)'!$B$35*E26+'Summary (Full)'!$B$36*F26)/'Summary (Full)'!$B$37</f>
        <v>0</v>
      </c>
      <c r="H26" s="129">
        <f>Anchor!P203</f>
        <v>0</v>
      </c>
      <c r="I26" s="129">
        <f>Anchor!Q203</f>
        <v>0</v>
      </c>
      <c r="J26" s="129">
        <f>Anchor!R203</f>
        <v>0</v>
      </c>
      <c r="K26" s="129">
        <f>Anchor!S203</f>
        <v>0</v>
      </c>
      <c r="L26" s="129">
        <f>Anchor!T203</f>
        <v>0</v>
      </c>
      <c r="M26" s="129">
        <f>Anchor!U203</f>
        <v>0</v>
      </c>
      <c r="N26" s="129">
        <f>Anchor!V203</f>
        <v>0</v>
      </c>
      <c r="O26" s="129">
        <f>Anchor!W203</f>
        <v>0</v>
      </c>
      <c r="P26" s="129">
        <f>Anchor!X203</f>
        <v>0</v>
      </c>
      <c r="Q26" s="131">
        <f>10*LOG10(1/(('Summary (Full)'!$B$41/10^(N26/10)+'Summary (Full)'!$B$42/10^(O26/10)+'Summary (Full)'!$B$43/10^(P26/10))/'Summary (Full)'!$B$44))</f>
        <v>0</v>
      </c>
      <c r="R26" s="129">
        <f>Anchor!Y203</f>
        <v>0</v>
      </c>
      <c r="S26" s="129">
        <f>Anchor!Z203</f>
        <v>0</v>
      </c>
      <c r="T26" s="132"/>
      <c r="U26" s="129">
        <f>Test!L203</f>
        <v>0</v>
      </c>
      <c r="V26" s="129">
        <f>Test!M203</f>
        <v>0</v>
      </c>
      <c r="W26" s="129">
        <f>Test!N203</f>
        <v>0</v>
      </c>
      <c r="X26" s="129">
        <f>Test!O203</f>
        <v>0</v>
      </c>
      <c r="Y26" s="129">
        <f>('Summary (Full)'!$B$34*V26+'Summary (Full)'!$B$35*W26+'Summary (Full)'!$B$36*X26)/'Summary (Full)'!$B$37</f>
        <v>0</v>
      </c>
      <c r="Z26" s="129">
        <f>Test!P203</f>
        <v>0</v>
      </c>
      <c r="AA26" s="129">
        <f>Test!Q203</f>
        <v>0</v>
      </c>
      <c r="AB26" s="129">
        <f>Test!R203</f>
        <v>0</v>
      </c>
      <c r="AC26" s="129">
        <f>Test!S203</f>
        <v>0</v>
      </c>
      <c r="AD26" s="129">
        <f>Test!T203</f>
        <v>0</v>
      </c>
      <c r="AE26" s="129">
        <f>Test!U203</f>
        <v>0</v>
      </c>
      <c r="AF26" s="129">
        <f>Test!V203</f>
        <v>0</v>
      </c>
      <c r="AG26" s="129">
        <f>Test!W203</f>
        <v>0</v>
      </c>
      <c r="AH26" s="129">
        <f>Test!X203</f>
        <v>0</v>
      </c>
      <c r="AI26" s="129">
        <f>10*LOG10(1/(('Summary (Full)'!$B$41/10^(AF26/10)+'Summary (Full)'!$B$42/10^(AG26/10)+'Summary (Full)'!$B$43/10^(AH26/10))/'Summary (Full)'!$B$44))</f>
        <v>0</v>
      </c>
      <c r="AJ26" s="129">
        <f>Test!Y203</f>
        <v>0</v>
      </c>
      <c r="AK26" s="129">
        <f>Test!Z203</f>
        <v>0</v>
      </c>
      <c r="AL26" s="129" t="e">
        <f t="shared" si="2"/>
        <v>#DIV/0!</v>
      </c>
      <c r="AM26" s="129" t="e">
        <f t="shared" si="2"/>
        <v>#DIV/0!</v>
      </c>
      <c r="AO26" s="254"/>
      <c r="AP26" s="172"/>
      <c r="AQ26" s="172"/>
      <c r="AR26" s="172"/>
      <c r="AS26" s="172"/>
      <c r="AT26" s="172"/>
      <c r="AU26" s="172"/>
      <c r="AV26" s="172"/>
      <c r="AW26" s="172"/>
      <c r="AX26" s="172"/>
      <c r="AY26" s="175"/>
      <c r="AZ26" s="286"/>
      <c r="BA26" s="212"/>
      <c r="EV26" s="7"/>
      <c r="EW26" s="7"/>
      <c r="EX26" s="7"/>
      <c r="EY26" s="7"/>
      <c r="EZ26" s="7"/>
      <c r="FA26" s="7"/>
      <c r="FB26" s="7"/>
      <c r="FC26" s="7"/>
    </row>
    <row r="27" spans="1:159" ht="13" customHeight="1" x14ac:dyDescent="0.15">
      <c r="A27" s="250"/>
      <c r="B27" s="38">
        <v>210</v>
      </c>
      <c r="C27" s="129">
        <f>Anchor!L204</f>
        <v>0</v>
      </c>
      <c r="D27" s="129">
        <f>Anchor!M204</f>
        <v>0</v>
      </c>
      <c r="E27" s="129">
        <f>Anchor!N204</f>
        <v>0</v>
      </c>
      <c r="F27" s="129">
        <f>Anchor!O204</f>
        <v>0</v>
      </c>
      <c r="G27" s="130">
        <f>('Summary (Full)'!$B$34*D27+'Summary (Full)'!$B$35*E27+'Summary (Full)'!$B$36*F27)/'Summary (Full)'!$B$37</f>
        <v>0</v>
      </c>
      <c r="H27" s="129">
        <f>Anchor!P204</f>
        <v>0</v>
      </c>
      <c r="I27" s="129">
        <f>Anchor!Q204</f>
        <v>0</v>
      </c>
      <c r="J27" s="129">
        <f>Anchor!R204</f>
        <v>0</v>
      </c>
      <c r="K27" s="129">
        <f>Anchor!S204</f>
        <v>0</v>
      </c>
      <c r="L27" s="129">
        <f>Anchor!T204</f>
        <v>0</v>
      </c>
      <c r="M27" s="129">
        <f>Anchor!U204</f>
        <v>0</v>
      </c>
      <c r="N27" s="129">
        <f>Anchor!V204</f>
        <v>0</v>
      </c>
      <c r="O27" s="129">
        <f>Anchor!W204</f>
        <v>0</v>
      </c>
      <c r="P27" s="129">
        <f>Anchor!X204</f>
        <v>0</v>
      </c>
      <c r="Q27" s="131">
        <f>10*LOG10(1/(('Summary (Full)'!$B$41/10^(N27/10)+'Summary (Full)'!$B$42/10^(O27/10)+'Summary (Full)'!$B$43/10^(P27/10))/'Summary (Full)'!$B$44))</f>
        <v>0</v>
      </c>
      <c r="R27" s="129">
        <f>Anchor!Y204</f>
        <v>0</v>
      </c>
      <c r="S27" s="129">
        <f>Anchor!Z204</f>
        <v>0</v>
      </c>
      <c r="T27" s="132"/>
      <c r="U27" s="129">
        <f>Test!L204</f>
        <v>0</v>
      </c>
      <c r="V27" s="129">
        <f>Test!M204</f>
        <v>0</v>
      </c>
      <c r="W27" s="129">
        <f>Test!N204</f>
        <v>0</v>
      </c>
      <c r="X27" s="129">
        <f>Test!O204</f>
        <v>0</v>
      </c>
      <c r="Y27" s="129">
        <f>('Summary (Full)'!$B$34*V27+'Summary (Full)'!$B$35*W27+'Summary (Full)'!$B$36*X27)/'Summary (Full)'!$B$37</f>
        <v>0</v>
      </c>
      <c r="Z27" s="129">
        <f>Test!P204</f>
        <v>0</v>
      </c>
      <c r="AA27" s="129">
        <f>Test!Q204</f>
        <v>0</v>
      </c>
      <c r="AB27" s="129">
        <f>Test!R204</f>
        <v>0</v>
      </c>
      <c r="AC27" s="129">
        <f>Test!S204</f>
        <v>0</v>
      </c>
      <c r="AD27" s="129">
        <f>Test!T204</f>
        <v>0</v>
      </c>
      <c r="AE27" s="129">
        <f>Test!U204</f>
        <v>0</v>
      </c>
      <c r="AF27" s="129">
        <f>Test!V204</f>
        <v>0</v>
      </c>
      <c r="AG27" s="129">
        <f>Test!W204</f>
        <v>0</v>
      </c>
      <c r="AH27" s="129">
        <f>Test!X204</f>
        <v>0</v>
      </c>
      <c r="AI27" s="129">
        <f>10*LOG10(1/(('Summary (Full)'!$B$41/10^(AF27/10)+'Summary (Full)'!$B$42/10^(AG27/10)+'Summary (Full)'!$B$43/10^(AH27/10))/'Summary (Full)'!$B$44))</f>
        <v>0</v>
      </c>
      <c r="AJ27" s="129">
        <f>Test!Y204</f>
        <v>0</v>
      </c>
      <c r="AK27" s="129">
        <f>Test!Z204</f>
        <v>0</v>
      </c>
      <c r="AL27" s="129" t="e">
        <f t="shared" si="2"/>
        <v>#DIV/0!</v>
      </c>
      <c r="AM27" s="129" t="e">
        <f t="shared" si="2"/>
        <v>#DIV/0!</v>
      </c>
      <c r="AO27" s="254" t="s">
        <v>29</v>
      </c>
      <c r="AP27" s="172" t="e" cm="1">
        <f t="array" ref="AP27">bdRateExtend($C25:$C28,D25:D28,$U25:$U28,V25:V28)</f>
        <v>#VALUE!</v>
      </c>
      <c r="AQ27" s="172"/>
      <c r="AR27" s="172"/>
      <c r="AS27" s="172"/>
      <c r="AT27" s="172" t="e" cm="1">
        <f t="array" ref="AT27">bdRateExtend($C25:$C28,H25:H28,$U25:$U28,Z25:Z28)</f>
        <v>#VALUE!</v>
      </c>
      <c r="AU27" s="172"/>
      <c r="AV27" s="172" t="e" cm="1">
        <f t="array" ref="AV27">bdRateExtend($C25:$C28,I25:I28,$U25:$U28,AA25:AA28)</f>
        <v>#VALUE!</v>
      </c>
      <c r="AW27" s="172"/>
      <c r="AX27" s="172" t="e" cm="1">
        <f t="array" ref="AX27">bdRateExtend($C25:$C28,J25:J28,$U25:$U28,AB25:AB28,"None", FALSE,1)</f>
        <v>#VALUE!</v>
      </c>
      <c r="AY27" s="175"/>
      <c r="AZ27" s="286" cm="1">
        <f t="array" ref="AZ27">testVMAFRange($C25:$C28,J25:J28,$U25:$U28,AB25:AB28)</f>
        <v>0</v>
      </c>
      <c r="BA27" s="212"/>
      <c r="EV27" s="7"/>
      <c r="EW27" s="7"/>
      <c r="EX27" s="7"/>
      <c r="EY27" s="7"/>
      <c r="EZ27" s="7"/>
      <c r="FA27" s="7"/>
      <c r="FB27" s="7"/>
      <c r="FC27" s="7"/>
    </row>
    <row r="28" spans="1:159" ht="14" thickBot="1" x14ac:dyDescent="0.2">
      <c r="A28" s="250"/>
      <c r="B28" s="38">
        <v>235</v>
      </c>
      <c r="C28" s="129">
        <f>Anchor!L205</f>
        <v>0</v>
      </c>
      <c r="D28" s="129">
        <f>Anchor!M205</f>
        <v>0</v>
      </c>
      <c r="E28" s="129">
        <f>Anchor!N205</f>
        <v>0</v>
      </c>
      <c r="F28" s="129">
        <f>Anchor!O205</f>
        <v>0</v>
      </c>
      <c r="G28" s="130">
        <f>('Summary (Full)'!$B$34*D28+'Summary (Full)'!$B$35*E28+'Summary (Full)'!$B$36*F28)/'Summary (Full)'!$B$37</f>
        <v>0</v>
      </c>
      <c r="H28" s="129">
        <f>Anchor!P205</f>
        <v>0</v>
      </c>
      <c r="I28" s="129">
        <f>Anchor!Q205</f>
        <v>0</v>
      </c>
      <c r="J28" s="129">
        <f>Anchor!R205</f>
        <v>0</v>
      </c>
      <c r="K28" s="129">
        <f>Anchor!S205</f>
        <v>0</v>
      </c>
      <c r="L28" s="129">
        <f>Anchor!T205</f>
        <v>0</v>
      </c>
      <c r="M28" s="129">
        <f>Anchor!U205</f>
        <v>0</v>
      </c>
      <c r="N28" s="129">
        <f>Anchor!V205</f>
        <v>0</v>
      </c>
      <c r="O28" s="129">
        <f>Anchor!W205</f>
        <v>0</v>
      </c>
      <c r="P28" s="129">
        <f>Anchor!X205</f>
        <v>0</v>
      </c>
      <c r="Q28" s="131">
        <f>10*LOG10(1/(('Summary (Full)'!$B$41/10^(N28/10)+'Summary (Full)'!$B$42/10^(O28/10)+'Summary (Full)'!$B$43/10^(P28/10))/'Summary (Full)'!$B$44))</f>
        <v>0</v>
      </c>
      <c r="R28" s="129">
        <f>Anchor!Y205</f>
        <v>0</v>
      </c>
      <c r="S28" s="129">
        <f>Anchor!Z205</f>
        <v>0</v>
      </c>
      <c r="T28" s="132"/>
      <c r="U28" s="129">
        <f>Test!L205</f>
        <v>0</v>
      </c>
      <c r="V28" s="129">
        <f>Test!M205</f>
        <v>0</v>
      </c>
      <c r="W28" s="129">
        <f>Test!N205</f>
        <v>0</v>
      </c>
      <c r="X28" s="129">
        <f>Test!O205</f>
        <v>0</v>
      </c>
      <c r="Y28" s="129">
        <f>('Summary (Full)'!$B$34*V28+'Summary (Full)'!$B$35*W28+'Summary (Full)'!$B$36*X28)/'Summary (Full)'!$B$37</f>
        <v>0</v>
      </c>
      <c r="Z28" s="129">
        <f>Test!P205</f>
        <v>0</v>
      </c>
      <c r="AA28" s="129">
        <f>Test!Q205</f>
        <v>0</v>
      </c>
      <c r="AB28" s="129">
        <f>Test!R205</f>
        <v>0</v>
      </c>
      <c r="AC28" s="129">
        <f>Test!S205</f>
        <v>0</v>
      </c>
      <c r="AD28" s="129">
        <f>Test!T205</f>
        <v>0</v>
      </c>
      <c r="AE28" s="129">
        <f>Test!U205</f>
        <v>0</v>
      </c>
      <c r="AF28" s="129">
        <f>Test!V205</f>
        <v>0</v>
      </c>
      <c r="AG28" s="129">
        <f>Test!W205</f>
        <v>0</v>
      </c>
      <c r="AH28" s="129">
        <f>Test!X205</f>
        <v>0</v>
      </c>
      <c r="AI28" s="129">
        <f>10*LOG10(1/(('Summary (Full)'!$B$41/10^(AF28/10)+'Summary (Full)'!$B$42/10^(AG28/10)+'Summary (Full)'!$B$43/10^(AH28/10))/'Summary (Full)'!$B$44))</f>
        <v>0</v>
      </c>
      <c r="AJ28" s="129">
        <f>Test!Y205</f>
        <v>0</v>
      </c>
      <c r="AK28" s="129">
        <f>Test!Z205</f>
        <v>0</v>
      </c>
      <c r="AL28" s="129" t="e">
        <f t="shared" si="2"/>
        <v>#DIV/0!</v>
      </c>
      <c r="AM28" s="129" t="e">
        <f t="shared" si="2"/>
        <v>#DIV/0!</v>
      </c>
      <c r="AO28" s="263"/>
      <c r="AP28" s="173"/>
      <c r="AQ28" s="173"/>
      <c r="AR28" s="173"/>
      <c r="AS28" s="173"/>
      <c r="AT28" s="173"/>
      <c r="AU28" s="173"/>
      <c r="AV28" s="173"/>
      <c r="AW28" s="173"/>
      <c r="AX28" s="173"/>
      <c r="AY28" s="188"/>
      <c r="AZ28" s="287"/>
      <c r="BA28" s="240"/>
      <c r="EV28" s="7"/>
      <c r="EW28" s="7"/>
      <c r="EX28" s="7"/>
      <c r="EY28" s="7"/>
      <c r="EZ28" s="7"/>
      <c r="FA28" s="7"/>
      <c r="FB28" s="7"/>
      <c r="FC28" s="7"/>
    </row>
    <row r="29" spans="1:159" ht="13" customHeight="1" x14ac:dyDescent="0.15">
      <c r="A29" s="250" t="s">
        <v>9</v>
      </c>
      <c r="B29" s="38">
        <v>110</v>
      </c>
      <c r="C29" s="129">
        <f>Anchor!L206</f>
        <v>0</v>
      </c>
      <c r="D29" s="129">
        <f>Anchor!M206</f>
        <v>0</v>
      </c>
      <c r="E29" s="129">
        <f>Anchor!N206</f>
        <v>0</v>
      </c>
      <c r="F29" s="129">
        <f>Anchor!O206</f>
        <v>0</v>
      </c>
      <c r="G29" s="130">
        <f>('Summary (Full)'!$B$34*D29+'Summary (Full)'!$B$35*E29+'Summary (Full)'!$B$36*F29)/'Summary (Full)'!$B$37</f>
        <v>0</v>
      </c>
      <c r="H29" s="129">
        <f>Anchor!P206</f>
        <v>0</v>
      </c>
      <c r="I29" s="129">
        <f>Anchor!Q206</f>
        <v>0</v>
      </c>
      <c r="J29" s="129">
        <f>Anchor!R206</f>
        <v>0</v>
      </c>
      <c r="K29" s="129">
        <f>Anchor!S206</f>
        <v>0</v>
      </c>
      <c r="L29" s="129">
        <f>Anchor!T206</f>
        <v>0</v>
      </c>
      <c r="M29" s="129">
        <f>Anchor!U206</f>
        <v>0</v>
      </c>
      <c r="N29" s="129">
        <f>Anchor!V206</f>
        <v>0</v>
      </c>
      <c r="O29" s="129">
        <f>Anchor!W206</f>
        <v>0</v>
      </c>
      <c r="P29" s="129">
        <f>Anchor!X206</f>
        <v>0</v>
      </c>
      <c r="Q29" s="131">
        <f>10*LOG10(1/(('Summary (Full)'!$B$41/10^(N29/10)+'Summary (Full)'!$B$42/10^(O29/10)+'Summary (Full)'!$B$43/10^(P29/10))/'Summary (Full)'!$B$44))</f>
        <v>0</v>
      </c>
      <c r="R29" s="129">
        <f>Anchor!Y206</f>
        <v>0</v>
      </c>
      <c r="S29" s="129">
        <f>Anchor!Z206</f>
        <v>0</v>
      </c>
      <c r="T29" s="132"/>
      <c r="U29" s="129">
        <f>Test!L206</f>
        <v>0</v>
      </c>
      <c r="V29" s="129">
        <f>Test!M206</f>
        <v>0</v>
      </c>
      <c r="W29" s="129">
        <f>Test!N206</f>
        <v>0</v>
      </c>
      <c r="X29" s="129">
        <f>Test!O206</f>
        <v>0</v>
      </c>
      <c r="Y29" s="129">
        <f>('Summary (Full)'!$B$34*V29+'Summary (Full)'!$B$35*W29+'Summary (Full)'!$B$36*X29)/'Summary (Full)'!$B$37</f>
        <v>0</v>
      </c>
      <c r="Z29" s="129">
        <f>Test!P206</f>
        <v>0</v>
      </c>
      <c r="AA29" s="129">
        <f>Test!Q206</f>
        <v>0</v>
      </c>
      <c r="AB29" s="129">
        <f>Test!R206</f>
        <v>0</v>
      </c>
      <c r="AC29" s="129">
        <f>Test!S206</f>
        <v>0</v>
      </c>
      <c r="AD29" s="129">
        <f>Test!T206</f>
        <v>0</v>
      </c>
      <c r="AE29" s="129">
        <f>Test!U206</f>
        <v>0</v>
      </c>
      <c r="AF29" s="129">
        <f>Test!V206</f>
        <v>0</v>
      </c>
      <c r="AG29" s="129">
        <f>Test!W206</f>
        <v>0</v>
      </c>
      <c r="AH29" s="129">
        <f>Test!X206</f>
        <v>0</v>
      </c>
      <c r="AI29" s="129">
        <f>10*LOG10(1/(('Summary (Full)'!$B$41/10^(AF29/10)+'Summary (Full)'!$B$42/10^(AG29/10)+'Summary (Full)'!$B$43/10^(AH29/10))/'Summary (Full)'!$B$44))</f>
        <v>0</v>
      </c>
      <c r="AJ29" s="129">
        <f>Test!Y206</f>
        <v>0</v>
      </c>
      <c r="AK29" s="129">
        <f>Test!Z206</f>
        <v>0</v>
      </c>
      <c r="AL29" s="129" t="e">
        <f t="shared" si="2"/>
        <v>#DIV/0!</v>
      </c>
      <c r="AM29" s="129" t="e">
        <f t="shared" si="2"/>
        <v>#DIV/0!</v>
      </c>
      <c r="AO29" s="253" t="s">
        <v>27</v>
      </c>
      <c r="AP29" s="171" t="e" cm="1">
        <f t="array" ref="AP29">bdRateExtend($C29:$C32,D29:D32,$U29:$U32,V29:V32)</f>
        <v>#VALUE!</v>
      </c>
      <c r="AQ29" s="171" t="e" cm="1">
        <f t="array" ref="AQ29">bdRateExtend($C29:$C34,D29:D34,$U29:$U34,V29:V34)</f>
        <v>#VALUE!</v>
      </c>
      <c r="AR29" s="171" t="e" cm="1">
        <f t="array" ref="AR29">bdRateExtend($C29:$C34,E29:E34,$U29:$U34,W29:W34)</f>
        <v>#VALUE!</v>
      </c>
      <c r="AS29" s="171" t="e" cm="1">
        <f t="array" ref="AS29">bdRateExtend($C29:$C34,F29:F34,$U29:$U34,X29:X34)</f>
        <v>#VALUE!</v>
      </c>
      <c r="AT29" s="171" t="e" cm="1">
        <f t="array" ref="AT29">bdRateExtend($C29:$C32,H29:H32,$U29:$U32,Z29:Z32)</f>
        <v>#VALUE!</v>
      </c>
      <c r="AU29" s="171" t="e" cm="1">
        <f t="array" ref="AU29">bdRateExtend($C29:$C34,H29:H34,$U29:$U34,Z29:Z34)</f>
        <v>#VALUE!</v>
      </c>
      <c r="AV29" s="171" t="e" cm="1">
        <f t="array" ref="AV29">bdRateExtend($C29:$C32,I29:I32,$U29:$U32,AA29:AA32)</f>
        <v>#VALUE!</v>
      </c>
      <c r="AW29" s="171" t="e" cm="1">
        <f t="array" ref="AW29">bdRateExtend($C29:$C34,I29:I34,$U29:$U34,AA29:AA34)</f>
        <v>#VALUE!</v>
      </c>
      <c r="AX29" s="171" t="e" cm="1">
        <f t="array" ref="AX29">bdRateExtend($C29:$C32,J29:J32,$U29:$U32,AB29:AB32,"None", FALSE,1)</f>
        <v>#VALUE!</v>
      </c>
      <c r="AY29" s="174" t="e" cm="1">
        <f t="array" ref="AY29">bdRateExtend($C29:$C34,J29:J34,$U29:$U34,AB29:AB34,"None", FALSE,TRUE)</f>
        <v>#VALUE!</v>
      </c>
      <c r="AZ29" s="285" cm="1">
        <f t="array" ref="AZ29">testVMAFRange($C29:$C32,J29:J32,$U29:$U32,AB29:AB32)</f>
        <v>0</v>
      </c>
      <c r="BA29" s="211" cm="1">
        <f t="array" ref="BA29">testVMAFRange($C29:$C34,J29:J34,$U29:$U34,AB29:AB34)</f>
        <v>0</v>
      </c>
      <c r="EV29" s="7"/>
      <c r="EW29" s="7"/>
      <c r="EX29" s="7"/>
      <c r="EY29" s="7"/>
      <c r="EZ29" s="7"/>
      <c r="FA29" s="7"/>
      <c r="FB29" s="7"/>
      <c r="FC29" s="7"/>
    </row>
    <row r="30" spans="1:159" x14ac:dyDescent="0.15">
      <c r="A30" s="250"/>
      <c r="B30" s="38">
        <v>135</v>
      </c>
      <c r="C30" s="129">
        <f>Anchor!L207</f>
        <v>0</v>
      </c>
      <c r="D30" s="129">
        <f>Anchor!M207</f>
        <v>0</v>
      </c>
      <c r="E30" s="129">
        <f>Anchor!N207</f>
        <v>0</v>
      </c>
      <c r="F30" s="129">
        <f>Anchor!O207</f>
        <v>0</v>
      </c>
      <c r="G30" s="130">
        <f>('Summary (Full)'!$B$34*D30+'Summary (Full)'!$B$35*E30+'Summary (Full)'!$B$36*F30)/'Summary (Full)'!$B$37</f>
        <v>0</v>
      </c>
      <c r="H30" s="129">
        <f>Anchor!P207</f>
        <v>0</v>
      </c>
      <c r="I30" s="129">
        <f>Anchor!Q207</f>
        <v>0</v>
      </c>
      <c r="J30" s="129">
        <f>Anchor!R207</f>
        <v>0</v>
      </c>
      <c r="K30" s="129">
        <f>Anchor!S207</f>
        <v>0</v>
      </c>
      <c r="L30" s="129">
        <f>Anchor!T207</f>
        <v>0</v>
      </c>
      <c r="M30" s="129">
        <f>Anchor!U207</f>
        <v>0</v>
      </c>
      <c r="N30" s="129">
        <f>Anchor!V207</f>
        <v>0</v>
      </c>
      <c r="O30" s="129">
        <f>Anchor!W207</f>
        <v>0</v>
      </c>
      <c r="P30" s="129">
        <f>Anchor!X207</f>
        <v>0</v>
      </c>
      <c r="Q30" s="131">
        <f>10*LOG10(1/(('Summary (Full)'!$B$41/10^(N30/10)+'Summary (Full)'!$B$42/10^(O30/10)+'Summary (Full)'!$B$43/10^(P30/10))/'Summary (Full)'!$B$44))</f>
        <v>0</v>
      </c>
      <c r="R30" s="129">
        <f>Anchor!Y207</f>
        <v>0</v>
      </c>
      <c r="S30" s="129">
        <f>Anchor!Z207</f>
        <v>0</v>
      </c>
      <c r="T30" s="132"/>
      <c r="U30" s="129">
        <f>Test!L207</f>
        <v>0</v>
      </c>
      <c r="V30" s="129">
        <f>Test!M207</f>
        <v>0</v>
      </c>
      <c r="W30" s="129">
        <f>Test!N207</f>
        <v>0</v>
      </c>
      <c r="X30" s="129">
        <f>Test!O207</f>
        <v>0</v>
      </c>
      <c r="Y30" s="129">
        <f>('Summary (Full)'!$B$34*V30+'Summary (Full)'!$B$35*W30+'Summary (Full)'!$B$36*X30)/'Summary (Full)'!$B$37</f>
        <v>0</v>
      </c>
      <c r="Z30" s="129">
        <f>Test!P207</f>
        <v>0</v>
      </c>
      <c r="AA30" s="129">
        <f>Test!Q207</f>
        <v>0</v>
      </c>
      <c r="AB30" s="129">
        <f>Test!R207</f>
        <v>0</v>
      </c>
      <c r="AC30" s="129">
        <f>Test!S207</f>
        <v>0</v>
      </c>
      <c r="AD30" s="129">
        <f>Test!T207</f>
        <v>0</v>
      </c>
      <c r="AE30" s="129">
        <f>Test!U207</f>
        <v>0</v>
      </c>
      <c r="AF30" s="129">
        <f>Test!V207</f>
        <v>0</v>
      </c>
      <c r="AG30" s="129">
        <f>Test!W207</f>
        <v>0</v>
      </c>
      <c r="AH30" s="129">
        <f>Test!X207</f>
        <v>0</v>
      </c>
      <c r="AI30" s="129">
        <f>10*LOG10(1/(('Summary (Full)'!$B$41/10^(AF30/10)+'Summary (Full)'!$B$42/10^(AG30/10)+'Summary (Full)'!$B$43/10^(AH30/10))/'Summary (Full)'!$B$44))</f>
        <v>0</v>
      </c>
      <c r="AJ30" s="129">
        <f>Test!Y207</f>
        <v>0</v>
      </c>
      <c r="AK30" s="129">
        <f>Test!Z207</f>
        <v>0</v>
      </c>
      <c r="AL30" s="129" t="e">
        <f t="shared" si="2"/>
        <v>#DIV/0!</v>
      </c>
      <c r="AM30" s="129" t="e">
        <f t="shared" si="2"/>
        <v>#DIV/0!</v>
      </c>
      <c r="AO30" s="254"/>
      <c r="AP30" s="172"/>
      <c r="AQ30" s="172"/>
      <c r="AR30" s="172"/>
      <c r="AS30" s="172"/>
      <c r="AT30" s="172"/>
      <c r="AU30" s="172"/>
      <c r="AV30" s="172"/>
      <c r="AW30" s="172"/>
      <c r="AX30" s="172"/>
      <c r="AY30" s="175"/>
      <c r="AZ30" s="286"/>
      <c r="BA30" s="212"/>
      <c r="EV30" s="7"/>
      <c r="EW30" s="7"/>
      <c r="EX30" s="7"/>
      <c r="EY30" s="7"/>
      <c r="EZ30" s="7"/>
      <c r="FA30" s="7"/>
      <c r="FB30" s="7"/>
      <c r="FC30" s="7"/>
    </row>
    <row r="31" spans="1:159" ht="13" customHeight="1" x14ac:dyDescent="0.15">
      <c r="A31" s="250"/>
      <c r="B31" s="38">
        <v>160</v>
      </c>
      <c r="C31" s="129">
        <f>Anchor!L208</f>
        <v>0</v>
      </c>
      <c r="D31" s="129">
        <f>Anchor!M208</f>
        <v>0</v>
      </c>
      <c r="E31" s="129">
        <f>Anchor!N208</f>
        <v>0</v>
      </c>
      <c r="F31" s="129">
        <f>Anchor!O208</f>
        <v>0</v>
      </c>
      <c r="G31" s="130">
        <f>('Summary (Full)'!$B$34*D31+'Summary (Full)'!$B$35*E31+'Summary (Full)'!$B$36*F31)/'Summary (Full)'!$B$37</f>
        <v>0</v>
      </c>
      <c r="H31" s="129">
        <f>Anchor!P208</f>
        <v>0</v>
      </c>
      <c r="I31" s="129">
        <f>Anchor!Q208</f>
        <v>0</v>
      </c>
      <c r="J31" s="129">
        <f>Anchor!R208</f>
        <v>0</v>
      </c>
      <c r="K31" s="129">
        <f>Anchor!S208</f>
        <v>0</v>
      </c>
      <c r="L31" s="129">
        <f>Anchor!T208</f>
        <v>0</v>
      </c>
      <c r="M31" s="129">
        <f>Anchor!U208</f>
        <v>0</v>
      </c>
      <c r="N31" s="129">
        <f>Anchor!V208</f>
        <v>0</v>
      </c>
      <c r="O31" s="129">
        <f>Anchor!W208</f>
        <v>0</v>
      </c>
      <c r="P31" s="129">
        <f>Anchor!X208</f>
        <v>0</v>
      </c>
      <c r="Q31" s="131">
        <f>10*LOG10(1/(('Summary (Full)'!$B$41/10^(N31/10)+'Summary (Full)'!$B$42/10^(O31/10)+'Summary (Full)'!$B$43/10^(P31/10))/'Summary (Full)'!$B$44))</f>
        <v>0</v>
      </c>
      <c r="R31" s="129">
        <f>Anchor!Y208</f>
        <v>0</v>
      </c>
      <c r="S31" s="129">
        <f>Anchor!Z208</f>
        <v>0</v>
      </c>
      <c r="T31" s="132"/>
      <c r="U31" s="129">
        <f>Test!L208</f>
        <v>0</v>
      </c>
      <c r="V31" s="129">
        <f>Test!M208</f>
        <v>0</v>
      </c>
      <c r="W31" s="129">
        <f>Test!N208</f>
        <v>0</v>
      </c>
      <c r="X31" s="129">
        <f>Test!O208</f>
        <v>0</v>
      </c>
      <c r="Y31" s="129">
        <f>('Summary (Full)'!$B$34*V31+'Summary (Full)'!$B$35*W31+'Summary (Full)'!$B$36*X31)/'Summary (Full)'!$B$37</f>
        <v>0</v>
      </c>
      <c r="Z31" s="129">
        <f>Test!P208</f>
        <v>0</v>
      </c>
      <c r="AA31" s="129">
        <f>Test!Q208</f>
        <v>0</v>
      </c>
      <c r="AB31" s="129">
        <f>Test!R208</f>
        <v>0</v>
      </c>
      <c r="AC31" s="129">
        <f>Test!S208</f>
        <v>0</v>
      </c>
      <c r="AD31" s="129">
        <f>Test!T208</f>
        <v>0</v>
      </c>
      <c r="AE31" s="129">
        <f>Test!U208</f>
        <v>0</v>
      </c>
      <c r="AF31" s="129">
        <f>Test!V208</f>
        <v>0</v>
      </c>
      <c r="AG31" s="129">
        <f>Test!W208</f>
        <v>0</v>
      </c>
      <c r="AH31" s="129">
        <f>Test!X208</f>
        <v>0</v>
      </c>
      <c r="AI31" s="129">
        <f>10*LOG10(1/(('Summary (Full)'!$B$41/10^(AF31/10)+'Summary (Full)'!$B$42/10^(AG31/10)+'Summary (Full)'!$B$43/10^(AH31/10))/'Summary (Full)'!$B$44))</f>
        <v>0</v>
      </c>
      <c r="AJ31" s="129">
        <f>Test!Y208</f>
        <v>0</v>
      </c>
      <c r="AK31" s="129">
        <f>Test!Z208</f>
        <v>0</v>
      </c>
      <c r="AL31" s="129" t="e">
        <f t="shared" si="2"/>
        <v>#DIV/0!</v>
      </c>
      <c r="AM31" s="129" t="e">
        <f t="shared" si="2"/>
        <v>#DIV/0!</v>
      </c>
      <c r="AO31" s="254" t="s">
        <v>28</v>
      </c>
      <c r="AP31" s="172" t="e" cm="1">
        <f t="array" ref="AP31">bdRateExtend($C30:$C33,D30:D33,$U30:$U33,V30:V33)</f>
        <v>#VALUE!</v>
      </c>
      <c r="AQ31" s="172"/>
      <c r="AR31" s="172"/>
      <c r="AS31" s="172"/>
      <c r="AT31" s="172" t="e" cm="1">
        <f t="array" ref="AT31">bdRateExtend($C30:$C33,H30:H33,$U30:$U33,Z30:Z33)</f>
        <v>#VALUE!</v>
      </c>
      <c r="AU31" s="172"/>
      <c r="AV31" s="172" t="e" cm="1">
        <f t="array" ref="AV31">bdRateExtend($C30:$C33,I30:I33,$U30:$U33,AA30:AA33)</f>
        <v>#VALUE!</v>
      </c>
      <c r="AW31" s="172"/>
      <c r="AX31" s="172" t="e" cm="1">
        <f t="array" ref="AX31">bdRateExtend($C30:$C33,J30:J33,$U30:$U33,AB30:AB33,"None", FALSE,1)</f>
        <v>#VALUE!</v>
      </c>
      <c r="AY31" s="175"/>
      <c r="AZ31" s="286" cm="1">
        <f t="array" ref="AZ31">testVMAFRange($C30:$C33,J30:J33,$U30:$U33,AB30:AB33)</f>
        <v>0</v>
      </c>
      <c r="BA31" s="212"/>
      <c r="EV31" s="7"/>
      <c r="EW31" s="7"/>
      <c r="EX31" s="7"/>
      <c r="EY31" s="7"/>
      <c r="EZ31" s="7"/>
      <c r="FA31" s="7"/>
      <c r="FB31" s="7"/>
      <c r="FC31" s="7"/>
    </row>
    <row r="32" spans="1:159" x14ac:dyDescent="0.15">
      <c r="A32" s="250"/>
      <c r="B32" s="38">
        <v>185</v>
      </c>
      <c r="C32" s="129">
        <f>Anchor!L209</f>
        <v>0</v>
      </c>
      <c r="D32" s="129">
        <f>Anchor!M209</f>
        <v>0</v>
      </c>
      <c r="E32" s="129">
        <f>Anchor!N209</f>
        <v>0</v>
      </c>
      <c r="F32" s="129">
        <f>Anchor!O209</f>
        <v>0</v>
      </c>
      <c r="G32" s="130">
        <f>('Summary (Full)'!$B$34*D32+'Summary (Full)'!$B$35*E32+'Summary (Full)'!$B$36*F32)/'Summary (Full)'!$B$37</f>
        <v>0</v>
      </c>
      <c r="H32" s="129">
        <f>Anchor!P209</f>
        <v>0</v>
      </c>
      <c r="I32" s="129">
        <f>Anchor!Q209</f>
        <v>0</v>
      </c>
      <c r="J32" s="129">
        <f>Anchor!R209</f>
        <v>0</v>
      </c>
      <c r="K32" s="129">
        <f>Anchor!S209</f>
        <v>0</v>
      </c>
      <c r="L32" s="129">
        <f>Anchor!T209</f>
        <v>0</v>
      </c>
      <c r="M32" s="129">
        <f>Anchor!U209</f>
        <v>0</v>
      </c>
      <c r="N32" s="129">
        <f>Anchor!V209</f>
        <v>0</v>
      </c>
      <c r="O32" s="129">
        <f>Anchor!W209</f>
        <v>0</v>
      </c>
      <c r="P32" s="129">
        <f>Anchor!X209</f>
        <v>0</v>
      </c>
      <c r="Q32" s="131">
        <f>10*LOG10(1/(('Summary (Full)'!$B$41/10^(N32/10)+'Summary (Full)'!$B$42/10^(O32/10)+'Summary (Full)'!$B$43/10^(P32/10))/'Summary (Full)'!$B$44))</f>
        <v>0</v>
      </c>
      <c r="R32" s="129">
        <f>Anchor!Y209</f>
        <v>0</v>
      </c>
      <c r="S32" s="129">
        <f>Anchor!Z209</f>
        <v>0</v>
      </c>
      <c r="T32" s="132"/>
      <c r="U32" s="129">
        <f>Test!L209</f>
        <v>0</v>
      </c>
      <c r="V32" s="129">
        <f>Test!M209</f>
        <v>0</v>
      </c>
      <c r="W32" s="129">
        <f>Test!N209</f>
        <v>0</v>
      </c>
      <c r="X32" s="129">
        <f>Test!O209</f>
        <v>0</v>
      </c>
      <c r="Y32" s="129">
        <f>('Summary (Full)'!$B$34*V32+'Summary (Full)'!$B$35*W32+'Summary (Full)'!$B$36*X32)/'Summary (Full)'!$B$37</f>
        <v>0</v>
      </c>
      <c r="Z32" s="129">
        <f>Test!P209</f>
        <v>0</v>
      </c>
      <c r="AA32" s="129">
        <f>Test!Q209</f>
        <v>0</v>
      </c>
      <c r="AB32" s="129">
        <f>Test!R209</f>
        <v>0</v>
      </c>
      <c r="AC32" s="129">
        <f>Test!S209</f>
        <v>0</v>
      </c>
      <c r="AD32" s="129">
        <f>Test!T209</f>
        <v>0</v>
      </c>
      <c r="AE32" s="129">
        <f>Test!U209</f>
        <v>0</v>
      </c>
      <c r="AF32" s="129">
        <f>Test!V209</f>
        <v>0</v>
      </c>
      <c r="AG32" s="129">
        <f>Test!W209</f>
        <v>0</v>
      </c>
      <c r="AH32" s="129">
        <f>Test!X209</f>
        <v>0</v>
      </c>
      <c r="AI32" s="129">
        <f>10*LOG10(1/(('Summary (Full)'!$B$41/10^(AF32/10)+'Summary (Full)'!$B$42/10^(AG32/10)+'Summary (Full)'!$B$43/10^(AH32/10))/'Summary (Full)'!$B$44))</f>
        <v>0</v>
      </c>
      <c r="AJ32" s="129">
        <f>Test!Y209</f>
        <v>0</v>
      </c>
      <c r="AK32" s="129">
        <f>Test!Z209</f>
        <v>0</v>
      </c>
      <c r="AL32" s="129" t="e">
        <f t="shared" si="2"/>
        <v>#DIV/0!</v>
      </c>
      <c r="AM32" s="129" t="e">
        <f t="shared" si="2"/>
        <v>#DIV/0!</v>
      </c>
      <c r="AO32" s="254"/>
      <c r="AP32" s="172"/>
      <c r="AQ32" s="172"/>
      <c r="AR32" s="172"/>
      <c r="AS32" s="172"/>
      <c r="AT32" s="172"/>
      <c r="AU32" s="172"/>
      <c r="AV32" s="172"/>
      <c r="AW32" s="172"/>
      <c r="AX32" s="172"/>
      <c r="AY32" s="175"/>
      <c r="AZ32" s="286"/>
      <c r="BA32" s="212"/>
      <c r="EV32" s="7"/>
      <c r="EW32" s="7"/>
      <c r="EX32" s="7"/>
      <c r="EY32" s="7"/>
      <c r="EZ32" s="7"/>
      <c r="FA32" s="7"/>
      <c r="FB32" s="7"/>
      <c r="FC32" s="7"/>
    </row>
    <row r="33" spans="1:159" ht="13" customHeight="1" x14ac:dyDescent="0.15">
      <c r="A33" s="250"/>
      <c r="B33" s="38">
        <v>210</v>
      </c>
      <c r="C33" s="129">
        <f>Anchor!L210</f>
        <v>0</v>
      </c>
      <c r="D33" s="129">
        <f>Anchor!M210</f>
        <v>0</v>
      </c>
      <c r="E33" s="129">
        <f>Anchor!N210</f>
        <v>0</v>
      </c>
      <c r="F33" s="129">
        <f>Anchor!O210</f>
        <v>0</v>
      </c>
      <c r="G33" s="130">
        <f>('Summary (Full)'!$B$34*D33+'Summary (Full)'!$B$35*E33+'Summary (Full)'!$B$36*F33)/'Summary (Full)'!$B$37</f>
        <v>0</v>
      </c>
      <c r="H33" s="129">
        <f>Anchor!P210</f>
        <v>0</v>
      </c>
      <c r="I33" s="129">
        <f>Anchor!Q210</f>
        <v>0</v>
      </c>
      <c r="J33" s="129">
        <f>Anchor!R210</f>
        <v>0</v>
      </c>
      <c r="K33" s="129">
        <f>Anchor!S210</f>
        <v>0</v>
      </c>
      <c r="L33" s="129">
        <f>Anchor!T210</f>
        <v>0</v>
      </c>
      <c r="M33" s="129">
        <f>Anchor!U210</f>
        <v>0</v>
      </c>
      <c r="N33" s="129">
        <f>Anchor!V210</f>
        <v>0</v>
      </c>
      <c r="O33" s="129">
        <f>Anchor!W210</f>
        <v>0</v>
      </c>
      <c r="P33" s="129">
        <f>Anchor!X210</f>
        <v>0</v>
      </c>
      <c r="Q33" s="131">
        <f>10*LOG10(1/(('Summary (Full)'!$B$41/10^(N33/10)+'Summary (Full)'!$B$42/10^(O33/10)+'Summary (Full)'!$B$43/10^(P33/10))/'Summary (Full)'!$B$44))</f>
        <v>0</v>
      </c>
      <c r="R33" s="129">
        <f>Anchor!Y210</f>
        <v>0</v>
      </c>
      <c r="S33" s="129">
        <f>Anchor!Z210</f>
        <v>0</v>
      </c>
      <c r="T33" s="132"/>
      <c r="U33" s="129">
        <f>Test!L210</f>
        <v>0</v>
      </c>
      <c r="V33" s="129">
        <f>Test!M210</f>
        <v>0</v>
      </c>
      <c r="W33" s="129">
        <f>Test!N210</f>
        <v>0</v>
      </c>
      <c r="X33" s="129">
        <f>Test!O210</f>
        <v>0</v>
      </c>
      <c r="Y33" s="129">
        <f>('Summary (Full)'!$B$34*V33+'Summary (Full)'!$B$35*W33+'Summary (Full)'!$B$36*X33)/'Summary (Full)'!$B$37</f>
        <v>0</v>
      </c>
      <c r="Z33" s="129">
        <f>Test!P210</f>
        <v>0</v>
      </c>
      <c r="AA33" s="129">
        <f>Test!Q210</f>
        <v>0</v>
      </c>
      <c r="AB33" s="129">
        <f>Test!R210</f>
        <v>0</v>
      </c>
      <c r="AC33" s="129">
        <f>Test!S210</f>
        <v>0</v>
      </c>
      <c r="AD33" s="129">
        <f>Test!T210</f>
        <v>0</v>
      </c>
      <c r="AE33" s="129">
        <f>Test!U210</f>
        <v>0</v>
      </c>
      <c r="AF33" s="129">
        <f>Test!V210</f>
        <v>0</v>
      </c>
      <c r="AG33" s="129">
        <f>Test!W210</f>
        <v>0</v>
      </c>
      <c r="AH33" s="129">
        <f>Test!X210</f>
        <v>0</v>
      </c>
      <c r="AI33" s="129">
        <f>10*LOG10(1/(('Summary (Full)'!$B$41/10^(AF33/10)+'Summary (Full)'!$B$42/10^(AG33/10)+'Summary (Full)'!$B$43/10^(AH33/10))/'Summary (Full)'!$B$44))</f>
        <v>0</v>
      </c>
      <c r="AJ33" s="129">
        <f>Test!Y210</f>
        <v>0</v>
      </c>
      <c r="AK33" s="129">
        <f>Test!Z210</f>
        <v>0</v>
      </c>
      <c r="AL33" s="129" t="e">
        <f t="shared" si="2"/>
        <v>#DIV/0!</v>
      </c>
      <c r="AM33" s="129" t="e">
        <f t="shared" si="2"/>
        <v>#DIV/0!</v>
      </c>
      <c r="AO33" s="254" t="s">
        <v>29</v>
      </c>
      <c r="AP33" s="172" t="e" cm="1">
        <f t="array" ref="AP33">bdRateExtend($C31:$C34,D31:D34,$U31:$U34,V31:V34)</f>
        <v>#VALUE!</v>
      </c>
      <c r="AQ33" s="172"/>
      <c r="AR33" s="172"/>
      <c r="AS33" s="172"/>
      <c r="AT33" s="172" t="e" cm="1">
        <f t="array" ref="AT33">bdRateExtend($C31:$C34,H31:H34,$U31:$U34,Z31:Z34)</f>
        <v>#VALUE!</v>
      </c>
      <c r="AU33" s="172"/>
      <c r="AV33" s="172" t="e" cm="1">
        <f t="array" ref="AV33">bdRateExtend($C31:$C34,I31:I34,$U31:$U34,AA31:AA34)</f>
        <v>#VALUE!</v>
      </c>
      <c r="AW33" s="172"/>
      <c r="AX33" s="172" t="e" cm="1">
        <f t="array" ref="AX33">bdRateExtend($C31:$C34,J31:J34,$U31:$U34,AB31:AB34,"None", FALSE,1)</f>
        <v>#VALUE!</v>
      </c>
      <c r="AY33" s="175"/>
      <c r="AZ33" s="286" cm="1">
        <f t="array" ref="AZ33">testVMAFRange($C31:$C34,J31:J34,$U31:$U34,AB31:AB34)</f>
        <v>0</v>
      </c>
      <c r="BA33" s="212"/>
      <c r="EV33" s="7"/>
      <c r="EW33" s="7"/>
      <c r="EX33" s="7"/>
      <c r="EY33" s="7"/>
      <c r="EZ33" s="7"/>
      <c r="FA33" s="7"/>
      <c r="FB33" s="7"/>
      <c r="FC33" s="7"/>
    </row>
    <row r="34" spans="1:159" ht="14" thickBot="1" x14ac:dyDescent="0.2">
      <c r="A34" s="250"/>
      <c r="B34" s="38">
        <v>235</v>
      </c>
      <c r="C34" s="129">
        <f>Anchor!L211</f>
        <v>0</v>
      </c>
      <c r="D34" s="129">
        <f>Anchor!M211</f>
        <v>0</v>
      </c>
      <c r="E34" s="129">
        <f>Anchor!N211</f>
        <v>0</v>
      </c>
      <c r="F34" s="129">
        <f>Anchor!O211</f>
        <v>0</v>
      </c>
      <c r="G34" s="130">
        <f>('Summary (Full)'!$B$34*D34+'Summary (Full)'!$B$35*E34+'Summary (Full)'!$B$36*F34)/'Summary (Full)'!$B$37</f>
        <v>0</v>
      </c>
      <c r="H34" s="129">
        <f>Anchor!P211</f>
        <v>0</v>
      </c>
      <c r="I34" s="129">
        <f>Anchor!Q211</f>
        <v>0</v>
      </c>
      <c r="J34" s="129">
        <f>Anchor!R211</f>
        <v>0</v>
      </c>
      <c r="K34" s="129">
        <f>Anchor!S211</f>
        <v>0</v>
      </c>
      <c r="L34" s="129">
        <f>Anchor!T211</f>
        <v>0</v>
      </c>
      <c r="M34" s="129">
        <f>Anchor!U211</f>
        <v>0</v>
      </c>
      <c r="N34" s="129">
        <f>Anchor!V211</f>
        <v>0</v>
      </c>
      <c r="O34" s="129">
        <f>Anchor!W211</f>
        <v>0</v>
      </c>
      <c r="P34" s="129">
        <f>Anchor!X211</f>
        <v>0</v>
      </c>
      <c r="Q34" s="131">
        <f>10*LOG10(1/(('Summary (Full)'!$B$41/10^(N34/10)+'Summary (Full)'!$B$42/10^(O34/10)+'Summary (Full)'!$B$43/10^(P34/10))/'Summary (Full)'!$B$44))</f>
        <v>0</v>
      </c>
      <c r="R34" s="129">
        <f>Anchor!Y211</f>
        <v>0</v>
      </c>
      <c r="S34" s="129">
        <f>Anchor!Z211</f>
        <v>0</v>
      </c>
      <c r="T34" s="132"/>
      <c r="U34" s="129">
        <f>Test!L211</f>
        <v>0</v>
      </c>
      <c r="V34" s="129">
        <f>Test!M211</f>
        <v>0</v>
      </c>
      <c r="W34" s="129">
        <f>Test!N211</f>
        <v>0</v>
      </c>
      <c r="X34" s="129">
        <f>Test!O211</f>
        <v>0</v>
      </c>
      <c r="Y34" s="129">
        <f>('Summary (Full)'!$B$34*V34+'Summary (Full)'!$B$35*W34+'Summary (Full)'!$B$36*X34)/'Summary (Full)'!$B$37</f>
        <v>0</v>
      </c>
      <c r="Z34" s="129">
        <f>Test!P211</f>
        <v>0</v>
      </c>
      <c r="AA34" s="129">
        <f>Test!Q211</f>
        <v>0</v>
      </c>
      <c r="AB34" s="129">
        <f>Test!R211</f>
        <v>0</v>
      </c>
      <c r="AC34" s="129">
        <f>Test!S211</f>
        <v>0</v>
      </c>
      <c r="AD34" s="129">
        <f>Test!T211</f>
        <v>0</v>
      </c>
      <c r="AE34" s="129">
        <f>Test!U211</f>
        <v>0</v>
      </c>
      <c r="AF34" s="129">
        <f>Test!V211</f>
        <v>0</v>
      </c>
      <c r="AG34" s="129">
        <f>Test!W211</f>
        <v>0</v>
      </c>
      <c r="AH34" s="129">
        <f>Test!X211</f>
        <v>0</v>
      </c>
      <c r="AI34" s="129">
        <f>10*LOG10(1/(('Summary (Full)'!$B$41/10^(AF34/10)+'Summary (Full)'!$B$42/10^(AG34/10)+'Summary (Full)'!$B$43/10^(AH34/10))/'Summary (Full)'!$B$44))</f>
        <v>0</v>
      </c>
      <c r="AJ34" s="129">
        <f>Test!Y211</f>
        <v>0</v>
      </c>
      <c r="AK34" s="129">
        <f>Test!Z211</f>
        <v>0</v>
      </c>
      <c r="AL34" s="129" t="e">
        <f t="shared" si="2"/>
        <v>#DIV/0!</v>
      </c>
      <c r="AM34" s="129" t="e">
        <f t="shared" si="2"/>
        <v>#DIV/0!</v>
      </c>
      <c r="AO34" s="263"/>
      <c r="AP34" s="173"/>
      <c r="AQ34" s="173"/>
      <c r="AR34" s="173"/>
      <c r="AS34" s="173"/>
      <c r="AT34" s="173"/>
      <c r="AU34" s="173"/>
      <c r="AV34" s="173"/>
      <c r="AW34" s="173"/>
      <c r="AX34" s="173"/>
      <c r="AY34" s="188"/>
      <c r="AZ34" s="287"/>
      <c r="BA34" s="240"/>
      <c r="EV34" s="7"/>
      <c r="EW34" s="7"/>
      <c r="EX34" s="7"/>
      <c r="EY34" s="7"/>
      <c r="EZ34" s="7"/>
      <c r="FA34" s="7"/>
      <c r="FB34" s="7"/>
      <c r="FC34" s="7"/>
    </row>
    <row r="35" spans="1:159" ht="13" customHeight="1" x14ac:dyDescent="0.15">
      <c r="A35" s="250" t="s">
        <v>20</v>
      </c>
      <c r="B35" s="38">
        <v>110</v>
      </c>
      <c r="C35" s="129">
        <f>Anchor!L212</f>
        <v>0</v>
      </c>
      <c r="D35" s="129">
        <f>Anchor!M212</f>
        <v>0</v>
      </c>
      <c r="E35" s="129">
        <f>Anchor!N212</f>
        <v>0</v>
      </c>
      <c r="F35" s="129">
        <f>Anchor!O212</f>
        <v>0</v>
      </c>
      <c r="G35" s="130">
        <f>('Summary (Full)'!$B$34*D35+'Summary (Full)'!$B$35*E35+'Summary (Full)'!$B$36*F35)/'Summary (Full)'!$B$37</f>
        <v>0</v>
      </c>
      <c r="H35" s="129">
        <f>Anchor!P212</f>
        <v>0</v>
      </c>
      <c r="I35" s="129">
        <f>Anchor!Q212</f>
        <v>0</v>
      </c>
      <c r="J35" s="129">
        <f>Anchor!R212</f>
        <v>0</v>
      </c>
      <c r="K35" s="129">
        <f>Anchor!S212</f>
        <v>0</v>
      </c>
      <c r="L35" s="129">
        <f>Anchor!T212</f>
        <v>0</v>
      </c>
      <c r="M35" s="129">
        <f>Anchor!U212</f>
        <v>0</v>
      </c>
      <c r="N35" s="129">
        <f>Anchor!V212</f>
        <v>0</v>
      </c>
      <c r="O35" s="129">
        <f>Anchor!W212</f>
        <v>0</v>
      </c>
      <c r="P35" s="129">
        <f>Anchor!X212</f>
        <v>0</v>
      </c>
      <c r="Q35" s="131">
        <f>10*LOG10(1/(('Summary (Full)'!$B$41/10^(N35/10)+'Summary (Full)'!$B$42/10^(O35/10)+'Summary (Full)'!$B$43/10^(P35/10))/'Summary (Full)'!$B$44))</f>
        <v>0</v>
      </c>
      <c r="R35" s="129">
        <f>Anchor!Y212</f>
        <v>0</v>
      </c>
      <c r="S35" s="129">
        <f>Anchor!Z212</f>
        <v>0</v>
      </c>
      <c r="T35" s="132"/>
      <c r="U35" s="129">
        <f>Test!L212</f>
        <v>0</v>
      </c>
      <c r="V35" s="129">
        <f>Test!M212</f>
        <v>0</v>
      </c>
      <c r="W35" s="129">
        <f>Test!N212</f>
        <v>0</v>
      </c>
      <c r="X35" s="129">
        <f>Test!O212</f>
        <v>0</v>
      </c>
      <c r="Y35" s="129">
        <f>('Summary (Full)'!$B$34*V35+'Summary (Full)'!$B$35*W35+'Summary (Full)'!$B$36*X35)/'Summary (Full)'!$B$37</f>
        <v>0</v>
      </c>
      <c r="Z35" s="129">
        <f>Test!P212</f>
        <v>0</v>
      </c>
      <c r="AA35" s="129">
        <f>Test!Q212</f>
        <v>0</v>
      </c>
      <c r="AB35" s="129">
        <f>Test!R212</f>
        <v>0</v>
      </c>
      <c r="AC35" s="129">
        <f>Test!S212</f>
        <v>0</v>
      </c>
      <c r="AD35" s="129">
        <f>Test!T212</f>
        <v>0</v>
      </c>
      <c r="AE35" s="129">
        <f>Test!U212</f>
        <v>0</v>
      </c>
      <c r="AF35" s="129">
        <f>Test!V212</f>
        <v>0</v>
      </c>
      <c r="AG35" s="129">
        <f>Test!W212</f>
        <v>0</v>
      </c>
      <c r="AH35" s="129">
        <f>Test!X212</f>
        <v>0</v>
      </c>
      <c r="AI35" s="129">
        <f>10*LOG10(1/(('Summary (Full)'!$B$41/10^(AF35/10)+'Summary (Full)'!$B$42/10^(AG35/10)+'Summary (Full)'!$B$43/10^(AH35/10))/'Summary (Full)'!$B$44))</f>
        <v>0</v>
      </c>
      <c r="AJ35" s="129">
        <f>Test!Y212</f>
        <v>0</v>
      </c>
      <c r="AK35" s="129">
        <f>Test!Z212</f>
        <v>0</v>
      </c>
      <c r="AL35" s="129" t="e">
        <f t="shared" si="2"/>
        <v>#DIV/0!</v>
      </c>
      <c r="AM35" s="129" t="e">
        <f t="shared" si="2"/>
        <v>#DIV/0!</v>
      </c>
      <c r="AO35" s="253" t="s">
        <v>27</v>
      </c>
      <c r="AP35" s="171" t="e" cm="1">
        <f t="array" ref="AP35">bdRateExtend($C35:$C38,D35:D38,$U35:$U38,V35:V38)</f>
        <v>#VALUE!</v>
      </c>
      <c r="AQ35" s="171" t="e" cm="1">
        <f t="array" ref="AQ35">bdRateExtend($C35:$C40,D35:D40,$U35:$U40,V35:V40)</f>
        <v>#VALUE!</v>
      </c>
      <c r="AR35" s="171" t="e" cm="1">
        <f t="array" ref="AR35">bdRateExtend($C35:$C40,E35:E40,$U35:$U40,W35:W40)</f>
        <v>#VALUE!</v>
      </c>
      <c r="AS35" s="171" t="e" cm="1">
        <f t="array" ref="AS35">bdRateExtend($C35:$C40,F35:F40,$U35:$U40,X35:X40)</f>
        <v>#VALUE!</v>
      </c>
      <c r="AT35" s="171" t="e" cm="1">
        <f t="array" ref="AT35">bdRateExtend($C35:$C38,H35:H38,$U35:$U38,Z35:Z38)</f>
        <v>#VALUE!</v>
      </c>
      <c r="AU35" s="171" t="e" cm="1">
        <f t="array" ref="AU35">bdRateExtend($C35:$C40,H35:H40,$U35:$U40,Z35:Z40)</f>
        <v>#VALUE!</v>
      </c>
      <c r="AV35" s="171" t="e" cm="1">
        <f t="array" ref="AV35">bdRateExtend($C35:$C38,I35:I38,$U35:$U38,AA35:AA38)</f>
        <v>#VALUE!</v>
      </c>
      <c r="AW35" s="171" t="e" cm="1">
        <f t="array" ref="AW35">bdRateExtend($C35:$C40,I35:I40,$U35:$U40,AA35:AA40)</f>
        <v>#VALUE!</v>
      </c>
      <c r="AX35" s="171" t="e" cm="1">
        <f t="array" ref="AX35">bdRateExtend($C35:$C38,J35:J38,$U35:$U38,AB35:AB38,"None", FALSE,1)</f>
        <v>#VALUE!</v>
      </c>
      <c r="AY35" s="174" t="e" cm="1">
        <f t="array" ref="AY35">bdRateExtend($C35:$C40,J35:J40,$U35:$U40,AB35:AB40,"None", FALSE,TRUE)</f>
        <v>#VALUE!</v>
      </c>
      <c r="AZ35" s="285" cm="1">
        <f t="array" ref="AZ35">testVMAFRange($C35:$C38,J35:J38,$U35:$U38,AB35:AB38)</f>
        <v>0</v>
      </c>
      <c r="BA35" s="211" cm="1">
        <f t="array" ref="BA35">testVMAFRange($C35:$C40,J35:J40,$U35:$U40,AB35:AB40)</f>
        <v>0</v>
      </c>
      <c r="EV35" s="7"/>
      <c r="EW35" s="7"/>
      <c r="EX35" s="7"/>
      <c r="EY35" s="7"/>
      <c r="EZ35" s="7"/>
      <c r="FA35" s="7"/>
      <c r="FB35" s="7"/>
      <c r="FC35" s="7"/>
    </row>
    <row r="36" spans="1:159" x14ac:dyDescent="0.15">
      <c r="A36" s="250"/>
      <c r="B36" s="38">
        <v>135</v>
      </c>
      <c r="C36" s="129">
        <f>Anchor!L213</f>
        <v>0</v>
      </c>
      <c r="D36" s="129">
        <f>Anchor!M213</f>
        <v>0</v>
      </c>
      <c r="E36" s="129">
        <f>Anchor!N213</f>
        <v>0</v>
      </c>
      <c r="F36" s="129">
        <f>Anchor!O213</f>
        <v>0</v>
      </c>
      <c r="G36" s="130">
        <f>('Summary (Full)'!$B$34*D36+'Summary (Full)'!$B$35*E36+'Summary (Full)'!$B$36*F36)/'Summary (Full)'!$B$37</f>
        <v>0</v>
      </c>
      <c r="H36" s="129">
        <f>Anchor!P213</f>
        <v>0</v>
      </c>
      <c r="I36" s="129">
        <f>Anchor!Q213</f>
        <v>0</v>
      </c>
      <c r="J36" s="129">
        <f>Anchor!R213</f>
        <v>0</v>
      </c>
      <c r="K36" s="129">
        <f>Anchor!S213</f>
        <v>0</v>
      </c>
      <c r="L36" s="129">
        <f>Anchor!T213</f>
        <v>0</v>
      </c>
      <c r="M36" s="129">
        <f>Anchor!U213</f>
        <v>0</v>
      </c>
      <c r="N36" s="129">
        <f>Anchor!V213</f>
        <v>0</v>
      </c>
      <c r="O36" s="129">
        <f>Anchor!W213</f>
        <v>0</v>
      </c>
      <c r="P36" s="129">
        <f>Anchor!X213</f>
        <v>0</v>
      </c>
      <c r="Q36" s="131">
        <f>10*LOG10(1/(('Summary (Full)'!$B$41/10^(N36/10)+'Summary (Full)'!$B$42/10^(O36/10)+'Summary (Full)'!$B$43/10^(P36/10))/'Summary (Full)'!$B$44))</f>
        <v>0</v>
      </c>
      <c r="R36" s="129">
        <f>Anchor!Y213</f>
        <v>0</v>
      </c>
      <c r="S36" s="129">
        <f>Anchor!Z213</f>
        <v>0</v>
      </c>
      <c r="T36" s="132"/>
      <c r="U36" s="129">
        <f>Test!L213</f>
        <v>0</v>
      </c>
      <c r="V36" s="129">
        <f>Test!M213</f>
        <v>0</v>
      </c>
      <c r="W36" s="129">
        <f>Test!N213</f>
        <v>0</v>
      </c>
      <c r="X36" s="129">
        <f>Test!O213</f>
        <v>0</v>
      </c>
      <c r="Y36" s="129">
        <f>('Summary (Full)'!$B$34*V36+'Summary (Full)'!$B$35*W36+'Summary (Full)'!$B$36*X36)/'Summary (Full)'!$B$37</f>
        <v>0</v>
      </c>
      <c r="Z36" s="129">
        <f>Test!P213</f>
        <v>0</v>
      </c>
      <c r="AA36" s="129">
        <f>Test!Q213</f>
        <v>0</v>
      </c>
      <c r="AB36" s="129">
        <f>Test!R213</f>
        <v>0</v>
      </c>
      <c r="AC36" s="129">
        <f>Test!S213</f>
        <v>0</v>
      </c>
      <c r="AD36" s="129">
        <f>Test!T213</f>
        <v>0</v>
      </c>
      <c r="AE36" s="129">
        <f>Test!U213</f>
        <v>0</v>
      </c>
      <c r="AF36" s="129">
        <f>Test!V213</f>
        <v>0</v>
      </c>
      <c r="AG36" s="129">
        <f>Test!W213</f>
        <v>0</v>
      </c>
      <c r="AH36" s="129">
        <f>Test!X213</f>
        <v>0</v>
      </c>
      <c r="AI36" s="129">
        <f>10*LOG10(1/(('Summary (Full)'!$B$41/10^(AF36/10)+'Summary (Full)'!$B$42/10^(AG36/10)+'Summary (Full)'!$B$43/10^(AH36/10))/'Summary (Full)'!$B$44))</f>
        <v>0</v>
      </c>
      <c r="AJ36" s="129">
        <f>Test!Y213</f>
        <v>0</v>
      </c>
      <c r="AK36" s="129">
        <f>Test!Z213</f>
        <v>0</v>
      </c>
      <c r="AL36" s="129" t="e">
        <f t="shared" si="2"/>
        <v>#DIV/0!</v>
      </c>
      <c r="AM36" s="129" t="e">
        <f t="shared" si="2"/>
        <v>#DIV/0!</v>
      </c>
      <c r="AO36" s="254"/>
      <c r="AP36" s="172"/>
      <c r="AQ36" s="172"/>
      <c r="AR36" s="172"/>
      <c r="AS36" s="172"/>
      <c r="AT36" s="172"/>
      <c r="AU36" s="172"/>
      <c r="AV36" s="172"/>
      <c r="AW36" s="172"/>
      <c r="AX36" s="172"/>
      <c r="AY36" s="175"/>
      <c r="AZ36" s="286"/>
      <c r="BA36" s="212"/>
      <c r="EV36" s="7"/>
      <c r="EW36" s="7"/>
      <c r="EX36" s="7"/>
      <c r="EY36" s="7"/>
      <c r="EZ36" s="7"/>
      <c r="FA36" s="7"/>
      <c r="FB36" s="7"/>
      <c r="FC36" s="7"/>
    </row>
    <row r="37" spans="1:159" ht="13" customHeight="1" x14ac:dyDescent="0.15">
      <c r="A37" s="250"/>
      <c r="B37" s="38">
        <v>160</v>
      </c>
      <c r="C37" s="129">
        <f>Anchor!L214</f>
        <v>0</v>
      </c>
      <c r="D37" s="129">
        <f>Anchor!M214</f>
        <v>0</v>
      </c>
      <c r="E37" s="129">
        <f>Anchor!N214</f>
        <v>0</v>
      </c>
      <c r="F37" s="129">
        <f>Anchor!O214</f>
        <v>0</v>
      </c>
      <c r="G37" s="130">
        <f>('Summary (Full)'!$B$34*D37+'Summary (Full)'!$B$35*E37+'Summary (Full)'!$B$36*F37)/'Summary (Full)'!$B$37</f>
        <v>0</v>
      </c>
      <c r="H37" s="129">
        <f>Anchor!P214</f>
        <v>0</v>
      </c>
      <c r="I37" s="129">
        <f>Anchor!Q214</f>
        <v>0</v>
      </c>
      <c r="J37" s="129">
        <f>Anchor!R214</f>
        <v>0</v>
      </c>
      <c r="K37" s="129">
        <f>Anchor!S214</f>
        <v>0</v>
      </c>
      <c r="L37" s="129">
        <f>Anchor!T214</f>
        <v>0</v>
      </c>
      <c r="M37" s="129">
        <f>Anchor!U214</f>
        <v>0</v>
      </c>
      <c r="N37" s="129">
        <f>Anchor!V214</f>
        <v>0</v>
      </c>
      <c r="O37" s="129">
        <f>Anchor!W214</f>
        <v>0</v>
      </c>
      <c r="P37" s="129">
        <f>Anchor!X214</f>
        <v>0</v>
      </c>
      <c r="Q37" s="131">
        <f>10*LOG10(1/(('Summary (Full)'!$B$41/10^(N37/10)+'Summary (Full)'!$B$42/10^(O37/10)+'Summary (Full)'!$B$43/10^(P37/10))/'Summary (Full)'!$B$44))</f>
        <v>0</v>
      </c>
      <c r="R37" s="129">
        <f>Anchor!Y214</f>
        <v>0</v>
      </c>
      <c r="S37" s="129">
        <f>Anchor!Z214</f>
        <v>0</v>
      </c>
      <c r="T37" s="132"/>
      <c r="U37" s="129">
        <f>Test!L214</f>
        <v>0</v>
      </c>
      <c r="V37" s="129">
        <f>Test!M214</f>
        <v>0</v>
      </c>
      <c r="W37" s="129">
        <f>Test!N214</f>
        <v>0</v>
      </c>
      <c r="X37" s="129">
        <f>Test!O214</f>
        <v>0</v>
      </c>
      <c r="Y37" s="129">
        <f>('Summary (Full)'!$B$34*V37+'Summary (Full)'!$B$35*W37+'Summary (Full)'!$B$36*X37)/'Summary (Full)'!$B$37</f>
        <v>0</v>
      </c>
      <c r="Z37" s="129">
        <f>Test!P214</f>
        <v>0</v>
      </c>
      <c r="AA37" s="129">
        <f>Test!Q214</f>
        <v>0</v>
      </c>
      <c r="AB37" s="129">
        <f>Test!R214</f>
        <v>0</v>
      </c>
      <c r="AC37" s="129">
        <f>Test!S214</f>
        <v>0</v>
      </c>
      <c r="AD37" s="129">
        <f>Test!T214</f>
        <v>0</v>
      </c>
      <c r="AE37" s="129">
        <f>Test!U214</f>
        <v>0</v>
      </c>
      <c r="AF37" s="129">
        <f>Test!V214</f>
        <v>0</v>
      </c>
      <c r="AG37" s="129">
        <f>Test!W214</f>
        <v>0</v>
      </c>
      <c r="AH37" s="129">
        <f>Test!X214</f>
        <v>0</v>
      </c>
      <c r="AI37" s="129">
        <f>10*LOG10(1/(('Summary (Full)'!$B$41/10^(AF37/10)+'Summary (Full)'!$B$42/10^(AG37/10)+'Summary (Full)'!$B$43/10^(AH37/10))/'Summary (Full)'!$B$44))</f>
        <v>0</v>
      </c>
      <c r="AJ37" s="129">
        <f>Test!Y214</f>
        <v>0</v>
      </c>
      <c r="AK37" s="129">
        <f>Test!Z214</f>
        <v>0</v>
      </c>
      <c r="AL37" s="129" t="e">
        <f t="shared" si="2"/>
        <v>#DIV/0!</v>
      </c>
      <c r="AM37" s="129" t="e">
        <f t="shared" si="2"/>
        <v>#DIV/0!</v>
      </c>
      <c r="AO37" s="254" t="s">
        <v>28</v>
      </c>
      <c r="AP37" s="172" t="e" cm="1">
        <f t="array" ref="AP37">bdRateExtend($C36:$C39,D36:D39,$U36:$U39,V36:V39)</f>
        <v>#VALUE!</v>
      </c>
      <c r="AQ37" s="172"/>
      <c r="AR37" s="172"/>
      <c r="AS37" s="172"/>
      <c r="AT37" s="172" t="e" cm="1">
        <f t="array" ref="AT37">bdRateExtend($C36:$C39,H36:H39,$U36:$U39,Z36:Z39)</f>
        <v>#VALUE!</v>
      </c>
      <c r="AU37" s="172"/>
      <c r="AV37" s="172" t="e" cm="1">
        <f t="array" ref="AV37">bdRateExtend($C36:$C39,I36:I39,$U36:$U39,AA36:AA39)</f>
        <v>#VALUE!</v>
      </c>
      <c r="AW37" s="172"/>
      <c r="AX37" s="172" t="e" cm="1">
        <f t="array" ref="AX37">bdRateExtend($C36:$C39,J36:J39,$U36:$U39,AB36:AB39,"None", FALSE,1)</f>
        <v>#VALUE!</v>
      </c>
      <c r="AY37" s="175"/>
      <c r="AZ37" s="286" cm="1">
        <f t="array" ref="AZ37">testVMAFRange($C36:$C39,J36:J39,$U36:$U39,AB36:AB39)</f>
        <v>0</v>
      </c>
      <c r="BA37" s="212"/>
      <c r="EV37" s="7"/>
      <c r="EW37" s="7"/>
      <c r="EX37" s="7"/>
      <c r="EY37" s="7"/>
      <c r="EZ37" s="7"/>
      <c r="FA37" s="7"/>
      <c r="FB37" s="7"/>
      <c r="FC37" s="7"/>
    </row>
    <row r="38" spans="1:159" x14ac:dyDescent="0.15">
      <c r="A38" s="250"/>
      <c r="B38" s="38">
        <v>185</v>
      </c>
      <c r="C38" s="129">
        <f>Anchor!L215</f>
        <v>0</v>
      </c>
      <c r="D38" s="129">
        <f>Anchor!M215</f>
        <v>0</v>
      </c>
      <c r="E38" s="129">
        <f>Anchor!N215</f>
        <v>0</v>
      </c>
      <c r="F38" s="129">
        <f>Anchor!O215</f>
        <v>0</v>
      </c>
      <c r="G38" s="130">
        <f>('Summary (Full)'!$B$34*D38+'Summary (Full)'!$B$35*E38+'Summary (Full)'!$B$36*F38)/'Summary (Full)'!$B$37</f>
        <v>0</v>
      </c>
      <c r="H38" s="129">
        <f>Anchor!P215</f>
        <v>0</v>
      </c>
      <c r="I38" s="129">
        <f>Anchor!Q215</f>
        <v>0</v>
      </c>
      <c r="J38" s="129">
        <f>Anchor!R215</f>
        <v>0</v>
      </c>
      <c r="K38" s="129">
        <f>Anchor!S215</f>
        <v>0</v>
      </c>
      <c r="L38" s="129">
        <f>Anchor!T215</f>
        <v>0</v>
      </c>
      <c r="M38" s="129">
        <f>Anchor!U215</f>
        <v>0</v>
      </c>
      <c r="N38" s="129">
        <f>Anchor!V215</f>
        <v>0</v>
      </c>
      <c r="O38" s="129">
        <f>Anchor!W215</f>
        <v>0</v>
      </c>
      <c r="P38" s="129">
        <f>Anchor!X215</f>
        <v>0</v>
      </c>
      <c r="Q38" s="131">
        <f>10*LOG10(1/(('Summary (Full)'!$B$41/10^(N38/10)+'Summary (Full)'!$B$42/10^(O38/10)+'Summary (Full)'!$B$43/10^(P38/10))/'Summary (Full)'!$B$44))</f>
        <v>0</v>
      </c>
      <c r="R38" s="129">
        <f>Anchor!Y215</f>
        <v>0</v>
      </c>
      <c r="S38" s="129">
        <f>Anchor!Z215</f>
        <v>0</v>
      </c>
      <c r="T38" s="132"/>
      <c r="U38" s="129">
        <f>Test!L215</f>
        <v>0</v>
      </c>
      <c r="V38" s="129">
        <f>Test!M215</f>
        <v>0</v>
      </c>
      <c r="W38" s="129">
        <f>Test!N215</f>
        <v>0</v>
      </c>
      <c r="X38" s="129">
        <f>Test!O215</f>
        <v>0</v>
      </c>
      <c r="Y38" s="129">
        <f>('Summary (Full)'!$B$34*V38+'Summary (Full)'!$B$35*W38+'Summary (Full)'!$B$36*X38)/'Summary (Full)'!$B$37</f>
        <v>0</v>
      </c>
      <c r="Z38" s="129">
        <f>Test!P215</f>
        <v>0</v>
      </c>
      <c r="AA38" s="129">
        <f>Test!Q215</f>
        <v>0</v>
      </c>
      <c r="AB38" s="129">
        <f>Test!R215</f>
        <v>0</v>
      </c>
      <c r="AC38" s="129">
        <f>Test!S215</f>
        <v>0</v>
      </c>
      <c r="AD38" s="129">
        <f>Test!T215</f>
        <v>0</v>
      </c>
      <c r="AE38" s="129">
        <f>Test!U215</f>
        <v>0</v>
      </c>
      <c r="AF38" s="129">
        <f>Test!V215</f>
        <v>0</v>
      </c>
      <c r="AG38" s="129">
        <f>Test!W215</f>
        <v>0</v>
      </c>
      <c r="AH38" s="129">
        <f>Test!X215</f>
        <v>0</v>
      </c>
      <c r="AI38" s="129">
        <f>10*LOG10(1/(('Summary (Full)'!$B$41/10^(AF38/10)+'Summary (Full)'!$B$42/10^(AG38/10)+'Summary (Full)'!$B$43/10^(AH38/10))/'Summary (Full)'!$B$44))</f>
        <v>0</v>
      </c>
      <c r="AJ38" s="129">
        <f>Test!Y215</f>
        <v>0</v>
      </c>
      <c r="AK38" s="129">
        <f>Test!Z215</f>
        <v>0</v>
      </c>
      <c r="AL38" s="129" t="e">
        <f t="shared" si="2"/>
        <v>#DIV/0!</v>
      </c>
      <c r="AM38" s="129" t="e">
        <f t="shared" si="2"/>
        <v>#DIV/0!</v>
      </c>
      <c r="AO38" s="254"/>
      <c r="AP38" s="172"/>
      <c r="AQ38" s="172"/>
      <c r="AR38" s="172"/>
      <c r="AS38" s="172"/>
      <c r="AT38" s="172"/>
      <c r="AU38" s="172"/>
      <c r="AV38" s="172"/>
      <c r="AW38" s="172"/>
      <c r="AX38" s="172"/>
      <c r="AY38" s="175"/>
      <c r="AZ38" s="286"/>
      <c r="BA38" s="212"/>
      <c r="EV38" s="7"/>
      <c r="EW38" s="7"/>
      <c r="EX38" s="7"/>
      <c r="EY38" s="7"/>
      <c r="EZ38" s="7"/>
      <c r="FA38" s="7"/>
      <c r="FB38" s="7"/>
      <c r="FC38" s="7"/>
    </row>
    <row r="39" spans="1:159" ht="13" customHeight="1" x14ac:dyDescent="0.15">
      <c r="A39" s="250"/>
      <c r="B39" s="38">
        <v>210</v>
      </c>
      <c r="C39" s="129">
        <f>Anchor!L216</f>
        <v>0</v>
      </c>
      <c r="D39" s="129">
        <f>Anchor!M216</f>
        <v>0</v>
      </c>
      <c r="E39" s="129">
        <f>Anchor!N216</f>
        <v>0</v>
      </c>
      <c r="F39" s="129">
        <f>Anchor!O216</f>
        <v>0</v>
      </c>
      <c r="G39" s="130">
        <f>('Summary (Full)'!$B$34*D39+'Summary (Full)'!$B$35*E39+'Summary (Full)'!$B$36*F39)/'Summary (Full)'!$B$37</f>
        <v>0</v>
      </c>
      <c r="H39" s="129">
        <f>Anchor!P216</f>
        <v>0</v>
      </c>
      <c r="I39" s="129">
        <f>Anchor!Q216</f>
        <v>0</v>
      </c>
      <c r="J39" s="129">
        <f>Anchor!R216</f>
        <v>0</v>
      </c>
      <c r="K39" s="129">
        <f>Anchor!S216</f>
        <v>0</v>
      </c>
      <c r="L39" s="129">
        <f>Anchor!T216</f>
        <v>0</v>
      </c>
      <c r="M39" s="129">
        <f>Anchor!U216</f>
        <v>0</v>
      </c>
      <c r="N39" s="129">
        <f>Anchor!V216</f>
        <v>0</v>
      </c>
      <c r="O39" s="129">
        <f>Anchor!W216</f>
        <v>0</v>
      </c>
      <c r="P39" s="129">
        <f>Anchor!X216</f>
        <v>0</v>
      </c>
      <c r="Q39" s="131">
        <f>10*LOG10(1/(('Summary (Full)'!$B$41/10^(N39/10)+'Summary (Full)'!$B$42/10^(O39/10)+'Summary (Full)'!$B$43/10^(P39/10))/'Summary (Full)'!$B$44))</f>
        <v>0</v>
      </c>
      <c r="R39" s="129">
        <f>Anchor!Y216</f>
        <v>0</v>
      </c>
      <c r="S39" s="129">
        <f>Anchor!Z216</f>
        <v>0</v>
      </c>
      <c r="T39" s="132"/>
      <c r="U39" s="129">
        <f>Test!L216</f>
        <v>0</v>
      </c>
      <c r="V39" s="129">
        <f>Test!M216</f>
        <v>0</v>
      </c>
      <c r="W39" s="129">
        <f>Test!N216</f>
        <v>0</v>
      </c>
      <c r="X39" s="129">
        <f>Test!O216</f>
        <v>0</v>
      </c>
      <c r="Y39" s="129">
        <f>('Summary (Full)'!$B$34*V39+'Summary (Full)'!$B$35*W39+'Summary (Full)'!$B$36*X39)/'Summary (Full)'!$B$37</f>
        <v>0</v>
      </c>
      <c r="Z39" s="129">
        <f>Test!P216</f>
        <v>0</v>
      </c>
      <c r="AA39" s="129">
        <f>Test!Q216</f>
        <v>0</v>
      </c>
      <c r="AB39" s="129">
        <f>Test!R216</f>
        <v>0</v>
      </c>
      <c r="AC39" s="129">
        <f>Test!S216</f>
        <v>0</v>
      </c>
      <c r="AD39" s="129">
        <f>Test!T216</f>
        <v>0</v>
      </c>
      <c r="AE39" s="129">
        <f>Test!U216</f>
        <v>0</v>
      </c>
      <c r="AF39" s="129">
        <f>Test!V216</f>
        <v>0</v>
      </c>
      <c r="AG39" s="129">
        <f>Test!W216</f>
        <v>0</v>
      </c>
      <c r="AH39" s="129">
        <f>Test!X216</f>
        <v>0</v>
      </c>
      <c r="AI39" s="129">
        <f>10*LOG10(1/(('Summary (Full)'!$B$41/10^(AF39/10)+'Summary (Full)'!$B$42/10^(AG39/10)+'Summary (Full)'!$B$43/10^(AH39/10))/'Summary (Full)'!$B$44))</f>
        <v>0</v>
      </c>
      <c r="AJ39" s="129">
        <f>Test!Y216</f>
        <v>0</v>
      </c>
      <c r="AK39" s="129">
        <f>Test!Z216</f>
        <v>0</v>
      </c>
      <c r="AL39" s="129" t="e">
        <f t="shared" si="2"/>
        <v>#DIV/0!</v>
      </c>
      <c r="AM39" s="129" t="e">
        <f t="shared" si="2"/>
        <v>#DIV/0!</v>
      </c>
      <c r="AO39" s="254" t="s">
        <v>29</v>
      </c>
      <c r="AP39" s="172" t="e" cm="1">
        <f t="array" ref="AP39">bdRateExtend($C37:$C40,D37:D40,$U37:$U40,V37:V40)</f>
        <v>#VALUE!</v>
      </c>
      <c r="AQ39" s="172"/>
      <c r="AR39" s="172"/>
      <c r="AS39" s="172"/>
      <c r="AT39" s="172" t="e" cm="1">
        <f t="array" ref="AT39">bdRateExtend($C37:$C40,H37:H40,$U37:$U40,Z37:Z40)</f>
        <v>#VALUE!</v>
      </c>
      <c r="AU39" s="172"/>
      <c r="AV39" s="172" t="e" cm="1">
        <f t="array" ref="AV39">bdRateExtend($C37:$C40,I37:I40,$U37:$U40,AA37:AA40)</f>
        <v>#VALUE!</v>
      </c>
      <c r="AW39" s="172"/>
      <c r="AX39" s="172" t="e" cm="1">
        <f t="array" ref="AX39">bdRateExtend($C37:$C40,J37:J40,$U37:$U40,AB37:AB40,"None", FALSE,1)</f>
        <v>#VALUE!</v>
      </c>
      <c r="AY39" s="175"/>
      <c r="AZ39" s="286" cm="1">
        <f t="array" ref="AZ39">testVMAFRange($C37:$C40,J37:J40,$U37:$U40,AB37:AB40)</f>
        <v>0</v>
      </c>
      <c r="BA39" s="212"/>
      <c r="EV39" s="7"/>
      <c r="EW39" s="7"/>
      <c r="EX39" s="7"/>
      <c r="EY39" s="7"/>
      <c r="EZ39" s="7"/>
      <c r="FA39" s="7"/>
      <c r="FB39" s="7"/>
      <c r="FC39" s="7"/>
    </row>
    <row r="40" spans="1:159" ht="14" thickBot="1" x14ac:dyDescent="0.2">
      <c r="A40" s="250"/>
      <c r="B40" s="38">
        <v>235</v>
      </c>
      <c r="C40" s="129">
        <f>Anchor!L217</f>
        <v>0</v>
      </c>
      <c r="D40" s="129">
        <f>Anchor!M217</f>
        <v>0</v>
      </c>
      <c r="E40" s="129">
        <f>Anchor!N217</f>
        <v>0</v>
      </c>
      <c r="F40" s="129">
        <f>Anchor!O217</f>
        <v>0</v>
      </c>
      <c r="G40" s="130">
        <f>('Summary (Full)'!$B$34*D40+'Summary (Full)'!$B$35*E40+'Summary (Full)'!$B$36*F40)/'Summary (Full)'!$B$37</f>
        <v>0</v>
      </c>
      <c r="H40" s="129">
        <f>Anchor!P217</f>
        <v>0</v>
      </c>
      <c r="I40" s="129">
        <f>Anchor!Q217</f>
        <v>0</v>
      </c>
      <c r="J40" s="129">
        <f>Anchor!R217</f>
        <v>0</v>
      </c>
      <c r="K40" s="129">
        <f>Anchor!S217</f>
        <v>0</v>
      </c>
      <c r="L40" s="129">
        <f>Anchor!T217</f>
        <v>0</v>
      </c>
      <c r="M40" s="129">
        <f>Anchor!U217</f>
        <v>0</v>
      </c>
      <c r="N40" s="129">
        <f>Anchor!V217</f>
        <v>0</v>
      </c>
      <c r="O40" s="129">
        <f>Anchor!W217</f>
        <v>0</v>
      </c>
      <c r="P40" s="129">
        <f>Anchor!X217</f>
        <v>0</v>
      </c>
      <c r="Q40" s="131">
        <f>10*LOG10(1/(('Summary (Full)'!$B$41/10^(N40/10)+'Summary (Full)'!$B$42/10^(O40/10)+'Summary (Full)'!$B$43/10^(P40/10))/'Summary (Full)'!$B$44))</f>
        <v>0</v>
      </c>
      <c r="R40" s="129">
        <f>Anchor!Y217</f>
        <v>0</v>
      </c>
      <c r="S40" s="129">
        <f>Anchor!Z217</f>
        <v>0</v>
      </c>
      <c r="T40" s="132"/>
      <c r="U40" s="129">
        <f>Test!L217</f>
        <v>0</v>
      </c>
      <c r="V40" s="129">
        <f>Test!M217</f>
        <v>0</v>
      </c>
      <c r="W40" s="129">
        <f>Test!N217</f>
        <v>0</v>
      </c>
      <c r="X40" s="129">
        <f>Test!O217</f>
        <v>0</v>
      </c>
      <c r="Y40" s="129">
        <f>('Summary (Full)'!$B$34*V40+'Summary (Full)'!$B$35*W40+'Summary (Full)'!$B$36*X40)/'Summary (Full)'!$B$37</f>
        <v>0</v>
      </c>
      <c r="Z40" s="129">
        <f>Test!P217</f>
        <v>0</v>
      </c>
      <c r="AA40" s="129">
        <f>Test!Q217</f>
        <v>0</v>
      </c>
      <c r="AB40" s="129">
        <f>Test!R217</f>
        <v>0</v>
      </c>
      <c r="AC40" s="129">
        <f>Test!S217</f>
        <v>0</v>
      </c>
      <c r="AD40" s="129">
        <f>Test!T217</f>
        <v>0</v>
      </c>
      <c r="AE40" s="129">
        <f>Test!U217</f>
        <v>0</v>
      </c>
      <c r="AF40" s="129">
        <f>Test!V217</f>
        <v>0</v>
      </c>
      <c r="AG40" s="129">
        <f>Test!W217</f>
        <v>0</v>
      </c>
      <c r="AH40" s="129">
        <f>Test!X217</f>
        <v>0</v>
      </c>
      <c r="AI40" s="129">
        <f>10*LOG10(1/(('Summary (Full)'!$B$41/10^(AF40/10)+'Summary (Full)'!$B$42/10^(AG40/10)+'Summary (Full)'!$B$43/10^(AH40/10))/'Summary (Full)'!$B$44))</f>
        <v>0</v>
      </c>
      <c r="AJ40" s="129">
        <f>Test!Y217</f>
        <v>0</v>
      </c>
      <c r="AK40" s="129">
        <f>Test!Z217</f>
        <v>0</v>
      </c>
      <c r="AL40" s="129" t="e">
        <f t="shared" si="2"/>
        <v>#DIV/0!</v>
      </c>
      <c r="AM40" s="129" t="e">
        <f t="shared" si="2"/>
        <v>#DIV/0!</v>
      </c>
      <c r="AO40" s="263"/>
      <c r="AP40" s="173"/>
      <c r="AQ40" s="173"/>
      <c r="AR40" s="173"/>
      <c r="AS40" s="173"/>
      <c r="AT40" s="173"/>
      <c r="AU40" s="173"/>
      <c r="AV40" s="173"/>
      <c r="AW40" s="173"/>
      <c r="AX40" s="173"/>
      <c r="AY40" s="188"/>
      <c r="AZ40" s="287"/>
      <c r="BA40" s="240"/>
      <c r="EV40" s="7"/>
      <c r="EW40" s="7"/>
      <c r="EX40" s="7"/>
      <c r="EY40" s="7"/>
      <c r="EZ40" s="7"/>
      <c r="FA40" s="7"/>
      <c r="FB40" s="7"/>
      <c r="FC40" s="7"/>
    </row>
    <row r="41" spans="1:159" x14ac:dyDescent="0.15">
      <c r="EV41" s="7"/>
      <c r="EW41" s="7"/>
      <c r="EX41" s="7"/>
      <c r="EY41" s="7"/>
      <c r="EZ41" s="7"/>
      <c r="FA41" s="7"/>
      <c r="FB41" s="7"/>
      <c r="FC41" s="7"/>
    </row>
    <row r="42" spans="1:159" ht="14" thickBot="1" x14ac:dyDescent="0.2">
      <c r="EV42" s="7"/>
      <c r="EW42" s="7"/>
      <c r="EX42" s="7"/>
      <c r="EY42" s="7"/>
      <c r="EZ42" s="7"/>
      <c r="FA42" s="7"/>
      <c r="FB42" s="7"/>
      <c r="FC42" s="7"/>
    </row>
    <row r="43" spans="1:159" x14ac:dyDescent="0.15">
      <c r="A43" s="265" t="s">
        <v>76</v>
      </c>
      <c r="B43" s="266"/>
      <c r="C43" s="266"/>
      <c r="D43" s="266"/>
      <c r="E43" s="266"/>
      <c r="F43" s="266"/>
      <c r="G43" s="266"/>
      <c r="H43" s="266"/>
      <c r="I43" s="266"/>
      <c r="J43" s="266"/>
      <c r="K43" s="266"/>
      <c r="L43" s="266"/>
      <c r="M43" s="266"/>
      <c r="N43" s="266"/>
      <c r="O43" s="266"/>
      <c r="P43" s="266"/>
      <c r="Q43" s="266"/>
      <c r="R43" s="266"/>
      <c r="S43" s="266"/>
      <c r="T43" s="266"/>
      <c r="U43" s="266"/>
      <c r="V43" s="266"/>
      <c r="W43" s="94"/>
      <c r="X43" s="94"/>
      <c r="Y43" s="94"/>
      <c r="Z43" s="94"/>
      <c r="AA43" s="94"/>
      <c r="AB43" s="94"/>
      <c r="AC43" s="94"/>
      <c r="AD43" s="94"/>
      <c r="AE43" s="94"/>
      <c r="AF43" s="94"/>
      <c r="AG43" s="94"/>
      <c r="AH43" s="94"/>
      <c r="AI43" s="96"/>
      <c r="AJ43" s="96"/>
      <c r="AK43" s="96"/>
      <c r="AL43" s="97"/>
      <c r="EV43" s="7"/>
      <c r="EW43" s="7"/>
      <c r="EX43" s="7"/>
      <c r="EY43" s="7"/>
      <c r="EZ43" s="7"/>
      <c r="FA43" s="7"/>
      <c r="FB43" s="7"/>
      <c r="FC43" s="7"/>
    </row>
    <row r="44" spans="1:159" x14ac:dyDescent="0.15">
      <c r="A44" s="267" t="s">
        <v>13</v>
      </c>
      <c r="B44" s="268"/>
      <c r="C44" s="268"/>
      <c r="D44" s="268"/>
      <c r="E44" s="268"/>
      <c r="F44" s="268"/>
      <c r="G44" s="268"/>
      <c r="H44" s="268"/>
      <c r="I44" s="268"/>
      <c r="J44" s="268"/>
      <c r="K44" s="268"/>
      <c r="L44" s="268"/>
      <c r="M44" s="93"/>
      <c r="N44" s="93"/>
      <c r="O44" s="93"/>
      <c r="P44" s="93"/>
      <c r="Q44" s="268" t="s">
        <v>1</v>
      </c>
      <c r="R44" s="268"/>
      <c r="S44" s="268" t="s">
        <v>22</v>
      </c>
      <c r="T44" s="268"/>
      <c r="U44" s="268" t="s">
        <v>0</v>
      </c>
      <c r="V44" s="268"/>
      <c r="W44" s="268" t="s">
        <v>49</v>
      </c>
      <c r="X44" s="268"/>
      <c r="Y44" s="271" t="s">
        <v>40</v>
      </c>
      <c r="Z44" s="271"/>
      <c r="AA44" s="271" t="s">
        <v>44</v>
      </c>
      <c r="AB44" s="271"/>
      <c r="AC44" s="271" t="s">
        <v>45</v>
      </c>
      <c r="AD44" s="271"/>
      <c r="AE44" s="271"/>
      <c r="AF44" s="271"/>
      <c r="AG44" s="271"/>
      <c r="AH44" s="271"/>
      <c r="AI44" s="282" t="s">
        <v>13</v>
      </c>
      <c r="AJ44" s="282"/>
      <c r="AK44" s="255" t="s">
        <v>42</v>
      </c>
      <c r="AL44" s="256"/>
      <c r="EV44" s="7"/>
      <c r="EW44" s="7"/>
      <c r="EX44" s="7"/>
      <c r="EY44" s="7"/>
      <c r="EZ44" s="7"/>
      <c r="FA44" s="7"/>
      <c r="FB44" s="7"/>
      <c r="FC44" s="7"/>
    </row>
    <row r="45" spans="1:159" x14ac:dyDescent="0.15">
      <c r="A45" s="95"/>
      <c r="B45" s="93"/>
      <c r="C45" s="268" t="s">
        <v>13</v>
      </c>
      <c r="D45" s="268"/>
      <c r="E45" s="268"/>
      <c r="F45" s="268"/>
      <c r="G45" s="93"/>
      <c r="H45" s="93"/>
      <c r="I45" s="93"/>
      <c r="J45" s="93"/>
      <c r="K45" s="93"/>
      <c r="L45" s="93"/>
      <c r="M45" s="268" t="s">
        <v>42</v>
      </c>
      <c r="N45" s="268"/>
      <c r="O45" s="268"/>
      <c r="P45" s="268"/>
      <c r="Q45" s="93"/>
      <c r="R45" s="93"/>
      <c r="S45" s="93"/>
      <c r="T45" s="93"/>
      <c r="U45" s="93"/>
      <c r="V45" s="93"/>
      <c r="W45" s="93"/>
      <c r="X45" s="93"/>
      <c r="Y45" s="93"/>
      <c r="Z45" s="93"/>
      <c r="AA45" s="93"/>
      <c r="AB45" s="93"/>
      <c r="AC45" s="93"/>
      <c r="AD45" s="93"/>
      <c r="AE45" s="93"/>
      <c r="AF45" s="93"/>
      <c r="AG45" s="93"/>
      <c r="AH45" s="93"/>
      <c r="AI45" s="98"/>
      <c r="AJ45" s="98"/>
      <c r="AK45" s="98"/>
      <c r="AL45" s="99"/>
      <c r="EV45" s="7"/>
      <c r="EW45" s="7"/>
      <c r="EX45" s="7"/>
      <c r="EY45" s="7"/>
      <c r="EZ45" s="7"/>
      <c r="FA45" s="7"/>
      <c r="FB45" s="7"/>
      <c r="FC45" s="7"/>
    </row>
    <row r="46" spans="1:159" ht="17" customHeight="1" thickBot="1" x14ac:dyDescent="0.2">
      <c r="A46" s="269" t="s">
        <v>23</v>
      </c>
      <c r="B46" s="270"/>
      <c r="C46" s="117" t="s">
        <v>24</v>
      </c>
      <c r="D46" s="117" t="s">
        <v>25</v>
      </c>
      <c r="E46" s="117" t="s">
        <v>26</v>
      </c>
      <c r="F46" s="117" t="s">
        <v>38</v>
      </c>
      <c r="G46" s="117" t="s">
        <v>5</v>
      </c>
      <c r="H46" s="117" t="s">
        <v>22</v>
      </c>
      <c r="I46" s="117" t="s">
        <v>0</v>
      </c>
      <c r="J46" s="117" t="s">
        <v>39</v>
      </c>
      <c r="K46" s="117" t="s">
        <v>40</v>
      </c>
      <c r="L46" s="117" t="s">
        <v>41</v>
      </c>
      <c r="M46" s="117" t="s">
        <v>24</v>
      </c>
      <c r="N46" s="117" t="s">
        <v>25</v>
      </c>
      <c r="O46" s="117" t="s">
        <v>26</v>
      </c>
      <c r="P46" s="117" t="s">
        <v>38</v>
      </c>
      <c r="Q46" s="117" t="s">
        <v>23</v>
      </c>
      <c r="R46" s="117" t="s">
        <v>24</v>
      </c>
      <c r="S46" s="117" t="s">
        <v>23</v>
      </c>
      <c r="T46" s="117" t="s">
        <v>24</v>
      </c>
      <c r="U46" s="117" t="s">
        <v>23</v>
      </c>
      <c r="V46" s="117" t="s">
        <v>24</v>
      </c>
      <c r="W46" s="117" t="s">
        <v>23</v>
      </c>
      <c r="X46" s="117" t="s">
        <v>24</v>
      </c>
      <c r="Y46" s="117" t="s">
        <v>23</v>
      </c>
      <c r="Z46" s="117" t="s">
        <v>24</v>
      </c>
      <c r="AA46" s="117" t="s">
        <v>23</v>
      </c>
      <c r="AB46" s="117" t="s">
        <v>24</v>
      </c>
      <c r="AC46" s="117" t="s">
        <v>23</v>
      </c>
      <c r="AD46" s="117" t="s">
        <v>24</v>
      </c>
      <c r="AE46" s="117" t="s">
        <v>24</v>
      </c>
      <c r="AF46" s="117" t="s">
        <v>25</v>
      </c>
      <c r="AG46" s="117" t="s">
        <v>26</v>
      </c>
      <c r="AH46" s="117" t="s">
        <v>38</v>
      </c>
      <c r="AI46" s="283" t="s">
        <v>38</v>
      </c>
      <c r="AJ46" s="283"/>
      <c r="AK46" s="257" t="s">
        <v>38</v>
      </c>
      <c r="AL46" s="258"/>
      <c r="EV46" s="7"/>
      <c r="EW46" s="7"/>
      <c r="EX46" s="7"/>
      <c r="EY46" s="7"/>
      <c r="EZ46" s="7"/>
      <c r="FA46" s="7"/>
      <c r="FB46" s="7"/>
      <c r="FC46" s="7"/>
    </row>
    <row r="47" spans="1:159" x14ac:dyDescent="0.15">
      <c r="A47" s="253" t="s">
        <v>27</v>
      </c>
      <c r="B47" s="171" t="e">
        <f>bdRateROI($CL5:$CL63,CM5:CM63,$DZ5:$DZ63,EA5:EA63,CJ11,CJ6,1, 0, TRUE)</f>
        <v>#VALUE!</v>
      </c>
      <c r="C47" s="171" t="e">
        <f t="shared" ref="C47:H47" si="3">bdRateExtend($CL5:$CL63,CN5:CN63,$DZ5:$DZ63,EB5:EB63, "None", FALSE, 0, TRUE)</f>
        <v>#VALUE!</v>
      </c>
      <c r="D47" s="171" t="e">
        <f t="shared" si="3"/>
        <v>#VALUE!</v>
      </c>
      <c r="E47" s="171" t="e">
        <f t="shared" si="3"/>
        <v>#VALUE!</v>
      </c>
      <c r="F47" s="171" t="e">
        <f t="shared" si="3"/>
        <v>#VALUE!</v>
      </c>
      <c r="G47" s="171" t="e">
        <f t="shared" si="3"/>
        <v>#VALUE!</v>
      </c>
      <c r="H47" s="171" t="e">
        <f t="shared" si="3"/>
        <v>#VALUE!</v>
      </c>
      <c r="I47" s="171" t="e">
        <f>bdRateExtend($CL5:$CL63,CT5:CT63,$DZ5:$DZ63,EH5:EH63,"None", FALSE,2,TRUE)</f>
        <v>#VALUE!</v>
      </c>
      <c r="J47" s="171" t="e">
        <f>bdRateExtend($CL5:$CL63,CU5:CU63,$DZ5:$DZ63,EI5:EI63,"None", FALSE,2,TRUE)</f>
        <v>#VALUE!</v>
      </c>
      <c r="K47" s="171" t="e">
        <f t="shared" ref="K47:P47" si="4">bdRateExtend($CL5:$CL63,CV5:CV63,$DZ5:$DZ63,EJ5:EJ63, "None", FALSE, 0, TRUE)</f>
        <v>#VALUE!</v>
      </c>
      <c r="L47" s="171" t="e">
        <f t="shared" si="4"/>
        <v>#VALUE!</v>
      </c>
      <c r="M47" s="171" t="e">
        <f t="shared" si="4"/>
        <v>#VALUE!</v>
      </c>
      <c r="N47" s="171" t="e">
        <f t="shared" si="4"/>
        <v>#VALUE!</v>
      </c>
      <c r="O47" s="171" t="e">
        <f t="shared" si="4"/>
        <v>#VALUE!</v>
      </c>
      <c r="P47" s="171" t="e">
        <f t="shared" si="4"/>
        <v>#VALUE!</v>
      </c>
      <c r="Q47" s="171" t="e">
        <f>bdRateROI($DE5:$DE63,DF5:DF63,$ER5:$ER63,ES5:ES63,CJ11,CJ6,1, 0, TRUE)</f>
        <v>#VALUE!</v>
      </c>
      <c r="R47" s="171" t="e">
        <f>bdRateExtend($DE5:$DE63,DF5:DF63,$ER5:$ER63,ES5:ES63, "None", FALSE, 0, TRUE)</f>
        <v>#VALUE!</v>
      </c>
      <c r="S47" s="171" t="e">
        <f>bdRateROI($DH5:$DH63,DI5:DI63,$ET5:$ET63,EU5:EU63,CJ11,CJ6,1, 0, TRUE)</f>
        <v>#VALUE!</v>
      </c>
      <c r="T47" s="171" t="e">
        <f>bdRateExtend($DH5:$DH63,DI5:DI63,$ET5:$ET63,EU5:EU63, "None", FALSE, 0, TRUE)</f>
        <v>#VALUE!</v>
      </c>
      <c r="U47" s="171" t="e">
        <f>bdRateROI($DK5:$DK63,DL5:DL63,$EV5:$EV63,EW5:EW63,$CJ11,$CJ6,1,2,TRUE)</f>
        <v>#VALUE!</v>
      </c>
      <c r="V47" s="171" t="e">
        <f>bdRateExtend($DK5:$DK63,DL5:DL63,$EV5:$EV63,EW5:EW63,"None", FALSE,2,TRUE)</f>
        <v>#VALUE!</v>
      </c>
      <c r="W47" s="171" t="e">
        <f>bdRateROI(DM5:DM63,DN5:DN63,EX5:EX63,EY5:EY63,$CJ11,$CJ6,1,2,TRUE)</f>
        <v>#VALUE!</v>
      </c>
      <c r="X47" s="171" t="e">
        <f>bdRateExtend(DM5:DM63,DN5:DN63,EX5:EX63,EY5:EY63,"None", FALSE,2,TRUE)</f>
        <v>#VALUE!</v>
      </c>
      <c r="Y47" s="171" t="e">
        <f>bdRateROI(DO5:DO63,DP5:DP63,EZ5:EZ63,FA5:FA63,$CJ11,$CJ6,1, 0, TRUE)</f>
        <v>#VALUE!</v>
      </c>
      <c r="Z47" s="171" t="e">
        <f>bdRateExtend(DO5:DO63,DP5:DP63,EZ5:EZ63,FA5:FA63, "None", FALSE, 0, TRUE)</f>
        <v>#VALUE!</v>
      </c>
      <c r="AA47" s="171" t="e">
        <f>bdRateROI(DQ5:DQ63,DR5:DR63,FB5:FB63,FC5:FC63,$CJ11,$CJ6,1, 0, TRUE)</f>
        <v>#VALUE!</v>
      </c>
      <c r="AB47" s="171" t="e">
        <f>bdRateExtend(DQ5:DQ63,DR5:DR63,FB5:FB63,FC5:FC63, "None", FALSE, 0, TRUE)</f>
        <v>#VALUE!</v>
      </c>
      <c r="AC47" s="171" t="e">
        <f>bdRateROI(DS5:DS63,DT5:DT63,FD5:FD63,FE5:FE63,$CJ11,$CJ6,1, 0, TRUE)</f>
        <v>#VALUE!</v>
      </c>
      <c r="AD47" s="171" t="e">
        <f>bdRateExtend(DS5:DS63,DT5:DT63,FD5:FD63,FE5:FE63, "None", FALSE, 0, TRUE)</f>
        <v>#VALUE!</v>
      </c>
      <c r="AE47" s="171" t="e">
        <f>bdRateExtend($DS5:$DS63,DU5:DU63,$FD5:$FD63,FF5:FF63, "None", FALSE, 0, TRUE)</f>
        <v>#VALUE!</v>
      </c>
      <c r="AF47" s="171" t="e">
        <f>bdRateExtend($DS5:$DS63,DV5:DV63,$FD5:$FD63,FG5:FG63, "None", FALSE, 0, TRUE)</f>
        <v>#VALUE!</v>
      </c>
      <c r="AG47" s="171" t="e">
        <f>bdRateExtend($DS5:$DS63,DW5:DW63,$FD5:$FD63,FH5:FH63, "None", FALSE, 0, TRUE)</f>
        <v>#VALUE!</v>
      </c>
      <c r="AH47" s="171" t="e">
        <f>bdRateExtend($DS5:$DS63,DX5:DX63,$FD5:$FD63,FI5:FI63, "None", FALSE, 0, TRUE)</f>
        <v>#VALUE!</v>
      </c>
      <c r="AI47" s="171" t="e">
        <f>bdRateROI($FK5:$FK63,FL5:FL63,$FP5:$FP63,FQ5:FQ63,$CJ11,$CJ6,1, 0, TRUE)</f>
        <v>#VALUE!</v>
      </c>
      <c r="AJ47" s="171" t="e">
        <f>bdRateExtend($FK5:$FK63,FL5:FL63,$FP5:$FP63,FQ5:FQ63, "None", FALSE, 0, TRUE)</f>
        <v>#VALUE!</v>
      </c>
      <c r="AK47" s="171" t="e">
        <f>bdRateROI($FM5:$FM63,FN5:FN63,$FR5:$FR63,FS5:FS63,$CJ11,$CJ6,1, 0, TRUE)</f>
        <v>#VALUE!</v>
      </c>
      <c r="AL47" s="174" t="e">
        <f>bdRateExtend($FM5:$FM63,FN5:FN63,$FR5:$FR63,FS5:FS63, "None", FALSE, 0, TRUE)</f>
        <v>#VALUE!</v>
      </c>
      <c r="EV47" s="7"/>
      <c r="EW47" s="7"/>
      <c r="EX47" s="7"/>
      <c r="EY47" s="7"/>
      <c r="EZ47" s="7"/>
      <c r="FA47" s="7"/>
      <c r="FB47" s="7"/>
      <c r="FC47" s="7"/>
    </row>
    <row r="48" spans="1:159" x14ac:dyDescent="0.15">
      <c r="A48" s="254"/>
      <c r="B48" s="172"/>
      <c r="C48" s="172"/>
      <c r="D48" s="172"/>
      <c r="E48" s="172"/>
      <c r="F48" s="172"/>
      <c r="G48" s="172"/>
      <c r="H48" s="172"/>
      <c r="I48" s="172"/>
      <c r="J48" s="172"/>
      <c r="K48" s="172"/>
      <c r="L48" s="172"/>
      <c r="M48" s="172"/>
      <c r="N48" s="172"/>
      <c r="O48" s="172"/>
      <c r="P48" s="172"/>
      <c r="Q48" s="172"/>
      <c r="R48" s="172"/>
      <c r="S48" s="172"/>
      <c r="T48" s="172"/>
      <c r="U48" s="172"/>
      <c r="V48" s="172"/>
      <c r="W48" s="172"/>
      <c r="X48" s="172"/>
      <c r="Y48" s="172"/>
      <c r="Z48" s="172"/>
      <c r="AA48" s="172"/>
      <c r="AB48" s="172"/>
      <c r="AC48" s="172"/>
      <c r="AD48" s="172"/>
      <c r="AE48" s="172"/>
      <c r="AF48" s="172"/>
      <c r="AG48" s="172"/>
      <c r="AH48" s="172"/>
      <c r="AI48" s="172"/>
      <c r="AJ48" s="172"/>
      <c r="AK48" s="172"/>
      <c r="AL48" s="175"/>
      <c r="EV48" s="7"/>
      <c r="EW48" s="7"/>
      <c r="EX48" s="7"/>
      <c r="EY48" s="7"/>
      <c r="EZ48" s="7"/>
      <c r="FA48" s="7"/>
      <c r="FB48" s="7"/>
      <c r="FC48" s="7"/>
    </row>
    <row r="49" spans="1:159" x14ac:dyDescent="0.15">
      <c r="A49" s="254" t="s">
        <v>28</v>
      </c>
      <c r="B49" s="172" t="e">
        <f>bdRateROI($CL5:$CL63,CM5:CM63,$DZ5:$DZ63,EA5:EA63,CJ10,CJ11,1, 0, TRUE)</f>
        <v>#VALUE!</v>
      </c>
      <c r="C49" s="172"/>
      <c r="D49" s="172"/>
      <c r="E49" s="172"/>
      <c r="F49" s="172"/>
      <c r="G49" s="172"/>
      <c r="H49" s="172"/>
      <c r="I49" s="172"/>
      <c r="J49" s="172"/>
      <c r="K49" s="172"/>
      <c r="L49" s="172"/>
      <c r="M49" s="172"/>
      <c r="N49" s="172"/>
      <c r="O49" s="172"/>
      <c r="P49" s="172"/>
      <c r="Q49" s="172" t="e">
        <f>bdRateROI($DE5:$DE63,DF5:DF63,$ER5:$ER63,ES5:ES63,CJ10,CJ11,1, 0, TRUE)</f>
        <v>#VALUE!</v>
      </c>
      <c r="R49" s="172"/>
      <c r="S49" s="172" t="e">
        <f>bdRateROI($DH5:$DH63,DI5:DI63,$ET5:$ET63,EU5:EU63,CJ10,CJ11,1, 0, TRUE)</f>
        <v>#VALUE!</v>
      </c>
      <c r="T49" s="172"/>
      <c r="U49" s="172" t="e">
        <f>bdRateROI($DK5:$DK63,DL5:DL63,$EV5:$EV63,EW5:EW63,$CJ$10,$CJ$11,1,2,TRUE)</f>
        <v>#VALUE!</v>
      </c>
      <c r="V49" s="172"/>
      <c r="W49" s="172" t="e">
        <f>bdRateROI(DM5:DM63,DN5:DN63,EX5:EX63,EY5:EY63,$CJ$10,$CJ$11,1,2,TRUE)</f>
        <v>#VALUE!</v>
      </c>
      <c r="X49" s="172"/>
      <c r="Y49" s="172" t="e">
        <f>bdRateROI(DO5:DO63,DP5:DP63,EZ5:EZ63,FA5:FA63,$CJ$10,$CJ$11,1, 0, TRUE)</f>
        <v>#VALUE!</v>
      </c>
      <c r="Z49" s="172"/>
      <c r="AA49" s="172" t="e">
        <f>bdRateROI(DQ5:DQ63,DR5:DR63,FB5:FB63,FC5:FC63,$CJ$10,$CJ$11,1, 0, TRUE)</f>
        <v>#VALUE!</v>
      </c>
      <c r="AB49" s="172"/>
      <c r="AC49" s="172" t="e">
        <f>bdRateROI(DS5:DS63,DT5:DT63,FD5:FD63,FE5:FE63,$CJ$10,$CJ$11,1, 0, TRUE)</f>
        <v>#VALUE!</v>
      </c>
      <c r="AD49" s="172"/>
      <c r="AE49" s="172"/>
      <c r="AF49" s="172"/>
      <c r="AG49" s="172"/>
      <c r="AH49" s="172"/>
      <c r="AI49" s="172" t="e">
        <f>bdRateROI($FK5:$FK63,FL5:FL63,$FP5:$FP63,FQ5:FQ63,$CJ$10,$CJ$11,1, 0, TRUE)</f>
        <v>#VALUE!</v>
      </c>
      <c r="AJ49" s="172"/>
      <c r="AK49" s="172" t="e">
        <f>bdRateROI($FM5:$FM63,FN5:FN63,$FR5:$FR63,FS5:FS63,$CJ$10,$CJ$11,1, 0, TRUE)</f>
        <v>#VALUE!</v>
      </c>
      <c r="AL49" s="175"/>
      <c r="EV49" s="7"/>
      <c r="EW49" s="7"/>
      <c r="EX49" s="7"/>
      <c r="EY49" s="7"/>
      <c r="EZ49" s="7"/>
      <c r="FA49" s="7"/>
      <c r="FB49" s="7"/>
      <c r="FC49" s="7"/>
    </row>
    <row r="50" spans="1:159" x14ac:dyDescent="0.15">
      <c r="A50" s="254"/>
      <c r="B50" s="172"/>
      <c r="C50" s="172"/>
      <c r="D50" s="172"/>
      <c r="E50" s="172"/>
      <c r="F50" s="172"/>
      <c r="G50" s="172"/>
      <c r="H50" s="172"/>
      <c r="I50" s="172"/>
      <c r="J50" s="172"/>
      <c r="K50" s="172"/>
      <c r="L50" s="172"/>
      <c r="M50" s="172"/>
      <c r="N50" s="172"/>
      <c r="O50" s="172"/>
      <c r="P50" s="172"/>
      <c r="Q50" s="172"/>
      <c r="R50" s="172"/>
      <c r="S50" s="172"/>
      <c r="T50" s="172"/>
      <c r="U50" s="172"/>
      <c r="V50" s="172"/>
      <c r="W50" s="172"/>
      <c r="X50" s="172"/>
      <c r="Y50" s="172"/>
      <c r="Z50" s="172"/>
      <c r="AA50" s="172"/>
      <c r="AB50" s="172"/>
      <c r="AC50" s="172"/>
      <c r="AD50" s="172"/>
      <c r="AE50" s="172"/>
      <c r="AF50" s="172"/>
      <c r="AG50" s="172"/>
      <c r="AH50" s="172"/>
      <c r="AI50" s="172"/>
      <c r="AJ50" s="172"/>
      <c r="AK50" s="172"/>
      <c r="AL50" s="175"/>
      <c r="EV50" s="7"/>
      <c r="EW50" s="7"/>
      <c r="EX50" s="7"/>
      <c r="EY50" s="7"/>
      <c r="EZ50" s="7"/>
      <c r="FA50" s="7"/>
      <c r="FB50" s="7"/>
      <c r="FC50" s="7"/>
    </row>
    <row r="51" spans="1:159" x14ac:dyDescent="0.15">
      <c r="A51" s="254" t="s">
        <v>29</v>
      </c>
      <c r="B51" s="172" t="e">
        <f>bdRateROI($CL5:$CL63,CM5:CM63,$DZ5:$DZ63,EA5:EA63,CJ5,CJ10,1, 0, TRUE)</f>
        <v>#VALUE!</v>
      </c>
      <c r="C51" s="172"/>
      <c r="D51" s="172"/>
      <c r="E51" s="172"/>
      <c r="F51" s="172"/>
      <c r="G51" s="172"/>
      <c r="H51" s="172"/>
      <c r="I51" s="172"/>
      <c r="J51" s="172"/>
      <c r="K51" s="172"/>
      <c r="L51" s="172"/>
      <c r="M51" s="172"/>
      <c r="N51" s="172"/>
      <c r="O51" s="172"/>
      <c r="P51" s="172"/>
      <c r="Q51" s="172" t="e">
        <f>bdRateROI($DE5:$DE63,DF5:DF63,$ER5:$ER63,ES5:ES63,CJ5,CJ10,1, 0, TRUE)</f>
        <v>#VALUE!</v>
      </c>
      <c r="R51" s="172"/>
      <c r="S51" s="172" t="e">
        <f>bdRateROI($DH5:$DH63,DI5:DI63,$ET5:$ET63,EU5:EU63,CJ5,CJ10,1, 0, TRUE)</f>
        <v>#VALUE!</v>
      </c>
      <c r="T51" s="172"/>
      <c r="U51" s="172" t="e">
        <f>bdRateROI($DK5:$DK63,DL5:DL63,$EV5:$EV63,EW5:EW63,$CJ$5,$CJ$10,1,2,TRUE)</f>
        <v>#VALUE!</v>
      </c>
      <c r="V51" s="172"/>
      <c r="W51" s="172" t="e">
        <f>bdRateROI(DM5:DM63,DN5:DN63,EX5:EX63,EY5:EY63,$CJ$5,$CJ$10,1,2,TRUE)</f>
        <v>#VALUE!</v>
      </c>
      <c r="X51" s="172"/>
      <c r="Y51" s="172" t="e">
        <f>bdRateROI(DO5:DO63,DP5:DP63,EZ5:EZ63,FA5:FA63,$CJ$5,$CJ$10,1, 0, TRUE)</f>
        <v>#VALUE!</v>
      </c>
      <c r="Z51" s="172"/>
      <c r="AA51" s="172" t="e">
        <f>bdRateROI(DQ5:DQ63,DR5:DR63,FB5:FB63,FC5:FC63,$CJ$5,$CJ$10,1, 0, TRUE)</f>
        <v>#VALUE!</v>
      </c>
      <c r="AB51" s="172"/>
      <c r="AC51" s="172" t="e">
        <f>bdRateROI(DS5:DS63,DT5:DT63,FD5:FD63,FE5:FE63,$CJ$5,$CJ$10,1, 0, TRUE)</f>
        <v>#VALUE!</v>
      </c>
      <c r="AD51" s="172"/>
      <c r="AE51" s="172"/>
      <c r="AF51" s="172"/>
      <c r="AG51" s="172"/>
      <c r="AH51" s="172"/>
      <c r="AI51" s="172" t="e">
        <f>bdRateROI($FK5:$FK63,FL5:FL63,$FP5:$FP63,FQ5:FQ63,$CJ$5,$CJ$10,1, 0, TRUE)</f>
        <v>#VALUE!</v>
      </c>
      <c r="AJ51" s="172"/>
      <c r="AK51" s="172" t="e">
        <f>bdRateROI($FM5:$FM63,FN5:FN63,$FR5:$FR63,FS5:FS63,$CJ$5,$CJ$10,1, 0, TRUE)</f>
        <v>#VALUE!</v>
      </c>
      <c r="AL51" s="175"/>
      <c r="EV51" s="7"/>
      <c r="EW51" s="7"/>
      <c r="EX51" s="7"/>
      <c r="EY51" s="7"/>
      <c r="EZ51" s="7"/>
      <c r="FA51" s="7"/>
      <c r="FB51" s="7"/>
      <c r="FC51" s="7"/>
    </row>
    <row r="52" spans="1:159" ht="14" thickBot="1" x14ac:dyDescent="0.2">
      <c r="A52" s="263"/>
      <c r="B52" s="173"/>
      <c r="C52" s="173"/>
      <c r="D52" s="173"/>
      <c r="E52" s="173"/>
      <c r="F52" s="173"/>
      <c r="G52" s="173"/>
      <c r="H52" s="173"/>
      <c r="I52" s="173"/>
      <c r="J52" s="173"/>
      <c r="K52" s="173"/>
      <c r="L52" s="173"/>
      <c r="M52" s="173"/>
      <c r="N52" s="173"/>
      <c r="O52" s="173"/>
      <c r="P52" s="173"/>
      <c r="Q52" s="173"/>
      <c r="R52" s="173"/>
      <c r="S52" s="173"/>
      <c r="T52" s="173"/>
      <c r="U52" s="173"/>
      <c r="V52" s="173"/>
      <c r="W52" s="173"/>
      <c r="X52" s="173"/>
      <c r="Y52" s="173"/>
      <c r="Z52" s="173"/>
      <c r="AA52" s="173"/>
      <c r="AB52" s="173"/>
      <c r="AC52" s="173"/>
      <c r="AD52" s="173"/>
      <c r="AE52" s="173"/>
      <c r="AF52" s="173"/>
      <c r="AG52" s="173"/>
      <c r="AH52" s="173"/>
      <c r="AI52" s="173"/>
      <c r="AJ52" s="173"/>
      <c r="AK52" s="173"/>
      <c r="AL52" s="188"/>
      <c r="EV52" s="7"/>
      <c r="EW52" s="7"/>
      <c r="EX52" s="7"/>
      <c r="EY52" s="7"/>
      <c r="EZ52" s="7"/>
      <c r="FA52" s="7"/>
      <c r="FB52" s="7"/>
      <c r="FC52" s="7"/>
    </row>
    <row r="53" spans="1:159" x14ac:dyDescent="0.15">
      <c r="EV53" s="7"/>
      <c r="EW53" s="7"/>
      <c r="EX53" s="7"/>
      <c r="EY53" s="7"/>
      <c r="EZ53" s="7"/>
      <c r="FA53" s="7"/>
      <c r="FB53" s="7"/>
      <c r="FC53" s="7"/>
    </row>
    <row r="54" spans="1:159" x14ac:dyDescent="0.15">
      <c r="AP54" s="9"/>
      <c r="EV54" s="7"/>
      <c r="EW54" s="7"/>
      <c r="EX54" s="7"/>
      <c r="EY54" s="7"/>
      <c r="EZ54" s="7"/>
      <c r="FA54" s="7"/>
      <c r="FB54" s="7"/>
      <c r="FC54" s="7"/>
    </row>
    <row r="55" spans="1:159" x14ac:dyDescent="0.15">
      <c r="AP55" s="9"/>
      <c r="EV55" s="7"/>
      <c r="EW55" s="7"/>
      <c r="EX55" s="7"/>
      <c r="EY55" s="7"/>
      <c r="EZ55" s="7"/>
      <c r="FA55" s="7"/>
      <c r="FB55" s="7"/>
      <c r="FC55" s="7"/>
    </row>
    <row r="56" spans="1:159" x14ac:dyDescent="0.15">
      <c r="C56" s="1">
        <f>COUNTIFS(C5:C40, "&lt;&gt;",C5:C40, "&lt;&gt;0")</f>
        <v>0</v>
      </c>
      <c r="U56" s="1">
        <f>COUNTIFS(U5:U40, "&lt;&gt;",U5:U40, "&lt;&gt;0")</f>
        <v>0</v>
      </c>
      <c r="AM56" s="1" t="e">
        <f>U56/C56</f>
        <v>#DIV/0!</v>
      </c>
      <c r="EV56" s="7"/>
      <c r="EW56" s="7"/>
      <c r="EX56" s="7"/>
      <c r="EY56" s="7"/>
      <c r="EZ56" s="7"/>
      <c r="FA56" s="7"/>
      <c r="FB56" s="7"/>
      <c r="FC56" s="7"/>
    </row>
    <row r="57" spans="1:159" x14ac:dyDescent="0.15">
      <c r="R57" s="1" t="e">
        <f>GEOMEAN(R5:R40)</f>
        <v>#NUM!</v>
      </c>
      <c r="S57" s="1" t="e">
        <f>GEOMEAN(S5:S40)</f>
        <v>#NUM!</v>
      </c>
      <c r="AJ57" s="1" t="e">
        <f>GEOMEAN(AJ5:AJ40)</f>
        <v>#NUM!</v>
      </c>
      <c r="AK57" s="1" t="e">
        <f>GEOMEAN(AK5:AK40)</f>
        <v>#NUM!</v>
      </c>
      <c r="AL57" s="1" t="e">
        <f>GEOMEAN(AL5:AL40)</f>
        <v>#DIV/0!</v>
      </c>
      <c r="AM57" s="1" t="e">
        <f>GEOMEAN(AM5:AM40)</f>
        <v>#DIV/0!</v>
      </c>
      <c r="EV57" s="7"/>
      <c r="EW57" s="7"/>
      <c r="EX57" s="7"/>
      <c r="EY57" s="7"/>
      <c r="EZ57" s="7"/>
      <c r="FA57" s="7"/>
      <c r="FB57" s="7"/>
      <c r="FC57" s="7"/>
    </row>
    <row r="58" spans="1:159" x14ac:dyDescent="0.15">
      <c r="R58" s="1">
        <f>SUM(R5:R40)</f>
        <v>0</v>
      </c>
      <c r="S58" s="1">
        <f>SUM(S5:S40)</f>
        <v>0</v>
      </c>
      <c r="AJ58" s="1">
        <f>SUM(AJ5:AJ40)</f>
        <v>0</v>
      </c>
      <c r="AK58" s="1">
        <f>SUM(AK5:AK40)</f>
        <v>0</v>
      </c>
      <c r="AL58" s="1" t="e">
        <f>AVERAGE(AL5:AL40)</f>
        <v>#DIV/0!</v>
      </c>
      <c r="AM58" s="1" t="e">
        <f>AVERAGE(AM5:AM40)</f>
        <v>#DIV/0!</v>
      </c>
      <c r="EV58" s="7"/>
      <c r="EW58" s="7"/>
      <c r="EX58" s="7"/>
      <c r="EY58" s="7"/>
      <c r="EZ58" s="7"/>
      <c r="FA58" s="7"/>
      <c r="FB58" s="7"/>
      <c r="FC58" s="7"/>
    </row>
    <row r="59" spans="1:159" x14ac:dyDescent="0.15">
      <c r="R59" s="1">
        <f>MAX(R5:R40)</f>
        <v>0</v>
      </c>
      <c r="S59" s="1">
        <f>MAX(S5:S40)</f>
        <v>0</v>
      </c>
      <c r="AJ59" s="1">
        <f>MAX(AJ5:AJ40)</f>
        <v>0</v>
      </c>
      <c r="AK59" s="1">
        <f>MAX(AK5:AK40)</f>
        <v>0</v>
      </c>
      <c r="AL59" s="1" t="e">
        <f>MAX(AL5:AL40)</f>
        <v>#DIV/0!</v>
      </c>
      <c r="AM59" s="1" t="e">
        <f>MAX(AM5:AM40)</f>
        <v>#DIV/0!</v>
      </c>
      <c r="EV59" s="7"/>
      <c r="EW59" s="7"/>
      <c r="EX59" s="7"/>
      <c r="EY59" s="7"/>
      <c r="EZ59" s="7"/>
      <c r="FA59" s="7"/>
      <c r="FB59" s="7"/>
      <c r="FC59" s="7"/>
    </row>
    <row r="60" spans="1:159" x14ac:dyDescent="0.15">
      <c r="R60" s="1">
        <f>MIN(R5:R40)</f>
        <v>0</v>
      </c>
      <c r="S60" s="1">
        <f>MIN(S5:S40)</f>
        <v>0</v>
      </c>
      <c r="AJ60" s="1">
        <f>MIN(AJ5:AJ40)</f>
        <v>0</v>
      </c>
      <c r="AK60" s="1">
        <f>MIN(AK5:AK40)</f>
        <v>0</v>
      </c>
      <c r="AL60" s="1" t="e">
        <f>MIN(AL5:AL40)</f>
        <v>#DIV/0!</v>
      </c>
      <c r="AM60" s="1" t="e">
        <f>MIN(AM5:AM40)</f>
        <v>#DIV/0!</v>
      </c>
      <c r="EV60" s="7"/>
      <c r="EW60" s="7"/>
      <c r="EX60" s="7"/>
      <c r="EY60" s="7"/>
      <c r="EZ60" s="7"/>
      <c r="FA60" s="7"/>
      <c r="FB60" s="7"/>
      <c r="FC60" s="7"/>
    </row>
    <row r="61" spans="1:159" x14ac:dyDescent="0.15">
      <c r="AJ61" s="1" t="e">
        <f>AJ57/R57</f>
        <v>#NUM!</v>
      </c>
      <c r="AK61" s="1" t="e">
        <f>AK57/S57</f>
        <v>#NUM!</v>
      </c>
      <c r="EV61" s="7"/>
      <c r="EW61" s="7"/>
      <c r="EX61" s="7"/>
      <c r="EY61" s="7"/>
      <c r="EZ61" s="7"/>
      <c r="FA61" s="7"/>
      <c r="FB61" s="7"/>
      <c r="FC61" s="7"/>
    </row>
    <row r="62" spans="1:159" x14ac:dyDescent="0.15">
      <c r="EV62" s="7"/>
      <c r="EW62" s="7"/>
      <c r="EX62" s="7"/>
      <c r="EY62" s="7"/>
      <c r="EZ62" s="7"/>
      <c r="FA62" s="7"/>
      <c r="FB62" s="7"/>
      <c r="FC62" s="7"/>
    </row>
    <row r="63" spans="1:159" x14ac:dyDescent="0.15">
      <c r="EV63" s="7"/>
      <c r="EW63" s="7"/>
      <c r="EX63" s="7"/>
      <c r="EY63" s="7"/>
      <c r="EZ63" s="7"/>
      <c r="FA63" s="7"/>
      <c r="FB63" s="7"/>
      <c r="FC63" s="7"/>
    </row>
    <row r="64" spans="1:159" x14ac:dyDescent="0.15">
      <c r="EV64" s="7"/>
      <c r="EW64" s="7"/>
      <c r="EX64" s="7"/>
      <c r="EY64" s="7"/>
      <c r="EZ64" s="7"/>
      <c r="FA64" s="7"/>
      <c r="FB64" s="7"/>
      <c r="FC64" s="7"/>
    </row>
    <row r="65" spans="152:159" x14ac:dyDescent="0.15">
      <c r="EV65" s="7"/>
      <c r="EW65" s="7"/>
      <c r="EX65" s="7"/>
      <c r="EY65" s="7"/>
      <c r="EZ65" s="7"/>
      <c r="FA65" s="7"/>
      <c r="FB65" s="7"/>
      <c r="FC65" s="7"/>
    </row>
    <row r="66" spans="152:159" x14ac:dyDescent="0.15">
      <c r="EV66" s="7"/>
      <c r="EW66" s="7"/>
      <c r="EX66" s="7"/>
      <c r="EY66" s="7"/>
      <c r="EZ66" s="7"/>
      <c r="FA66" s="7"/>
      <c r="FB66" s="7"/>
      <c r="FC66" s="7"/>
    </row>
    <row r="67" spans="152:159" x14ac:dyDescent="0.15">
      <c r="EV67" s="7"/>
      <c r="EW67" s="7"/>
      <c r="EX67" s="7"/>
      <c r="EY67" s="7"/>
      <c r="EZ67" s="7"/>
      <c r="FA67" s="7"/>
      <c r="FB67" s="7"/>
      <c r="FC67" s="7"/>
    </row>
    <row r="68" spans="152:159" x14ac:dyDescent="0.15">
      <c r="EV68" s="7"/>
      <c r="EW68" s="7"/>
      <c r="EX68" s="7"/>
      <c r="EY68" s="7"/>
      <c r="EZ68" s="7"/>
      <c r="FA68" s="7"/>
      <c r="FB68" s="7"/>
      <c r="FC68" s="7"/>
    </row>
    <row r="69" spans="152:159" x14ac:dyDescent="0.15">
      <c r="EV69" s="7"/>
      <c r="EW69" s="7"/>
      <c r="EX69" s="7"/>
      <c r="EY69" s="7"/>
      <c r="EZ69" s="7"/>
      <c r="FA69" s="7"/>
      <c r="FB69" s="7"/>
      <c r="FC69" s="7"/>
    </row>
    <row r="70" spans="152:159" x14ac:dyDescent="0.15">
      <c r="EV70" s="7"/>
      <c r="EW70" s="7"/>
      <c r="EX70" s="7"/>
      <c r="EY70" s="7"/>
      <c r="EZ70" s="7"/>
      <c r="FA70" s="7"/>
      <c r="FB70" s="7"/>
      <c r="FC70" s="7"/>
    </row>
    <row r="71" spans="152:159" x14ac:dyDescent="0.15">
      <c r="EV71" s="7"/>
      <c r="EW71" s="7"/>
      <c r="EX71" s="7"/>
      <c r="EY71" s="7"/>
      <c r="EZ71" s="7"/>
      <c r="FA71" s="7"/>
      <c r="FB71" s="7"/>
      <c r="FC71" s="7"/>
    </row>
    <row r="72" spans="152:159" x14ac:dyDescent="0.15">
      <c r="EV72" s="7"/>
      <c r="EW72" s="7"/>
      <c r="EX72" s="7"/>
      <c r="EY72" s="7"/>
      <c r="EZ72" s="7"/>
      <c r="FA72" s="7"/>
      <c r="FB72" s="7"/>
      <c r="FC72" s="7"/>
    </row>
    <row r="73" spans="152:159" x14ac:dyDescent="0.15">
      <c r="EV73" s="7"/>
      <c r="EW73" s="7"/>
      <c r="EX73" s="7"/>
      <c r="EY73" s="7"/>
      <c r="EZ73" s="7"/>
      <c r="FA73" s="7"/>
      <c r="FB73" s="7"/>
      <c r="FC73" s="7"/>
    </row>
    <row r="74" spans="152:159" x14ac:dyDescent="0.15">
      <c r="EV74" s="7"/>
      <c r="EW74" s="7"/>
      <c r="EX74" s="7"/>
      <c r="EY74" s="7"/>
      <c r="EZ74" s="7"/>
      <c r="FA74" s="7"/>
      <c r="FB74" s="7"/>
      <c r="FC74" s="7"/>
    </row>
    <row r="75" spans="152:159" x14ac:dyDescent="0.15">
      <c r="EV75" s="7"/>
      <c r="EW75" s="7"/>
      <c r="EX75" s="7"/>
      <c r="EY75" s="7"/>
      <c r="EZ75" s="7"/>
      <c r="FA75" s="7"/>
      <c r="FB75" s="7"/>
      <c r="FC75" s="7"/>
    </row>
    <row r="76" spans="152:159" x14ac:dyDescent="0.15">
      <c r="EV76" s="7"/>
      <c r="EW76" s="7"/>
      <c r="EX76" s="7"/>
      <c r="EY76" s="7"/>
      <c r="EZ76" s="7"/>
      <c r="FA76" s="7"/>
      <c r="FB76" s="7"/>
      <c r="FC76" s="7"/>
    </row>
    <row r="77" spans="152:159" x14ac:dyDescent="0.15">
      <c r="EV77" s="7"/>
      <c r="EW77" s="7"/>
      <c r="EX77" s="7"/>
      <c r="EY77" s="7"/>
      <c r="EZ77" s="7"/>
      <c r="FA77" s="7"/>
      <c r="FB77" s="7"/>
      <c r="FC77" s="7"/>
    </row>
    <row r="78" spans="152:159" x14ac:dyDescent="0.15">
      <c r="EV78" s="7"/>
      <c r="EW78" s="7"/>
      <c r="EX78" s="7"/>
      <c r="EY78" s="7"/>
      <c r="EZ78" s="7"/>
      <c r="FA78" s="7"/>
      <c r="FB78" s="7"/>
      <c r="FC78" s="7"/>
    </row>
    <row r="79" spans="152:159" x14ac:dyDescent="0.15">
      <c r="EV79" s="7"/>
      <c r="EW79" s="7"/>
      <c r="EX79" s="7"/>
      <c r="EY79" s="7"/>
      <c r="EZ79" s="7"/>
      <c r="FA79" s="7"/>
      <c r="FB79" s="7"/>
      <c r="FC79" s="7"/>
    </row>
    <row r="80" spans="152:159" x14ac:dyDescent="0.15">
      <c r="EV80" s="7"/>
      <c r="EW80" s="7"/>
      <c r="EX80" s="7"/>
      <c r="EY80" s="7"/>
      <c r="EZ80" s="7"/>
      <c r="FA80" s="7"/>
      <c r="FB80" s="7"/>
      <c r="FC80" s="7"/>
    </row>
    <row r="81" spans="152:159" x14ac:dyDescent="0.15">
      <c r="EV81" s="7"/>
      <c r="EW81" s="7"/>
      <c r="EX81" s="7"/>
      <c r="EY81" s="7"/>
      <c r="EZ81" s="7"/>
      <c r="FA81" s="7"/>
      <c r="FB81" s="7"/>
      <c r="FC81" s="7"/>
    </row>
    <row r="82" spans="152:159" x14ac:dyDescent="0.15">
      <c r="EV82" s="7"/>
      <c r="EW82" s="7"/>
      <c r="EX82" s="7"/>
      <c r="EY82" s="7"/>
      <c r="EZ82" s="7"/>
      <c r="FA82" s="7"/>
      <c r="FB82" s="7"/>
      <c r="FC82" s="7"/>
    </row>
    <row r="83" spans="152:159" x14ac:dyDescent="0.15">
      <c r="EV83" s="7"/>
      <c r="EW83" s="7"/>
      <c r="EX83" s="7"/>
      <c r="EY83" s="7"/>
      <c r="EZ83" s="7"/>
      <c r="FA83" s="7"/>
      <c r="FB83" s="7"/>
      <c r="FC83" s="7"/>
    </row>
    <row r="84" spans="152:159" x14ac:dyDescent="0.15">
      <c r="EV84" s="7"/>
      <c r="EW84" s="7"/>
      <c r="EX84" s="7"/>
      <c r="EY84" s="7"/>
      <c r="EZ84" s="7"/>
      <c r="FA84" s="7"/>
      <c r="FB84" s="7"/>
      <c r="FC84" s="7"/>
    </row>
    <row r="85" spans="152:159" x14ac:dyDescent="0.15">
      <c r="EV85" s="7"/>
      <c r="EW85" s="7"/>
      <c r="EX85" s="7"/>
      <c r="EY85" s="7"/>
      <c r="EZ85" s="7"/>
      <c r="FA85" s="7"/>
      <c r="FB85" s="7"/>
      <c r="FC85" s="7"/>
    </row>
    <row r="86" spans="152:159" x14ac:dyDescent="0.15">
      <c r="EV86" s="7"/>
      <c r="EW86" s="7"/>
      <c r="EX86" s="7"/>
      <c r="EY86" s="7"/>
      <c r="EZ86" s="7"/>
      <c r="FA86" s="7"/>
      <c r="FB86" s="7"/>
      <c r="FC86" s="7"/>
    </row>
    <row r="87" spans="152:159" x14ac:dyDescent="0.15">
      <c r="EV87" s="7"/>
      <c r="EW87" s="7"/>
      <c r="EX87" s="7"/>
      <c r="EY87" s="7"/>
      <c r="EZ87" s="7"/>
      <c r="FA87" s="7"/>
      <c r="FB87" s="7"/>
      <c r="FC87" s="7"/>
    </row>
    <row r="88" spans="152:159" x14ac:dyDescent="0.15">
      <c r="EV88" s="7"/>
      <c r="EW88" s="7"/>
      <c r="EX88" s="7"/>
      <c r="EY88" s="7"/>
      <c r="EZ88" s="7"/>
      <c r="FA88" s="7"/>
      <c r="FB88" s="7"/>
      <c r="FC88" s="7"/>
    </row>
    <row r="89" spans="152:159" x14ac:dyDescent="0.15">
      <c r="EV89" s="7"/>
      <c r="EW89" s="7"/>
      <c r="EX89" s="7"/>
      <c r="EY89" s="7"/>
      <c r="EZ89" s="7"/>
      <c r="FA89" s="7"/>
      <c r="FB89" s="7"/>
      <c r="FC89" s="7"/>
    </row>
    <row r="90" spans="152:159" x14ac:dyDescent="0.15">
      <c r="EV90" s="7"/>
      <c r="EW90" s="7"/>
      <c r="EX90" s="7"/>
      <c r="EY90" s="7"/>
      <c r="EZ90" s="7"/>
      <c r="FA90" s="7"/>
      <c r="FB90" s="7"/>
      <c r="FC90" s="7"/>
    </row>
    <row r="91" spans="152:159" x14ac:dyDescent="0.15">
      <c r="EV91" s="7"/>
      <c r="EW91" s="7"/>
      <c r="EX91" s="7"/>
      <c r="EY91" s="7"/>
      <c r="EZ91" s="7"/>
      <c r="FA91" s="7"/>
      <c r="FB91" s="7"/>
      <c r="FC91" s="7"/>
    </row>
    <row r="92" spans="152:159" x14ac:dyDescent="0.15">
      <c r="EV92" s="7"/>
      <c r="EW92" s="7"/>
      <c r="EX92" s="7"/>
      <c r="EY92" s="7"/>
      <c r="EZ92" s="7"/>
      <c r="FA92" s="7"/>
      <c r="FB92" s="7"/>
      <c r="FC92" s="7"/>
    </row>
    <row r="93" spans="152:159" x14ac:dyDescent="0.15">
      <c r="EV93" s="7"/>
      <c r="EW93" s="7"/>
      <c r="EX93" s="7"/>
      <c r="EY93" s="7"/>
      <c r="EZ93" s="7"/>
      <c r="FA93" s="7"/>
      <c r="FB93" s="7"/>
      <c r="FC93" s="7"/>
    </row>
    <row r="94" spans="152:159" x14ac:dyDescent="0.15">
      <c r="EV94" s="7"/>
      <c r="EW94" s="7"/>
      <c r="EX94" s="7"/>
      <c r="EY94" s="7"/>
      <c r="EZ94" s="7"/>
      <c r="FA94" s="7"/>
      <c r="FB94" s="7"/>
      <c r="FC94" s="7"/>
    </row>
    <row r="95" spans="152:159" x14ac:dyDescent="0.15">
      <c r="EV95" s="7"/>
      <c r="EW95" s="7"/>
      <c r="EX95" s="7"/>
      <c r="EY95" s="7"/>
      <c r="EZ95" s="7"/>
      <c r="FA95" s="7"/>
      <c r="FB95" s="7"/>
      <c r="FC95" s="7"/>
    </row>
    <row r="96" spans="152:159" x14ac:dyDescent="0.15">
      <c r="EV96" s="7"/>
      <c r="EW96" s="7"/>
      <c r="EX96" s="7"/>
      <c r="EY96" s="7"/>
      <c r="EZ96" s="7"/>
      <c r="FA96" s="7"/>
      <c r="FB96" s="7"/>
      <c r="FC96" s="7"/>
    </row>
    <row r="97" spans="152:159" x14ac:dyDescent="0.15">
      <c r="EV97" s="7"/>
      <c r="EW97" s="7"/>
      <c r="EX97" s="7"/>
      <c r="EY97" s="7"/>
      <c r="EZ97" s="7"/>
      <c r="FA97" s="7"/>
      <c r="FB97" s="7"/>
      <c r="FC97" s="7"/>
    </row>
    <row r="98" spans="152:159" x14ac:dyDescent="0.15">
      <c r="EV98" s="7"/>
      <c r="EW98" s="7"/>
      <c r="EX98" s="7"/>
      <c r="EY98" s="7"/>
      <c r="EZ98" s="7"/>
      <c r="FA98" s="7"/>
      <c r="FB98" s="7"/>
      <c r="FC98" s="7"/>
    </row>
    <row r="99" spans="152:159" x14ac:dyDescent="0.15">
      <c r="EV99" s="7"/>
      <c r="EW99" s="7"/>
      <c r="EX99" s="7"/>
      <c r="EY99" s="7"/>
      <c r="EZ99" s="7"/>
      <c r="FA99" s="7"/>
      <c r="FB99" s="7"/>
      <c r="FC99" s="7"/>
    </row>
    <row r="100" spans="152:159" x14ac:dyDescent="0.15">
      <c r="EV100" s="7"/>
      <c r="EW100" s="7"/>
      <c r="EX100" s="7"/>
      <c r="EY100" s="7"/>
      <c r="EZ100" s="7"/>
      <c r="FA100" s="7"/>
      <c r="FB100" s="7"/>
      <c r="FC100" s="7"/>
    </row>
    <row r="101" spans="152:159" x14ac:dyDescent="0.15">
      <c r="EV101" s="7"/>
      <c r="EW101" s="7"/>
      <c r="EX101" s="7"/>
      <c r="EY101" s="7"/>
      <c r="EZ101" s="7"/>
      <c r="FA101" s="7"/>
      <c r="FB101" s="7"/>
      <c r="FC101" s="7"/>
    </row>
    <row r="102" spans="152:159" x14ac:dyDescent="0.15">
      <c r="EV102" s="7"/>
      <c r="EW102" s="7"/>
      <c r="EX102" s="7"/>
      <c r="EY102" s="7"/>
      <c r="EZ102" s="7"/>
      <c r="FA102" s="7"/>
      <c r="FB102" s="7"/>
      <c r="FC102" s="7"/>
    </row>
    <row r="103" spans="152:159" x14ac:dyDescent="0.15">
      <c r="EV103" s="7"/>
      <c r="EW103" s="7"/>
      <c r="EX103" s="7"/>
      <c r="EY103" s="7"/>
      <c r="EZ103" s="7"/>
      <c r="FA103" s="7"/>
      <c r="FB103" s="7"/>
      <c r="FC103" s="7"/>
    </row>
    <row r="104" spans="152:159" x14ac:dyDescent="0.15">
      <c r="EV104" s="7"/>
      <c r="EW104" s="7"/>
      <c r="EX104" s="7"/>
      <c r="EY104" s="7"/>
      <c r="EZ104" s="7"/>
      <c r="FA104" s="7"/>
      <c r="FB104" s="7"/>
      <c r="FC104" s="7"/>
    </row>
    <row r="105" spans="152:159" x14ac:dyDescent="0.15">
      <c r="EV105" s="7"/>
      <c r="EW105" s="7"/>
      <c r="EX105" s="7"/>
      <c r="EY105" s="7"/>
      <c r="EZ105" s="7"/>
      <c r="FA105" s="7"/>
      <c r="FB105" s="7"/>
      <c r="FC105" s="7"/>
    </row>
    <row r="106" spans="152:159" x14ac:dyDescent="0.15">
      <c r="EV106" s="7"/>
      <c r="EW106" s="7"/>
      <c r="EX106" s="7"/>
      <c r="EY106" s="7"/>
      <c r="EZ106" s="7"/>
      <c r="FA106" s="7"/>
      <c r="FB106" s="7"/>
      <c r="FC106" s="7"/>
    </row>
    <row r="107" spans="152:159" x14ac:dyDescent="0.15">
      <c r="EV107" s="7"/>
      <c r="EW107" s="7"/>
      <c r="EX107" s="7"/>
      <c r="EY107" s="7"/>
      <c r="EZ107" s="7"/>
      <c r="FA107" s="7"/>
      <c r="FB107" s="7"/>
      <c r="FC107" s="7"/>
    </row>
    <row r="108" spans="152:159" x14ac:dyDescent="0.15">
      <c r="EV108" s="7"/>
      <c r="EW108" s="7"/>
      <c r="EX108" s="7"/>
      <c r="EY108" s="7"/>
      <c r="EZ108" s="7"/>
      <c r="FA108" s="7"/>
      <c r="FB108" s="7"/>
      <c r="FC108" s="7"/>
    </row>
    <row r="109" spans="152:159" x14ac:dyDescent="0.15">
      <c r="EV109" s="7"/>
      <c r="EW109" s="7"/>
      <c r="EX109" s="7"/>
      <c r="EY109" s="7"/>
      <c r="EZ109" s="7"/>
      <c r="FA109" s="7"/>
      <c r="FB109" s="7"/>
      <c r="FC109" s="7"/>
    </row>
    <row r="110" spans="152:159" x14ac:dyDescent="0.15">
      <c r="EV110" s="7"/>
      <c r="EW110" s="7"/>
      <c r="EX110" s="7"/>
      <c r="EY110" s="7"/>
      <c r="EZ110" s="7"/>
      <c r="FA110" s="7"/>
      <c r="FB110" s="7"/>
      <c r="FC110" s="7"/>
    </row>
    <row r="111" spans="152:159" x14ac:dyDescent="0.15">
      <c r="EV111" s="7"/>
      <c r="EW111" s="7"/>
      <c r="EX111" s="7"/>
      <c r="EY111" s="7"/>
      <c r="EZ111" s="7"/>
      <c r="FA111" s="7"/>
      <c r="FB111" s="7"/>
      <c r="FC111" s="7"/>
    </row>
    <row r="112" spans="152:159" x14ac:dyDescent="0.15">
      <c r="EV112" s="7"/>
      <c r="EW112" s="7"/>
      <c r="EX112" s="7"/>
      <c r="EY112" s="7"/>
      <c r="EZ112" s="7"/>
      <c r="FA112" s="7"/>
      <c r="FB112" s="7"/>
      <c r="FC112" s="7"/>
    </row>
    <row r="113" spans="152:159" x14ac:dyDescent="0.15">
      <c r="EV113" s="7"/>
      <c r="EW113" s="7"/>
      <c r="EX113" s="7"/>
      <c r="EY113" s="7"/>
      <c r="EZ113" s="7"/>
      <c r="FA113" s="7"/>
      <c r="FB113" s="7"/>
      <c r="FC113" s="7"/>
    </row>
    <row r="114" spans="152:159" x14ac:dyDescent="0.15">
      <c r="EV114" s="7"/>
      <c r="EW114" s="7"/>
      <c r="EX114" s="7"/>
      <c r="EY114" s="7"/>
      <c r="EZ114" s="7"/>
      <c r="FA114" s="7"/>
      <c r="FB114" s="7"/>
      <c r="FC114" s="7"/>
    </row>
    <row r="115" spans="152:159" x14ac:dyDescent="0.15">
      <c r="EV115" s="7"/>
      <c r="EW115" s="7"/>
      <c r="EX115" s="7"/>
      <c r="EY115" s="7"/>
      <c r="EZ115" s="7"/>
      <c r="FA115" s="7"/>
      <c r="FB115" s="7"/>
      <c r="FC115" s="7"/>
    </row>
    <row r="116" spans="152:159" x14ac:dyDescent="0.15">
      <c r="EV116" s="7"/>
      <c r="EW116" s="7"/>
      <c r="EX116" s="7"/>
      <c r="EY116" s="7"/>
      <c r="EZ116" s="7"/>
      <c r="FA116" s="7"/>
      <c r="FB116" s="7"/>
      <c r="FC116" s="7"/>
    </row>
    <row r="117" spans="152:159" x14ac:dyDescent="0.15">
      <c r="EV117" s="7"/>
      <c r="EW117" s="7"/>
      <c r="EX117" s="7"/>
      <c r="EY117" s="7"/>
      <c r="EZ117" s="7"/>
      <c r="FA117" s="7"/>
      <c r="FB117" s="7"/>
      <c r="FC117" s="7"/>
    </row>
    <row r="118" spans="152:159" x14ac:dyDescent="0.15">
      <c r="EV118" s="7"/>
      <c r="EW118" s="7"/>
      <c r="EX118" s="7"/>
      <c r="EY118" s="7"/>
      <c r="EZ118" s="7"/>
      <c r="FA118" s="7"/>
      <c r="FB118" s="7"/>
      <c r="FC118" s="7"/>
    </row>
    <row r="119" spans="152:159" x14ac:dyDescent="0.15">
      <c r="EV119" s="7"/>
      <c r="EW119" s="7"/>
      <c r="EX119" s="7"/>
      <c r="EY119" s="7"/>
      <c r="EZ119" s="7"/>
      <c r="FA119" s="7"/>
      <c r="FB119" s="7"/>
      <c r="FC119" s="7"/>
    </row>
    <row r="120" spans="152:159" x14ac:dyDescent="0.15">
      <c r="EV120" s="7"/>
      <c r="EW120" s="7"/>
      <c r="EX120" s="7"/>
      <c r="EY120" s="7"/>
      <c r="EZ120" s="7"/>
      <c r="FA120" s="7"/>
      <c r="FB120" s="7"/>
      <c r="FC120" s="7"/>
    </row>
    <row r="121" spans="152:159" x14ac:dyDescent="0.15">
      <c r="EV121" s="7"/>
      <c r="EW121" s="7"/>
      <c r="EX121" s="7"/>
      <c r="EY121" s="7"/>
      <c r="EZ121" s="7"/>
      <c r="FA121" s="7"/>
      <c r="FB121" s="7"/>
      <c r="FC121" s="7"/>
    </row>
    <row r="122" spans="152:159" x14ac:dyDescent="0.15">
      <c r="EV122" s="7"/>
      <c r="EW122" s="7"/>
      <c r="EX122" s="7"/>
      <c r="EY122" s="7"/>
      <c r="EZ122" s="7"/>
      <c r="FA122" s="7"/>
      <c r="FB122" s="7"/>
      <c r="FC122" s="7"/>
    </row>
    <row r="123" spans="152:159" x14ac:dyDescent="0.15">
      <c r="EV123" s="7"/>
      <c r="EW123" s="7"/>
      <c r="EX123" s="7"/>
      <c r="EY123" s="7"/>
      <c r="EZ123" s="7"/>
      <c r="FA123" s="7"/>
      <c r="FB123" s="7"/>
      <c r="FC123" s="7"/>
    </row>
    <row r="124" spans="152:159" x14ac:dyDescent="0.15">
      <c r="EV124" s="7"/>
      <c r="EW124" s="7"/>
      <c r="EX124" s="7"/>
      <c r="EY124" s="7"/>
      <c r="EZ124" s="7"/>
      <c r="FA124" s="7"/>
      <c r="FB124" s="7"/>
      <c r="FC124" s="7"/>
    </row>
    <row r="125" spans="152:159" x14ac:dyDescent="0.15">
      <c r="EV125" s="7"/>
      <c r="EW125" s="7"/>
      <c r="EX125" s="7"/>
      <c r="EY125" s="7"/>
      <c r="EZ125" s="7"/>
      <c r="FA125" s="7"/>
      <c r="FB125" s="7"/>
      <c r="FC125" s="7"/>
    </row>
    <row r="126" spans="152:159" x14ac:dyDescent="0.15">
      <c r="EV126" s="7"/>
      <c r="EW126" s="7"/>
      <c r="EX126" s="7"/>
      <c r="EY126" s="7"/>
      <c r="EZ126" s="7"/>
      <c r="FA126" s="7"/>
      <c r="FB126" s="7"/>
      <c r="FC126" s="7"/>
    </row>
    <row r="127" spans="152:159" x14ac:dyDescent="0.15">
      <c r="EV127" s="7"/>
      <c r="EW127" s="7"/>
      <c r="EX127" s="7"/>
      <c r="EY127" s="7"/>
      <c r="EZ127" s="7"/>
      <c r="FA127" s="7"/>
      <c r="FB127" s="7"/>
      <c r="FC127" s="7"/>
    </row>
    <row r="128" spans="152:159" x14ac:dyDescent="0.15">
      <c r="EV128" s="7"/>
      <c r="EW128" s="7"/>
      <c r="EX128" s="7"/>
      <c r="EY128" s="7"/>
      <c r="EZ128" s="7"/>
      <c r="FA128" s="7"/>
      <c r="FB128" s="7"/>
      <c r="FC128" s="7"/>
    </row>
    <row r="129" spans="152:159" x14ac:dyDescent="0.15">
      <c r="EV129" s="7"/>
      <c r="EW129" s="7"/>
      <c r="EX129" s="7"/>
      <c r="EY129" s="7"/>
      <c r="EZ129" s="7"/>
      <c r="FA129" s="7"/>
      <c r="FB129" s="7"/>
      <c r="FC129" s="7"/>
    </row>
    <row r="130" spans="152:159" x14ac:dyDescent="0.15">
      <c r="EV130" s="7"/>
      <c r="EW130" s="7"/>
      <c r="EX130" s="7"/>
      <c r="EY130" s="7"/>
      <c r="EZ130" s="7"/>
      <c r="FA130" s="7"/>
      <c r="FB130" s="7"/>
      <c r="FC130" s="7"/>
    </row>
    <row r="131" spans="152:159" x14ac:dyDescent="0.15">
      <c r="EV131" s="7"/>
      <c r="EW131" s="7"/>
      <c r="EX131" s="7"/>
      <c r="EY131" s="7"/>
      <c r="EZ131" s="7"/>
      <c r="FA131" s="7"/>
      <c r="FB131" s="7"/>
      <c r="FC131" s="7"/>
    </row>
    <row r="132" spans="152:159" x14ac:dyDescent="0.15">
      <c r="EV132" s="7"/>
      <c r="EW132" s="7"/>
      <c r="EX132" s="7"/>
      <c r="EY132" s="7"/>
      <c r="EZ132" s="7"/>
      <c r="FA132" s="7"/>
      <c r="FB132" s="7"/>
      <c r="FC132" s="7"/>
    </row>
    <row r="133" spans="152:159" x14ac:dyDescent="0.15">
      <c r="EV133" s="7"/>
      <c r="EW133" s="7"/>
      <c r="EX133" s="7"/>
      <c r="EY133" s="7"/>
      <c r="EZ133" s="7"/>
      <c r="FA133" s="7"/>
      <c r="FB133" s="7"/>
      <c r="FC133" s="7"/>
    </row>
    <row r="134" spans="152:159" x14ac:dyDescent="0.15">
      <c r="EV134" s="7"/>
      <c r="EW134" s="7"/>
      <c r="EX134" s="7"/>
      <c r="EY134" s="7"/>
      <c r="EZ134" s="7"/>
      <c r="FA134" s="7"/>
      <c r="FB134" s="7"/>
      <c r="FC134" s="7"/>
    </row>
    <row r="135" spans="152:159" x14ac:dyDescent="0.15">
      <c r="EV135" s="7"/>
      <c r="EW135" s="7"/>
      <c r="EX135" s="7"/>
      <c r="EY135" s="7"/>
      <c r="EZ135" s="7"/>
      <c r="FA135" s="7"/>
      <c r="FB135" s="7"/>
      <c r="FC135" s="7"/>
    </row>
    <row r="136" spans="152:159" x14ac:dyDescent="0.15">
      <c r="EV136" s="7"/>
      <c r="EW136" s="7"/>
      <c r="EX136" s="7"/>
      <c r="EY136" s="7"/>
      <c r="EZ136" s="7"/>
      <c r="FA136" s="7"/>
      <c r="FB136" s="7"/>
      <c r="FC136" s="7"/>
    </row>
    <row r="137" spans="152:159" x14ac:dyDescent="0.15">
      <c r="EV137" s="7"/>
      <c r="EW137" s="7"/>
      <c r="EX137" s="7"/>
      <c r="EY137" s="7"/>
      <c r="EZ137" s="7"/>
      <c r="FA137" s="7"/>
      <c r="FB137" s="7"/>
      <c r="FC137" s="7"/>
    </row>
    <row r="138" spans="152:159" x14ac:dyDescent="0.15">
      <c r="EV138" s="7"/>
      <c r="EW138" s="7"/>
      <c r="EX138" s="7"/>
      <c r="EY138" s="7"/>
      <c r="EZ138" s="7"/>
      <c r="FA138" s="7"/>
      <c r="FB138" s="7"/>
      <c r="FC138" s="7"/>
    </row>
    <row r="139" spans="152:159" x14ac:dyDescent="0.15">
      <c r="EV139" s="7"/>
      <c r="EW139" s="7"/>
      <c r="EX139" s="7"/>
      <c r="EY139" s="7"/>
      <c r="EZ139" s="7"/>
      <c r="FA139" s="7"/>
      <c r="FB139" s="7"/>
      <c r="FC139" s="7"/>
    </row>
    <row r="140" spans="152:159" x14ac:dyDescent="0.15">
      <c r="EV140" s="7"/>
      <c r="EW140" s="7"/>
      <c r="EX140" s="7"/>
      <c r="EY140" s="7"/>
      <c r="EZ140" s="7"/>
      <c r="FA140" s="7"/>
      <c r="FB140" s="7"/>
      <c r="FC140" s="7"/>
    </row>
    <row r="141" spans="152:159" x14ac:dyDescent="0.15">
      <c r="EV141" s="7"/>
      <c r="EW141" s="7"/>
      <c r="EX141" s="7"/>
      <c r="EY141" s="7"/>
      <c r="EZ141" s="7"/>
      <c r="FA141" s="7"/>
      <c r="FB141" s="7"/>
      <c r="FC141" s="7"/>
    </row>
    <row r="142" spans="152:159" x14ac:dyDescent="0.15">
      <c r="EV142" s="7"/>
      <c r="EW142" s="7"/>
      <c r="EX142" s="7"/>
      <c r="EY142" s="7"/>
      <c r="EZ142" s="7"/>
      <c r="FA142" s="7"/>
      <c r="FB142" s="7"/>
      <c r="FC142" s="7"/>
    </row>
    <row r="143" spans="152:159" x14ac:dyDescent="0.15">
      <c r="EV143" s="7"/>
      <c r="EW143" s="7"/>
      <c r="EX143" s="7"/>
      <c r="EY143" s="7"/>
      <c r="EZ143" s="7"/>
      <c r="FA143" s="7"/>
      <c r="FB143" s="7"/>
      <c r="FC143" s="7"/>
    </row>
    <row r="144" spans="152:159" x14ac:dyDescent="0.15">
      <c r="EV144" s="7"/>
      <c r="EW144" s="7"/>
      <c r="EX144" s="7"/>
      <c r="EY144" s="7"/>
      <c r="EZ144" s="7"/>
      <c r="FA144" s="7"/>
      <c r="FB144" s="7"/>
      <c r="FC144" s="7"/>
    </row>
    <row r="145" spans="152:159" x14ac:dyDescent="0.15">
      <c r="EV145" s="7"/>
      <c r="EW145" s="7"/>
      <c r="EX145" s="7"/>
      <c r="EY145" s="7"/>
      <c r="EZ145" s="7"/>
      <c r="FA145" s="7"/>
      <c r="FB145" s="7"/>
      <c r="FC145" s="7"/>
    </row>
    <row r="146" spans="152:159" x14ac:dyDescent="0.15">
      <c r="EV146" s="7"/>
      <c r="EW146" s="7"/>
      <c r="EX146" s="7"/>
      <c r="EY146" s="7"/>
      <c r="EZ146" s="7"/>
      <c r="FA146" s="7"/>
      <c r="FB146" s="7"/>
      <c r="FC146" s="7"/>
    </row>
    <row r="147" spans="152:159" x14ac:dyDescent="0.15">
      <c r="EV147" s="7"/>
      <c r="EW147" s="7"/>
      <c r="EX147" s="7"/>
      <c r="EY147" s="7"/>
      <c r="EZ147" s="7"/>
      <c r="FA147" s="7"/>
      <c r="FB147" s="7"/>
      <c r="FC147" s="7"/>
    </row>
    <row r="148" spans="152:159" x14ac:dyDescent="0.15">
      <c r="EV148" s="7"/>
      <c r="EW148" s="7"/>
      <c r="EX148" s="7"/>
      <c r="EY148" s="7"/>
      <c r="EZ148" s="7"/>
      <c r="FA148" s="7"/>
      <c r="FB148" s="7"/>
      <c r="FC148" s="7"/>
    </row>
    <row r="149" spans="152:159" x14ac:dyDescent="0.15">
      <c r="EV149" s="7"/>
      <c r="EW149" s="7"/>
      <c r="EX149" s="7"/>
      <c r="EY149" s="7"/>
      <c r="EZ149" s="7"/>
      <c r="FA149" s="7"/>
      <c r="FB149" s="7"/>
      <c r="FC149" s="7"/>
    </row>
    <row r="150" spans="152:159" x14ac:dyDescent="0.15">
      <c r="EV150" s="7"/>
      <c r="EW150" s="7"/>
      <c r="EX150" s="7"/>
      <c r="EY150" s="7"/>
      <c r="EZ150" s="7"/>
      <c r="FA150" s="7"/>
      <c r="FB150" s="7"/>
      <c r="FC150" s="7"/>
    </row>
    <row r="151" spans="152:159" x14ac:dyDescent="0.15">
      <c r="EV151" s="7"/>
      <c r="EW151" s="7"/>
      <c r="EX151" s="7"/>
      <c r="EY151" s="7"/>
      <c r="EZ151" s="7"/>
      <c r="FA151" s="7"/>
      <c r="FB151" s="7"/>
      <c r="FC151" s="7"/>
    </row>
    <row r="152" spans="152:159" x14ac:dyDescent="0.15">
      <c r="EV152" s="7"/>
      <c r="EW152" s="7"/>
      <c r="EX152" s="7"/>
      <c r="EY152" s="7"/>
      <c r="EZ152" s="7"/>
      <c r="FA152" s="7"/>
      <c r="FB152" s="7"/>
      <c r="FC152" s="7"/>
    </row>
    <row r="153" spans="152:159" x14ac:dyDescent="0.15">
      <c r="EV153" s="7"/>
      <c r="EW153" s="7"/>
      <c r="EX153" s="7"/>
      <c r="EY153" s="7"/>
      <c r="EZ153" s="7"/>
      <c r="FA153" s="7"/>
      <c r="FB153" s="7"/>
      <c r="FC153" s="7"/>
    </row>
    <row r="154" spans="152:159" x14ac:dyDescent="0.15">
      <c r="EV154" s="7"/>
      <c r="EW154" s="7"/>
      <c r="EX154" s="7"/>
      <c r="EY154" s="7"/>
      <c r="EZ154" s="7"/>
      <c r="FA154" s="7"/>
      <c r="FB154" s="7"/>
      <c r="FC154" s="7"/>
    </row>
    <row r="155" spans="152:159" x14ac:dyDescent="0.15">
      <c r="EV155" s="7"/>
      <c r="EW155" s="7"/>
      <c r="EX155" s="7"/>
      <c r="EY155" s="7"/>
      <c r="EZ155" s="7"/>
      <c r="FA155" s="7"/>
      <c r="FB155" s="7"/>
      <c r="FC155" s="7"/>
    </row>
    <row r="156" spans="152:159" x14ac:dyDescent="0.15">
      <c r="EV156" s="7"/>
      <c r="EW156" s="7"/>
      <c r="EX156" s="7"/>
      <c r="EY156" s="7"/>
      <c r="EZ156" s="7"/>
      <c r="FA156" s="7"/>
      <c r="FB156" s="7"/>
      <c r="FC156" s="7"/>
    </row>
    <row r="157" spans="152:159" x14ac:dyDescent="0.15">
      <c r="EV157" s="7"/>
      <c r="EW157" s="7"/>
      <c r="EX157" s="7"/>
      <c r="EY157" s="7"/>
      <c r="EZ157" s="7"/>
      <c r="FA157" s="7"/>
      <c r="FB157" s="7"/>
      <c r="FC157" s="7"/>
    </row>
    <row r="158" spans="152:159" x14ac:dyDescent="0.15">
      <c r="EV158" s="7"/>
      <c r="EW158" s="7"/>
      <c r="EX158" s="7"/>
      <c r="EY158" s="7"/>
      <c r="EZ158" s="7"/>
      <c r="FA158" s="7"/>
      <c r="FB158" s="7"/>
      <c r="FC158" s="7"/>
    </row>
    <row r="159" spans="152:159" x14ac:dyDescent="0.15">
      <c r="EV159" s="7"/>
      <c r="EW159" s="7"/>
      <c r="EX159" s="7"/>
      <c r="EY159" s="7"/>
      <c r="EZ159" s="7"/>
      <c r="FA159" s="7"/>
      <c r="FB159" s="7"/>
      <c r="FC159" s="7"/>
    </row>
    <row r="160" spans="152:159" x14ac:dyDescent="0.15">
      <c r="EV160" s="7"/>
      <c r="EW160" s="7"/>
      <c r="EX160" s="7"/>
      <c r="EY160" s="7"/>
      <c r="EZ160" s="7"/>
      <c r="FA160" s="7"/>
      <c r="FB160" s="7"/>
      <c r="FC160" s="7"/>
    </row>
    <row r="161" spans="152:159" x14ac:dyDescent="0.15">
      <c r="EV161" s="7"/>
      <c r="EW161" s="7"/>
      <c r="EX161" s="7"/>
      <c r="EY161" s="7"/>
      <c r="EZ161" s="7"/>
      <c r="FA161" s="7"/>
      <c r="FB161" s="7"/>
      <c r="FC161" s="7"/>
    </row>
    <row r="162" spans="152:159" x14ac:dyDescent="0.15">
      <c r="EV162" s="7"/>
      <c r="EW162" s="7"/>
      <c r="EX162" s="7"/>
      <c r="EY162" s="7"/>
      <c r="EZ162" s="7"/>
      <c r="FA162" s="7"/>
      <c r="FB162" s="7"/>
      <c r="FC162" s="7"/>
    </row>
    <row r="163" spans="152:159" x14ac:dyDescent="0.15">
      <c r="EV163" s="7"/>
      <c r="EW163" s="7"/>
      <c r="EX163" s="7"/>
      <c r="EY163" s="7"/>
      <c r="EZ163" s="7"/>
      <c r="FA163" s="7"/>
      <c r="FB163" s="7"/>
      <c r="FC163" s="7"/>
    </row>
    <row r="164" spans="152:159" x14ac:dyDescent="0.15">
      <c r="EV164" s="7"/>
      <c r="EW164" s="7"/>
      <c r="EX164" s="7"/>
      <c r="EY164" s="7"/>
      <c r="EZ164" s="7"/>
      <c r="FA164" s="7"/>
      <c r="FB164" s="7"/>
      <c r="FC164" s="7"/>
    </row>
    <row r="165" spans="152:159" x14ac:dyDescent="0.15">
      <c r="EV165" s="7"/>
      <c r="EW165" s="7"/>
      <c r="EX165" s="7"/>
      <c r="EY165" s="7"/>
      <c r="EZ165" s="7"/>
      <c r="FA165" s="7"/>
      <c r="FB165" s="7"/>
      <c r="FC165" s="7"/>
    </row>
    <row r="166" spans="152:159" x14ac:dyDescent="0.15">
      <c r="EV166" s="7"/>
      <c r="EW166" s="7"/>
      <c r="EX166" s="7"/>
      <c r="EY166" s="7"/>
      <c r="EZ166" s="7"/>
      <c r="FA166" s="7"/>
      <c r="FB166" s="7"/>
      <c r="FC166" s="7"/>
    </row>
    <row r="167" spans="152:159" x14ac:dyDescent="0.15">
      <c r="EV167" s="7"/>
      <c r="EW167" s="7"/>
      <c r="EX167" s="7"/>
      <c r="EY167" s="7"/>
      <c r="EZ167" s="7"/>
      <c r="FA167" s="7"/>
      <c r="FB167" s="7"/>
      <c r="FC167" s="7"/>
    </row>
    <row r="168" spans="152:159" x14ac:dyDescent="0.15">
      <c r="EV168" s="7"/>
      <c r="EW168" s="7"/>
      <c r="EX168" s="7"/>
      <c r="EY168" s="7"/>
      <c r="EZ168" s="7"/>
      <c r="FA168" s="7"/>
      <c r="FB168" s="7"/>
      <c r="FC168" s="7"/>
    </row>
    <row r="169" spans="152:159" x14ac:dyDescent="0.15">
      <c r="EV169" s="7"/>
      <c r="EW169" s="7"/>
      <c r="EX169" s="7"/>
      <c r="EY169" s="7"/>
      <c r="EZ169" s="7"/>
      <c r="FA169" s="7"/>
      <c r="FB169" s="7"/>
      <c r="FC169" s="7"/>
    </row>
    <row r="170" spans="152:159" x14ac:dyDescent="0.15">
      <c r="EV170" s="7"/>
      <c r="EW170" s="7"/>
      <c r="EX170" s="7"/>
      <c r="EY170" s="7"/>
      <c r="EZ170" s="7"/>
      <c r="FA170" s="7"/>
      <c r="FB170" s="7"/>
      <c r="FC170" s="7"/>
    </row>
    <row r="171" spans="152:159" x14ac:dyDescent="0.15">
      <c r="EV171" s="7"/>
      <c r="EW171" s="7"/>
      <c r="EX171" s="7"/>
      <c r="EY171" s="7"/>
      <c r="EZ171" s="7"/>
      <c r="FA171" s="7"/>
      <c r="FB171" s="7"/>
      <c r="FC171" s="7"/>
    </row>
    <row r="172" spans="152:159" x14ac:dyDescent="0.15">
      <c r="EV172" s="7"/>
      <c r="EW172" s="7"/>
      <c r="EX172" s="7"/>
      <c r="EY172" s="7"/>
      <c r="EZ172" s="7"/>
      <c r="FA172" s="7"/>
      <c r="FB172" s="7"/>
      <c r="FC172" s="7"/>
    </row>
    <row r="173" spans="152:159" x14ac:dyDescent="0.15">
      <c r="EV173" s="7"/>
      <c r="EW173" s="7"/>
      <c r="EX173" s="7"/>
      <c r="EY173" s="7"/>
      <c r="EZ173" s="7"/>
      <c r="FA173" s="7"/>
      <c r="FB173" s="7"/>
      <c r="FC173" s="7"/>
    </row>
    <row r="174" spans="152:159" x14ac:dyDescent="0.15">
      <c r="EV174" s="7"/>
      <c r="EW174" s="7"/>
      <c r="EX174" s="7"/>
      <c r="EY174" s="7"/>
      <c r="EZ174" s="7"/>
      <c r="FA174" s="7"/>
      <c r="FB174" s="7"/>
      <c r="FC174" s="7"/>
    </row>
    <row r="175" spans="152:159" x14ac:dyDescent="0.15">
      <c r="EV175" s="7"/>
      <c r="EW175" s="7"/>
      <c r="EX175" s="7"/>
      <c r="EY175" s="7"/>
      <c r="EZ175" s="7"/>
      <c r="FA175" s="7"/>
      <c r="FB175" s="7"/>
      <c r="FC175" s="7"/>
    </row>
    <row r="176" spans="152:159" x14ac:dyDescent="0.15">
      <c r="EV176" s="7"/>
      <c r="EW176" s="7"/>
      <c r="EX176" s="7"/>
      <c r="EY176" s="7"/>
      <c r="EZ176" s="7"/>
      <c r="FA176" s="7"/>
      <c r="FB176" s="7"/>
      <c r="FC176" s="7"/>
    </row>
    <row r="177" spans="152:159" x14ac:dyDescent="0.15">
      <c r="EV177" s="7"/>
      <c r="EW177" s="7"/>
      <c r="EX177" s="7"/>
      <c r="EY177" s="7"/>
      <c r="EZ177" s="7"/>
      <c r="FA177" s="7"/>
      <c r="FB177" s="7"/>
      <c r="FC177" s="7"/>
    </row>
    <row r="178" spans="152:159" x14ac:dyDescent="0.15">
      <c r="EV178" s="7"/>
      <c r="EW178" s="7"/>
      <c r="EX178" s="7"/>
      <c r="EY178" s="7"/>
      <c r="EZ178" s="7"/>
      <c r="FA178" s="7"/>
      <c r="FB178" s="7"/>
      <c r="FC178" s="7"/>
    </row>
    <row r="179" spans="152:159" x14ac:dyDescent="0.15">
      <c r="EV179" s="7"/>
      <c r="EW179" s="7"/>
      <c r="EX179" s="7"/>
      <c r="EY179" s="7"/>
      <c r="EZ179" s="7"/>
      <c r="FA179" s="7"/>
      <c r="FB179" s="7"/>
      <c r="FC179" s="7"/>
    </row>
    <row r="180" spans="152:159" x14ac:dyDescent="0.15">
      <c r="EV180" s="7"/>
      <c r="EW180" s="7"/>
      <c r="EX180" s="7"/>
      <c r="EY180" s="7"/>
      <c r="EZ180" s="7"/>
      <c r="FA180" s="7"/>
      <c r="FB180" s="7"/>
      <c r="FC180" s="7"/>
    </row>
  </sheetData>
  <sheetProtection sheet="1" objects="1" scenarios="1" formatCells="0" formatColumns="0" formatRows="0"/>
  <mergeCells count="270">
    <mergeCell ref="CL2:DC2"/>
    <mergeCell ref="DE2:DF2"/>
    <mergeCell ref="DH2:DI2"/>
    <mergeCell ref="DK2:DL2"/>
    <mergeCell ref="C1:S2"/>
    <mergeCell ref="U1:AK2"/>
    <mergeCell ref="AO1:AY1"/>
    <mergeCell ref="CL1:DL1"/>
    <mergeCell ref="DZ1:EW1"/>
    <mergeCell ref="AO2:AS2"/>
    <mergeCell ref="AT2:AU2"/>
    <mergeCell ref="AV2:AW2"/>
    <mergeCell ref="AX2:AY2"/>
    <mergeCell ref="ET2:EU2"/>
    <mergeCell ref="EV2:EW2"/>
    <mergeCell ref="EX2:EY2"/>
    <mergeCell ref="EZ2:FA2"/>
    <mergeCell ref="FB2:FC2"/>
    <mergeCell ref="FD2:FI2"/>
    <mergeCell ref="DM2:DN2"/>
    <mergeCell ref="DO2:DP2"/>
    <mergeCell ref="DQ2:DR2"/>
    <mergeCell ref="DS2:DX2"/>
    <mergeCell ref="DZ2:EQ2"/>
    <mergeCell ref="ER2:ES2"/>
    <mergeCell ref="CN3:CQ3"/>
    <mergeCell ref="CX3:DA3"/>
    <mergeCell ref="EB3:EE3"/>
    <mergeCell ref="EL3:EO3"/>
    <mergeCell ref="AO4:AP4"/>
    <mergeCell ref="D3:G3"/>
    <mergeCell ref="N3:Q3"/>
    <mergeCell ref="V3:Y3"/>
    <mergeCell ref="AF3:AI3"/>
    <mergeCell ref="AX7:AX8"/>
    <mergeCell ref="AT5:AT6"/>
    <mergeCell ref="AU5:AU10"/>
    <mergeCell ref="AV5:AV6"/>
    <mergeCell ref="AW5:AW10"/>
    <mergeCell ref="AX5:AX6"/>
    <mergeCell ref="AY5:AY10"/>
    <mergeCell ref="AT9:AT10"/>
    <mergeCell ref="AV9:AV10"/>
    <mergeCell ref="AX9:AX10"/>
    <mergeCell ref="A11:A16"/>
    <mergeCell ref="AO11:AO12"/>
    <mergeCell ref="AP11:AP12"/>
    <mergeCell ref="AQ11:AQ16"/>
    <mergeCell ref="AR11:AR16"/>
    <mergeCell ref="AO7:AO8"/>
    <mergeCell ref="AP7:AP8"/>
    <mergeCell ref="AT7:AT8"/>
    <mergeCell ref="AV7:AV8"/>
    <mergeCell ref="A5:A10"/>
    <mergeCell ref="AO5:AO6"/>
    <mergeCell ref="AP5:AP6"/>
    <mergeCell ref="AQ5:AQ10"/>
    <mergeCell ref="AR5:AR10"/>
    <mergeCell ref="AS5:AS10"/>
    <mergeCell ref="AO9:AO10"/>
    <mergeCell ref="AP9:AP10"/>
    <mergeCell ref="AY11:AY16"/>
    <mergeCell ref="AO13:AO14"/>
    <mergeCell ref="AP13:AP14"/>
    <mergeCell ref="AT13:AT14"/>
    <mergeCell ref="AV13:AV14"/>
    <mergeCell ref="AX13:AX14"/>
    <mergeCell ref="AO15:AO16"/>
    <mergeCell ref="AP15:AP16"/>
    <mergeCell ref="AT15:AT16"/>
    <mergeCell ref="AV15:AV16"/>
    <mergeCell ref="AS11:AS16"/>
    <mergeCell ref="AT11:AT12"/>
    <mergeCell ref="AU11:AU16"/>
    <mergeCell ref="AV11:AV12"/>
    <mergeCell ref="AW11:AW16"/>
    <mergeCell ref="AX11:AX12"/>
    <mergeCell ref="AX15:AX16"/>
    <mergeCell ref="AT17:AT18"/>
    <mergeCell ref="AU17:AU22"/>
    <mergeCell ref="AV17:AV18"/>
    <mergeCell ref="AW17:AW22"/>
    <mergeCell ref="AX17:AX18"/>
    <mergeCell ref="AY17:AY22"/>
    <mergeCell ref="AT19:AT20"/>
    <mergeCell ref="AV19:AV20"/>
    <mergeCell ref="AX19:AX20"/>
    <mergeCell ref="AT21:AT22"/>
    <mergeCell ref="AV21:AV22"/>
    <mergeCell ref="AX21:AX22"/>
    <mergeCell ref="A17:A22"/>
    <mergeCell ref="AO17:AO18"/>
    <mergeCell ref="AP17:AP18"/>
    <mergeCell ref="AQ17:AQ22"/>
    <mergeCell ref="AR17:AR22"/>
    <mergeCell ref="AS17:AS22"/>
    <mergeCell ref="AO19:AO20"/>
    <mergeCell ref="AP19:AP20"/>
    <mergeCell ref="AO21:AO22"/>
    <mergeCell ref="AP21:AP22"/>
    <mergeCell ref="A29:A34"/>
    <mergeCell ref="AO29:AO30"/>
    <mergeCell ref="AP29:AP30"/>
    <mergeCell ref="AQ29:AQ34"/>
    <mergeCell ref="AR29:AR34"/>
    <mergeCell ref="AS29:AS34"/>
    <mergeCell ref="AV23:AV24"/>
    <mergeCell ref="AW23:AW28"/>
    <mergeCell ref="AX23:AX24"/>
    <mergeCell ref="AO25:AO26"/>
    <mergeCell ref="AP25:AP26"/>
    <mergeCell ref="AT25:AT26"/>
    <mergeCell ref="AV25:AV26"/>
    <mergeCell ref="AX25:AX26"/>
    <mergeCell ref="AO27:AO28"/>
    <mergeCell ref="AT29:AT30"/>
    <mergeCell ref="AU29:AU34"/>
    <mergeCell ref="AV29:AV30"/>
    <mergeCell ref="AW29:AW34"/>
    <mergeCell ref="AX29:AX30"/>
    <mergeCell ref="A23:A28"/>
    <mergeCell ref="AO23:AO24"/>
    <mergeCell ref="AP23:AP24"/>
    <mergeCell ref="AQ23:AQ28"/>
    <mergeCell ref="AY29:AY34"/>
    <mergeCell ref="AP27:AP28"/>
    <mergeCell ref="AT27:AT28"/>
    <mergeCell ref="AV27:AV28"/>
    <mergeCell ref="AX27:AX28"/>
    <mergeCell ref="AY23:AY28"/>
    <mergeCell ref="AO31:AO32"/>
    <mergeCell ref="AP31:AP32"/>
    <mergeCell ref="AT31:AT32"/>
    <mergeCell ref="AV31:AV32"/>
    <mergeCell ref="AX31:AX32"/>
    <mergeCell ref="AO33:AO34"/>
    <mergeCell ref="AP33:AP34"/>
    <mergeCell ref="AT33:AT34"/>
    <mergeCell ref="AV33:AV34"/>
    <mergeCell ref="AX33:AX34"/>
    <mergeCell ref="AR23:AR28"/>
    <mergeCell ref="AS23:AS28"/>
    <mergeCell ref="AT23:AT24"/>
    <mergeCell ref="AU23:AU28"/>
    <mergeCell ref="AT35:AT36"/>
    <mergeCell ref="AU35:AU40"/>
    <mergeCell ref="AV35:AV36"/>
    <mergeCell ref="AW35:AW40"/>
    <mergeCell ref="AX35:AX36"/>
    <mergeCell ref="AY35:AY40"/>
    <mergeCell ref="AT37:AT38"/>
    <mergeCell ref="AV37:AV38"/>
    <mergeCell ref="AX37:AX38"/>
    <mergeCell ref="AT39:AT40"/>
    <mergeCell ref="AV39:AV40"/>
    <mergeCell ref="AX39:AX40"/>
    <mergeCell ref="AP39:AP40"/>
    <mergeCell ref="A43:V43"/>
    <mergeCell ref="A44:L44"/>
    <mergeCell ref="Q44:R44"/>
    <mergeCell ref="S44:T44"/>
    <mergeCell ref="U44:V44"/>
    <mergeCell ref="W44:X44"/>
    <mergeCell ref="Y44:Z44"/>
    <mergeCell ref="AA44:AB44"/>
    <mergeCell ref="A35:A40"/>
    <mergeCell ref="AC44:AH44"/>
    <mergeCell ref="Q49:Q50"/>
    <mergeCell ref="S49:S50"/>
    <mergeCell ref="U49:U50"/>
    <mergeCell ref="W49:W50"/>
    <mergeCell ref="Y47:Y48"/>
    <mergeCell ref="Z47:Z52"/>
    <mergeCell ref="AA47:AA48"/>
    <mergeCell ref="AB47:AB52"/>
    <mergeCell ref="AC47:AC48"/>
    <mergeCell ref="Y51:Y52"/>
    <mergeCell ref="S47:S48"/>
    <mergeCell ref="T47:T52"/>
    <mergeCell ref="U47:U48"/>
    <mergeCell ref="V47:V52"/>
    <mergeCell ref="W47:W48"/>
    <mergeCell ref="AA51:AA52"/>
    <mergeCell ref="AC51:AC52"/>
    <mergeCell ref="Y49:Y50"/>
    <mergeCell ref="AA49:AA50"/>
    <mergeCell ref="AC49:AC50"/>
    <mergeCell ref="C45:F45"/>
    <mergeCell ref="M45:P45"/>
    <mergeCell ref="A46:B46"/>
    <mergeCell ref="A47:A48"/>
    <mergeCell ref="B47:B48"/>
    <mergeCell ref="C47:C52"/>
    <mergeCell ref="D47:D52"/>
    <mergeCell ref="E47:E52"/>
    <mergeCell ref="F47:F52"/>
    <mergeCell ref="A49:A50"/>
    <mergeCell ref="B49:B50"/>
    <mergeCell ref="AF47:AF52"/>
    <mergeCell ref="AG47:AG52"/>
    <mergeCell ref="AH47:AH52"/>
    <mergeCell ref="A51:A52"/>
    <mergeCell ref="B51:B52"/>
    <mergeCell ref="Q51:Q52"/>
    <mergeCell ref="S51:S52"/>
    <mergeCell ref="U51:U52"/>
    <mergeCell ref="W51:W52"/>
    <mergeCell ref="AE47:AE52"/>
    <mergeCell ref="X47:X52"/>
    <mergeCell ref="M47:M52"/>
    <mergeCell ref="N47:N52"/>
    <mergeCell ref="O47:O52"/>
    <mergeCell ref="P47:P52"/>
    <mergeCell ref="Q47:Q48"/>
    <mergeCell ref="R47:R52"/>
    <mergeCell ref="G47:G52"/>
    <mergeCell ref="H47:H52"/>
    <mergeCell ref="I47:I52"/>
    <mergeCell ref="J47:J52"/>
    <mergeCell ref="K47:K52"/>
    <mergeCell ref="L47:L52"/>
    <mergeCell ref="AD47:AD52"/>
    <mergeCell ref="FK2:FL2"/>
    <mergeCell ref="FM2:FN2"/>
    <mergeCell ref="FP2:FQ2"/>
    <mergeCell ref="FR2:FS2"/>
    <mergeCell ref="AI44:AJ44"/>
    <mergeCell ref="AK44:AL44"/>
    <mergeCell ref="AI46:AJ46"/>
    <mergeCell ref="AK46:AL46"/>
    <mergeCell ref="AI47:AI48"/>
    <mergeCell ref="AJ47:AJ52"/>
    <mergeCell ref="AK47:AK48"/>
    <mergeCell ref="AL47:AL52"/>
    <mergeCell ref="AI49:AI50"/>
    <mergeCell ref="AK49:AK50"/>
    <mergeCell ref="AI51:AI52"/>
    <mergeCell ref="AK51:AK52"/>
    <mergeCell ref="AO35:AO36"/>
    <mergeCell ref="AP35:AP36"/>
    <mergeCell ref="AQ35:AQ40"/>
    <mergeCell ref="AR35:AR40"/>
    <mergeCell ref="AS35:AS40"/>
    <mergeCell ref="AO37:AO38"/>
    <mergeCell ref="AP37:AP38"/>
    <mergeCell ref="AO39:AO40"/>
    <mergeCell ref="AZ5:AZ6"/>
    <mergeCell ref="BA5:BA10"/>
    <mergeCell ref="AZ7:AZ8"/>
    <mergeCell ref="AZ9:AZ10"/>
    <mergeCell ref="AZ11:AZ12"/>
    <mergeCell ref="BA11:BA16"/>
    <mergeCell ref="AZ13:AZ14"/>
    <mergeCell ref="AZ15:AZ16"/>
    <mergeCell ref="AZ17:AZ18"/>
    <mergeCell ref="BA17:BA22"/>
    <mergeCell ref="AZ19:AZ20"/>
    <mergeCell ref="AZ21:AZ22"/>
    <mergeCell ref="AZ23:AZ24"/>
    <mergeCell ref="BA23:BA28"/>
    <mergeCell ref="AZ25:AZ26"/>
    <mergeCell ref="AZ27:AZ28"/>
    <mergeCell ref="AZ29:AZ30"/>
    <mergeCell ref="BA29:BA34"/>
    <mergeCell ref="AZ31:AZ32"/>
    <mergeCell ref="AZ33:AZ34"/>
    <mergeCell ref="AZ35:AZ36"/>
    <mergeCell ref="BA35:BA40"/>
    <mergeCell ref="AZ37:AZ38"/>
    <mergeCell ref="AZ39:AZ40"/>
  </mergeCells>
  <conditionalFormatting sqref="AP5">
    <cfRule type="cellIs" dxfId="1027" priority="653" stopIfTrue="1" operator="greaterThan">
      <formula>0.03</formula>
    </cfRule>
    <cfRule type="cellIs" dxfId="1026" priority="654" stopIfTrue="1" operator="lessThan">
      <formula>-0.03</formula>
    </cfRule>
  </conditionalFormatting>
  <conditionalFormatting sqref="AQ5">
    <cfRule type="cellIs" dxfId="1025" priority="671" stopIfTrue="1" operator="greaterThan">
      <formula>0.03</formula>
    </cfRule>
    <cfRule type="cellIs" dxfId="1024" priority="672" stopIfTrue="1" operator="lessThan">
      <formula>-0.03</formula>
    </cfRule>
  </conditionalFormatting>
  <conditionalFormatting sqref="CH5">
    <cfRule type="cellIs" dxfId="1023" priority="673" stopIfTrue="1" operator="greaterThan">
      <formula>0.03</formula>
    </cfRule>
    <cfRule type="cellIs" dxfId="1022" priority="674" stopIfTrue="1" operator="lessThan">
      <formula>-0.03</formula>
    </cfRule>
  </conditionalFormatting>
  <conditionalFormatting sqref="AQ5:AQ10">
    <cfRule type="cellIs" dxfId="1021" priority="675" stopIfTrue="1" operator="greaterThan">
      <formula>0</formula>
    </cfRule>
    <cfRule type="cellIs" dxfId="1020" priority="676" stopIfTrue="1" operator="lessThan">
      <formula>0</formula>
    </cfRule>
  </conditionalFormatting>
  <conditionalFormatting sqref="AR5:AS5">
    <cfRule type="cellIs" dxfId="1019" priority="667" stopIfTrue="1" operator="greaterThan">
      <formula>0.03</formula>
    </cfRule>
    <cfRule type="cellIs" dxfId="1018" priority="668" stopIfTrue="1" operator="lessThan">
      <formula>-0.03</formula>
    </cfRule>
  </conditionalFormatting>
  <conditionalFormatting sqref="AR5:AS10">
    <cfRule type="cellIs" dxfId="1017" priority="669" stopIfTrue="1" operator="greaterThan">
      <formula>0</formula>
    </cfRule>
    <cfRule type="cellIs" dxfId="1016" priority="670" stopIfTrue="1" operator="lessThan">
      <formula>0</formula>
    </cfRule>
  </conditionalFormatting>
  <conditionalFormatting sqref="AU5">
    <cfRule type="cellIs" dxfId="1015" priority="663" stopIfTrue="1" operator="greaterThan">
      <formula>0.03</formula>
    </cfRule>
    <cfRule type="cellIs" dxfId="1014" priority="664" stopIfTrue="1" operator="lessThan">
      <formula>-0.03</formula>
    </cfRule>
  </conditionalFormatting>
  <conditionalFormatting sqref="AU5:AU10">
    <cfRule type="cellIs" dxfId="1013" priority="665" stopIfTrue="1" operator="greaterThan">
      <formula>0</formula>
    </cfRule>
    <cfRule type="cellIs" dxfId="1012" priority="666" stopIfTrue="1" operator="lessThan">
      <formula>0</formula>
    </cfRule>
  </conditionalFormatting>
  <conditionalFormatting sqref="AW5">
    <cfRule type="cellIs" dxfId="1011" priority="659" stopIfTrue="1" operator="greaterThan">
      <formula>0.03</formula>
    </cfRule>
    <cfRule type="cellIs" dxfId="1010" priority="660" stopIfTrue="1" operator="lessThan">
      <formula>-0.03</formula>
    </cfRule>
  </conditionalFormatting>
  <conditionalFormatting sqref="AW5:AW10">
    <cfRule type="cellIs" dxfId="1009" priority="661" stopIfTrue="1" operator="greaterThan">
      <formula>0</formula>
    </cfRule>
    <cfRule type="cellIs" dxfId="1008" priority="662" stopIfTrue="1" operator="lessThan">
      <formula>0</formula>
    </cfRule>
  </conditionalFormatting>
  <conditionalFormatting sqref="AY5">
    <cfRule type="cellIs" dxfId="1007" priority="655" stopIfTrue="1" operator="greaterThan">
      <formula>0.03</formula>
    </cfRule>
    <cfRule type="cellIs" dxfId="1006" priority="656" stopIfTrue="1" operator="lessThan">
      <formula>-0.03</formula>
    </cfRule>
  </conditionalFormatting>
  <conditionalFormatting sqref="AY5:AY10">
    <cfRule type="cellIs" dxfId="1005" priority="657" stopIfTrue="1" operator="greaterThan">
      <formula>0</formula>
    </cfRule>
    <cfRule type="cellIs" dxfId="1004" priority="658" stopIfTrue="1" operator="lessThan">
      <formula>0</formula>
    </cfRule>
  </conditionalFormatting>
  <conditionalFormatting sqref="AP5:AP6">
    <cfRule type="cellIs" dxfId="1003" priority="677" stopIfTrue="1" operator="greaterThan">
      <formula>0</formula>
    </cfRule>
    <cfRule type="cellIs" dxfId="1002" priority="678" operator="lessThan">
      <formula>0</formula>
    </cfRule>
  </conditionalFormatting>
  <conditionalFormatting sqref="AP7">
    <cfRule type="cellIs" dxfId="1001" priority="649" stopIfTrue="1" operator="greaterThan">
      <formula>0.03</formula>
    </cfRule>
    <cfRule type="cellIs" dxfId="1000" priority="650" stopIfTrue="1" operator="lessThan">
      <formula>-0.03</formula>
    </cfRule>
  </conditionalFormatting>
  <conditionalFormatting sqref="AP7:AP8">
    <cfRule type="cellIs" dxfId="999" priority="651" stopIfTrue="1" operator="greaterThan">
      <formula>0</formula>
    </cfRule>
    <cfRule type="cellIs" dxfId="998" priority="652" operator="lessThan">
      <formula>0</formula>
    </cfRule>
  </conditionalFormatting>
  <conditionalFormatting sqref="AP9">
    <cfRule type="cellIs" dxfId="997" priority="645" stopIfTrue="1" operator="greaterThan">
      <formula>0.03</formula>
    </cfRule>
    <cfRule type="cellIs" dxfId="996" priority="646" stopIfTrue="1" operator="lessThan">
      <formula>-0.03</formula>
    </cfRule>
  </conditionalFormatting>
  <conditionalFormatting sqref="AP9:AP10">
    <cfRule type="cellIs" dxfId="995" priority="647" stopIfTrue="1" operator="greaterThan">
      <formula>0</formula>
    </cfRule>
    <cfRule type="cellIs" dxfId="994" priority="648" operator="lessThan">
      <formula>0</formula>
    </cfRule>
  </conditionalFormatting>
  <conditionalFormatting sqref="AT5">
    <cfRule type="cellIs" dxfId="993" priority="641" stopIfTrue="1" operator="greaterThan">
      <formula>0.03</formula>
    </cfRule>
    <cfRule type="cellIs" dxfId="992" priority="642" stopIfTrue="1" operator="lessThan">
      <formula>-0.03</formula>
    </cfRule>
  </conditionalFormatting>
  <conditionalFormatting sqref="AT5:AT6">
    <cfRule type="cellIs" dxfId="991" priority="643" stopIfTrue="1" operator="greaterThan">
      <formula>0</formula>
    </cfRule>
    <cfRule type="cellIs" dxfId="990" priority="644" operator="lessThan">
      <formula>0</formula>
    </cfRule>
  </conditionalFormatting>
  <conditionalFormatting sqref="AT7">
    <cfRule type="cellIs" dxfId="989" priority="637" stopIfTrue="1" operator="greaterThan">
      <formula>0.03</formula>
    </cfRule>
    <cfRule type="cellIs" dxfId="988" priority="638" stopIfTrue="1" operator="lessThan">
      <formula>-0.03</formula>
    </cfRule>
  </conditionalFormatting>
  <conditionalFormatting sqref="AT7:AT8">
    <cfRule type="cellIs" dxfId="987" priority="639" stopIfTrue="1" operator="greaterThan">
      <formula>0</formula>
    </cfRule>
    <cfRule type="cellIs" dxfId="986" priority="640" operator="lessThan">
      <formula>0</formula>
    </cfRule>
  </conditionalFormatting>
  <conditionalFormatting sqref="AT9">
    <cfRule type="cellIs" dxfId="985" priority="633" stopIfTrue="1" operator="greaterThan">
      <formula>0.03</formula>
    </cfRule>
    <cfRule type="cellIs" dxfId="984" priority="634" stopIfTrue="1" operator="lessThan">
      <formula>-0.03</formula>
    </cfRule>
  </conditionalFormatting>
  <conditionalFormatting sqref="AT9:AT10">
    <cfRule type="cellIs" dxfId="983" priority="635" stopIfTrue="1" operator="greaterThan">
      <formula>0</formula>
    </cfRule>
    <cfRule type="cellIs" dxfId="982" priority="636" operator="lessThan">
      <formula>0</formula>
    </cfRule>
  </conditionalFormatting>
  <conditionalFormatting sqref="AV5">
    <cfRule type="cellIs" dxfId="981" priority="629" stopIfTrue="1" operator="greaterThan">
      <formula>0.03</formula>
    </cfRule>
    <cfRule type="cellIs" dxfId="980" priority="630" stopIfTrue="1" operator="lessThan">
      <formula>-0.03</formula>
    </cfRule>
  </conditionalFormatting>
  <conditionalFormatting sqref="AV5:AV6">
    <cfRule type="cellIs" dxfId="979" priority="631" stopIfTrue="1" operator="greaterThan">
      <formula>0</formula>
    </cfRule>
    <cfRule type="cellIs" dxfId="978" priority="632" operator="lessThan">
      <formula>0</formula>
    </cfRule>
  </conditionalFormatting>
  <conditionalFormatting sqref="AV7">
    <cfRule type="cellIs" dxfId="977" priority="625" stopIfTrue="1" operator="greaterThan">
      <formula>0.03</formula>
    </cfRule>
    <cfRule type="cellIs" dxfId="976" priority="626" stopIfTrue="1" operator="lessThan">
      <formula>-0.03</formula>
    </cfRule>
  </conditionalFormatting>
  <conditionalFormatting sqref="AV7:AV8">
    <cfRule type="cellIs" dxfId="975" priority="627" stopIfTrue="1" operator="greaterThan">
      <formula>0</formula>
    </cfRule>
    <cfRule type="cellIs" dxfId="974" priority="628" operator="lessThan">
      <formula>0</formula>
    </cfRule>
  </conditionalFormatting>
  <conditionalFormatting sqref="AV9">
    <cfRule type="cellIs" dxfId="973" priority="621" stopIfTrue="1" operator="greaterThan">
      <formula>0.03</formula>
    </cfRule>
    <cfRule type="cellIs" dxfId="972" priority="622" stopIfTrue="1" operator="lessThan">
      <formula>-0.03</formula>
    </cfRule>
  </conditionalFormatting>
  <conditionalFormatting sqref="AV9:AV10">
    <cfRule type="cellIs" dxfId="971" priority="623" stopIfTrue="1" operator="greaterThan">
      <formula>0</formula>
    </cfRule>
    <cfRule type="cellIs" dxfId="970" priority="624" operator="lessThan">
      <formula>0</formula>
    </cfRule>
  </conditionalFormatting>
  <conditionalFormatting sqref="AX5">
    <cfRule type="cellIs" dxfId="969" priority="617" stopIfTrue="1" operator="greaterThan">
      <formula>0.03</formula>
    </cfRule>
    <cfRule type="cellIs" dxfId="968" priority="618" stopIfTrue="1" operator="lessThan">
      <formula>-0.03</formula>
    </cfRule>
  </conditionalFormatting>
  <conditionalFormatting sqref="AX5:AX6">
    <cfRule type="cellIs" dxfId="967" priority="619" stopIfTrue="1" operator="greaterThan">
      <formula>0</formula>
    </cfRule>
    <cfRule type="cellIs" dxfId="966" priority="620" operator="lessThan">
      <formula>0</formula>
    </cfRule>
  </conditionalFormatting>
  <conditionalFormatting sqref="AX7">
    <cfRule type="cellIs" dxfId="965" priority="613" stopIfTrue="1" operator="greaterThan">
      <formula>0.03</formula>
    </cfRule>
    <cfRule type="cellIs" dxfId="964" priority="614" stopIfTrue="1" operator="lessThan">
      <formula>-0.03</formula>
    </cfRule>
  </conditionalFormatting>
  <conditionalFormatting sqref="AX7:AX8">
    <cfRule type="cellIs" dxfId="963" priority="615" stopIfTrue="1" operator="greaterThan">
      <formula>0</formula>
    </cfRule>
    <cfRule type="cellIs" dxfId="962" priority="616" operator="lessThan">
      <formula>0</formula>
    </cfRule>
  </conditionalFormatting>
  <conditionalFormatting sqref="AX9">
    <cfRule type="cellIs" dxfId="961" priority="609" stopIfTrue="1" operator="greaterThan">
      <formula>0.03</formula>
    </cfRule>
    <cfRule type="cellIs" dxfId="960" priority="610" stopIfTrue="1" operator="lessThan">
      <formula>-0.03</formula>
    </cfRule>
  </conditionalFormatting>
  <conditionalFormatting sqref="AX9:AX10">
    <cfRule type="cellIs" dxfId="959" priority="611" stopIfTrue="1" operator="greaterThan">
      <formula>0</formula>
    </cfRule>
    <cfRule type="cellIs" dxfId="958" priority="612" operator="lessThan">
      <formula>0</formula>
    </cfRule>
  </conditionalFormatting>
  <conditionalFormatting sqref="AP11">
    <cfRule type="cellIs" dxfId="957" priority="585" stopIfTrue="1" operator="greaterThan">
      <formula>0.03</formula>
    </cfRule>
    <cfRule type="cellIs" dxfId="956" priority="586" stopIfTrue="1" operator="lessThan">
      <formula>-0.03</formula>
    </cfRule>
  </conditionalFormatting>
  <conditionalFormatting sqref="AQ11">
    <cfRule type="cellIs" dxfId="955" priority="603" stopIfTrue="1" operator="greaterThan">
      <formula>0.03</formula>
    </cfRule>
    <cfRule type="cellIs" dxfId="954" priority="604" stopIfTrue="1" operator="lessThan">
      <formula>-0.03</formula>
    </cfRule>
  </conditionalFormatting>
  <conditionalFormatting sqref="AQ11:AQ16">
    <cfRule type="cellIs" dxfId="953" priority="605" stopIfTrue="1" operator="greaterThan">
      <formula>0</formula>
    </cfRule>
    <cfRule type="cellIs" dxfId="952" priority="606" stopIfTrue="1" operator="lessThan">
      <formula>0</formula>
    </cfRule>
  </conditionalFormatting>
  <conditionalFormatting sqref="AR11:AS11">
    <cfRule type="cellIs" dxfId="951" priority="599" stopIfTrue="1" operator="greaterThan">
      <formula>0.03</formula>
    </cfRule>
    <cfRule type="cellIs" dxfId="950" priority="600" stopIfTrue="1" operator="lessThan">
      <formula>-0.03</formula>
    </cfRule>
  </conditionalFormatting>
  <conditionalFormatting sqref="AR11:AS16">
    <cfRule type="cellIs" dxfId="949" priority="601" stopIfTrue="1" operator="greaterThan">
      <formula>0</formula>
    </cfRule>
    <cfRule type="cellIs" dxfId="948" priority="602" stopIfTrue="1" operator="lessThan">
      <formula>0</formula>
    </cfRule>
  </conditionalFormatting>
  <conditionalFormatting sqref="AU11">
    <cfRule type="cellIs" dxfId="947" priority="595" stopIfTrue="1" operator="greaterThan">
      <formula>0.03</formula>
    </cfRule>
    <cfRule type="cellIs" dxfId="946" priority="596" stopIfTrue="1" operator="lessThan">
      <formula>-0.03</formula>
    </cfRule>
  </conditionalFormatting>
  <conditionalFormatting sqref="AU11:AU16">
    <cfRule type="cellIs" dxfId="945" priority="597" stopIfTrue="1" operator="greaterThan">
      <formula>0</formula>
    </cfRule>
    <cfRule type="cellIs" dxfId="944" priority="598" stopIfTrue="1" operator="lessThan">
      <formula>0</formula>
    </cfRule>
  </conditionalFormatting>
  <conditionalFormatting sqref="AW11">
    <cfRule type="cellIs" dxfId="943" priority="591" stopIfTrue="1" operator="greaterThan">
      <formula>0.03</formula>
    </cfRule>
    <cfRule type="cellIs" dxfId="942" priority="592" stopIfTrue="1" operator="lessThan">
      <formula>-0.03</formula>
    </cfRule>
  </conditionalFormatting>
  <conditionalFormatting sqref="AW11:AW16">
    <cfRule type="cellIs" dxfId="941" priority="593" stopIfTrue="1" operator="greaterThan">
      <formula>0</formula>
    </cfRule>
    <cfRule type="cellIs" dxfId="940" priority="594" stopIfTrue="1" operator="lessThan">
      <formula>0</formula>
    </cfRule>
  </conditionalFormatting>
  <conditionalFormatting sqref="AY11">
    <cfRule type="cellIs" dxfId="939" priority="587" stopIfTrue="1" operator="greaterThan">
      <formula>0.03</formula>
    </cfRule>
    <cfRule type="cellIs" dxfId="938" priority="588" stopIfTrue="1" operator="lessThan">
      <formula>-0.03</formula>
    </cfRule>
  </conditionalFormatting>
  <conditionalFormatting sqref="AY11:AY16">
    <cfRule type="cellIs" dxfId="937" priority="589" stopIfTrue="1" operator="greaterThan">
      <formula>0</formula>
    </cfRule>
    <cfRule type="cellIs" dxfId="936" priority="590" stopIfTrue="1" operator="lessThan">
      <formula>0</formula>
    </cfRule>
  </conditionalFormatting>
  <conditionalFormatting sqref="AP11:AP12">
    <cfRule type="cellIs" dxfId="935" priority="607" stopIfTrue="1" operator="greaterThan">
      <formula>0</formula>
    </cfRule>
    <cfRule type="cellIs" dxfId="934" priority="608" operator="lessThan">
      <formula>0</formula>
    </cfRule>
  </conditionalFormatting>
  <conditionalFormatting sqref="AP13">
    <cfRule type="cellIs" dxfId="933" priority="581" stopIfTrue="1" operator="greaterThan">
      <formula>0.03</formula>
    </cfRule>
    <cfRule type="cellIs" dxfId="932" priority="582" stopIfTrue="1" operator="lessThan">
      <formula>-0.03</formula>
    </cfRule>
  </conditionalFormatting>
  <conditionalFormatting sqref="AP13:AP14">
    <cfRule type="cellIs" dxfId="931" priority="583" stopIfTrue="1" operator="greaterThan">
      <formula>0</formula>
    </cfRule>
    <cfRule type="cellIs" dxfId="930" priority="584" operator="lessThan">
      <formula>0</formula>
    </cfRule>
  </conditionalFormatting>
  <conditionalFormatting sqref="AP15">
    <cfRule type="cellIs" dxfId="929" priority="577" stopIfTrue="1" operator="greaterThan">
      <formula>0.03</formula>
    </cfRule>
    <cfRule type="cellIs" dxfId="928" priority="578" stopIfTrue="1" operator="lessThan">
      <formula>-0.03</formula>
    </cfRule>
  </conditionalFormatting>
  <conditionalFormatting sqref="AP15:AP16">
    <cfRule type="cellIs" dxfId="927" priority="579" stopIfTrue="1" operator="greaterThan">
      <formula>0</formula>
    </cfRule>
    <cfRule type="cellIs" dxfId="926" priority="580" operator="lessThan">
      <formula>0</formula>
    </cfRule>
  </conditionalFormatting>
  <conditionalFormatting sqref="AT11">
    <cfRule type="cellIs" dxfId="925" priority="573" stopIfTrue="1" operator="greaterThan">
      <formula>0.03</formula>
    </cfRule>
    <cfRule type="cellIs" dxfId="924" priority="574" stopIfTrue="1" operator="lessThan">
      <formula>-0.03</formula>
    </cfRule>
  </conditionalFormatting>
  <conditionalFormatting sqref="AT11:AT12">
    <cfRule type="cellIs" dxfId="923" priority="575" stopIfTrue="1" operator="greaterThan">
      <formula>0</formula>
    </cfRule>
    <cfRule type="cellIs" dxfId="922" priority="576" operator="lessThan">
      <formula>0</formula>
    </cfRule>
  </conditionalFormatting>
  <conditionalFormatting sqref="AT13">
    <cfRule type="cellIs" dxfId="921" priority="569" stopIfTrue="1" operator="greaterThan">
      <formula>0.03</formula>
    </cfRule>
    <cfRule type="cellIs" dxfId="920" priority="570" stopIfTrue="1" operator="lessThan">
      <formula>-0.03</formula>
    </cfRule>
  </conditionalFormatting>
  <conditionalFormatting sqref="AT13:AT14">
    <cfRule type="cellIs" dxfId="919" priority="571" stopIfTrue="1" operator="greaterThan">
      <formula>0</formula>
    </cfRule>
    <cfRule type="cellIs" dxfId="918" priority="572" operator="lessThan">
      <formula>0</formula>
    </cfRule>
  </conditionalFormatting>
  <conditionalFormatting sqref="AT15">
    <cfRule type="cellIs" dxfId="917" priority="565" stopIfTrue="1" operator="greaterThan">
      <formula>0.03</formula>
    </cfRule>
    <cfRule type="cellIs" dxfId="916" priority="566" stopIfTrue="1" operator="lessThan">
      <formula>-0.03</formula>
    </cfRule>
  </conditionalFormatting>
  <conditionalFormatting sqref="AT15:AT16">
    <cfRule type="cellIs" dxfId="915" priority="567" stopIfTrue="1" operator="greaterThan">
      <formula>0</formula>
    </cfRule>
    <cfRule type="cellIs" dxfId="914" priority="568" operator="lessThan">
      <formula>0</formula>
    </cfRule>
  </conditionalFormatting>
  <conditionalFormatting sqref="AV11">
    <cfRule type="cellIs" dxfId="913" priority="561" stopIfTrue="1" operator="greaterThan">
      <formula>0.03</formula>
    </cfRule>
    <cfRule type="cellIs" dxfId="912" priority="562" stopIfTrue="1" operator="lessThan">
      <formula>-0.03</formula>
    </cfRule>
  </conditionalFormatting>
  <conditionalFormatting sqref="AV11:AV12">
    <cfRule type="cellIs" dxfId="911" priority="563" stopIfTrue="1" operator="greaterThan">
      <formula>0</formula>
    </cfRule>
    <cfRule type="cellIs" dxfId="910" priority="564" operator="lessThan">
      <formula>0</formula>
    </cfRule>
  </conditionalFormatting>
  <conditionalFormatting sqref="AV13">
    <cfRule type="cellIs" dxfId="909" priority="557" stopIfTrue="1" operator="greaterThan">
      <formula>0.03</formula>
    </cfRule>
    <cfRule type="cellIs" dxfId="908" priority="558" stopIfTrue="1" operator="lessThan">
      <formula>-0.03</formula>
    </cfRule>
  </conditionalFormatting>
  <conditionalFormatting sqref="AV13:AV14">
    <cfRule type="cellIs" dxfId="907" priority="559" stopIfTrue="1" operator="greaterThan">
      <formula>0</formula>
    </cfRule>
    <cfRule type="cellIs" dxfId="906" priority="560" operator="lessThan">
      <formula>0</formula>
    </cfRule>
  </conditionalFormatting>
  <conditionalFormatting sqref="AV15">
    <cfRule type="cellIs" dxfId="905" priority="553" stopIfTrue="1" operator="greaterThan">
      <formula>0.03</formula>
    </cfRule>
    <cfRule type="cellIs" dxfId="904" priority="554" stopIfTrue="1" operator="lessThan">
      <formula>-0.03</formula>
    </cfRule>
  </conditionalFormatting>
  <conditionalFormatting sqref="AV15:AV16">
    <cfRule type="cellIs" dxfId="903" priority="555" stopIfTrue="1" operator="greaterThan">
      <formula>0</formula>
    </cfRule>
    <cfRule type="cellIs" dxfId="902" priority="556" operator="lessThan">
      <formula>0</formula>
    </cfRule>
  </conditionalFormatting>
  <conditionalFormatting sqref="AP17 AP23 AP29 AP35">
    <cfRule type="cellIs" dxfId="901" priority="533" stopIfTrue="1" operator="greaterThan">
      <formula>0.03</formula>
    </cfRule>
    <cfRule type="cellIs" dxfId="900" priority="534" stopIfTrue="1" operator="lessThan">
      <formula>-0.03</formula>
    </cfRule>
  </conditionalFormatting>
  <conditionalFormatting sqref="AQ17 AQ23 AQ29 AQ35">
    <cfRule type="cellIs" dxfId="899" priority="547" stopIfTrue="1" operator="greaterThan">
      <formula>0.03</formula>
    </cfRule>
    <cfRule type="cellIs" dxfId="898" priority="548" stopIfTrue="1" operator="lessThan">
      <formula>-0.03</formula>
    </cfRule>
  </conditionalFormatting>
  <conditionalFormatting sqref="AQ17:AQ40">
    <cfRule type="cellIs" dxfId="897" priority="549" stopIfTrue="1" operator="greaterThan">
      <formula>0</formula>
    </cfRule>
    <cfRule type="cellIs" dxfId="896" priority="550" stopIfTrue="1" operator="lessThan">
      <formula>0</formula>
    </cfRule>
  </conditionalFormatting>
  <conditionalFormatting sqref="AR17:AS17 AR23:AS23 AR29:AS29 AR35:AS35">
    <cfRule type="cellIs" dxfId="895" priority="543" stopIfTrue="1" operator="greaterThan">
      <formula>0.03</formula>
    </cfRule>
    <cfRule type="cellIs" dxfId="894" priority="544" stopIfTrue="1" operator="lessThan">
      <formula>-0.03</formula>
    </cfRule>
  </conditionalFormatting>
  <conditionalFormatting sqref="AR17:AS40">
    <cfRule type="cellIs" dxfId="893" priority="545" stopIfTrue="1" operator="greaterThan">
      <formula>0</formula>
    </cfRule>
    <cfRule type="cellIs" dxfId="892" priority="546" stopIfTrue="1" operator="lessThan">
      <formula>0</formula>
    </cfRule>
  </conditionalFormatting>
  <conditionalFormatting sqref="AU17 AU23 AU29 AU35">
    <cfRule type="cellIs" dxfId="891" priority="539" stopIfTrue="1" operator="greaterThan">
      <formula>0.03</formula>
    </cfRule>
    <cfRule type="cellIs" dxfId="890" priority="540" stopIfTrue="1" operator="lessThan">
      <formula>-0.03</formula>
    </cfRule>
  </conditionalFormatting>
  <conditionalFormatting sqref="AU17:AU40">
    <cfRule type="cellIs" dxfId="889" priority="541" stopIfTrue="1" operator="greaterThan">
      <formula>0</formula>
    </cfRule>
    <cfRule type="cellIs" dxfId="888" priority="542" stopIfTrue="1" operator="lessThan">
      <formula>0</formula>
    </cfRule>
  </conditionalFormatting>
  <conditionalFormatting sqref="AW17 AW23 AW29 AW35">
    <cfRule type="cellIs" dxfId="887" priority="535" stopIfTrue="1" operator="greaterThan">
      <formula>0.03</formula>
    </cfRule>
    <cfRule type="cellIs" dxfId="886" priority="536" stopIfTrue="1" operator="lessThan">
      <formula>-0.03</formula>
    </cfRule>
  </conditionalFormatting>
  <conditionalFormatting sqref="AW17:AW40">
    <cfRule type="cellIs" dxfId="885" priority="537" stopIfTrue="1" operator="greaterThan">
      <formula>0</formula>
    </cfRule>
    <cfRule type="cellIs" dxfId="884" priority="538" stopIfTrue="1" operator="lessThan">
      <formula>0</formula>
    </cfRule>
  </conditionalFormatting>
  <conditionalFormatting sqref="AP17:AP18 AP23:AP24 AP29:AP30 AP35:AP36">
    <cfRule type="cellIs" dxfId="883" priority="551" stopIfTrue="1" operator="greaterThan">
      <formula>0</formula>
    </cfRule>
    <cfRule type="cellIs" dxfId="882" priority="552" operator="lessThan">
      <formula>0</formula>
    </cfRule>
  </conditionalFormatting>
  <conditionalFormatting sqref="AP19 AP25 AP31 AP37">
    <cfRule type="cellIs" dxfId="881" priority="529" stopIfTrue="1" operator="greaterThan">
      <formula>0.03</formula>
    </cfRule>
    <cfRule type="cellIs" dxfId="880" priority="530" stopIfTrue="1" operator="lessThan">
      <formula>-0.03</formula>
    </cfRule>
  </conditionalFormatting>
  <conditionalFormatting sqref="AP19:AP20 AP25:AP26 AP31:AP32 AP37:AP38">
    <cfRule type="cellIs" dxfId="879" priority="531" stopIfTrue="1" operator="greaterThan">
      <formula>0</formula>
    </cfRule>
    <cfRule type="cellIs" dxfId="878" priority="532" operator="lessThan">
      <formula>0</formula>
    </cfRule>
  </conditionalFormatting>
  <conditionalFormatting sqref="AP21 AP27 AP33 AP39">
    <cfRule type="cellIs" dxfId="877" priority="525" stopIfTrue="1" operator="greaterThan">
      <formula>0.03</formula>
    </cfRule>
    <cfRule type="cellIs" dxfId="876" priority="526" stopIfTrue="1" operator="lessThan">
      <formula>-0.03</formula>
    </cfRule>
  </conditionalFormatting>
  <conditionalFormatting sqref="AP21:AP22 AP27:AP28 AP33:AP34 AP39:AP40">
    <cfRule type="cellIs" dxfId="875" priority="527" stopIfTrue="1" operator="greaterThan">
      <formula>0</formula>
    </cfRule>
    <cfRule type="cellIs" dxfId="874" priority="528" operator="lessThan">
      <formula>0</formula>
    </cfRule>
  </conditionalFormatting>
  <conditionalFormatting sqref="AT17 AT23 AT29 AT35">
    <cfRule type="cellIs" dxfId="873" priority="521" stopIfTrue="1" operator="greaterThan">
      <formula>0.03</formula>
    </cfRule>
    <cfRule type="cellIs" dxfId="872" priority="522" stopIfTrue="1" operator="lessThan">
      <formula>-0.03</formula>
    </cfRule>
  </conditionalFormatting>
  <conditionalFormatting sqref="AT17:AT18 AT23:AT24 AT29:AT30 AT35:AT36">
    <cfRule type="cellIs" dxfId="871" priority="523" stopIfTrue="1" operator="greaterThan">
      <formula>0</formula>
    </cfRule>
    <cfRule type="cellIs" dxfId="870" priority="524" operator="lessThan">
      <formula>0</formula>
    </cfRule>
  </conditionalFormatting>
  <conditionalFormatting sqref="AT19 AT25 AT31 AT37">
    <cfRule type="cellIs" dxfId="869" priority="517" stopIfTrue="1" operator="greaterThan">
      <formula>0.03</formula>
    </cfRule>
    <cfRule type="cellIs" dxfId="868" priority="518" stopIfTrue="1" operator="lessThan">
      <formula>-0.03</formula>
    </cfRule>
  </conditionalFormatting>
  <conditionalFormatting sqref="AT19:AT20 AT25:AT26 AT31:AT32 AT37:AT38">
    <cfRule type="cellIs" dxfId="867" priority="519" stopIfTrue="1" operator="greaterThan">
      <formula>0</formula>
    </cfRule>
    <cfRule type="cellIs" dxfId="866" priority="520" operator="lessThan">
      <formula>0</formula>
    </cfRule>
  </conditionalFormatting>
  <conditionalFormatting sqref="AT21 AT27 AT33 AT39">
    <cfRule type="cellIs" dxfId="865" priority="513" stopIfTrue="1" operator="greaterThan">
      <formula>0.03</formula>
    </cfRule>
    <cfRule type="cellIs" dxfId="864" priority="514" stopIfTrue="1" operator="lessThan">
      <formula>-0.03</formula>
    </cfRule>
  </conditionalFormatting>
  <conditionalFormatting sqref="AT21:AT22 AT27:AT28 AT33:AT34 AT39:AT40">
    <cfRule type="cellIs" dxfId="863" priority="515" stopIfTrue="1" operator="greaterThan">
      <formula>0</formula>
    </cfRule>
    <cfRule type="cellIs" dxfId="862" priority="516" operator="lessThan">
      <formula>0</formula>
    </cfRule>
  </conditionalFormatting>
  <conditionalFormatting sqref="AV17 AV23 AV29 AV35">
    <cfRule type="cellIs" dxfId="861" priority="509" stopIfTrue="1" operator="greaterThan">
      <formula>0.03</formula>
    </cfRule>
    <cfRule type="cellIs" dxfId="860" priority="510" stopIfTrue="1" operator="lessThan">
      <formula>-0.03</formula>
    </cfRule>
  </conditionalFormatting>
  <conditionalFormatting sqref="AV17:AV18 AV23:AV24 AV29:AV30 AV35:AV36">
    <cfRule type="cellIs" dxfId="859" priority="511" stopIfTrue="1" operator="greaterThan">
      <formula>0</formula>
    </cfRule>
    <cfRule type="cellIs" dxfId="858" priority="512" operator="lessThan">
      <formula>0</formula>
    </cfRule>
  </conditionalFormatting>
  <conditionalFormatting sqref="AV19 AV25 AV31 AV37">
    <cfRule type="cellIs" dxfId="857" priority="505" stopIfTrue="1" operator="greaterThan">
      <formula>0.03</formula>
    </cfRule>
    <cfRule type="cellIs" dxfId="856" priority="506" stopIfTrue="1" operator="lessThan">
      <formula>-0.03</formula>
    </cfRule>
  </conditionalFormatting>
  <conditionalFormatting sqref="AV19:AV20 AV25:AV26 AV31:AV32 AV37:AV38">
    <cfRule type="cellIs" dxfId="855" priority="507" stopIfTrue="1" operator="greaterThan">
      <formula>0</formula>
    </cfRule>
    <cfRule type="cellIs" dxfId="854" priority="508" operator="lessThan">
      <formula>0</formula>
    </cfRule>
  </conditionalFormatting>
  <conditionalFormatting sqref="AV21 AV27 AV33 AV39">
    <cfRule type="cellIs" dxfId="853" priority="501" stopIfTrue="1" operator="greaterThan">
      <formula>0.03</formula>
    </cfRule>
    <cfRule type="cellIs" dxfId="852" priority="502" stopIfTrue="1" operator="lessThan">
      <formula>-0.03</formula>
    </cfRule>
  </conditionalFormatting>
  <conditionalFormatting sqref="AV21:AV22 AV27:AV28 AV33:AV34 AV39:AV40">
    <cfRule type="cellIs" dxfId="851" priority="503" stopIfTrue="1" operator="greaterThan">
      <formula>0</formula>
    </cfRule>
    <cfRule type="cellIs" dxfId="850" priority="504" operator="lessThan">
      <formula>0</formula>
    </cfRule>
  </conditionalFormatting>
  <conditionalFormatting sqref="BA11">
    <cfRule type="cellIs" dxfId="849" priority="333" stopIfTrue="1" operator="greaterThan">
      <formula>0.03</formula>
    </cfRule>
    <cfRule type="cellIs" dxfId="848" priority="334" stopIfTrue="1" operator="lessThan">
      <formula>-0.03</formula>
    </cfRule>
  </conditionalFormatting>
  <conditionalFormatting sqref="BA11:BA16">
    <cfRule type="cellIs" dxfId="847" priority="335" stopIfTrue="1" operator="greaterThan">
      <formula>0</formula>
    </cfRule>
    <cfRule type="cellIs" dxfId="846" priority="336" stopIfTrue="1" operator="lessThan">
      <formula>0</formula>
    </cfRule>
  </conditionalFormatting>
  <conditionalFormatting sqref="AZ11">
    <cfRule type="cellIs" dxfId="845" priority="329" stopIfTrue="1" operator="greaterThan">
      <formula>0.03</formula>
    </cfRule>
    <cfRule type="cellIs" dxfId="844" priority="330" stopIfTrue="1" operator="lessThan">
      <formula>-0.03</formula>
    </cfRule>
  </conditionalFormatting>
  <conditionalFormatting sqref="AZ11:AZ12">
    <cfRule type="cellIs" dxfId="843" priority="331" stopIfTrue="1" operator="greaterThan">
      <formula>0</formula>
    </cfRule>
    <cfRule type="cellIs" dxfId="842" priority="332" operator="lessThan">
      <formula>0</formula>
    </cfRule>
  </conditionalFormatting>
  <conditionalFormatting sqref="AZ13">
    <cfRule type="cellIs" dxfId="841" priority="325" stopIfTrue="1" operator="greaterThan">
      <formula>0.03</formula>
    </cfRule>
    <cfRule type="cellIs" dxfId="840" priority="326" stopIfTrue="1" operator="lessThan">
      <formula>-0.03</formula>
    </cfRule>
  </conditionalFormatting>
  <conditionalFormatting sqref="AZ13:AZ14">
    <cfRule type="cellIs" dxfId="839" priority="327" stopIfTrue="1" operator="greaterThan">
      <formula>0</formula>
    </cfRule>
    <cfRule type="cellIs" dxfId="838" priority="328" operator="lessThan">
      <formula>0</formula>
    </cfRule>
  </conditionalFormatting>
  <conditionalFormatting sqref="AZ15">
    <cfRule type="cellIs" dxfId="837" priority="321" stopIfTrue="1" operator="greaterThan">
      <formula>0.03</formula>
    </cfRule>
    <cfRule type="cellIs" dxfId="836" priority="322" stopIfTrue="1" operator="lessThan">
      <formula>-0.03</formula>
    </cfRule>
  </conditionalFormatting>
  <conditionalFormatting sqref="AZ15:AZ16">
    <cfRule type="cellIs" dxfId="835" priority="323" stopIfTrue="1" operator="greaterThan">
      <formula>0</formula>
    </cfRule>
    <cfRule type="cellIs" dxfId="834" priority="324" operator="lessThan">
      <formula>0</formula>
    </cfRule>
  </conditionalFormatting>
  <conditionalFormatting sqref="BA5">
    <cfRule type="cellIs" dxfId="833" priority="317" stopIfTrue="1" operator="greaterThan">
      <formula>0.03</formula>
    </cfRule>
    <cfRule type="cellIs" dxfId="832" priority="318" stopIfTrue="1" operator="lessThan">
      <formula>-0.03</formula>
    </cfRule>
  </conditionalFormatting>
  <conditionalFormatting sqref="BA5:BA10">
    <cfRule type="cellIs" dxfId="831" priority="319" stopIfTrue="1" operator="greaterThan">
      <formula>0</formula>
    </cfRule>
    <cfRule type="cellIs" dxfId="830" priority="320" stopIfTrue="1" operator="lessThan">
      <formula>0</formula>
    </cfRule>
  </conditionalFormatting>
  <conditionalFormatting sqref="AZ5">
    <cfRule type="cellIs" dxfId="829" priority="313" stopIfTrue="1" operator="greaterThan">
      <formula>0.03</formula>
    </cfRule>
    <cfRule type="cellIs" dxfId="828" priority="314" stopIfTrue="1" operator="lessThan">
      <formula>-0.03</formula>
    </cfRule>
  </conditionalFormatting>
  <conditionalFormatting sqref="AZ5:AZ6">
    <cfRule type="cellIs" dxfId="827" priority="315" stopIfTrue="1" operator="greaterThan">
      <formula>0</formula>
    </cfRule>
    <cfRule type="cellIs" dxfId="826" priority="316" operator="lessThan">
      <formula>0</formula>
    </cfRule>
  </conditionalFormatting>
  <conditionalFormatting sqref="AZ7">
    <cfRule type="cellIs" dxfId="825" priority="309" stopIfTrue="1" operator="greaterThan">
      <formula>0.03</formula>
    </cfRule>
    <cfRule type="cellIs" dxfId="824" priority="310" stopIfTrue="1" operator="lessThan">
      <formula>-0.03</formula>
    </cfRule>
  </conditionalFormatting>
  <conditionalFormatting sqref="AZ7:AZ8">
    <cfRule type="cellIs" dxfId="823" priority="311" stopIfTrue="1" operator="greaterThan">
      <formula>0</formula>
    </cfRule>
    <cfRule type="cellIs" dxfId="822" priority="312" operator="lessThan">
      <formula>0</formula>
    </cfRule>
  </conditionalFormatting>
  <conditionalFormatting sqref="AZ9">
    <cfRule type="cellIs" dxfId="821" priority="305" stopIfTrue="1" operator="greaterThan">
      <formula>0.03</formula>
    </cfRule>
    <cfRule type="cellIs" dxfId="820" priority="306" stopIfTrue="1" operator="lessThan">
      <formula>-0.03</formula>
    </cfRule>
  </conditionalFormatting>
  <conditionalFormatting sqref="AZ9:AZ10">
    <cfRule type="cellIs" dxfId="819" priority="307" stopIfTrue="1" operator="greaterThan">
      <formula>0</formula>
    </cfRule>
    <cfRule type="cellIs" dxfId="818" priority="308" operator="lessThan">
      <formula>0</formula>
    </cfRule>
  </conditionalFormatting>
  <conditionalFormatting sqref="BA17">
    <cfRule type="cellIs" dxfId="817" priority="301" stopIfTrue="1" operator="greaterThan">
      <formula>0.03</formula>
    </cfRule>
    <cfRule type="cellIs" dxfId="816" priority="302" stopIfTrue="1" operator="lessThan">
      <formula>-0.03</formula>
    </cfRule>
  </conditionalFormatting>
  <conditionalFormatting sqref="BA17:BA22">
    <cfRule type="cellIs" dxfId="815" priority="303" stopIfTrue="1" operator="greaterThan">
      <formula>0</formula>
    </cfRule>
    <cfRule type="cellIs" dxfId="814" priority="304" stopIfTrue="1" operator="lessThan">
      <formula>0</formula>
    </cfRule>
  </conditionalFormatting>
  <conditionalFormatting sqref="AZ17">
    <cfRule type="cellIs" dxfId="813" priority="297" stopIfTrue="1" operator="greaterThan">
      <formula>0.03</formula>
    </cfRule>
    <cfRule type="cellIs" dxfId="812" priority="298" stopIfTrue="1" operator="lessThan">
      <formula>-0.03</formula>
    </cfRule>
  </conditionalFormatting>
  <conditionalFormatting sqref="AZ17:AZ18">
    <cfRule type="cellIs" dxfId="811" priority="299" stopIfTrue="1" operator="greaterThan">
      <formula>0</formula>
    </cfRule>
    <cfRule type="cellIs" dxfId="810" priority="300" operator="lessThan">
      <formula>0</formula>
    </cfRule>
  </conditionalFormatting>
  <conditionalFormatting sqref="AZ19">
    <cfRule type="cellIs" dxfId="809" priority="293" stopIfTrue="1" operator="greaterThan">
      <formula>0.03</formula>
    </cfRule>
    <cfRule type="cellIs" dxfId="808" priority="294" stopIfTrue="1" operator="lessThan">
      <formula>-0.03</formula>
    </cfRule>
  </conditionalFormatting>
  <conditionalFormatting sqref="AZ19:AZ20">
    <cfRule type="cellIs" dxfId="807" priority="295" stopIfTrue="1" operator="greaterThan">
      <formula>0</formula>
    </cfRule>
    <cfRule type="cellIs" dxfId="806" priority="296" operator="lessThan">
      <formula>0</formula>
    </cfRule>
  </conditionalFormatting>
  <conditionalFormatting sqref="AZ21">
    <cfRule type="cellIs" dxfId="805" priority="289" stopIfTrue="1" operator="greaterThan">
      <formula>0.03</formula>
    </cfRule>
    <cfRule type="cellIs" dxfId="804" priority="290" stopIfTrue="1" operator="lessThan">
      <formula>-0.03</formula>
    </cfRule>
  </conditionalFormatting>
  <conditionalFormatting sqref="AZ21:AZ22">
    <cfRule type="cellIs" dxfId="803" priority="291" stopIfTrue="1" operator="greaterThan">
      <formula>0</formula>
    </cfRule>
    <cfRule type="cellIs" dxfId="802" priority="292" operator="lessThan">
      <formula>0</formula>
    </cfRule>
  </conditionalFormatting>
  <conditionalFormatting sqref="BA29">
    <cfRule type="cellIs" dxfId="801" priority="285" stopIfTrue="1" operator="greaterThan">
      <formula>0.03</formula>
    </cfRule>
    <cfRule type="cellIs" dxfId="800" priority="286" stopIfTrue="1" operator="lessThan">
      <formula>-0.03</formula>
    </cfRule>
  </conditionalFormatting>
  <conditionalFormatting sqref="BA29:BA34">
    <cfRule type="cellIs" dxfId="799" priority="287" stopIfTrue="1" operator="greaterThan">
      <formula>0</formula>
    </cfRule>
    <cfRule type="cellIs" dxfId="798" priority="288" stopIfTrue="1" operator="lessThan">
      <formula>0</formula>
    </cfRule>
  </conditionalFormatting>
  <conditionalFormatting sqref="AZ29">
    <cfRule type="cellIs" dxfId="797" priority="281" stopIfTrue="1" operator="greaterThan">
      <formula>0.03</formula>
    </cfRule>
    <cfRule type="cellIs" dxfId="796" priority="282" stopIfTrue="1" operator="lessThan">
      <formula>-0.03</formula>
    </cfRule>
  </conditionalFormatting>
  <conditionalFormatting sqref="AZ29:AZ30">
    <cfRule type="cellIs" dxfId="795" priority="283" stopIfTrue="1" operator="greaterThan">
      <formula>0</formula>
    </cfRule>
    <cfRule type="cellIs" dxfId="794" priority="284" operator="lessThan">
      <formula>0</formula>
    </cfRule>
  </conditionalFormatting>
  <conditionalFormatting sqref="AZ31">
    <cfRule type="cellIs" dxfId="793" priority="277" stopIfTrue="1" operator="greaterThan">
      <formula>0.03</formula>
    </cfRule>
    <cfRule type="cellIs" dxfId="792" priority="278" stopIfTrue="1" operator="lessThan">
      <formula>-0.03</formula>
    </cfRule>
  </conditionalFormatting>
  <conditionalFormatting sqref="AZ31:AZ32">
    <cfRule type="cellIs" dxfId="791" priority="279" stopIfTrue="1" operator="greaterThan">
      <formula>0</formula>
    </cfRule>
    <cfRule type="cellIs" dxfId="790" priority="280" operator="lessThan">
      <formula>0</formula>
    </cfRule>
  </conditionalFormatting>
  <conditionalFormatting sqref="AZ33">
    <cfRule type="cellIs" dxfId="789" priority="273" stopIfTrue="1" operator="greaterThan">
      <formula>0.03</formula>
    </cfRule>
    <cfRule type="cellIs" dxfId="788" priority="274" stopIfTrue="1" operator="lessThan">
      <formula>-0.03</formula>
    </cfRule>
  </conditionalFormatting>
  <conditionalFormatting sqref="AZ33:AZ34">
    <cfRule type="cellIs" dxfId="787" priority="275" stopIfTrue="1" operator="greaterThan">
      <formula>0</formula>
    </cfRule>
    <cfRule type="cellIs" dxfId="786" priority="276" operator="lessThan">
      <formula>0</formula>
    </cfRule>
  </conditionalFormatting>
  <conditionalFormatting sqref="BA23">
    <cfRule type="cellIs" dxfId="785" priority="269" stopIfTrue="1" operator="greaterThan">
      <formula>0.03</formula>
    </cfRule>
    <cfRule type="cellIs" dxfId="784" priority="270" stopIfTrue="1" operator="lessThan">
      <formula>-0.03</formula>
    </cfRule>
  </conditionalFormatting>
  <conditionalFormatting sqref="BA23:BA28">
    <cfRule type="cellIs" dxfId="783" priority="271" stopIfTrue="1" operator="greaterThan">
      <formula>0</formula>
    </cfRule>
    <cfRule type="cellIs" dxfId="782" priority="272" stopIfTrue="1" operator="lessThan">
      <formula>0</formula>
    </cfRule>
  </conditionalFormatting>
  <conditionalFormatting sqref="AZ23">
    <cfRule type="cellIs" dxfId="781" priority="265" stopIfTrue="1" operator="greaterThan">
      <formula>0.03</formula>
    </cfRule>
    <cfRule type="cellIs" dxfId="780" priority="266" stopIfTrue="1" operator="lessThan">
      <formula>-0.03</formula>
    </cfRule>
  </conditionalFormatting>
  <conditionalFormatting sqref="AZ23:AZ24">
    <cfRule type="cellIs" dxfId="779" priority="267" stopIfTrue="1" operator="greaterThan">
      <formula>0</formula>
    </cfRule>
    <cfRule type="cellIs" dxfId="778" priority="268" operator="lessThan">
      <formula>0</formula>
    </cfRule>
  </conditionalFormatting>
  <conditionalFormatting sqref="AZ25">
    <cfRule type="cellIs" dxfId="777" priority="261" stopIfTrue="1" operator="greaterThan">
      <formula>0.03</formula>
    </cfRule>
    <cfRule type="cellIs" dxfId="776" priority="262" stopIfTrue="1" operator="lessThan">
      <formula>-0.03</formula>
    </cfRule>
  </conditionalFormatting>
  <conditionalFormatting sqref="AZ25:AZ26">
    <cfRule type="cellIs" dxfId="775" priority="263" stopIfTrue="1" operator="greaterThan">
      <formula>0</formula>
    </cfRule>
    <cfRule type="cellIs" dxfId="774" priority="264" operator="lessThan">
      <formula>0</formula>
    </cfRule>
  </conditionalFormatting>
  <conditionalFormatting sqref="AZ27">
    <cfRule type="cellIs" dxfId="773" priority="257" stopIfTrue="1" operator="greaterThan">
      <formula>0.03</formula>
    </cfRule>
    <cfRule type="cellIs" dxfId="772" priority="258" stopIfTrue="1" operator="lessThan">
      <formula>-0.03</formula>
    </cfRule>
  </conditionalFormatting>
  <conditionalFormatting sqref="AZ27:AZ28">
    <cfRule type="cellIs" dxfId="771" priority="259" stopIfTrue="1" operator="greaterThan">
      <formula>0</formula>
    </cfRule>
    <cfRule type="cellIs" dxfId="770" priority="260" operator="lessThan">
      <formula>0</formula>
    </cfRule>
  </conditionalFormatting>
  <conditionalFormatting sqref="BA35">
    <cfRule type="cellIs" dxfId="769" priority="253" stopIfTrue="1" operator="greaterThan">
      <formula>0.03</formula>
    </cfRule>
    <cfRule type="cellIs" dxfId="768" priority="254" stopIfTrue="1" operator="lessThan">
      <formula>-0.03</formula>
    </cfRule>
  </conditionalFormatting>
  <conditionalFormatting sqref="BA35:BA40">
    <cfRule type="cellIs" dxfId="767" priority="255" stopIfTrue="1" operator="greaterThan">
      <formula>0</formula>
    </cfRule>
    <cfRule type="cellIs" dxfId="766" priority="256" stopIfTrue="1" operator="lessThan">
      <formula>0</formula>
    </cfRule>
  </conditionalFormatting>
  <conditionalFormatting sqref="AZ35">
    <cfRule type="cellIs" dxfId="765" priority="249" stopIfTrue="1" operator="greaterThan">
      <formula>0.03</formula>
    </cfRule>
    <cfRule type="cellIs" dxfId="764" priority="250" stopIfTrue="1" operator="lessThan">
      <formula>-0.03</formula>
    </cfRule>
  </conditionalFormatting>
  <conditionalFormatting sqref="AZ35:AZ36">
    <cfRule type="cellIs" dxfId="763" priority="251" stopIfTrue="1" operator="greaterThan">
      <formula>0</formula>
    </cfRule>
    <cfRule type="cellIs" dxfId="762" priority="252" operator="lessThan">
      <formula>0</formula>
    </cfRule>
  </conditionalFormatting>
  <conditionalFormatting sqref="AZ37">
    <cfRule type="cellIs" dxfId="761" priority="245" stopIfTrue="1" operator="greaterThan">
      <formula>0.03</formula>
    </cfRule>
    <cfRule type="cellIs" dxfId="760" priority="246" stopIfTrue="1" operator="lessThan">
      <formula>-0.03</formula>
    </cfRule>
  </conditionalFormatting>
  <conditionalFormatting sqref="AZ37:AZ38">
    <cfRule type="cellIs" dxfId="759" priority="247" stopIfTrue="1" operator="greaterThan">
      <formula>0</formula>
    </cfRule>
    <cfRule type="cellIs" dxfId="758" priority="248" operator="lessThan">
      <formula>0</formula>
    </cfRule>
  </conditionalFormatting>
  <conditionalFormatting sqref="AZ39">
    <cfRule type="cellIs" dxfId="757" priority="241" stopIfTrue="1" operator="greaterThan">
      <formula>0.03</formula>
    </cfRule>
    <cfRule type="cellIs" dxfId="756" priority="242" stopIfTrue="1" operator="lessThan">
      <formula>-0.03</formula>
    </cfRule>
  </conditionalFormatting>
  <conditionalFormatting sqref="AZ39:AZ40">
    <cfRule type="cellIs" dxfId="755" priority="243" stopIfTrue="1" operator="greaterThan">
      <formula>0</formula>
    </cfRule>
    <cfRule type="cellIs" dxfId="754" priority="244" operator="lessThan">
      <formula>0</formula>
    </cfRule>
  </conditionalFormatting>
  <conditionalFormatting sqref="AX11">
    <cfRule type="cellIs" dxfId="753" priority="237" stopIfTrue="1" operator="greaterThan">
      <formula>0.03</formula>
    </cfRule>
    <cfRule type="cellIs" dxfId="752" priority="238" stopIfTrue="1" operator="lessThan">
      <formula>-0.03</formula>
    </cfRule>
  </conditionalFormatting>
  <conditionalFormatting sqref="AX11:AX12">
    <cfRule type="cellIs" dxfId="751" priority="239" stopIfTrue="1" operator="greaterThan">
      <formula>0</formula>
    </cfRule>
    <cfRule type="cellIs" dxfId="750" priority="240" operator="lessThan">
      <formula>0</formula>
    </cfRule>
  </conditionalFormatting>
  <conditionalFormatting sqref="AX13">
    <cfRule type="cellIs" dxfId="749" priority="233" stopIfTrue="1" operator="greaterThan">
      <formula>0.03</formula>
    </cfRule>
    <cfRule type="cellIs" dxfId="748" priority="234" stopIfTrue="1" operator="lessThan">
      <formula>-0.03</formula>
    </cfRule>
  </conditionalFormatting>
  <conditionalFormatting sqref="AX13:AX14">
    <cfRule type="cellIs" dxfId="747" priority="235" stopIfTrue="1" operator="greaterThan">
      <formula>0</formula>
    </cfRule>
    <cfRule type="cellIs" dxfId="746" priority="236" operator="lessThan">
      <formula>0</formula>
    </cfRule>
  </conditionalFormatting>
  <conditionalFormatting sqref="AX15">
    <cfRule type="cellIs" dxfId="745" priority="229" stopIfTrue="1" operator="greaterThan">
      <formula>0.03</formula>
    </cfRule>
    <cfRule type="cellIs" dxfId="744" priority="230" stopIfTrue="1" operator="lessThan">
      <formula>-0.03</formula>
    </cfRule>
  </conditionalFormatting>
  <conditionalFormatting sqref="AX15:AX16">
    <cfRule type="cellIs" dxfId="743" priority="231" stopIfTrue="1" operator="greaterThan">
      <formula>0</formula>
    </cfRule>
    <cfRule type="cellIs" dxfId="742" priority="232" operator="lessThan">
      <formula>0</formula>
    </cfRule>
  </conditionalFormatting>
  <conditionalFormatting sqref="AY17">
    <cfRule type="cellIs" dxfId="741" priority="225" stopIfTrue="1" operator="greaterThan">
      <formula>0.03</formula>
    </cfRule>
    <cfRule type="cellIs" dxfId="740" priority="226" stopIfTrue="1" operator="lessThan">
      <formula>-0.03</formula>
    </cfRule>
  </conditionalFormatting>
  <conditionalFormatting sqref="AY17:AY22">
    <cfRule type="cellIs" dxfId="739" priority="227" stopIfTrue="1" operator="greaterThan">
      <formula>0</formula>
    </cfRule>
    <cfRule type="cellIs" dxfId="738" priority="228" stopIfTrue="1" operator="lessThan">
      <formula>0</formula>
    </cfRule>
  </conditionalFormatting>
  <conditionalFormatting sqref="AX17">
    <cfRule type="cellIs" dxfId="737" priority="221" stopIfTrue="1" operator="greaterThan">
      <formula>0.03</formula>
    </cfRule>
    <cfRule type="cellIs" dxfId="736" priority="222" stopIfTrue="1" operator="lessThan">
      <formula>-0.03</formula>
    </cfRule>
  </conditionalFormatting>
  <conditionalFormatting sqref="AX17:AX18">
    <cfRule type="cellIs" dxfId="735" priority="223" stopIfTrue="1" operator="greaterThan">
      <formula>0</formula>
    </cfRule>
    <cfRule type="cellIs" dxfId="734" priority="224" operator="lessThan">
      <formula>0</formula>
    </cfRule>
  </conditionalFormatting>
  <conditionalFormatting sqref="AX19">
    <cfRule type="cellIs" dxfId="733" priority="217" stopIfTrue="1" operator="greaterThan">
      <formula>0.03</formula>
    </cfRule>
    <cfRule type="cellIs" dxfId="732" priority="218" stopIfTrue="1" operator="lessThan">
      <formula>-0.03</formula>
    </cfRule>
  </conditionalFormatting>
  <conditionalFormatting sqref="AX19:AX20">
    <cfRule type="cellIs" dxfId="731" priority="219" stopIfTrue="1" operator="greaterThan">
      <formula>0</formula>
    </cfRule>
    <cfRule type="cellIs" dxfId="730" priority="220" operator="lessThan">
      <formula>0</formula>
    </cfRule>
  </conditionalFormatting>
  <conditionalFormatting sqref="AX21">
    <cfRule type="cellIs" dxfId="729" priority="213" stopIfTrue="1" operator="greaterThan">
      <formula>0.03</formula>
    </cfRule>
    <cfRule type="cellIs" dxfId="728" priority="214" stopIfTrue="1" operator="lessThan">
      <formula>-0.03</formula>
    </cfRule>
  </conditionalFormatting>
  <conditionalFormatting sqref="AX21:AX22">
    <cfRule type="cellIs" dxfId="727" priority="215" stopIfTrue="1" operator="greaterThan">
      <formula>0</formula>
    </cfRule>
    <cfRule type="cellIs" dxfId="726" priority="216" operator="lessThan">
      <formula>0</formula>
    </cfRule>
  </conditionalFormatting>
  <conditionalFormatting sqref="AY23">
    <cfRule type="cellIs" dxfId="725" priority="209" stopIfTrue="1" operator="greaterThan">
      <formula>0.03</formula>
    </cfRule>
    <cfRule type="cellIs" dxfId="724" priority="210" stopIfTrue="1" operator="lessThan">
      <formula>-0.03</formula>
    </cfRule>
  </conditionalFormatting>
  <conditionalFormatting sqref="AY23:AY28">
    <cfRule type="cellIs" dxfId="723" priority="211" stopIfTrue="1" operator="greaterThan">
      <formula>0</formula>
    </cfRule>
    <cfRule type="cellIs" dxfId="722" priority="212" stopIfTrue="1" operator="lessThan">
      <formula>0</formula>
    </cfRule>
  </conditionalFormatting>
  <conditionalFormatting sqref="AX23">
    <cfRule type="cellIs" dxfId="721" priority="205" stopIfTrue="1" operator="greaterThan">
      <formula>0.03</formula>
    </cfRule>
    <cfRule type="cellIs" dxfId="720" priority="206" stopIfTrue="1" operator="lessThan">
      <formula>-0.03</formula>
    </cfRule>
  </conditionalFormatting>
  <conditionalFormatting sqref="AX23:AX24">
    <cfRule type="cellIs" dxfId="719" priority="207" stopIfTrue="1" operator="greaterThan">
      <formula>0</formula>
    </cfRule>
    <cfRule type="cellIs" dxfId="718" priority="208" operator="lessThan">
      <formula>0</formula>
    </cfRule>
  </conditionalFormatting>
  <conditionalFormatting sqref="AX25">
    <cfRule type="cellIs" dxfId="717" priority="201" stopIfTrue="1" operator="greaterThan">
      <formula>0.03</formula>
    </cfRule>
    <cfRule type="cellIs" dxfId="716" priority="202" stopIfTrue="1" operator="lessThan">
      <formula>-0.03</formula>
    </cfRule>
  </conditionalFormatting>
  <conditionalFormatting sqref="AX25:AX26">
    <cfRule type="cellIs" dxfId="715" priority="203" stopIfTrue="1" operator="greaterThan">
      <formula>0</formula>
    </cfRule>
    <cfRule type="cellIs" dxfId="714" priority="204" operator="lessThan">
      <formula>0</formula>
    </cfRule>
  </conditionalFormatting>
  <conditionalFormatting sqref="AX27">
    <cfRule type="cellIs" dxfId="713" priority="197" stopIfTrue="1" operator="greaterThan">
      <formula>0.03</formula>
    </cfRule>
    <cfRule type="cellIs" dxfId="712" priority="198" stopIfTrue="1" operator="lessThan">
      <formula>-0.03</formula>
    </cfRule>
  </conditionalFormatting>
  <conditionalFormatting sqref="AX27:AX28">
    <cfRule type="cellIs" dxfId="711" priority="199" stopIfTrue="1" operator="greaterThan">
      <formula>0</formula>
    </cfRule>
    <cfRule type="cellIs" dxfId="710" priority="200" operator="lessThan">
      <formula>0</formula>
    </cfRule>
  </conditionalFormatting>
  <conditionalFormatting sqref="AY29">
    <cfRule type="cellIs" dxfId="709" priority="193" stopIfTrue="1" operator="greaterThan">
      <formula>0.03</formula>
    </cfRule>
    <cfRule type="cellIs" dxfId="708" priority="194" stopIfTrue="1" operator="lessThan">
      <formula>-0.03</formula>
    </cfRule>
  </conditionalFormatting>
  <conditionalFormatting sqref="AY29:AY34">
    <cfRule type="cellIs" dxfId="707" priority="195" stopIfTrue="1" operator="greaterThan">
      <formula>0</formula>
    </cfRule>
    <cfRule type="cellIs" dxfId="706" priority="196" stopIfTrue="1" operator="lessThan">
      <formula>0</formula>
    </cfRule>
  </conditionalFormatting>
  <conditionalFormatting sqref="AX29">
    <cfRule type="cellIs" dxfId="705" priority="189" stopIfTrue="1" operator="greaterThan">
      <formula>0.03</formula>
    </cfRule>
    <cfRule type="cellIs" dxfId="704" priority="190" stopIfTrue="1" operator="lessThan">
      <formula>-0.03</formula>
    </cfRule>
  </conditionalFormatting>
  <conditionalFormatting sqref="AX29:AX30">
    <cfRule type="cellIs" dxfId="703" priority="191" stopIfTrue="1" operator="greaterThan">
      <formula>0</formula>
    </cfRule>
    <cfRule type="cellIs" dxfId="702" priority="192" operator="lessThan">
      <formula>0</formula>
    </cfRule>
  </conditionalFormatting>
  <conditionalFormatting sqref="AX31">
    <cfRule type="cellIs" dxfId="701" priority="185" stopIfTrue="1" operator="greaterThan">
      <formula>0.03</formula>
    </cfRule>
    <cfRule type="cellIs" dxfId="700" priority="186" stopIfTrue="1" operator="lessThan">
      <formula>-0.03</formula>
    </cfRule>
  </conditionalFormatting>
  <conditionalFormatting sqref="AX31:AX32">
    <cfRule type="cellIs" dxfId="699" priority="187" stopIfTrue="1" operator="greaterThan">
      <formula>0</formula>
    </cfRule>
    <cfRule type="cellIs" dxfId="698" priority="188" operator="lessThan">
      <formula>0</formula>
    </cfRule>
  </conditionalFormatting>
  <conditionalFormatting sqref="AX33">
    <cfRule type="cellIs" dxfId="697" priority="181" stopIfTrue="1" operator="greaterThan">
      <formula>0.03</formula>
    </cfRule>
    <cfRule type="cellIs" dxfId="696" priority="182" stopIfTrue="1" operator="lessThan">
      <formula>-0.03</formula>
    </cfRule>
  </conditionalFormatting>
  <conditionalFormatting sqref="AX33:AX34">
    <cfRule type="cellIs" dxfId="695" priority="183" stopIfTrue="1" operator="greaterThan">
      <formula>0</formula>
    </cfRule>
    <cfRule type="cellIs" dxfId="694" priority="184" operator="lessThan">
      <formula>0</formula>
    </cfRule>
  </conditionalFormatting>
  <conditionalFormatting sqref="AY35">
    <cfRule type="cellIs" dxfId="693" priority="177" stopIfTrue="1" operator="greaterThan">
      <formula>0.03</formula>
    </cfRule>
    <cfRule type="cellIs" dxfId="692" priority="178" stopIfTrue="1" operator="lessThan">
      <formula>-0.03</formula>
    </cfRule>
  </conditionalFormatting>
  <conditionalFormatting sqref="AY35:AY40">
    <cfRule type="cellIs" dxfId="691" priority="179" stopIfTrue="1" operator="greaterThan">
      <formula>0</formula>
    </cfRule>
    <cfRule type="cellIs" dxfId="690" priority="180" stopIfTrue="1" operator="lessThan">
      <formula>0</formula>
    </cfRule>
  </conditionalFormatting>
  <conditionalFormatting sqref="AX35">
    <cfRule type="cellIs" dxfId="689" priority="173" stopIfTrue="1" operator="greaterThan">
      <formula>0.03</formula>
    </cfRule>
    <cfRule type="cellIs" dxfId="688" priority="174" stopIfTrue="1" operator="lessThan">
      <formula>-0.03</formula>
    </cfRule>
  </conditionalFormatting>
  <conditionalFormatting sqref="AX35:AX36">
    <cfRule type="cellIs" dxfId="687" priority="175" stopIfTrue="1" operator="greaterThan">
      <formula>0</formula>
    </cfRule>
    <cfRule type="cellIs" dxfId="686" priority="176" operator="lessThan">
      <formula>0</formula>
    </cfRule>
  </conditionalFormatting>
  <conditionalFormatting sqref="AX37">
    <cfRule type="cellIs" dxfId="685" priority="169" stopIfTrue="1" operator="greaterThan">
      <formula>0.03</formula>
    </cfRule>
    <cfRule type="cellIs" dxfId="684" priority="170" stopIfTrue="1" operator="lessThan">
      <formula>-0.03</formula>
    </cfRule>
  </conditionalFormatting>
  <conditionalFormatting sqref="AX37:AX38">
    <cfRule type="cellIs" dxfId="683" priority="171" stopIfTrue="1" operator="greaterThan">
      <formula>0</formula>
    </cfRule>
    <cfRule type="cellIs" dxfId="682" priority="172" operator="lessThan">
      <formula>0</formula>
    </cfRule>
  </conditionalFormatting>
  <conditionalFormatting sqref="AX39">
    <cfRule type="cellIs" dxfId="681" priority="165" stopIfTrue="1" operator="greaterThan">
      <formula>0.03</formula>
    </cfRule>
    <cfRule type="cellIs" dxfId="680" priority="166" stopIfTrue="1" operator="lessThan">
      <formula>-0.03</formula>
    </cfRule>
  </conditionalFormatting>
  <conditionalFormatting sqref="AX39:AX40">
    <cfRule type="cellIs" dxfId="679" priority="167" stopIfTrue="1" operator="greaterThan">
      <formula>0</formula>
    </cfRule>
    <cfRule type="cellIs" dxfId="678" priority="168" operator="lessThan">
      <formula>0</formula>
    </cfRule>
  </conditionalFormatting>
  <conditionalFormatting sqref="B47">
    <cfRule type="cellIs" dxfId="677" priority="157" stopIfTrue="1" operator="greaterThan">
      <formula>0.03</formula>
    </cfRule>
    <cfRule type="cellIs" dxfId="676" priority="158" stopIfTrue="1" operator="lessThan">
      <formula>-0.03</formula>
    </cfRule>
  </conditionalFormatting>
  <conditionalFormatting sqref="C47">
    <cfRule type="cellIs" dxfId="675" priority="159" stopIfTrue="1" operator="greaterThan">
      <formula>0.03</formula>
    </cfRule>
    <cfRule type="cellIs" dxfId="674" priority="160" stopIfTrue="1" operator="lessThan">
      <formula>-0.03</formula>
    </cfRule>
  </conditionalFormatting>
  <conditionalFormatting sqref="C47:C52">
    <cfRule type="cellIs" dxfId="673" priority="161" stopIfTrue="1" operator="greaterThan">
      <formula>0</formula>
    </cfRule>
    <cfRule type="cellIs" dxfId="672" priority="162" stopIfTrue="1" operator="lessThan">
      <formula>0</formula>
    </cfRule>
  </conditionalFormatting>
  <conditionalFormatting sqref="B47:B48">
    <cfRule type="cellIs" dxfId="671" priority="163" stopIfTrue="1" operator="greaterThan">
      <formula>0</formula>
    </cfRule>
    <cfRule type="cellIs" dxfId="670" priority="164" operator="lessThan">
      <formula>0</formula>
    </cfRule>
  </conditionalFormatting>
  <conditionalFormatting sqref="B49">
    <cfRule type="cellIs" dxfId="669" priority="153" stopIfTrue="1" operator="greaterThan">
      <formula>0.03</formula>
    </cfRule>
    <cfRule type="cellIs" dxfId="668" priority="154" stopIfTrue="1" operator="lessThan">
      <formula>-0.03</formula>
    </cfRule>
  </conditionalFormatting>
  <conditionalFormatting sqref="B49:B50">
    <cfRule type="cellIs" dxfId="667" priority="155" stopIfTrue="1" operator="greaterThan">
      <formula>0</formula>
    </cfRule>
    <cfRule type="cellIs" dxfId="666" priority="156" operator="lessThan">
      <formula>0</formula>
    </cfRule>
  </conditionalFormatting>
  <conditionalFormatting sqref="B51">
    <cfRule type="cellIs" dxfId="665" priority="149" stopIfTrue="1" operator="greaterThan">
      <formula>0.03</formula>
    </cfRule>
    <cfRule type="cellIs" dxfId="664" priority="150" stopIfTrue="1" operator="lessThan">
      <formula>-0.03</formula>
    </cfRule>
  </conditionalFormatting>
  <conditionalFormatting sqref="B51:B52">
    <cfRule type="cellIs" dxfId="663" priority="151" stopIfTrue="1" operator="greaterThan">
      <formula>0</formula>
    </cfRule>
    <cfRule type="cellIs" dxfId="662" priority="152" operator="lessThan">
      <formula>0</formula>
    </cfRule>
  </conditionalFormatting>
  <conditionalFormatting sqref="D47:P47">
    <cfRule type="cellIs" dxfId="661" priority="145" stopIfTrue="1" operator="greaterThan">
      <formula>0.03</formula>
    </cfRule>
    <cfRule type="cellIs" dxfId="660" priority="146" stopIfTrue="1" operator="lessThan">
      <formula>-0.03</formula>
    </cfRule>
  </conditionalFormatting>
  <conditionalFormatting sqref="D47:P52">
    <cfRule type="cellIs" dxfId="659" priority="147" stopIfTrue="1" operator="greaterThan">
      <formula>0</formula>
    </cfRule>
    <cfRule type="cellIs" dxfId="658" priority="148" stopIfTrue="1" operator="lessThan">
      <formula>0</formula>
    </cfRule>
  </conditionalFormatting>
  <conditionalFormatting sqref="Q47">
    <cfRule type="cellIs" dxfId="657" priority="137" stopIfTrue="1" operator="greaterThan">
      <formula>0.03</formula>
    </cfRule>
    <cfRule type="cellIs" dxfId="656" priority="138" stopIfTrue="1" operator="lessThan">
      <formula>-0.03</formula>
    </cfRule>
  </conditionalFormatting>
  <conditionalFormatting sqref="R47">
    <cfRule type="cellIs" dxfId="655" priority="139" stopIfTrue="1" operator="greaterThan">
      <formula>0.03</formula>
    </cfRule>
    <cfRule type="cellIs" dxfId="654" priority="140" stopIfTrue="1" operator="lessThan">
      <formula>-0.03</formula>
    </cfRule>
  </conditionalFormatting>
  <conditionalFormatting sqref="R47:R52">
    <cfRule type="cellIs" dxfId="653" priority="141" stopIfTrue="1" operator="greaterThan">
      <formula>0</formula>
    </cfRule>
    <cfRule type="cellIs" dxfId="652" priority="142" stopIfTrue="1" operator="lessThan">
      <formula>0</formula>
    </cfRule>
  </conditionalFormatting>
  <conditionalFormatting sqref="Q47:Q48">
    <cfRule type="cellIs" dxfId="651" priority="143" stopIfTrue="1" operator="greaterThan">
      <formula>0</formula>
    </cfRule>
    <cfRule type="cellIs" dxfId="650" priority="144" operator="lessThan">
      <formula>0</formula>
    </cfRule>
  </conditionalFormatting>
  <conditionalFormatting sqref="Q49">
    <cfRule type="cellIs" dxfId="649" priority="133" stopIfTrue="1" operator="greaterThan">
      <formula>0.03</formula>
    </cfRule>
    <cfRule type="cellIs" dxfId="648" priority="134" stopIfTrue="1" operator="lessThan">
      <formula>-0.03</formula>
    </cfRule>
  </conditionalFormatting>
  <conditionalFormatting sqref="Q49:Q50">
    <cfRule type="cellIs" dxfId="647" priority="135" stopIfTrue="1" operator="greaterThan">
      <formula>0</formula>
    </cfRule>
    <cfRule type="cellIs" dxfId="646" priority="136" operator="lessThan">
      <formula>0</formula>
    </cfRule>
  </conditionalFormatting>
  <conditionalFormatting sqref="Q51">
    <cfRule type="cellIs" dxfId="645" priority="129" stopIfTrue="1" operator="greaterThan">
      <formula>0.03</formula>
    </cfRule>
    <cfRule type="cellIs" dxfId="644" priority="130" stopIfTrue="1" operator="lessThan">
      <formula>-0.03</formula>
    </cfRule>
  </conditionalFormatting>
  <conditionalFormatting sqref="Q51:Q52">
    <cfRule type="cellIs" dxfId="643" priority="131" stopIfTrue="1" operator="greaterThan">
      <formula>0</formula>
    </cfRule>
    <cfRule type="cellIs" dxfId="642" priority="132" operator="lessThan">
      <formula>0</formula>
    </cfRule>
  </conditionalFormatting>
  <conditionalFormatting sqref="S47">
    <cfRule type="cellIs" dxfId="641" priority="121" stopIfTrue="1" operator="greaterThan">
      <formula>0.03</formula>
    </cfRule>
    <cfRule type="cellIs" dxfId="640" priority="122" stopIfTrue="1" operator="lessThan">
      <formula>-0.03</formula>
    </cfRule>
  </conditionalFormatting>
  <conditionalFormatting sqref="T47">
    <cfRule type="cellIs" dxfId="639" priority="123" stopIfTrue="1" operator="greaterThan">
      <formula>0.03</formula>
    </cfRule>
    <cfRule type="cellIs" dxfId="638" priority="124" stopIfTrue="1" operator="lessThan">
      <formula>-0.03</formula>
    </cfRule>
  </conditionalFormatting>
  <conditionalFormatting sqref="T47:T52">
    <cfRule type="cellIs" dxfId="637" priority="125" stopIfTrue="1" operator="greaterThan">
      <formula>0</formula>
    </cfRule>
    <cfRule type="cellIs" dxfId="636" priority="126" stopIfTrue="1" operator="lessThan">
      <formula>0</formula>
    </cfRule>
  </conditionalFormatting>
  <conditionalFormatting sqref="S47:S48">
    <cfRule type="cellIs" dxfId="635" priority="127" stopIfTrue="1" operator="greaterThan">
      <formula>0</formula>
    </cfRule>
    <cfRule type="cellIs" dxfId="634" priority="128" operator="lessThan">
      <formula>0</formula>
    </cfRule>
  </conditionalFormatting>
  <conditionalFormatting sqref="S49">
    <cfRule type="cellIs" dxfId="633" priority="117" stopIfTrue="1" operator="greaterThan">
      <formula>0.03</formula>
    </cfRule>
    <cfRule type="cellIs" dxfId="632" priority="118" stopIfTrue="1" operator="lessThan">
      <formula>-0.03</formula>
    </cfRule>
  </conditionalFormatting>
  <conditionalFormatting sqref="S49:S50">
    <cfRule type="cellIs" dxfId="631" priority="119" stopIfTrue="1" operator="greaterThan">
      <formula>0</formula>
    </cfRule>
    <cfRule type="cellIs" dxfId="630" priority="120" operator="lessThan">
      <formula>0</formula>
    </cfRule>
  </conditionalFormatting>
  <conditionalFormatting sqref="S51">
    <cfRule type="cellIs" dxfId="629" priority="113" stopIfTrue="1" operator="greaterThan">
      <formula>0.03</formula>
    </cfRule>
    <cfRule type="cellIs" dxfId="628" priority="114" stopIfTrue="1" operator="lessThan">
      <formula>-0.03</formula>
    </cfRule>
  </conditionalFormatting>
  <conditionalFormatting sqref="S51:S52">
    <cfRule type="cellIs" dxfId="627" priority="115" stopIfTrue="1" operator="greaterThan">
      <formula>0</formula>
    </cfRule>
    <cfRule type="cellIs" dxfId="626" priority="116" operator="lessThan">
      <formula>0</formula>
    </cfRule>
  </conditionalFormatting>
  <conditionalFormatting sqref="U47">
    <cfRule type="cellIs" dxfId="625" priority="105" stopIfTrue="1" operator="greaterThan">
      <formula>0.03</formula>
    </cfRule>
    <cfRule type="cellIs" dxfId="624" priority="106" stopIfTrue="1" operator="lessThan">
      <formula>-0.03</formula>
    </cfRule>
  </conditionalFormatting>
  <conditionalFormatting sqref="V47">
    <cfRule type="cellIs" dxfId="623" priority="107" stopIfTrue="1" operator="greaterThan">
      <formula>0.03</formula>
    </cfRule>
    <cfRule type="cellIs" dxfId="622" priority="108" stopIfTrue="1" operator="lessThan">
      <formula>-0.03</formula>
    </cfRule>
  </conditionalFormatting>
  <conditionalFormatting sqref="V47:V52">
    <cfRule type="cellIs" dxfId="621" priority="109" stopIfTrue="1" operator="greaterThan">
      <formula>0</formula>
    </cfRule>
    <cfRule type="cellIs" dxfId="620" priority="110" stopIfTrue="1" operator="lessThan">
      <formula>0</formula>
    </cfRule>
  </conditionalFormatting>
  <conditionalFormatting sqref="U47:U48">
    <cfRule type="cellIs" dxfId="619" priority="111" stopIfTrue="1" operator="greaterThan">
      <formula>0</formula>
    </cfRule>
    <cfRule type="cellIs" dxfId="618" priority="112" operator="lessThan">
      <formula>0</formula>
    </cfRule>
  </conditionalFormatting>
  <conditionalFormatting sqref="U49">
    <cfRule type="cellIs" dxfId="617" priority="101" stopIfTrue="1" operator="greaterThan">
      <formula>0.03</formula>
    </cfRule>
    <cfRule type="cellIs" dxfId="616" priority="102" stopIfTrue="1" operator="lessThan">
      <formula>-0.03</formula>
    </cfRule>
  </conditionalFormatting>
  <conditionalFormatting sqref="U49:U50">
    <cfRule type="cellIs" dxfId="615" priority="103" stopIfTrue="1" operator="greaterThan">
      <formula>0</formula>
    </cfRule>
    <cfRule type="cellIs" dxfId="614" priority="104" operator="lessThan">
      <formula>0</formula>
    </cfRule>
  </conditionalFormatting>
  <conditionalFormatting sqref="U51">
    <cfRule type="cellIs" dxfId="613" priority="97" stopIfTrue="1" operator="greaterThan">
      <formula>0.03</formula>
    </cfRule>
    <cfRule type="cellIs" dxfId="612" priority="98" stopIfTrue="1" operator="lessThan">
      <formula>-0.03</formula>
    </cfRule>
  </conditionalFormatting>
  <conditionalFormatting sqref="U51:U52">
    <cfRule type="cellIs" dxfId="611" priority="99" stopIfTrue="1" operator="greaterThan">
      <formula>0</formula>
    </cfRule>
    <cfRule type="cellIs" dxfId="610" priority="100" operator="lessThan">
      <formula>0</formula>
    </cfRule>
  </conditionalFormatting>
  <conditionalFormatting sqref="W47">
    <cfRule type="cellIs" dxfId="609" priority="89" stopIfTrue="1" operator="greaterThan">
      <formula>0.03</formula>
    </cfRule>
    <cfRule type="cellIs" dxfId="608" priority="90" stopIfTrue="1" operator="lessThan">
      <formula>-0.03</formula>
    </cfRule>
  </conditionalFormatting>
  <conditionalFormatting sqref="X47">
    <cfRule type="cellIs" dxfId="607" priority="91" stopIfTrue="1" operator="greaterThan">
      <formula>0.03</formula>
    </cfRule>
    <cfRule type="cellIs" dxfId="606" priority="92" stopIfTrue="1" operator="lessThan">
      <formula>-0.03</formula>
    </cfRule>
  </conditionalFormatting>
  <conditionalFormatting sqref="X47:X52">
    <cfRule type="cellIs" dxfId="605" priority="93" stopIfTrue="1" operator="greaterThan">
      <formula>0</formula>
    </cfRule>
    <cfRule type="cellIs" dxfId="604" priority="94" stopIfTrue="1" operator="lessThan">
      <formula>0</formula>
    </cfRule>
  </conditionalFormatting>
  <conditionalFormatting sqref="W47:W48">
    <cfRule type="cellIs" dxfId="603" priority="95" stopIfTrue="1" operator="greaterThan">
      <formula>0</formula>
    </cfRule>
    <cfRule type="cellIs" dxfId="602" priority="96" operator="lessThan">
      <formula>0</formula>
    </cfRule>
  </conditionalFormatting>
  <conditionalFormatting sqref="W49">
    <cfRule type="cellIs" dxfId="601" priority="85" stopIfTrue="1" operator="greaterThan">
      <formula>0.03</formula>
    </cfRule>
    <cfRule type="cellIs" dxfId="600" priority="86" stopIfTrue="1" operator="lessThan">
      <formula>-0.03</formula>
    </cfRule>
  </conditionalFormatting>
  <conditionalFormatting sqref="W49:W50">
    <cfRule type="cellIs" dxfId="599" priority="87" stopIfTrue="1" operator="greaterThan">
      <formula>0</formula>
    </cfRule>
    <cfRule type="cellIs" dxfId="598" priority="88" operator="lessThan">
      <formula>0</formula>
    </cfRule>
  </conditionalFormatting>
  <conditionalFormatting sqref="W51">
    <cfRule type="cellIs" dxfId="597" priority="81" stopIfTrue="1" operator="greaterThan">
      <formula>0.03</formula>
    </cfRule>
    <cfRule type="cellIs" dxfId="596" priority="82" stopIfTrue="1" operator="lessThan">
      <formula>-0.03</formula>
    </cfRule>
  </conditionalFormatting>
  <conditionalFormatting sqref="W51:W52">
    <cfRule type="cellIs" dxfId="595" priority="83" stopIfTrue="1" operator="greaterThan">
      <formula>0</formula>
    </cfRule>
    <cfRule type="cellIs" dxfId="594" priority="84" operator="lessThan">
      <formula>0</formula>
    </cfRule>
  </conditionalFormatting>
  <conditionalFormatting sqref="Y47">
    <cfRule type="cellIs" dxfId="593" priority="73" stopIfTrue="1" operator="greaterThan">
      <formula>0.03</formula>
    </cfRule>
    <cfRule type="cellIs" dxfId="592" priority="74" stopIfTrue="1" operator="lessThan">
      <formula>-0.03</formula>
    </cfRule>
  </conditionalFormatting>
  <conditionalFormatting sqref="Z47">
    <cfRule type="cellIs" dxfId="591" priority="75" stopIfTrue="1" operator="greaterThan">
      <formula>0.03</formula>
    </cfRule>
    <cfRule type="cellIs" dxfId="590" priority="76" stopIfTrue="1" operator="lessThan">
      <formula>-0.03</formula>
    </cfRule>
  </conditionalFormatting>
  <conditionalFormatting sqref="Z47:Z52">
    <cfRule type="cellIs" dxfId="589" priority="77" stopIfTrue="1" operator="greaterThan">
      <formula>0</formula>
    </cfRule>
    <cfRule type="cellIs" dxfId="588" priority="78" stopIfTrue="1" operator="lessThan">
      <formula>0</formula>
    </cfRule>
  </conditionalFormatting>
  <conditionalFormatting sqref="Y47:Y48">
    <cfRule type="cellIs" dxfId="587" priority="79" stopIfTrue="1" operator="greaterThan">
      <formula>0</formula>
    </cfRule>
    <cfRule type="cellIs" dxfId="586" priority="80" operator="lessThan">
      <formula>0</formula>
    </cfRule>
  </conditionalFormatting>
  <conditionalFormatting sqref="Y49">
    <cfRule type="cellIs" dxfId="585" priority="69" stopIfTrue="1" operator="greaterThan">
      <formula>0.03</formula>
    </cfRule>
    <cfRule type="cellIs" dxfId="584" priority="70" stopIfTrue="1" operator="lessThan">
      <formula>-0.03</formula>
    </cfRule>
  </conditionalFormatting>
  <conditionalFormatting sqref="Y49:Y50">
    <cfRule type="cellIs" dxfId="583" priority="71" stopIfTrue="1" operator="greaterThan">
      <formula>0</formula>
    </cfRule>
    <cfRule type="cellIs" dxfId="582" priority="72" operator="lessThan">
      <formula>0</formula>
    </cfRule>
  </conditionalFormatting>
  <conditionalFormatting sqref="Y51">
    <cfRule type="cellIs" dxfId="581" priority="65" stopIfTrue="1" operator="greaterThan">
      <formula>0.03</formula>
    </cfRule>
    <cfRule type="cellIs" dxfId="580" priority="66" stopIfTrue="1" operator="lessThan">
      <formula>-0.03</formula>
    </cfRule>
  </conditionalFormatting>
  <conditionalFormatting sqref="Y51:Y52">
    <cfRule type="cellIs" dxfId="579" priority="67" stopIfTrue="1" operator="greaterThan">
      <formula>0</formula>
    </cfRule>
    <cfRule type="cellIs" dxfId="578" priority="68" operator="lessThan">
      <formula>0</formula>
    </cfRule>
  </conditionalFormatting>
  <conditionalFormatting sqref="AA47">
    <cfRule type="cellIs" dxfId="577" priority="57" stopIfTrue="1" operator="greaterThan">
      <formula>0.03</formula>
    </cfRule>
    <cfRule type="cellIs" dxfId="576" priority="58" stopIfTrue="1" operator="lessThan">
      <formula>-0.03</formula>
    </cfRule>
  </conditionalFormatting>
  <conditionalFormatting sqref="AB47">
    <cfRule type="cellIs" dxfId="575" priority="59" stopIfTrue="1" operator="greaterThan">
      <formula>0.03</formula>
    </cfRule>
    <cfRule type="cellIs" dxfId="574" priority="60" stopIfTrue="1" operator="lessThan">
      <formula>-0.03</formula>
    </cfRule>
  </conditionalFormatting>
  <conditionalFormatting sqref="AB47:AB52">
    <cfRule type="cellIs" dxfId="573" priority="61" stopIfTrue="1" operator="greaterThan">
      <formula>0</formula>
    </cfRule>
    <cfRule type="cellIs" dxfId="572" priority="62" stopIfTrue="1" operator="lessThan">
      <formula>0</formula>
    </cfRule>
  </conditionalFormatting>
  <conditionalFormatting sqref="AA47:AA48">
    <cfRule type="cellIs" dxfId="571" priority="63" stopIfTrue="1" operator="greaterThan">
      <formula>0</formula>
    </cfRule>
    <cfRule type="cellIs" dxfId="570" priority="64" operator="lessThan">
      <formula>0</formula>
    </cfRule>
  </conditionalFormatting>
  <conditionalFormatting sqref="AA49">
    <cfRule type="cellIs" dxfId="569" priority="53" stopIfTrue="1" operator="greaterThan">
      <formula>0.03</formula>
    </cfRule>
    <cfRule type="cellIs" dxfId="568" priority="54" stopIfTrue="1" operator="lessThan">
      <formula>-0.03</formula>
    </cfRule>
  </conditionalFormatting>
  <conditionalFormatting sqref="AA49:AA50">
    <cfRule type="cellIs" dxfId="567" priority="55" stopIfTrue="1" operator="greaterThan">
      <formula>0</formula>
    </cfRule>
    <cfRule type="cellIs" dxfId="566" priority="56" operator="lessThan">
      <formula>0</formula>
    </cfRule>
  </conditionalFormatting>
  <conditionalFormatting sqref="AA51">
    <cfRule type="cellIs" dxfId="565" priority="49" stopIfTrue="1" operator="greaterThan">
      <formula>0.03</formula>
    </cfRule>
    <cfRule type="cellIs" dxfId="564" priority="50" stopIfTrue="1" operator="lessThan">
      <formula>-0.03</formula>
    </cfRule>
  </conditionalFormatting>
  <conditionalFormatting sqref="AA51:AA52">
    <cfRule type="cellIs" dxfId="563" priority="51" stopIfTrue="1" operator="greaterThan">
      <formula>0</formula>
    </cfRule>
    <cfRule type="cellIs" dxfId="562" priority="52" operator="lessThan">
      <formula>0</formula>
    </cfRule>
  </conditionalFormatting>
  <conditionalFormatting sqref="AC47">
    <cfRule type="cellIs" dxfId="561" priority="45" stopIfTrue="1" operator="greaterThan">
      <formula>0.03</formula>
    </cfRule>
    <cfRule type="cellIs" dxfId="560" priority="46" stopIfTrue="1" operator="lessThan">
      <formula>-0.03</formula>
    </cfRule>
  </conditionalFormatting>
  <conditionalFormatting sqref="AC47:AC48">
    <cfRule type="cellIs" dxfId="559" priority="47" stopIfTrue="1" operator="greaterThan">
      <formula>0</formula>
    </cfRule>
    <cfRule type="cellIs" dxfId="558" priority="48" operator="lessThan">
      <formula>0</formula>
    </cfRule>
  </conditionalFormatting>
  <conditionalFormatting sqref="AC49">
    <cfRule type="cellIs" dxfId="557" priority="41" stopIfTrue="1" operator="greaterThan">
      <formula>0.03</formula>
    </cfRule>
    <cfRule type="cellIs" dxfId="556" priority="42" stopIfTrue="1" operator="lessThan">
      <formula>-0.03</formula>
    </cfRule>
  </conditionalFormatting>
  <conditionalFormatting sqref="AC49:AC50">
    <cfRule type="cellIs" dxfId="555" priority="43" stopIfTrue="1" operator="greaterThan">
      <formula>0</formula>
    </cfRule>
    <cfRule type="cellIs" dxfId="554" priority="44" operator="lessThan">
      <formula>0</formula>
    </cfRule>
  </conditionalFormatting>
  <conditionalFormatting sqref="AC51">
    <cfRule type="cellIs" dxfId="553" priority="37" stopIfTrue="1" operator="greaterThan">
      <formula>0.03</formula>
    </cfRule>
    <cfRule type="cellIs" dxfId="552" priority="38" stopIfTrue="1" operator="lessThan">
      <formula>-0.03</formula>
    </cfRule>
  </conditionalFormatting>
  <conditionalFormatting sqref="AC51:AC52">
    <cfRule type="cellIs" dxfId="551" priority="39" stopIfTrue="1" operator="greaterThan">
      <formula>0</formula>
    </cfRule>
    <cfRule type="cellIs" dxfId="550" priority="40" operator="lessThan">
      <formula>0</formula>
    </cfRule>
  </conditionalFormatting>
  <conditionalFormatting sqref="AI47">
    <cfRule type="cellIs" dxfId="549" priority="29" stopIfTrue="1" operator="greaterThan">
      <formula>0.03</formula>
    </cfRule>
    <cfRule type="cellIs" dxfId="548" priority="30" stopIfTrue="1" operator="lessThan">
      <formula>-0.03</formula>
    </cfRule>
  </conditionalFormatting>
  <conditionalFormatting sqref="AJ47">
    <cfRule type="cellIs" dxfId="547" priority="31" stopIfTrue="1" operator="greaterThan">
      <formula>0.03</formula>
    </cfRule>
    <cfRule type="cellIs" dxfId="546" priority="32" stopIfTrue="1" operator="lessThan">
      <formula>-0.03</formula>
    </cfRule>
  </conditionalFormatting>
  <conditionalFormatting sqref="AJ47:AJ52">
    <cfRule type="cellIs" dxfId="545" priority="33" stopIfTrue="1" operator="greaterThan">
      <formula>0</formula>
    </cfRule>
    <cfRule type="cellIs" dxfId="544" priority="34" stopIfTrue="1" operator="lessThan">
      <formula>0</formula>
    </cfRule>
  </conditionalFormatting>
  <conditionalFormatting sqref="AI47:AI48">
    <cfRule type="cellIs" dxfId="543" priority="35" stopIfTrue="1" operator="greaterThan">
      <formula>0</formula>
    </cfRule>
    <cfRule type="cellIs" dxfId="542" priority="36" operator="lessThan">
      <formula>0</formula>
    </cfRule>
  </conditionalFormatting>
  <conditionalFormatting sqref="AI49">
    <cfRule type="cellIs" dxfId="541" priority="25" stopIfTrue="1" operator="greaterThan">
      <formula>0.03</formula>
    </cfRule>
    <cfRule type="cellIs" dxfId="540" priority="26" stopIfTrue="1" operator="lessThan">
      <formula>-0.03</formula>
    </cfRule>
  </conditionalFormatting>
  <conditionalFormatting sqref="AI49:AI50">
    <cfRule type="cellIs" dxfId="539" priority="27" stopIfTrue="1" operator="greaterThan">
      <formula>0</formula>
    </cfRule>
    <cfRule type="cellIs" dxfId="538" priority="28" operator="lessThan">
      <formula>0</formula>
    </cfRule>
  </conditionalFormatting>
  <conditionalFormatting sqref="AI51">
    <cfRule type="cellIs" dxfId="537" priority="21" stopIfTrue="1" operator="greaterThan">
      <formula>0.03</formula>
    </cfRule>
    <cfRule type="cellIs" dxfId="536" priority="22" stopIfTrue="1" operator="lessThan">
      <formula>-0.03</formula>
    </cfRule>
  </conditionalFormatting>
  <conditionalFormatting sqref="AI51:AI52">
    <cfRule type="cellIs" dxfId="535" priority="23" stopIfTrue="1" operator="greaterThan">
      <formula>0</formula>
    </cfRule>
    <cfRule type="cellIs" dxfId="534" priority="24" operator="lessThan">
      <formula>0</formula>
    </cfRule>
  </conditionalFormatting>
  <conditionalFormatting sqref="AK47">
    <cfRule type="cellIs" dxfId="533" priority="13" stopIfTrue="1" operator="greaterThan">
      <formula>0.03</formula>
    </cfRule>
    <cfRule type="cellIs" dxfId="532" priority="14" stopIfTrue="1" operator="lessThan">
      <formula>-0.03</formula>
    </cfRule>
  </conditionalFormatting>
  <conditionalFormatting sqref="AL47">
    <cfRule type="cellIs" dxfId="531" priority="15" stopIfTrue="1" operator="greaterThan">
      <formula>0.03</formula>
    </cfRule>
    <cfRule type="cellIs" dxfId="530" priority="16" stopIfTrue="1" operator="lessThan">
      <formula>-0.03</formula>
    </cfRule>
  </conditionalFormatting>
  <conditionalFormatting sqref="AL47:AL52">
    <cfRule type="cellIs" dxfId="529" priority="17" stopIfTrue="1" operator="greaterThan">
      <formula>0</formula>
    </cfRule>
    <cfRule type="cellIs" dxfId="528" priority="18" stopIfTrue="1" operator="lessThan">
      <formula>0</formula>
    </cfRule>
  </conditionalFormatting>
  <conditionalFormatting sqref="AK47:AK48">
    <cfRule type="cellIs" dxfId="527" priority="19" stopIfTrue="1" operator="greaterThan">
      <formula>0</formula>
    </cfRule>
    <cfRule type="cellIs" dxfId="526" priority="20" operator="lessThan">
      <formula>0</formula>
    </cfRule>
  </conditionalFormatting>
  <conditionalFormatting sqref="AK49">
    <cfRule type="cellIs" dxfId="525" priority="9" stopIfTrue="1" operator="greaterThan">
      <formula>0.03</formula>
    </cfRule>
    <cfRule type="cellIs" dxfId="524" priority="10" stopIfTrue="1" operator="lessThan">
      <formula>-0.03</formula>
    </cfRule>
  </conditionalFormatting>
  <conditionalFormatting sqref="AK49:AK50">
    <cfRule type="cellIs" dxfId="523" priority="11" stopIfTrue="1" operator="greaterThan">
      <formula>0</formula>
    </cfRule>
    <cfRule type="cellIs" dxfId="522" priority="12" operator="lessThan">
      <formula>0</formula>
    </cfRule>
  </conditionalFormatting>
  <conditionalFormatting sqref="AK51">
    <cfRule type="cellIs" dxfId="521" priority="5" stopIfTrue="1" operator="greaterThan">
      <formula>0.03</formula>
    </cfRule>
    <cfRule type="cellIs" dxfId="520" priority="6" stopIfTrue="1" operator="lessThan">
      <formula>-0.03</formula>
    </cfRule>
  </conditionalFormatting>
  <conditionalFormatting sqref="AK51:AK52">
    <cfRule type="cellIs" dxfId="519" priority="7" stopIfTrue="1" operator="greaterThan">
      <formula>0</formula>
    </cfRule>
    <cfRule type="cellIs" dxfId="518" priority="8" operator="lessThan">
      <formula>0</formula>
    </cfRule>
  </conditionalFormatting>
  <conditionalFormatting sqref="AD47:AH47">
    <cfRule type="cellIs" dxfId="517" priority="1" stopIfTrue="1" operator="greaterThan">
      <formula>0.03</formula>
    </cfRule>
    <cfRule type="cellIs" dxfId="516" priority="2" stopIfTrue="1" operator="lessThan">
      <formula>-0.03</formula>
    </cfRule>
  </conditionalFormatting>
  <conditionalFormatting sqref="AD47:AH52">
    <cfRule type="cellIs" dxfId="515" priority="3" stopIfTrue="1" operator="greaterThan">
      <formula>0</formula>
    </cfRule>
    <cfRule type="cellIs" dxfId="514" priority="4" stopIfTrue="1" operator="lessThan">
      <formula>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8D03A5-C51F-884A-BD35-B1A06359EC5D}">
  <sheetPr codeName="Sheet29"/>
  <dimension ref="A1:FS180"/>
  <sheetViews>
    <sheetView zoomScale="110" zoomScaleNormal="110" workbookViewId="0">
      <selection activeCell="B5" sqref="B5:B40"/>
    </sheetView>
  </sheetViews>
  <sheetFormatPr baseColWidth="10" defaultColWidth="10.83203125" defaultRowHeight="13" outlineLevelCol="1" x14ac:dyDescent="0.15"/>
  <cols>
    <col min="1" max="2" width="10.83203125" style="1"/>
    <col min="3" max="6" width="12.33203125" style="143" bestFit="1" customWidth="1"/>
    <col min="7" max="7" width="12.1640625" style="143" customWidth="1"/>
    <col min="8" max="8" width="12.33203125" style="143" bestFit="1" customWidth="1"/>
    <col min="9" max="9" width="12.1640625" style="143" customWidth="1"/>
    <col min="10" max="11" width="11.83203125" style="143" bestFit="1" customWidth="1"/>
    <col min="12" max="17" width="11.6640625" style="143" customWidth="1"/>
    <col min="18" max="18" width="12.6640625" style="143" bestFit="1" customWidth="1"/>
    <col min="19" max="19" width="12.33203125" style="143" bestFit="1" customWidth="1"/>
    <col min="20" max="20" width="13" style="1" customWidth="1"/>
    <col min="21" max="21" width="14.6640625" style="132" bestFit="1" customWidth="1"/>
    <col min="22" max="24" width="12.6640625" style="132" bestFit="1" customWidth="1"/>
    <col min="25" max="25" width="12.1640625" style="132" customWidth="1"/>
    <col min="26" max="26" width="12.6640625" style="132" bestFit="1" customWidth="1"/>
    <col min="27" max="27" width="12.1640625" style="132" customWidth="1"/>
    <col min="28" max="29" width="12.1640625" style="132" bestFit="1" customWidth="1"/>
    <col min="30" max="35" width="11.6640625" style="132" customWidth="1"/>
    <col min="36" max="36" width="15.6640625" style="132" bestFit="1" customWidth="1"/>
    <col min="37" max="37" width="12.6640625" style="132" bestFit="1" customWidth="1"/>
    <col min="38" max="39" width="12.1640625" style="132" customWidth="1"/>
    <col min="40" max="40" width="1" style="1" customWidth="1"/>
    <col min="41" max="47" width="10.83203125" style="4" outlineLevel="1"/>
    <col min="48" max="51" width="12.1640625" style="4" customWidth="1" outlineLevel="1"/>
    <col min="52" max="69" width="10.83203125" style="4" outlineLevel="1"/>
    <col min="70" max="72" width="12.1640625" style="4" customWidth="1" outlineLevel="1"/>
    <col min="73" max="73" width="8.1640625" style="4" customWidth="1" outlineLevel="1"/>
    <col min="74" max="74" width="12.1640625" style="4" customWidth="1" outlineLevel="1"/>
    <col min="75" max="75" width="11.5" style="123" customWidth="1" outlineLevel="1"/>
    <col min="76" max="76" width="12.1640625" style="4" customWidth="1" outlineLevel="1"/>
    <col min="77" max="77" width="8.1640625" style="4" customWidth="1" outlineLevel="1"/>
    <col min="78" max="78" width="12.1640625" style="4" customWidth="1" outlineLevel="1"/>
    <col min="79" max="79" width="8.1640625" style="4" customWidth="1" outlineLevel="1"/>
    <col min="80" max="80" width="12.1640625" style="4" customWidth="1" outlineLevel="1"/>
    <col min="81" max="81" width="8.1640625" style="4" customWidth="1" outlineLevel="1"/>
    <col min="82" max="82" width="12.1640625" style="4" customWidth="1" outlineLevel="1"/>
    <col min="83" max="84" width="25" style="4" bestFit="1" customWidth="1" outlineLevel="1"/>
    <col min="85" max="86" width="8.1640625" style="4" customWidth="1" outlineLevel="1"/>
    <col min="87" max="87" width="12" style="10" customWidth="1" outlineLevel="1"/>
    <col min="88" max="88" width="8.1640625" style="10" customWidth="1" outlineLevel="1"/>
    <col min="89" max="89" width="8.1640625" style="4" customWidth="1" outlineLevel="1"/>
    <col min="90" max="90" width="10.6640625" style="164" bestFit="1" customWidth="1" outlineLevel="1"/>
    <col min="91" max="96" width="7.6640625" style="164" bestFit="1" customWidth="1" outlineLevel="1"/>
    <col min="97" max="97" width="8.33203125" style="164" bestFit="1" customWidth="1" outlineLevel="1"/>
    <col min="98" max="99" width="7.6640625" style="164" bestFit="1" customWidth="1" outlineLevel="1"/>
    <col min="100" max="100" width="9.83203125" style="164" bestFit="1" customWidth="1" outlineLevel="1"/>
    <col min="101" max="105" width="7.6640625" style="164" bestFit="1" customWidth="1" outlineLevel="1"/>
    <col min="106" max="106" width="10.6640625" style="164" bestFit="1" customWidth="1" outlineLevel="1"/>
    <col min="107" max="107" width="8.33203125" style="164" bestFit="1" customWidth="1" outlineLevel="1"/>
    <col min="108" max="108" width="1" style="164" customWidth="1" outlineLevel="1"/>
    <col min="109" max="109" width="10.6640625" style="164" bestFit="1" customWidth="1" outlineLevel="1"/>
    <col min="110" max="110" width="7.6640625" style="164" bestFit="1" customWidth="1" outlineLevel="1"/>
    <col min="111" max="111" width="0.83203125" style="164" customWidth="1" outlineLevel="1"/>
    <col min="112" max="112" width="10.6640625" style="164" bestFit="1" customWidth="1" outlineLevel="1"/>
    <col min="113" max="113" width="8.33203125" style="164" bestFit="1" customWidth="1" outlineLevel="1"/>
    <col min="114" max="114" width="0.83203125" style="164" customWidth="1"/>
    <col min="115" max="115" width="10.6640625" style="164" bestFit="1" customWidth="1"/>
    <col min="116" max="116" width="7.6640625" style="164" bestFit="1" customWidth="1"/>
    <col min="117" max="117" width="10.6640625" style="164" bestFit="1" customWidth="1"/>
    <col min="118" max="118" width="7.6640625" style="164" bestFit="1" customWidth="1"/>
    <col min="119" max="119" width="10.6640625" style="164" bestFit="1" customWidth="1"/>
    <col min="120" max="120" width="9.83203125" style="164" bestFit="1" customWidth="1"/>
    <col min="121" max="121" width="10.6640625" style="164" bestFit="1" customWidth="1"/>
    <col min="122" max="122" width="7.6640625" style="164" bestFit="1" customWidth="1"/>
    <col min="123" max="123" width="10.6640625" style="164" bestFit="1" customWidth="1"/>
    <col min="124" max="128" width="7.6640625" style="164" bestFit="1" customWidth="1"/>
    <col min="129" max="129" width="1.33203125" style="132" customWidth="1"/>
    <col min="130" max="130" width="10.6640625" style="164" bestFit="1" customWidth="1"/>
    <col min="131" max="131" width="8" style="164" bestFit="1" customWidth="1"/>
    <col min="132" max="136" width="7.6640625" style="164" bestFit="1" customWidth="1"/>
    <col min="137" max="137" width="8.33203125" style="164" bestFit="1" customWidth="1"/>
    <col min="138" max="139" width="7.6640625" style="164" bestFit="1" customWidth="1"/>
    <col min="140" max="140" width="9.83203125" style="164" bestFit="1" customWidth="1"/>
    <col min="141" max="145" width="7.6640625" style="164" bestFit="1" customWidth="1"/>
    <col min="146" max="146" width="14.6640625" style="164" bestFit="1" customWidth="1"/>
    <col min="147" max="147" width="8.33203125" style="164" bestFit="1" customWidth="1"/>
    <col min="148" max="148" width="10.6640625" style="164" bestFit="1" customWidth="1"/>
    <col min="149" max="149" width="7.6640625" style="164" bestFit="1" customWidth="1"/>
    <col min="150" max="150" width="10.6640625" style="164" bestFit="1" customWidth="1"/>
    <col min="151" max="151" width="7.6640625" style="164" bestFit="1" customWidth="1"/>
    <col min="152" max="152" width="10.6640625" style="164" bestFit="1" customWidth="1"/>
    <col min="153" max="153" width="7.6640625" style="164" bestFit="1" customWidth="1"/>
    <col min="154" max="154" width="10.6640625" style="164" bestFit="1" customWidth="1"/>
    <col min="155" max="155" width="7.6640625" style="164" bestFit="1" customWidth="1"/>
    <col min="156" max="156" width="10.6640625" style="164" bestFit="1" customWidth="1"/>
    <col min="157" max="157" width="7.6640625" style="164" bestFit="1" customWidth="1"/>
    <col min="158" max="158" width="10.6640625" style="164" bestFit="1" customWidth="1"/>
    <col min="159" max="159" width="7.6640625" style="164" bestFit="1" customWidth="1"/>
    <col min="160" max="160" width="10.6640625" style="164" bestFit="1" customWidth="1"/>
    <col min="161" max="165" width="7.6640625" style="164" bestFit="1" customWidth="1"/>
    <col min="166" max="166" width="12.1640625" style="164" customWidth="1"/>
    <col min="167" max="167" width="10.6640625" style="164" bestFit="1" customWidth="1"/>
    <col min="168" max="168" width="7.6640625" style="164" bestFit="1" customWidth="1"/>
    <col min="169" max="169" width="10.6640625" style="164" bestFit="1" customWidth="1"/>
    <col min="170" max="170" width="7.6640625" style="164" bestFit="1" customWidth="1"/>
    <col min="171" max="171" width="12.1640625" style="164" customWidth="1"/>
    <col min="172" max="172" width="10.6640625" style="164" bestFit="1" customWidth="1"/>
    <col min="173" max="173" width="9.83203125" style="164" bestFit="1" customWidth="1"/>
    <col min="174" max="174" width="10.6640625" style="164" bestFit="1" customWidth="1"/>
    <col min="175" max="175" width="9.83203125" style="164" bestFit="1" customWidth="1"/>
    <col min="176" max="16384" width="10.83203125" style="1"/>
  </cols>
  <sheetData>
    <row r="1" spans="1:175" x14ac:dyDescent="0.15">
      <c r="C1" s="308" t="s">
        <v>10</v>
      </c>
      <c r="D1" s="308"/>
      <c r="E1" s="308"/>
      <c r="F1" s="308"/>
      <c r="G1" s="308"/>
      <c r="H1" s="308"/>
      <c r="I1" s="308"/>
      <c r="J1" s="308"/>
      <c r="K1" s="308"/>
      <c r="L1" s="308"/>
      <c r="M1" s="308"/>
      <c r="N1" s="308"/>
      <c r="O1" s="308"/>
      <c r="P1" s="308"/>
      <c r="Q1" s="308"/>
      <c r="R1" s="308"/>
      <c r="S1" s="308"/>
      <c r="T1" s="2"/>
      <c r="U1" s="296" t="s">
        <v>11</v>
      </c>
      <c r="V1" s="296"/>
      <c r="W1" s="296"/>
      <c r="X1" s="296"/>
      <c r="Y1" s="296"/>
      <c r="Z1" s="296"/>
      <c r="AA1" s="296"/>
      <c r="AB1" s="296"/>
      <c r="AC1" s="296"/>
      <c r="AD1" s="296"/>
      <c r="AE1" s="296"/>
      <c r="AF1" s="296"/>
      <c r="AG1" s="296"/>
      <c r="AH1" s="296"/>
      <c r="AI1" s="296"/>
      <c r="AJ1" s="296"/>
      <c r="AK1" s="296"/>
      <c r="AL1" s="134"/>
      <c r="AM1" s="134"/>
      <c r="AN1" s="2"/>
      <c r="AO1" s="279" t="s">
        <v>21</v>
      </c>
      <c r="AP1" s="280"/>
      <c r="AQ1" s="280"/>
      <c r="AR1" s="280"/>
      <c r="AS1" s="280"/>
      <c r="AT1" s="280"/>
      <c r="AU1" s="280"/>
      <c r="AV1" s="280"/>
      <c r="AW1" s="280"/>
      <c r="AX1" s="280"/>
      <c r="AY1" s="280"/>
      <c r="CH1" s="19"/>
      <c r="CK1" s="18"/>
      <c r="CL1" s="303" t="s">
        <v>12</v>
      </c>
      <c r="CM1" s="303"/>
      <c r="CN1" s="303"/>
      <c r="CO1" s="303"/>
      <c r="CP1" s="303"/>
      <c r="CQ1" s="303"/>
      <c r="CR1" s="303"/>
      <c r="CS1" s="303"/>
      <c r="CT1" s="303"/>
      <c r="CU1" s="303"/>
      <c r="CV1" s="303"/>
      <c r="CW1" s="303"/>
      <c r="CX1" s="303"/>
      <c r="CY1" s="303"/>
      <c r="CZ1" s="303"/>
      <c r="DA1" s="303"/>
      <c r="DB1" s="303"/>
      <c r="DC1" s="303"/>
      <c r="DD1" s="303"/>
      <c r="DE1" s="303"/>
      <c r="DF1" s="303"/>
      <c r="DG1" s="303"/>
      <c r="DH1" s="303"/>
      <c r="DI1" s="303"/>
      <c r="DJ1" s="303"/>
      <c r="DK1" s="303"/>
      <c r="DL1" s="303"/>
      <c r="DM1" s="162"/>
      <c r="DN1" s="162"/>
      <c r="DO1" s="162"/>
      <c r="DP1" s="162"/>
      <c r="DQ1" s="162"/>
      <c r="DR1" s="162"/>
      <c r="DS1" s="162"/>
      <c r="DT1" s="162"/>
      <c r="DU1" s="162"/>
      <c r="DV1" s="162"/>
      <c r="DW1" s="162"/>
      <c r="DX1" s="162"/>
      <c r="DY1" s="152"/>
      <c r="DZ1" s="303" t="s">
        <v>48</v>
      </c>
      <c r="EA1" s="303"/>
      <c r="EB1" s="303"/>
      <c r="EC1" s="303"/>
      <c r="ED1" s="303"/>
      <c r="EE1" s="303"/>
      <c r="EF1" s="303"/>
      <c r="EG1" s="303"/>
      <c r="EH1" s="303"/>
      <c r="EI1" s="303"/>
      <c r="EJ1" s="303"/>
      <c r="EK1" s="303"/>
      <c r="EL1" s="303"/>
      <c r="EM1" s="303"/>
      <c r="EN1" s="303"/>
      <c r="EO1" s="303"/>
      <c r="EP1" s="303"/>
      <c r="EQ1" s="303"/>
      <c r="ER1" s="303"/>
      <c r="ES1" s="303"/>
      <c r="ET1" s="303"/>
      <c r="EU1" s="303"/>
      <c r="EV1" s="303"/>
      <c r="EW1" s="303"/>
      <c r="EX1" s="132"/>
      <c r="EY1" s="132"/>
      <c r="EZ1" s="132"/>
      <c r="FA1" s="132"/>
      <c r="FB1" s="132"/>
      <c r="FC1" s="132"/>
      <c r="FD1" s="162"/>
      <c r="FE1" s="162"/>
      <c r="FF1" s="162"/>
      <c r="FG1" s="162"/>
      <c r="FH1" s="162"/>
      <c r="FI1" s="163"/>
      <c r="FK1" s="165"/>
      <c r="FL1" s="162"/>
      <c r="FM1" s="162"/>
      <c r="FN1" s="163"/>
      <c r="FP1" s="132"/>
      <c r="FQ1" s="132"/>
      <c r="FR1" s="132"/>
      <c r="FS1" s="132"/>
    </row>
    <row r="2" spans="1:175" x14ac:dyDescent="0.15">
      <c r="C2" s="308"/>
      <c r="D2" s="308"/>
      <c r="E2" s="308"/>
      <c r="F2" s="308"/>
      <c r="G2" s="308"/>
      <c r="H2" s="308"/>
      <c r="I2" s="308"/>
      <c r="J2" s="308"/>
      <c r="K2" s="308"/>
      <c r="L2" s="308"/>
      <c r="M2" s="308"/>
      <c r="N2" s="308"/>
      <c r="O2" s="308"/>
      <c r="P2" s="308"/>
      <c r="Q2" s="308"/>
      <c r="R2" s="308"/>
      <c r="S2" s="308"/>
      <c r="T2" s="2"/>
      <c r="U2" s="296"/>
      <c r="V2" s="296"/>
      <c r="W2" s="296"/>
      <c r="X2" s="296"/>
      <c r="Y2" s="296"/>
      <c r="Z2" s="296"/>
      <c r="AA2" s="296"/>
      <c r="AB2" s="296"/>
      <c r="AC2" s="296"/>
      <c r="AD2" s="296"/>
      <c r="AE2" s="296"/>
      <c r="AF2" s="296"/>
      <c r="AG2" s="296"/>
      <c r="AH2" s="296"/>
      <c r="AI2" s="296"/>
      <c r="AJ2" s="296"/>
      <c r="AK2" s="296"/>
      <c r="AL2" s="134"/>
      <c r="AM2" s="134"/>
      <c r="AN2" s="2"/>
      <c r="AO2" s="281" t="s">
        <v>13</v>
      </c>
      <c r="AP2" s="264"/>
      <c r="AQ2" s="264"/>
      <c r="AR2" s="264"/>
      <c r="AS2" s="264"/>
      <c r="AT2" s="264" t="s">
        <v>1</v>
      </c>
      <c r="AU2" s="264"/>
      <c r="AV2" s="264" t="s">
        <v>22</v>
      </c>
      <c r="AW2" s="264"/>
      <c r="AX2" s="264" t="s">
        <v>0</v>
      </c>
      <c r="AY2" s="264"/>
      <c r="CH2" s="20"/>
      <c r="CI2" s="20"/>
      <c r="CJ2" s="20"/>
      <c r="CK2" s="18"/>
      <c r="CL2" s="305" t="s">
        <v>13</v>
      </c>
      <c r="CM2" s="306"/>
      <c r="CN2" s="306"/>
      <c r="CO2" s="306"/>
      <c r="CP2" s="306"/>
      <c r="CQ2" s="306"/>
      <c r="CR2" s="306"/>
      <c r="CS2" s="306"/>
      <c r="CT2" s="306"/>
      <c r="CU2" s="306"/>
      <c r="CV2" s="306"/>
      <c r="CW2" s="306"/>
      <c r="CX2" s="306"/>
      <c r="CY2" s="306"/>
      <c r="CZ2" s="306"/>
      <c r="DA2" s="306"/>
      <c r="DB2" s="306"/>
      <c r="DC2" s="307"/>
      <c r="DD2" s="162"/>
      <c r="DE2" s="303" t="s">
        <v>14</v>
      </c>
      <c r="DF2" s="303"/>
      <c r="DG2" s="162"/>
      <c r="DH2" s="303" t="s">
        <v>30</v>
      </c>
      <c r="DI2" s="303"/>
      <c r="DJ2" s="162"/>
      <c r="DK2" s="303" t="s">
        <v>15</v>
      </c>
      <c r="DL2" s="303"/>
      <c r="DM2" s="303" t="s">
        <v>43</v>
      </c>
      <c r="DN2" s="303"/>
      <c r="DO2" s="303" t="s">
        <v>40</v>
      </c>
      <c r="DP2" s="303"/>
      <c r="DQ2" s="303" t="s">
        <v>44</v>
      </c>
      <c r="DR2" s="303"/>
      <c r="DS2" s="305" t="s">
        <v>45</v>
      </c>
      <c r="DT2" s="306"/>
      <c r="DU2" s="306"/>
      <c r="DV2" s="306"/>
      <c r="DW2" s="306"/>
      <c r="DX2" s="307"/>
      <c r="DY2" s="152"/>
      <c r="DZ2" s="305" t="s">
        <v>13</v>
      </c>
      <c r="EA2" s="306"/>
      <c r="EB2" s="306"/>
      <c r="EC2" s="306"/>
      <c r="ED2" s="306"/>
      <c r="EE2" s="306"/>
      <c r="EF2" s="306"/>
      <c r="EG2" s="306"/>
      <c r="EH2" s="306"/>
      <c r="EI2" s="306"/>
      <c r="EJ2" s="306"/>
      <c r="EK2" s="306"/>
      <c r="EL2" s="306"/>
      <c r="EM2" s="306"/>
      <c r="EN2" s="306"/>
      <c r="EO2" s="306"/>
      <c r="EP2" s="306"/>
      <c r="EQ2" s="307"/>
      <c r="ER2" s="303" t="s">
        <v>14</v>
      </c>
      <c r="ES2" s="303"/>
      <c r="ET2" s="303" t="s">
        <v>30</v>
      </c>
      <c r="EU2" s="303"/>
      <c r="EV2" s="303" t="s">
        <v>15</v>
      </c>
      <c r="EW2" s="303"/>
      <c r="EX2" s="303" t="s">
        <v>46</v>
      </c>
      <c r="EY2" s="303"/>
      <c r="EZ2" s="303" t="s">
        <v>47</v>
      </c>
      <c r="FA2" s="303"/>
      <c r="FB2" s="303" t="s">
        <v>41</v>
      </c>
      <c r="FC2" s="303"/>
      <c r="FD2" s="305" t="s">
        <v>45</v>
      </c>
      <c r="FE2" s="306"/>
      <c r="FF2" s="306"/>
      <c r="FG2" s="306"/>
      <c r="FH2" s="306"/>
      <c r="FI2" s="307"/>
      <c r="FK2" s="303" t="s">
        <v>106</v>
      </c>
      <c r="FL2" s="303"/>
      <c r="FM2" s="303" t="s">
        <v>107</v>
      </c>
      <c r="FN2" s="303"/>
      <c r="FP2" s="303" t="s">
        <v>105</v>
      </c>
      <c r="FQ2" s="303"/>
      <c r="FR2" s="303" t="s">
        <v>108</v>
      </c>
      <c r="FS2" s="303"/>
    </row>
    <row r="3" spans="1:175" x14ac:dyDescent="0.15">
      <c r="C3" s="138"/>
      <c r="D3" s="308" t="s">
        <v>13</v>
      </c>
      <c r="E3" s="308"/>
      <c r="F3" s="308"/>
      <c r="G3" s="308"/>
      <c r="H3" s="138"/>
      <c r="I3" s="138"/>
      <c r="J3" s="138"/>
      <c r="K3" s="138"/>
      <c r="L3" s="138"/>
      <c r="M3" s="138"/>
      <c r="N3" s="308" t="s">
        <v>42</v>
      </c>
      <c r="O3" s="308"/>
      <c r="P3" s="308"/>
      <c r="Q3" s="308"/>
      <c r="R3" s="138"/>
      <c r="S3" s="138"/>
      <c r="T3" s="2"/>
      <c r="U3" s="134"/>
      <c r="V3" s="296" t="s">
        <v>13</v>
      </c>
      <c r="W3" s="296"/>
      <c r="X3" s="296"/>
      <c r="Y3" s="296"/>
      <c r="Z3" s="134"/>
      <c r="AA3" s="134"/>
      <c r="AB3" s="134"/>
      <c r="AC3" s="134"/>
      <c r="AD3" s="134"/>
      <c r="AE3" s="134"/>
      <c r="AF3" s="309" t="s">
        <v>42</v>
      </c>
      <c r="AG3" s="309"/>
      <c r="AH3" s="309"/>
      <c r="AI3" s="309"/>
      <c r="AJ3" s="134"/>
      <c r="AK3" s="134"/>
      <c r="AL3" s="134"/>
      <c r="AM3" s="134"/>
      <c r="AN3" s="2"/>
      <c r="AO3" s="13"/>
      <c r="AP3" s="14"/>
      <c r="AQ3" s="14"/>
      <c r="AR3" s="14"/>
      <c r="AS3" s="14"/>
      <c r="AT3" s="14"/>
      <c r="AU3" s="14"/>
      <c r="AV3" s="14"/>
      <c r="AW3" s="14"/>
      <c r="AX3" s="14"/>
      <c r="AY3" s="14"/>
      <c r="CH3" s="19"/>
      <c r="CK3" s="18"/>
      <c r="CL3" s="162"/>
      <c r="CM3" s="162"/>
      <c r="CN3" s="305" t="s">
        <v>13</v>
      </c>
      <c r="CO3" s="306"/>
      <c r="CP3" s="306"/>
      <c r="CQ3" s="307"/>
      <c r="CR3" s="162"/>
      <c r="CS3" s="162"/>
      <c r="CT3" s="162"/>
      <c r="CU3" s="162"/>
      <c r="CV3" s="162"/>
      <c r="CW3" s="162"/>
      <c r="CX3" s="305" t="s">
        <v>42</v>
      </c>
      <c r="CY3" s="306"/>
      <c r="CZ3" s="306"/>
      <c r="DA3" s="307"/>
      <c r="DB3" s="162"/>
      <c r="DC3" s="162"/>
      <c r="DD3" s="162"/>
      <c r="DE3" s="162"/>
      <c r="DF3" s="162"/>
      <c r="DG3" s="162"/>
      <c r="DH3" s="162"/>
      <c r="DI3" s="162"/>
      <c r="DJ3" s="162"/>
      <c r="DK3" s="162"/>
      <c r="DL3" s="162"/>
      <c r="DM3" s="162"/>
      <c r="DN3" s="162"/>
      <c r="DO3" s="162"/>
      <c r="DP3" s="162"/>
      <c r="DQ3" s="162"/>
      <c r="DR3" s="162"/>
      <c r="DS3" s="162"/>
      <c r="DT3" s="162"/>
      <c r="DU3" s="162"/>
      <c r="DV3" s="162"/>
      <c r="DW3" s="162"/>
      <c r="DX3" s="162"/>
      <c r="DY3" s="152"/>
      <c r="DZ3" s="162"/>
      <c r="EA3" s="162"/>
      <c r="EB3" s="305" t="s">
        <v>13</v>
      </c>
      <c r="EC3" s="306"/>
      <c r="ED3" s="306"/>
      <c r="EE3" s="307"/>
      <c r="EF3" s="162"/>
      <c r="EG3" s="162"/>
      <c r="EH3" s="162"/>
      <c r="EI3" s="162"/>
      <c r="EJ3" s="162"/>
      <c r="EK3" s="162"/>
      <c r="EL3" s="305" t="s">
        <v>42</v>
      </c>
      <c r="EM3" s="306"/>
      <c r="EN3" s="306"/>
      <c r="EO3" s="307"/>
      <c r="EP3" s="162"/>
      <c r="EQ3" s="162"/>
      <c r="ER3" s="162"/>
      <c r="ES3" s="162"/>
      <c r="ET3" s="162"/>
      <c r="EU3" s="162"/>
      <c r="EV3" s="162"/>
      <c r="EW3" s="162"/>
      <c r="EX3" s="162"/>
      <c r="EY3" s="162"/>
      <c r="EZ3" s="162"/>
      <c r="FA3" s="162"/>
      <c r="FB3" s="162"/>
      <c r="FC3" s="162"/>
      <c r="FD3" s="162"/>
      <c r="FE3" s="162"/>
      <c r="FF3" s="162"/>
      <c r="FG3" s="162"/>
      <c r="FH3" s="162"/>
      <c r="FI3" s="163"/>
      <c r="FK3" s="165"/>
      <c r="FL3" s="162"/>
      <c r="FM3" s="162"/>
      <c r="FN3" s="163"/>
      <c r="FP3" s="165"/>
      <c r="FQ3" s="162"/>
      <c r="FR3" s="165"/>
      <c r="FS3" s="162"/>
    </row>
    <row r="4" spans="1:175" ht="14" thickBot="1" x14ac:dyDescent="0.2">
      <c r="B4" s="1" t="s">
        <v>6</v>
      </c>
      <c r="C4" s="139" t="s">
        <v>3</v>
      </c>
      <c r="D4" s="139" t="s">
        <v>24</v>
      </c>
      <c r="E4" s="139" t="s">
        <v>25</v>
      </c>
      <c r="F4" s="139" t="s">
        <v>26</v>
      </c>
      <c r="G4" s="139" t="s">
        <v>38</v>
      </c>
      <c r="H4" s="139" t="s">
        <v>5</v>
      </c>
      <c r="I4" s="139" t="s">
        <v>22</v>
      </c>
      <c r="J4" s="139" t="s">
        <v>0</v>
      </c>
      <c r="K4" s="139" t="s">
        <v>39</v>
      </c>
      <c r="L4" s="139" t="s">
        <v>40</v>
      </c>
      <c r="M4" s="139" t="s">
        <v>41</v>
      </c>
      <c r="N4" s="139" t="s">
        <v>24</v>
      </c>
      <c r="O4" s="139" t="s">
        <v>25</v>
      </c>
      <c r="P4" s="139" t="s">
        <v>26</v>
      </c>
      <c r="Q4" s="139" t="s">
        <v>38</v>
      </c>
      <c r="R4" s="139" t="s">
        <v>4</v>
      </c>
      <c r="S4" s="139" t="s">
        <v>7</v>
      </c>
      <c r="T4" s="2"/>
      <c r="U4" s="135" t="s">
        <v>3</v>
      </c>
      <c r="V4" s="135" t="s">
        <v>24</v>
      </c>
      <c r="W4" s="135" t="s">
        <v>25</v>
      </c>
      <c r="X4" s="135" t="s">
        <v>26</v>
      </c>
      <c r="Y4" s="135" t="s">
        <v>38</v>
      </c>
      <c r="Z4" s="135" t="s">
        <v>5</v>
      </c>
      <c r="AA4" s="135" t="s">
        <v>22</v>
      </c>
      <c r="AB4" s="135" t="s">
        <v>0</v>
      </c>
      <c r="AC4" s="135" t="s">
        <v>39</v>
      </c>
      <c r="AD4" s="135" t="s">
        <v>40</v>
      </c>
      <c r="AE4" s="135" t="s">
        <v>41</v>
      </c>
      <c r="AF4" s="146" t="s">
        <v>24</v>
      </c>
      <c r="AG4" s="146" t="s">
        <v>25</v>
      </c>
      <c r="AH4" s="146" t="s">
        <v>26</v>
      </c>
      <c r="AI4" s="146" t="s">
        <v>38</v>
      </c>
      <c r="AJ4" s="135" t="s">
        <v>4</v>
      </c>
      <c r="AK4" s="135" t="s">
        <v>7</v>
      </c>
      <c r="AL4" s="135" t="s">
        <v>77</v>
      </c>
      <c r="AM4" s="135" t="s">
        <v>78</v>
      </c>
      <c r="AN4" s="2"/>
      <c r="AO4" s="251" t="s">
        <v>23</v>
      </c>
      <c r="AP4" s="252"/>
      <c r="AQ4" s="116" t="s">
        <v>24</v>
      </c>
      <c r="AR4" s="116" t="s">
        <v>25</v>
      </c>
      <c r="AS4" s="116" t="s">
        <v>26</v>
      </c>
      <c r="AT4" s="116" t="s">
        <v>23</v>
      </c>
      <c r="AU4" s="116" t="s">
        <v>24</v>
      </c>
      <c r="AV4" s="116" t="s">
        <v>23</v>
      </c>
      <c r="AW4" s="116" t="s">
        <v>24</v>
      </c>
      <c r="AX4" s="116" t="s">
        <v>23</v>
      </c>
      <c r="AY4" s="116" t="s">
        <v>24</v>
      </c>
      <c r="CH4" s="21"/>
      <c r="CK4" s="18"/>
      <c r="CL4" s="162" t="str">
        <f>C4</f>
        <v>Bit-rate</v>
      </c>
      <c r="CM4" s="162" t="str">
        <f>D4</f>
        <v>Y</v>
      </c>
      <c r="CN4" s="162" t="str">
        <f t="shared" ref="CN4:DC4" si="0">D4</f>
        <v>Y</v>
      </c>
      <c r="CO4" s="162" t="str">
        <f t="shared" si="0"/>
        <v>U</v>
      </c>
      <c r="CP4" s="162" t="str">
        <f t="shared" si="0"/>
        <v>V</v>
      </c>
      <c r="CQ4" s="162" t="str">
        <f t="shared" si="0"/>
        <v>YUV</v>
      </c>
      <c r="CR4" s="162" t="str">
        <f t="shared" si="0"/>
        <v>SSIM_Y</v>
      </c>
      <c r="CS4" s="162" t="str">
        <f t="shared" si="0"/>
        <v>MS-SSIM</v>
      </c>
      <c r="CT4" s="162" t="str">
        <f t="shared" si="0"/>
        <v>VMAF</v>
      </c>
      <c r="CU4" s="162" t="str">
        <f t="shared" si="0"/>
        <v>nVMAF</v>
      </c>
      <c r="CV4" s="162" t="str">
        <f t="shared" si="0"/>
        <v>PSNR-HVS</v>
      </c>
      <c r="CW4" s="162" t="str">
        <f t="shared" si="0"/>
        <v>DE-2K</v>
      </c>
      <c r="CX4" s="162" t="str">
        <f t="shared" si="0"/>
        <v>Y</v>
      </c>
      <c r="CY4" s="162" t="str">
        <f t="shared" si="0"/>
        <v>U</v>
      </c>
      <c r="CZ4" s="162" t="str">
        <f t="shared" si="0"/>
        <v>V</v>
      </c>
      <c r="DA4" s="162" t="str">
        <f t="shared" si="0"/>
        <v>YUV</v>
      </c>
      <c r="DB4" s="162" t="str">
        <f t="shared" si="0"/>
        <v>Enc-Time</v>
      </c>
      <c r="DC4" s="162" t="str">
        <f t="shared" si="0"/>
        <v>Dec-Time</v>
      </c>
      <c r="DD4" s="162"/>
      <c r="DE4" s="162" t="s">
        <v>3</v>
      </c>
      <c r="DF4" s="162" t="str">
        <f>Z4</f>
        <v>SSIM_Y</v>
      </c>
      <c r="DG4" s="162"/>
      <c r="DH4" s="162" t="s">
        <v>3</v>
      </c>
      <c r="DI4" s="162" t="str">
        <f>I4</f>
        <v>MS-SSIM</v>
      </c>
      <c r="DJ4" s="162"/>
      <c r="DK4" s="162" t="s">
        <v>3</v>
      </c>
      <c r="DL4" s="162" t="str">
        <f>J4</f>
        <v>VMAF</v>
      </c>
      <c r="DM4" s="162" t="s">
        <v>3</v>
      </c>
      <c r="DN4" s="162" t="str">
        <f>K4</f>
        <v>nVMAF</v>
      </c>
      <c r="DO4" s="162" t="s">
        <v>3</v>
      </c>
      <c r="DP4" s="162" t="str">
        <f>L4</f>
        <v>PSNR-HVS</v>
      </c>
      <c r="DQ4" s="162" t="s">
        <v>3</v>
      </c>
      <c r="DR4" s="162" t="str">
        <f>M4</f>
        <v>DE-2K</v>
      </c>
      <c r="DS4" s="162" t="s">
        <v>3</v>
      </c>
      <c r="DT4" s="162" t="str">
        <f>N4</f>
        <v>Y</v>
      </c>
      <c r="DU4" s="162" t="str">
        <f>N4</f>
        <v>Y</v>
      </c>
      <c r="DV4" s="162" t="str">
        <f>O4</f>
        <v>U</v>
      </c>
      <c r="DW4" s="162" t="str">
        <f>P4</f>
        <v>V</v>
      </c>
      <c r="DX4" s="162" t="str">
        <f>Q4</f>
        <v>YUV</v>
      </c>
      <c r="DY4" s="152"/>
      <c r="DZ4" s="162" t="s">
        <v>3</v>
      </c>
      <c r="EA4" s="162" t="s">
        <v>2</v>
      </c>
      <c r="EB4" s="162" t="str">
        <f t="shared" ref="EB4:EQ4" si="1">V4</f>
        <v>Y</v>
      </c>
      <c r="EC4" s="162" t="str">
        <f t="shared" si="1"/>
        <v>U</v>
      </c>
      <c r="ED4" s="162" t="str">
        <f t="shared" si="1"/>
        <v>V</v>
      </c>
      <c r="EE4" s="162" t="str">
        <f t="shared" si="1"/>
        <v>YUV</v>
      </c>
      <c r="EF4" s="162" t="str">
        <f t="shared" si="1"/>
        <v>SSIM_Y</v>
      </c>
      <c r="EG4" s="162" t="str">
        <f t="shared" si="1"/>
        <v>MS-SSIM</v>
      </c>
      <c r="EH4" s="162" t="str">
        <f t="shared" si="1"/>
        <v>VMAF</v>
      </c>
      <c r="EI4" s="162" t="str">
        <f t="shared" si="1"/>
        <v>nVMAF</v>
      </c>
      <c r="EJ4" s="162" t="str">
        <f t="shared" si="1"/>
        <v>PSNR-HVS</v>
      </c>
      <c r="EK4" s="162" t="str">
        <f t="shared" si="1"/>
        <v>DE-2K</v>
      </c>
      <c r="EL4" s="162" t="str">
        <f t="shared" si="1"/>
        <v>Y</v>
      </c>
      <c r="EM4" s="162" t="str">
        <f t="shared" si="1"/>
        <v>U</v>
      </c>
      <c r="EN4" s="162" t="str">
        <f t="shared" si="1"/>
        <v>V</v>
      </c>
      <c r="EO4" s="162" t="str">
        <f t="shared" si="1"/>
        <v>YUV</v>
      </c>
      <c r="EP4" s="162" t="str">
        <f t="shared" si="1"/>
        <v>Enc-Time</v>
      </c>
      <c r="EQ4" s="162" t="str">
        <f t="shared" si="1"/>
        <v>Dec-Time</v>
      </c>
      <c r="ER4" s="162" t="s">
        <v>3</v>
      </c>
      <c r="ES4" s="162" t="s">
        <v>1</v>
      </c>
      <c r="ET4" s="162" t="s">
        <v>3</v>
      </c>
      <c r="EU4" s="162" t="s">
        <v>1</v>
      </c>
      <c r="EV4" s="162" t="s">
        <v>3</v>
      </c>
      <c r="EW4" s="162" t="s">
        <v>0</v>
      </c>
      <c r="EX4" s="162" t="s">
        <v>3</v>
      </c>
      <c r="EY4" s="162" t="s">
        <v>39</v>
      </c>
      <c r="EZ4" s="162" t="s">
        <v>3</v>
      </c>
      <c r="FA4" s="162" t="s">
        <v>39</v>
      </c>
      <c r="FB4" s="162" t="s">
        <v>3</v>
      </c>
      <c r="FC4" s="162" t="s">
        <v>39</v>
      </c>
      <c r="FD4" s="162" t="s">
        <v>3</v>
      </c>
      <c r="FE4" s="162" t="s">
        <v>24</v>
      </c>
      <c r="FF4" s="162" t="s">
        <v>24</v>
      </c>
      <c r="FG4" s="162" t="s">
        <v>25</v>
      </c>
      <c r="FH4" s="162" t="s">
        <v>26</v>
      </c>
      <c r="FI4" s="163" t="s">
        <v>38</v>
      </c>
      <c r="FK4" s="165" t="s">
        <v>3</v>
      </c>
      <c r="FL4" s="162">
        <f>BH4</f>
        <v>0</v>
      </c>
      <c r="FM4" s="162" t="s">
        <v>3</v>
      </c>
      <c r="FN4" s="163">
        <f>BJ4</f>
        <v>0</v>
      </c>
      <c r="FP4" s="165" t="s">
        <v>3</v>
      </c>
      <c r="FQ4" s="162" t="s">
        <v>104</v>
      </c>
      <c r="FR4" s="165" t="s">
        <v>3</v>
      </c>
      <c r="FS4" s="162" t="s">
        <v>104</v>
      </c>
    </row>
    <row r="5" spans="1:175" x14ac:dyDescent="0.15">
      <c r="A5" s="249" t="s">
        <v>17</v>
      </c>
      <c r="B5" s="38">
        <v>110</v>
      </c>
      <c r="C5" s="140">
        <f>Anchor!L254</f>
        <v>0</v>
      </c>
      <c r="D5" s="140">
        <f>Anchor!M254</f>
        <v>0</v>
      </c>
      <c r="E5" s="140">
        <f>Anchor!N254</f>
        <v>0</v>
      </c>
      <c r="F5" s="140">
        <f>Anchor!O254</f>
        <v>0</v>
      </c>
      <c r="G5" s="141">
        <f>('Summary (Full)'!$B$34*D5+'Summary (Full)'!$B$35*E5+'Summary (Full)'!$B$36*F5)/'Summary (Full)'!$B$37</f>
        <v>0</v>
      </c>
      <c r="H5" s="140">
        <f>Anchor!P254</f>
        <v>0</v>
      </c>
      <c r="I5" s="140">
        <f>Anchor!Q254</f>
        <v>0</v>
      </c>
      <c r="J5" s="140">
        <f>Anchor!R254</f>
        <v>0</v>
      </c>
      <c r="K5" s="140">
        <f>Anchor!S254</f>
        <v>0</v>
      </c>
      <c r="L5" s="140">
        <f>Anchor!T254</f>
        <v>0</v>
      </c>
      <c r="M5" s="140">
        <f>Anchor!U254</f>
        <v>0</v>
      </c>
      <c r="N5" s="140">
        <f>Anchor!V254</f>
        <v>0</v>
      </c>
      <c r="O5" s="140">
        <f>Anchor!W254</f>
        <v>0</v>
      </c>
      <c r="P5" s="140">
        <f>Anchor!X254</f>
        <v>0</v>
      </c>
      <c r="Q5" s="142">
        <f>10*LOG10(1/(('Summary (Full)'!$B$41/10^(N5/10)+'Summary (Full)'!$B$42/10^(O5/10)+'Summary (Full)'!$B$43/10^(P5/10))/'Summary (Full)'!$B$44))</f>
        <v>0</v>
      </c>
      <c r="R5" s="140">
        <f>Anchor!Y254</f>
        <v>0</v>
      </c>
      <c r="S5" s="140">
        <f>Anchor!Z254</f>
        <v>0</v>
      </c>
      <c r="U5" s="129">
        <f>Test!L254</f>
        <v>0</v>
      </c>
      <c r="V5" s="129">
        <f>Test!M254</f>
        <v>0</v>
      </c>
      <c r="W5" s="129">
        <f>Test!N254</f>
        <v>0</v>
      </c>
      <c r="X5" s="129">
        <f>Test!O254</f>
        <v>0</v>
      </c>
      <c r="Y5" s="129">
        <f>('Summary (Full)'!$B$34*V5+'Summary (Full)'!$B$35*W5+'Summary (Full)'!$B$36*X5)/'Summary (Full)'!$B$37</f>
        <v>0</v>
      </c>
      <c r="Z5" s="129">
        <f>Test!P254</f>
        <v>0</v>
      </c>
      <c r="AA5" s="129">
        <f>Test!Q254</f>
        <v>0</v>
      </c>
      <c r="AB5" s="129">
        <f>Test!R254</f>
        <v>0</v>
      </c>
      <c r="AC5" s="129">
        <f>Test!S254</f>
        <v>0</v>
      </c>
      <c r="AD5" s="129">
        <f>Test!T254</f>
        <v>0</v>
      </c>
      <c r="AE5" s="129">
        <f>Test!U254</f>
        <v>0</v>
      </c>
      <c r="AF5" s="129">
        <f>Test!V254</f>
        <v>0</v>
      </c>
      <c r="AG5" s="129">
        <f>Test!W254</f>
        <v>0</v>
      </c>
      <c r="AH5" s="129">
        <f>Test!X254</f>
        <v>0</v>
      </c>
      <c r="AI5" s="129">
        <f>10*LOG10(1/(('Summary (Full)'!$B$41/10^(AF5/10)+'Summary (Full)'!$B$42/10^(AG5/10)+'Summary (Full)'!$B$43/10^(AH5/10))/'Summary (Full)'!$B$44))</f>
        <v>0</v>
      </c>
      <c r="AJ5" s="155">
        <f>Test!Y254</f>
        <v>0</v>
      </c>
      <c r="AK5" s="152">
        <f>Test!Z254</f>
        <v>0</v>
      </c>
      <c r="AL5" s="152" t="e">
        <f>AJ5/R5</f>
        <v>#DIV/0!</v>
      </c>
      <c r="AM5" s="152" t="e">
        <f>AK5/S5</f>
        <v>#DIV/0!</v>
      </c>
      <c r="AO5" s="253" t="s">
        <v>27</v>
      </c>
      <c r="AP5" s="171" t="e" cm="1">
        <f t="array" ref="AP5">bdRateExtend($C5:$C8,D5:D8,$U5:$U8,V5:V8)</f>
        <v>#VALUE!</v>
      </c>
      <c r="AQ5" s="171" t="e" cm="1">
        <f t="array" ref="AQ5">bdRateExtend($C5:$C10,D5:D10,$U5:$U10,V5:V10)</f>
        <v>#VALUE!</v>
      </c>
      <c r="AR5" s="171" t="e" cm="1">
        <f t="array" ref="AR5">bdRateExtend($C5:$C10,E5:E10,$U5:$U10,W5:W10)</f>
        <v>#VALUE!</v>
      </c>
      <c r="AS5" s="171" t="e" cm="1">
        <f t="array" ref="AS5">bdRateExtend($C5:$C10,F5:F10,$U5:$U10,X5:X10)</f>
        <v>#VALUE!</v>
      </c>
      <c r="AT5" s="171" t="e" cm="1">
        <f t="array" ref="AT5">bdRateExtend($C5:$C8,H5:H8,$U5:$U8,Z5:Z8)</f>
        <v>#VALUE!</v>
      </c>
      <c r="AU5" s="171" t="e" cm="1">
        <f t="array" ref="AU5">bdRateExtend($C5:$C10,H5:H10,$U5:$U10,Z5:Z10)</f>
        <v>#VALUE!</v>
      </c>
      <c r="AV5" s="171" t="e" cm="1">
        <f t="array" ref="AV5">bdRateExtend($C5:$C8,I5:I8,$U5:$U8,AA5:AA8)</f>
        <v>#VALUE!</v>
      </c>
      <c r="AW5" s="171" t="e" cm="1">
        <f t="array" ref="AW5">bdRateExtend($C5:$C10,I5:I10,$U5:$U10,AA5:AA10)</f>
        <v>#VALUE!</v>
      </c>
      <c r="AX5" s="171" t="e" cm="1">
        <f t="array" ref="AX5">bdRateExtend($C5:$C8,J5:J8,$U5:$U8,AB5:AB8,"None", FALSE,1)</f>
        <v>#VALUE!</v>
      </c>
      <c r="AY5" s="174" t="e" cm="1">
        <f t="array" ref="AY5">bdRateExtend($C5:$C10,J5:J10,$U5:$U10,AB5:AB10,"None", FALSE,1)</f>
        <v>#VALUE!</v>
      </c>
      <c r="AZ5" s="285" cm="1">
        <f t="array" ref="AZ5">testVMAFRange($C5:$C8,J5:J8,$U5:$U8,AB5:AB8)</f>
        <v>0</v>
      </c>
      <c r="BA5" s="211" cm="1">
        <f t="array" ref="BA5">testVMAFRange($C5:$C10,J5:J10,$U5:$U10,AB5:AB10)</f>
        <v>0</v>
      </c>
      <c r="CH5" s="5"/>
      <c r="CI5" s="11" t="s">
        <v>31</v>
      </c>
      <c r="CJ5" s="10" t="e" cm="1">
        <f t="array" ref="CJ5">MIN(IF(CL1:CL201&gt;0,CL1:CL201))</f>
        <v>#VALUE!</v>
      </c>
      <c r="CK5" s="5"/>
      <c r="CL5" s="164" t="e" cm="1">
        <f t="array" ref="CL5">ConvexHullInterpolate(C5:C40,D5:D40,TRUE,6,'Summary (Full)'!B30,D5:S40)</f>
        <v>#VALUE!</v>
      </c>
      <c r="DE5" s="164" t="e" cm="1">
        <f t="array" ref="DE5">ConvexHullInterpolate(C5:C40,H5:H40,TRUE,6,'Summary (Full)'!B30)</f>
        <v>#VALUE!</v>
      </c>
      <c r="DH5" s="164" t="e" cm="1">
        <f t="array" ref="DH5">ConvexHullInterpolate($C5:$C40,I5:I40,TRUE,6,'Summary (Full)'!B30)</f>
        <v>#VALUE!</v>
      </c>
      <c r="DK5" s="164" t="e" cm="1">
        <f t="array" ref="DK5">ConvexHullInterpolate($C5:$C40,J5:J40,TRUE,6,'Summary (Full)'!B30)</f>
        <v>#VALUE!</v>
      </c>
      <c r="DM5" s="164" t="e" cm="1">
        <f t="array" ref="DM5">ConvexHullInterpolate($C5:$C40,K5:K40,TRUE,6,'Summary (Full)'!B30)</f>
        <v>#VALUE!</v>
      </c>
      <c r="DO5" s="164" t="e" cm="1">
        <f t="array" ref="DO5">ConvexHullInterpolate($C5:$C40,L5:L40,TRUE,6,'Summary (Full)'!B30)</f>
        <v>#VALUE!</v>
      </c>
      <c r="DQ5" s="164" t="e" cm="1">
        <f t="array" ref="DQ5">ConvexHullInterpolate($C5:$C40,M5:M40,TRUE,6,'Summary (Full)'!B30)</f>
        <v>#VALUE!</v>
      </c>
      <c r="DS5" s="164" t="e" cm="1">
        <f t="array" ref="DS5">ConvexHullInterpolate($C5:$C40,N5:N40,TRUE,6,'Summary (Full)'!B30, N5:Q40)</f>
        <v>#VALUE!</v>
      </c>
      <c r="DZ5" s="164" t="e" cm="1">
        <f t="array" ref="DZ5">ConvexHullInterpolate(U5:U40,V5:V40,TRUE,6,'Summary (Full)'!B30,V5:AK40)</f>
        <v>#VALUE!</v>
      </c>
      <c r="ER5" s="164" t="e" cm="1">
        <f t="array" ref="ER5">ConvexHullInterpolate($U5:$U40,Z5:Z40,TRUE,6,'Summary (Full)'!B30)</f>
        <v>#VALUE!</v>
      </c>
      <c r="ET5" s="164" t="e" cm="1">
        <f t="array" ref="ET5">ConvexHullInterpolate($U5:$U40,AA5:AA40,TRUE,6,'Summary (Full)'!B30)</f>
        <v>#VALUE!</v>
      </c>
      <c r="EV5" s="166" t="e" cm="1">
        <f t="array" ref="EV5">ConvexHullInterpolate($U5:$U40,AB5:AB40,TRUE,6,'Summary (Full)'!B30)</f>
        <v>#VALUE!</v>
      </c>
      <c r="EW5" s="166"/>
      <c r="EX5" s="166" t="e" cm="1">
        <f t="array" ref="EX5">ConvexHullInterpolate($U5:$U40,AC5:AC40,TRUE,6,'Summary (Full)'!B30)</f>
        <v>#VALUE!</v>
      </c>
      <c r="EY5" s="166"/>
      <c r="EZ5" s="166" t="e" cm="1">
        <f t="array" ref="EZ5">ConvexHullInterpolate($U5:$U40,AD5:AD40,TRUE,6,'Summary (Full)'!B30)</f>
        <v>#VALUE!</v>
      </c>
      <c r="FA5" s="166"/>
      <c r="FB5" s="166" t="e" cm="1">
        <f t="array" ref="FB5">ConvexHullInterpolate($U5:$U40,AE5:AE40,TRUE,6,'Summary (Full)'!B30)</f>
        <v>#VALUE!</v>
      </c>
      <c r="FC5" s="166"/>
      <c r="FD5" s="164" t="e" cm="1">
        <f t="array" ref="FD5">ConvexHullInterpolate($U5:$U40,AF5:AF40,TRUE,6,'Summary (Full)'!B30, AF5:AI40)</f>
        <v>#VALUE!</v>
      </c>
      <c r="FK5" s="164" t="e" cm="1">
        <f t="array" ref="FK5">ConvexHullInterpolate($C5:$C40,G5:G40,TRUE,6,'Summary (Full)'!B30)</f>
        <v>#VALUE!</v>
      </c>
      <c r="FM5" s="164" t="e" cm="1">
        <f t="array" ref="FM5">ConvexHullInterpolate($C5:$C40,Q5:Q40,TRUE,6,'Summary (Full)'!B30)</f>
        <v>#VALUE!</v>
      </c>
      <c r="FP5" s="164" t="e" cm="1">
        <f t="array" ref="FP5">ConvexHullInterpolate($U5:$U40,Y5:Y40,TRUE,6,'Summary (Full)'!B30)</f>
        <v>#VALUE!</v>
      </c>
      <c r="FR5" s="164" t="e" cm="1">
        <f t="array" ref="FR5">ConvexHullInterpolate($U5:$U40,AI5:AI40,TRUE,6,'Summary (Full)'!B30)</f>
        <v>#VALUE!</v>
      </c>
    </row>
    <row r="6" spans="1:175" x14ac:dyDescent="0.15">
      <c r="A6" s="249"/>
      <c r="B6" s="38">
        <v>135</v>
      </c>
      <c r="C6" s="140">
        <f>Anchor!L255</f>
        <v>0</v>
      </c>
      <c r="D6" s="140">
        <f>Anchor!M255</f>
        <v>0</v>
      </c>
      <c r="E6" s="140">
        <f>Anchor!N255</f>
        <v>0</v>
      </c>
      <c r="F6" s="140">
        <f>Anchor!O255</f>
        <v>0</v>
      </c>
      <c r="G6" s="141">
        <f>('Summary (Full)'!$B$34*D6+'Summary (Full)'!$B$35*E6+'Summary (Full)'!$B$36*F6)/'Summary (Full)'!$B$37</f>
        <v>0</v>
      </c>
      <c r="H6" s="140">
        <f>Anchor!P255</f>
        <v>0</v>
      </c>
      <c r="I6" s="140">
        <f>Anchor!Q255</f>
        <v>0</v>
      </c>
      <c r="J6" s="140">
        <f>Anchor!R255</f>
        <v>0</v>
      </c>
      <c r="K6" s="140">
        <f>Anchor!S255</f>
        <v>0</v>
      </c>
      <c r="L6" s="140">
        <f>Anchor!T255</f>
        <v>0</v>
      </c>
      <c r="M6" s="140">
        <f>Anchor!U255</f>
        <v>0</v>
      </c>
      <c r="N6" s="140">
        <f>Anchor!V255</f>
        <v>0</v>
      </c>
      <c r="O6" s="140">
        <f>Anchor!W255</f>
        <v>0</v>
      </c>
      <c r="P6" s="140">
        <f>Anchor!X255</f>
        <v>0</v>
      </c>
      <c r="Q6" s="142">
        <f>10*LOG10(1/(('Summary (Full)'!$B$41/10^(N6/10)+'Summary (Full)'!$B$42/10^(O6/10)+'Summary (Full)'!$B$43/10^(P6/10))/'Summary (Full)'!$B$44))</f>
        <v>0</v>
      </c>
      <c r="R6" s="140">
        <f>Anchor!Y255</f>
        <v>0</v>
      </c>
      <c r="S6" s="140">
        <f>Anchor!Z255</f>
        <v>0</v>
      </c>
      <c r="U6" s="129">
        <f>Test!L255</f>
        <v>0</v>
      </c>
      <c r="V6" s="129">
        <f>Test!M255</f>
        <v>0</v>
      </c>
      <c r="W6" s="129">
        <f>Test!N255</f>
        <v>0</v>
      </c>
      <c r="X6" s="129">
        <f>Test!O255</f>
        <v>0</v>
      </c>
      <c r="Y6" s="129">
        <f>('Summary (Full)'!$B$34*V6+'Summary (Full)'!$B$35*W6+'Summary (Full)'!$B$36*X6)/'Summary (Full)'!$B$37</f>
        <v>0</v>
      </c>
      <c r="Z6" s="129">
        <f>Test!P255</f>
        <v>0</v>
      </c>
      <c r="AA6" s="129">
        <f>Test!Q255</f>
        <v>0</v>
      </c>
      <c r="AB6" s="129">
        <f>Test!R255</f>
        <v>0</v>
      </c>
      <c r="AC6" s="129">
        <f>Test!S255</f>
        <v>0</v>
      </c>
      <c r="AD6" s="129">
        <f>Test!T255</f>
        <v>0</v>
      </c>
      <c r="AE6" s="129">
        <f>Test!U255</f>
        <v>0</v>
      </c>
      <c r="AF6" s="129">
        <f>Test!V255</f>
        <v>0</v>
      </c>
      <c r="AG6" s="129">
        <f>Test!W255</f>
        <v>0</v>
      </c>
      <c r="AH6" s="129">
        <f>Test!X255</f>
        <v>0</v>
      </c>
      <c r="AI6" s="129">
        <f>10*LOG10(1/(('Summary (Full)'!$B$41/10^(AF6/10)+'Summary (Full)'!$B$42/10^(AG6/10)+'Summary (Full)'!$B$43/10^(AH6/10))/'Summary (Full)'!$B$44))</f>
        <v>0</v>
      </c>
      <c r="AJ6" s="155">
        <f>Test!Y255</f>
        <v>0</v>
      </c>
      <c r="AK6" s="152">
        <f>Test!Z255</f>
        <v>0</v>
      </c>
      <c r="AL6" s="152" t="e">
        <f t="shared" ref="AL6:AM40" si="2">AJ6/R6</f>
        <v>#DIV/0!</v>
      </c>
      <c r="AM6" s="152" t="e">
        <f t="shared" si="2"/>
        <v>#DIV/0!</v>
      </c>
      <c r="AO6" s="254"/>
      <c r="AP6" s="172"/>
      <c r="AQ6" s="172"/>
      <c r="AR6" s="172"/>
      <c r="AS6" s="172"/>
      <c r="AT6" s="172"/>
      <c r="AU6" s="172"/>
      <c r="AV6" s="172"/>
      <c r="AW6" s="172"/>
      <c r="AX6" s="172"/>
      <c r="AY6" s="175"/>
      <c r="AZ6" s="286"/>
      <c r="BA6" s="212"/>
      <c r="CH6" s="5"/>
      <c r="CI6" s="11" t="s">
        <v>32</v>
      </c>
      <c r="CJ6" s="10" t="e">
        <f>MAX(CL1:CL201)</f>
        <v>#VALUE!</v>
      </c>
      <c r="CK6" s="5"/>
      <c r="EV6" s="166"/>
      <c r="EW6" s="166"/>
      <c r="EX6" s="166"/>
      <c r="EY6" s="166"/>
      <c r="EZ6" s="166"/>
      <c r="FA6" s="166"/>
      <c r="FB6" s="166"/>
      <c r="FC6" s="166"/>
    </row>
    <row r="7" spans="1:175" x14ac:dyDescent="0.15">
      <c r="A7" s="249"/>
      <c r="B7" s="38">
        <v>160</v>
      </c>
      <c r="C7" s="140">
        <f>Anchor!L256</f>
        <v>0</v>
      </c>
      <c r="D7" s="140">
        <f>Anchor!M256</f>
        <v>0</v>
      </c>
      <c r="E7" s="140">
        <f>Anchor!N256</f>
        <v>0</v>
      </c>
      <c r="F7" s="140">
        <f>Anchor!O256</f>
        <v>0</v>
      </c>
      <c r="G7" s="141">
        <f>('Summary (Full)'!$B$34*D7+'Summary (Full)'!$B$35*E7+'Summary (Full)'!$B$36*F7)/'Summary (Full)'!$B$37</f>
        <v>0</v>
      </c>
      <c r="H7" s="140">
        <f>Anchor!P256</f>
        <v>0</v>
      </c>
      <c r="I7" s="140">
        <f>Anchor!Q256</f>
        <v>0</v>
      </c>
      <c r="J7" s="140">
        <f>Anchor!R256</f>
        <v>0</v>
      </c>
      <c r="K7" s="140">
        <f>Anchor!S256</f>
        <v>0</v>
      </c>
      <c r="L7" s="140">
        <f>Anchor!T256</f>
        <v>0</v>
      </c>
      <c r="M7" s="140">
        <f>Anchor!U256</f>
        <v>0</v>
      </c>
      <c r="N7" s="140">
        <f>Anchor!V256</f>
        <v>0</v>
      </c>
      <c r="O7" s="140">
        <f>Anchor!W256</f>
        <v>0</v>
      </c>
      <c r="P7" s="140">
        <f>Anchor!X256</f>
        <v>0</v>
      </c>
      <c r="Q7" s="142">
        <f>10*LOG10(1/(('Summary (Full)'!$B$41/10^(N7/10)+'Summary (Full)'!$B$42/10^(O7/10)+'Summary (Full)'!$B$43/10^(P7/10))/'Summary (Full)'!$B$44))</f>
        <v>0</v>
      </c>
      <c r="R7" s="140">
        <f>Anchor!Y256</f>
        <v>0</v>
      </c>
      <c r="S7" s="140">
        <f>Anchor!Z256</f>
        <v>0</v>
      </c>
      <c r="U7" s="129">
        <f>Test!L256</f>
        <v>0</v>
      </c>
      <c r="V7" s="129">
        <f>Test!M256</f>
        <v>0</v>
      </c>
      <c r="W7" s="129">
        <f>Test!N256</f>
        <v>0</v>
      </c>
      <c r="X7" s="129">
        <f>Test!O256</f>
        <v>0</v>
      </c>
      <c r="Y7" s="129">
        <f>('Summary (Full)'!$B$34*V7+'Summary (Full)'!$B$35*W7+'Summary (Full)'!$B$36*X7)/'Summary (Full)'!$B$37</f>
        <v>0</v>
      </c>
      <c r="Z7" s="129">
        <f>Test!P256</f>
        <v>0</v>
      </c>
      <c r="AA7" s="129">
        <f>Test!Q256</f>
        <v>0</v>
      </c>
      <c r="AB7" s="129">
        <f>Test!R256</f>
        <v>0</v>
      </c>
      <c r="AC7" s="129">
        <f>Test!S256</f>
        <v>0</v>
      </c>
      <c r="AD7" s="129">
        <f>Test!T256</f>
        <v>0</v>
      </c>
      <c r="AE7" s="129">
        <f>Test!U256</f>
        <v>0</v>
      </c>
      <c r="AF7" s="129">
        <f>Test!V256</f>
        <v>0</v>
      </c>
      <c r="AG7" s="129">
        <f>Test!W256</f>
        <v>0</v>
      </c>
      <c r="AH7" s="129">
        <f>Test!X256</f>
        <v>0</v>
      </c>
      <c r="AI7" s="129">
        <f>10*LOG10(1/(('Summary (Full)'!$B$41/10^(AF7/10)+'Summary (Full)'!$B$42/10^(AG7/10)+'Summary (Full)'!$B$43/10^(AH7/10))/'Summary (Full)'!$B$44))</f>
        <v>0</v>
      </c>
      <c r="AJ7" s="155">
        <f>Test!Y256</f>
        <v>0</v>
      </c>
      <c r="AK7" s="152">
        <f>Test!Z256</f>
        <v>0</v>
      </c>
      <c r="AL7" s="152" t="e">
        <f t="shared" si="2"/>
        <v>#DIV/0!</v>
      </c>
      <c r="AM7" s="152" t="e">
        <f t="shared" si="2"/>
        <v>#DIV/0!</v>
      </c>
      <c r="AO7" s="254" t="s">
        <v>28</v>
      </c>
      <c r="AP7" s="172" t="e" cm="1">
        <f t="array" ref="AP7">bdRateExtend($C6:$C9,D6:D9,$U6:$U9,V6:V9)</f>
        <v>#VALUE!</v>
      </c>
      <c r="AQ7" s="172"/>
      <c r="AR7" s="172"/>
      <c r="AS7" s="172"/>
      <c r="AT7" s="172" t="e" cm="1">
        <f t="array" ref="AT7">bdRateExtend($C6:$C9,H6:H9,$U6:$U9,Z6:Z9)</f>
        <v>#VALUE!</v>
      </c>
      <c r="AU7" s="172"/>
      <c r="AV7" s="172" t="e" cm="1">
        <f t="array" ref="AV7">bdRateExtend($C6:$C9,I6:I9,$U6:$U9,AA6:AA9)</f>
        <v>#VALUE!</v>
      </c>
      <c r="AW7" s="172"/>
      <c r="AX7" s="172" t="e" cm="1">
        <f t="array" ref="AX7">bdRateExtend($C6:$C9,J6:J9,$U6:$U9,AB6:AB9,"None", FALSE,1)</f>
        <v>#VALUE!</v>
      </c>
      <c r="AY7" s="175"/>
      <c r="AZ7" s="286" cm="1">
        <f t="array" ref="AZ7">testVMAFRange($C6:$C9,J6:J9,$U6:$U9,AB6:AB9)</f>
        <v>0</v>
      </c>
      <c r="BA7" s="212"/>
      <c r="CH7" s="5"/>
      <c r="CI7" s="11" t="s">
        <v>33</v>
      </c>
      <c r="CJ7" s="10" t="e">
        <f>CJ6-CJ5</f>
        <v>#VALUE!</v>
      </c>
      <c r="CK7" s="5"/>
      <c r="EV7" s="166"/>
      <c r="EW7" s="166"/>
      <c r="EX7" s="166"/>
      <c r="EY7" s="166"/>
      <c r="EZ7" s="166"/>
      <c r="FA7" s="166"/>
      <c r="FB7" s="166"/>
      <c r="FC7" s="166"/>
    </row>
    <row r="8" spans="1:175" x14ac:dyDescent="0.15">
      <c r="A8" s="249"/>
      <c r="B8" s="38">
        <v>185</v>
      </c>
      <c r="C8" s="140">
        <f>Anchor!L257</f>
        <v>0</v>
      </c>
      <c r="D8" s="140">
        <f>Anchor!M257</f>
        <v>0</v>
      </c>
      <c r="E8" s="140">
        <f>Anchor!N257</f>
        <v>0</v>
      </c>
      <c r="F8" s="140">
        <f>Anchor!O257</f>
        <v>0</v>
      </c>
      <c r="G8" s="141">
        <f>('Summary (Full)'!$B$34*D8+'Summary (Full)'!$B$35*E8+'Summary (Full)'!$B$36*F8)/'Summary (Full)'!$B$37</f>
        <v>0</v>
      </c>
      <c r="H8" s="140">
        <f>Anchor!P257</f>
        <v>0</v>
      </c>
      <c r="I8" s="140">
        <f>Anchor!Q257</f>
        <v>0</v>
      </c>
      <c r="J8" s="140">
        <f>Anchor!R257</f>
        <v>0</v>
      </c>
      <c r="K8" s="140">
        <f>Anchor!S257</f>
        <v>0</v>
      </c>
      <c r="L8" s="140">
        <f>Anchor!T257</f>
        <v>0</v>
      </c>
      <c r="M8" s="140">
        <f>Anchor!U257</f>
        <v>0</v>
      </c>
      <c r="N8" s="140">
        <f>Anchor!V257</f>
        <v>0</v>
      </c>
      <c r="O8" s="140">
        <f>Anchor!W257</f>
        <v>0</v>
      </c>
      <c r="P8" s="140">
        <f>Anchor!X257</f>
        <v>0</v>
      </c>
      <c r="Q8" s="142">
        <f>10*LOG10(1/(('Summary (Full)'!$B$41/10^(N8/10)+'Summary (Full)'!$B$42/10^(O8/10)+'Summary (Full)'!$B$43/10^(P8/10))/'Summary (Full)'!$B$44))</f>
        <v>0</v>
      </c>
      <c r="R8" s="140">
        <f>Anchor!Y257</f>
        <v>0</v>
      </c>
      <c r="S8" s="140">
        <f>Anchor!Z257</f>
        <v>0</v>
      </c>
      <c r="U8" s="129">
        <f>Test!L257</f>
        <v>0</v>
      </c>
      <c r="V8" s="129">
        <f>Test!M257</f>
        <v>0</v>
      </c>
      <c r="W8" s="129">
        <f>Test!N257</f>
        <v>0</v>
      </c>
      <c r="X8" s="129">
        <f>Test!O257</f>
        <v>0</v>
      </c>
      <c r="Y8" s="129">
        <f>('Summary (Full)'!$B$34*V8+'Summary (Full)'!$B$35*W8+'Summary (Full)'!$B$36*X8)/'Summary (Full)'!$B$37</f>
        <v>0</v>
      </c>
      <c r="Z8" s="129">
        <f>Test!P257</f>
        <v>0</v>
      </c>
      <c r="AA8" s="129">
        <f>Test!Q257</f>
        <v>0</v>
      </c>
      <c r="AB8" s="129">
        <f>Test!R257</f>
        <v>0</v>
      </c>
      <c r="AC8" s="129">
        <f>Test!S257</f>
        <v>0</v>
      </c>
      <c r="AD8" s="129">
        <f>Test!T257</f>
        <v>0</v>
      </c>
      <c r="AE8" s="129">
        <f>Test!U257</f>
        <v>0</v>
      </c>
      <c r="AF8" s="129">
        <f>Test!V257</f>
        <v>0</v>
      </c>
      <c r="AG8" s="129">
        <f>Test!W257</f>
        <v>0</v>
      </c>
      <c r="AH8" s="129">
        <f>Test!X257</f>
        <v>0</v>
      </c>
      <c r="AI8" s="129">
        <f>10*LOG10(1/(('Summary (Full)'!$B$41/10^(AF8/10)+'Summary (Full)'!$B$42/10^(AG8/10)+'Summary (Full)'!$B$43/10^(AH8/10))/'Summary (Full)'!$B$44))</f>
        <v>0</v>
      </c>
      <c r="AJ8" s="155">
        <f>Test!Y257</f>
        <v>0</v>
      </c>
      <c r="AK8" s="152">
        <f>Test!Z257</f>
        <v>0</v>
      </c>
      <c r="AL8" s="152" t="e">
        <f t="shared" si="2"/>
        <v>#DIV/0!</v>
      </c>
      <c r="AM8" s="152" t="e">
        <f t="shared" si="2"/>
        <v>#DIV/0!</v>
      </c>
      <c r="AO8" s="254"/>
      <c r="AP8" s="172"/>
      <c r="AQ8" s="172"/>
      <c r="AR8" s="172"/>
      <c r="AS8" s="172"/>
      <c r="AT8" s="172"/>
      <c r="AU8" s="172"/>
      <c r="AV8" s="172"/>
      <c r="AW8" s="172"/>
      <c r="AX8" s="172"/>
      <c r="AY8" s="175"/>
      <c r="AZ8" s="286"/>
      <c r="BA8" s="212"/>
      <c r="CH8" s="5"/>
      <c r="CI8" s="11" t="s">
        <v>34</v>
      </c>
      <c r="CJ8" s="10" t="e">
        <f>CJ7^(3/4)</f>
        <v>#VALUE!</v>
      </c>
      <c r="CK8" s="5"/>
      <c r="EV8" s="166"/>
      <c r="EW8" s="166"/>
      <c r="EX8" s="166"/>
      <c r="EY8" s="166"/>
      <c r="EZ8" s="166"/>
      <c r="FA8" s="166"/>
      <c r="FB8" s="166"/>
      <c r="FC8" s="166"/>
    </row>
    <row r="9" spans="1:175" x14ac:dyDescent="0.15">
      <c r="A9" s="249"/>
      <c r="B9" s="38">
        <v>210</v>
      </c>
      <c r="C9" s="140">
        <f>Anchor!L258</f>
        <v>0</v>
      </c>
      <c r="D9" s="140">
        <f>Anchor!M258</f>
        <v>0</v>
      </c>
      <c r="E9" s="140">
        <f>Anchor!N258</f>
        <v>0</v>
      </c>
      <c r="F9" s="140">
        <f>Anchor!O258</f>
        <v>0</v>
      </c>
      <c r="G9" s="141">
        <f>('Summary (Full)'!$B$34*D9+'Summary (Full)'!$B$35*E9+'Summary (Full)'!$B$36*F9)/'Summary (Full)'!$B$37</f>
        <v>0</v>
      </c>
      <c r="H9" s="140">
        <f>Anchor!P258</f>
        <v>0</v>
      </c>
      <c r="I9" s="140">
        <f>Anchor!Q258</f>
        <v>0</v>
      </c>
      <c r="J9" s="140">
        <f>Anchor!R258</f>
        <v>0</v>
      </c>
      <c r="K9" s="140">
        <f>Anchor!S258</f>
        <v>0</v>
      </c>
      <c r="L9" s="140">
        <f>Anchor!T258</f>
        <v>0</v>
      </c>
      <c r="M9" s="140">
        <f>Anchor!U258</f>
        <v>0</v>
      </c>
      <c r="N9" s="140">
        <f>Anchor!V258</f>
        <v>0</v>
      </c>
      <c r="O9" s="140">
        <f>Anchor!W258</f>
        <v>0</v>
      </c>
      <c r="P9" s="140">
        <f>Anchor!X258</f>
        <v>0</v>
      </c>
      <c r="Q9" s="142">
        <f>10*LOG10(1/(('Summary (Full)'!$B$41/10^(N9/10)+'Summary (Full)'!$B$42/10^(O9/10)+'Summary (Full)'!$B$43/10^(P9/10))/'Summary (Full)'!$B$44))</f>
        <v>0</v>
      </c>
      <c r="R9" s="140">
        <f>Anchor!Y258</f>
        <v>0</v>
      </c>
      <c r="S9" s="140">
        <f>Anchor!Z258</f>
        <v>0</v>
      </c>
      <c r="U9" s="129">
        <f>Test!L258</f>
        <v>0</v>
      </c>
      <c r="V9" s="129">
        <f>Test!M258</f>
        <v>0</v>
      </c>
      <c r="W9" s="129">
        <f>Test!N258</f>
        <v>0</v>
      </c>
      <c r="X9" s="129">
        <f>Test!O258</f>
        <v>0</v>
      </c>
      <c r="Y9" s="129">
        <f>('Summary (Full)'!$B$34*V9+'Summary (Full)'!$B$35*W9+'Summary (Full)'!$B$36*X9)/'Summary (Full)'!$B$37</f>
        <v>0</v>
      </c>
      <c r="Z9" s="129">
        <f>Test!P258</f>
        <v>0</v>
      </c>
      <c r="AA9" s="129">
        <f>Test!Q258</f>
        <v>0</v>
      </c>
      <c r="AB9" s="129">
        <f>Test!R258</f>
        <v>0</v>
      </c>
      <c r="AC9" s="129">
        <f>Test!S258</f>
        <v>0</v>
      </c>
      <c r="AD9" s="129">
        <f>Test!T258</f>
        <v>0</v>
      </c>
      <c r="AE9" s="129">
        <f>Test!U258</f>
        <v>0</v>
      </c>
      <c r="AF9" s="129">
        <f>Test!V258</f>
        <v>0</v>
      </c>
      <c r="AG9" s="129">
        <f>Test!W258</f>
        <v>0</v>
      </c>
      <c r="AH9" s="129">
        <f>Test!X258</f>
        <v>0</v>
      </c>
      <c r="AI9" s="129">
        <f>10*LOG10(1/(('Summary (Full)'!$B$41/10^(AF9/10)+'Summary (Full)'!$B$42/10^(AG9/10)+'Summary (Full)'!$B$43/10^(AH9/10))/'Summary (Full)'!$B$44))</f>
        <v>0</v>
      </c>
      <c r="AJ9" s="155">
        <f>Test!Y258</f>
        <v>0</v>
      </c>
      <c r="AK9" s="152">
        <f>Test!Z258</f>
        <v>0</v>
      </c>
      <c r="AL9" s="152" t="e">
        <f t="shared" si="2"/>
        <v>#DIV/0!</v>
      </c>
      <c r="AM9" s="152" t="e">
        <f t="shared" si="2"/>
        <v>#DIV/0!</v>
      </c>
      <c r="AO9" s="254" t="s">
        <v>29</v>
      </c>
      <c r="AP9" s="172" t="e" cm="1">
        <f t="array" ref="AP9">bdRateExtend($C7:$C10,D7:D10,$U7:$U10,V7:V10)</f>
        <v>#VALUE!</v>
      </c>
      <c r="AQ9" s="172"/>
      <c r="AR9" s="172"/>
      <c r="AS9" s="172"/>
      <c r="AT9" s="172" t="e" cm="1">
        <f t="array" ref="AT9">bdRateExtend($C7:$C10,H7:H10,$U7:$U10,Z7:Z10)</f>
        <v>#VALUE!</v>
      </c>
      <c r="AU9" s="172"/>
      <c r="AV9" s="172" t="e" cm="1">
        <f t="array" ref="AV9">bdRateExtend($C7:$C10,I7:I10,$U7:$U10,AA7:AA10)</f>
        <v>#VALUE!</v>
      </c>
      <c r="AW9" s="172"/>
      <c r="AX9" s="172" t="e" cm="1">
        <f t="array" ref="AX9">bdRateExtend($C7:$C10,J7:J10,$U7:$U10,AB7:AB10,"None", FALSE,1)</f>
        <v>#VALUE!</v>
      </c>
      <c r="AY9" s="175"/>
      <c r="AZ9" s="286" cm="1">
        <f t="array" ref="AZ9">testVMAFRange($C7:$C10,J7:J10,$U7:$U10,AB7:AB10)</f>
        <v>0</v>
      </c>
      <c r="BA9" s="212"/>
      <c r="CH9" s="5"/>
      <c r="CI9" s="11" t="s">
        <v>35</v>
      </c>
      <c r="CJ9" s="10" t="e">
        <f>CJ7^(1/2)</f>
        <v>#VALUE!</v>
      </c>
      <c r="CK9" s="5"/>
      <c r="EV9" s="166"/>
      <c r="EW9" s="166"/>
      <c r="EX9" s="166"/>
      <c r="EY9" s="166"/>
      <c r="EZ9" s="166"/>
      <c r="FA9" s="166"/>
      <c r="FB9" s="166"/>
      <c r="FC9" s="166"/>
    </row>
    <row r="10" spans="1:175" ht="14" thickBot="1" x14ac:dyDescent="0.2">
      <c r="A10" s="249"/>
      <c r="B10" s="38">
        <v>235</v>
      </c>
      <c r="C10" s="140">
        <f>Anchor!L259</f>
        <v>0</v>
      </c>
      <c r="D10" s="140">
        <f>Anchor!M259</f>
        <v>0</v>
      </c>
      <c r="E10" s="140">
        <f>Anchor!N259</f>
        <v>0</v>
      </c>
      <c r="F10" s="140">
        <f>Anchor!O259</f>
        <v>0</v>
      </c>
      <c r="G10" s="141">
        <f>('Summary (Full)'!$B$34*D10+'Summary (Full)'!$B$35*E10+'Summary (Full)'!$B$36*F10)/'Summary (Full)'!$B$37</f>
        <v>0</v>
      </c>
      <c r="H10" s="140">
        <f>Anchor!P259</f>
        <v>0</v>
      </c>
      <c r="I10" s="140">
        <f>Anchor!Q259</f>
        <v>0</v>
      </c>
      <c r="J10" s="140">
        <f>Anchor!R259</f>
        <v>0</v>
      </c>
      <c r="K10" s="140">
        <f>Anchor!S259</f>
        <v>0</v>
      </c>
      <c r="L10" s="140">
        <f>Anchor!T259</f>
        <v>0</v>
      </c>
      <c r="M10" s="140">
        <f>Anchor!U259</f>
        <v>0</v>
      </c>
      <c r="N10" s="140">
        <f>Anchor!V259</f>
        <v>0</v>
      </c>
      <c r="O10" s="140">
        <f>Anchor!W259</f>
        <v>0</v>
      </c>
      <c r="P10" s="140">
        <f>Anchor!X259</f>
        <v>0</v>
      </c>
      <c r="Q10" s="142">
        <f>10*LOG10(1/(('Summary (Full)'!$B$41/10^(N10/10)+'Summary (Full)'!$B$42/10^(O10/10)+'Summary (Full)'!$B$43/10^(P10/10))/'Summary (Full)'!$B$44))</f>
        <v>0</v>
      </c>
      <c r="R10" s="140">
        <f>Anchor!Y259</f>
        <v>0</v>
      </c>
      <c r="S10" s="140">
        <f>Anchor!Z259</f>
        <v>0</v>
      </c>
      <c r="U10" s="129">
        <f>Test!L259</f>
        <v>0</v>
      </c>
      <c r="V10" s="129">
        <f>Test!M259</f>
        <v>0</v>
      </c>
      <c r="W10" s="129">
        <f>Test!N259</f>
        <v>0</v>
      </c>
      <c r="X10" s="129">
        <f>Test!O259</f>
        <v>0</v>
      </c>
      <c r="Y10" s="129">
        <f>('Summary (Full)'!$B$34*V10+'Summary (Full)'!$B$35*W10+'Summary (Full)'!$B$36*X10)/'Summary (Full)'!$B$37</f>
        <v>0</v>
      </c>
      <c r="Z10" s="129">
        <f>Test!P259</f>
        <v>0</v>
      </c>
      <c r="AA10" s="129">
        <f>Test!Q259</f>
        <v>0</v>
      </c>
      <c r="AB10" s="129">
        <f>Test!R259</f>
        <v>0</v>
      </c>
      <c r="AC10" s="129">
        <f>Test!S259</f>
        <v>0</v>
      </c>
      <c r="AD10" s="129">
        <f>Test!T259</f>
        <v>0</v>
      </c>
      <c r="AE10" s="129">
        <f>Test!U259</f>
        <v>0</v>
      </c>
      <c r="AF10" s="129">
        <f>Test!V259</f>
        <v>0</v>
      </c>
      <c r="AG10" s="129">
        <f>Test!W259</f>
        <v>0</v>
      </c>
      <c r="AH10" s="129">
        <f>Test!X259</f>
        <v>0</v>
      </c>
      <c r="AI10" s="129">
        <f>10*LOG10(1/(('Summary (Full)'!$B$41/10^(AF10/10)+'Summary (Full)'!$B$42/10^(AG10/10)+'Summary (Full)'!$B$43/10^(AH10/10))/'Summary (Full)'!$B$44))</f>
        <v>0</v>
      </c>
      <c r="AJ10" s="155">
        <f>Test!Y259</f>
        <v>0</v>
      </c>
      <c r="AK10" s="152">
        <f>Test!Z259</f>
        <v>0</v>
      </c>
      <c r="AL10" s="152" t="e">
        <f t="shared" si="2"/>
        <v>#DIV/0!</v>
      </c>
      <c r="AM10" s="152" t="e">
        <f t="shared" si="2"/>
        <v>#DIV/0!</v>
      </c>
      <c r="AO10" s="263"/>
      <c r="AP10" s="173"/>
      <c r="AQ10" s="173"/>
      <c r="AR10" s="173"/>
      <c r="AS10" s="173"/>
      <c r="AT10" s="173"/>
      <c r="AU10" s="173"/>
      <c r="AV10" s="173"/>
      <c r="AW10" s="173"/>
      <c r="AX10" s="173"/>
      <c r="AY10" s="188"/>
      <c r="AZ10" s="287"/>
      <c r="BA10" s="240"/>
      <c r="CH10" s="5"/>
      <c r="CI10" s="11" t="s">
        <v>36</v>
      </c>
      <c r="CJ10" s="10" t="e">
        <f>CJ5+CJ9</f>
        <v>#VALUE!</v>
      </c>
      <c r="CK10" s="5"/>
      <c r="EV10" s="166"/>
      <c r="EW10" s="166"/>
      <c r="EX10" s="166"/>
      <c r="EY10" s="166"/>
      <c r="EZ10" s="166"/>
      <c r="FA10" s="166"/>
      <c r="FB10" s="166"/>
      <c r="FC10" s="166"/>
    </row>
    <row r="11" spans="1:175" x14ac:dyDescent="0.15">
      <c r="A11" s="249" t="s">
        <v>18</v>
      </c>
      <c r="B11" s="38">
        <v>110</v>
      </c>
      <c r="C11" s="140">
        <f>Anchor!L260</f>
        <v>0</v>
      </c>
      <c r="D11" s="140">
        <f>Anchor!M260</f>
        <v>0</v>
      </c>
      <c r="E11" s="140">
        <f>Anchor!N260</f>
        <v>0</v>
      </c>
      <c r="F11" s="140">
        <f>Anchor!O260</f>
        <v>0</v>
      </c>
      <c r="G11" s="141">
        <f>('Summary (Full)'!$B$34*D11+'Summary (Full)'!$B$35*E11+'Summary (Full)'!$B$36*F11)/'Summary (Full)'!$B$37</f>
        <v>0</v>
      </c>
      <c r="H11" s="140">
        <f>Anchor!P260</f>
        <v>0</v>
      </c>
      <c r="I11" s="140">
        <f>Anchor!Q260</f>
        <v>0</v>
      </c>
      <c r="J11" s="140">
        <f>Anchor!R260</f>
        <v>0</v>
      </c>
      <c r="K11" s="140">
        <f>Anchor!S260</f>
        <v>0</v>
      </c>
      <c r="L11" s="140">
        <f>Anchor!T260</f>
        <v>0</v>
      </c>
      <c r="M11" s="140">
        <f>Anchor!U260</f>
        <v>0</v>
      </c>
      <c r="N11" s="140">
        <f>Anchor!V260</f>
        <v>0</v>
      </c>
      <c r="O11" s="140">
        <f>Anchor!W260</f>
        <v>0</v>
      </c>
      <c r="P11" s="140">
        <f>Anchor!X260</f>
        <v>0</v>
      </c>
      <c r="Q11" s="142">
        <f>10*LOG10(1/(('Summary (Full)'!$B$41/10^(N11/10)+'Summary (Full)'!$B$42/10^(O11/10)+'Summary (Full)'!$B$43/10^(P11/10))/'Summary (Full)'!$B$44))</f>
        <v>0</v>
      </c>
      <c r="R11" s="140">
        <f>Anchor!Y260</f>
        <v>0</v>
      </c>
      <c r="S11" s="140">
        <f>Anchor!Z260</f>
        <v>0</v>
      </c>
      <c r="U11" s="129">
        <f>Test!L260</f>
        <v>0</v>
      </c>
      <c r="V11" s="129">
        <f>Test!M260</f>
        <v>0</v>
      </c>
      <c r="W11" s="129">
        <f>Test!N260</f>
        <v>0</v>
      </c>
      <c r="X11" s="129">
        <f>Test!O260</f>
        <v>0</v>
      </c>
      <c r="Y11" s="129">
        <f>('Summary (Full)'!$B$34*V11+'Summary (Full)'!$B$35*W11+'Summary (Full)'!$B$36*X11)/'Summary (Full)'!$B$37</f>
        <v>0</v>
      </c>
      <c r="Z11" s="129">
        <f>Test!P260</f>
        <v>0</v>
      </c>
      <c r="AA11" s="129">
        <f>Test!Q260</f>
        <v>0</v>
      </c>
      <c r="AB11" s="129">
        <f>Test!R260</f>
        <v>0</v>
      </c>
      <c r="AC11" s="129">
        <f>Test!S260</f>
        <v>0</v>
      </c>
      <c r="AD11" s="129">
        <f>Test!T260</f>
        <v>0</v>
      </c>
      <c r="AE11" s="129">
        <f>Test!U260</f>
        <v>0</v>
      </c>
      <c r="AF11" s="129">
        <f>Test!V260</f>
        <v>0</v>
      </c>
      <c r="AG11" s="129">
        <f>Test!W260</f>
        <v>0</v>
      </c>
      <c r="AH11" s="129">
        <f>Test!X260</f>
        <v>0</v>
      </c>
      <c r="AI11" s="129">
        <f>10*LOG10(1/(('Summary (Full)'!$B$41/10^(AF11/10)+'Summary (Full)'!$B$42/10^(AG11/10)+'Summary (Full)'!$B$43/10^(AH11/10))/'Summary (Full)'!$B$44))</f>
        <v>0</v>
      </c>
      <c r="AJ11" s="155">
        <f>Test!Y260</f>
        <v>0</v>
      </c>
      <c r="AK11" s="152">
        <f>Test!Z260</f>
        <v>0</v>
      </c>
      <c r="AL11" s="152" t="e">
        <f t="shared" si="2"/>
        <v>#DIV/0!</v>
      </c>
      <c r="AM11" s="152" t="e">
        <f t="shared" si="2"/>
        <v>#DIV/0!</v>
      </c>
      <c r="AO11" s="253" t="s">
        <v>27</v>
      </c>
      <c r="AP11" s="171" t="e" cm="1">
        <f t="array" ref="AP11">bdRateExtend($C11:$C14,D11:D14,$U11:$U14,V11:V14)</f>
        <v>#VALUE!</v>
      </c>
      <c r="AQ11" s="171" t="e" cm="1">
        <f t="array" ref="AQ11">bdRateExtend($C11:$C16,D11:D16,$U11:$U16,V11:V16)</f>
        <v>#VALUE!</v>
      </c>
      <c r="AR11" s="171" t="e" cm="1">
        <f t="array" ref="AR11">bdRateExtend($C11:$C16,E11:E16,$U11:$U16,W11:W16)</f>
        <v>#VALUE!</v>
      </c>
      <c r="AS11" s="171" t="e" cm="1">
        <f t="array" ref="AS11">bdRateExtend($C11:$C16,F11:F16,$U11:$U16,X11:X16)</f>
        <v>#VALUE!</v>
      </c>
      <c r="AT11" s="171" t="e" cm="1">
        <f t="array" ref="AT11">bdRateExtend($C11:$C14,H11:H14,$U11:$U14,Z11:Z14)</f>
        <v>#VALUE!</v>
      </c>
      <c r="AU11" s="171" t="e" cm="1">
        <f t="array" ref="AU11">bdRateExtend($C11:$C16,H11:H16,$U11:$U16,Z11:Z16)</f>
        <v>#VALUE!</v>
      </c>
      <c r="AV11" s="171" t="e" cm="1">
        <f t="array" ref="AV11">bdRateExtend($C11:$C14,I11:I14,$U11:$U14,AA11:AA14)</f>
        <v>#VALUE!</v>
      </c>
      <c r="AW11" s="171" t="e" cm="1">
        <f t="array" ref="AW11">bdRateExtend($C11:$C16,I11:I16,$U11:$U16,AA11:AA16)</f>
        <v>#VALUE!</v>
      </c>
      <c r="AX11" s="171" t="e" cm="1">
        <f t="array" ref="AX11">bdRateExtend($C11:$C14,J11:J14,$U11:$U14,AB11:AB14,"None", FALSE,1)</f>
        <v>#VALUE!</v>
      </c>
      <c r="AY11" s="174" t="e" cm="1">
        <f t="array" ref="AY11">bdRateExtend($C11:$C16,J11:J16,$U11:$U16,AB11:AB16,"None", FALSE,TRUE)</f>
        <v>#VALUE!</v>
      </c>
      <c r="AZ11" s="285" cm="1">
        <f t="array" ref="AZ11">testVMAFRange($C11:$C14,J11:J14,$U11:$U14,AB11:AB14)</f>
        <v>0</v>
      </c>
      <c r="BA11" s="211" cm="1">
        <f t="array" ref="BA11">testVMAFRange($C11:$C16,J11:J16,$U11:$U16,AB11:AB16)</f>
        <v>0</v>
      </c>
      <c r="CI11" s="11" t="s">
        <v>37</v>
      </c>
      <c r="CJ11" s="10" t="e">
        <f>CJ5+CJ8</f>
        <v>#VALUE!</v>
      </c>
      <c r="CK11" s="5"/>
      <c r="EV11" s="166"/>
      <c r="EW11" s="166"/>
      <c r="EX11" s="166"/>
      <c r="EY11" s="166"/>
      <c r="EZ11" s="166"/>
      <c r="FA11" s="166"/>
      <c r="FB11" s="166"/>
      <c r="FC11" s="166"/>
    </row>
    <row r="12" spans="1:175" x14ac:dyDescent="0.15">
      <c r="A12" s="249"/>
      <c r="B12" s="38">
        <v>135</v>
      </c>
      <c r="C12" s="140">
        <f>Anchor!L261</f>
        <v>0</v>
      </c>
      <c r="D12" s="140">
        <f>Anchor!M261</f>
        <v>0</v>
      </c>
      <c r="E12" s="140">
        <f>Anchor!N261</f>
        <v>0</v>
      </c>
      <c r="F12" s="140">
        <f>Anchor!O261</f>
        <v>0</v>
      </c>
      <c r="G12" s="141">
        <f>('Summary (Full)'!$B$34*D12+'Summary (Full)'!$B$35*E12+'Summary (Full)'!$B$36*F12)/'Summary (Full)'!$B$37</f>
        <v>0</v>
      </c>
      <c r="H12" s="140">
        <f>Anchor!P261</f>
        <v>0</v>
      </c>
      <c r="I12" s="140">
        <f>Anchor!Q261</f>
        <v>0</v>
      </c>
      <c r="J12" s="140">
        <f>Anchor!R261</f>
        <v>0</v>
      </c>
      <c r="K12" s="140">
        <f>Anchor!S261</f>
        <v>0</v>
      </c>
      <c r="L12" s="140">
        <f>Anchor!T261</f>
        <v>0</v>
      </c>
      <c r="M12" s="140">
        <f>Anchor!U261</f>
        <v>0</v>
      </c>
      <c r="N12" s="140">
        <f>Anchor!V261</f>
        <v>0</v>
      </c>
      <c r="O12" s="140">
        <f>Anchor!W261</f>
        <v>0</v>
      </c>
      <c r="P12" s="140">
        <f>Anchor!X261</f>
        <v>0</v>
      </c>
      <c r="Q12" s="142">
        <f>10*LOG10(1/(('Summary (Full)'!$B$41/10^(N12/10)+'Summary (Full)'!$B$42/10^(O12/10)+'Summary (Full)'!$B$43/10^(P12/10))/'Summary (Full)'!$B$44))</f>
        <v>0</v>
      </c>
      <c r="R12" s="140">
        <f>Anchor!Y261</f>
        <v>0</v>
      </c>
      <c r="S12" s="140">
        <f>Anchor!Z261</f>
        <v>0</v>
      </c>
      <c r="U12" s="129">
        <f>Test!L261</f>
        <v>0</v>
      </c>
      <c r="V12" s="129">
        <f>Test!M261</f>
        <v>0</v>
      </c>
      <c r="W12" s="129">
        <f>Test!N261</f>
        <v>0</v>
      </c>
      <c r="X12" s="129">
        <f>Test!O261</f>
        <v>0</v>
      </c>
      <c r="Y12" s="129">
        <f>('Summary (Full)'!$B$34*V12+'Summary (Full)'!$B$35*W12+'Summary (Full)'!$B$36*X12)/'Summary (Full)'!$B$37</f>
        <v>0</v>
      </c>
      <c r="Z12" s="129">
        <f>Test!P261</f>
        <v>0</v>
      </c>
      <c r="AA12" s="129">
        <f>Test!Q261</f>
        <v>0</v>
      </c>
      <c r="AB12" s="129">
        <f>Test!R261</f>
        <v>0</v>
      </c>
      <c r="AC12" s="129">
        <f>Test!S261</f>
        <v>0</v>
      </c>
      <c r="AD12" s="129">
        <f>Test!T261</f>
        <v>0</v>
      </c>
      <c r="AE12" s="129">
        <f>Test!U261</f>
        <v>0</v>
      </c>
      <c r="AF12" s="129">
        <f>Test!V261</f>
        <v>0</v>
      </c>
      <c r="AG12" s="129">
        <f>Test!W261</f>
        <v>0</v>
      </c>
      <c r="AH12" s="129">
        <f>Test!X261</f>
        <v>0</v>
      </c>
      <c r="AI12" s="129">
        <f>10*LOG10(1/(('Summary (Full)'!$B$41/10^(AF12/10)+'Summary (Full)'!$B$42/10^(AG12/10)+'Summary (Full)'!$B$43/10^(AH12/10))/'Summary (Full)'!$B$44))</f>
        <v>0</v>
      </c>
      <c r="AJ12" s="155">
        <f>Test!Y261</f>
        <v>0</v>
      </c>
      <c r="AK12" s="152">
        <f>Test!Z261</f>
        <v>0</v>
      </c>
      <c r="AL12" s="152" t="e">
        <f t="shared" si="2"/>
        <v>#DIV/0!</v>
      </c>
      <c r="AM12" s="152" t="e">
        <f t="shared" si="2"/>
        <v>#DIV/0!</v>
      </c>
      <c r="AO12" s="254"/>
      <c r="AP12" s="172"/>
      <c r="AQ12" s="172"/>
      <c r="AR12" s="172"/>
      <c r="AS12" s="172"/>
      <c r="AT12" s="172"/>
      <c r="AU12" s="172"/>
      <c r="AV12" s="172"/>
      <c r="AW12" s="172"/>
      <c r="AX12" s="172"/>
      <c r="AY12" s="175"/>
      <c r="AZ12" s="286"/>
      <c r="BA12" s="212"/>
      <c r="CK12" s="5"/>
      <c r="EV12" s="166"/>
      <c r="EW12" s="166"/>
      <c r="EX12" s="166"/>
      <c r="EY12" s="166"/>
      <c r="EZ12" s="166"/>
      <c r="FA12" s="166"/>
      <c r="FB12" s="166"/>
      <c r="FC12" s="166"/>
    </row>
    <row r="13" spans="1:175" x14ac:dyDescent="0.15">
      <c r="A13" s="249"/>
      <c r="B13" s="38">
        <v>160</v>
      </c>
      <c r="C13" s="140">
        <f>Anchor!L262</f>
        <v>0</v>
      </c>
      <c r="D13" s="140">
        <f>Anchor!M262</f>
        <v>0</v>
      </c>
      <c r="E13" s="140">
        <f>Anchor!N262</f>
        <v>0</v>
      </c>
      <c r="F13" s="140">
        <f>Anchor!O262</f>
        <v>0</v>
      </c>
      <c r="G13" s="141">
        <f>('Summary (Full)'!$B$34*D13+'Summary (Full)'!$B$35*E13+'Summary (Full)'!$B$36*F13)/'Summary (Full)'!$B$37</f>
        <v>0</v>
      </c>
      <c r="H13" s="140">
        <f>Anchor!P262</f>
        <v>0</v>
      </c>
      <c r="I13" s="140">
        <f>Anchor!Q262</f>
        <v>0</v>
      </c>
      <c r="J13" s="140">
        <f>Anchor!R262</f>
        <v>0</v>
      </c>
      <c r="K13" s="140">
        <f>Anchor!S262</f>
        <v>0</v>
      </c>
      <c r="L13" s="140">
        <f>Anchor!T262</f>
        <v>0</v>
      </c>
      <c r="M13" s="140">
        <f>Anchor!U262</f>
        <v>0</v>
      </c>
      <c r="N13" s="140">
        <f>Anchor!V262</f>
        <v>0</v>
      </c>
      <c r="O13" s="140">
        <f>Anchor!W262</f>
        <v>0</v>
      </c>
      <c r="P13" s="140">
        <f>Anchor!X262</f>
        <v>0</v>
      </c>
      <c r="Q13" s="142">
        <f>10*LOG10(1/(('Summary (Full)'!$B$41/10^(N13/10)+'Summary (Full)'!$B$42/10^(O13/10)+'Summary (Full)'!$B$43/10^(P13/10))/'Summary (Full)'!$B$44))</f>
        <v>0</v>
      </c>
      <c r="R13" s="140">
        <f>Anchor!Y262</f>
        <v>0</v>
      </c>
      <c r="S13" s="140">
        <f>Anchor!Z262</f>
        <v>0</v>
      </c>
      <c r="U13" s="129">
        <f>Test!L262</f>
        <v>0</v>
      </c>
      <c r="V13" s="129">
        <f>Test!M262</f>
        <v>0</v>
      </c>
      <c r="W13" s="129">
        <f>Test!N262</f>
        <v>0</v>
      </c>
      <c r="X13" s="129">
        <f>Test!O262</f>
        <v>0</v>
      </c>
      <c r="Y13" s="129">
        <f>('Summary (Full)'!$B$34*V13+'Summary (Full)'!$B$35*W13+'Summary (Full)'!$B$36*X13)/'Summary (Full)'!$B$37</f>
        <v>0</v>
      </c>
      <c r="Z13" s="129">
        <f>Test!P262</f>
        <v>0</v>
      </c>
      <c r="AA13" s="129">
        <f>Test!Q262</f>
        <v>0</v>
      </c>
      <c r="AB13" s="129">
        <f>Test!R262</f>
        <v>0</v>
      </c>
      <c r="AC13" s="129">
        <f>Test!S262</f>
        <v>0</v>
      </c>
      <c r="AD13" s="129">
        <f>Test!T262</f>
        <v>0</v>
      </c>
      <c r="AE13" s="129">
        <f>Test!U262</f>
        <v>0</v>
      </c>
      <c r="AF13" s="129">
        <f>Test!V262</f>
        <v>0</v>
      </c>
      <c r="AG13" s="129">
        <f>Test!W262</f>
        <v>0</v>
      </c>
      <c r="AH13" s="129">
        <f>Test!X262</f>
        <v>0</v>
      </c>
      <c r="AI13" s="129">
        <f>10*LOG10(1/(('Summary (Full)'!$B$41/10^(AF13/10)+'Summary (Full)'!$B$42/10^(AG13/10)+'Summary (Full)'!$B$43/10^(AH13/10))/'Summary (Full)'!$B$44))</f>
        <v>0</v>
      </c>
      <c r="AJ13" s="155">
        <f>Test!Y262</f>
        <v>0</v>
      </c>
      <c r="AK13" s="152">
        <f>Test!Z262</f>
        <v>0</v>
      </c>
      <c r="AL13" s="152" t="e">
        <f t="shared" si="2"/>
        <v>#DIV/0!</v>
      </c>
      <c r="AM13" s="152" t="e">
        <f t="shared" si="2"/>
        <v>#DIV/0!</v>
      </c>
      <c r="AO13" s="254" t="s">
        <v>28</v>
      </c>
      <c r="AP13" s="172" t="e" cm="1">
        <f t="array" ref="AP13">bdRateExtend($C12:$C15,D12:D15,$U12:$U15,V12:V15)</f>
        <v>#VALUE!</v>
      </c>
      <c r="AQ13" s="172"/>
      <c r="AR13" s="172"/>
      <c r="AS13" s="172"/>
      <c r="AT13" s="172" t="e" cm="1">
        <f t="array" ref="AT13">bdRateExtend($C12:$C15,H12:H15,$U12:$U15,Z12:Z15)</f>
        <v>#VALUE!</v>
      </c>
      <c r="AU13" s="172"/>
      <c r="AV13" s="172" t="e" cm="1">
        <f t="array" ref="AV13">bdRateExtend($C12:$C15,I12:I15,$U12:$U15,AA12:AA15)</f>
        <v>#VALUE!</v>
      </c>
      <c r="AW13" s="172"/>
      <c r="AX13" s="172" t="e" cm="1">
        <f t="array" ref="AX13">bdRateExtend($C12:$C15,J12:J15,$U12:$U15,AB12:AB15,"None", FALSE,1)</f>
        <v>#VALUE!</v>
      </c>
      <c r="AY13" s="175"/>
      <c r="AZ13" s="286" cm="1">
        <f t="array" ref="AZ13">testVMAFRange($C12:$C15,J12:J15,$U12:$U15,AB12:AB15)</f>
        <v>0</v>
      </c>
      <c r="BA13" s="212"/>
      <c r="CK13" s="5"/>
      <c r="EV13" s="166"/>
      <c r="EW13" s="166"/>
      <c r="EX13" s="166"/>
      <c r="EY13" s="166"/>
      <c r="EZ13" s="166"/>
      <c r="FA13" s="166"/>
      <c r="FB13" s="166"/>
      <c r="FC13" s="166"/>
    </row>
    <row r="14" spans="1:175" x14ac:dyDescent="0.15">
      <c r="A14" s="249"/>
      <c r="B14" s="38">
        <v>185</v>
      </c>
      <c r="C14" s="140">
        <f>Anchor!L263</f>
        <v>0</v>
      </c>
      <c r="D14" s="140">
        <f>Anchor!M263</f>
        <v>0</v>
      </c>
      <c r="E14" s="140">
        <f>Anchor!N263</f>
        <v>0</v>
      </c>
      <c r="F14" s="140">
        <f>Anchor!O263</f>
        <v>0</v>
      </c>
      <c r="G14" s="141">
        <f>('Summary (Full)'!$B$34*D14+'Summary (Full)'!$B$35*E14+'Summary (Full)'!$B$36*F14)/'Summary (Full)'!$B$37</f>
        <v>0</v>
      </c>
      <c r="H14" s="140">
        <f>Anchor!P263</f>
        <v>0</v>
      </c>
      <c r="I14" s="140">
        <f>Anchor!Q263</f>
        <v>0</v>
      </c>
      <c r="J14" s="140">
        <f>Anchor!R263</f>
        <v>0</v>
      </c>
      <c r="K14" s="140">
        <f>Anchor!S263</f>
        <v>0</v>
      </c>
      <c r="L14" s="140">
        <f>Anchor!T263</f>
        <v>0</v>
      </c>
      <c r="M14" s="140">
        <f>Anchor!U263</f>
        <v>0</v>
      </c>
      <c r="N14" s="140">
        <f>Anchor!V263</f>
        <v>0</v>
      </c>
      <c r="O14" s="140">
        <f>Anchor!W263</f>
        <v>0</v>
      </c>
      <c r="P14" s="140">
        <f>Anchor!X263</f>
        <v>0</v>
      </c>
      <c r="Q14" s="142">
        <f>10*LOG10(1/(('Summary (Full)'!$B$41/10^(N14/10)+'Summary (Full)'!$B$42/10^(O14/10)+'Summary (Full)'!$B$43/10^(P14/10))/'Summary (Full)'!$B$44))</f>
        <v>0</v>
      </c>
      <c r="R14" s="140">
        <f>Anchor!Y263</f>
        <v>0</v>
      </c>
      <c r="S14" s="140">
        <f>Anchor!Z263</f>
        <v>0</v>
      </c>
      <c r="U14" s="129">
        <f>Test!L263</f>
        <v>0</v>
      </c>
      <c r="V14" s="129">
        <f>Test!M263</f>
        <v>0</v>
      </c>
      <c r="W14" s="129">
        <f>Test!N263</f>
        <v>0</v>
      </c>
      <c r="X14" s="129">
        <f>Test!O263</f>
        <v>0</v>
      </c>
      <c r="Y14" s="129">
        <f>('Summary (Full)'!$B$34*V14+'Summary (Full)'!$B$35*W14+'Summary (Full)'!$B$36*X14)/'Summary (Full)'!$B$37</f>
        <v>0</v>
      </c>
      <c r="Z14" s="129">
        <f>Test!P263</f>
        <v>0</v>
      </c>
      <c r="AA14" s="129">
        <f>Test!Q263</f>
        <v>0</v>
      </c>
      <c r="AB14" s="129">
        <f>Test!R263</f>
        <v>0</v>
      </c>
      <c r="AC14" s="129">
        <f>Test!S263</f>
        <v>0</v>
      </c>
      <c r="AD14" s="129">
        <f>Test!T263</f>
        <v>0</v>
      </c>
      <c r="AE14" s="129">
        <f>Test!U263</f>
        <v>0</v>
      </c>
      <c r="AF14" s="129">
        <f>Test!V263</f>
        <v>0</v>
      </c>
      <c r="AG14" s="129">
        <f>Test!W263</f>
        <v>0</v>
      </c>
      <c r="AH14" s="129">
        <f>Test!X263</f>
        <v>0</v>
      </c>
      <c r="AI14" s="129">
        <f>10*LOG10(1/(('Summary (Full)'!$B$41/10^(AF14/10)+'Summary (Full)'!$B$42/10^(AG14/10)+'Summary (Full)'!$B$43/10^(AH14/10))/'Summary (Full)'!$B$44))</f>
        <v>0</v>
      </c>
      <c r="AJ14" s="155">
        <f>Test!Y263</f>
        <v>0</v>
      </c>
      <c r="AK14" s="152">
        <f>Test!Z263</f>
        <v>0</v>
      </c>
      <c r="AL14" s="152" t="e">
        <f t="shared" si="2"/>
        <v>#DIV/0!</v>
      </c>
      <c r="AM14" s="152" t="e">
        <f t="shared" si="2"/>
        <v>#DIV/0!</v>
      </c>
      <c r="AO14" s="254"/>
      <c r="AP14" s="172"/>
      <c r="AQ14" s="172"/>
      <c r="AR14" s="172"/>
      <c r="AS14" s="172"/>
      <c r="AT14" s="172"/>
      <c r="AU14" s="172"/>
      <c r="AV14" s="172"/>
      <c r="AW14" s="172"/>
      <c r="AX14" s="172"/>
      <c r="AY14" s="175"/>
      <c r="AZ14" s="286"/>
      <c r="BA14" s="212"/>
      <c r="CK14" s="5"/>
      <c r="EV14" s="166"/>
      <c r="EW14" s="166"/>
      <c r="EX14" s="166"/>
      <c r="EY14" s="166"/>
      <c r="EZ14" s="166"/>
      <c r="FA14" s="166"/>
      <c r="FB14" s="166"/>
      <c r="FC14" s="166"/>
    </row>
    <row r="15" spans="1:175" x14ac:dyDescent="0.15">
      <c r="A15" s="249"/>
      <c r="B15" s="38">
        <v>210</v>
      </c>
      <c r="C15" s="140">
        <f>Anchor!L264</f>
        <v>0</v>
      </c>
      <c r="D15" s="140">
        <f>Anchor!M264</f>
        <v>0</v>
      </c>
      <c r="E15" s="140">
        <f>Anchor!N264</f>
        <v>0</v>
      </c>
      <c r="F15" s="140">
        <f>Anchor!O264</f>
        <v>0</v>
      </c>
      <c r="G15" s="141">
        <f>('Summary (Full)'!$B$34*D15+'Summary (Full)'!$B$35*E15+'Summary (Full)'!$B$36*F15)/'Summary (Full)'!$B$37</f>
        <v>0</v>
      </c>
      <c r="H15" s="140">
        <f>Anchor!P264</f>
        <v>0</v>
      </c>
      <c r="I15" s="140">
        <f>Anchor!Q264</f>
        <v>0</v>
      </c>
      <c r="J15" s="140">
        <f>Anchor!R264</f>
        <v>0</v>
      </c>
      <c r="K15" s="140">
        <f>Anchor!S264</f>
        <v>0</v>
      </c>
      <c r="L15" s="140">
        <f>Anchor!T264</f>
        <v>0</v>
      </c>
      <c r="M15" s="140">
        <f>Anchor!U264</f>
        <v>0</v>
      </c>
      <c r="N15" s="140">
        <f>Anchor!V264</f>
        <v>0</v>
      </c>
      <c r="O15" s="140">
        <f>Anchor!W264</f>
        <v>0</v>
      </c>
      <c r="P15" s="140">
        <f>Anchor!X264</f>
        <v>0</v>
      </c>
      <c r="Q15" s="142">
        <f>10*LOG10(1/(('Summary (Full)'!$B$41/10^(N15/10)+'Summary (Full)'!$B$42/10^(O15/10)+'Summary (Full)'!$B$43/10^(P15/10))/'Summary (Full)'!$B$44))</f>
        <v>0</v>
      </c>
      <c r="R15" s="140">
        <f>Anchor!Y264</f>
        <v>0</v>
      </c>
      <c r="S15" s="140">
        <f>Anchor!Z264</f>
        <v>0</v>
      </c>
      <c r="U15" s="129">
        <f>Test!L264</f>
        <v>0</v>
      </c>
      <c r="V15" s="129">
        <f>Test!M264</f>
        <v>0</v>
      </c>
      <c r="W15" s="129">
        <f>Test!N264</f>
        <v>0</v>
      </c>
      <c r="X15" s="129">
        <f>Test!O264</f>
        <v>0</v>
      </c>
      <c r="Y15" s="129">
        <f>('Summary (Full)'!$B$34*V15+'Summary (Full)'!$B$35*W15+'Summary (Full)'!$B$36*X15)/'Summary (Full)'!$B$37</f>
        <v>0</v>
      </c>
      <c r="Z15" s="129">
        <f>Test!P264</f>
        <v>0</v>
      </c>
      <c r="AA15" s="129">
        <f>Test!Q264</f>
        <v>0</v>
      </c>
      <c r="AB15" s="129">
        <f>Test!R264</f>
        <v>0</v>
      </c>
      <c r="AC15" s="129">
        <f>Test!S264</f>
        <v>0</v>
      </c>
      <c r="AD15" s="129">
        <f>Test!T264</f>
        <v>0</v>
      </c>
      <c r="AE15" s="129">
        <f>Test!U264</f>
        <v>0</v>
      </c>
      <c r="AF15" s="129">
        <f>Test!V264</f>
        <v>0</v>
      </c>
      <c r="AG15" s="129">
        <f>Test!W264</f>
        <v>0</v>
      </c>
      <c r="AH15" s="129">
        <f>Test!X264</f>
        <v>0</v>
      </c>
      <c r="AI15" s="129">
        <f>10*LOG10(1/(('Summary (Full)'!$B$41/10^(AF15/10)+'Summary (Full)'!$B$42/10^(AG15/10)+'Summary (Full)'!$B$43/10^(AH15/10))/'Summary (Full)'!$B$44))</f>
        <v>0</v>
      </c>
      <c r="AJ15" s="155">
        <f>Test!Y264</f>
        <v>0</v>
      </c>
      <c r="AK15" s="152">
        <f>Test!Z264</f>
        <v>0</v>
      </c>
      <c r="AL15" s="152" t="e">
        <f t="shared" si="2"/>
        <v>#DIV/0!</v>
      </c>
      <c r="AM15" s="152" t="e">
        <f t="shared" si="2"/>
        <v>#DIV/0!</v>
      </c>
      <c r="AO15" s="254" t="s">
        <v>29</v>
      </c>
      <c r="AP15" s="172" t="e" cm="1">
        <f t="array" ref="AP15">bdRateExtend($C13:$C16,D13:D16,$U13:$U16,V13:V16)</f>
        <v>#VALUE!</v>
      </c>
      <c r="AQ15" s="172"/>
      <c r="AR15" s="172"/>
      <c r="AS15" s="172"/>
      <c r="AT15" s="172" t="e" cm="1">
        <f t="array" ref="AT15">bdRateExtend($C13:$C16,H13:H16,$U13:$U16,Z13:Z16)</f>
        <v>#VALUE!</v>
      </c>
      <c r="AU15" s="172"/>
      <c r="AV15" s="172" t="e" cm="1">
        <f t="array" ref="AV15">bdRateExtend($C13:$C16,I13:I16,$U13:$U16,AA13:AA16)</f>
        <v>#VALUE!</v>
      </c>
      <c r="AW15" s="172"/>
      <c r="AX15" s="172" t="e" cm="1">
        <f t="array" ref="AX15">bdRateExtend($C13:$C16,J13:J16,$U13:$U16,AB13:AB16,"None", FALSE,1)</f>
        <v>#VALUE!</v>
      </c>
      <c r="AY15" s="175"/>
      <c r="AZ15" s="286" cm="1">
        <f t="array" ref="AZ15">testVMAFRange($C13:$C16,J13:J16,$U13:$U16,AB13:AB16)</f>
        <v>0</v>
      </c>
      <c r="BA15" s="212"/>
      <c r="CK15" s="5"/>
      <c r="EV15" s="166"/>
      <c r="EW15" s="166"/>
      <c r="EX15" s="166"/>
      <c r="EY15" s="166"/>
      <c r="EZ15" s="166"/>
      <c r="FA15" s="166"/>
      <c r="FB15" s="166"/>
      <c r="FC15" s="166"/>
    </row>
    <row r="16" spans="1:175" ht="14" thickBot="1" x14ac:dyDescent="0.2">
      <c r="A16" s="249"/>
      <c r="B16" s="38">
        <v>235</v>
      </c>
      <c r="C16" s="140">
        <f>Anchor!L265</f>
        <v>0</v>
      </c>
      <c r="D16" s="140">
        <f>Anchor!M265</f>
        <v>0</v>
      </c>
      <c r="E16" s="140">
        <f>Anchor!N265</f>
        <v>0</v>
      </c>
      <c r="F16" s="140">
        <f>Anchor!O265</f>
        <v>0</v>
      </c>
      <c r="G16" s="141">
        <f>('Summary (Full)'!$B$34*D16+'Summary (Full)'!$B$35*E16+'Summary (Full)'!$B$36*F16)/'Summary (Full)'!$B$37</f>
        <v>0</v>
      </c>
      <c r="H16" s="140">
        <f>Anchor!P265</f>
        <v>0</v>
      </c>
      <c r="I16" s="140">
        <f>Anchor!Q265</f>
        <v>0</v>
      </c>
      <c r="J16" s="140">
        <f>Anchor!R265</f>
        <v>0</v>
      </c>
      <c r="K16" s="140">
        <f>Anchor!S265</f>
        <v>0</v>
      </c>
      <c r="L16" s="140">
        <f>Anchor!T265</f>
        <v>0</v>
      </c>
      <c r="M16" s="140">
        <f>Anchor!U265</f>
        <v>0</v>
      </c>
      <c r="N16" s="140">
        <f>Anchor!V265</f>
        <v>0</v>
      </c>
      <c r="O16" s="140">
        <f>Anchor!W265</f>
        <v>0</v>
      </c>
      <c r="P16" s="140">
        <f>Anchor!X265</f>
        <v>0</v>
      </c>
      <c r="Q16" s="142">
        <f>10*LOG10(1/(('Summary (Full)'!$B$41/10^(N16/10)+'Summary (Full)'!$B$42/10^(O16/10)+'Summary (Full)'!$B$43/10^(P16/10))/'Summary (Full)'!$B$44))</f>
        <v>0</v>
      </c>
      <c r="R16" s="140">
        <f>Anchor!Y265</f>
        <v>0</v>
      </c>
      <c r="S16" s="140">
        <f>Anchor!Z265</f>
        <v>0</v>
      </c>
      <c r="U16" s="129">
        <f>Test!L265</f>
        <v>0</v>
      </c>
      <c r="V16" s="129">
        <f>Test!M265</f>
        <v>0</v>
      </c>
      <c r="W16" s="129">
        <f>Test!N265</f>
        <v>0</v>
      </c>
      <c r="X16" s="129">
        <f>Test!O265</f>
        <v>0</v>
      </c>
      <c r="Y16" s="129">
        <f>('Summary (Full)'!$B$34*V16+'Summary (Full)'!$B$35*W16+'Summary (Full)'!$B$36*X16)/'Summary (Full)'!$B$37</f>
        <v>0</v>
      </c>
      <c r="Z16" s="129">
        <f>Test!P265</f>
        <v>0</v>
      </c>
      <c r="AA16" s="129">
        <f>Test!Q265</f>
        <v>0</v>
      </c>
      <c r="AB16" s="129">
        <f>Test!R265</f>
        <v>0</v>
      </c>
      <c r="AC16" s="129">
        <f>Test!S265</f>
        <v>0</v>
      </c>
      <c r="AD16" s="129">
        <f>Test!T265</f>
        <v>0</v>
      </c>
      <c r="AE16" s="129">
        <f>Test!U265</f>
        <v>0</v>
      </c>
      <c r="AF16" s="129">
        <f>Test!V265</f>
        <v>0</v>
      </c>
      <c r="AG16" s="129">
        <f>Test!W265</f>
        <v>0</v>
      </c>
      <c r="AH16" s="129">
        <f>Test!X265</f>
        <v>0</v>
      </c>
      <c r="AI16" s="129">
        <f>10*LOG10(1/(('Summary (Full)'!$B$41/10^(AF16/10)+'Summary (Full)'!$B$42/10^(AG16/10)+'Summary (Full)'!$B$43/10^(AH16/10))/'Summary (Full)'!$B$44))</f>
        <v>0</v>
      </c>
      <c r="AJ16" s="155">
        <f>Test!Y265</f>
        <v>0</v>
      </c>
      <c r="AK16" s="152">
        <f>Test!Z265</f>
        <v>0</v>
      </c>
      <c r="AL16" s="152" t="e">
        <f t="shared" si="2"/>
        <v>#DIV/0!</v>
      </c>
      <c r="AM16" s="152" t="e">
        <f t="shared" si="2"/>
        <v>#DIV/0!</v>
      </c>
      <c r="AO16" s="263"/>
      <c r="AP16" s="173"/>
      <c r="AQ16" s="173"/>
      <c r="AR16" s="173"/>
      <c r="AS16" s="173"/>
      <c r="AT16" s="173"/>
      <c r="AU16" s="173"/>
      <c r="AV16" s="173"/>
      <c r="AW16" s="173"/>
      <c r="AX16" s="173"/>
      <c r="AY16" s="188"/>
      <c r="AZ16" s="287"/>
      <c r="BA16" s="240"/>
      <c r="CK16" s="5"/>
      <c r="EV16" s="166"/>
      <c r="EW16" s="166"/>
      <c r="EX16" s="166"/>
      <c r="EY16" s="166"/>
      <c r="EZ16" s="166"/>
      <c r="FA16" s="166"/>
      <c r="FB16" s="166"/>
      <c r="FC16" s="166"/>
    </row>
    <row r="17" spans="1:159" x14ac:dyDescent="0.15">
      <c r="A17" s="249" t="s">
        <v>8</v>
      </c>
      <c r="B17" s="38">
        <v>110</v>
      </c>
      <c r="C17" s="140">
        <f>Anchor!L266</f>
        <v>0</v>
      </c>
      <c r="D17" s="140">
        <f>Anchor!M266</f>
        <v>0</v>
      </c>
      <c r="E17" s="140">
        <f>Anchor!N266</f>
        <v>0</v>
      </c>
      <c r="F17" s="140">
        <f>Anchor!O266</f>
        <v>0</v>
      </c>
      <c r="G17" s="141">
        <f>('Summary (Full)'!$B$34*D17+'Summary (Full)'!$B$35*E17+'Summary (Full)'!$B$36*F17)/'Summary (Full)'!$B$37</f>
        <v>0</v>
      </c>
      <c r="H17" s="140">
        <f>Anchor!P266</f>
        <v>0</v>
      </c>
      <c r="I17" s="140">
        <f>Anchor!Q266</f>
        <v>0</v>
      </c>
      <c r="J17" s="140">
        <f>Anchor!R266</f>
        <v>0</v>
      </c>
      <c r="K17" s="140">
        <f>Anchor!S266</f>
        <v>0</v>
      </c>
      <c r="L17" s="140">
        <f>Anchor!T266</f>
        <v>0</v>
      </c>
      <c r="M17" s="140">
        <f>Anchor!U266</f>
        <v>0</v>
      </c>
      <c r="N17" s="140">
        <f>Anchor!V266</f>
        <v>0</v>
      </c>
      <c r="O17" s="140">
        <f>Anchor!W266</f>
        <v>0</v>
      </c>
      <c r="P17" s="140">
        <f>Anchor!X266</f>
        <v>0</v>
      </c>
      <c r="Q17" s="142">
        <f>10*LOG10(1/(('Summary (Full)'!$B$41/10^(N17/10)+'Summary (Full)'!$B$42/10^(O17/10)+'Summary (Full)'!$B$43/10^(P17/10))/'Summary (Full)'!$B$44))</f>
        <v>0</v>
      </c>
      <c r="R17" s="140">
        <f>Anchor!Y266</f>
        <v>0</v>
      </c>
      <c r="S17" s="140">
        <f>Anchor!Z266</f>
        <v>0</v>
      </c>
      <c r="U17" s="129">
        <f>Test!L266</f>
        <v>0</v>
      </c>
      <c r="V17" s="129">
        <f>Test!M266</f>
        <v>0</v>
      </c>
      <c r="W17" s="129">
        <f>Test!N266</f>
        <v>0</v>
      </c>
      <c r="X17" s="129">
        <f>Test!O266</f>
        <v>0</v>
      </c>
      <c r="Y17" s="129">
        <f>('Summary (Full)'!$B$34*V17+'Summary (Full)'!$B$35*W17+'Summary (Full)'!$B$36*X17)/'Summary (Full)'!$B$37</f>
        <v>0</v>
      </c>
      <c r="Z17" s="129">
        <f>Test!P266</f>
        <v>0</v>
      </c>
      <c r="AA17" s="129">
        <f>Test!Q266</f>
        <v>0</v>
      </c>
      <c r="AB17" s="129">
        <f>Test!R266</f>
        <v>0</v>
      </c>
      <c r="AC17" s="129">
        <f>Test!S266</f>
        <v>0</v>
      </c>
      <c r="AD17" s="129">
        <f>Test!T266</f>
        <v>0</v>
      </c>
      <c r="AE17" s="129">
        <f>Test!U266</f>
        <v>0</v>
      </c>
      <c r="AF17" s="129">
        <f>Test!V266</f>
        <v>0</v>
      </c>
      <c r="AG17" s="129">
        <f>Test!W266</f>
        <v>0</v>
      </c>
      <c r="AH17" s="129">
        <f>Test!X266</f>
        <v>0</v>
      </c>
      <c r="AI17" s="129">
        <f>10*LOG10(1/(('Summary (Full)'!$B$41/10^(AF17/10)+'Summary (Full)'!$B$42/10^(AG17/10)+'Summary (Full)'!$B$43/10^(AH17/10))/'Summary (Full)'!$B$44))</f>
        <v>0</v>
      </c>
      <c r="AJ17" s="155">
        <f>Test!Y266</f>
        <v>0</v>
      </c>
      <c r="AK17" s="152">
        <f>Test!Z266</f>
        <v>0</v>
      </c>
      <c r="AL17" s="152" t="e">
        <f t="shared" si="2"/>
        <v>#DIV/0!</v>
      </c>
      <c r="AM17" s="152" t="e">
        <f t="shared" si="2"/>
        <v>#DIV/0!</v>
      </c>
      <c r="AO17" s="253" t="s">
        <v>27</v>
      </c>
      <c r="AP17" s="171" t="e" cm="1">
        <f t="array" ref="AP17">bdRateExtend($C17:$C20,D17:D20,$U17:$U20,V17:V20)</f>
        <v>#VALUE!</v>
      </c>
      <c r="AQ17" s="171" t="e" cm="1">
        <f t="array" ref="AQ17">bdRateExtend($C17:$C22,D17:D22,$U17:$U22,V17:V22)</f>
        <v>#VALUE!</v>
      </c>
      <c r="AR17" s="171" t="e" cm="1">
        <f t="array" ref="AR17">bdRateExtend($C17:$C22,E17:E22,$U17:$U22,W17:W22)</f>
        <v>#VALUE!</v>
      </c>
      <c r="AS17" s="171" t="e" cm="1">
        <f t="array" ref="AS17">bdRateExtend($C17:$C22,F17:F22,$U17:$U22,X17:X22)</f>
        <v>#VALUE!</v>
      </c>
      <c r="AT17" s="171" t="e" cm="1">
        <f t="array" ref="AT17">bdRateExtend($C17:$C20,H17:H20,$U17:$U20,Z17:Z20)</f>
        <v>#VALUE!</v>
      </c>
      <c r="AU17" s="171" t="e" cm="1">
        <f t="array" ref="AU17">bdRateExtend($C17:$C22,H17:H22,$U17:$U22,Z17:Z22)</f>
        <v>#VALUE!</v>
      </c>
      <c r="AV17" s="171" t="e" cm="1">
        <f t="array" ref="AV17">bdRateExtend($C17:$C20,I17:I20,$U17:$U20,AA17:AA20)</f>
        <v>#VALUE!</v>
      </c>
      <c r="AW17" s="171" t="e" cm="1">
        <f t="array" ref="AW17">bdRateExtend($C17:$C22,I17:I22,$U17:$U22,AA17:AA22)</f>
        <v>#VALUE!</v>
      </c>
      <c r="AX17" s="171" t="e" cm="1">
        <f t="array" ref="AX17">bdRateExtend($C17:$C20,J17:J20,$U17:$U20,AB17:AB20,"None", FALSE,1)</f>
        <v>#VALUE!</v>
      </c>
      <c r="AY17" s="174" t="e" cm="1">
        <f t="array" ref="AY17">bdRateExtend($C17:$C22,J17:J22,$U17:$U22,AB17:AB22,"None", FALSE,TRUE)</f>
        <v>#VALUE!</v>
      </c>
      <c r="AZ17" s="285" cm="1">
        <f t="array" ref="AZ17">testVMAFRange($C17:$C20,J17:J20,$U17:$U20,AB17:AB20)</f>
        <v>0</v>
      </c>
      <c r="BA17" s="211" cm="1">
        <f t="array" ref="BA17">testVMAFRange($C17:$C22,J17:J22,$U17:$U22,AB17:AB22)</f>
        <v>0</v>
      </c>
      <c r="CK17" s="5"/>
      <c r="EV17" s="166"/>
      <c r="EW17" s="166"/>
      <c r="EX17" s="166"/>
      <c r="EY17" s="166"/>
      <c r="EZ17" s="166"/>
      <c r="FA17" s="166"/>
      <c r="FB17" s="166"/>
      <c r="FC17" s="166"/>
    </row>
    <row r="18" spans="1:159" x14ac:dyDescent="0.15">
      <c r="A18" s="249"/>
      <c r="B18" s="38">
        <v>135</v>
      </c>
      <c r="C18" s="140">
        <f>Anchor!L267</f>
        <v>0</v>
      </c>
      <c r="D18" s="140">
        <f>Anchor!M267</f>
        <v>0</v>
      </c>
      <c r="E18" s="140">
        <f>Anchor!N267</f>
        <v>0</v>
      </c>
      <c r="F18" s="140">
        <f>Anchor!O267</f>
        <v>0</v>
      </c>
      <c r="G18" s="141">
        <f>('Summary (Full)'!$B$34*D18+'Summary (Full)'!$B$35*E18+'Summary (Full)'!$B$36*F18)/'Summary (Full)'!$B$37</f>
        <v>0</v>
      </c>
      <c r="H18" s="140">
        <f>Anchor!P267</f>
        <v>0</v>
      </c>
      <c r="I18" s="140">
        <f>Anchor!Q267</f>
        <v>0</v>
      </c>
      <c r="J18" s="140">
        <f>Anchor!R267</f>
        <v>0</v>
      </c>
      <c r="K18" s="140">
        <f>Anchor!S267</f>
        <v>0</v>
      </c>
      <c r="L18" s="140">
        <f>Anchor!T267</f>
        <v>0</v>
      </c>
      <c r="M18" s="140">
        <f>Anchor!U267</f>
        <v>0</v>
      </c>
      <c r="N18" s="140">
        <f>Anchor!V267</f>
        <v>0</v>
      </c>
      <c r="O18" s="140">
        <f>Anchor!W267</f>
        <v>0</v>
      </c>
      <c r="P18" s="140">
        <f>Anchor!X267</f>
        <v>0</v>
      </c>
      <c r="Q18" s="142">
        <f>10*LOG10(1/(('Summary (Full)'!$B$41/10^(N18/10)+'Summary (Full)'!$B$42/10^(O18/10)+'Summary (Full)'!$B$43/10^(P18/10))/'Summary (Full)'!$B$44))</f>
        <v>0</v>
      </c>
      <c r="R18" s="140">
        <f>Anchor!Y267</f>
        <v>0</v>
      </c>
      <c r="S18" s="140">
        <f>Anchor!Z267</f>
        <v>0</v>
      </c>
      <c r="U18" s="129">
        <f>Test!L267</f>
        <v>0</v>
      </c>
      <c r="V18" s="129">
        <f>Test!M267</f>
        <v>0</v>
      </c>
      <c r="W18" s="129">
        <f>Test!N267</f>
        <v>0</v>
      </c>
      <c r="X18" s="129">
        <f>Test!O267</f>
        <v>0</v>
      </c>
      <c r="Y18" s="129">
        <f>('Summary (Full)'!$B$34*V18+'Summary (Full)'!$B$35*W18+'Summary (Full)'!$B$36*X18)/'Summary (Full)'!$B$37</f>
        <v>0</v>
      </c>
      <c r="Z18" s="129">
        <f>Test!P267</f>
        <v>0</v>
      </c>
      <c r="AA18" s="129">
        <f>Test!Q267</f>
        <v>0</v>
      </c>
      <c r="AB18" s="129">
        <f>Test!R267</f>
        <v>0</v>
      </c>
      <c r="AC18" s="129">
        <f>Test!S267</f>
        <v>0</v>
      </c>
      <c r="AD18" s="129">
        <f>Test!T267</f>
        <v>0</v>
      </c>
      <c r="AE18" s="129">
        <f>Test!U267</f>
        <v>0</v>
      </c>
      <c r="AF18" s="129">
        <f>Test!V267</f>
        <v>0</v>
      </c>
      <c r="AG18" s="129">
        <f>Test!W267</f>
        <v>0</v>
      </c>
      <c r="AH18" s="129">
        <f>Test!X267</f>
        <v>0</v>
      </c>
      <c r="AI18" s="129">
        <f>10*LOG10(1/(('Summary (Full)'!$B$41/10^(AF18/10)+'Summary (Full)'!$B$42/10^(AG18/10)+'Summary (Full)'!$B$43/10^(AH18/10))/'Summary (Full)'!$B$44))</f>
        <v>0</v>
      </c>
      <c r="AJ18" s="155">
        <f>Test!Y267</f>
        <v>0</v>
      </c>
      <c r="AK18" s="152">
        <f>Test!Z267</f>
        <v>0</v>
      </c>
      <c r="AL18" s="152" t="e">
        <f t="shared" si="2"/>
        <v>#DIV/0!</v>
      </c>
      <c r="AM18" s="152" t="e">
        <f t="shared" si="2"/>
        <v>#DIV/0!</v>
      </c>
      <c r="AO18" s="254"/>
      <c r="AP18" s="172"/>
      <c r="AQ18" s="172"/>
      <c r="AR18" s="172"/>
      <c r="AS18" s="172"/>
      <c r="AT18" s="172"/>
      <c r="AU18" s="172"/>
      <c r="AV18" s="172"/>
      <c r="AW18" s="172"/>
      <c r="AX18" s="172"/>
      <c r="AY18" s="175"/>
      <c r="AZ18" s="286"/>
      <c r="BA18" s="212"/>
      <c r="CK18" s="5"/>
      <c r="EV18" s="166"/>
      <c r="EW18" s="166"/>
      <c r="EX18" s="166"/>
      <c r="EY18" s="166"/>
      <c r="EZ18" s="166"/>
      <c r="FA18" s="166"/>
      <c r="FB18" s="166"/>
      <c r="FC18" s="166"/>
    </row>
    <row r="19" spans="1:159" x14ac:dyDescent="0.15">
      <c r="A19" s="249"/>
      <c r="B19" s="38">
        <v>160</v>
      </c>
      <c r="C19" s="140">
        <f>Anchor!L268</f>
        <v>0</v>
      </c>
      <c r="D19" s="140">
        <f>Anchor!M268</f>
        <v>0</v>
      </c>
      <c r="E19" s="140">
        <f>Anchor!N268</f>
        <v>0</v>
      </c>
      <c r="F19" s="140">
        <f>Anchor!O268</f>
        <v>0</v>
      </c>
      <c r="G19" s="141">
        <f>('Summary (Full)'!$B$34*D19+'Summary (Full)'!$B$35*E19+'Summary (Full)'!$B$36*F19)/'Summary (Full)'!$B$37</f>
        <v>0</v>
      </c>
      <c r="H19" s="140">
        <f>Anchor!P268</f>
        <v>0</v>
      </c>
      <c r="I19" s="140">
        <f>Anchor!Q268</f>
        <v>0</v>
      </c>
      <c r="J19" s="140">
        <f>Anchor!R268</f>
        <v>0</v>
      </c>
      <c r="K19" s="140">
        <f>Anchor!S268</f>
        <v>0</v>
      </c>
      <c r="L19" s="140">
        <f>Anchor!T268</f>
        <v>0</v>
      </c>
      <c r="M19" s="140">
        <f>Anchor!U268</f>
        <v>0</v>
      </c>
      <c r="N19" s="140">
        <f>Anchor!V268</f>
        <v>0</v>
      </c>
      <c r="O19" s="140">
        <f>Anchor!W268</f>
        <v>0</v>
      </c>
      <c r="P19" s="140">
        <f>Anchor!X268</f>
        <v>0</v>
      </c>
      <c r="Q19" s="142">
        <f>10*LOG10(1/(('Summary (Full)'!$B$41/10^(N19/10)+'Summary (Full)'!$B$42/10^(O19/10)+'Summary (Full)'!$B$43/10^(P19/10))/'Summary (Full)'!$B$44))</f>
        <v>0</v>
      </c>
      <c r="R19" s="140">
        <f>Anchor!Y268</f>
        <v>0</v>
      </c>
      <c r="S19" s="140">
        <f>Anchor!Z268</f>
        <v>0</v>
      </c>
      <c r="U19" s="129">
        <f>Test!L268</f>
        <v>0</v>
      </c>
      <c r="V19" s="129">
        <f>Test!M268</f>
        <v>0</v>
      </c>
      <c r="W19" s="129">
        <f>Test!N268</f>
        <v>0</v>
      </c>
      <c r="X19" s="129">
        <f>Test!O268</f>
        <v>0</v>
      </c>
      <c r="Y19" s="129">
        <f>('Summary (Full)'!$B$34*V19+'Summary (Full)'!$B$35*W19+'Summary (Full)'!$B$36*X19)/'Summary (Full)'!$B$37</f>
        <v>0</v>
      </c>
      <c r="Z19" s="129">
        <f>Test!P268</f>
        <v>0</v>
      </c>
      <c r="AA19" s="129">
        <f>Test!Q268</f>
        <v>0</v>
      </c>
      <c r="AB19" s="129">
        <f>Test!R268</f>
        <v>0</v>
      </c>
      <c r="AC19" s="129">
        <f>Test!S268</f>
        <v>0</v>
      </c>
      <c r="AD19" s="129">
        <f>Test!T268</f>
        <v>0</v>
      </c>
      <c r="AE19" s="129">
        <f>Test!U268</f>
        <v>0</v>
      </c>
      <c r="AF19" s="129">
        <f>Test!V268</f>
        <v>0</v>
      </c>
      <c r="AG19" s="129">
        <f>Test!W268</f>
        <v>0</v>
      </c>
      <c r="AH19" s="129">
        <f>Test!X268</f>
        <v>0</v>
      </c>
      <c r="AI19" s="129">
        <f>10*LOG10(1/(('Summary (Full)'!$B$41/10^(AF19/10)+'Summary (Full)'!$B$42/10^(AG19/10)+'Summary (Full)'!$B$43/10^(AH19/10))/'Summary (Full)'!$B$44))</f>
        <v>0</v>
      </c>
      <c r="AJ19" s="155">
        <f>Test!Y268</f>
        <v>0</v>
      </c>
      <c r="AK19" s="152">
        <f>Test!Z268</f>
        <v>0</v>
      </c>
      <c r="AL19" s="152" t="e">
        <f t="shared" si="2"/>
        <v>#DIV/0!</v>
      </c>
      <c r="AM19" s="152" t="e">
        <f t="shared" si="2"/>
        <v>#DIV/0!</v>
      </c>
      <c r="AO19" s="254" t="s">
        <v>28</v>
      </c>
      <c r="AP19" s="172" t="e" cm="1">
        <f t="array" ref="AP19">bdRateExtend($C18:$C21,D18:D21,$U18:$U21,V18:V21)</f>
        <v>#VALUE!</v>
      </c>
      <c r="AQ19" s="172"/>
      <c r="AR19" s="172"/>
      <c r="AS19" s="172"/>
      <c r="AT19" s="172" t="e" cm="1">
        <f t="array" ref="AT19">bdRateExtend($C18:$C21,H18:H21,$U18:$U21,Z18:Z21)</f>
        <v>#VALUE!</v>
      </c>
      <c r="AU19" s="172"/>
      <c r="AV19" s="172" t="e" cm="1">
        <f t="array" ref="AV19">bdRateExtend($C18:$C21,I18:I21,$U18:$U21,AA18:AA21)</f>
        <v>#VALUE!</v>
      </c>
      <c r="AW19" s="172"/>
      <c r="AX19" s="172" t="e" cm="1">
        <f t="array" ref="AX19">bdRateExtend($C18:$C21,J18:J21,$U18:$U21,AB18:AB21,"None", FALSE,1)</f>
        <v>#VALUE!</v>
      </c>
      <c r="AY19" s="175"/>
      <c r="AZ19" s="286" cm="1">
        <f t="array" ref="AZ19">testVMAFRange($C18:$C21,J18:J21,$U18:$U21,AB18:AB21)</f>
        <v>0</v>
      </c>
      <c r="BA19" s="212"/>
      <c r="CK19" s="5"/>
      <c r="EV19" s="166"/>
      <c r="EW19" s="166"/>
      <c r="EX19" s="166"/>
      <c r="EY19" s="166"/>
      <c r="EZ19" s="166"/>
      <c r="FA19" s="166"/>
      <c r="FB19" s="166"/>
      <c r="FC19" s="166"/>
    </row>
    <row r="20" spans="1:159" x14ac:dyDescent="0.15">
      <c r="A20" s="249"/>
      <c r="B20" s="38">
        <v>185</v>
      </c>
      <c r="C20" s="140">
        <f>Anchor!L269</f>
        <v>0</v>
      </c>
      <c r="D20" s="140">
        <f>Anchor!M269</f>
        <v>0</v>
      </c>
      <c r="E20" s="140">
        <f>Anchor!N269</f>
        <v>0</v>
      </c>
      <c r="F20" s="140">
        <f>Anchor!O269</f>
        <v>0</v>
      </c>
      <c r="G20" s="141">
        <f>('Summary (Full)'!$B$34*D20+'Summary (Full)'!$B$35*E20+'Summary (Full)'!$B$36*F20)/'Summary (Full)'!$B$37</f>
        <v>0</v>
      </c>
      <c r="H20" s="140">
        <f>Anchor!P269</f>
        <v>0</v>
      </c>
      <c r="I20" s="140">
        <f>Anchor!Q269</f>
        <v>0</v>
      </c>
      <c r="J20" s="140">
        <f>Anchor!R269</f>
        <v>0</v>
      </c>
      <c r="K20" s="140">
        <f>Anchor!S269</f>
        <v>0</v>
      </c>
      <c r="L20" s="140">
        <f>Anchor!T269</f>
        <v>0</v>
      </c>
      <c r="M20" s="140">
        <f>Anchor!U269</f>
        <v>0</v>
      </c>
      <c r="N20" s="140">
        <f>Anchor!V269</f>
        <v>0</v>
      </c>
      <c r="O20" s="140">
        <f>Anchor!W269</f>
        <v>0</v>
      </c>
      <c r="P20" s="140">
        <f>Anchor!X269</f>
        <v>0</v>
      </c>
      <c r="Q20" s="142">
        <f>10*LOG10(1/(('Summary (Full)'!$B$41/10^(N20/10)+'Summary (Full)'!$B$42/10^(O20/10)+'Summary (Full)'!$B$43/10^(P20/10))/'Summary (Full)'!$B$44))</f>
        <v>0</v>
      </c>
      <c r="R20" s="140">
        <f>Anchor!Y269</f>
        <v>0</v>
      </c>
      <c r="S20" s="140">
        <f>Anchor!Z269</f>
        <v>0</v>
      </c>
      <c r="U20" s="129">
        <f>Test!L269</f>
        <v>0</v>
      </c>
      <c r="V20" s="129">
        <f>Test!M269</f>
        <v>0</v>
      </c>
      <c r="W20" s="129">
        <f>Test!N269</f>
        <v>0</v>
      </c>
      <c r="X20" s="129">
        <f>Test!O269</f>
        <v>0</v>
      </c>
      <c r="Y20" s="129">
        <f>('Summary (Full)'!$B$34*V20+'Summary (Full)'!$B$35*W20+'Summary (Full)'!$B$36*X20)/'Summary (Full)'!$B$37</f>
        <v>0</v>
      </c>
      <c r="Z20" s="129">
        <f>Test!P269</f>
        <v>0</v>
      </c>
      <c r="AA20" s="129">
        <f>Test!Q269</f>
        <v>0</v>
      </c>
      <c r="AB20" s="129">
        <f>Test!R269</f>
        <v>0</v>
      </c>
      <c r="AC20" s="129">
        <f>Test!S269</f>
        <v>0</v>
      </c>
      <c r="AD20" s="129">
        <f>Test!T269</f>
        <v>0</v>
      </c>
      <c r="AE20" s="129">
        <f>Test!U269</f>
        <v>0</v>
      </c>
      <c r="AF20" s="129">
        <f>Test!V269</f>
        <v>0</v>
      </c>
      <c r="AG20" s="129">
        <f>Test!W269</f>
        <v>0</v>
      </c>
      <c r="AH20" s="129">
        <f>Test!X269</f>
        <v>0</v>
      </c>
      <c r="AI20" s="129">
        <f>10*LOG10(1/(('Summary (Full)'!$B$41/10^(AF20/10)+'Summary (Full)'!$B$42/10^(AG20/10)+'Summary (Full)'!$B$43/10^(AH20/10))/'Summary (Full)'!$B$44))</f>
        <v>0</v>
      </c>
      <c r="AJ20" s="155">
        <f>Test!Y269</f>
        <v>0</v>
      </c>
      <c r="AK20" s="152">
        <f>Test!Z269</f>
        <v>0</v>
      </c>
      <c r="AL20" s="152" t="e">
        <f t="shared" si="2"/>
        <v>#DIV/0!</v>
      </c>
      <c r="AM20" s="152" t="e">
        <f t="shared" si="2"/>
        <v>#DIV/0!</v>
      </c>
      <c r="AO20" s="254"/>
      <c r="AP20" s="172"/>
      <c r="AQ20" s="172"/>
      <c r="AR20" s="172"/>
      <c r="AS20" s="172"/>
      <c r="AT20" s="172"/>
      <c r="AU20" s="172"/>
      <c r="AV20" s="172"/>
      <c r="AW20" s="172"/>
      <c r="AX20" s="172"/>
      <c r="AY20" s="175"/>
      <c r="AZ20" s="286"/>
      <c r="BA20" s="212"/>
      <c r="CK20" s="5"/>
      <c r="EV20" s="166"/>
      <c r="EW20" s="166"/>
      <c r="EX20" s="166"/>
      <c r="EY20" s="166"/>
      <c r="EZ20" s="166"/>
      <c r="FA20" s="166"/>
      <c r="FB20" s="166"/>
      <c r="FC20" s="166"/>
    </row>
    <row r="21" spans="1:159" x14ac:dyDescent="0.15">
      <c r="A21" s="249"/>
      <c r="B21" s="38">
        <v>210</v>
      </c>
      <c r="C21" s="140">
        <f>Anchor!L270</f>
        <v>0</v>
      </c>
      <c r="D21" s="140">
        <f>Anchor!M270</f>
        <v>0</v>
      </c>
      <c r="E21" s="140">
        <f>Anchor!N270</f>
        <v>0</v>
      </c>
      <c r="F21" s="140">
        <f>Anchor!O270</f>
        <v>0</v>
      </c>
      <c r="G21" s="141">
        <f>('Summary (Full)'!$B$34*D21+'Summary (Full)'!$B$35*E21+'Summary (Full)'!$B$36*F21)/'Summary (Full)'!$B$37</f>
        <v>0</v>
      </c>
      <c r="H21" s="140">
        <f>Anchor!P270</f>
        <v>0</v>
      </c>
      <c r="I21" s="140">
        <f>Anchor!Q270</f>
        <v>0</v>
      </c>
      <c r="J21" s="140">
        <f>Anchor!R270</f>
        <v>0</v>
      </c>
      <c r="K21" s="140">
        <f>Anchor!S270</f>
        <v>0</v>
      </c>
      <c r="L21" s="140">
        <f>Anchor!T270</f>
        <v>0</v>
      </c>
      <c r="M21" s="140">
        <f>Anchor!U270</f>
        <v>0</v>
      </c>
      <c r="N21" s="140">
        <f>Anchor!V270</f>
        <v>0</v>
      </c>
      <c r="O21" s="140">
        <f>Anchor!W270</f>
        <v>0</v>
      </c>
      <c r="P21" s="140">
        <f>Anchor!X270</f>
        <v>0</v>
      </c>
      <c r="Q21" s="142">
        <f>10*LOG10(1/(('Summary (Full)'!$B$41/10^(N21/10)+'Summary (Full)'!$B$42/10^(O21/10)+'Summary (Full)'!$B$43/10^(P21/10))/'Summary (Full)'!$B$44))</f>
        <v>0</v>
      </c>
      <c r="R21" s="140">
        <f>Anchor!Y270</f>
        <v>0</v>
      </c>
      <c r="S21" s="140">
        <f>Anchor!Z270</f>
        <v>0</v>
      </c>
      <c r="U21" s="129">
        <f>Test!L270</f>
        <v>0</v>
      </c>
      <c r="V21" s="129">
        <f>Test!M270</f>
        <v>0</v>
      </c>
      <c r="W21" s="129">
        <f>Test!N270</f>
        <v>0</v>
      </c>
      <c r="X21" s="129">
        <f>Test!O270</f>
        <v>0</v>
      </c>
      <c r="Y21" s="129">
        <f>('Summary (Full)'!$B$34*V21+'Summary (Full)'!$B$35*W21+'Summary (Full)'!$B$36*X21)/'Summary (Full)'!$B$37</f>
        <v>0</v>
      </c>
      <c r="Z21" s="129">
        <f>Test!P270</f>
        <v>0</v>
      </c>
      <c r="AA21" s="129">
        <f>Test!Q270</f>
        <v>0</v>
      </c>
      <c r="AB21" s="129">
        <f>Test!R270</f>
        <v>0</v>
      </c>
      <c r="AC21" s="129">
        <f>Test!S270</f>
        <v>0</v>
      </c>
      <c r="AD21" s="129">
        <f>Test!T270</f>
        <v>0</v>
      </c>
      <c r="AE21" s="129">
        <f>Test!U270</f>
        <v>0</v>
      </c>
      <c r="AF21" s="129">
        <f>Test!V270</f>
        <v>0</v>
      </c>
      <c r="AG21" s="129">
        <f>Test!W270</f>
        <v>0</v>
      </c>
      <c r="AH21" s="129">
        <f>Test!X270</f>
        <v>0</v>
      </c>
      <c r="AI21" s="129">
        <f>10*LOG10(1/(('Summary (Full)'!$B$41/10^(AF21/10)+'Summary (Full)'!$B$42/10^(AG21/10)+'Summary (Full)'!$B$43/10^(AH21/10))/'Summary (Full)'!$B$44))</f>
        <v>0</v>
      </c>
      <c r="AJ21" s="155">
        <f>Test!Y270</f>
        <v>0</v>
      </c>
      <c r="AK21" s="152">
        <f>Test!Z270</f>
        <v>0</v>
      </c>
      <c r="AL21" s="152" t="e">
        <f t="shared" si="2"/>
        <v>#DIV/0!</v>
      </c>
      <c r="AM21" s="152" t="e">
        <f t="shared" si="2"/>
        <v>#DIV/0!</v>
      </c>
      <c r="AO21" s="254" t="s">
        <v>29</v>
      </c>
      <c r="AP21" s="172" t="e" cm="1">
        <f t="array" ref="AP21">bdRateExtend($C19:$C22,D19:D22,$U19:$U22,V19:V22)</f>
        <v>#VALUE!</v>
      </c>
      <c r="AQ21" s="172"/>
      <c r="AR21" s="172"/>
      <c r="AS21" s="172"/>
      <c r="AT21" s="172" t="e" cm="1">
        <f t="array" ref="AT21">bdRateExtend($C19:$C22,H19:H22,$U19:$U22,Z19:Z22)</f>
        <v>#VALUE!</v>
      </c>
      <c r="AU21" s="172"/>
      <c r="AV21" s="172" t="e" cm="1">
        <f t="array" ref="AV21">bdRateExtend($C19:$C22,I19:I22,$U19:$U22,AA19:AA22)</f>
        <v>#VALUE!</v>
      </c>
      <c r="AW21" s="172"/>
      <c r="AX21" s="172" t="e" cm="1">
        <f t="array" ref="AX21">bdRateExtend($C19:$C22,J19:J22,$U19:$U22,AB19:AB22,"None", FALSE,1)</f>
        <v>#VALUE!</v>
      </c>
      <c r="AY21" s="175"/>
      <c r="AZ21" s="286" cm="1">
        <f t="array" ref="AZ21">testVMAFRange($C19:$C22,J19:J22,$U19:$U22,AB19:AB22)</f>
        <v>0</v>
      </c>
      <c r="BA21" s="212"/>
      <c r="CK21" s="5"/>
      <c r="EV21" s="166"/>
      <c r="EW21" s="166"/>
      <c r="EX21" s="166"/>
      <c r="EY21" s="166"/>
      <c r="EZ21" s="166"/>
      <c r="FA21" s="166"/>
      <c r="FB21" s="166"/>
      <c r="FC21" s="166"/>
    </row>
    <row r="22" spans="1:159" ht="14" thickBot="1" x14ac:dyDescent="0.2">
      <c r="A22" s="249"/>
      <c r="B22" s="38">
        <v>235</v>
      </c>
      <c r="C22" s="140">
        <f>Anchor!L271</f>
        <v>0</v>
      </c>
      <c r="D22" s="140">
        <f>Anchor!M271</f>
        <v>0</v>
      </c>
      <c r="E22" s="140">
        <f>Anchor!N271</f>
        <v>0</v>
      </c>
      <c r="F22" s="140">
        <f>Anchor!O271</f>
        <v>0</v>
      </c>
      <c r="G22" s="141">
        <f>('Summary (Full)'!$B$34*D22+'Summary (Full)'!$B$35*E22+'Summary (Full)'!$B$36*F22)/'Summary (Full)'!$B$37</f>
        <v>0</v>
      </c>
      <c r="H22" s="140">
        <f>Anchor!P271</f>
        <v>0</v>
      </c>
      <c r="I22" s="140">
        <f>Anchor!Q271</f>
        <v>0</v>
      </c>
      <c r="J22" s="140">
        <f>Anchor!R271</f>
        <v>0</v>
      </c>
      <c r="K22" s="140">
        <f>Anchor!S271</f>
        <v>0</v>
      </c>
      <c r="L22" s="140">
        <f>Anchor!T271</f>
        <v>0</v>
      </c>
      <c r="M22" s="140">
        <f>Anchor!U271</f>
        <v>0</v>
      </c>
      <c r="N22" s="140">
        <f>Anchor!V271</f>
        <v>0</v>
      </c>
      <c r="O22" s="140">
        <f>Anchor!W271</f>
        <v>0</v>
      </c>
      <c r="P22" s="140">
        <f>Anchor!X271</f>
        <v>0</v>
      </c>
      <c r="Q22" s="142">
        <f>10*LOG10(1/(('Summary (Full)'!$B$41/10^(N22/10)+'Summary (Full)'!$B$42/10^(O22/10)+'Summary (Full)'!$B$43/10^(P22/10))/'Summary (Full)'!$B$44))</f>
        <v>0</v>
      </c>
      <c r="R22" s="140">
        <f>Anchor!Y271</f>
        <v>0</v>
      </c>
      <c r="S22" s="140">
        <f>Anchor!Z271</f>
        <v>0</v>
      </c>
      <c r="U22" s="129">
        <f>Test!L271</f>
        <v>0</v>
      </c>
      <c r="V22" s="129">
        <f>Test!M271</f>
        <v>0</v>
      </c>
      <c r="W22" s="129">
        <f>Test!N271</f>
        <v>0</v>
      </c>
      <c r="X22" s="129">
        <f>Test!O271</f>
        <v>0</v>
      </c>
      <c r="Y22" s="129">
        <f>('Summary (Full)'!$B$34*V22+'Summary (Full)'!$B$35*W22+'Summary (Full)'!$B$36*X22)/'Summary (Full)'!$B$37</f>
        <v>0</v>
      </c>
      <c r="Z22" s="129">
        <f>Test!P271</f>
        <v>0</v>
      </c>
      <c r="AA22" s="129">
        <f>Test!Q271</f>
        <v>0</v>
      </c>
      <c r="AB22" s="129">
        <f>Test!R271</f>
        <v>0</v>
      </c>
      <c r="AC22" s="129">
        <f>Test!S271</f>
        <v>0</v>
      </c>
      <c r="AD22" s="129">
        <f>Test!T271</f>
        <v>0</v>
      </c>
      <c r="AE22" s="129">
        <f>Test!U271</f>
        <v>0</v>
      </c>
      <c r="AF22" s="129">
        <f>Test!V271</f>
        <v>0</v>
      </c>
      <c r="AG22" s="129">
        <f>Test!W271</f>
        <v>0</v>
      </c>
      <c r="AH22" s="129">
        <f>Test!X271</f>
        <v>0</v>
      </c>
      <c r="AI22" s="129">
        <f>10*LOG10(1/(('Summary (Full)'!$B$41/10^(AF22/10)+'Summary (Full)'!$B$42/10^(AG22/10)+'Summary (Full)'!$B$43/10^(AH22/10))/'Summary (Full)'!$B$44))</f>
        <v>0</v>
      </c>
      <c r="AJ22" s="155">
        <f>Test!Y271</f>
        <v>0</v>
      </c>
      <c r="AK22" s="152">
        <f>Test!Z271</f>
        <v>0</v>
      </c>
      <c r="AL22" s="152" t="e">
        <f t="shared" si="2"/>
        <v>#DIV/0!</v>
      </c>
      <c r="AM22" s="152" t="e">
        <f t="shared" si="2"/>
        <v>#DIV/0!</v>
      </c>
      <c r="AO22" s="263"/>
      <c r="AP22" s="173"/>
      <c r="AQ22" s="173"/>
      <c r="AR22" s="173"/>
      <c r="AS22" s="173"/>
      <c r="AT22" s="173"/>
      <c r="AU22" s="173"/>
      <c r="AV22" s="173"/>
      <c r="AW22" s="173"/>
      <c r="AX22" s="173"/>
      <c r="AY22" s="188"/>
      <c r="AZ22" s="287"/>
      <c r="BA22" s="240"/>
      <c r="CK22" s="5"/>
      <c r="EV22" s="166"/>
      <c r="EW22" s="166"/>
      <c r="EX22" s="166"/>
      <c r="EY22" s="166"/>
      <c r="EZ22" s="166"/>
      <c r="FA22" s="166"/>
      <c r="FB22" s="166"/>
      <c r="FC22" s="166"/>
    </row>
    <row r="23" spans="1:159" x14ac:dyDescent="0.15">
      <c r="A23" s="250" t="s">
        <v>19</v>
      </c>
      <c r="B23" s="38">
        <v>110</v>
      </c>
      <c r="C23" s="140">
        <f>Anchor!L272</f>
        <v>0</v>
      </c>
      <c r="D23" s="140">
        <f>Anchor!M272</f>
        <v>0</v>
      </c>
      <c r="E23" s="140">
        <f>Anchor!N272</f>
        <v>0</v>
      </c>
      <c r="F23" s="140">
        <f>Anchor!O272</f>
        <v>0</v>
      </c>
      <c r="G23" s="141">
        <f>('Summary (Full)'!$B$34*D23+'Summary (Full)'!$B$35*E23+'Summary (Full)'!$B$36*F23)/'Summary (Full)'!$B$37</f>
        <v>0</v>
      </c>
      <c r="H23" s="140">
        <f>Anchor!P272</f>
        <v>0</v>
      </c>
      <c r="I23" s="140">
        <f>Anchor!Q272</f>
        <v>0</v>
      </c>
      <c r="J23" s="140">
        <f>Anchor!R272</f>
        <v>0</v>
      </c>
      <c r="K23" s="140">
        <f>Anchor!S272</f>
        <v>0</v>
      </c>
      <c r="L23" s="140">
        <f>Anchor!T272</f>
        <v>0</v>
      </c>
      <c r="M23" s="140">
        <f>Anchor!U272</f>
        <v>0</v>
      </c>
      <c r="N23" s="140">
        <f>Anchor!V272</f>
        <v>0</v>
      </c>
      <c r="O23" s="140">
        <f>Anchor!W272</f>
        <v>0</v>
      </c>
      <c r="P23" s="140">
        <f>Anchor!X272</f>
        <v>0</v>
      </c>
      <c r="Q23" s="142">
        <f>10*LOG10(1/(('Summary (Full)'!$B$41/10^(N23/10)+'Summary (Full)'!$B$42/10^(O23/10)+'Summary (Full)'!$B$43/10^(P23/10))/'Summary (Full)'!$B$44))</f>
        <v>0</v>
      </c>
      <c r="R23" s="140">
        <f>Anchor!Y272</f>
        <v>0</v>
      </c>
      <c r="S23" s="140">
        <f>Anchor!Z272</f>
        <v>0</v>
      </c>
      <c r="U23" s="129">
        <f>Test!L272</f>
        <v>0</v>
      </c>
      <c r="V23" s="129">
        <f>Test!M272</f>
        <v>0</v>
      </c>
      <c r="W23" s="129">
        <f>Test!N272</f>
        <v>0</v>
      </c>
      <c r="X23" s="129">
        <f>Test!O272</f>
        <v>0</v>
      </c>
      <c r="Y23" s="129">
        <f>('Summary (Full)'!$B$34*V23+'Summary (Full)'!$B$35*W23+'Summary (Full)'!$B$36*X23)/'Summary (Full)'!$B$37</f>
        <v>0</v>
      </c>
      <c r="Z23" s="129">
        <f>Test!P272</f>
        <v>0</v>
      </c>
      <c r="AA23" s="129">
        <f>Test!Q272</f>
        <v>0</v>
      </c>
      <c r="AB23" s="129">
        <f>Test!R272</f>
        <v>0</v>
      </c>
      <c r="AC23" s="129">
        <f>Test!S272</f>
        <v>0</v>
      </c>
      <c r="AD23" s="129">
        <f>Test!T272</f>
        <v>0</v>
      </c>
      <c r="AE23" s="129">
        <f>Test!U272</f>
        <v>0</v>
      </c>
      <c r="AF23" s="129">
        <f>Test!V272</f>
        <v>0</v>
      </c>
      <c r="AG23" s="129">
        <f>Test!W272</f>
        <v>0</v>
      </c>
      <c r="AH23" s="129">
        <f>Test!X272</f>
        <v>0</v>
      </c>
      <c r="AI23" s="129">
        <f>10*LOG10(1/(('Summary (Full)'!$B$41/10^(AF23/10)+'Summary (Full)'!$B$42/10^(AG23/10)+'Summary (Full)'!$B$43/10^(AH23/10))/'Summary (Full)'!$B$44))</f>
        <v>0</v>
      </c>
      <c r="AJ23" s="155">
        <f>Test!Y272</f>
        <v>0</v>
      </c>
      <c r="AK23" s="152">
        <f>Test!Z272</f>
        <v>0</v>
      </c>
      <c r="AL23" s="152" t="e">
        <f t="shared" si="2"/>
        <v>#DIV/0!</v>
      </c>
      <c r="AM23" s="152" t="e">
        <f t="shared" si="2"/>
        <v>#DIV/0!</v>
      </c>
      <c r="AO23" s="253" t="s">
        <v>27</v>
      </c>
      <c r="AP23" s="171" t="e" cm="1">
        <f t="array" ref="AP23">bdRateExtend($C23:$C26,D23:D26,$U23:$U26,V23:V26)</f>
        <v>#VALUE!</v>
      </c>
      <c r="AQ23" s="171" t="e" cm="1">
        <f t="array" ref="AQ23">bdRateExtend($C23:$C28,D23:D28,$U23:$U28,V23:V28)</f>
        <v>#VALUE!</v>
      </c>
      <c r="AR23" s="171" t="e" cm="1">
        <f t="array" ref="AR23">bdRateExtend($C23:$C28,E23:E28,$U23:$U28,W23:W28)</f>
        <v>#VALUE!</v>
      </c>
      <c r="AS23" s="171" t="e" cm="1">
        <f t="array" ref="AS23">bdRateExtend($C23:$C28,F23:F28,$U23:$U28,X23:X28)</f>
        <v>#VALUE!</v>
      </c>
      <c r="AT23" s="171" t="e" cm="1">
        <f t="array" ref="AT23">bdRateExtend($C23:$C26,H23:H26,$U23:$U26,Z23:Z26)</f>
        <v>#VALUE!</v>
      </c>
      <c r="AU23" s="171" t="e" cm="1">
        <f t="array" ref="AU23">bdRateExtend($C23:$C28,H23:H28,$U23:$U28,Z23:Z28)</f>
        <v>#VALUE!</v>
      </c>
      <c r="AV23" s="171" t="e" cm="1">
        <f t="array" ref="AV23">bdRateExtend($C23:$C26,I23:I26,$U23:$U26,AA23:AA26)</f>
        <v>#VALUE!</v>
      </c>
      <c r="AW23" s="171" t="e" cm="1">
        <f t="array" ref="AW23">bdRateExtend($C23:$C28,I23:I28,$U23:$U28,AA23:AA28)</f>
        <v>#VALUE!</v>
      </c>
      <c r="AX23" s="171" t="e" cm="1">
        <f t="array" ref="AX23">bdRateExtend($C23:$C26,J23:J26,$U23:$U26,AB23:AB26,"None", FALSE,1)</f>
        <v>#VALUE!</v>
      </c>
      <c r="AY23" s="174" t="e" cm="1">
        <f t="array" ref="AY23">bdRateExtend($C23:$C28,J23:J28,$U23:$U28,AB23:AB28,"None", FALSE,TRUE)</f>
        <v>#VALUE!</v>
      </c>
      <c r="AZ23" s="285" cm="1">
        <f t="array" ref="AZ23">testVMAFRange($C23:$C26,J23:J26,$U23:$U26,AB23:AB26)</f>
        <v>0</v>
      </c>
      <c r="BA23" s="211" cm="1">
        <f t="array" ref="BA23">testVMAFRange($C23:$C28,J23:J28,$U23:$U28,AB23:AB28)</f>
        <v>0</v>
      </c>
      <c r="CK23" s="5"/>
      <c r="EV23" s="166"/>
      <c r="EW23" s="166"/>
      <c r="EX23" s="166"/>
      <c r="EY23" s="166"/>
      <c r="EZ23" s="166"/>
      <c r="FA23" s="166"/>
      <c r="FB23" s="166"/>
      <c r="FC23" s="166"/>
    </row>
    <row r="24" spans="1:159" x14ac:dyDescent="0.15">
      <c r="A24" s="250"/>
      <c r="B24" s="38">
        <v>135</v>
      </c>
      <c r="C24" s="140">
        <f>Anchor!L273</f>
        <v>0</v>
      </c>
      <c r="D24" s="140">
        <f>Anchor!M273</f>
        <v>0</v>
      </c>
      <c r="E24" s="140">
        <f>Anchor!N273</f>
        <v>0</v>
      </c>
      <c r="F24" s="140">
        <f>Anchor!O273</f>
        <v>0</v>
      </c>
      <c r="G24" s="141">
        <f>('Summary (Full)'!$B$34*D24+'Summary (Full)'!$B$35*E24+'Summary (Full)'!$B$36*F24)/'Summary (Full)'!$B$37</f>
        <v>0</v>
      </c>
      <c r="H24" s="140">
        <f>Anchor!P273</f>
        <v>0</v>
      </c>
      <c r="I24" s="140">
        <f>Anchor!Q273</f>
        <v>0</v>
      </c>
      <c r="J24" s="140">
        <f>Anchor!R273</f>
        <v>0</v>
      </c>
      <c r="K24" s="140">
        <f>Anchor!S273</f>
        <v>0</v>
      </c>
      <c r="L24" s="140">
        <f>Anchor!T273</f>
        <v>0</v>
      </c>
      <c r="M24" s="140">
        <f>Anchor!U273</f>
        <v>0</v>
      </c>
      <c r="N24" s="140">
        <f>Anchor!V273</f>
        <v>0</v>
      </c>
      <c r="O24" s="140">
        <f>Anchor!W273</f>
        <v>0</v>
      </c>
      <c r="P24" s="140">
        <f>Anchor!X273</f>
        <v>0</v>
      </c>
      <c r="Q24" s="142">
        <f>10*LOG10(1/(('Summary (Full)'!$B$41/10^(N24/10)+'Summary (Full)'!$B$42/10^(O24/10)+'Summary (Full)'!$B$43/10^(P24/10))/'Summary (Full)'!$B$44))</f>
        <v>0</v>
      </c>
      <c r="R24" s="140">
        <f>Anchor!Y273</f>
        <v>0</v>
      </c>
      <c r="S24" s="140">
        <f>Anchor!Z273</f>
        <v>0</v>
      </c>
      <c r="U24" s="129">
        <f>Test!L273</f>
        <v>0</v>
      </c>
      <c r="V24" s="129">
        <f>Test!M273</f>
        <v>0</v>
      </c>
      <c r="W24" s="129">
        <f>Test!N273</f>
        <v>0</v>
      </c>
      <c r="X24" s="129">
        <f>Test!O273</f>
        <v>0</v>
      </c>
      <c r="Y24" s="129">
        <f>('Summary (Full)'!$B$34*V24+'Summary (Full)'!$B$35*W24+'Summary (Full)'!$B$36*X24)/'Summary (Full)'!$B$37</f>
        <v>0</v>
      </c>
      <c r="Z24" s="129">
        <f>Test!P273</f>
        <v>0</v>
      </c>
      <c r="AA24" s="129">
        <f>Test!Q273</f>
        <v>0</v>
      </c>
      <c r="AB24" s="129">
        <f>Test!R273</f>
        <v>0</v>
      </c>
      <c r="AC24" s="129">
        <f>Test!S273</f>
        <v>0</v>
      </c>
      <c r="AD24" s="129">
        <f>Test!T273</f>
        <v>0</v>
      </c>
      <c r="AE24" s="129">
        <f>Test!U273</f>
        <v>0</v>
      </c>
      <c r="AF24" s="129">
        <f>Test!V273</f>
        <v>0</v>
      </c>
      <c r="AG24" s="129">
        <f>Test!W273</f>
        <v>0</v>
      </c>
      <c r="AH24" s="129">
        <f>Test!X273</f>
        <v>0</v>
      </c>
      <c r="AI24" s="129">
        <f>10*LOG10(1/(('Summary (Full)'!$B$41/10^(AF24/10)+'Summary (Full)'!$B$42/10^(AG24/10)+'Summary (Full)'!$B$43/10^(AH24/10))/'Summary (Full)'!$B$44))</f>
        <v>0</v>
      </c>
      <c r="AJ24" s="155">
        <f>Test!Y273</f>
        <v>0</v>
      </c>
      <c r="AK24" s="152">
        <f>Test!Z273</f>
        <v>0</v>
      </c>
      <c r="AL24" s="152" t="e">
        <f t="shared" si="2"/>
        <v>#DIV/0!</v>
      </c>
      <c r="AM24" s="152" t="e">
        <f t="shared" si="2"/>
        <v>#DIV/0!</v>
      </c>
      <c r="AO24" s="254"/>
      <c r="AP24" s="172"/>
      <c r="AQ24" s="172"/>
      <c r="AR24" s="172"/>
      <c r="AS24" s="172"/>
      <c r="AT24" s="172"/>
      <c r="AU24" s="172"/>
      <c r="AV24" s="172"/>
      <c r="AW24" s="172"/>
      <c r="AX24" s="172"/>
      <c r="AY24" s="175"/>
      <c r="AZ24" s="286"/>
      <c r="BA24" s="212"/>
      <c r="CK24" s="5"/>
      <c r="EV24" s="166"/>
      <c r="EW24" s="166"/>
      <c r="EX24" s="166"/>
      <c r="EY24" s="166"/>
      <c r="EZ24" s="166"/>
      <c r="FA24" s="166"/>
      <c r="FB24" s="166"/>
      <c r="FC24" s="166"/>
    </row>
    <row r="25" spans="1:159" x14ac:dyDescent="0.15">
      <c r="A25" s="250"/>
      <c r="B25" s="38">
        <v>160</v>
      </c>
      <c r="C25" s="140">
        <f>Anchor!L274</f>
        <v>0</v>
      </c>
      <c r="D25" s="140">
        <f>Anchor!M274</f>
        <v>0</v>
      </c>
      <c r="E25" s="140">
        <f>Anchor!N274</f>
        <v>0</v>
      </c>
      <c r="F25" s="140">
        <f>Anchor!O274</f>
        <v>0</v>
      </c>
      <c r="G25" s="141">
        <f>('Summary (Full)'!$B$34*D25+'Summary (Full)'!$B$35*E25+'Summary (Full)'!$B$36*F25)/'Summary (Full)'!$B$37</f>
        <v>0</v>
      </c>
      <c r="H25" s="140">
        <f>Anchor!P274</f>
        <v>0</v>
      </c>
      <c r="I25" s="140">
        <f>Anchor!Q274</f>
        <v>0</v>
      </c>
      <c r="J25" s="140">
        <f>Anchor!R274</f>
        <v>0</v>
      </c>
      <c r="K25" s="140">
        <f>Anchor!S274</f>
        <v>0</v>
      </c>
      <c r="L25" s="140">
        <f>Anchor!T274</f>
        <v>0</v>
      </c>
      <c r="M25" s="140">
        <f>Anchor!U274</f>
        <v>0</v>
      </c>
      <c r="N25" s="140">
        <f>Anchor!V274</f>
        <v>0</v>
      </c>
      <c r="O25" s="140">
        <f>Anchor!W274</f>
        <v>0</v>
      </c>
      <c r="P25" s="140">
        <f>Anchor!X274</f>
        <v>0</v>
      </c>
      <c r="Q25" s="142">
        <f>10*LOG10(1/(('Summary (Full)'!$B$41/10^(N25/10)+'Summary (Full)'!$B$42/10^(O25/10)+'Summary (Full)'!$B$43/10^(P25/10))/'Summary (Full)'!$B$44))</f>
        <v>0</v>
      </c>
      <c r="R25" s="140">
        <f>Anchor!Y274</f>
        <v>0</v>
      </c>
      <c r="S25" s="140">
        <f>Anchor!Z274</f>
        <v>0</v>
      </c>
      <c r="U25" s="129">
        <f>Test!L274</f>
        <v>0</v>
      </c>
      <c r="V25" s="129">
        <f>Test!M274</f>
        <v>0</v>
      </c>
      <c r="W25" s="129">
        <f>Test!N274</f>
        <v>0</v>
      </c>
      <c r="X25" s="129">
        <f>Test!O274</f>
        <v>0</v>
      </c>
      <c r="Y25" s="129">
        <f>('Summary (Full)'!$B$34*V25+'Summary (Full)'!$B$35*W25+'Summary (Full)'!$B$36*X25)/'Summary (Full)'!$B$37</f>
        <v>0</v>
      </c>
      <c r="Z25" s="129">
        <f>Test!P274</f>
        <v>0</v>
      </c>
      <c r="AA25" s="129">
        <f>Test!Q274</f>
        <v>0</v>
      </c>
      <c r="AB25" s="129">
        <f>Test!R274</f>
        <v>0</v>
      </c>
      <c r="AC25" s="129">
        <f>Test!S274</f>
        <v>0</v>
      </c>
      <c r="AD25" s="129">
        <f>Test!T274</f>
        <v>0</v>
      </c>
      <c r="AE25" s="129">
        <f>Test!U274</f>
        <v>0</v>
      </c>
      <c r="AF25" s="129">
        <f>Test!V274</f>
        <v>0</v>
      </c>
      <c r="AG25" s="129">
        <f>Test!W274</f>
        <v>0</v>
      </c>
      <c r="AH25" s="129">
        <f>Test!X274</f>
        <v>0</v>
      </c>
      <c r="AI25" s="129">
        <f>10*LOG10(1/(('Summary (Full)'!$B$41/10^(AF25/10)+'Summary (Full)'!$B$42/10^(AG25/10)+'Summary (Full)'!$B$43/10^(AH25/10))/'Summary (Full)'!$B$44))</f>
        <v>0</v>
      </c>
      <c r="AJ25" s="155">
        <f>Test!Y274</f>
        <v>0</v>
      </c>
      <c r="AK25" s="152">
        <f>Test!Z274</f>
        <v>0</v>
      </c>
      <c r="AL25" s="152" t="e">
        <f t="shared" si="2"/>
        <v>#DIV/0!</v>
      </c>
      <c r="AM25" s="152" t="e">
        <f t="shared" si="2"/>
        <v>#DIV/0!</v>
      </c>
      <c r="AO25" s="254" t="s">
        <v>28</v>
      </c>
      <c r="AP25" s="172" t="e" cm="1">
        <f t="array" ref="AP25">bdRateExtend($C24:$C27,D24:D27,$U24:$U27,V24:V27)</f>
        <v>#VALUE!</v>
      </c>
      <c r="AQ25" s="172"/>
      <c r="AR25" s="172"/>
      <c r="AS25" s="172"/>
      <c r="AT25" s="172" t="e" cm="1">
        <f t="array" ref="AT25">bdRateExtend($C24:$C27,H24:H27,$U24:$U27,Z24:Z27)</f>
        <v>#VALUE!</v>
      </c>
      <c r="AU25" s="172"/>
      <c r="AV25" s="172" t="e" cm="1">
        <f t="array" ref="AV25">bdRateExtend($C24:$C27,I24:I27,$U24:$U27,AA24:AA27)</f>
        <v>#VALUE!</v>
      </c>
      <c r="AW25" s="172"/>
      <c r="AX25" s="172" t="e" cm="1">
        <f t="array" ref="AX25">bdRateExtend($C24:$C27,J24:J27,$U24:$U27,AB24:AB27,"None", FALSE,1)</f>
        <v>#VALUE!</v>
      </c>
      <c r="AY25" s="175"/>
      <c r="AZ25" s="286" cm="1">
        <f t="array" ref="AZ25">testVMAFRange($C24:$C27,J24:J27,$U24:$U27,AB24:AB27)</f>
        <v>0</v>
      </c>
      <c r="BA25" s="212"/>
      <c r="CK25" s="5"/>
      <c r="EV25" s="166"/>
      <c r="EW25" s="166"/>
      <c r="EX25" s="166"/>
      <c r="EY25" s="166"/>
      <c r="EZ25" s="166"/>
      <c r="FA25" s="166"/>
      <c r="FB25" s="166"/>
      <c r="FC25" s="166"/>
    </row>
    <row r="26" spans="1:159" x14ac:dyDescent="0.15">
      <c r="A26" s="250"/>
      <c r="B26" s="38">
        <v>185</v>
      </c>
      <c r="C26" s="140">
        <f>Anchor!L275</f>
        <v>0</v>
      </c>
      <c r="D26" s="140">
        <f>Anchor!M275</f>
        <v>0</v>
      </c>
      <c r="E26" s="140">
        <f>Anchor!N275</f>
        <v>0</v>
      </c>
      <c r="F26" s="140">
        <f>Anchor!O275</f>
        <v>0</v>
      </c>
      <c r="G26" s="141">
        <f>('Summary (Full)'!$B$34*D26+'Summary (Full)'!$B$35*E26+'Summary (Full)'!$B$36*F26)/'Summary (Full)'!$B$37</f>
        <v>0</v>
      </c>
      <c r="H26" s="140">
        <f>Anchor!P275</f>
        <v>0</v>
      </c>
      <c r="I26" s="140">
        <f>Anchor!Q275</f>
        <v>0</v>
      </c>
      <c r="J26" s="140">
        <f>Anchor!R275</f>
        <v>0</v>
      </c>
      <c r="K26" s="140">
        <f>Anchor!S275</f>
        <v>0</v>
      </c>
      <c r="L26" s="140">
        <f>Anchor!T275</f>
        <v>0</v>
      </c>
      <c r="M26" s="140">
        <f>Anchor!U275</f>
        <v>0</v>
      </c>
      <c r="N26" s="140">
        <f>Anchor!V275</f>
        <v>0</v>
      </c>
      <c r="O26" s="140">
        <f>Anchor!W275</f>
        <v>0</v>
      </c>
      <c r="P26" s="140">
        <f>Anchor!X275</f>
        <v>0</v>
      </c>
      <c r="Q26" s="142">
        <f>10*LOG10(1/(('Summary (Full)'!$B$41/10^(N26/10)+'Summary (Full)'!$B$42/10^(O26/10)+'Summary (Full)'!$B$43/10^(P26/10))/'Summary (Full)'!$B$44))</f>
        <v>0</v>
      </c>
      <c r="R26" s="140">
        <f>Anchor!Y275</f>
        <v>0</v>
      </c>
      <c r="S26" s="140">
        <f>Anchor!Z275</f>
        <v>0</v>
      </c>
      <c r="U26" s="129">
        <f>Test!L275</f>
        <v>0</v>
      </c>
      <c r="V26" s="129">
        <f>Test!M275</f>
        <v>0</v>
      </c>
      <c r="W26" s="129">
        <f>Test!N275</f>
        <v>0</v>
      </c>
      <c r="X26" s="129">
        <f>Test!O275</f>
        <v>0</v>
      </c>
      <c r="Y26" s="129">
        <f>('Summary (Full)'!$B$34*V26+'Summary (Full)'!$B$35*W26+'Summary (Full)'!$B$36*X26)/'Summary (Full)'!$B$37</f>
        <v>0</v>
      </c>
      <c r="Z26" s="129">
        <f>Test!P275</f>
        <v>0</v>
      </c>
      <c r="AA26" s="129">
        <f>Test!Q275</f>
        <v>0</v>
      </c>
      <c r="AB26" s="129">
        <f>Test!R275</f>
        <v>0</v>
      </c>
      <c r="AC26" s="129">
        <f>Test!S275</f>
        <v>0</v>
      </c>
      <c r="AD26" s="129">
        <f>Test!T275</f>
        <v>0</v>
      </c>
      <c r="AE26" s="129">
        <f>Test!U275</f>
        <v>0</v>
      </c>
      <c r="AF26" s="129">
        <f>Test!V275</f>
        <v>0</v>
      </c>
      <c r="AG26" s="129">
        <f>Test!W275</f>
        <v>0</v>
      </c>
      <c r="AH26" s="129">
        <f>Test!X275</f>
        <v>0</v>
      </c>
      <c r="AI26" s="129">
        <f>10*LOG10(1/(('Summary (Full)'!$B$41/10^(AF26/10)+'Summary (Full)'!$B$42/10^(AG26/10)+'Summary (Full)'!$B$43/10^(AH26/10))/'Summary (Full)'!$B$44))</f>
        <v>0</v>
      </c>
      <c r="AJ26" s="155">
        <f>Test!Y275</f>
        <v>0</v>
      </c>
      <c r="AK26" s="152">
        <f>Test!Z275</f>
        <v>0</v>
      </c>
      <c r="AL26" s="152" t="e">
        <f t="shared" si="2"/>
        <v>#DIV/0!</v>
      </c>
      <c r="AM26" s="152" t="e">
        <f t="shared" si="2"/>
        <v>#DIV/0!</v>
      </c>
      <c r="AO26" s="254"/>
      <c r="AP26" s="172"/>
      <c r="AQ26" s="172"/>
      <c r="AR26" s="172"/>
      <c r="AS26" s="172"/>
      <c r="AT26" s="172"/>
      <c r="AU26" s="172"/>
      <c r="AV26" s="172"/>
      <c r="AW26" s="172"/>
      <c r="AX26" s="172"/>
      <c r="AY26" s="175"/>
      <c r="AZ26" s="286"/>
      <c r="BA26" s="212"/>
      <c r="CK26" s="5"/>
      <c r="EV26" s="166"/>
      <c r="EW26" s="166"/>
      <c r="EX26" s="166"/>
      <c r="EY26" s="166"/>
      <c r="EZ26" s="166"/>
      <c r="FA26" s="166"/>
      <c r="FB26" s="166"/>
      <c r="FC26" s="166"/>
    </row>
    <row r="27" spans="1:159" x14ac:dyDescent="0.15">
      <c r="A27" s="250"/>
      <c r="B27" s="38">
        <v>210</v>
      </c>
      <c r="C27" s="140">
        <f>Anchor!L276</f>
        <v>0</v>
      </c>
      <c r="D27" s="140">
        <f>Anchor!M276</f>
        <v>0</v>
      </c>
      <c r="E27" s="140">
        <f>Anchor!N276</f>
        <v>0</v>
      </c>
      <c r="F27" s="140">
        <f>Anchor!O276</f>
        <v>0</v>
      </c>
      <c r="G27" s="141">
        <f>('Summary (Full)'!$B$34*D27+'Summary (Full)'!$B$35*E27+'Summary (Full)'!$B$36*F27)/'Summary (Full)'!$B$37</f>
        <v>0</v>
      </c>
      <c r="H27" s="140">
        <f>Anchor!P276</f>
        <v>0</v>
      </c>
      <c r="I27" s="140">
        <f>Anchor!Q276</f>
        <v>0</v>
      </c>
      <c r="J27" s="140">
        <f>Anchor!R276</f>
        <v>0</v>
      </c>
      <c r="K27" s="140">
        <f>Anchor!S276</f>
        <v>0</v>
      </c>
      <c r="L27" s="140">
        <f>Anchor!T276</f>
        <v>0</v>
      </c>
      <c r="M27" s="140">
        <f>Anchor!U276</f>
        <v>0</v>
      </c>
      <c r="N27" s="140">
        <f>Anchor!V276</f>
        <v>0</v>
      </c>
      <c r="O27" s="140">
        <f>Anchor!W276</f>
        <v>0</v>
      </c>
      <c r="P27" s="140">
        <f>Anchor!X276</f>
        <v>0</v>
      </c>
      <c r="Q27" s="142">
        <f>10*LOG10(1/(('Summary (Full)'!$B$41/10^(N27/10)+'Summary (Full)'!$B$42/10^(O27/10)+'Summary (Full)'!$B$43/10^(P27/10))/'Summary (Full)'!$B$44))</f>
        <v>0</v>
      </c>
      <c r="R27" s="140">
        <f>Anchor!Y276</f>
        <v>0</v>
      </c>
      <c r="S27" s="140">
        <f>Anchor!Z276</f>
        <v>0</v>
      </c>
      <c r="U27" s="129">
        <f>Test!L276</f>
        <v>0</v>
      </c>
      <c r="V27" s="129">
        <f>Test!M276</f>
        <v>0</v>
      </c>
      <c r="W27" s="129">
        <f>Test!N276</f>
        <v>0</v>
      </c>
      <c r="X27" s="129">
        <f>Test!O276</f>
        <v>0</v>
      </c>
      <c r="Y27" s="129">
        <f>('Summary (Full)'!$B$34*V27+'Summary (Full)'!$B$35*W27+'Summary (Full)'!$B$36*X27)/'Summary (Full)'!$B$37</f>
        <v>0</v>
      </c>
      <c r="Z27" s="129">
        <f>Test!P276</f>
        <v>0</v>
      </c>
      <c r="AA27" s="129">
        <f>Test!Q276</f>
        <v>0</v>
      </c>
      <c r="AB27" s="129">
        <f>Test!R276</f>
        <v>0</v>
      </c>
      <c r="AC27" s="129">
        <f>Test!S276</f>
        <v>0</v>
      </c>
      <c r="AD27" s="129">
        <f>Test!T276</f>
        <v>0</v>
      </c>
      <c r="AE27" s="129">
        <f>Test!U276</f>
        <v>0</v>
      </c>
      <c r="AF27" s="129">
        <f>Test!V276</f>
        <v>0</v>
      </c>
      <c r="AG27" s="129">
        <f>Test!W276</f>
        <v>0</v>
      </c>
      <c r="AH27" s="129">
        <f>Test!X276</f>
        <v>0</v>
      </c>
      <c r="AI27" s="129">
        <f>10*LOG10(1/(('Summary (Full)'!$B$41/10^(AF27/10)+'Summary (Full)'!$B$42/10^(AG27/10)+'Summary (Full)'!$B$43/10^(AH27/10))/'Summary (Full)'!$B$44))</f>
        <v>0</v>
      </c>
      <c r="AJ27" s="155">
        <f>Test!Y276</f>
        <v>0</v>
      </c>
      <c r="AK27" s="152">
        <f>Test!Z276</f>
        <v>0</v>
      </c>
      <c r="AL27" s="152" t="e">
        <f t="shared" si="2"/>
        <v>#DIV/0!</v>
      </c>
      <c r="AM27" s="152" t="e">
        <f t="shared" si="2"/>
        <v>#DIV/0!</v>
      </c>
      <c r="AO27" s="254" t="s">
        <v>29</v>
      </c>
      <c r="AP27" s="172" t="e" cm="1">
        <f t="array" ref="AP27">bdRateExtend($C25:$C28,D25:D28,$U25:$U28,V25:V28)</f>
        <v>#VALUE!</v>
      </c>
      <c r="AQ27" s="172"/>
      <c r="AR27" s="172"/>
      <c r="AS27" s="172"/>
      <c r="AT27" s="172" t="e" cm="1">
        <f t="array" ref="AT27">bdRateExtend($C25:$C28,H25:H28,$U25:$U28,Z25:Z28)</f>
        <v>#VALUE!</v>
      </c>
      <c r="AU27" s="172"/>
      <c r="AV27" s="172" t="e" cm="1">
        <f t="array" ref="AV27">bdRateExtend($C25:$C28,I25:I28,$U25:$U28,AA25:AA28)</f>
        <v>#VALUE!</v>
      </c>
      <c r="AW27" s="172"/>
      <c r="AX27" s="172" t="e" cm="1">
        <f t="array" ref="AX27">bdRateExtend($C25:$C28,J25:J28,$U25:$U28,AB25:AB28,"None", FALSE,1)</f>
        <v>#VALUE!</v>
      </c>
      <c r="AY27" s="175"/>
      <c r="AZ27" s="286" cm="1">
        <f t="array" ref="AZ27">testVMAFRange($C25:$C28,J25:J28,$U25:$U28,AB25:AB28)</f>
        <v>0</v>
      </c>
      <c r="BA27" s="212"/>
      <c r="CK27" s="5"/>
      <c r="EV27" s="166"/>
      <c r="EW27" s="166"/>
      <c r="EX27" s="166"/>
      <c r="EY27" s="166"/>
      <c r="EZ27" s="166"/>
      <c r="FA27" s="166"/>
      <c r="FB27" s="166"/>
      <c r="FC27" s="166"/>
    </row>
    <row r="28" spans="1:159" ht="14" thickBot="1" x14ac:dyDescent="0.2">
      <c r="A28" s="250"/>
      <c r="B28" s="38">
        <v>235</v>
      </c>
      <c r="C28" s="140">
        <f>Anchor!L277</f>
        <v>0</v>
      </c>
      <c r="D28" s="140">
        <f>Anchor!M277</f>
        <v>0</v>
      </c>
      <c r="E28" s="140">
        <f>Anchor!N277</f>
        <v>0</v>
      </c>
      <c r="F28" s="140">
        <f>Anchor!O277</f>
        <v>0</v>
      </c>
      <c r="G28" s="141">
        <f>('Summary (Full)'!$B$34*D28+'Summary (Full)'!$B$35*E28+'Summary (Full)'!$B$36*F28)/'Summary (Full)'!$B$37</f>
        <v>0</v>
      </c>
      <c r="H28" s="140">
        <f>Anchor!P277</f>
        <v>0</v>
      </c>
      <c r="I28" s="140">
        <f>Anchor!Q277</f>
        <v>0</v>
      </c>
      <c r="J28" s="140">
        <f>Anchor!R277</f>
        <v>0</v>
      </c>
      <c r="K28" s="140">
        <f>Anchor!S277</f>
        <v>0</v>
      </c>
      <c r="L28" s="140">
        <f>Anchor!T277</f>
        <v>0</v>
      </c>
      <c r="M28" s="140">
        <f>Anchor!U277</f>
        <v>0</v>
      </c>
      <c r="N28" s="140">
        <f>Anchor!V277</f>
        <v>0</v>
      </c>
      <c r="O28" s="140">
        <f>Anchor!W277</f>
        <v>0</v>
      </c>
      <c r="P28" s="140">
        <f>Anchor!X277</f>
        <v>0</v>
      </c>
      <c r="Q28" s="142">
        <f>10*LOG10(1/(('Summary (Full)'!$B$41/10^(N28/10)+'Summary (Full)'!$B$42/10^(O28/10)+'Summary (Full)'!$B$43/10^(P28/10))/'Summary (Full)'!$B$44))</f>
        <v>0</v>
      </c>
      <c r="R28" s="140">
        <f>Anchor!Y277</f>
        <v>0</v>
      </c>
      <c r="S28" s="140">
        <f>Anchor!Z277</f>
        <v>0</v>
      </c>
      <c r="U28" s="129">
        <f>Test!L277</f>
        <v>0</v>
      </c>
      <c r="V28" s="129">
        <f>Test!M277</f>
        <v>0</v>
      </c>
      <c r="W28" s="129">
        <f>Test!N277</f>
        <v>0</v>
      </c>
      <c r="X28" s="129">
        <f>Test!O277</f>
        <v>0</v>
      </c>
      <c r="Y28" s="129">
        <f>('Summary (Full)'!$B$34*V28+'Summary (Full)'!$B$35*W28+'Summary (Full)'!$B$36*X28)/'Summary (Full)'!$B$37</f>
        <v>0</v>
      </c>
      <c r="Z28" s="129">
        <f>Test!P277</f>
        <v>0</v>
      </c>
      <c r="AA28" s="129">
        <f>Test!Q277</f>
        <v>0</v>
      </c>
      <c r="AB28" s="129">
        <f>Test!R277</f>
        <v>0</v>
      </c>
      <c r="AC28" s="129">
        <f>Test!S277</f>
        <v>0</v>
      </c>
      <c r="AD28" s="129">
        <f>Test!T277</f>
        <v>0</v>
      </c>
      <c r="AE28" s="129">
        <f>Test!U277</f>
        <v>0</v>
      </c>
      <c r="AF28" s="129">
        <f>Test!V277</f>
        <v>0</v>
      </c>
      <c r="AG28" s="129">
        <f>Test!W277</f>
        <v>0</v>
      </c>
      <c r="AH28" s="129">
        <f>Test!X277</f>
        <v>0</v>
      </c>
      <c r="AI28" s="129">
        <f>10*LOG10(1/(('Summary (Full)'!$B$41/10^(AF28/10)+'Summary (Full)'!$B$42/10^(AG28/10)+'Summary (Full)'!$B$43/10^(AH28/10))/'Summary (Full)'!$B$44))</f>
        <v>0</v>
      </c>
      <c r="AJ28" s="155">
        <f>Test!Y277</f>
        <v>0</v>
      </c>
      <c r="AK28" s="152">
        <f>Test!Z277</f>
        <v>0</v>
      </c>
      <c r="AL28" s="152" t="e">
        <f t="shared" si="2"/>
        <v>#DIV/0!</v>
      </c>
      <c r="AM28" s="152" t="e">
        <f t="shared" si="2"/>
        <v>#DIV/0!</v>
      </c>
      <c r="AO28" s="263"/>
      <c r="AP28" s="173"/>
      <c r="AQ28" s="173"/>
      <c r="AR28" s="173"/>
      <c r="AS28" s="173"/>
      <c r="AT28" s="173"/>
      <c r="AU28" s="173"/>
      <c r="AV28" s="173"/>
      <c r="AW28" s="173"/>
      <c r="AX28" s="173"/>
      <c r="AY28" s="188"/>
      <c r="AZ28" s="287"/>
      <c r="BA28" s="240"/>
      <c r="CK28" s="5"/>
      <c r="EV28" s="166"/>
      <c r="EW28" s="166"/>
      <c r="EX28" s="166"/>
      <c r="EY28" s="166"/>
      <c r="EZ28" s="166"/>
      <c r="FA28" s="166"/>
      <c r="FB28" s="166"/>
      <c r="FC28" s="166"/>
    </row>
    <row r="29" spans="1:159" x14ac:dyDescent="0.15">
      <c r="A29" s="250" t="s">
        <v>9</v>
      </c>
      <c r="B29" s="38">
        <v>110</v>
      </c>
      <c r="C29" s="140">
        <f>Anchor!L278</f>
        <v>0</v>
      </c>
      <c r="D29" s="140">
        <f>Anchor!M278</f>
        <v>0</v>
      </c>
      <c r="E29" s="140">
        <f>Anchor!N278</f>
        <v>0</v>
      </c>
      <c r="F29" s="140">
        <f>Anchor!O278</f>
        <v>0</v>
      </c>
      <c r="G29" s="141">
        <f>('Summary (Full)'!$B$34*D29+'Summary (Full)'!$B$35*E29+'Summary (Full)'!$B$36*F29)/'Summary (Full)'!$B$37</f>
        <v>0</v>
      </c>
      <c r="H29" s="140">
        <f>Anchor!P278</f>
        <v>0</v>
      </c>
      <c r="I29" s="140">
        <f>Anchor!Q278</f>
        <v>0</v>
      </c>
      <c r="J29" s="140">
        <f>Anchor!R278</f>
        <v>0</v>
      </c>
      <c r="K29" s="140">
        <f>Anchor!S278</f>
        <v>0</v>
      </c>
      <c r="L29" s="140">
        <f>Anchor!T278</f>
        <v>0</v>
      </c>
      <c r="M29" s="140">
        <f>Anchor!U278</f>
        <v>0</v>
      </c>
      <c r="N29" s="140">
        <f>Anchor!V278</f>
        <v>0</v>
      </c>
      <c r="O29" s="140">
        <f>Anchor!W278</f>
        <v>0</v>
      </c>
      <c r="P29" s="140">
        <f>Anchor!X278</f>
        <v>0</v>
      </c>
      <c r="Q29" s="142">
        <f>10*LOG10(1/(('Summary (Full)'!$B$41/10^(N29/10)+'Summary (Full)'!$B$42/10^(O29/10)+'Summary (Full)'!$B$43/10^(P29/10))/'Summary (Full)'!$B$44))</f>
        <v>0</v>
      </c>
      <c r="R29" s="140">
        <f>Anchor!Y278</f>
        <v>0</v>
      </c>
      <c r="S29" s="140">
        <f>Anchor!Z278</f>
        <v>0</v>
      </c>
      <c r="U29" s="129">
        <f>Test!L278</f>
        <v>0</v>
      </c>
      <c r="V29" s="129">
        <f>Test!M278</f>
        <v>0</v>
      </c>
      <c r="W29" s="129">
        <f>Test!N278</f>
        <v>0</v>
      </c>
      <c r="X29" s="129">
        <f>Test!O278</f>
        <v>0</v>
      </c>
      <c r="Y29" s="129">
        <f>('Summary (Full)'!$B$34*V29+'Summary (Full)'!$B$35*W29+'Summary (Full)'!$B$36*X29)/'Summary (Full)'!$B$37</f>
        <v>0</v>
      </c>
      <c r="Z29" s="129">
        <f>Test!P278</f>
        <v>0</v>
      </c>
      <c r="AA29" s="129">
        <f>Test!Q278</f>
        <v>0</v>
      </c>
      <c r="AB29" s="129">
        <f>Test!R278</f>
        <v>0</v>
      </c>
      <c r="AC29" s="129">
        <f>Test!S278</f>
        <v>0</v>
      </c>
      <c r="AD29" s="129">
        <f>Test!T278</f>
        <v>0</v>
      </c>
      <c r="AE29" s="129">
        <f>Test!U278</f>
        <v>0</v>
      </c>
      <c r="AF29" s="129">
        <f>Test!V278</f>
        <v>0</v>
      </c>
      <c r="AG29" s="129">
        <f>Test!W278</f>
        <v>0</v>
      </c>
      <c r="AH29" s="129">
        <f>Test!X278</f>
        <v>0</v>
      </c>
      <c r="AI29" s="129">
        <f>10*LOG10(1/(('Summary (Full)'!$B$41/10^(AF29/10)+'Summary (Full)'!$B$42/10^(AG29/10)+'Summary (Full)'!$B$43/10^(AH29/10))/'Summary (Full)'!$B$44))</f>
        <v>0</v>
      </c>
      <c r="AJ29" s="155">
        <f>Test!Y278</f>
        <v>0</v>
      </c>
      <c r="AK29" s="152">
        <f>Test!Z278</f>
        <v>0</v>
      </c>
      <c r="AL29" s="152" t="e">
        <f t="shared" si="2"/>
        <v>#DIV/0!</v>
      </c>
      <c r="AM29" s="152" t="e">
        <f t="shared" si="2"/>
        <v>#DIV/0!</v>
      </c>
      <c r="AO29" s="253" t="s">
        <v>27</v>
      </c>
      <c r="AP29" s="171" t="e" cm="1">
        <f t="array" ref="AP29">bdRateExtend($C29:$C32,D29:D32,$U29:$U32,V29:V32)</f>
        <v>#VALUE!</v>
      </c>
      <c r="AQ29" s="171" t="e" cm="1">
        <f t="array" ref="AQ29">bdRateExtend($C29:$C34,D29:D34,$U29:$U34,V29:V34)</f>
        <v>#VALUE!</v>
      </c>
      <c r="AR29" s="171" t="e" cm="1">
        <f t="array" ref="AR29">bdRateExtend($C29:$C34,E29:E34,$U29:$U34,W29:W34)</f>
        <v>#VALUE!</v>
      </c>
      <c r="AS29" s="171" t="e" cm="1">
        <f t="array" ref="AS29">bdRateExtend($C29:$C34,F29:F34,$U29:$U34,X29:X34)</f>
        <v>#VALUE!</v>
      </c>
      <c r="AT29" s="171" t="e" cm="1">
        <f t="array" ref="AT29">bdRateExtend($C29:$C32,H29:H32,$U29:$U32,Z29:Z32)</f>
        <v>#VALUE!</v>
      </c>
      <c r="AU29" s="171" t="e" cm="1">
        <f t="array" ref="AU29">bdRateExtend($C29:$C34,H29:H34,$U29:$U34,Z29:Z34)</f>
        <v>#VALUE!</v>
      </c>
      <c r="AV29" s="171" t="e" cm="1">
        <f t="array" ref="AV29">bdRateExtend($C29:$C32,I29:I32,$U29:$U32,AA29:AA32)</f>
        <v>#VALUE!</v>
      </c>
      <c r="AW29" s="171" t="e" cm="1">
        <f t="array" ref="AW29">bdRateExtend($C29:$C34,I29:I34,$U29:$U34,AA29:AA34)</f>
        <v>#VALUE!</v>
      </c>
      <c r="AX29" s="171" t="e" cm="1">
        <f t="array" ref="AX29">bdRateExtend($C29:$C32,J29:J32,$U29:$U32,AB29:AB32,"None", FALSE,1)</f>
        <v>#VALUE!</v>
      </c>
      <c r="AY29" s="174" t="e" cm="1">
        <f t="array" ref="AY29">bdRateExtend($C29:$C34,J29:J34,$U29:$U34,AB29:AB34,"None", FALSE,TRUE)</f>
        <v>#VALUE!</v>
      </c>
      <c r="AZ29" s="285" cm="1">
        <f t="array" ref="AZ29">testVMAFRange($C29:$C32,J29:J32,$U29:$U32,AB29:AB32)</f>
        <v>0</v>
      </c>
      <c r="BA29" s="211" cm="1">
        <f t="array" ref="BA29">testVMAFRange($C29:$C34,J29:J34,$U29:$U34,AB29:AB34)</f>
        <v>0</v>
      </c>
      <c r="CK29" s="5"/>
      <c r="EV29" s="166"/>
      <c r="EW29" s="166"/>
      <c r="EX29" s="166"/>
      <c r="EY29" s="166"/>
      <c r="EZ29" s="166"/>
      <c r="FA29" s="166"/>
      <c r="FB29" s="166"/>
      <c r="FC29" s="166"/>
    </row>
    <row r="30" spans="1:159" x14ac:dyDescent="0.15">
      <c r="A30" s="250"/>
      <c r="B30" s="38">
        <v>135</v>
      </c>
      <c r="C30" s="140">
        <f>Anchor!L279</f>
        <v>0</v>
      </c>
      <c r="D30" s="140">
        <f>Anchor!M279</f>
        <v>0</v>
      </c>
      <c r="E30" s="140">
        <f>Anchor!N279</f>
        <v>0</v>
      </c>
      <c r="F30" s="140">
        <f>Anchor!O279</f>
        <v>0</v>
      </c>
      <c r="G30" s="141">
        <f>('Summary (Full)'!$B$34*D30+'Summary (Full)'!$B$35*E30+'Summary (Full)'!$B$36*F30)/'Summary (Full)'!$B$37</f>
        <v>0</v>
      </c>
      <c r="H30" s="140">
        <f>Anchor!P279</f>
        <v>0</v>
      </c>
      <c r="I30" s="140">
        <f>Anchor!Q279</f>
        <v>0</v>
      </c>
      <c r="J30" s="140">
        <f>Anchor!R279</f>
        <v>0</v>
      </c>
      <c r="K30" s="140">
        <f>Anchor!S279</f>
        <v>0</v>
      </c>
      <c r="L30" s="140">
        <f>Anchor!T279</f>
        <v>0</v>
      </c>
      <c r="M30" s="140">
        <f>Anchor!U279</f>
        <v>0</v>
      </c>
      <c r="N30" s="140">
        <f>Anchor!V279</f>
        <v>0</v>
      </c>
      <c r="O30" s="140">
        <f>Anchor!W279</f>
        <v>0</v>
      </c>
      <c r="P30" s="140">
        <f>Anchor!X279</f>
        <v>0</v>
      </c>
      <c r="Q30" s="142">
        <f>10*LOG10(1/(('Summary (Full)'!$B$41/10^(N30/10)+'Summary (Full)'!$B$42/10^(O30/10)+'Summary (Full)'!$B$43/10^(P30/10))/'Summary (Full)'!$B$44))</f>
        <v>0</v>
      </c>
      <c r="R30" s="140">
        <f>Anchor!Y279</f>
        <v>0</v>
      </c>
      <c r="S30" s="140">
        <f>Anchor!Z279</f>
        <v>0</v>
      </c>
      <c r="U30" s="129">
        <f>Test!L279</f>
        <v>0</v>
      </c>
      <c r="V30" s="129">
        <f>Test!M279</f>
        <v>0</v>
      </c>
      <c r="W30" s="129">
        <f>Test!N279</f>
        <v>0</v>
      </c>
      <c r="X30" s="129">
        <f>Test!O279</f>
        <v>0</v>
      </c>
      <c r="Y30" s="129">
        <f>('Summary (Full)'!$B$34*V30+'Summary (Full)'!$B$35*W30+'Summary (Full)'!$B$36*X30)/'Summary (Full)'!$B$37</f>
        <v>0</v>
      </c>
      <c r="Z30" s="129">
        <f>Test!P279</f>
        <v>0</v>
      </c>
      <c r="AA30" s="129">
        <f>Test!Q279</f>
        <v>0</v>
      </c>
      <c r="AB30" s="129">
        <f>Test!R279</f>
        <v>0</v>
      </c>
      <c r="AC30" s="129">
        <f>Test!S279</f>
        <v>0</v>
      </c>
      <c r="AD30" s="129">
        <f>Test!T279</f>
        <v>0</v>
      </c>
      <c r="AE30" s="129">
        <f>Test!U279</f>
        <v>0</v>
      </c>
      <c r="AF30" s="129">
        <f>Test!V279</f>
        <v>0</v>
      </c>
      <c r="AG30" s="129">
        <f>Test!W279</f>
        <v>0</v>
      </c>
      <c r="AH30" s="129">
        <f>Test!X279</f>
        <v>0</v>
      </c>
      <c r="AI30" s="129">
        <f>10*LOG10(1/(('Summary (Full)'!$B$41/10^(AF30/10)+'Summary (Full)'!$B$42/10^(AG30/10)+'Summary (Full)'!$B$43/10^(AH30/10))/'Summary (Full)'!$B$44))</f>
        <v>0</v>
      </c>
      <c r="AJ30" s="155">
        <f>Test!Y279</f>
        <v>0</v>
      </c>
      <c r="AK30" s="152">
        <f>Test!Z279</f>
        <v>0</v>
      </c>
      <c r="AL30" s="152" t="e">
        <f t="shared" si="2"/>
        <v>#DIV/0!</v>
      </c>
      <c r="AM30" s="152" t="e">
        <f t="shared" si="2"/>
        <v>#DIV/0!</v>
      </c>
      <c r="AO30" s="254"/>
      <c r="AP30" s="172"/>
      <c r="AQ30" s="172"/>
      <c r="AR30" s="172"/>
      <c r="AS30" s="172"/>
      <c r="AT30" s="172"/>
      <c r="AU30" s="172"/>
      <c r="AV30" s="172"/>
      <c r="AW30" s="172"/>
      <c r="AX30" s="172"/>
      <c r="AY30" s="175"/>
      <c r="AZ30" s="286"/>
      <c r="BA30" s="212"/>
      <c r="CK30" s="5"/>
      <c r="EV30" s="166"/>
      <c r="EW30" s="166"/>
      <c r="EX30" s="166"/>
      <c r="EY30" s="166"/>
      <c r="EZ30" s="166"/>
      <c r="FA30" s="166"/>
      <c r="FB30" s="166"/>
      <c r="FC30" s="166"/>
    </row>
    <row r="31" spans="1:159" x14ac:dyDescent="0.15">
      <c r="A31" s="250"/>
      <c r="B31" s="38">
        <v>160</v>
      </c>
      <c r="C31" s="140">
        <f>Anchor!L280</f>
        <v>0</v>
      </c>
      <c r="D31" s="140">
        <f>Anchor!M280</f>
        <v>0</v>
      </c>
      <c r="E31" s="140">
        <f>Anchor!N280</f>
        <v>0</v>
      </c>
      <c r="F31" s="140">
        <f>Anchor!O280</f>
        <v>0</v>
      </c>
      <c r="G31" s="141">
        <f>('Summary (Full)'!$B$34*D31+'Summary (Full)'!$B$35*E31+'Summary (Full)'!$B$36*F31)/'Summary (Full)'!$B$37</f>
        <v>0</v>
      </c>
      <c r="H31" s="140">
        <f>Anchor!P280</f>
        <v>0</v>
      </c>
      <c r="I31" s="140">
        <f>Anchor!Q280</f>
        <v>0</v>
      </c>
      <c r="J31" s="140">
        <f>Anchor!R280</f>
        <v>0</v>
      </c>
      <c r="K31" s="140">
        <f>Anchor!S280</f>
        <v>0</v>
      </c>
      <c r="L31" s="140">
        <f>Anchor!T280</f>
        <v>0</v>
      </c>
      <c r="M31" s="140">
        <f>Anchor!U280</f>
        <v>0</v>
      </c>
      <c r="N31" s="140">
        <f>Anchor!V280</f>
        <v>0</v>
      </c>
      <c r="O31" s="140">
        <f>Anchor!W280</f>
        <v>0</v>
      </c>
      <c r="P31" s="140">
        <f>Anchor!X280</f>
        <v>0</v>
      </c>
      <c r="Q31" s="142">
        <f>10*LOG10(1/(('Summary (Full)'!$B$41/10^(N31/10)+'Summary (Full)'!$B$42/10^(O31/10)+'Summary (Full)'!$B$43/10^(P31/10))/'Summary (Full)'!$B$44))</f>
        <v>0</v>
      </c>
      <c r="R31" s="140">
        <f>Anchor!Y280</f>
        <v>0</v>
      </c>
      <c r="S31" s="140">
        <f>Anchor!Z280</f>
        <v>0</v>
      </c>
      <c r="U31" s="129">
        <f>Test!L280</f>
        <v>0</v>
      </c>
      <c r="V31" s="129">
        <f>Test!M280</f>
        <v>0</v>
      </c>
      <c r="W31" s="129">
        <f>Test!N280</f>
        <v>0</v>
      </c>
      <c r="X31" s="129">
        <f>Test!O280</f>
        <v>0</v>
      </c>
      <c r="Y31" s="129">
        <f>('Summary (Full)'!$B$34*V31+'Summary (Full)'!$B$35*W31+'Summary (Full)'!$B$36*X31)/'Summary (Full)'!$B$37</f>
        <v>0</v>
      </c>
      <c r="Z31" s="129">
        <f>Test!P280</f>
        <v>0</v>
      </c>
      <c r="AA31" s="129">
        <f>Test!Q280</f>
        <v>0</v>
      </c>
      <c r="AB31" s="129">
        <f>Test!R280</f>
        <v>0</v>
      </c>
      <c r="AC31" s="129">
        <f>Test!S280</f>
        <v>0</v>
      </c>
      <c r="AD31" s="129">
        <f>Test!T280</f>
        <v>0</v>
      </c>
      <c r="AE31" s="129">
        <f>Test!U280</f>
        <v>0</v>
      </c>
      <c r="AF31" s="129">
        <f>Test!V280</f>
        <v>0</v>
      </c>
      <c r="AG31" s="129">
        <f>Test!W280</f>
        <v>0</v>
      </c>
      <c r="AH31" s="129">
        <f>Test!X280</f>
        <v>0</v>
      </c>
      <c r="AI31" s="129">
        <f>10*LOG10(1/(('Summary (Full)'!$B$41/10^(AF31/10)+'Summary (Full)'!$B$42/10^(AG31/10)+'Summary (Full)'!$B$43/10^(AH31/10))/'Summary (Full)'!$B$44))</f>
        <v>0</v>
      </c>
      <c r="AJ31" s="155">
        <f>Test!Y280</f>
        <v>0</v>
      </c>
      <c r="AK31" s="152">
        <f>Test!Z280</f>
        <v>0</v>
      </c>
      <c r="AL31" s="152" t="e">
        <f t="shared" si="2"/>
        <v>#DIV/0!</v>
      </c>
      <c r="AM31" s="152" t="e">
        <f t="shared" si="2"/>
        <v>#DIV/0!</v>
      </c>
      <c r="AO31" s="254" t="s">
        <v>28</v>
      </c>
      <c r="AP31" s="172" t="e" cm="1">
        <f t="array" ref="AP31">bdRateExtend($C30:$C33,D30:D33,$U30:$U33,V30:V33)</f>
        <v>#VALUE!</v>
      </c>
      <c r="AQ31" s="172"/>
      <c r="AR31" s="172"/>
      <c r="AS31" s="172"/>
      <c r="AT31" s="172" t="e" cm="1">
        <f t="array" ref="AT31">bdRateExtend($C30:$C33,H30:H33,$U30:$U33,Z30:Z33)</f>
        <v>#VALUE!</v>
      </c>
      <c r="AU31" s="172"/>
      <c r="AV31" s="172" t="e" cm="1">
        <f t="array" ref="AV31">bdRateExtend($C30:$C33,I30:I33,$U30:$U33,AA30:AA33)</f>
        <v>#VALUE!</v>
      </c>
      <c r="AW31" s="172"/>
      <c r="AX31" s="172" t="e" cm="1">
        <f t="array" ref="AX31">bdRateExtend($C30:$C33,J30:J33,$U30:$U33,AB30:AB33,"None", FALSE,1)</f>
        <v>#VALUE!</v>
      </c>
      <c r="AY31" s="175"/>
      <c r="AZ31" s="286" cm="1">
        <f t="array" ref="AZ31">testVMAFRange($C30:$C33,J30:J33,$U30:$U33,AB30:AB33)</f>
        <v>0</v>
      </c>
      <c r="BA31" s="212"/>
      <c r="CK31" s="5"/>
      <c r="EV31" s="166"/>
      <c r="EW31" s="166"/>
      <c r="EX31" s="166"/>
      <c r="EY31" s="166"/>
      <c r="EZ31" s="166"/>
      <c r="FA31" s="166"/>
      <c r="FB31" s="166"/>
      <c r="FC31" s="166"/>
    </row>
    <row r="32" spans="1:159" x14ac:dyDescent="0.15">
      <c r="A32" s="250"/>
      <c r="B32" s="38">
        <v>185</v>
      </c>
      <c r="C32" s="140">
        <f>Anchor!L281</f>
        <v>0</v>
      </c>
      <c r="D32" s="140">
        <f>Anchor!M281</f>
        <v>0</v>
      </c>
      <c r="E32" s="140">
        <f>Anchor!N281</f>
        <v>0</v>
      </c>
      <c r="F32" s="140">
        <f>Anchor!O281</f>
        <v>0</v>
      </c>
      <c r="G32" s="141">
        <f>('Summary (Full)'!$B$34*D32+'Summary (Full)'!$B$35*E32+'Summary (Full)'!$B$36*F32)/'Summary (Full)'!$B$37</f>
        <v>0</v>
      </c>
      <c r="H32" s="140">
        <f>Anchor!P281</f>
        <v>0</v>
      </c>
      <c r="I32" s="140">
        <f>Anchor!Q281</f>
        <v>0</v>
      </c>
      <c r="J32" s="140">
        <f>Anchor!R281</f>
        <v>0</v>
      </c>
      <c r="K32" s="140">
        <f>Anchor!S281</f>
        <v>0</v>
      </c>
      <c r="L32" s="140">
        <f>Anchor!T281</f>
        <v>0</v>
      </c>
      <c r="M32" s="140">
        <f>Anchor!U281</f>
        <v>0</v>
      </c>
      <c r="N32" s="140">
        <f>Anchor!V281</f>
        <v>0</v>
      </c>
      <c r="O32" s="140">
        <f>Anchor!W281</f>
        <v>0</v>
      </c>
      <c r="P32" s="140">
        <f>Anchor!X281</f>
        <v>0</v>
      </c>
      <c r="Q32" s="142">
        <f>10*LOG10(1/(('Summary (Full)'!$B$41/10^(N32/10)+'Summary (Full)'!$B$42/10^(O32/10)+'Summary (Full)'!$B$43/10^(P32/10))/'Summary (Full)'!$B$44))</f>
        <v>0</v>
      </c>
      <c r="R32" s="140">
        <f>Anchor!Y281</f>
        <v>0</v>
      </c>
      <c r="S32" s="140">
        <f>Anchor!Z281</f>
        <v>0</v>
      </c>
      <c r="U32" s="129">
        <f>Test!L281</f>
        <v>0</v>
      </c>
      <c r="V32" s="129">
        <f>Test!M281</f>
        <v>0</v>
      </c>
      <c r="W32" s="129">
        <f>Test!N281</f>
        <v>0</v>
      </c>
      <c r="X32" s="129">
        <f>Test!O281</f>
        <v>0</v>
      </c>
      <c r="Y32" s="129">
        <f>('Summary (Full)'!$B$34*V32+'Summary (Full)'!$B$35*W32+'Summary (Full)'!$B$36*X32)/'Summary (Full)'!$B$37</f>
        <v>0</v>
      </c>
      <c r="Z32" s="129">
        <f>Test!P281</f>
        <v>0</v>
      </c>
      <c r="AA32" s="129">
        <f>Test!Q281</f>
        <v>0</v>
      </c>
      <c r="AB32" s="129">
        <f>Test!R281</f>
        <v>0</v>
      </c>
      <c r="AC32" s="129">
        <f>Test!S281</f>
        <v>0</v>
      </c>
      <c r="AD32" s="129">
        <f>Test!T281</f>
        <v>0</v>
      </c>
      <c r="AE32" s="129">
        <f>Test!U281</f>
        <v>0</v>
      </c>
      <c r="AF32" s="129">
        <f>Test!V281</f>
        <v>0</v>
      </c>
      <c r="AG32" s="129">
        <f>Test!W281</f>
        <v>0</v>
      </c>
      <c r="AH32" s="129">
        <f>Test!X281</f>
        <v>0</v>
      </c>
      <c r="AI32" s="129">
        <f>10*LOG10(1/(('Summary (Full)'!$B$41/10^(AF32/10)+'Summary (Full)'!$B$42/10^(AG32/10)+'Summary (Full)'!$B$43/10^(AH32/10))/'Summary (Full)'!$B$44))</f>
        <v>0</v>
      </c>
      <c r="AJ32" s="155">
        <f>Test!Y281</f>
        <v>0</v>
      </c>
      <c r="AK32" s="152">
        <f>Test!Z281</f>
        <v>0</v>
      </c>
      <c r="AL32" s="152" t="e">
        <f t="shared" si="2"/>
        <v>#DIV/0!</v>
      </c>
      <c r="AM32" s="152" t="e">
        <f t="shared" si="2"/>
        <v>#DIV/0!</v>
      </c>
      <c r="AO32" s="254"/>
      <c r="AP32" s="172"/>
      <c r="AQ32" s="172"/>
      <c r="AR32" s="172"/>
      <c r="AS32" s="172"/>
      <c r="AT32" s="172"/>
      <c r="AU32" s="172"/>
      <c r="AV32" s="172"/>
      <c r="AW32" s="172"/>
      <c r="AX32" s="172"/>
      <c r="AY32" s="175"/>
      <c r="AZ32" s="286"/>
      <c r="BA32" s="212"/>
      <c r="CC32" s="133"/>
      <c r="CE32" s="119"/>
      <c r="CF32" s="119"/>
      <c r="CK32" s="5"/>
      <c r="EV32" s="166"/>
      <c r="EW32" s="166"/>
      <c r="EX32" s="166"/>
      <c r="EY32" s="166"/>
      <c r="EZ32" s="166"/>
      <c r="FA32" s="166"/>
      <c r="FB32" s="166"/>
      <c r="FC32" s="166"/>
    </row>
    <row r="33" spans="1:159" x14ac:dyDescent="0.15">
      <c r="A33" s="250"/>
      <c r="B33" s="38">
        <v>210</v>
      </c>
      <c r="C33" s="140">
        <f>Anchor!L282</f>
        <v>0</v>
      </c>
      <c r="D33" s="140">
        <f>Anchor!M282</f>
        <v>0</v>
      </c>
      <c r="E33" s="140">
        <f>Anchor!N282</f>
        <v>0</v>
      </c>
      <c r="F33" s="140">
        <f>Anchor!O282</f>
        <v>0</v>
      </c>
      <c r="G33" s="141">
        <f>('Summary (Full)'!$B$34*D33+'Summary (Full)'!$B$35*E33+'Summary (Full)'!$B$36*F33)/'Summary (Full)'!$B$37</f>
        <v>0</v>
      </c>
      <c r="H33" s="140">
        <f>Anchor!P282</f>
        <v>0</v>
      </c>
      <c r="I33" s="140">
        <f>Anchor!Q282</f>
        <v>0</v>
      </c>
      <c r="J33" s="140">
        <f>Anchor!R282</f>
        <v>0</v>
      </c>
      <c r="K33" s="140">
        <f>Anchor!S282</f>
        <v>0</v>
      </c>
      <c r="L33" s="140">
        <f>Anchor!T282</f>
        <v>0</v>
      </c>
      <c r="M33" s="140">
        <f>Anchor!U282</f>
        <v>0</v>
      </c>
      <c r="N33" s="140">
        <f>Anchor!V282</f>
        <v>0</v>
      </c>
      <c r="O33" s="140">
        <f>Anchor!W282</f>
        <v>0</v>
      </c>
      <c r="P33" s="140">
        <f>Anchor!X282</f>
        <v>0</v>
      </c>
      <c r="Q33" s="142">
        <f>10*LOG10(1/(('Summary (Full)'!$B$41/10^(N33/10)+'Summary (Full)'!$B$42/10^(O33/10)+'Summary (Full)'!$B$43/10^(P33/10))/'Summary (Full)'!$B$44))</f>
        <v>0</v>
      </c>
      <c r="R33" s="140">
        <f>Anchor!Y282</f>
        <v>0</v>
      </c>
      <c r="S33" s="140">
        <f>Anchor!Z282</f>
        <v>0</v>
      </c>
      <c r="U33" s="129">
        <f>Test!L282</f>
        <v>0</v>
      </c>
      <c r="V33" s="129">
        <f>Test!M282</f>
        <v>0</v>
      </c>
      <c r="W33" s="129">
        <f>Test!N282</f>
        <v>0</v>
      </c>
      <c r="X33" s="129">
        <f>Test!O282</f>
        <v>0</v>
      </c>
      <c r="Y33" s="129">
        <f>('Summary (Full)'!$B$34*V33+'Summary (Full)'!$B$35*W33+'Summary (Full)'!$B$36*X33)/'Summary (Full)'!$B$37</f>
        <v>0</v>
      </c>
      <c r="Z33" s="129">
        <f>Test!P282</f>
        <v>0</v>
      </c>
      <c r="AA33" s="129">
        <f>Test!Q282</f>
        <v>0</v>
      </c>
      <c r="AB33" s="129">
        <f>Test!R282</f>
        <v>0</v>
      </c>
      <c r="AC33" s="129">
        <f>Test!S282</f>
        <v>0</v>
      </c>
      <c r="AD33" s="129">
        <f>Test!T282</f>
        <v>0</v>
      </c>
      <c r="AE33" s="129">
        <f>Test!U282</f>
        <v>0</v>
      </c>
      <c r="AF33" s="129">
        <f>Test!V282</f>
        <v>0</v>
      </c>
      <c r="AG33" s="129">
        <f>Test!W282</f>
        <v>0</v>
      </c>
      <c r="AH33" s="129">
        <f>Test!X282</f>
        <v>0</v>
      </c>
      <c r="AI33" s="129">
        <f>10*LOG10(1/(('Summary (Full)'!$B$41/10^(AF33/10)+'Summary (Full)'!$B$42/10^(AG33/10)+'Summary (Full)'!$B$43/10^(AH33/10))/'Summary (Full)'!$B$44))</f>
        <v>0</v>
      </c>
      <c r="AJ33" s="155">
        <f>Test!Y282</f>
        <v>0</v>
      </c>
      <c r="AK33" s="152">
        <f>Test!Z282</f>
        <v>0</v>
      </c>
      <c r="AL33" s="152" t="e">
        <f t="shared" si="2"/>
        <v>#DIV/0!</v>
      </c>
      <c r="AM33" s="152" t="e">
        <f t="shared" si="2"/>
        <v>#DIV/0!</v>
      </c>
      <c r="AO33" s="254" t="s">
        <v>29</v>
      </c>
      <c r="AP33" s="172" t="e" cm="1">
        <f t="array" ref="AP33">bdRateExtend($C31:$C34,D31:D34,$U31:$U34,V31:V34)</f>
        <v>#VALUE!</v>
      </c>
      <c r="AQ33" s="172"/>
      <c r="AR33" s="172"/>
      <c r="AS33" s="172"/>
      <c r="AT33" s="172" t="e" cm="1">
        <f t="array" ref="AT33">bdRateExtend($C31:$C34,H31:H34,$U31:$U34,Z31:Z34)</f>
        <v>#VALUE!</v>
      </c>
      <c r="AU33" s="172"/>
      <c r="AV33" s="172" t="e" cm="1">
        <f t="array" ref="AV33">bdRateExtend($C31:$C34,I31:I34,$U31:$U34,AA31:AA34)</f>
        <v>#VALUE!</v>
      </c>
      <c r="AW33" s="172"/>
      <c r="AX33" s="172" t="e" cm="1">
        <f t="array" ref="AX33">bdRateExtend($C31:$C34,J31:J34,$U31:$U34,AB31:AB34,"None", FALSE,1)</f>
        <v>#VALUE!</v>
      </c>
      <c r="AY33" s="175"/>
      <c r="AZ33" s="286" cm="1">
        <f t="array" ref="AZ33">testVMAFRange($C31:$C34,J31:J34,$U31:$U34,AB31:AB34)</f>
        <v>0</v>
      </c>
      <c r="BA33" s="212"/>
      <c r="CE33" s="119"/>
      <c r="CF33" s="119"/>
      <c r="CK33" s="5"/>
      <c r="EV33" s="166"/>
      <c r="EW33" s="166"/>
      <c r="EX33" s="166"/>
      <c r="EY33" s="166"/>
      <c r="EZ33" s="166"/>
      <c r="FA33" s="166"/>
      <c r="FB33" s="166"/>
      <c r="FC33" s="166"/>
    </row>
    <row r="34" spans="1:159" ht="14" thickBot="1" x14ac:dyDescent="0.2">
      <c r="A34" s="250"/>
      <c r="B34" s="38">
        <v>235</v>
      </c>
      <c r="C34" s="140">
        <f>Anchor!L283</f>
        <v>0</v>
      </c>
      <c r="D34" s="140">
        <f>Anchor!M283</f>
        <v>0</v>
      </c>
      <c r="E34" s="140">
        <f>Anchor!N283</f>
        <v>0</v>
      </c>
      <c r="F34" s="140">
        <f>Anchor!O283</f>
        <v>0</v>
      </c>
      <c r="G34" s="141">
        <f>('Summary (Full)'!$B$34*D34+'Summary (Full)'!$B$35*E34+'Summary (Full)'!$B$36*F34)/'Summary (Full)'!$B$37</f>
        <v>0</v>
      </c>
      <c r="H34" s="140">
        <f>Anchor!P283</f>
        <v>0</v>
      </c>
      <c r="I34" s="140">
        <f>Anchor!Q283</f>
        <v>0</v>
      </c>
      <c r="J34" s="140">
        <f>Anchor!R283</f>
        <v>0</v>
      </c>
      <c r="K34" s="140">
        <f>Anchor!S283</f>
        <v>0</v>
      </c>
      <c r="L34" s="140">
        <f>Anchor!T283</f>
        <v>0</v>
      </c>
      <c r="M34" s="140">
        <f>Anchor!U283</f>
        <v>0</v>
      </c>
      <c r="N34" s="140">
        <f>Anchor!V283</f>
        <v>0</v>
      </c>
      <c r="O34" s="140">
        <f>Anchor!W283</f>
        <v>0</v>
      </c>
      <c r="P34" s="140">
        <f>Anchor!X283</f>
        <v>0</v>
      </c>
      <c r="Q34" s="142">
        <f>10*LOG10(1/(('Summary (Full)'!$B$41/10^(N34/10)+'Summary (Full)'!$B$42/10^(O34/10)+'Summary (Full)'!$B$43/10^(P34/10))/'Summary (Full)'!$B$44))</f>
        <v>0</v>
      </c>
      <c r="R34" s="140">
        <f>Anchor!Y283</f>
        <v>0</v>
      </c>
      <c r="S34" s="140">
        <f>Anchor!Z283</f>
        <v>0</v>
      </c>
      <c r="U34" s="129">
        <f>Test!L283</f>
        <v>0</v>
      </c>
      <c r="V34" s="129">
        <f>Test!M283</f>
        <v>0</v>
      </c>
      <c r="W34" s="129">
        <f>Test!N283</f>
        <v>0</v>
      </c>
      <c r="X34" s="129">
        <f>Test!O283</f>
        <v>0</v>
      </c>
      <c r="Y34" s="129">
        <f>('Summary (Full)'!$B$34*V34+'Summary (Full)'!$B$35*W34+'Summary (Full)'!$B$36*X34)/'Summary (Full)'!$B$37</f>
        <v>0</v>
      </c>
      <c r="Z34" s="129">
        <f>Test!P283</f>
        <v>0</v>
      </c>
      <c r="AA34" s="129">
        <f>Test!Q283</f>
        <v>0</v>
      </c>
      <c r="AB34" s="129">
        <f>Test!R283</f>
        <v>0</v>
      </c>
      <c r="AC34" s="129">
        <f>Test!S283</f>
        <v>0</v>
      </c>
      <c r="AD34" s="129">
        <f>Test!T283</f>
        <v>0</v>
      </c>
      <c r="AE34" s="129">
        <f>Test!U283</f>
        <v>0</v>
      </c>
      <c r="AF34" s="129">
        <f>Test!V283</f>
        <v>0</v>
      </c>
      <c r="AG34" s="129">
        <f>Test!W283</f>
        <v>0</v>
      </c>
      <c r="AH34" s="129">
        <f>Test!X283</f>
        <v>0</v>
      </c>
      <c r="AI34" s="129">
        <f>10*LOG10(1/(('Summary (Full)'!$B$41/10^(AF34/10)+'Summary (Full)'!$B$42/10^(AG34/10)+'Summary (Full)'!$B$43/10^(AH34/10))/'Summary (Full)'!$B$44))</f>
        <v>0</v>
      </c>
      <c r="AJ34" s="155">
        <f>Test!Y283</f>
        <v>0</v>
      </c>
      <c r="AK34" s="152">
        <f>Test!Z283</f>
        <v>0</v>
      </c>
      <c r="AL34" s="152" t="e">
        <f t="shared" si="2"/>
        <v>#DIV/0!</v>
      </c>
      <c r="AM34" s="152" t="e">
        <f t="shared" si="2"/>
        <v>#DIV/0!</v>
      </c>
      <c r="AO34" s="263"/>
      <c r="AP34" s="173"/>
      <c r="AQ34" s="173"/>
      <c r="AR34" s="173"/>
      <c r="AS34" s="173"/>
      <c r="AT34" s="173"/>
      <c r="AU34" s="173"/>
      <c r="AV34" s="173"/>
      <c r="AW34" s="173"/>
      <c r="AX34" s="173"/>
      <c r="AY34" s="188"/>
      <c r="AZ34" s="287"/>
      <c r="BA34" s="240"/>
      <c r="CE34" s="119"/>
      <c r="CF34" s="119"/>
      <c r="CK34" s="5"/>
      <c r="EV34" s="166"/>
      <c r="EW34" s="166"/>
      <c r="EX34" s="166"/>
      <c r="EY34" s="166"/>
      <c r="EZ34" s="166"/>
      <c r="FA34" s="166"/>
      <c r="FB34" s="166"/>
      <c r="FC34" s="166"/>
    </row>
    <row r="35" spans="1:159" x14ac:dyDescent="0.15">
      <c r="A35" s="250" t="s">
        <v>20</v>
      </c>
      <c r="B35" s="38">
        <v>110</v>
      </c>
      <c r="C35" s="140">
        <f>Anchor!L284</f>
        <v>0</v>
      </c>
      <c r="D35" s="140">
        <f>Anchor!M284</f>
        <v>0</v>
      </c>
      <c r="E35" s="140">
        <f>Anchor!N284</f>
        <v>0</v>
      </c>
      <c r="F35" s="140">
        <f>Anchor!O284</f>
        <v>0</v>
      </c>
      <c r="G35" s="141">
        <f>('Summary (Full)'!$B$34*D35+'Summary (Full)'!$B$35*E35+'Summary (Full)'!$B$36*F35)/'Summary (Full)'!$B$37</f>
        <v>0</v>
      </c>
      <c r="H35" s="140">
        <f>Anchor!P284</f>
        <v>0</v>
      </c>
      <c r="I35" s="140">
        <f>Anchor!Q284</f>
        <v>0</v>
      </c>
      <c r="J35" s="140">
        <f>Anchor!R284</f>
        <v>0</v>
      </c>
      <c r="K35" s="140">
        <f>Anchor!S284</f>
        <v>0</v>
      </c>
      <c r="L35" s="140">
        <f>Anchor!T284</f>
        <v>0</v>
      </c>
      <c r="M35" s="140">
        <f>Anchor!U284</f>
        <v>0</v>
      </c>
      <c r="N35" s="140">
        <f>Anchor!V284</f>
        <v>0</v>
      </c>
      <c r="O35" s="140">
        <f>Anchor!W284</f>
        <v>0</v>
      </c>
      <c r="P35" s="140">
        <f>Anchor!X284</f>
        <v>0</v>
      </c>
      <c r="Q35" s="142">
        <f>10*LOG10(1/(('Summary (Full)'!$B$41/10^(N35/10)+'Summary (Full)'!$B$42/10^(O35/10)+'Summary (Full)'!$B$43/10^(P35/10))/'Summary (Full)'!$B$44))</f>
        <v>0</v>
      </c>
      <c r="R35" s="140">
        <f>Anchor!Y284</f>
        <v>0</v>
      </c>
      <c r="S35" s="140">
        <f>Anchor!Z284</f>
        <v>0</v>
      </c>
      <c r="U35" s="129">
        <f>Test!L284</f>
        <v>0</v>
      </c>
      <c r="V35" s="129">
        <f>Test!M284</f>
        <v>0</v>
      </c>
      <c r="W35" s="129">
        <f>Test!N284</f>
        <v>0</v>
      </c>
      <c r="X35" s="129">
        <f>Test!O284</f>
        <v>0</v>
      </c>
      <c r="Y35" s="129">
        <f>('Summary (Full)'!$B$34*V35+'Summary (Full)'!$B$35*W35+'Summary (Full)'!$B$36*X35)/'Summary (Full)'!$B$37</f>
        <v>0</v>
      </c>
      <c r="Z35" s="129">
        <f>Test!P284</f>
        <v>0</v>
      </c>
      <c r="AA35" s="129">
        <f>Test!Q284</f>
        <v>0</v>
      </c>
      <c r="AB35" s="129">
        <f>Test!R284</f>
        <v>0</v>
      </c>
      <c r="AC35" s="129">
        <f>Test!S284</f>
        <v>0</v>
      </c>
      <c r="AD35" s="129">
        <f>Test!T284</f>
        <v>0</v>
      </c>
      <c r="AE35" s="129">
        <f>Test!U284</f>
        <v>0</v>
      </c>
      <c r="AF35" s="129">
        <f>Test!V284</f>
        <v>0</v>
      </c>
      <c r="AG35" s="129">
        <f>Test!W284</f>
        <v>0</v>
      </c>
      <c r="AH35" s="129">
        <f>Test!X284</f>
        <v>0</v>
      </c>
      <c r="AI35" s="129">
        <f>10*LOG10(1/(('Summary (Full)'!$B$41/10^(AF35/10)+'Summary (Full)'!$B$42/10^(AG35/10)+'Summary (Full)'!$B$43/10^(AH35/10))/'Summary (Full)'!$B$44))</f>
        <v>0</v>
      </c>
      <c r="AJ35" s="155">
        <f>Test!Y284</f>
        <v>0</v>
      </c>
      <c r="AK35" s="152">
        <f>Test!Z284</f>
        <v>0</v>
      </c>
      <c r="AL35" s="152" t="e">
        <f t="shared" si="2"/>
        <v>#DIV/0!</v>
      </c>
      <c r="AM35" s="152" t="e">
        <f t="shared" si="2"/>
        <v>#DIV/0!</v>
      </c>
      <c r="AO35" s="253" t="s">
        <v>27</v>
      </c>
      <c r="AP35" s="171" t="e" cm="1">
        <f t="array" ref="AP35">bdRateExtend($C35:$C38,D35:D38,$U35:$U38,V35:V38)</f>
        <v>#VALUE!</v>
      </c>
      <c r="AQ35" s="171" t="e" cm="1">
        <f t="array" ref="AQ35">bdRateExtend($C35:$C40,D35:D40,$U35:$U40,V35:V40)</f>
        <v>#VALUE!</v>
      </c>
      <c r="AR35" s="171" t="e" cm="1">
        <f t="array" ref="AR35">bdRateExtend($C35:$C40,E35:E40,$U35:$U40,W35:W40)</f>
        <v>#VALUE!</v>
      </c>
      <c r="AS35" s="171" t="e" cm="1">
        <f t="array" ref="AS35">bdRateExtend($C35:$C40,F35:F40,$U35:$U40,X35:X40)</f>
        <v>#VALUE!</v>
      </c>
      <c r="AT35" s="171" t="e" cm="1">
        <f t="array" ref="AT35">bdRateExtend($C35:$C38,H35:H38,$U35:$U38,Z35:Z38)</f>
        <v>#VALUE!</v>
      </c>
      <c r="AU35" s="171" t="e" cm="1">
        <f t="array" ref="AU35">bdRateExtend($C35:$C40,H35:H40,$U35:$U40,Z35:Z40)</f>
        <v>#VALUE!</v>
      </c>
      <c r="AV35" s="171" t="e" cm="1">
        <f t="array" ref="AV35">bdRateExtend($C35:$C38,I35:I38,$U35:$U38,AA35:AA38)</f>
        <v>#VALUE!</v>
      </c>
      <c r="AW35" s="171" t="e" cm="1">
        <f t="array" ref="AW35">bdRateExtend($C35:$C40,I35:I40,$U35:$U40,AA35:AA40)</f>
        <v>#VALUE!</v>
      </c>
      <c r="AX35" s="171" t="e" cm="1">
        <f t="array" ref="AX35">bdRateExtend($C35:$C38,J35:J38,$U35:$U38,AB35:AB38,"None", FALSE,1)</f>
        <v>#VALUE!</v>
      </c>
      <c r="AY35" s="174" t="e" cm="1">
        <f t="array" ref="AY35">bdRateExtend($C35:$C40,J35:J40,$U35:$U40,AB35:AB40,"None", FALSE,TRUE)</f>
        <v>#VALUE!</v>
      </c>
      <c r="AZ35" s="285" cm="1">
        <f t="array" ref="AZ35">testVMAFRange($C35:$C38,J35:J38,$U35:$U38,AB35:AB38)</f>
        <v>0</v>
      </c>
      <c r="BA35" s="211" cm="1">
        <f t="array" ref="BA35">testVMAFRange($C35:$C40,J35:J40,$U35:$U40,AB35:AB40)</f>
        <v>0</v>
      </c>
      <c r="CE35" s="119"/>
      <c r="CF35" s="119"/>
      <c r="CK35" s="5"/>
      <c r="EV35" s="166"/>
      <c r="EW35" s="166"/>
      <c r="EX35" s="166"/>
      <c r="EY35" s="166"/>
      <c r="EZ35" s="166"/>
      <c r="FA35" s="166"/>
      <c r="FB35" s="166"/>
      <c r="FC35" s="166"/>
    </row>
    <row r="36" spans="1:159" x14ac:dyDescent="0.15">
      <c r="A36" s="250"/>
      <c r="B36" s="38">
        <v>135</v>
      </c>
      <c r="C36" s="140">
        <f>Anchor!L285</f>
        <v>0</v>
      </c>
      <c r="D36" s="140">
        <f>Anchor!M285</f>
        <v>0</v>
      </c>
      <c r="E36" s="140">
        <f>Anchor!N285</f>
        <v>0</v>
      </c>
      <c r="F36" s="140">
        <f>Anchor!O285</f>
        <v>0</v>
      </c>
      <c r="G36" s="141">
        <f>('Summary (Full)'!$B$34*D36+'Summary (Full)'!$B$35*E36+'Summary (Full)'!$B$36*F36)/'Summary (Full)'!$B$37</f>
        <v>0</v>
      </c>
      <c r="H36" s="140">
        <f>Anchor!P285</f>
        <v>0</v>
      </c>
      <c r="I36" s="140">
        <f>Anchor!Q285</f>
        <v>0</v>
      </c>
      <c r="J36" s="140">
        <f>Anchor!R285</f>
        <v>0</v>
      </c>
      <c r="K36" s="140">
        <f>Anchor!S285</f>
        <v>0</v>
      </c>
      <c r="L36" s="140">
        <f>Anchor!T285</f>
        <v>0</v>
      </c>
      <c r="M36" s="140">
        <f>Anchor!U285</f>
        <v>0</v>
      </c>
      <c r="N36" s="140">
        <f>Anchor!V285</f>
        <v>0</v>
      </c>
      <c r="O36" s="140">
        <f>Anchor!W285</f>
        <v>0</v>
      </c>
      <c r="P36" s="140">
        <f>Anchor!X285</f>
        <v>0</v>
      </c>
      <c r="Q36" s="142">
        <f>10*LOG10(1/(('Summary (Full)'!$B$41/10^(N36/10)+'Summary (Full)'!$B$42/10^(O36/10)+'Summary (Full)'!$B$43/10^(P36/10))/'Summary (Full)'!$B$44))</f>
        <v>0</v>
      </c>
      <c r="R36" s="140">
        <f>Anchor!Y285</f>
        <v>0</v>
      </c>
      <c r="S36" s="140">
        <f>Anchor!Z285</f>
        <v>0</v>
      </c>
      <c r="U36" s="129">
        <f>Test!L285</f>
        <v>0</v>
      </c>
      <c r="V36" s="129">
        <f>Test!M285</f>
        <v>0</v>
      </c>
      <c r="W36" s="129">
        <f>Test!N285</f>
        <v>0</v>
      </c>
      <c r="X36" s="129">
        <f>Test!O285</f>
        <v>0</v>
      </c>
      <c r="Y36" s="129">
        <f>('Summary (Full)'!$B$34*V36+'Summary (Full)'!$B$35*W36+'Summary (Full)'!$B$36*X36)/'Summary (Full)'!$B$37</f>
        <v>0</v>
      </c>
      <c r="Z36" s="129">
        <f>Test!P285</f>
        <v>0</v>
      </c>
      <c r="AA36" s="129">
        <f>Test!Q285</f>
        <v>0</v>
      </c>
      <c r="AB36" s="129">
        <f>Test!R285</f>
        <v>0</v>
      </c>
      <c r="AC36" s="129">
        <f>Test!S285</f>
        <v>0</v>
      </c>
      <c r="AD36" s="129">
        <f>Test!T285</f>
        <v>0</v>
      </c>
      <c r="AE36" s="129">
        <f>Test!U285</f>
        <v>0</v>
      </c>
      <c r="AF36" s="129">
        <f>Test!V285</f>
        <v>0</v>
      </c>
      <c r="AG36" s="129">
        <f>Test!W285</f>
        <v>0</v>
      </c>
      <c r="AH36" s="129">
        <f>Test!X285</f>
        <v>0</v>
      </c>
      <c r="AI36" s="129">
        <f>10*LOG10(1/(('Summary (Full)'!$B$41/10^(AF36/10)+'Summary (Full)'!$B$42/10^(AG36/10)+'Summary (Full)'!$B$43/10^(AH36/10))/'Summary (Full)'!$B$44))</f>
        <v>0</v>
      </c>
      <c r="AJ36" s="155">
        <f>Test!Y285</f>
        <v>0</v>
      </c>
      <c r="AK36" s="152">
        <f>Test!Z285</f>
        <v>0</v>
      </c>
      <c r="AL36" s="152" t="e">
        <f t="shared" si="2"/>
        <v>#DIV/0!</v>
      </c>
      <c r="AM36" s="152" t="e">
        <f t="shared" si="2"/>
        <v>#DIV/0!</v>
      </c>
      <c r="AO36" s="254"/>
      <c r="AP36" s="172"/>
      <c r="AQ36" s="172"/>
      <c r="AR36" s="172"/>
      <c r="AS36" s="172"/>
      <c r="AT36" s="172"/>
      <c r="AU36" s="172"/>
      <c r="AV36" s="172"/>
      <c r="AW36" s="172"/>
      <c r="AX36" s="172"/>
      <c r="AY36" s="175"/>
      <c r="AZ36" s="286"/>
      <c r="BA36" s="212"/>
      <c r="CE36" s="119"/>
      <c r="CF36" s="119"/>
      <c r="CK36" s="5"/>
      <c r="EV36" s="166"/>
      <c r="EW36" s="166"/>
      <c r="EX36" s="166"/>
      <c r="EY36" s="166"/>
      <c r="EZ36" s="166"/>
      <c r="FA36" s="166"/>
      <c r="FB36" s="166"/>
      <c r="FC36" s="166"/>
    </row>
    <row r="37" spans="1:159" x14ac:dyDescent="0.15">
      <c r="A37" s="250"/>
      <c r="B37" s="38">
        <v>160</v>
      </c>
      <c r="C37" s="140">
        <f>Anchor!L286</f>
        <v>0</v>
      </c>
      <c r="D37" s="140">
        <f>Anchor!M286</f>
        <v>0</v>
      </c>
      <c r="E37" s="140">
        <f>Anchor!N286</f>
        <v>0</v>
      </c>
      <c r="F37" s="140">
        <f>Anchor!O286</f>
        <v>0</v>
      </c>
      <c r="G37" s="141">
        <f>('Summary (Full)'!$B$34*D37+'Summary (Full)'!$B$35*E37+'Summary (Full)'!$B$36*F37)/'Summary (Full)'!$B$37</f>
        <v>0</v>
      </c>
      <c r="H37" s="140">
        <f>Anchor!P286</f>
        <v>0</v>
      </c>
      <c r="I37" s="140">
        <f>Anchor!Q286</f>
        <v>0</v>
      </c>
      <c r="J37" s="140">
        <f>Anchor!R286</f>
        <v>0</v>
      </c>
      <c r="K37" s="140">
        <f>Anchor!S286</f>
        <v>0</v>
      </c>
      <c r="L37" s="140">
        <f>Anchor!T286</f>
        <v>0</v>
      </c>
      <c r="M37" s="140">
        <f>Anchor!U286</f>
        <v>0</v>
      </c>
      <c r="N37" s="140">
        <f>Anchor!V286</f>
        <v>0</v>
      </c>
      <c r="O37" s="140">
        <f>Anchor!W286</f>
        <v>0</v>
      </c>
      <c r="P37" s="140">
        <f>Anchor!X286</f>
        <v>0</v>
      </c>
      <c r="Q37" s="142">
        <f>10*LOG10(1/(('Summary (Full)'!$B$41/10^(N37/10)+'Summary (Full)'!$B$42/10^(O37/10)+'Summary (Full)'!$B$43/10^(P37/10))/'Summary (Full)'!$B$44))</f>
        <v>0</v>
      </c>
      <c r="R37" s="140">
        <f>Anchor!Y286</f>
        <v>0</v>
      </c>
      <c r="S37" s="140">
        <f>Anchor!Z286</f>
        <v>0</v>
      </c>
      <c r="U37" s="129">
        <f>Test!L286</f>
        <v>0</v>
      </c>
      <c r="V37" s="129">
        <f>Test!M286</f>
        <v>0</v>
      </c>
      <c r="W37" s="129">
        <f>Test!N286</f>
        <v>0</v>
      </c>
      <c r="X37" s="129">
        <f>Test!O286</f>
        <v>0</v>
      </c>
      <c r="Y37" s="129">
        <f>('Summary (Full)'!$B$34*V37+'Summary (Full)'!$B$35*W37+'Summary (Full)'!$B$36*X37)/'Summary (Full)'!$B$37</f>
        <v>0</v>
      </c>
      <c r="Z37" s="129">
        <f>Test!P286</f>
        <v>0</v>
      </c>
      <c r="AA37" s="129">
        <f>Test!Q286</f>
        <v>0</v>
      </c>
      <c r="AB37" s="129">
        <f>Test!R286</f>
        <v>0</v>
      </c>
      <c r="AC37" s="129">
        <f>Test!S286</f>
        <v>0</v>
      </c>
      <c r="AD37" s="129">
        <f>Test!T286</f>
        <v>0</v>
      </c>
      <c r="AE37" s="129">
        <f>Test!U286</f>
        <v>0</v>
      </c>
      <c r="AF37" s="129">
        <f>Test!V286</f>
        <v>0</v>
      </c>
      <c r="AG37" s="129">
        <f>Test!W286</f>
        <v>0</v>
      </c>
      <c r="AH37" s="129">
        <f>Test!X286</f>
        <v>0</v>
      </c>
      <c r="AI37" s="129">
        <f>10*LOG10(1/(('Summary (Full)'!$B$41/10^(AF37/10)+'Summary (Full)'!$B$42/10^(AG37/10)+'Summary (Full)'!$B$43/10^(AH37/10))/'Summary (Full)'!$B$44))</f>
        <v>0</v>
      </c>
      <c r="AJ37" s="155">
        <f>Test!Y286</f>
        <v>0</v>
      </c>
      <c r="AK37" s="152">
        <f>Test!Z286</f>
        <v>0</v>
      </c>
      <c r="AL37" s="152" t="e">
        <f t="shared" si="2"/>
        <v>#DIV/0!</v>
      </c>
      <c r="AM37" s="152" t="e">
        <f t="shared" si="2"/>
        <v>#DIV/0!</v>
      </c>
      <c r="AO37" s="254" t="s">
        <v>28</v>
      </c>
      <c r="AP37" s="172" t="e" cm="1">
        <f t="array" ref="AP37">bdRateExtend($C36:$C39,D36:D39,$U36:$U39,V36:V39)</f>
        <v>#VALUE!</v>
      </c>
      <c r="AQ37" s="172"/>
      <c r="AR37" s="172"/>
      <c r="AS37" s="172"/>
      <c r="AT37" s="172" t="e" cm="1">
        <f t="array" ref="AT37">bdRateExtend($C36:$C39,H36:H39,$U36:$U39,Z36:Z39)</f>
        <v>#VALUE!</v>
      </c>
      <c r="AU37" s="172"/>
      <c r="AV37" s="172" t="e" cm="1">
        <f t="array" ref="AV37">bdRateExtend($C36:$C39,I36:I39,$U36:$U39,AA36:AA39)</f>
        <v>#VALUE!</v>
      </c>
      <c r="AW37" s="172"/>
      <c r="AX37" s="172" t="e" cm="1">
        <f t="array" ref="AX37">bdRateExtend($C36:$C39,J36:J39,$U36:$U39,AB36:AB39,"None", FALSE,1)</f>
        <v>#VALUE!</v>
      </c>
      <c r="AY37" s="175"/>
      <c r="AZ37" s="286" cm="1">
        <f t="array" ref="AZ37">testVMAFRange($C36:$C39,J36:J39,$U36:$U39,AB36:AB39)</f>
        <v>0</v>
      </c>
      <c r="BA37" s="212"/>
      <c r="CE37" s="119"/>
      <c r="CF37" s="119"/>
      <c r="CK37" s="5"/>
      <c r="EV37" s="166"/>
      <c r="EW37" s="166"/>
      <c r="EX37" s="166"/>
      <c r="EY37" s="166"/>
      <c r="EZ37" s="166"/>
      <c r="FA37" s="166"/>
      <c r="FB37" s="166"/>
      <c r="FC37" s="166"/>
    </row>
    <row r="38" spans="1:159" x14ac:dyDescent="0.15">
      <c r="A38" s="250"/>
      <c r="B38" s="38">
        <v>185</v>
      </c>
      <c r="C38" s="140">
        <f>Anchor!L287</f>
        <v>0</v>
      </c>
      <c r="D38" s="140">
        <f>Anchor!M287</f>
        <v>0</v>
      </c>
      <c r="E38" s="140">
        <f>Anchor!N287</f>
        <v>0</v>
      </c>
      <c r="F38" s="140">
        <f>Anchor!O287</f>
        <v>0</v>
      </c>
      <c r="G38" s="141">
        <f>('Summary (Full)'!$B$34*D38+'Summary (Full)'!$B$35*E38+'Summary (Full)'!$B$36*F38)/'Summary (Full)'!$B$37</f>
        <v>0</v>
      </c>
      <c r="H38" s="140">
        <f>Anchor!P287</f>
        <v>0</v>
      </c>
      <c r="I38" s="140">
        <f>Anchor!Q287</f>
        <v>0</v>
      </c>
      <c r="J38" s="140">
        <f>Anchor!R287</f>
        <v>0</v>
      </c>
      <c r="K38" s="140">
        <f>Anchor!S287</f>
        <v>0</v>
      </c>
      <c r="L38" s="140">
        <f>Anchor!T287</f>
        <v>0</v>
      </c>
      <c r="M38" s="140">
        <f>Anchor!U287</f>
        <v>0</v>
      </c>
      <c r="N38" s="140">
        <f>Anchor!V287</f>
        <v>0</v>
      </c>
      <c r="O38" s="140">
        <f>Anchor!W287</f>
        <v>0</v>
      </c>
      <c r="P38" s="140">
        <f>Anchor!X287</f>
        <v>0</v>
      </c>
      <c r="Q38" s="142">
        <f>10*LOG10(1/(('Summary (Full)'!$B$41/10^(N38/10)+'Summary (Full)'!$B$42/10^(O38/10)+'Summary (Full)'!$B$43/10^(P38/10))/'Summary (Full)'!$B$44))</f>
        <v>0</v>
      </c>
      <c r="R38" s="140">
        <f>Anchor!Y287</f>
        <v>0</v>
      </c>
      <c r="S38" s="140">
        <f>Anchor!Z287</f>
        <v>0</v>
      </c>
      <c r="U38" s="129">
        <f>Test!L287</f>
        <v>0</v>
      </c>
      <c r="V38" s="129">
        <f>Test!M287</f>
        <v>0</v>
      </c>
      <c r="W38" s="129">
        <f>Test!N287</f>
        <v>0</v>
      </c>
      <c r="X38" s="129">
        <f>Test!O287</f>
        <v>0</v>
      </c>
      <c r="Y38" s="129">
        <f>('Summary (Full)'!$B$34*V38+'Summary (Full)'!$B$35*W38+'Summary (Full)'!$B$36*X38)/'Summary (Full)'!$B$37</f>
        <v>0</v>
      </c>
      <c r="Z38" s="129">
        <f>Test!P287</f>
        <v>0</v>
      </c>
      <c r="AA38" s="129">
        <f>Test!Q287</f>
        <v>0</v>
      </c>
      <c r="AB38" s="129">
        <f>Test!R287</f>
        <v>0</v>
      </c>
      <c r="AC38" s="129">
        <f>Test!S287</f>
        <v>0</v>
      </c>
      <c r="AD38" s="129">
        <f>Test!T287</f>
        <v>0</v>
      </c>
      <c r="AE38" s="129">
        <f>Test!U287</f>
        <v>0</v>
      </c>
      <c r="AF38" s="129">
        <f>Test!V287</f>
        <v>0</v>
      </c>
      <c r="AG38" s="129">
        <f>Test!W287</f>
        <v>0</v>
      </c>
      <c r="AH38" s="129">
        <f>Test!X287</f>
        <v>0</v>
      </c>
      <c r="AI38" s="129">
        <f>10*LOG10(1/(('Summary (Full)'!$B$41/10^(AF38/10)+'Summary (Full)'!$B$42/10^(AG38/10)+'Summary (Full)'!$B$43/10^(AH38/10))/'Summary (Full)'!$B$44))</f>
        <v>0</v>
      </c>
      <c r="AJ38" s="155">
        <f>Test!Y287</f>
        <v>0</v>
      </c>
      <c r="AK38" s="152">
        <f>Test!Z287</f>
        <v>0</v>
      </c>
      <c r="AL38" s="152" t="e">
        <f t="shared" si="2"/>
        <v>#DIV/0!</v>
      </c>
      <c r="AM38" s="152" t="e">
        <f t="shared" si="2"/>
        <v>#DIV/0!</v>
      </c>
      <c r="AO38" s="254"/>
      <c r="AP38" s="172"/>
      <c r="AQ38" s="172"/>
      <c r="AR38" s="172"/>
      <c r="AS38" s="172"/>
      <c r="AT38" s="172"/>
      <c r="AU38" s="172"/>
      <c r="AV38" s="172"/>
      <c r="AW38" s="172"/>
      <c r="AX38" s="172"/>
      <c r="AY38" s="175"/>
      <c r="AZ38" s="286"/>
      <c r="BA38" s="212"/>
      <c r="CE38" s="119"/>
      <c r="CF38" s="119"/>
      <c r="CK38" s="5"/>
      <c r="EV38" s="166"/>
      <c r="EW38" s="166"/>
      <c r="EX38" s="166"/>
      <c r="EY38" s="166"/>
      <c r="EZ38" s="166"/>
      <c r="FA38" s="166"/>
      <c r="FB38" s="166"/>
      <c r="FC38" s="166"/>
    </row>
    <row r="39" spans="1:159" x14ac:dyDescent="0.15">
      <c r="A39" s="250"/>
      <c r="B39" s="38">
        <v>210</v>
      </c>
      <c r="C39" s="140">
        <f>Anchor!L288</f>
        <v>0</v>
      </c>
      <c r="D39" s="140">
        <f>Anchor!M288</f>
        <v>0</v>
      </c>
      <c r="E39" s="140">
        <f>Anchor!N288</f>
        <v>0</v>
      </c>
      <c r="F39" s="140">
        <f>Anchor!O288</f>
        <v>0</v>
      </c>
      <c r="G39" s="141">
        <f>('Summary (Full)'!$B$34*D39+'Summary (Full)'!$B$35*E39+'Summary (Full)'!$B$36*F39)/'Summary (Full)'!$B$37</f>
        <v>0</v>
      </c>
      <c r="H39" s="140">
        <f>Anchor!P288</f>
        <v>0</v>
      </c>
      <c r="I39" s="140">
        <f>Anchor!Q288</f>
        <v>0</v>
      </c>
      <c r="J39" s="140">
        <f>Anchor!R288</f>
        <v>0</v>
      </c>
      <c r="K39" s="140">
        <f>Anchor!S288</f>
        <v>0</v>
      </c>
      <c r="L39" s="140">
        <f>Anchor!T288</f>
        <v>0</v>
      </c>
      <c r="M39" s="140">
        <f>Anchor!U288</f>
        <v>0</v>
      </c>
      <c r="N39" s="140">
        <f>Anchor!V288</f>
        <v>0</v>
      </c>
      <c r="O39" s="140">
        <f>Anchor!W288</f>
        <v>0</v>
      </c>
      <c r="P39" s="140">
        <f>Anchor!X288</f>
        <v>0</v>
      </c>
      <c r="Q39" s="142">
        <f>10*LOG10(1/(('Summary (Full)'!$B$41/10^(N39/10)+'Summary (Full)'!$B$42/10^(O39/10)+'Summary (Full)'!$B$43/10^(P39/10))/'Summary (Full)'!$B$44))</f>
        <v>0</v>
      </c>
      <c r="R39" s="140">
        <f>Anchor!Y288</f>
        <v>0</v>
      </c>
      <c r="S39" s="140">
        <f>Anchor!Z288</f>
        <v>0</v>
      </c>
      <c r="U39" s="129">
        <f>Test!L288</f>
        <v>0</v>
      </c>
      <c r="V39" s="129">
        <f>Test!M288</f>
        <v>0</v>
      </c>
      <c r="W39" s="129">
        <f>Test!N288</f>
        <v>0</v>
      </c>
      <c r="X39" s="129">
        <f>Test!O288</f>
        <v>0</v>
      </c>
      <c r="Y39" s="129">
        <f>('Summary (Full)'!$B$34*V39+'Summary (Full)'!$B$35*W39+'Summary (Full)'!$B$36*X39)/'Summary (Full)'!$B$37</f>
        <v>0</v>
      </c>
      <c r="Z39" s="129">
        <f>Test!P288</f>
        <v>0</v>
      </c>
      <c r="AA39" s="129">
        <f>Test!Q288</f>
        <v>0</v>
      </c>
      <c r="AB39" s="129">
        <f>Test!R288</f>
        <v>0</v>
      </c>
      <c r="AC39" s="129">
        <f>Test!S288</f>
        <v>0</v>
      </c>
      <c r="AD39" s="129">
        <f>Test!T288</f>
        <v>0</v>
      </c>
      <c r="AE39" s="129">
        <f>Test!U288</f>
        <v>0</v>
      </c>
      <c r="AF39" s="129">
        <f>Test!V288</f>
        <v>0</v>
      </c>
      <c r="AG39" s="129">
        <f>Test!W288</f>
        <v>0</v>
      </c>
      <c r="AH39" s="129">
        <f>Test!X288</f>
        <v>0</v>
      </c>
      <c r="AI39" s="129">
        <f>10*LOG10(1/(('Summary (Full)'!$B$41/10^(AF39/10)+'Summary (Full)'!$B$42/10^(AG39/10)+'Summary (Full)'!$B$43/10^(AH39/10))/'Summary (Full)'!$B$44))</f>
        <v>0</v>
      </c>
      <c r="AJ39" s="155">
        <f>Test!Y288</f>
        <v>0</v>
      </c>
      <c r="AK39" s="152">
        <f>Test!Z288</f>
        <v>0</v>
      </c>
      <c r="AL39" s="152" t="e">
        <f t="shared" si="2"/>
        <v>#DIV/0!</v>
      </c>
      <c r="AM39" s="152" t="e">
        <f t="shared" si="2"/>
        <v>#DIV/0!</v>
      </c>
      <c r="AO39" s="254" t="s">
        <v>29</v>
      </c>
      <c r="AP39" s="172" t="e" cm="1">
        <f t="array" ref="AP39">bdRateExtend($C37:$C40,D37:D40,$U37:$U40,V37:V40)</f>
        <v>#VALUE!</v>
      </c>
      <c r="AQ39" s="172"/>
      <c r="AR39" s="172"/>
      <c r="AS39" s="172"/>
      <c r="AT39" s="172" t="e" cm="1">
        <f t="array" ref="AT39">bdRateExtend($C37:$C40,H37:H40,$U37:$U40,Z37:Z40)</f>
        <v>#VALUE!</v>
      </c>
      <c r="AU39" s="172"/>
      <c r="AV39" s="172" t="e" cm="1">
        <f t="array" ref="AV39">bdRateExtend($C37:$C40,I37:I40,$U37:$U40,AA37:AA40)</f>
        <v>#VALUE!</v>
      </c>
      <c r="AW39" s="172"/>
      <c r="AX39" s="172" t="e" cm="1">
        <f t="array" ref="AX39">bdRateExtend($C37:$C40,J37:J40,$U37:$U40,AB37:AB40,"None", FALSE,1)</f>
        <v>#VALUE!</v>
      </c>
      <c r="AY39" s="175"/>
      <c r="AZ39" s="286" cm="1">
        <f t="array" ref="AZ39">testVMAFRange($C37:$C40,J37:J40,$U37:$U40,AB37:AB40)</f>
        <v>0</v>
      </c>
      <c r="BA39" s="212"/>
      <c r="CE39" s="119"/>
      <c r="CF39" s="119"/>
      <c r="CK39" s="5"/>
      <c r="EV39" s="166"/>
      <c r="EW39" s="166"/>
      <c r="EX39" s="166"/>
      <c r="EY39" s="166"/>
      <c r="EZ39" s="166"/>
      <c r="FA39" s="166"/>
      <c r="FB39" s="166"/>
      <c r="FC39" s="166"/>
    </row>
    <row r="40" spans="1:159" ht="14" thickBot="1" x14ac:dyDescent="0.2">
      <c r="A40" s="250"/>
      <c r="B40" s="38">
        <v>235</v>
      </c>
      <c r="C40" s="140">
        <f>Anchor!L289</f>
        <v>0</v>
      </c>
      <c r="D40" s="140">
        <f>Anchor!M289</f>
        <v>0</v>
      </c>
      <c r="E40" s="140">
        <f>Anchor!N289</f>
        <v>0</v>
      </c>
      <c r="F40" s="140">
        <f>Anchor!O289</f>
        <v>0</v>
      </c>
      <c r="G40" s="141">
        <f>('Summary (Full)'!$B$34*D40+'Summary (Full)'!$B$35*E40+'Summary (Full)'!$B$36*F40)/'Summary (Full)'!$B$37</f>
        <v>0</v>
      </c>
      <c r="H40" s="140">
        <f>Anchor!P289</f>
        <v>0</v>
      </c>
      <c r="I40" s="140">
        <f>Anchor!Q289</f>
        <v>0</v>
      </c>
      <c r="J40" s="140">
        <f>Anchor!R289</f>
        <v>0</v>
      </c>
      <c r="K40" s="140">
        <f>Anchor!S289</f>
        <v>0</v>
      </c>
      <c r="L40" s="140">
        <f>Anchor!T289</f>
        <v>0</v>
      </c>
      <c r="M40" s="140">
        <f>Anchor!U289</f>
        <v>0</v>
      </c>
      <c r="N40" s="140">
        <f>Anchor!V289</f>
        <v>0</v>
      </c>
      <c r="O40" s="140">
        <f>Anchor!W289</f>
        <v>0</v>
      </c>
      <c r="P40" s="140">
        <f>Anchor!X289</f>
        <v>0</v>
      </c>
      <c r="Q40" s="142">
        <f>10*LOG10(1/(('Summary (Full)'!$B$41/10^(N40/10)+'Summary (Full)'!$B$42/10^(O40/10)+'Summary (Full)'!$B$43/10^(P40/10))/'Summary (Full)'!$B$44))</f>
        <v>0</v>
      </c>
      <c r="R40" s="140">
        <f>Anchor!Y289</f>
        <v>0</v>
      </c>
      <c r="S40" s="140">
        <f>Anchor!Z289</f>
        <v>0</v>
      </c>
      <c r="U40" s="129">
        <f>Test!L289</f>
        <v>0</v>
      </c>
      <c r="V40" s="129">
        <f>Test!M289</f>
        <v>0</v>
      </c>
      <c r="W40" s="129">
        <f>Test!N289</f>
        <v>0</v>
      </c>
      <c r="X40" s="129">
        <f>Test!O289</f>
        <v>0</v>
      </c>
      <c r="Y40" s="129">
        <f>('Summary (Full)'!$B$34*V40+'Summary (Full)'!$B$35*W40+'Summary (Full)'!$B$36*X40)/'Summary (Full)'!$B$37</f>
        <v>0</v>
      </c>
      <c r="Z40" s="129">
        <f>Test!P289</f>
        <v>0</v>
      </c>
      <c r="AA40" s="129">
        <f>Test!Q289</f>
        <v>0</v>
      </c>
      <c r="AB40" s="129">
        <f>Test!R289</f>
        <v>0</v>
      </c>
      <c r="AC40" s="129">
        <f>Test!S289</f>
        <v>0</v>
      </c>
      <c r="AD40" s="129">
        <f>Test!T289</f>
        <v>0</v>
      </c>
      <c r="AE40" s="129">
        <f>Test!U289</f>
        <v>0</v>
      </c>
      <c r="AF40" s="129">
        <f>Test!V289</f>
        <v>0</v>
      </c>
      <c r="AG40" s="129">
        <f>Test!W289</f>
        <v>0</v>
      </c>
      <c r="AH40" s="129">
        <f>Test!X289</f>
        <v>0</v>
      </c>
      <c r="AI40" s="129">
        <f>10*LOG10(1/(('Summary (Full)'!$B$41/10^(AF40/10)+'Summary (Full)'!$B$42/10^(AG40/10)+'Summary (Full)'!$B$43/10^(AH40/10))/'Summary (Full)'!$B$44))</f>
        <v>0</v>
      </c>
      <c r="AJ40" s="155">
        <f>Test!Y289</f>
        <v>0</v>
      </c>
      <c r="AK40" s="152">
        <f>Test!Z289</f>
        <v>0</v>
      </c>
      <c r="AL40" s="152" t="e">
        <f t="shared" si="2"/>
        <v>#DIV/0!</v>
      </c>
      <c r="AM40" s="152" t="e">
        <f t="shared" si="2"/>
        <v>#DIV/0!</v>
      </c>
      <c r="AO40" s="263"/>
      <c r="AP40" s="173"/>
      <c r="AQ40" s="173"/>
      <c r="AR40" s="173"/>
      <c r="AS40" s="173"/>
      <c r="AT40" s="173"/>
      <c r="AU40" s="173"/>
      <c r="AV40" s="173"/>
      <c r="AW40" s="173"/>
      <c r="AX40" s="173"/>
      <c r="AY40" s="188"/>
      <c r="AZ40" s="287"/>
      <c r="BA40" s="240"/>
      <c r="CE40" s="119"/>
      <c r="CF40" s="119"/>
      <c r="CK40" s="5"/>
      <c r="EV40" s="166"/>
      <c r="EW40" s="166"/>
      <c r="EX40" s="166"/>
      <c r="EY40" s="166"/>
      <c r="EZ40" s="166"/>
      <c r="FA40" s="166"/>
      <c r="FB40" s="166"/>
      <c r="FC40" s="166"/>
    </row>
    <row r="41" spans="1:159" x14ac:dyDescent="0.15">
      <c r="CE41" s="119"/>
      <c r="CF41" s="119"/>
      <c r="CK41" s="5"/>
      <c r="EV41" s="166"/>
      <c r="EW41" s="166"/>
      <c r="EX41" s="166"/>
      <c r="EY41" s="166"/>
      <c r="EZ41" s="166"/>
      <c r="FA41" s="166"/>
      <c r="FB41" s="166"/>
      <c r="FC41" s="166"/>
    </row>
    <row r="42" spans="1:159" ht="14" thickBot="1" x14ac:dyDescent="0.2">
      <c r="CE42" s="119"/>
      <c r="CF42" s="119"/>
      <c r="CK42" s="5"/>
      <c r="EV42" s="166"/>
      <c r="EW42" s="166"/>
      <c r="EX42" s="166"/>
      <c r="EY42" s="166"/>
      <c r="EZ42" s="166"/>
      <c r="FA42" s="166"/>
      <c r="FB42" s="166"/>
      <c r="FC42" s="166"/>
    </row>
    <row r="43" spans="1:159" x14ac:dyDescent="0.15">
      <c r="A43" s="265" t="s">
        <v>76</v>
      </c>
      <c r="B43" s="266"/>
      <c r="C43" s="266"/>
      <c r="D43" s="266"/>
      <c r="E43" s="266"/>
      <c r="F43" s="266"/>
      <c r="G43" s="266"/>
      <c r="H43" s="266"/>
      <c r="I43" s="266"/>
      <c r="J43" s="266"/>
      <c r="K43" s="266"/>
      <c r="L43" s="266"/>
      <c r="M43" s="266"/>
      <c r="N43" s="266"/>
      <c r="O43" s="266"/>
      <c r="P43" s="266"/>
      <c r="Q43" s="266"/>
      <c r="R43" s="266"/>
      <c r="S43" s="266"/>
      <c r="T43" s="266"/>
      <c r="U43" s="266"/>
      <c r="V43" s="266"/>
      <c r="W43" s="147"/>
      <c r="X43" s="147"/>
      <c r="Y43" s="147"/>
      <c r="Z43" s="147"/>
      <c r="AA43" s="147"/>
      <c r="AB43" s="147"/>
      <c r="AC43" s="147"/>
      <c r="AD43" s="147"/>
      <c r="AE43" s="147"/>
      <c r="AF43" s="147"/>
      <c r="AG43" s="147"/>
      <c r="AH43" s="147"/>
      <c r="AI43" s="148"/>
      <c r="AJ43" s="148"/>
      <c r="AK43" s="148"/>
      <c r="AL43" s="149"/>
      <c r="CE43" s="119"/>
      <c r="CF43" s="119"/>
      <c r="CK43" s="5"/>
      <c r="EV43" s="166"/>
      <c r="EW43" s="166"/>
      <c r="EX43" s="166"/>
      <c r="EY43" s="166"/>
      <c r="EZ43" s="166"/>
      <c r="FA43" s="166"/>
      <c r="FB43" s="166"/>
      <c r="FC43" s="166"/>
    </row>
    <row r="44" spans="1:159" x14ac:dyDescent="0.15">
      <c r="A44" s="267" t="s">
        <v>13</v>
      </c>
      <c r="B44" s="268"/>
      <c r="C44" s="268"/>
      <c r="D44" s="268"/>
      <c r="E44" s="268"/>
      <c r="F44" s="268"/>
      <c r="G44" s="268"/>
      <c r="H44" s="268"/>
      <c r="I44" s="268"/>
      <c r="J44" s="268"/>
      <c r="K44" s="268"/>
      <c r="L44" s="268"/>
      <c r="M44" s="144"/>
      <c r="N44" s="144"/>
      <c r="O44" s="144"/>
      <c r="P44" s="144"/>
      <c r="Q44" s="304" t="s">
        <v>1</v>
      </c>
      <c r="R44" s="304"/>
      <c r="S44" s="268" t="s">
        <v>22</v>
      </c>
      <c r="T44" s="268"/>
      <c r="U44" s="294" t="s">
        <v>0</v>
      </c>
      <c r="V44" s="294"/>
      <c r="W44" s="294" t="s">
        <v>49</v>
      </c>
      <c r="X44" s="294"/>
      <c r="Y44" s="295" t="s">
        <v>40</v>
      </c>
      <c r="Z44" s="295"/>
      <c r="AA44" s="295" t="s">
        <v>44</v>
      </c>
      <c r="AB44" s="295"/>
      <c r="AC44" s="295" t="s">
        <v>45</v>
      </c>
      <c r="AD44" s="295"/>
      <c r="AE44" s="295"/>
      <c r="AF44" s="295"/>
      <c r="AG44" s="295"/>
      <c r="AH44" s="295"/>
      <c r="AI44" s="288" t="s">
        <v>13</v>
      </c>
      <c r="AJ44" s="288"/>
      <c r="AK44" s="289" t="s">
        <v>42</v>
      </c>
      <c r="AL44" s="290"/>
      <c r="CE44" s="119"/>
      <c r="CF44" s="119"/>
      <c r="CK44" s="5"/>
      <c r="EV44" s="166"/>
      <c r="EW44" s="166"/>
      <c r="EX44" s="166"/>
      <c r="EY44" s="166"/>
      <c r="EZ44" s="166"/>
      <c r="FA44" s="166"/>
      <c r="FB44" s="166"/>
      <c r="FC44" s="166"/>
    </row>
    <row r="45" spans="1:159" x14ac:dyDescent="0.15">
      <c r="A45" s="95"/>
      <c r="B45" s="93"/>
      <c r="C45" s="304" t="s">
        <v>13</v>
      </c>
      <c r="D45" s="304"/>
      <c r="E45" s="304"/>
      <c r="F45" s="304"/>
      <c r="G45" s="144"/>
      <c r="H45" s="144"/>
      <c r="I45" s="144"/>
      <c r="J45" s="144"/>
      <c r="K45" s="144"/>
      <c r="L45" s="144"/>
      <c r="M45" s="304" t="s">
        <v>42</v>
      </c>
      <c r="N45" s="304"/>
      <c r="O45" s="304"/>
      <c r="P45" s="304"/>
      <c r="Q45" s="144"/>
      <c r="R45" s="144"/>
      <c r="S45" s="144"/>
      <c r="T45" s="93"/>
      <c r="U45" s="136"/>
      <c r="V45" s="136"/>
      <c r="W45" s="136"/>
      <c r="X45" s="136"/>
      <c r="Y45" s="136"/>
      <c r="Z45" s="136"/>
      <c r="AA45" s="136"/>
      <c r="AB45" s="136"/>
      <c r="AC45" s="136"/>
      <c r="AD45" s="136"/>
      <c r="AE45" s="136"/>
      <c r="AF45" s="136"/>
      <c r="AG45" s="136"/>
      <c r="AH45" s="136"/>
      <c r="AI45" s="150"/>
      <c r="AJ45" s="150"/>
      <c r="AK45" s="150"/>
      <c r="AL45" s="151"/>
      <c r="CE45" s="119"/>
      <c r="CF45" s="119"/>
      <c r="CK45" s="5"/>
      <c r="EV45" s="166"/>
      <c r="EW45" s="166"/>
      <c r="EX45" s="166"/>
      <c r="EY45" s="166"/>
      <c r="EZ45" s="166"/>
      <c r="FA45" s="166"/>
      <c r="FB45" s="166"/>
      <c r="FC45" s="166"/>
    </row>
    <row r="46" spans="1:159" ht="14" thickBot="1" x14ac:dyDescent="0.2">
      <c r="A46" s="269" t="s">
        <v>23</v>
      </c>
      <c r="B46" s="270"/>
      <c r="C46" s="145" t="s">
        <v>24</v>
      </c>
      <c r="D46" s="145" t="s">
        <v>25</v>
      </c>
      <c r="E46" s="145" t="s">
        <v>26</v>
      </c>
      <c r="F46" s="145" t="s">
        <v>38</v>
      </c>
      <c r="G46" s="145" t="s">
        <v>5</v>
      </c>
      <c r="H46" s="145" t="s">
        <v>22</v>
      </c>
      <c r="I46" s="145" t="s">
        <v>0</v>
      </c>
      <c r="J46" s="145" t="s">
        <v>39</v>
      </c>
      <c r="K46" s="145" t="s">
        <v>40</v>
      </c>
      <c r="L46" s="145" t="s">
        <v>41</v>
      </c>
      <c r="M46" s="145" t="s">
        <v>24</v>
      </c>
      <c r="N46" s="145" t="s">
        <v>25</v>
      </c>
      <c r="O46" s="145" t="s">
        <v>26</v>
      </c>
      <c r="P46" s="145" t="s">
        <v>38</v>
      </c>
      <c r="Q46" s="145" t="s">
        <v>23</v>
      </c>
      <c r="R46" s="145" t="s">
        <v>24</v>
      </c>
      <c r="S46" s="145" t="s">
        <v>23</v>
      </c>
      <c r="T46" s="117" t="s">
        <v>24</v>
      </c>
      <c r="U46" s="137" t="s">
        <v>23</v>
      </c>
      <c r="V46" s="137" t="s">
        <v>24</v>
      </c>
      <c r="W46" s="137" t="s">
        <v>23</v>
      </c>
      <c r="X46" s="137" t="s">
        <v>24</v>
      </c>
      <c r="Y46" s="137" t="s">
        <v>23</v>
      </c>
      <c r="Z46" s="137" t="s">
        <v>24</v>
      </c>
      <c r="AA46" s="137" t="s">
        <v>23</v>
      </c>
      <c r="AB46" s="137" t="s">
        <v>24</v>
      </c>
      <c r="AC46" s="137" t="s">
        <v>23</v>
      </c>
      <c r="AD46" s="137" t="s">
        <v>24</v>
      </c>
      <c r="AE46" s="137" t="s">
        <v>24</v>
      </c>
      <c r="AF46" s="137" t="s">
        <v>25</v>
      </c>
      <c r="AG46" s="137" t="s">
        <v>26</v>
      </c>
      <c r="AH46" s="137" t="s">
        <v>38</v>
      </c>
      <c r="AI46" s="291" t="s">
        <v>38</v>
      </c>
      <c r="AJ46" s="291"/>
      <c r="AK46" s="292" t="s">
        <v>38</v>
      </c>
      <c r="AL46" s="293"/>
      <c r="CE46" s="119"/>
      <c r="CF46" s="119"/>
      <c r="CK46" s="5"/>
      <c r="EV46" s="166"/>
      <c r="EW46" s="166"/>
      <c r="EX46" s="166"/>
      <c r="EY46" s="166"/>
      <c r="EZ46" s="166"/>
      <c r="FA46" s="166"/>
      <c r="FB46" s="166"/>
      <c r="FC46" s="166"/>
    </row>
    <row r="47" spans="1:159" x14ac:dyDescent="0.15">
      <c r="A47" s="253" t="s">
        <v>27</v>
      </c>
      <c r="B47" s="171" t="e">
        <f>bdRateROI($CL5:$CL63,CM5:CM63,$DZ5:$DZ63,EA5:EA63,CJ11,CJ6,1, 0, TRUE)</f>
        <v>#VALUE!</v>
      </c>
      <c r="C47" s="171" t="e">
        <f t="shared" ref="C47:H47" si="3">bdRateExtend($CL5:$CL63,CN5:CN63,$DZ5:$DZ63,EB5:EB63, "None", FALSE, 0, TRUE)</f>
        <v>#VALUE!</v>
      </c>
      <c r="D47" s="171" t="e">
        <f t="shared" si="3"/>
        <v>#VALUE!</v>
      </c>
      <c r="E47" s="171" t="e">
        <f t="shared" si="3"/>
        <v>#VALUE!</v>
      </c>
      <c r="F47" s="171" t="e">
        <f t="shared" si="3"/>
        <v>#VALUE!</v>
      </c>
      <c r="G47" s="171" t="e">
        <f t="shared" si="3"/>
        <v>#VALUE!</v>
      </c>
      <c r="H47" s="171" t="e">
        <f t="shared" si="3"/>
        <v>#VALUE!</v>
      </c>
      <c r="I47" s="171" t="e">
        <f>bdRateExtend($CL5:$CL63,CT5:CT63,$DZ5:$DZ63,EH5:EH63,"None", FALSE,2,TRUE)</f>
        <v>#VALUE!</v>
      </c>
      <c r="J47" s="171" t="e">
        <f>bdRateExtend($CL5:$CL63,CU5:CU63,$DZ5:$DZ63,EI5:EI63,"None", FALSE,2,TRUE)</f>
        <v>#VALUE!</v>
      </c>
      <c r="K47" s="171" t="e">
        <f t="shared" ref="K47:P47" si="4">bdRateExtend($CL5:$CL63,CV5:CV63,$DZ5:$DZ63,EJ5:EJ63, "None", FALSE, 0, TRUE)</f>
        <v>#VALUE!</v>
      </c>
      <c r="L47" s="171" t="e">
        <f t="shared" si="4"/>
        <v>#VALUE!</v>
      </c>
      <c r="M47" s="171" t="e">
        <f t="shared" si="4"/>
        <v>#VALUE!</v>
      </c>
      <c r="N47" s="171" t="e">
        <f t="shared" si="4"/>
        <v>#VALUE!</v>
      </c>
      <c r="O47" s="171" t="e">
        <f t="shared" si="4"/>
        <v>#VALUE!</v>
      </c>
      <c r="P47" s="171" t="e">
        <f t="shared" si="4"/>
        <v>#VALUE!</v>
      </c>
      <c r="Q47" s="171" t="e">
        <f>bdRateROI($DE5:$DE63,DF5:DF63,$ER5:$ER63,ES5:ES63,CJ11,CJ6,1, 0, TRUE)</f>
        <v>#VALUE!</v>
      </c>
      <c r="R47" s="171" t="e">
        <f>bdRateExtend($DE5:$DE63,DF5:DF63,$ER5:$ER63,ES5:ES63, "None", FALSE, 0, TRUE)</f>
        <v>#VALUE!</v>
      </c>
      <c r="S47" s="171" t="e">
        <f>bdRateROI($DH5:$DH63,DI5:DI63,$ET5:$ET63,EU5:EU63,CJ11,CJ6,1, 0, TRUE)</f>
        <v>#VALUE!</v>
      </c>
      <c r="T47" s="171" t="e">
        <f>bdRateExtend($DH5:$DH63,DI5:DI63,$ET5:$ET63,EU5:EU63, "None", FALSE, 0, TRUE)</f>
        <v>#VALUE!</v>
      </c>
      <c r="U47" s="171" t="e">
        <f>bdRateROI($DK5:$DK63,DL5:DL63,$EV5:$EV63,EW5:EW63,$CJ11,$CJ6,1,2,TRUE)</f>
        <v>#VALUE!</v>
      </c>
      <c r="V47" s="171" t="e">
        <f>bdRateExtend($DK5:$DK63,DL5:DL63,$EV5:$EV63,EW5:EW63,"None", FALSE,2,TRUE)</f>
        <v>#VALUE!</v>
      </c>
      <c r="W47" s="171" t="e">
        <f>bdRateROI(DM5:DM63,DN5:DN63,EX5:EX63,EY5:EY63,$CJ11,$CJ6,1,2,TRUE)</f>
        <v>#VALUE!</v>
      </c>
      <c r="X47" s="171" t="e">
        <f>bdRateExtend(DM5:DM63,DN5:DN63,EX5:EX63,EY5:EY63,"None", FALSE,2,TRUE)</f>
        <v>#VALUE!</v>
      </c>
      <c r="Y47" s="171" t="e">
        <f>bdRateROI(DO5:DO63,DP5:DP63,EZ5:EZ63,FA5:FA63,$CJ11,$CJ6,1, 0, TRUE)</f>
        <v>#VALUE!</v>
      </c>
      <c r="Z47" s="171" t="e">
        <f>bdRateExtend(DO5:DO63,DP5:DP63,EZ5:EZ63,FA5:FA63, "None", FALSE, 0, TRUE)</f>
        <v>#VALUE!</v>
      </c>
      <c r="AA47" s="171" t="e">
        <f>bdRateROI(DQ5:DQ63,DR5:DR63,FB5:FB63,FC5:FC63,$CJ11,$CJ6,1, 0, TRUE)</f>
        <v>#VALUE!</v>
      </c>
      <c r="AB47" s="171" t="e">
        <f>bdRateExtend(DQ5:DQ63,DR5:DR63,FB5:FB63,FC5:FC63, "None", FALSE, 0, TRUE)</f>
        <v>#VALUE!</v>
      </c>
      <c r="AC47" s="171" t="e">
        <f>bdRateROI(DS5:DS63,DT5:DT63,FD5:FD63,FE5:FE63,$CJ11,$CJ6,1, 0, TRUE)</f>
        <v>#VALUE!</v>
      </c>
      <c r="AD47" s="171" t="e">
        <f>bdRateExtend(DS5:DS63,DT5:DT63,FD5:FD63,FE5:FE63, "None", FALSE, 0, TRUE)</f>
        <v>#VALUE!</v>
      </c>
      <c r="AE47" s="171" t="e">
        <f>bdRateExtend($DS5:$DS63,DU5:DU63,$FD5:$FD63,FF5:FF63, "None", FALSE, 0, TRUE)</f>
        <v>#VALUE!</v>
      </c>
      <c r="AF47" s="171" t="e">
        <f>bdRateExtend($DS5:$DS63,DV5:DV63,$FD5:$FD63,FG5:FG63, "None", FALSE, 0, TRUE)</f>
        <v>#VALUE!</v>
      </c>
      <c r="AG47" s="171" t="e">
        <f>bdRateExtend($DS5:$DS63,DW5:DW63,$FD5:$FD63,FH5:FH63, "None", FALSE, 0, TRUE)</f>
        <v>#VALUE!</v>
      </c>
      <c r="AH47" s="171" t="e">
        <f>bdRateExtend($DS5:$DS63,DX5:DX63,$FD5:$FD63,FI5:FI63, "None", FALSE, 0, TRUE)</f>
        <v>#VALUE!</v>
      </c>
      <c r="AI47" s="171" t="e">
        <f>bdRateROI($FK5:$FK63,FL5:FL63,$FP5:$FP63,FQ5:FQ63,$CJ11,$CJ6,1, 0, TRUE)</f>
        <v>#VALUE!</v>
      </c>
      <c r="AJ47" s="171" t="e">
        <f>bdRateExtend($FK5:$FK63,FL5:FL63,$FP5:$FP63,FQ5:FQ63, "None", FALSE, 0, TRUE)</f>
        <v>#VALUE!</v>
      </c>
      <c r="AK47" s="171" t="e">
        <f>bdRateROI($FM5:$FM63,FN5:FN63,$FR5:$FR63,FS5:FS63,$CJ11,$CJ6,1, 0, TRUE)</f>
        <v>#VALUE!</v>
      </c>
      <c r="AL47" s="174" t="e">
        <f>bdRateExtend($FM5:$FM63,FN5:FN63,$FR5:$FR63,FS5:FS63, "None", FALSE, 0, TRUE)</f>
        <v>#VALUE!</v>
      </c>
      <c r="CE47" s="119"/>
      <c r="CF47" s="119"/>
      <c r="CK47" s="5"/>
      <c r="EV47" s="166"/>
      <c r="EW47" s="166"/>
      <c r="EX47" s="166"/>
      <c r="EY47" s="166"/>
      <c r="EZ47" s="166"/>
      <c r="FA47" s="166"/>
      <c r="FB47" s="166"/>
      <c r="FC47" s="166"/>
    </row>
    <row r="48" spans="1:159" x14ac:dyDescent="0.15">
      <c r="A48" s="254"/>
      <c r="B48" s="172"/>
      <c r="C48" s="172"/>
      <c r="D48" s="172"/>
      <c r="E48" s="172"/>
      <c r="F48" s="172"/>
      <c r="G48" s="172"/>
      <c r="H48" s="172"/>
      <c r="I48" s="172"/>
      <c r="J48" s="172"/>
      <c r="K48" s="172"/>
      <c r="L48" s="172"/>
      <c r="M48" s="172"/>
      <c r="N48" s="172"/>
      <c r="O48" s="172"/>
      <c r="P48" s="172"/>
      <c r="Q48" s="172"/>
      <c r="R48" s="172"/>
      <c r="S48" s="172"/>
      <c r="T48" s="172"/>
      <c r="U48" s="172"/>
      <c r="V48" s="172"/>
      <c r="W48" s="172"/>
      <c r="X48" s="172"/>
      <c r="Y48" s="172"/>
      <c r="Z48" s="172"/>
      <c r="AA48" s="172"/>
      <c r="AB48" s="172"/>
      <c r="AC48" s="172"/>
      <c r="AD48" s="172"/>
      <c r="AE48" s="172"/>
      <c r="AF48" s="172"/>
      <c r="AG48" s="172"/>
      <c r="AH48" s="172"/>
      <c r="AI48" s="172"/>
      <c r="AJ48" s="172"/>
      <c r="AK48" s="172"/>
      <c r="AL48" s="175"/>
      <c r="CE48" s="119"/>
      <c r="CF48" s="119"/>
      <c r="CK48" s="5"/>
      <c r="EV48" s="166"/>
      <c r="EW48" s="166"/>
      <c r="EX48" s="166"/>
      <c r="EY48" s="166"/>
      <c r="EZ48" s="166"/>
      <c r="FA48" s="166"/>
      <c r="FB48" s="166"/>
      <c r="FC48" s="166"/>
    </row>
    <row r="49" spans="1:159" x14ac:dyDescent="0.15">
      <c r="A49" s="254" t="s">
        <v>28</v>
      </c>
      <c r="B49" s="172" t="e">
        <f>bdRateROI($CL5:$CL63,CM5:CM63,$DZ5:$DZ63,EA5:EA63,CJ10,CJ11,1, 0, TRUE)</f>
        <v>#VALUE!</v>
      </c>
      <c r="C49" s="172"/>
      <c r="D49" s="172"/>
      <c r="E49" s="172"/>
      <c r="F49" s="172"/>
      <c r="G49" s="172"/>
      <c r="H49" s="172"/>
      <c r="I49" s="172"/>
      <c r="J49" s="172"/>
      <c r="K49" s="172"/>
      <c r="L49" s="172"/>
      <c r="M49" s="172"/>
      <c r="N49" s="172"/>
      <c r="O49" s="172"/>
      <c r="P49" s="172"/>
      <c r="Q49" s="172" t="e">
        <f>bdRateROI($DE5:$DE63,DF5:DF63,$ER5:$ER63,ES5:ES63,CJ10,CJ11,1, 0, TRUE)</f>
        <v>#VALUE!</v>
      </c>
      <c r="R49" s="172"/>
      <c r="S49" s="172" t="e">
        <f>bdRateROI($DH5:$DH63,DI5:DI63,$ET5:$ET63,EU5:EU63,CJ10,CJ11,1, 0, TRUE)</f>
        <v>#VALUE!</v>
      </c>
      <c r="T49" s="172"/>
      <c r="U49" s="172" t="e">
        <f>bdRateROI($DK5:$DK63,DL5:DL63,$EV5:$EV63,EW5:EW63,$CJ$10,$CJ$11,1,2,TRUE)</f>
        <v>#VALUE!</v>
      </c>
      <c r="V49" s="172"/>
      <c r="W49" s="172" t="e">
        <f>bdRateROI(DM5:DM63,DN5:DN63,EX5:EX63,EY5:EY63,$CJ$10,$CJ$11,1,2,TRUE)</f>
        <v>#VALUE!</v>
      </c>
      <c r="X49" s="172"/>
      <c r="Y49" s="172" t="e">
        <f>bdRateROI(DO5:DO63,DP5:DP63,EZ5:EZ63,FA5:FA63,$CJ$10,$CJ$11,1, 0, TRUE)</f>
        <v>#VALUE!</v>
      </c>
      <c r="Z49" s="172"/>
      <c r="AA49" s="172" t="e">
        <f>bdRateROI(DQ5:DQ63,DR5:DR63,FB5:FB63,FC5:FC63,$CJ$10,$CJ$11,1, 0, TRUE)</f>
        <v>#VALUE!</v>
      </c>
      <c r="AB49" s="172"/>
      <c r="AC49" s="172" t="e">
        <f>bdRateROI(DS5:DS63,DT5:DT63,FD5:FD63,FE5:FE63,$CJ$10,$CJ$11,1, 0, TRUE)</f>
        <v>#VALUE!</v>
      </c>
      <c r="AD49" s="172"/>
      <c r="AE49" s="172"/>
      <c r="AF49" s="172"/>
      <c r="AG49" s="172"/>
      <c r="AH49" s="172"/>
      <c r="AI49" s="172" t="e">
        <f>bdRateROI($FK5:$FK63,FL5:FL63,$FP5:$FP63,FQ5:FQ63,$CJ$10,$CJ$11,1, 0, TRUE)</f>
        <v>#VALUE!</v>
      </c>
      <c r="AJ49" s="172"/>
      <c r="AK49" s="172" t="e">
        <f>bdRateROI($FM5:$FM63,FN5:FN63,$FR5:$FR63,FS5:FS63,$CJ$10,$CJ$11,1, 0, TRUE)</f>
        <v>#VALUE!</v>
      </c>
      <c r="AL49" s="175"/>
      <c r="CE49" s="119"/>
      <c r="CF49" s="119"/>
      <c r="CK49" s="5"/>
      <c r="EV49" s="166"/>
      <c r="EW49" s="166"/>
      <c r="EX49" s="166"/>
      <c r="EY49" s="166"/>
      <c r="EZ49" s="166"/>
      <c r="FA49" s="166"/>
      <c r="FB49" s="166"/>
      <c r="FC49" s="166"/>
    </row>
    <row r="50" spans="1:159" x14ac:dyDescent="0.15">
      <c r="A50" s="254"/>
      <c r="B50" s="172"/>
      <c r="C50" s="172"/>
      <c r="D50" s="172"/>
      <c r="E50" s="172"/>
      <c r="F50" s="172"/>
      <c r="G50" s="172"/>
      <c r="H50" s="172"/>
      <c r="I50" s="172"/>
      <c r="J50" s="172"/>
      <c r="K50" s="172"/>
      <c r="L50" s="172"/>
      <c r="M50" s="172"/>
      <c r="N50" s="172"/>
      <c r="O50" s="172"/>
      <c r="P50" s="172"/>
      <c r="Q50" s="172"/>
      <c r="R50" s="172"/>
      <c r="S50" s="172"/>
      <c r="T50" s="172"/>
      <c r="U50" s="172"/>
      <c r="V50" s="172"/>
      <c r="W50" s="172"/>
      <c r="X50" s="172"/>
      <c r="Y50" s="172"/>
      <c r="Z50" s="172"/>
      <c r="AA50" s="172"/>
      <c r="AB50" s="172"/>
      <c r="AC50" s="172"/>
      <c r="AD50" s="172"/>
      <c r="AE50" s="172"/>
      <c r="AF50" s="172"/>
      <c r="AG50" s="172"/>
      <c r="AH50" s="172"/>
      <c r="AI50" s="172"/>
      <c r="AJ50" s="172"/>
      <c r="AK50" s="172"/>
      <c r="AL50" s="175"/>
      <c r="CE50" s="119"/>
      <c r="CF50" s="119"/>
      <c r="CK50" s="5"/>
      <c r="EV50" s="166"/>
      <c r="EW50" s="166"/>
      <c r="EX50" s="166"/>
      <c r="EY50" s="166"/>
      <c r="EZ50" s="166"/>
      <c r="FA50" s="166"/>
      <c r="FB50" s="166"/>
      <c r="FC50" s="166"/>
    </row>
    <row r="51" spans="1:159" x14ac:dyDescent="0.15">
      <c r="A51" s="254" t="s">
        <v>29</v>
      </c>
      <c r="B51" s="172" t="e">
        <f>bdRateROI($CL5:$CL63,CM5:CM63,$DZ5:$DZ63,EA5:EA63,CJ5,CJ10,1, 0, TRUE)</f>
        <v>#VALUE!</v>
      </c>
      <c r="C51" s="172"/>
      <c r="D51" s="172"/>
      <c r="E51" s="172"/>
      <c r="F51" s="172"/>
      <c r="G51" s="172"/>
      <c r="H51" s="172"/>
      <c r="I51" s="172"/>
      <c r="J51" s="172"/>
      <c r="K51" s="172"/>
      <c r="L51" s="172"/>
      <c r="M51" s="172"/>
      <c r="N51" s="172"/>
      <c r="O51" s="172"/>
      <c r="P51" s="172"/>
      <c r="Q51" s="172" t="e">
        <f>bdRateROI($DE5:$DE63,DF5:DF63,$ER5:$ER63,ES5:ES63,CJ5,CJ10,1, 0, TRUE)</f>
        <v>#VALUE!</v>
      </c>
      <c r="R51" s="172"/>
      <c r="S51" s="172" t="e">
        <f>bdRateROI($DH5:$DH63,DI5:DI63,$ET5:$ET63,EU5:EU63,CJ5,CJ10,1, 0, TRUE)</f>
        <v>#VALUE!</v>
      </c>
      <c r="T51" s="172"/>
      <c r="U51" s="172" t="e">
        <f>bdRateROI($DK5:$DK63,DL5:DL63,$EV5:$EV63,EW5:EW63,$CJ$5,$CJ$10,1,2,TRUE)</f>
        <v>#VALUE!</v>
      </c>
      <c r="V51" s="172"/>
      <c r="W51" s="172" t="e">
        <f>bdRateROI(DM5:DM63,DN5:DN63,EX5:EX63,EY5:EY63,$CJ$5,$CJ$10,1,2,TRUE)</f>
        <v>#VALUE!</v>
      </c>
      <c r="X51" s="172"/>
      <c r="Y51" s="172" t="e">
        <f>bdRateROI(DO5:DO63,DP5:DP63,EZ5:EZ63,FA5:FA63,$CJ$5,$CJ$10,1, 0, TRUE)</f>
        <v>#VALUE!</v>
      </c>
      <c r="Z51" s="172"/>
      <c r="AA51" s="172" t="e">
        <f>bdRateROI(DQ5:DQ63,DR5:DR63,FB5:FB63,FC5:FC63,$CJ$5,$CJ$10,1, 0, TRUE)</f>
        <v>#VALUE!</v>
      </c>
      <c r="AB51" s="172"/>
      <c r="AC51" s="172" t="e">
        <f>bdRateROI(DS5:DS63,DT5:DT63,FD5:FD63,FE5:FE63,$CJ$5,$CJ$10,1, 0, TRUE)</f>
        <v>#VALUE!</v>
      </c>
      <c r="AD51" s="172"/>
      <c r="AE51" s="172"/>
      <c r="AF51" s="172"/>
      <c r="AG51" s="172"/>
      <c r="AH51" s="172"/>
      <c r="AI51" s="172" t="e">
        <f>bdRateROI($FK5:$FK63,FL5:FL63,$FP5:$FP63,FQ5:FQ63,$CJ$5,$CJ$10,1, 0, TRUE)</f>
        <v>#VALUE!</v>
      </c>
      <c r="AJ51" s="172"/>
      <c r="AK51" s="172" t="e">
        <f>bdRateROI($FM5:$FM63,FN5:FN63,$FR5:$FR63,FS5:FS63,$CJ$5,$CJ$10,1, 0, TRUE)</f>
        <v>#VALUE!</v>
      </c>
      <c r="AL51" s="175"/>
      <c r="CE51" s="119"/>
      <c r="CF51" s="119"/>
      <c r="CK51" s="5"/>
      <c r="EV51" s="166"/>
      <c r="EW51" s="166"/>
      <c r="EX51" s="166"/>
      <c r="EY51" s="166"/>
      <c r="EZ51" s="166"/>
      <c r="FA51" s="166"/>
      <c r="FB51" s="166"/>
      <c r="FC51" s="166"/>
    </row>
    <row r="52" spans="1:159" ht="14" thickBot="1" x14ac:dyDescent="0.2">
      <c r="A52" s="263"/>
      <c r="B52" s="173"/>
      <c r="C52" s="173"/>
      <c r="D52" s="173"/>
      <c r="E52" s="173"/>
      <c r="F52" s="173"/>
      <c r="G52" s="173"/>
      <c r="H52" s="173"/>
      <c r="I52" s="173"/>
      <c r="J52" s="173"/>
      <c r="K52" s="173"/>
      <c r="L52" s="173"/>
      <c r="M52" s="173"/>
      <c r="N52" s="173"/>
      <c r="O52" s="173"/>
      <c r="P52" s="173"/>
      <c r="Q52" s="173"/>
      <c r="R52" s="173"/>
      <c r="S52" s="173"/>
      <c r="T52" s="173"/>
      <c r="U52" s="173"/>
      <c r="V52" s="173"/>
      <c r="W52" s="173"/>
      <c r="X52" s="173"/>
      <c r="Y52" s="173"/>
      <c r="Z52" s="173"/>
      <c r="AA52" s="173"/>
      <c r="AB52" s="173"/>
      <c r="AC52" s="173"/>
      <c r="AD52" s="173"/>
      <c r="AE52" s="173"/>
      <c r="AF52" s="173"/>
      <c r="AG52" s="173"/>
      <c r="AH52" s="173"/>
      <c r="AI52" s="173"/>
      <c r="AJ52" s="173"/>
      <c r="AK52" s="173"/>
      <c r="AL52" s="188"/>
      <c r="CE52" s="119"/>
      <c r="CF52" s="119"/>
      <c r="CK52" s="5"/>
      <c r="EV52" s="166"/>
      <c r="EW52" s="166"/>
      <c r="EX52" s="166"/>
      <c r="EY52" s="166"/>
      <c r="EZ52" s="166"/>
      <c r="FA52" s="166"/>
      <c r="FB52" s="166"/>
      <c r="FC52" s="166"/>
    </row>
    <row r="53" spans="1:159" x14ac:dyDescent="0.15">
      <c r="CE53" s="119"/>
      <c r="CF53" s="119"/>
      <c r="CK53" s="5"/>
      <c r="EV53" s="166"/>
      <c r="EW53" s="166"/>
      <c r="EX53" s="166"/>
      <c r="EY53" s="166"/>
      <c r="EZ53" s="166"/>
      <c r="FA53" s="166"/>
      <c r="FB53" s="166"/>
      <c r="FC53" s="166"/>
    </row>
    <row r="54" spans="1:159" x14ac:dyDescent="0.15">
      <c r="AP54" s="9"/>
      <c r="CE54" s="119"/>
      <c r="CF54" s="119"/>
      <c r="CK54" s="5"/>
      <c r="EV54" s="166"/>
      <c r="EW54" s="166"/>
      <c r="EX54" s="166"/>
      <c r="EY54" s="166"/>
      <c r="EZ54" s="166"/>
      <c r="FA54" s="166"/>
      <c r="FB54" s="166"/>
      <c r="FC54" s="166"/>
    </row>
    <row r="55" spans="1:159" x14ac:dyDescent="0.15">
      <c r="AP55" s="9"/>
      <c r="CE55" s="119"/>
      <c r="CF55" s="119"/>
      <c r="CK55" s="5"/>
      <c r="EV55" s="166"/>
      <c r="EW55" s="166"/>
      <c r="EX55" s="166"/>
      <c r="EY55" s="166"/>
      <c r="EZ55" s="166"/>
      <c r="FA55" s="166"/>
      <c r="FB55" s="166"/>
      <c r="FC55" s="166"/>
    </row>
    <row r="56" spans="1:159" x14ac:dyDescent="0.15">
      <c r="C56" s="143">
        <f>COUNTIFS(C5:C40, "&lt;&gt;",C5:C40, "&lt;&gt;0")</f>
        <v>0</v>
      </c>
      <c r="U56" s="132">
        <f>COUNTIFS(U5:U40, "&lt;&gt;",U5:U40, "&lt;&gt;0")</f>
        <v>0</v>
      </c>
      <c r="AM56" s="132" t="e">
        <f>U56/C56</f>
        <v>#DIV/0!</v>
      </c>
      <c r="CE56" s="119"/>
      <c r="CF56" s="119"/>
      <c r="CK56" s="5"/>
      <c r="EV56" s="166"/>
      <c r="EW56" s="166"/>
      <c r="EX56" s="166"/>
      <c r="EY56" s="166"/>
      <c r="EZ56" s="166"/>
      <c r="FA56" s="166"/>
      <c r="FB56" s="166"/>
      <c r="FC56" s="166"/>
    </row>
    <row r="57" spans="1:159" x14ac:dyDescent="0.15">
      <c r="R57" s="143" t="e">
        <f>GEOMEAN(R5:R40)</f>
        <v>#NUM!</v>
      </c>
      <c r="S57" s="143" t="e">
        <f>GEOMEAN(S5:S40)</f>
        <v>#NUM!</v>
      </c>
      <c r="AJ57" s="132" t="e">
        <f>GEOMEAN(AJ5:AJ40)</f>
        <v>#NUM!</v>
      </c>
      <c r="AK57" s="132" t="e">
        <f>GEOMEAN(AK5:AK40)</f>
        <v>#NUM!</v>
      </c>
      <c r="AL57" s="132" t="e">
        <f>GEOMEAN(AL5:AL40)</f>
        <v>#DIV/0!</v>
      </c>
      <c r="AM57" s="132" t="e">
        <f>GEOMEAN(AM5:AM40)</f>
        <v>#DIV/0!</v>
      </c>
      <c r="CE57" s="119"/>
      <c r="CF57" s="119"/>
      <c r="CK57" s="5"/>
      <c r="EV57" s="166"/>
      <c r="EW57" s="166"/>
      <c r="EX57" s="166"/>
      <c r="EY57" s="166"/>
      <c r="EZ57" s="166"/>
      <c r="FA57" s="166"/>
      <c r="FB57" s="166"/>
      <c r="FC57" s="166"/>
    </row>
    <row r="58" spans="1:159" x14ac:dyDescent="0.15">
      <c r="R58" s="143">
        <f>SUM(R5:R40)</f>
        <v>0</v>
      </c>
      <c r="S58" s="143">
        <f>SUM(S5:S40)</f>
        <v>0</v>
      </c>
      <c r="AJ58" s="132">
        <f>SUM(AJ5:AJ40)</f>
        <v>0</v>
      </c>
      <c r="AK58" s="132">
        <f>SUM(AK5:AK40)</f>
        <v>0</v>
      </c>
      <c r="AL58" s="132" t="e">
        <f>AVERAGE(AL5:AL40)</f>
        <v>#DIV/0!</v>
      </c>
      <c r="AM58" s="132" t="e">
        <f>AVERAGE(AM5:AM40)</f>
        <v>#DIV/0!</v>
      </c>
      <c r="CE58" s="119"/>
      <c r="CF58" s="119"/>
      <c r="CK58" s="5"/>
      <c r="EV58" s="166"/>
      <c r="EW58" s="166"/>
      <c r="EX58" s="166"/>
      <c r="EY58" s="166"/>
      <c r="EZ58" s="166"/>
      <c r="FA58" s="166"/>
      <c r="FB58" s="166"/>
      <c r="FC58" s="166"/>
    </row>
    <row r="59" spans="1:159" x14ac:dyDescent="0.15">
      <c r="R59" s="143">
        <f>MAX(R5:R40)</f>
        <v>0</v>
      </c>
      <c r="S59" s="143">
        <f>MAX(S5:S40)</f>
        <v>0</v>
      </c>
      <c r="AJ59" s="132">
        <f>MAX(AJ5:AJ40)</f>
        <v>0</v>
      </c>
      <c r="AK59" s="132">
        <f>MAX(AK5:AK40)</f>
        <v>0</v>
      </c>
      <c r="AL59" s="132" t="e">
        <f>MAX(AL5:AL40)</f>
        <v>#DIV/0!</v>
      </c>
      <c r="AM59" s="132" t="e">
        <f>MAX(AM5:AM40)</f>
        <v>#DIV/0!</v>
      </c>
      <c r="CE59" s="119"/>
      <c r="CF59" s="119"/>
      <c r="CK59" s="5"/>
      <c r="EV59" s="166"/>
      <c r="EW59" s="166"/>
      <c r="EX59" s="166"/>
      <c r="EY59" s="166"/>
      <c r="EZ59" s="166"/>
      <c r="FA59" s="166"/>
      <c r="FB59" s="166"/>
      <c r="FC59" s="166"/>
    </row>
    <row r="60" spans="1:159" x14ac:dyDescent="0.15">
      <c r="R60" s="143">
        <f>MIN(R5:R40)</f>
        <v>0</v>
      </c>
      <c r="S60" s="143">
        <f>MIN(S5:S40)</f>
        <v>0</v>
      </c>
      <c r="AJ60" s="132">
        <f>MIN(AJ5:AJ40)</f>
        <v>0</v>
      </c>
      <c r="AK60" s="132">
        <f>MIN(AK5:AK40)</f>
        <v>0</v>
      </c>
      <c r="AL60" s="132" t="e">
        <f>MIN(AL5:AL40)</f>
        <v>#DIV/0!</v>
      </c>
      <c r="AM60" s="132" t="e">
        <f>MIN(AM5:AM40)</f>
        <v>#DIV/0!</v>
      </c>
      <c r="CE60" s="119"/>
      <c r="CF60" s="119"/>
      <c r="CK60" s="5"/>
      <c r="EV60" s="166"/>
      <c r="EW60" s="166"/>
      <c r="EX60" s="166"/>
      <c r="EY60" s="166"/>
      <c r="EZ60" s="166"/>
      <c r="FA60" s="166"/>
      <c r="FB60" s="166"/>
      <c r="FC60" s="166"/>
    </row>
    <row r="61" spans="1:159" x14ac:dyDescent="0.15">
      <c r="AJ61" s="132" t="e">
        <f>AJ57/R57</f>
        <v>#NUM!</v>
      </c>
      <c r="AK61" s="132" t="e">
        <f>AK57/S57</f>
        <v>#NUM!</v>
      </c>
      <c r="CE61" s="119"/>
      <c r="CF61" s="119"/>
      <c r="CK61" s="5"/>
      <c r="EV61" s="166"/>
      <c r="EW61" s="166"/>
      <c r="EX61" s="166"/>
      <c r="EY61" s="166"/>
      <c r="EZ61" s="166"/>
      <c r="FA61" s="166"/>
      <c r="FB61" s="166"/>
      <c r="FC61" s="166"/>
    </row>
    <row r="62" spans="1:159" x14ac:dyDescent="0.15">
      <c r="CE62" s="119"/>
      <c r="CF62" s="119"/>
      <c r="CK62" s="5"/>
      <c r="EV62" s="166"/>
      <c r="EW62" s="166"/>
      <c r="EX62" s="166"/>
      <c r="EY62" s="166"/>
      <c r="EZ62" s="166"/>
      <c r="FA62" s="166"/>
      <c r="FB62" s="166"/>
      <c r="FC62" s="166"/>
    </row>
    <row r="63" spans="1:159" x14ac:dyDescent="0.15">
      <c r="CE63" s="119"/>
      <c r="CF63" s="119"/>
      <c r="CK63" s="5"/>
      <c r="EV63" s="166"/>
      <c r="EW63" s="166"/>
      <c r="EX63" s="166"/>
      <c r="EY63" s="166"/>
      <c r="EZ63" s="166"/>
      <c r="FA63" s="166"/>
      <c r="FB63" s="166"/>
      <c r="FC63" s="166"/>
    </row>
    <row r="64" spans="1:159" x14ac:dyDescent="0.15">
      <c r="CE64" s="119"/>
      <c r="CF64" s="119"/>
      <c r="CK64" s="5"/>
      <c r="EV64" s="166"/>
      <c r="EW64" s="166"/>
      <c r="EX64" s="166"/>
      <c r="EY64" s="166"/>
      <c r="EZ64" s="166"/>
      <c r="FA64" s="166"/>
      <c r="FB64" s="166"/>
      <c r="FC64" s="166"/>
    </row>
    <row r="65" spans="83:159" x14ac:dyDescent="0.15">
      <c r="CE65" s="119"/>
      <c r="CF65" s="119"/>
      <c r="CK65" s="5"/>
      <c r="EV65" s="166"/>
      <c r="EW65" s="166"/>
      <c r="EX65" s="166"/>
      <c r="EY65" s="166"/>
      <c r="EZ65" s="166"/>
      <c r="FA65" s="166"/>
      <c r="FB65" s="166"/>
      <c r="FC65" s="166"/>
    </row>
    <row r="66" spans="83:159" x14ac:dyDescent="0.15">
      <c r="CE66" s="119"/>
      <c r="CF66" s="119"/>
      <c r="CK66" s="5"/>
      <c r="EV66" s="166"/>
      <c r="EW66" s="166"/>
      <c r="EX66" s="166"/>
      <c r="EY66" s="166"/>
      <c r="EZ66" s="166"/>
      <c r="FA66" s="166"/>
      <c r="FB66" s="166"/>
      <c r="FC66" s="166"/>
    </row>
    <row r="67" spans="83:159" x14ac:dyDescent="0.15">
      <c r="CE67" s="119"/>
      <c r="CF67" s="119"/>
      <c r="CK67" s="5"/>
      <c r="EV67" s="166"/>
      <c r="EW67" s="166"/>
      <c r="EX67" s="166"/>
      <c r="EY67" s="166"/>
      <c r="EZ67" s="166"/>
      <c r="FA67" s="166"/>
      <c r="FB67" s="166"/>
      <c r="FC67" s="166"/>
    </row>
    <row r="68" spans="83:159" x14ac:dyDescent="0.15">
      <c r="CE68" s="119"/>
      <c r="CF68" s="119"/>
      <c r="CK68" s="5"/>
      <c r="EV68" s="166"/>
      <c r="EW68" s="166"/>
      <c r="EX68" s="166"/>
      <c r="EY68" s="166"/>
      <c r="EZ68" s="166"/>
      <c r="FA68" s="166"/>
      <c r="FB68" s="166"/>
      <c r="FC68" s="166"/>
    </row>
    <row r="69" spans="83:159" x14ac:dyDescent="0.15">
      <c r="CE69" s="119"/>
      <c r="CF69" s="119"/>
      <c r="CK69" s="5"/>
      <c r="EV69" s="166"/>
      <c r="EW69" s="166"/>
      <c r="EX69" s="166"/>
      <c r="EY69" s="166"/>
      <c r="EZ69" s="166"/>
      <c r="FA69" s="166"/>
      <c r="FB69" s="166"/>
      <c r="FC69" s="166"/>
    </row>
    <row r="70" spans="83:159" x14ac:dyDescent="0.15">
      <c r="CE70" s="119"/>
      <c r="CF70" s="119"/>
      <c r="EV70" s="166"/>
      <c r="EW70" s="166"/>
      <c r="EX70" s="166"/>
      <c r="EY70" s="166"/>
      <c r="EZ70" s="166"/>
      <c r="FA70" s="166"/>
      <c r="FB70" s="166"/>
      <c r="FC70" s="166"/>
    </row>
    <row r="71" spans="83:159" x14ac:dyDescent="0.15">
      <c r="CE71" s="119"/>
      <c r="CF71" s="119"/>
      <c r="EV71" s="166"/>
      <c r="EW71" s="166"/>
      <c r="EX71" s="166"/>
      <c r="EY71" s="166"/>
      <c r="EZ71" s="166"/>
      <c r="FA71" s="166"/>
      <c r="FB71" s="166"/>
      <c r="FC71" s="166"/>
    </row>
    <row r="72" spans="83:159" x14ac:dyDescent="0.15">
      <c r="CE72" s="119"/>
      <c r="CF72" s="119"/>
      <c r="EV72" s="166"/>
      <c r="EW72" s="166"/>
      <c r="EX72" s="166"/>
      <c r="EY72" s="166"/>
      <c r="EZ72" s="166"/>
      <c r="FA72" s="166"/>
      <c r="FB72" s="166"/>
      <c r="FC72" s="166"/>
    </row>
    <row r="73" spans="83:159" x14ac:dyDescent="0.15">
      <c r="CE73" s="119"/>
      <c r="CF73" s="119"/>
      <c r="EV73" s="166"/>
      <c r="EW73" s="166"/>
      <c r="EX73" s="166"/>
      <c r="EY73" s="166"/>
      <c r="EZ73" s="166"/>
      <c r="FA73" s="166"/>
      <c r="FB73" s="166"/>
      <c r="FC73" s="166"/>
    </row>
    <row r="74" spans="83:159" x14ac:dyDescent="0.15">
      <c r="CE74" s="119"/>
      <c r="CF74" s="119"/>
      <c r="EV74" s="166"/>
      <c r="EW74" s="166"/>
      <c r="EX74" s="166"/>
      <c r="EY74" s="166"/>
      <c r="EZ74" s="166"/>
      <c r="FA74" s="166"/>
      <c r="FB74" s="166"/>
      <c r="FC74" s="166"/>
    </row>
    <row r="75" spans="83:159" x14ac:dyDescent="0.15">
      <c r="CE75" s="119"/>
      <c r="CF75" s="119"/>
      <c r="EV75" s="166"/>
      <c r="EW75" s="166"/>
      <c r="EX75" s="166"/>
      <c r="EY75" s="166"/>
      <c r="EZ75" s="166"/>
      <c r="FA75" s="166"/>
      <c r="FB75" s="166"/>
      <c r="FC75" s="166"/>
    </row>
    <row r="76" spans="83:159" x14ac:dyDescent="0.15">
      <c r="CE76" s="119"/>
      <c r="CF76" s="119"/>
      <c r="EV76" s="166"/>
      <c r="EW76" s="166"/>
      <c r="EX76" s="166"/>
      <c r="EY76" s="166"/>
      <c r="EZ76" s="166"/>
      <c r="FA76" s="166"/>
      <c r="FB76" s="166"/>
      <c r="FC76" s="166"/>
    </row>
    <row r="77" spans="83:159" x14ac:dyDescent="0.15">
      <c r="CE77" s="119"/>
      <c r="CF77" s="119"/>
      <c r="EV77" s="166"/>
      <c r="EW77" s="166"/>
      <c r="EX77" s="166"/>
      <c r="EY77" s="166"/>
      <c r="EZ77" s="166"/>
      <c r="FA77" s="166"/>
      <c r="FB77" s="166"/>
      <c r="FC77" s="166"/>
    </row>
    <row r="78" spans="83:159" x14ac:dyDescent="0.15">
      <c r="CE78" s="119"/>
      <c r="CF78" s="119"/>
      <c r="EV78" s="166"/>
      <c r="EW78" s="166"/>
      <c r="EX78" s="166"/>
      <c r="EY78" s="166"/>
      <c r="EZ78" s="166"/>
      <c r="FA78" s="166"/>
      <c r="FB78" s="166"/>
      <c r="FC78" s="166"/>
    </row>
    <row r="79" spans="83:159" x14ac:dyDescent="0.15">
      <c r="CE79" s="119"/>
      <c r="CF79" s="119"/>
      <c r="EV79" s="166"/>
      <c r="EW79" s="166"/>
      <c r="EX79" s="166"/>
      <c r="EY79" s="166"/>
      <c r="EZ79" s="166"/>
      <c r="FA79" s="166"/>
      <c r="FB79" s="166"/>
      <c r="FC79" s="166"/>
    </row>
    <row r="80" spans="83:159" x14ac:dyDescent="0.15">
      <c r="CE80" s="119"/>
      <c r="CF80" s="119"/>
      <c r="EV80" s="166"/>
      <c r="EW80" s="166"/>
      <c r="EX80" s="166"/>
      <c r="EY80" s="166"/>
      <c r="EZ80" s="166"/>
      <c r="FA80" s="166"/>
      <c r="FB80" s="166"/>
      <c r="FC80" s="166"/>
    </row>
    <row r="81" spans="83:159" x14ac:dyDescent="0.15">
      <c r="CE81" s="119"/>
      <c r="CF81" s="119"/>
      <c r="EV81" s="166"/>
      <c r="EW81" s="166"/>
      <c r="EX81" s="166"/>
      <c r="EY81" s="166"/>
      <c r="EZ81" s="166"/>
      <c r="FA81" s="166"/>
      <c r="FB81" s="166"/>
      <c r="FC81" s="166"/>
    </row>
    <row r="82" spans="83:159" x14ac:dyDescent="0.15">
      <c r="CE82" s="119"/>
      <c r="CF82" s="119"/>
      <c r="EV82" s="166"/>
      <c r="EW82" s="166"/>
      <c r="EX82" s="166"/>
      <c r="EY82" s="166"/>
      <c r="EZ82" s="166"/>
      <c r="FA82" s="166"/>
      <c r="FB82" s="166"/>
      <c r="FC82" s="166"/>
    </row>
    <row r="83" spans="83:159" x14ac:dyDescent="0.15">
      <c r="CE83" s="119"/>
      <c r="CF83" s="119"/>
      <c r="EV83" s="166"/>
      <c r="EW83" s="166"/>
      <c r="EX83" s="166"/>
      <c r="EY83" s="166"/>
      <c r="EZ83" s="166"/>
      <c r="FA83" s="166"/>
      <c r="FB83" s="166"/>
      <c r="FC83" s="166"/>
    </row>
    <row r="84" spans="83:159" x14ac:dyDescent="0.15">
      <c r="CE84" s="119"/>
      <c r="CF84" s="119"/>
      <c r="EV84" s="166"/>
      <c r="EW84" s="166"/>
      <c r="EX84" s="166"/>
      <c r="EY84" s="166"/>
      <c r="EZ84" s="166"/>
      <c r="FA84" s="166"/>
      <c r="FB84" s="166"/>
      <c r="FC84" s="166"/>
    </row>
    <row r="85" spans="83:159" x14ac:dyDescent="0.15">
      <c r="CE85" s="119"/>
      <c r="CF85" s="119"/>
      <c r="EV85" s="166"/>
      <c r="EW85" s="166"/>
      <c r="EX85" s="166"/>
      <c r="EY85" s="166"/>
      <c r="EZ85" s="166"/>
      <c r="FA85" s="166"/>
      <c r="FB85" s="166"/>
      <c r="FC85" s="166"/>
    </row>
    <row r="86" spans="83:159" x14ac:dyDescent="0.15">
      <c r="CE86" s="119"/>
      <c r="CF86" s="119"/>
      <c r="EV86" s="166"/>
      <c r="EW86" s="166"/>
      <c r="EX86" s="166"/>
      <c r="EY86" s="166"/>
      <c r="EZ86" s="166"/>
      <c r="FA86" s="166"/>
      <c r="FB86" s="166"/>
      <c r="FC86" s="166"/>
    </row>
    <row r="87" spans="83:159" x14ac:dyDescent="0.15">
      <c r="CE87" s="119"/>
      <c r="CF87" s="119"/>
      <c r="EV87" s="166"/>
      <c r="EW87" s="166"/>
      <c r="EX87" s="166"/>
      <c r="EY87" s="166"/>
      <c r="EZ87" s="166"/>
      <c r="FA87" s="166"/>
      <c r="FB87" s="166"/>
      <c r="FC87" s="166"/>
    </row>
    <row r="88" spans="83:159" x14ac:dyDescent="0.15">
      <c r="CE88" s="119"/>
      <c r="CF88" s="119"/>
      <c r="EV88" s="166"/>
      <c r="EW88" s="166"/>
      <c r="EX88" s="166"/>
      <c r="EY88" s="166"/>
      <c r="EZ88" s="166"/>
      <c r="FA88" s="166"/>
      <c r="FB88" s="166"/>
      <c r="FC88" s="166"/>
    </row>
    <row r="89" spans="83:159" x14ac:dyDescent="0.15">
      <c r="CE89" s="119"/>
      <c r="CF89" s="119"/>
      <c r="EV89" s="166"/>
      <c r="EW89" s="166"/>
      <c r="EX89" s="166"/>
      <c r="EY89" s="166"/>
      <c r="EZ89" s="166"/>
      <c r="FA89" s="166"/>
      <c r="FB89" s="166"/>
      <c r="FC89" s="166"/>
    </row>
    <row r="90" spans="83:159" x14ac:dyDescent="0.15">
      <c r="CE90" s="119"/>
      <c r="CF90" s="119"/>
      <c r="EV90" s="166"/>
      <c r="EW90" s="166"/>
      <c r="EX90" s="166"/>
      <c r="EY90" s="166"/>
      <c r="EZ90" s="166"/>
      <c r="FA90" s="166"/>
      <c r="FB90" s="166"/>
      <c r="FC90" s="166"/>
    </row>
    <row r="91" spans="83:159" x14ac:dyDescent="0.15">
      <c r="EV91" s="166"/>
      <c r="EW91" s="166"/>
      <c r="EX91" s="166"/>
      <c r="EY91" s="166"/>
      <c r="EZ91" s="166"/>
      <c r="FA91" s="166"/>
      <c r="FB91" s="166"/>
      <c r="FC91" s="166"/>
    </row>
    <row r="92" spans="83:159" x14ac:dyDescent="0.15">
      <c r="EV92" s="166"/>
      <c r="EW92" s="166"/>
      <c r="EX92" s="166"/>
      <c r="EY92" s="166"/>
      <c r="EZ92" s="166"/>
      <c r="FA92" s="166"/>
      <c r="FB92" s="166"/>
      <c r="FC92" s="166"/>
    </row>
    <row r="93" spans="83:159" x14ac:dyDescent="0.15">
      <c r="EV93" s="166"/>
      <c r="EW93" s="166"/>
      <c r="EX93" s="166"/>
      <c r="EY93" s="166"/>
      <c r="EZ93" s="166"/>
      <c r="FA93" s="166"/>
      <c r="FB93" s="166"/>
      <c r="FC93" s="166"/>
    </row>
    <row r="94" spans="83:159" x14ac:dyDescent="0.15">
      <c r="EV94" s="166"/>
      <c r="EW94" s="166"/>
      <c r="EX94" s="166"/>
      <c r="EY94" s="166"/>
      <c r="EZ94" s="166"/>
      <c r="FA94" s="166"/>
      <c r="FB94" s="166"/>
      <c r="FC94" s="166"/>
    </row>
    <row r="95" spans="83:159" x14ac:dyDescent="0.15">
      <c r="EV95" s="166"/>
      <c r="EW95" s="166"/>
      <c r="EX95" s="166"/>
      <c r="EY95" s="166"/>
      <c r="EZ95" s="166"/>
      <c r="FA95" s="166"/>
      <c r="FB95" s="166"/>
      <c r="FC95" s="166"/>
    </row>
    <row r="96" spans="83:159" x14ac:dyDescent="0.15">
      <c r="EV96" s="166"/>
      <c r="EW96" s="166"/>
      <c r="EX96" s="166"/>
      <c r="EY96" s="166"/>
      <c r="EZ96" s="166"/>
      <c r="FA96" s="166"/>
      <c r="FB96" s="166"/>
      <c r="FC96" s="166"/>
    </row>
    <row r="97" spans="152:159" x14ac:dyDescent="0.15">
      <c r="EV97" s="166"/>
      <c r="EW97" s="166"/>
      <c r="EX97" s="166"/>
      <c r="EY97" s="166"/>
      <c r="EZ97" s="166"/>
      <c r="FA97" s="166"/>
      <c r="FB97" s="166"/>
      <c r="FC97" s="166"/>
    </row>
    <row r="98" spans="152:159" x14ac:dyDescent="0.15">
      <c r="EV98" s="166"/>
      <c r="EW98" s="166"/>
      <c r="EX98" s="166"/>
      <c r="EY98" s="166"/>
      <c r="EZ98" s="166"/>
      <c r="FA98" s="166"/>
      <c r="FB98" s="166"/>
      <c r="FC98" s="166"/>
    </row>
    <row r="99" spans="152:159" x14ac:dyDescent="0.15">
      <c r="EV99" s="166"/>
      <c r="EW99" s="166"/>
      <c r="EX99" s="166"/>
      <c r="EY99" s="166"/>
      <c r="EZ99" s="166"/>
      <c r="FA99" s="166"/>
      <c r="FB99" s="166"/>
      <c r="FC99" s="166"/>
    </row>
    <row r="100" spans="152:159" x14ac:dyDescent="0.15">
      <c r="EV100" s="166"/>
      <c r="EW100" s="166"/>
      <c r="EX100" s="166"/>
      <c r="EY100" s="166"/>
      <c r="EZ100" s="166"/>
      <c r="FA100" s="166"/>
      <c r="FB100" s="166"/>
      <c r="FC100" s="166"/>
    </row>
    <row r="101" spans="152:159" x14ac:dyDescent="0.15">
      <c r="EV101" s="166"/>
      <c r="EW101" s="166"/>
      <c r="EX101" s="166"/>
      <c r="EY101" s="166"/>
      <c r="EZ101" s="166"/>
      <c r="FA101" s="166"/>
      <c r="FB101" s="166"/>
      <c r="FC101" s="166"/>
    </row>
    <row r="102" spans="152:159" x14ac:dyDescent="0.15">
      <c r="EV102" s="166"/>
      <c r="EW102" s="166"/>
      <c r="EX102" s="166"/>
      <c r="EY102" s="166"/>
      <c r="EZ102" s="166"/>
      <c r="FA102" s="166"/>
      <c r="FB102" s="166"/>
      <c r="FC102" s="166"/>
    </row>
    <row r="103" spans="152:159" x14ac:dyDescent="0.15">
      <c r="EV103" s="166"/>
      <c r="EW103" s="166"/>
      <c r="EX103" s="166"/>
      <c r="EY103" s="166"/>
      <c r="EZ103" s="166"/>
      <c r="FA103" s="166"/>
      <c r="FB103" s="166"/>
      <c r="FC103" s="166"/>
    </row>
    <row r="104" spans="152:159" x14ac:dyDescent="0.15">
      <c r="EV104" s="166"/>
      <c r="EW104" s="166"/>
      <c r="EX104" s="166"/>
      <c r="EY104" s="166"/>
      <c r="EZ104" s="166"/>
      <c r="FA104" s="166"/>
      <c r="FB104" s="166"/>
      <c r="FC104" s="166"/>
    </row>
    <row r="105" spans="152:159" x14ac:dyDescent="0.15">
      <c r="EV105" s="166"/>
      <c r="EW105" s="166"/>
      <c r="EX105" s="166"/>
      <c r="EY105" s="166"/>
      <c r="EZ105" s="166"/>
      <c r="FA105" s="166"/>
      <c r="FB105" s="166"/>
      <c r="FC105" s="166"/>
    </row>
    <row r="106" spans="152:159" x14ac:dyDescent="0.15">
      <c r="EV106" s="166"/>
      <c r="EW106" s="166"/>
      <c r="EX106" s="166"/>
      <c r="EY106" s="166"/>
      <c r="EZ106" s="166"/>
      <c r="FA106" s="166"/>
      <c r="FB106" s="166"/>
      <c r="FC106" s="166"/>
    </row>
    <row r="107" spans="152:159" x14ac:dyDescent="0.15">
      <c r="EV107" s="166"/>
      <c r="EW107" s="166"/>
      <c r="EX107" s="166"/>
      <c r="EY107" s="166"/>
      <c r="EZ107" s="166"/>
      <c r="FA107" s="166"/>
      <c r="FB107" s="166"/>
      <c r="FC107" s="166"/>
    </row>
    <row r="108" spans="152:159" x14ac:dyDescent="0.15">
      <c r="EV108" s="166"/>
      <c r="EW108" s="166"/>
      <c r="EX108" s="166"/>
      <c r="EY108" s="166"/>
      <c r="EZ108" s="166"/>
      <c r="FA108" s="166"/>
      <c r="FB108" s="166"/>
      <c r="FC108" s="166"/>
    </row>
    <row r="109" spans="152:159" x14ac:dyDescent="0.15">
      <c r="EV109" s="166"/>
      <c r="EW109" s="166"/>
      <c r="EX109" s="166"/>
      <c r="EY109" s="166"/>
      <c r="EZ109" s="166"/>
      <c r="FA109" s="166"/>
      <c r="FB109" s="166"/>
      <c r="FC109" s="166"/>
    </row>
    <row r="110" spans="152:159" x14ac:dyDescent="0.15">
      <c r="EV110" s="166"/>
      <c r="EW110" s="166"/>
      <c r="EX110" s="166"/>
      <c r="EY110" s="166"/>
      <c r="EZ110" s="166"/>
      <c r="FA110" s="166"/>
      <c r="FB110" s="166"/>
      <c r="FC110" s="166"/>
    </row>
    <row r="111" spans="152:159" x14ac:dyDescent="0.15">
      <c r="EV111" s="166"/>
      <c r="EW111" s="166"/>
      <c r="EX111" s="166"/>
      <c r="EY111" s="166"/>
      <c r="EZ111" s="166"/>
      <c r="FA111" s="166"/>
      <c r="FB111" s="166"/>
      <c r="FC111" s="166"/>
    </row>
    <row r="112" spans="152:159" x14ac:dyDescent="0.15">
      <c r="EV112" s="166"/>
      <c r="EW112" s="166"/>
      <c r="EX112" s="166"/>
      <c r="EY112" s="166"/>
      <c r="EZ112" s="166"/>
      <c r="FA112" s="166"/>
      <c r="FB112" s="166"/>
      <c r="FC112" s="166"/>
    </row>
    <row r="113" spans="152:159" x14ac:dyDescent="0.15">
      <c r="EV113" s="166"/>
      <c r="EW113" s="166"/>
      <c r="EX113" s="166"/>
      <c r="EY113" s="166"/>
      <c r="EZ113" s="166"/>
      <c r="FA113" s="166"/>
      <c r="FB113" s="166"/>
      <c r="FC113" s="166"/>
    </row>
    <row r="114" spans="152:159" x14ac:dyDescent="0.15">
      <c r="EV114" s="166"/>
      <c r="EW114" s="166"/>
      <c r="EX114" s="166"/>
      <c r="EY114" s="166"/>
      <c r="EZ114" s="166"/>
      <c r="FA114" s="166"/>
      <c r="FB114" s="166"/>
      <c r="FC114" s="166"/>
    </row>
    <row r="115" spans="152:159" x14ac:dyDescent="0.15">
      <c r="EV115" s="166"/>
      <c r="EW115" s="166"/>
      <c r="EX115" s="166"/>
      <c r="EY115" s="166"/>
      <c r="EZ115" s="166"/>
      <c r="FA115" s="166"/>
      <c r="FB115" s="166"/>
      <c r="FC115" s="166"/>
    </row>
    <row r="116" spans="152:159" x14ac:dyDescent="0.15">
      <c r="EV116" s="166"/>
      <c r="EW116" s="166"/>
      <c r="EX116" s="166"/>
      <c r="EY116" s="166"/>
      <c r="EZ116" s="166"/>
      <c r="FA116" s="166"/>
      <c r="FB116" s="166"/>
      <c r="FC116" s="166"/>
    </row>
    <row r="117" spans="152:159" x14ac:dyDescent="0.15">
      <c r="EV117" s="166"/>
      <c r="EW117" s="166"/>
      <c r="EX117" s="166"/>
      <c r="EY117" s="166"/>
      <c r="EZ117" s="166"/>
      <c r="FA117" s="166"/>
      <c r="FB117" s="166"/>
      <c r="FC117" s="166"/>
    </row>
    <row r="118" spans="152:159" x14ac:dyDescent="0.15">
      <c r="EV118" s="166"/>
      <c r="EW118" s="166"/>
      <c r="EX118" s="166"/>
      <c r="EY118" s="166"/>
      <c r="EZ118" s="166"/>
      <c r="FA118" s="166"/>
      <c r="FB118" s="166"/>
      <c r="FC118" s="166"/>
    </row>
    <row r="119" spans="152:159" x14ac:dyDescent="0.15">
      <c r="EV119" s="166"/>
      <c r="EW119" s="166"/>
      <c r="EX119" s="166"/>
      <c r="EY119" s="166"/>
      <c r="EZ119" s="166"/>
      <c r="FA119" s="166"/>
      <c r="FB119" s="166"/>
      <c r="FC119" s="166"/>
    </row>
    <row r="120" spans="152:159" x14ac:dyDescent="0.15">
      <c r="EV120" s="166"/>
      <c r="EW120" s="166"/>
      <c r="EX120" s="166"/>
      <c r="EY120" s="166"/>
      <c r="EZ120" s="166"/>
      <c r="FA120" s="166"/>
      <c r="FB120" s="166"/>
      <c r="FC120" s="166"/>
    </row>
    <row r="121" spans="152:159" x14ac:dyDescent="0.15">
      <c r="EV121" s="166"/>
      <c r="EW121" s="166"/>
      <c r="EX121" s="166"/>
      <c r="EY121" s="166"/>
      <c r="EZ121" s="166"/>
      <c r="FA121" s="166"/>
      <c r="FB121" s="166"/>
      <c r="FC121" s="166"/>
    </row>
    <row r="122" spans="152:159" x14ac:dyDescent="0.15">
      <c r="EV122" s="166"/>
      <c r="EW122" s="166"/>
      <c r="EX122" s="166"/>
      <c r="EY122" s="166"/>
      <c r="EZ122" s="166"/>
      <c r="FA122" s="166"/>
      <c r="FB122" s="166"/>
      <c r="FC122" s="166"/>
    </row>
    <row r="123" spans="152:159" x14ac:dyDescent="0.15">
      <c r="EV123" s="166"/>
      <c r="EW123" s="166"/>
      <c r="EX123" s="166"/>
      <c r="EY123" s="166"/>
      <c r="EZ123" s="166"/>
      <c r="FA123" s="166"/>
      <c r="FB123" s="166"/>
      <c r="FC123" s="166"/>
    </row>
    <row r="124" spans="152:159" x14ac:dyDescent="0.15">
      <c r="EV124" s="166"/>
      <c r="EW124" s="166"/>
      <c r="EX124" s="166"/>
      <c r="EY124" s="166"/>
      <c r="EZ124" s="166"/>
      <c r="FA124" s="166"/>
      <c r="FB124" s="166"/>
      <c r="FC124" s="166"/>
    </row>
    <row r="125" spans="152:159" x14ac:dyDescent="0.15">
      <c r="EV125" s="166"/>
      <c r="EW125" s="166"/>
      <c r="EX125" s="166"/>
      <c r="EY125" s="166"/>
      <c r="EZ125" s="166"/>
      <c r="FA125" s="166"/>
      <c r="FB125" s="166"/>
      <c r="FC125" s="166"/>
    </row>
    <row r="126" spans="152:159" x14ac:dyDescent="0.15">
      <c r="EV126" s="166"/>
      <c r="EW126" s="166"/>
      <c r="EX126" s="166"/>
      <c r="EY126" s="166"/>
      <c r="EZ126" s="166"/>
      <c r="FA126" s="166"/>
      <c r="FB126" s="166"/>
      <c r="FC126" s="166"/>
    </row>
    <row r="127" spans="152:159" x14ac:dyDescent="0.15">
      <c r="EV127" s="166"/>
      <c r="EW127" s="166"/>
      <c r="EX127" s="166"/>
      <c r="EY127" s="166"/>
      <c r="EZ127" s="166"/>
      <c r="FA127" s="166"/>
      <c r="FB127" s="166"/>
      <c r="FC127" s="166"/>
    </row>
    <row r="128" spans="152:159" x14ac:dyDescent="0.15">
      <c r="EV128" s="166"/>
      <c r="EW128" s="166"/>
      <c r="EX128" s="166"/>
      <c r="EY128" s="166"/>
      <c r="EZ128" s="166"/>
      <c r="FA128" s="166"/>
      <c r="FB128" s="166"/>
      <c r="FC128" s="166"/>
    </row>
    <row r="129" spans="152:159" x14ac:dyDescent="0.15">
      <c r="EV129" s="166"/>
      <c r="EW129" s="166"/>
      <c r="EX129" s="166"/>
      <c r="EY129" s="166"/>
      <c r="EZ129" s="166"/>
      <c r="FA129" s="166"/>
      <c r="FB129" s="166"/>
      <c r="FC129" s="166"/>
    </row>
    <row r="130" spans="152:159" x14ac:dyDescent="0.15">
      <c r="EV130" s="166"/>
      <c r="EW130" s="166"/>
      <c r="EX130" s="166"/>
      <c r="EY130" s="166"/>
      <c r="EZ130" s="166"/>
      <c r="FA130" s="166"/>
      <c r="FB130" s="166"/>
      <c r="FC130" s="166"/>
    </row>
    <row r="131" spans="152:159" x14ac:dyDescent="0.15">
      <c r="EV131" s="166"/>
      <c r="EW131" s="166"/>
      <c r="EX131" s="166"/>
      <c r="EY131" s="166"/>
      <c r="EZ131" s="166"/>
      <c r="FA131" s="166"/>
      <c r="FB131" s="166"/>
      <c r="FC131" s="166"/>
    </row>
    <row r="132" spans="152:159" x14ac:dyDescent="0.15">
      <c r="EV132" s="166"/>
      <c r="EW132" s="166"/>
      <c r="EX132" s="166"/>
      <c r="EY132" s="166"/>
      <c r="EZ132" s="166"/>
      <c r="FA132" s="166"/>
      <c r="FB132" s="166"/>
      <c r="FC132" s="166"/>
    </row>
    <row r="133" spans="152:159" x14ac:dyDescent="0.15">
      <c r="EV133" s="166"/>
      <c r="EW133" s="166"/>
      <c r="EX133" s="166"/>
      <c r="EY133" s="166"/>
      <c r="EZ133" s="166"/>
      <c r="FA133" s="166"/>
      <c r="FB133" s="166"/>
      <c r="FC133" s="166"/>
    </row>
    <row r="134" spans="152:159" x14ac:dyDescent="0.15">
      <c r="EV134" s="166"/>
      <c r="EW134" s="166"/>
      <c r="EX134" s="166"/>
      <c r="EY134" s="166"/>
      <c r="EZ134" s="166"/>
      <c r="FA134" s="166"/>
      <c r="FB134" s="166"/>
      <c r="FC134" s="166"/>
    </row>
    <row r="135" spans="152:159" x14ac:dyDescent="0.15">
      <c r="EV135" s="166"/>
      <c r="EW135" s="166"/>
      <c r="EX135" s="166"/>
      <c r="EY135" s="166"/>
      <c r="EZ135" s="166"/>
      <c r="FA135" s="166"/>
      <c r="FB135" s="166"/>
      <c r="FC135" s="166"/>
    </row>
    <row r="136" spans="152:159" x14ac:dyDescent="0.15">
      <c r="EV136" s="166"/>
      <c r="EW136" s="166"/>
      <c r="EX136" s="166"/>
      <c r="EY136" s="166"/>
      <c r="EZ136" s="166"/>
      <c r="FA136" s="166"/>
      <c r="FB136" s="166"/>
      <c r="FC136" s="166"/>
    </row>
    <row r="137" spans="152:159" x14ac:dyDescent="0.15">
      <c r="EV137" s="166"/>
      <c r="EW137" s="166"/>
      <c r="EX137" s="166"/>
      <c r="EY137" s="166"/>
      <c r="EZ137" s="166"/>
      <c r="FA137" s="166"/>
      <c r="FB137" s="166"/>
      <c r="FC137" s="166"/>
    </row>
    <row r="138" spans="152:159" x14ac:dyDescent="0.15">
      <c r="EV138" s="166"/>
      <c r="EW138" s="166"/>
      <c r="EX138" s="166"/>
      <c r="EY138" s="166"/>
      <c r="EZ138" s="166"/>
      <c r="FA138" s="166"/>
      <c r="FB138" s="166"/>
      <c r="FC138" s="166"/>
    </row>
    <row r="139" spans="152:159" x14ac:dyDescent="0.15">
      <c r="EV139" s="166"/>
      <c r="EW139" s="166"/>
      <c r="EX139" s="166"/>
      <c r="EY139" s="166"/>
      <c r="EZ139" s="166"/>
      <c r="FA139" s="166"/>
      <c r="FB139" s="166"/>
      <c r="FC139" s="166"/>
    </row>
    <row r="140" spans="152:159" x14ac:dyDescent="0.15">
      <c r="EV140" s="166"/>
      <c r="EW140" s="166"/>
      <c r="EX140" s="166"/>
      <c r="EY140" s="166"/>
      <c r="EZ140" s="166"/>
      <c r="FA140" s="166"/>
      <c r="FB140" s="166"/>
      <c r="FC140" s="166"/>
    </row>
    <row r="141" spans="152:159" x14ac:dyDescent="0.15">
      <c r="EV141" s="166"/>
      <c r="EW141" s="166"/>
      <c r="EX141" s="166"/>
      <c r="EY141" s="166"/>
      <c r="EZ141" s="166"/>
      <c r="FA141" s="166"/>
      <c r="FB141" s="166"/>
      <c r="FC141" s="166"/>
    </row>
    <row r="142" spans="152:159" x14ac:dyDescent="0.15">
      <c r="EV142" s="166"/>
      <c r="EW142" s="166"/>
      <c r="EX142" s="166"/>
      <c r="EY142" s="166"/>
      <c r="EZ142" s="166"/>
      <c r="FA142" s="166"/>
      <c r="FB142" s="166"/>
      <c r="FC142" s="166"/>
    </row>
    <row r="143" spans="152:159" x14ac:dyDescent="0.15">
      <c r="EV143" s="166"/>
      <c r="EW143" s="166"/>
      <c r="EX143" s="166"/>
      <c r="EY143" s="166"/>
      <c r="EZ143" s="166"/>
      <c r="FA143" s="166"/>
      <c r="FB143" s="166"/>
      <c r="FC143" s="166"/>
    </row>
    <row r="144" spans="152:159" x14ac:dyDescent="0.15">
      <c r="EV144" s="166"/>
      <c r="EW144" s="166"/>
      <c r="EX144" s="166"/>
      <c r="EY144" s="166"/>
      <c r="EZ144" s="166"/>
      <c r="FA144" s="166"/>
      <c r="FB144" s="166"/>
      <c r="FC144" s="166"/>
    </row>
    <row r="145" spans="152:159" x14ac:dyDescent="0.15">
      <c r="EV145" s="166"/>
      <c r="EW145" s="166"/>
      <c r="EX145" s="166"/>
      <c r="EY145" s="166"/>
      <c r="EZ145" s="166"/>
      <c r="FA145" s="166"/>
      <c r="FB145" s="166"/>
      <c r="FC145" s="166"/>
    </row>
    <row r="146" spans="152:159" x14ac:dyDescent="0.15">
      <c r="EV146" s="166"/>
      <c r="EW146" s="166"/>
      <c r="EX146" s="166"/>
      <c r="EY146" s="166"/>
      <c r="EZ146" s="166"/>
      <c r="FA146" s="166"/>
      <c r="FB146" s="166"/>
      <c r="FC146" s="166"/>
    </row>
    <row r="147" spans="152:159" x14ac:dyDescent="0.15">
      <c r="EV147" s="166"/>
      <c r="EW147" s="166"/>
      <c r="EX147" s="166"/>
      <c r="EY147" s="166"/>
      <c r="EZ147" s="166"/>
      <c r="FA147" s="166"/>
      <c r="FB147" s="166"/>
      <c r="FC147" s="166"/>
    </row>
    <row r="148" spans="152:159" x14ac:dyDescent="0.15">
      <c r="EV148" s="166"/>
      <c r="EW148" s="166"/>
      <c r="EX148" s="166"/>
      <c r="EY148" s="166"/>
      <c r="EZ148" s="166"/>
      <c r="FA148" s="166"/>
      <c r="FB148" s="166"/>
      <c r="FC148" s="166"/>
    </row>
    <row r="149" spans="152:159" x14ac:dyDescent="0.15">
      <c r="EV149" s="166"/>
      <c r="EW149" s="166"/>
      <c r="EX149" s="166"/>
      <c r="EY149" s="166"/>
      <c r="EZ149" s="166"/>
      <c r="FA149" s="166"/>
      <c r="FB149" s="166"/>
      <c r="FC149" s="166"/>
    </row>
    <row r="150" spans="152:159" x14ac:dyDescent="0.15">
      <c r="EV150" s="166"/>
      <c r="EW150" s="166"/>
      <c r="EX150" s="166"/>
      <c r="EY150" s="166"/>
      <c r="EZ150" s="166"/>
      <c r="FA150" s="166"/>
      <c r="FB150" s="166"/>
      <c r="FC150" s="166"/>
    </row>
    <row r="151" spans="152:159" x14ac:dyDescent="0.15">
      <c r="EV151" s="166"/>
      <c r="EW151" s="166"/>
      <c r="EX151" s="166"/>
      <c r="EY151" s="166"/>
      <c r="EZ151" s="166"/>
      <c r="FA151" s="166"/>
      <c r="FB151" s="166"/>
      <c r="FC151" s="166"/>
    </row>
    <row r="152" spans="152:159" x14ac:dyDescent="0.15">
      <c r="EV152" s="166"/>
      <c r="EW152" s="166"/>
      <c r="EX152" s="166"/>
      <c r="EY152" s="166"/>
      <c r="EZ152" s="166"/>
      <c r="FA152" s="166"/>
      <c r="FB152" s="166"/>
      <c r="FC152" s="166"/>
    </row>
    <row r="153" spans="152:159" x14ac:dyDescent="0.15">
      <c r="EV153" s="166"/>
      <c r="EW153" s="166"/>
      <c r="EX153" s="166"/>
      <c r="EY153" s="166"/>
      <c r="EZ153" s="166"/>
      <c r="FA153" s="166"/>
      <c r="FB153" s="166"/>
      <c r="FC153" s="166"/>
    </row>
    <row r="154" spans="152:159" x14ac:dyDescent="0.15">
      <c r="EV154" s="166"/>
      <c r="EW154" s="166"/>
      <c r="EX154" s="166"/>
      <c r="EY154" s="166"/>
      <c r="EZ154" s="166"/>
      <c r="FA154" s="166"/>
      <c r="FB154" s="166"/>
      <c r="FC154" s="166"/>
    </row>
    <row r="155" spans="152:159" x14ac:dyDescent="0.15">
      <c r="EV155" s="166"/>
      <c r="EW155" s="166"/>
      <c r="EX155" s="166"/>
      <c r="EY155" s="166"/>
      <c r="EZ155" s="166"/>
      <c r="FA155" s="166"/>
      <c r="FB155" s="166"/>
      <c r="FC155" s="166"/>
    </row>
    <row r="156" spans="152:159" x14ac:dyDescent="0.15">
      <c r="EV156" s="166"/>
      <c r="EW156" s="166"/>
      <c r="EX156" s="166"/>
      <c r="EY156" s="166"/>
      <c r="EZ156" s="166"/>
      <c r="FA156" s="166"/>
      <c r="FB156" s="166"/>
      <c r="FC156" s="166"/>
    </row>
    <row r="157" spans="152:159" x14ac:dyDescent="0.15">
      <c r="EV157" s="166"/>
      <c r="EW157" s="166"/>
      <c r="EX157" s="166"/>
      <c r="EY157" s="166"/>
      <c r="EZ157" s="166"/>
      <c r="FA157" s="166"/>
      <c r="FB157" s="166"/>
      <c r="FC157" s="166"/>
    </row>
    <row r="158" spans="152:159" x14ac:dyDescent="0.15">
      <c r="EV158" s="166"/>
      <c r="EW158" s="166"/>
      <c r="EX158" s="166"/>
      <c r="EY158" s="166"/>
      <c r="EZ158" s="166"/>
      <c r="FA158" s="166"/>
      <c r="FB158" s="166"/>
      <c r="FC158" s="166"/>
    </row>
    <row r="159" spans="152:159" x14ac:dyDescent="0.15">
      <c r="EV159" s="166"/>
      <c r="EW159" s="166"/>
      <c r="EX159" s="166"/>
      <c r="EY159" s="166"/>
      <c r="EZ159" s="166"/>
      <c r="FA159" s="166"/>
      <c r="FB159" s="166"/>
      <c r="FC159" s="166"/>
    </row>
    <row r="160" spans="152:159" x14ac:dyDescent="0.15">
      <c r="EV160" s="166"/>
      <c r="EW160" s="166"/>
      <c r="EX160" s="166"/>
      <c r="EY160" s="166"/>
      <c r="EZ160" s="166"/>
      <c r="FA160" s="166"/>
      <c r="FB160" s="166"/>
      <c r="FC160" s="166"/>
    </row>
    <row r="161" spans="152:159" x14ac:dyDescent="0.15">
      <c r="EV161" s="166"/>
      <c r="EW161" s="166"/>
      <c r="EX161" s="166"/>
      <c r="EY161" s="166"/>
      <c r="EZ161" s="166"/>
      <c r="FA161" s="166"/>
      <c r="FB161" s="166"/>
      <c r="FC161" s="166"/>
    </row>
    <row r="162" spans="152:159" x14ac:dyDescent="0.15">
      <c r="EV162" s="166"/>
      <c r="EW162" s="166"/>
      <c r="EX162" s="166"/>
      <c r="EY162" s="166"/>
      <c r="EZ162" s="166"/>
      <c r="FA162" s="166"/>
      <c r="FB162" s="166"/>
      <c r="FC162" s="166"/>
    </row>
    <row r="163" spans="152:159" x14ac:dyDescent="0.15">
      <c r="EV163" s="166"/>
      <c r="EW163" s="166"/>
      <c r="EX163" s="166"/>
      <c r="EY163" s="166"/>
      <c r="EZ163" s="166"/>
      <c r="FA163" s="166"/>
      <c r="FB163" s="166"/>
      <c r="FC163" s="166"/>
    </row>
    <row r="164" spans="152:159" x14ac:dyDescent="0.15">
      <c r="EV164" s="166"/>
      <c r="EW164" s="166"/>
      <c r="EX164" s="166"/>
      <c r="EY164" s="166"/>
      <c r="EZ164" s="166"/>
      <c r="FA164" s="166"/>
      <c r="FB164" s="166"/>
      <c r="FC164" s="166"/>
    </row>
    <row r="165" spans="152:159" x14ac:dyDescent="0.15">
      <c r="EV165" s="166"/>
      <c r="EW165" s="166"/>
      <c r="EX165" s="166"/>
      <c r="EY165" s="166"/>
      <c r="EZ165" s="166"/>
      <c r="FA165" s="166"/>
      <c r="FB165" s="166"/>
      <c r="FC165" s="166"/>
    </row>
    <row r="166" spans="152:159" x14ac:dyDescent="0.15">
      <c r="EV166" s="166"/>
      <c r="EW166" s="166"/>
      <c r="EX166" s="166"/>
      <c r="EY166" s="166"/>
      <c r="EZ166" s="166"/>
      <c r="FA166" s="166"/>
      <c r="FB166" s="166"/>
      <c r="FC166" s="166"/>
    </row>
    <row r="167" spans="152:159" x14ac:dyDescent="0.15">
      <c r="EV167" s="166"/>
      <c r="EW167" s="166"/>
      <c r="EX167" s="166"/>
      <c r="EY167" s="166"/>
      <c r="EZ167" s="166"/>
      <c r="FA167" s="166"/>
      <c r="FB167" s="166"/>
      <c r="FC167" s="166"/>
    </row>
    <row r="168" spans="152:159" x14ac:dyDescent="0.15">
      <c r="EV168" s="166"/>
      <c r="EW168" s="166"/>
      <c r="EX168" s="166"/>
      <c r="EY168" s="166"/>
      <c r="EZ168" s="166"/>
      <c r="FA168" s="166"/>
      <c r="FB168" s="166"/>
      <c r="FC168" s="166"/>
    </row>
    <row r="169" spans="152:159" x14ac:dyDescent="0.15">
      <c r="EV169" s="166"/>
      <c r="EW169" s="166"/>
      <c r="EX169" s="166"/>
      <c r="EY169" s="166"/>
      <c r="EZ169" s="166"/>
      <c r="FA169" s="166"/>
      <c r="FB169" s="166"/>
      <c r="FC169" s="166"/>
    </row>
    <row r="170" spans="152:159" x14ac:dyDescent="0.15">
      <c r="EV170" s="166"/>
      <c r="EW170" s="166"/>
      <c r="EX170" s="166"/>
      <c r="EY170" s="166"/>
      <c r="EZ170" s="166"/>
      <c r="FA170" s="166"/>
      <c r="FB170" s="166"/>
      <c r="FC170" s="166"/>
    </row>
    <row r="171" spans="152:159" x14ac:dyDescent="0.15">
      <c r="EV171" s="166"/>
      <c r="EW171" s="166"/>
      <c r="EX171" s="166"/>
      <c r="EY171" s="166"/>
      <c r="EZ171" s="166"/>
      <c r="FA171" s="166"/>
      <c r="FB171" s="166"/>
      <c r="FC171" s="166"/>
    </row>
    <row r="172" spans="152:159" x14ac:dyDescent="0.15">
      <c r="EV172" s="166"/>
      <c r="EW172" s="166"/>
      <c r="EX172" s="166"/>
      <c r="EY172" s="166"/>
      <c r="EZ172" s="166"/>
      <c r="FA172" s="166"/>
      <c r="FB172" s="166"/>
      <c r="FC172" s="166"/>
    </row>
    <row r="173" spans="152:159" x14ac:dyDescent="0.15">
      <c r="EV173" s="166"/>
      <c r="EW173" s="166"/>
      <c r="EX173" s="166"/>
      <c r="EY173" s="166"/>
      <c r="EZ173" s="166"/>
      <c r="FA173" s="166"/>
      <c r="FB173" s="166"/>
      <c r="FC173" s="166"/>
    </row>
    <row r="174" spans="152:159" x14ac:dyDescent="0.15">
      <c r="EV174" s="166"/>
      <c r="EW174" s="166"/>
      <c r="EX174" s="166"/>
      <c r="EY174" s="166"/>
      <c r="EZ174" s="166"/>
      <c r="FA174" s="166"/>
      <c r="FB174" s="166"/>
      <c r="FC174" s="166"/>
    </row>
    <row r="175" spans="152:159" x14ac:dyDescent="0.15">
      <c r="EV175" s="166"/>
      <c r="EW175" s="166"/>
      <c r="EX175" s="166"/>
      <c r="EY175" s="166"/>
      <c r="EZ175" s="166"/>
      <c r="FA175" s="166"/>
      <c r="FB175" s="166"/>
      <c r="FC175" s="166"/>
    </row>
    <row r="176" spans="152:159" x14ac:dyDescent="0.15">
      <c r="EV176" s="166"/>
      <c r="EW176" s="166"/>
      <c r="EX176" s="166"/>
      <c r="EY176" s="166"/>
      <c r="EZ176" s="166"/>
      <c r="FA176" s="166"/>
      <c r="FB176" s="166"/>
      <c r="FC176" s="166"/>
    </row>
    <row r="177" spans="152:159" x14ac:dyDescent="0.15">
      <c r="EV177" s="166"/>
      <c r="EW177" s="166"/>
      <c r="EX177" s="166"/>
      <c r="EY177" s="166"/>
      <c r="EZ177" s="166"/>
      <c r="FA177" s="166"/>
      <c r="FB177" s="166"/>
      <c r="FC177" s="166"/>
    </row>
    <row r="178" spans="152:159" x14ac:dyDescent="0.15">
      <c r="EV178" s="166"/>
      <c r="EW178" s="166"/>
      <c r="EX178" s="166"/>
      <c r="EY178" s="166"/>
      <c r="EZ178" s="166"/>
      <c r="FA178" s="166"/>
      <c r="FB178" s="166"/>
      <c r="FC178" s="166"/>
    </row>
    <row r="179" spans="152:159" x14ac:dyDescent="0.15">
      <c r="EV179" s="166"/>
      <c r="EW179" s="166"/>
      <c r="EX179" s="166"/>
      <c r="EY179" s="166"/>
      <c r="EZ179" s="166"/>
      <c r="FA179" s="166"/>
      <c r="FB179" s="166"/>
      <c r="FC179" s="166"/>
    </row>
    <row r="180" spans="152:159" x14ac:dyDescent="0.15">
      <c r="EV180" s="166"/>
      <c r="EW180" s="166"/>
      <c r="EX180" s="166"/>
      <c r="EY180" s="166"/>
      <c r="EZ180" s="166"/>
      <c r="FA180" s="166"/>
      <c r="FB180" s="166"/>
      <c r="FC180" s="166"/>
    </row>
  </sheetData>
  <sheetProtection sheet="1" objects="1" scenarios="1" formatCells="0" formatColumns="0" formatRows="0"/>
  <mergeCells count="270">
    <mergeCell ref="CL2:DC2"/>
    <mergeCell ref="DE2:DF2"/>
    <mergeCell ref="DH2:DI2"/>
    <mergeCell ref="DK2:DL2"/>
    <mergeCell ref="C1:S2"/>
    <mergeCell ref="U1:AK2"/>
    <mergeCell ref="AO1:AY1"/>
    <mergeCell ref="CL1:DL1"/>
    <mergeCell ref="DZ1:EW1"/>
    <mergeCell ref="AO2:AS2"/>
    <mergeCell ref="AT2:AU2"/>
    <mergeCell ref="AV2:AW2"/>
    <mergeCell ref="AX2:AY2"/>
    <mergeCell ref="ET2:EU2"/>
    <mergeCell ref="EV2:EW2"/>
    <mergeCell ref="EX2:EY2"/>
    <mergeCell ref="EZ2:FA2"/>
    <mergeCell ref="FB2:FC2"/>
    <mergeCell ref="FD2:FI2"/>
    <mergeCell ref="DM2:DN2"/>
    <mergeCell ref="DO2:DP2"/>
    <mergeCell ref="DQ2:DR2"/>
    <mergeCell ref="DS2:DX2"/>
    <mergeCell ref="DZ2:EQ2"/>
    <mergeCell ref="ER2:ES2"/>
    <mergeCell ref="CN3:CQ3"/>
    <mergeCell ref="CX3:DA3"/>
    <mergeCell ref="EB3:EE3"/>
    <mergeCell ref="EL3:EO3"/>
    <mergeCell ref="AO4:AP4"/>
    <mergeCell ref="D3:G3"/>
    <mergeCell ref="N3:Q3"/>
    <mergeCell ref="V3:Y3"/>
    <mergeCell ref="AF3:AI3"/>
    <mergeCell ref="AX7:AX8"/>
    <mergeCell ref="AT5:AT6"/>
    <mergeCell ref="AU5:AU10"/>
    <mergeCell ref="AV5:AV6"/>
    <mergeCell ref="AW5:AW10"/>
    <mergeCell ref="AX5:AX6"/>
    <mergeCell ref="AY5:AY10"/>
    <mergeCell ref="AT9:AT10"/>
    <mergeCell ref="AV9:AV10"/>
    <mergeCell ref="AX9:AX10"/>
    <mergeCell ref="A11:A16"/>
    <mergeCell ref="AO11:AO12"/>
    <mergeCell ref="AP11:AP12"/>
    <mergeCell ref="AQ11:AQ16"/>
    <mergeCell ref="AR11:AR16"/>
    <mergeCell ref="AO7:AO8"/>
    <mergeCell ref="AP7:AP8"/>
    <mergeCell ref="AT7:AT8"/>
    <mergeCell ref="AV7:AV8"/>
    <mergeCell ref="A5:A10"/>
    <mergeCell ref="AO5:AO6"/>
    <mergeCell ref="AP5:AP6"/>
    <mergeCell ref="AQ5:AQ10"/>
    <mergeCell ref="AR5:AR10"/>
    <mergeCell ref="AS5:AS10"/>
    <mergeCell ref="AO9:AO10"/>
    <mergeCell ref="AP9:AP10"/>
    <mergeCell ref="AY11:AY16"/>
    <mergeCell ref="AO13:AO14"/>
    <mergeCell ref="AP13:AP14"/>
    <mergeCell ref="AT13:AT14"/>
    <mergeCell ref="AV13:AV14"/>
    <mergeCell ref="AX13:AX14"/>
    <mergeCell ref="AO15:AO16"/>
    <mergeCell ref="AP15:AP16"/>
    <mergeCell ref="AT15:AT16"/>
    <mergeCell ref="AV15:AV16"/>
    <mergeCell ref="AS11:AS16"/>
    <mergeCell ref="AT11:AT12"/>
    <mergeCell ref="AU11:AU16"/>
    <mergeCell ref="AV11:AV12"/>
    <mergeCell ref="AW11:AW16"/>
    <mergeCell ref="AX11:AX12"/>
    <mergeCell ref="AX15:AX16"/>
    <mergeCell ref="AT17:AT18"/>
    <mergeCell ref="AU17:AU22"/>
    <mergeCell ref="AV17:AV18"/>
    <mergeCell ref="AW17:AW22"/>
    <mergeCell ref="AX17:AX18"/>
    <mergeCell ref="AY17:AY22"/>
    <mergeCell ref="AT19:AT20"/>
    <mergeCell ref="AV19:AV20"/>
    <mergeCell ref="AX19:AX20"/>
    <mergeCell ref="AT21:AT22"/>
    <mergeCell ref="AV21:AV22"/>
    <mergeCell ref="AX21:AX22"/>
    <mergeCell ref="A17:A22"/>
    <mergeCell ref="AO17:AO18"/>
    <mergeCell ref="AP17:AP18"/>
    <mergeCell ref="AQ17:AQ22"/>
    <mergeCell ref="AR17:AR22"/>
    <mergeCell ref="AS17:AS22"/>
    <mergeCell ref="AO19:AO20"/>
    <mergeCell ref="AP19:AP20"/>
    <mergeCell ref="AO21:AO22"/>
    <mergeCell ref="AP21:AP22"/>
    <mergeCell ref="A29:A34"/>
    <mergeCell ref="AO29:AO30"/>
    <mergeCell ref="AP29:AP30"/>
    <mergeCell ref="AQ29:AQ34"/>
    <mergeCell ref="AR29:AR34"/>
    <mergeCell ref="AS29:AS34"/>
    <mergeCell ref="AV23:AV24"/>
    <mergeCell ref="AW23:AW28"/>
    <mergeCell ref="AX23:AX24"/>
    <mergeCell ref="AO25:AO26"/>
    <mergeCell ref="AP25:AP26"/>
    <mergeCell ref="AT25:AT26"/>
    <mergeCell ref="AV25:AV26"/>
    <mergeCell ref="AX25:AX26"/>
    <mergeCell ref="AO27:AO28"/>
    <mergeCell ref="AT29:AT30"/>
    <mergeCell ref="AU29:AU34"/>
    <mergeCell ref="AV29:AV30"/>
    <mergeCell ref="AW29:AW34"/>
    <mergeCell ref="AX29:AX30"/>
    <mergeCell ref="A23:A28"/>
    <mergeCell ref="AO23:AO24"/>
    <mergeCell ref="AP23:AP24"/>
    <mergeCell ref="AQ23:AQ28"/>
    <mergeCell ref="AY29:AY34"/>
    <mergeCell ref="AP27:AP28"/>
    <mergeCell ref="AT27:AT28"/>
    <mergeCell ref="AV27:AV28"/>
    <mergeCell ref="AX27:AX28"/>
    <mergeCell ref="AY23:AY28"/>
    <mergeCell ref="AO31:AO32"/>
    <mergeCell ref="AP31:AP32"/>
    <mergeCell ref="AT31:AT32"/>
    <mergeCell ref="AV31:AV32"/>
    <mergeCell ref="AX31:AX32"/>
    <mergeCell ref="AO33:AO34"/>
    <mergeCell ref="AP33:AP34"/>
    <mergeCell ref="AT33:AT34"/>
    <mergeCell ref="AV33:AV34"/>
    <mergeCell ref="AX33:AX34"/>
    <mergeCell ref="AR23:AR28"/>
    <mergeCell ref="AS23:AS28"/>
    <mergeCell ref="AT23:AT24"/>
    <mergeCell ref="AU23:AU28"/>
    <mergeCell ref="AT35:AT36"/>
    <mergeCell ref="AU35:AU40"/>
    <mergeCell ref="AV35:AV36"/>
    <mergeCell ref="AW35:AW40"/>
    <mergeCell ref="AX35:AX36"/>
    <mergeCell ref="AY35:AY40"/>
    <mergeCell ref="AT37:AT38"/>
    <mergeCell ref="AV37:AV38"/>
    <mergeCell ref="AX37:AX38"/>
    <mergeCell ref="AT39:AT40"/>
    <mergeCell ref="AV39:AV40"/>
    <mergeCell ref="AX39:AX40"/>
    <mergeCell ref="AP39:AP40"/>
    <mergeCell ref="A43:V43"/>
    <mergeCell ref="A44:L44"/>
    <mergeCell ref="Q44:R44"/>
    <mergeCell ref="S44:T44"/>
    <mergeCell ref="U44:V44"/>
    <mergeCell ref="W44:X44"/>
    <mergeCell ref="Y44:Z44"/>
    <mergeCell ref="AA44:AB44"/>
    <mergeCell ref="A35:A40"/>
    <mergeCell ref="AC44:AH44"/>
    <mergeCell ref="Q49:Q50"/>
    <mergeCell ref="S49:S50"/>
    <mergeCell ref="U49:U50"/>
    <mergeCell ref="W49:W50"/>
    <mergeCell ref="Y47:Y48"/>
    <mergeCell ref="Z47:Z52"/>
    <mergeCell ref="AA47:AA48"/>
    <mergeCell ref="AB47:AB52"/>
    <mergeCell ref="AC47:AC48"/>
    <mergeCell ref="Y51:Y52"/>
    <mergeCell ref="S47:S48"/>
    <mergeCell ref="T47:T52"/>
    <mergeCell ref="U47:U48"/>
    <mergeCell ref="V47:V52"/>
    <mergeCell ref="W47:W48"/>
    <mergeCell ref="AA51:AA52"/>
    <mergeCell ref="AC51:AC52"/>
    <mergeCell ref="Y49:Y50"/>
    <mergeCell ref="AA49:AA50"/>
    <mergeCell ref="AC49:AC50"/>
    <mergeCell ref="C45:F45"/>
    <mergeCell ref="M45:P45"/>
    <mergeCell ref="A46:B46"/>
    <mergeCell ref="A47:A48"/>
    <mergeCell ref="B47:B48"/>
    <mergeCell ref="C47:C52"/>
    <mergeCell ref="D47:D52"/>
    <mergeCell ref="E47:E52"/>
    <mergeCell ref="F47:F52"/>
    <mergeCell ref="A49:A50"/>
    <mergeCell ref="B49:B50"/>
    <mergeCell ref="AF47:AF52"/>
    <mergeCell ref="AG47:AG52"/>
    <mergeCell ref="AH47:AH52"/>
    <mergeCell ref="A51:A52"/>
    <mergeCell ref="B51:B52"/>
    <mergeCell ref="Q51:Q52"/>
    <mergeCell ref="S51:S52"/>
    <mergeCell ref="U51:U52"/>
    <mergeCell ref="W51:W52"/>
    <mergeCell ref="AE47:AE52"/>
    <mergeCell ref="X47:X52"/>
    <mergeCell ref="M47:M52"/>
    <mergeCell ref="N47:N52"/>
    <mergeCell ref="O47:O52"/>
    <mergeCell ref="P47:P52"/>
    <mergeCell ref="Q47:Q48"/>
    <mergeCell ref="R47:R52"/>
    <mergeCell ref="G47:G52"/>
    <mergeCell ref="H47:H52"/>
    <mergeCell ref="I47:I52"/>
    <mergeCell ref="J47:J52"/>
    <mergeCell ref="K47:K52"/>
    <mergeCell ref="L47:L52"/>
    <mergeCell ref="AD47:AD52"/>
    <mergeCell ref="FK2:FL2"/>
    <mergeCell ref="FM2:FN2"/>
    <mergeCell ref="FP2:FQ2"/>
    <mergeCell ref="FR2:FS2"/>
    <mergeCell ref="AI44:AJ44"/>
    <mergeCell ref="AK44:AL44"/>
    <mergeCell ref="AI46:AJ46"/>
    <mergeCell ref="AK46:AL46"/>
    <mergeCell ref="AI47:AI48"/>
    <mergeCell ref="AJ47:AJ52"/>
    <mergeCell ref="AK47:AK48"/>
    <mergeCell ref="AL47:AL52"/>
    <mergeCell ref="AI49:AI50"/>
    <mergeCell ref="AK49:AK50"/>
    <mergeCell ref="AI51:AI52"/>
    <mergeCell ref="AK51:AK52"/>
    <mergeCell ref="AO35:AO36"/>
    <mergeCell ref="AP35:AP36"/>
    <mergeCell ref="AQ35:AQ40"/>
    <mergeCell ref="AR35:AR40"/>
    <mergeCell ref="AS35:AS40"/>
    <mergeCell ref="AO37:AO38"/>
    <mergeCell ref="AP37:AP38"/>
    <mergeCell ref="AO39:AO40"/>
    <mergeCell ref="AZ5:AZ6"/>
    <mergeCell ref="BA5:BA10"/>
    <mergeCell ref="AZ7:AZ8"/>
    <mergeCell ref="AZ9:AZ10"/>
    <mergeCell ref="AZ11:AZ12"/>
    <mergeCell ref="BA11:BA16"/>
    <mergeCell ref="AZ13:AZ14"/>
    <mergeCell ref="AZ15:AZ16"/>
    <mergeCell ref="AZ17:AZ18"/>
    <mergeCell ref="BA17:BA22"/>
    <mergeCell ref="AZ19:AZ20"/>
    <mergeCell ref="AZ21:AZ22"/>
    <mergeCell ref="AZ23:AZ24"/>
    <mergeCell ref="BA23:BA28"/>
    <mergeCell ref="AZ25:AZ26"/>
    <mergeCell ref="AZ27:AZ28"/>
    <mergeCell ref="AZ29:AZ30"/>
    <mergeCell ref="BA29:BA34"/>
    <mergeCell ref="AZ31:AZ32"/>
    <mergeCell ref="AZ33:AZ34"/>
    <mergeCell ref="AZ35:AZ36"/>
    <mergeCell ref="BA35:BA40"/>
    <mergeCell ref="AZ37:AZ38"/>
    <mergeCell ref="AZ39:AZ40"/>
  </mergeCells>
  <conditionalFormatting sqref="AP5">
    <cfRule type="cellIs" dxfId="513" priority="653" stopIfTrue="1" operator="greaterThan">
      <formula>0.03</formula>
    </cfRule>
    <cfRule type="cellIs" dxfId="512" priority="654" stopIfTrue="1" operator="lessThan">
      <formula>-0.03</formula>
    </cfRule>
  </conditionalFormatting>
  <conditionalFormatting sqref="AQ5">
    <cfRule type="cellIs" dxfId="511" priority="671" stopIfTrue="1" operator="greaterThan">
      <formula>0.03</formula>
    </cfRule>
    <cfRule type="cellIs" dxfId="510" priority="672" stopIfTrue="1" operator="lessThan">
      <formula>-0.03</formula>
    </cfRule>
  </conditionalFormatting>
  <conditionalFormatting sqref="CH5">
    <cfRule type="cellIs" dxfId="509" priority="673" stopIfTrue="1" operator="greaterThan">
      <formula>0.03</formula>
    </cfRule>
    <cfRule type="cellIs" dxfId="508" priority="674" stopIfTrue="1" operator="lessThan">
      <formula>-0.03</formula>
    </cfRule>
  </conditionalFormatting>
  <conditionalFormatting sqref="AQ5:AQ10">
    <cfRule type="cellIs" dxfId="507" priority="675" stopIfTrue="1" operator="greaterThan">
      <formula>0</formula>
    </cfRule>
    <cfRule type="cellIs" dxfId="506" priority="676" stopIfTrue="1" operator="lessThan">
      <formula>0</formula>
    </cfRule>
  </conditionalFormatting>
  <conditionalFormatting sqref="AR5:AS5">
    <cfRule type="cellIs" dxfId="505" priority="667" stopIfTrue="1" operator="greaterThan">
      <formula>0.03</formula>
    </cfRule>
    <cfRule type="cellIs" dxfId="504" priority="668" stopIfTrue="1" operator="lessThan">
      <formula>-0.03</formula>
    </cfRule>
  </conditionalFormatting>
  <conditionalFormatting sqref="AR5:AS10">
    <cfRule type="cellIs" dxfId="503" priority="669" stopIfTrue="1" operator="greaterThan">
      <formula>0</formula>
    </cfRule>
    <cfRule type="cellIs" dxfId="502" priority="670" stopIfTrue="1" operator="lessThan">
      <formula>0</formula>
    </cfRule>
  </conditionalFormatting>
  <conditionalFormatting sqref="AU5">
    <cfRule type="cellIs" dxfId="501" priority="663" stopIfTrue="1" operator="greaterThan">
      <formula>0.03</formula>
    </cfRule>
    <cfRule type="cellIs" dxfId="500" priority="664" stopIfTrue="1" operator="lessThan">
      <formula>-0.03</formula>
    </cfRule>
  </conditionalFormatting>
  <conditionalFormatting sqref="AU5:AU10">
    <cfRule type="cellIs" dxfId="499" priority="665" stopIfTrue="1" operator="greaterThan">
      <formula>0</formula>
    </cfRule>
    <cfRule type="cellIs" dxfId="498" priority="666" stopIfTrue="1" operator="lessThan">
      <formula>0</formula>
    </cfRule>
  </conditionalFormatting>
  <conditionalFormatting sqref="AW5">
    <cfRule type="cellIs" dxfId="497" priority="659" stopIfTrue="1" operator="greaterThan">
      <formula>0.03</formula>
    </cfRule>
    <cfRule type="cellIs" dxfId="496" priority="660" stopIfTrue="1" operator="lessThan">
      <formula>-0.03</formula>
    </cfRule>
  </conditionalFormatting>
  <conditionalFormatting sqref="AW5:AW10">
    <cfRule type="cellIs" dxfId="495" priority="661" stopIfTrue="1" operator="greaterThan">
      <formula>0</formula>
    </cfRule>
    <cfRule type="cellIs" dxfId="494" priority="662" stopIfTrue="1" operator="lessThan">
      <formula>0</formula>
    </cfRule>
  </conditionalFormatting>
  <conditionalFormatting sqref="AY5">
    <cfRule type="cellIs" dxfId="493" priority="655" stopIfTrue="1" operator="greaterThan">
      <formula>0.03</formula>
    </cfRule>
    <cfRule type="cellIs" dxfId="492" priority="656" stopIfTrue="1" operator="lessThan">
      <formula>-0.03</formula>
    </cfRule>
  </conditionalFormatting>
  <conditionalFormatting sqref="AY5:AY10">
    <cfRule type="cellIs" dxfId="491" priority="657" stopIfTrue="1" operator="greaterThan">
      <formula>0</formula>
    </cfRule>
    <cfRule type="cellIs" dxfId="490" priority="658" stopIfTrue="1" operator="lessThan">
      <formula>0</formula>
    </cfRule>
  </conditionalFormatting>
  <conditionalFormatting sqref="AP5:AP6">
    <cfRule type="cellIs" dxfId="489" priority="677" stopIfTrue="1" operator="greaterThan">
      <formula>0</formula>
    </cfRule>
    <cfRule type="cellIs" dxfId="488" priority="678" operator="lessThan">
      <formula>0</formula>
    </cfRule>
  </conditionalFormatting>
  <conditionalFormatting sqref="AP7">
    <cfRule type="cellIs" dxfId="487" priority="649" stopIfTrue="1" operator="greaterThan">
      <formula>0.03</formula>
    </cfRule>
    <cfRule type="cellIs" dxfId="486" priority="650" stopIfTrue="1" operator="lessThan">
      <formula>-0.03</formula>
    </cfRule>
  </conditionalFormatting>
  <conditionalFormatting sqref="AP7:AP8">
    <cfRule type="cellIs" dxfId="485" priority="651" stopIfTrue="1" operator="greaterThan">
      <formula>0</formula>
    </cfRule>
    <cfRule type="cellIs" dxfId="484" priority="652" operator="lessThan">
      <formula>0</formula>
    </cfRule>
  </conditionalFormatting>
  <conditionalFormatting sqref="AP9">
    <cfRule type="cellIs" dxfId="483" priority="645" stopIfTrue="1" operator="greaterThan">
      <formula>0.03</formula>
    </cfRule>
    <cfRule type="cellIs" dxfId="482" priority="646" stopIfTrue="1" operator="lessThan">
      <formula>-0.03</formula>
    </cfRule>
  </conditionalFormatting>
  <conditionalFormatting sqref="AP9:AP10">
    <cfRule type="cellIs" dxfId="481" priority="647" stopIfTrue="1" operator="greaterThan">
      <formula>0</formula>
    </cfRule>
    <cfRule type="cellIs" dxfId="480" priority="648" operator="lessThan">
      <formula>0</formula>
    </cfRule>
  </conditionalFormatting>
  <conditionalFormatting sqref="AT5">
    <cfRule type="cellIs" dxfId="479" priority="641" stopIfTrue="1" operator="greaterThan">
      <formula>0.03</formula>
    </cfRule>
    <cfRule type="cellIs" dxfId="478" priority="642" stopIfTrue="1" operator="lessThan">
      <formula>-0.03</formula>
    </cfRule>
  </conditionalFormatting>
  <conditionalFormatting sqref="AT5:AT6">
    <cfRule type="cellIs" dxfId="477" priority="643" stopIfTrue="1" operator="greaterThan">
      <formula>0</formula>
    </cfRule>
    <cfRule type="cellIs" dxfId="476" priority="644" operator="lessThan">
      <formula>0</formula>
    </cfRule>
  </conditionalFormatting>
  <conditionalFormatting sqref="AT7">
    <cfRule type="cellIs" dxfId="475" priority="637" stopIfTrue="1" operator="greaterThan">
      <formula>0.03</formula>
    </cfRule>
    <cfRule type="cellIs" dxfId="474" priority="638" stopIfTrue="1" operator="lessThan">
      <formula>-0.03</formula>
    </cfRule>
  </conditionalFormatting>
  <conditionalFormatting sqref="AT7:AT8">
    <cfRule type="cellIs" dxfId="473" priority="639" stopIfTrue="1" operator="greaterThan">
      <formula>0</formula>
    </cfRule>
    <cfRule type="cellIs" dxfId="472" priority="640" operator="lessThan">
      <formula>0</formula>
    </cfRule>
  </conditionalFormatting>
  <conditionalFormatting sqref="AT9">
    <cfRule type="cellIs" dxfId="471" priority="633" stopIfTrue="1" operator="greaterThan">
      <formula>0.03</formula>
    </cfRule>
    <cfRule type="cellIs" dxfId="470" priority="634" stopIfTrue="1" operator="lessThan">
      <formula>-0.03</formula>
    </cfRule>
  </conditionalFormatting>
  <conditionalFormatting sqref="AT9:AT10">
    <cfRule type="cellIs" dxfId="469" priority="635" stopIfTrue="1" operator="greaterThan">
      <formula>0</formula>
    </cfRule>
    <cfRule type="cellIs" dxfId="468" priority="636" operator="lessThan">
      <formula>0</formula>
    </cfRule>
  </conditionalFormatting>
  <conditionalFormatting sqref="AV5">
    <cfRule type="cellIs" dxfId="467" priority="629" stopIfTrue="1" operator="greaterThan">
      <formula>0.03</formula>
    </cfRule>
    <cfRule type="cellIs" dxfId="466" priority="630" stopIfTrue="1" operator="lessThan">
      <formula>-0.03</formula>
    </cfRule>
  </conditionalFormatting>
  <conditionalFormatting sqref="AV5:AV6">
    <cfRule type="cellIs" dxfId="465" priority="631" stopIfTrue="1" operator="greaterThan">
      <formula>0</formula>
    </cfRule>
    <cfRule type="cellIs" dxfId="464" priority="632" operator="lessThan">
      <formula>0</formula>
    </cfRule>
  </conditionalFormatting>
  <conditionalFormatting sqref="AV7">
    <cfRule type="cellIs" dxfId="463" priority="625" stopIfTrue="1" operator="greaterThan">
      <formula>0.03</formula>
    </cfRule>
    <cfRule type="cellIs" dxfId="462" priority="626" stopIfTrue="1" operator="lessThan">
      <formula>-0.03</formula>
    </cfRule>
  </conditionalFormatting>
  <conditionalFormatting sqref="AV7:AV8">
    <cfRule type="cellIs" dxfId="461" priority="627" stopIfTrue="1" operator="greaterThan">
      <formula>0</formula>
    </cfRule>
    <cfRule type="cellIs" dxfId="460" priority="628" operator="lessThan">
      <formula>0</formula>
    </cfRule>
  </conditionalFormatting>
  <conditionalFormatting sqref="AV9">
    <cfRule type="cellIs" dxfId="459" priority="621" stopIfTrue="1" operator="greaterThan">
      <formula>0.03</formula>
    </cfRule>
    <cfRule type="cellIs" dxfId="458" priority="622" stopIfTrue="1" operator="lessThan">
      <formula>-0.03</formula>
    </cfRule>
  </conditionalFormatting>
  <conditionalFormatting sqref="AV9:AV10">
    <cfRule type="cellIs" dxfId="457" priority="623" stopIfTrue="1" operator="greaterThan">
      <formula>0</formula>
    </cfRule>
    <cfRule type="cellIs" dxfId="456" priority="624" operator="lessThan">
      <formula>0</formula>
    </cfRule>
  </conditionalFormatting>
  <conditionalFormatting sqref="AX5">
    <cfRule type="cellIs" dxfId="455" priority="617" stopIfTrue="1" operator="greaterThan">
      <formula>0.03</formula>
    </cfRule>
    <cfRule type="cellIs" dxfId="454" priority="618" stopIfTrue="1" operator="lessThan">
      <formula>-0.03</formula>
    </cfRule>
  </conditionalFormatting>
  <conditionalFormatting sqref="AX5:AX6">
    <cfRule type="cellIs" dxfId="453" priority="619" stopIfTrue="1" operator="greaterThan">
      <formula>0</formula>
    </cfRule>
    <cfRule type="cellIs" dxfId="452" priority="620" operator="lessThan">
      <formula>0</formula>
    </cfRule>
  </conditionalFormatting>
  <conditionalFormatting sqref="AX7">
    <cfRule type="cellIs" dxfId="451" priority="613" stopIfTrue="1" operator="greaterThan">
      <formula>0.03</formula>
    </cfRule>
    <cfRule type="cellIs" dxfId="450" priority="614" stopIfTrue="1" operator="lessThan">
      <formula>-0.03</formula>
    </cfRule>
  </conditionalFormatting>
  <conditionalFormatting sqref="AX7:AX8">
    <cfRule type="cellIs" dxfId="449" priority="615" stopIfTrue="1" operator="greaterThan">
      <formula>0</formula>
    </cfRule>
    <cfRule type="cellIs" dxfId="448" priority="616" operator="lessThan">
      <formula>0</formula>
    </cfRule>
  </conditionalFormatting>
  <conditionalFormatting sqref="AX9">
    <cfRule type="cellIs" dxfId="447" priority="609" stopIfTrue="1" operator="greaterThan">
      <formula>0.03</formula>
    </cfRule>
    <cfRule type="cellIs" dxfId="446" priority="610" stopIfTrue="1" operator="lessThan">
      <formula>-0.03</formula>
    </cfRule>
  </conditionalFormatting>
  <conditionalFormatting sqref="AX9:AX10">
    <cfRule type="cellIs" dxfId="445" priority="611" stopIfTrue="1" operator="greaterThan">
      <formula>0</formula>
    </cfRule>
    <cfRule type="cellIs" dxfId="444" priority="612" operator="lessThan">
      <formula>0</formula>
    </cfRule>
  </conditionalFormatting>
  <conditionalFormatting sqref="AP11">
    <cfRule type="cellIs" dxfId="443" priority="585" stopIfTrue="1" operator="greaterThan">
      <formula>0.03</formula>
    </cfRule>
    <cfRule type="cellIs" dxfId="442" priority="586" stopIfTrue="1" operator="lessThan">
      <formula>-0.03</formula>
    </cfRule>
  </conditionalFormatting>
  <conditionalFormatting sqref="AQ11">
    <cfRule type="cellIs" dxfId="441" priority="603" stopIfTrue="1" operator="greaterThan">
      <formula>0.03</formula>
    </cfRule>
    <cfRule type="cellIs" dxfId="440" priority="604" stopIfTrue="1" operator="lessThan">
      <formula>-0.03</formula>
    </cfRule>
  </conditionalFormatting>
  <conditionalFormatting sqref="AQ11:AQ16">
    <cfRule type="cellIs" dxfId="439" priority="605" stopIfTrue="1" operator="greaterThan">
      <formula>0</formula>
    </cfRule>
    <cfRule type="cellIs" dxfId="438" priority="606" stopIfTrue="1" operator="lessThan">
      <formula>0</formula>
    </cfRule>
  </conditionalFormatting>
  <conditionalFormatting sqref="AR11:AS11">
    <cfRule type="cellIs" dxfId="437" priority="599" stopIfTrue="1" operator="greaterThan">
      <formula>0.03</formula>
    </cfRule>
    <cfRule type="cellIs" dxfId="436" priority="600" stopIfTrue="1" operator="lessThan">
      <formula>-0.03</formula>
    </cfRule>
  </conditionalFormatting>
  <conditionalFormatting sqref="AR11:AS16">
    <cfRule type="cellIs" dxfId="435" priority="601" stopIfTrue="1" operator="greaterThan">
      <formula>0</formula>
    </cfRule>
    <cfRule type="cellIs" dxfId="434" priority="602" stopIfTrue="1" operator="lessThan">
      <formula>0</formula>
    </cfRule>
  </conditionalFormatting>
  <conditionalFormatting sqref="AU11">
    <cfRule type="cellIs" dxfId="433" priority="595" stopIfTrue="1" operator="greaterThan">
      <formula>0.03</formula>
    </cfRule>
    <cfRule type="cellIs" dxfId="432" priority="596" stopIfTrue="1" operator="lessThan">
      <formula>-0.03</formula>
    </cfRule>
  </conditionalFormatting>
  <conditionalFormatting sqref="AU11:AU16">
    <cfRule type="cellIs" dxfId="431" priority="597" stopIfTrue="1" operator="greaterThan">
      <formula>0</formula>
    </cfRule>
    <cfRule type="cellIs" dxfId="430" priority="598" stopIfTrue="1" operator="lessThan">
      <formula>0</formula>
    </cfRule>
  </conditionalFormatting>
  <conditionalFormatting sqref="AW11">
    <cfRule type="cellIs" dxfId="429" priority="591" stopIfTrue="1" operator="greaterThan">
      <formula>0.03</formula>
    </cfRule>
    <cfRule type="cellIs" dxfId="428" priority="592" stopIfTrue="1" operator="lessThan">
      <formula>-0.03</formula>
    </cfRule>
  </conditionalFormatting>
  <conditionalFormatting sqref="AW11:AW16">
    <cfRule type="cellIs" dxfId="427" priority="593" stopIfTrue="1" operator="greaterThan">
      <formula>0</formula>
    </cfRule>
    <cfRule type="cellIs" dxfId="426" priority="594" stopIfTrue="1" operator="lessThan">
      <formula>0</formula>
    </cfRule>
  </conditionalFormatting>
  <conditionalFormatting sqref="AY11">
    <cfRule type="cellIs" dxfId="425" priority="587" stopIfTrue="1" operator="greaterThan">
      <formula>0.03</formula>
    </cfRule>
    <cfRule type="cellIs" dxfId="424" priority="588" stopIfTrue="1" operator="lessThan">
      <formula>-0.03</formula>
    </cfRule>
  </conditionalFormatting>
  <conditionalFormatting sqref="AY11:AY16">
    <cfRule type="cellIs" dxfId="423" priority="589" stopIfTrue="1" operator="greaterThan">
      <formula>0</formula>
    </cfRule>
    <cfRule type="cellIs" dxfId="422" priority="590" stopIfTrue="1" operator="lessThan">
      <formula>0</formula>
    </cfRule>
  </conditionalFormatting>
  <conditionalFormatting sqref="AP11:AP12">
    <cfRule type="cellIs" dxfId="421" priority="607" stopIfTrue="1" operator="greaterThan">
      <formula>0</formula>
    </cfRule>
    <cfRule type="cellIs" dxfId="420" priority="608" operator="lessThan">
      <formula>0</formula>
    </cfRule>
  </conditionalFormatting>
  <conditionalFormatting sqref="AP13">
    <cfRule type="cellIs" dxfId="419" priority="581" stopIfTrue="1" operator="greaterThan">
      <formula>0.03</formula>
    </cfRule>
    <cfRule type="cellIs" dxfId="418" priority="582" stopIfTrue="1" operator="lessThan">
      <formula>-0.03</formula>
    </cfRule>
  </conditionalFormatting>
  <conditionalFormatting sqref="AP13:AP14">
    <cfRule type="cellIs" dxfId="417" priority="583" stopIfTrue="1" operator="greaterThan">
      <formula>0</formula>
    </cfRule>
    <cfRule type="cellIs" dxfId="416" priority="584" operator="lessThan">
      <formula>0</formula>
    </cfRule>
  </conditionalFormatting>
  <conditionalFormatting sqref="AP15">
    <cfRule type="cellIs" dxfId="415" priority="577" stopIfTrue="1" operator="greaterThan">
      <formula>0.03</formula>
    </cfRule>
    <cfRule type="cellIs" dxfId="414" priority="578" stopIfTrue="1" operator="lessThan">
      <formula>-0.03</formula>
    </cfRule>
  </conditionalFormatting>
  <conditionalFormatting sqref="AP15:AP16">
    <cfRule type="cellIs" dxfId="413" priority="579" stopIfTrue="1" operator="greaterThan">
      <formula>0</formula>
    </cfRule>
    <cfRule type="cellIs" dxfId="412" priority="580" operator="lessThan">
      <formula>0</formula>
    </cfRule>
  </conditionalFormatting>
  <conditionalFormatting sqref="AT11">
    <cfRule type="cellIs" dxfId="411" priority="573" stopIfTrue="1" operator="greaterThan">
      <formula>0.03</formula>
    </cfRule>
    <cfRule type="cellIs" dxfId="410" priority="574" stopIfTrue="1" operator="lessThan">
      <formula>-0.03</formula>
    </cfRule>
  </conditionalFormatting>
  <conditionalFormatting sqref="AT11:AT12">
    <cfRule type="cellIs" dxfId="409" priority="575" stopIfTrue="1" operator="greaterThan">
      <formula>0</formula>
    </cfRule>
    <cfRule type="cellIs" dxfId="408" priority="576" operator="lessThan">
      <formula>0</formula>
    </cfRule>
  </conditionalFormatting>
  <conditionalFormatting sqref="AT13">
    <cfRule type="cellIs" dxfId="407" priority="569" stopIfTrue="1" operator="greaterThan">
      <formula>0.03</formula>
    </cfRule>
    <cfRule type="cellIs" dxfId="406" priority="570" stopIfTrue="1" operator="lessThan">
      <formula>-0.03</formula>
    </cfRule>
  </conditionalFormatting>
  <conditionalFormatting sqref="AT13:AT14">
    <cfRule type="cellIs" dxfId="405" priority="571" stopIfTrue="1" operator="greaterThan">
      <formula>0</formula>
    </cfRule>
    <cfRule type="cellIs" dxfId="404" priority="572" operator="lessThan">
      <formula>0</formula>
    </cfRule>
  </conditionalFormatting>
  <conditionalFormatting sqref="AT15">
    <cfRule type="cellIs" dxfId="403" priority="565" stopIfTrue="1" operator="greaterThan">
      <formula>0.03</formula>
    </cfRule>
    <cfRule type="cellIs" dxfId="402" priority="566" stopIfTrue="1" operator="lessThan">
      <formula>-0.03</formula>
    </cfRule>
  </conditionalFormatting>
  <conditionalFormatting sqref="AT15:AT16">
    <cfRule type="cellIs" dxfId="401" priority="567" stopIfTrue="1" operator="greaterThan">
      <formula>0</formula>
    </cfRule>
    <cfRule type="cellIs" dxfId="400" priority="568" operator="lessThan">
      <formula>0</formula>
    </cfRule>
  </conditionalFormatting>
  <conditionalFormatting sqref="AV11">
    <cfRule type="cellIs" dxfId="399" priority="561" stopIfTrue="1" operator="greaterThan">
      <formula>0.03</formula>
    </cfRule>
    <cfRule type="cellIs" dxfId="398" priority="562" stopIfTrue="1" operator="lessThan">
      <formula>-0.03</formula>
    </cfRule>
  </conditionalFormatting>
  <conditionalFormatting sqref="AV11:AV12">
    <cfRule type="cellIs" dxfId="397" priority="563" stopIfTrue="1" operator="greaterThan">
      <formula>0</formula>
    </cfRule>
    <cfRule type="cellIs" dxfId="396" priority="564" operator="lessThan">
      <formula>0</formula>
    </cfRule>
  </conditionalFormatting>
  <conditionalFormatting sqref="AV13">
    <cfRule type="cellIs" dxfId="395" priority="557" stopIfTrue="1" operator="greaterThan">
      <formula>0.03</formula>
    </cfRule>
    <cfRule type="cellIs" dxfId="394" priority="558" stopIfTrue="1" operator="lessThan">
      <formula>-0.03</formula>
    </cfRule>
  </conditionalFormatting>
  <conditionalFormatting sqref="AV13:AV14">
    <cfRule type="cellIs" dxfId="393" priority="559" stopIfTrue="1" operator="greaterThan">
      <formula>0</formula>
    </cfRule>
    <cfRule type="cellIs" dxfId="392" priority="560" operator="lessThan">
      <formula>0</formula>
    </cfRule>
  </conditionalFormatting>
  <conditionalFormatting sqref="AV15">
    <cfRule type="cellIs" dxfId="391" priority="553" stopIfTrue="1" operator="greaterThan">
      <formula>0.03</formula>
    </cfRule>
    <cfRule type="cellIs" dxfId="390" priority="554" stopIfTrue="1" operator="lessThan">
      <formula>-0.03</formula>
    </cfRule>
  </conditionalFormatting>
  <conditionalFormatting sqref="AV15:AV16">
    <cfRule type="cellIs" dxfId="389" priority="555" stopIfTrue="1" operator="greaterThan">
      <formula>0</formula>
    </cfRule>
    <cfRule type="cellIs" dxfId="388" priority="556" operator="lessThan">
      <formula>0</formula>
    </cfRule>
  </conditionalFormatting>
  <conditionalFormatting sqref="AP17 AP23 AP29 AP35">
    <cfRule type="cellIs" dxfId="387" priority="533" stopIfTrue="1" operator="greaterThan">
      <formula>0.03</formula>
    </cfRule>
    <cfRule type="cellIs" dxfId="386" priority="534" stopIfTrue="1" operator="lessThan">
      <formula>-0.03</formula>
    </cfRule>
  </conditionalFormatting>
  <conditionalFormatting sqref="AQ17 AQ23 AQ29 AQ35">
    <cfRule type="cellIs" dxfId="385" priority="547" stopIfTrue="1" operator="greaterThan">
      <formula>0.03</formula>
    </cfRule>
    <cfRule type="cellIs" dxfId="384" priority="548" stopIfTrue="1" operator="lessThan">
      <formula>-0.03</formula>
    </cfRule>
  </conditionalFormatting>
  <conditionalFormatting sqref="AQ17:AQ40">
    <cfRule type="cellIs" dxfId="383" priority="549" stopIfTrue="1" operator="greaterThan">
      <formula>0</formula>
    </cfRule>
    <cfRule type="cellIs" dxfId="382" priority="550" stopIfTrue="1" operator="lessThan">
      <formula>0</formula>
    </cfRule>
  </conditionalFormatting>
  <conditionalFormatting sqref="AR17:AS17 AR23:AS23 AR29:AS29 AR35:AS35">
    <cfRule type="cellIs" dxfId="381" priority="543" stopIfTrue="1" operator="greaterThan">
      <formula>0.03</formula>
    </cfRule>
    <cfRule type="cellIs" dxfId="380" priority="544" stopIfTrue="1" operator="lessThan">
      <formula>-0.03</formula>
    </cfRule>
  </conditionalFormatting>
  <conditionalFormatting sqref="AR17:AS40">
    <cfRule type="cellIs" dxfId="379" priority="545" stopIfTrue="1" operator="greaterThan">
      <formula>0</formula>
    </cfRule>
    <cfRule type="cellIs" dxfId="378" priority="546" stopIfTrue="1" operator="lessThan">
      <formula>0</formula>
    </cfRule>
  </conditionalFormatting>
  <conditionalFormatting sqref="AU17 AU23 AU29 AU35">
    <cfRule type="cellIs" dxfId="377" priority="539" stopIfTrue="1" operator="greaterThan">
      <formula>0.03</formula>
    </cfRule>
    <cfRule type="cellIs" dxfId="376" priority="540" stopIfTrue="1" operator="lessThan">
      <formula>-0.03</formula>
    </cfRule>
  </conditionalFormatting>
  <conditionalFormatting sqref="AU17:AU40">
    <cfRule type="cellIs" dxfId="375" priority="541" stopIfTrue="1" operator="greaterThan">
      <formula>0</formula>
    </cfRule>
    <cfRule type="cellIs" dxfId="374" priority="542" stopIfTrue="1" operator="lessThan">
      <formula>0</formula>
    </cfRule>
  </conditionalFormatting>
  <conditionalFormatting sqref="AW17 AW23 AW29 AW35">
    <cfRule type="cellIs" dxfId="373" priority="535" stopIfTrue="1" operator="greaterThan">
      <formula>0.03</formula>
    </cfRule>
    <cfRule type="cellIs" dxfId="372" priority="536" stopIfTrue="1" operator="lessThan">
      <formula>-0.03</formula>
    </cfRule>
  </conditionalFormatting>
  <conditionalFormatting sqref="AW17:AW40">
    <cfRule type="cellIs" dxfId="371" priority="537" stopIfTrue="1" operator="greaterThan">
      <formula>0</formula>
    </cfRule>
    <cfRule type="cellIs" dxfId="370" priority="538" stopIfTrue="1" operator="lessThan">
      <formula>0</formula>
    </cfRule>
  </conditionalFormatting>
  <conditionalFormatting sqref="AP17:AP18 AP23:AP24 AP29:AP30 AP35:AP36">
    <cfRule type="cellIs" dxfId="369" priority="551" stopIfTrue="1" operator="greaterThan">
      <formula>0</formula>
    </cfRule>
    <cfRule type="cellIs" dxfId="368" priority="552" operator="lessThan">
      <formula>0</formula>
    </cfRule>
  </conditionalFormatting>
  <conditionalFormatting sqref="AP19 AP25 AP31 AP37">
    <cfRule type="cellIs" dxfId="367" priority="529" stopIfTrue="1" operator="greaterThan">
      <formula>0.03</formula>
    </cfRule>
    <cfRule type="cellIs" dxfId="366" priority="530" stopIfTrue="1" operator="lessThan">
      <formula>-0.03</formula>
    </cfRule>
  </conditionalFormatting>
  <conditionalFormatting sqref="AP19:AP20 AP25:AP26 AP31:AP32 AP37:AP38">
    <cfRule type="cellIs" dxfId="365" priority="531" stopIfTrue="1" operator="greaterThan">
      <formula>0</formula>
    </cfRule>
    <cfRule type="cellIs" dxfId="364" priority="532" operator="lessThan">
      <formula>0</formula>
    </cfRule>
  </conditionalFormatting>
  <conditionalFormatting sqref="AP21 AP27 AP33 AP39">
    <cfRule type="cellIs" dxfId="363" priority="525" stopIfTrue="1" operator="greaterThan">
      <formula>0.03</formula>
    </cfRule>
    <cfRule type="cellIs" dxfId="362" priority="526" stopIfTrue="1" operator="lessThan">
      <formula>-0.03</formula>
    </cfRule>
  </conditionalFormatting>
  <conditionalFormatting sqref="AP21:AP22 AP27:AP28 AP33:AP34 AP39:AP40">
    <cfRule type="cellIs" dxfId="361" priority="527" stopIfTrue="1" operator="greaterThan">
      <formula>0</formula>
    </cfRule>
    <cfRule type="cellIs" dxfId="360" priority="528" operator="lessThan">
      <formula>0</formula>
    </cfRule>
  </conditionalFormatting>
  <conditionalFormatting sqref="AT17 AT23 AT29 AT35">
    <cfRule type="cellIs" dxfId="359" priority="521" stopIfTrue="1" operator="greaterThan">
      <formula>0.03</formula>
    </cfRule>
    <cfRule type="cellIs" dxfId="358" priority="522" stopIfTrue="1" operator="lessThan">
      <formula>-0.03</formula>
    </cfRule>
  </conditionalFormatting>
  <conditionalFormatting sqref="AT17:AT18 AT23:AT24 AT29:AT30 AT35:AT36">
    <cfRule type="cellIs" dxfId="357" priority="523" stopIfTrue="1" operator="greaterThan">
      <formula>0</formula>
    </cfRule>
    <cfRule type="cellIs" dxfId="356" priority="524" operator="lessThan">
      <formula>0</formula>
    </cfRule>
  </conditionalFormatting>
  <conditionalFormatting sqref="AT19 AT25 AT31 AT37">
    <cfRule type="cellIs" dxfId="355" priority="517" stopIfTrue="1" operator="greaterThan">
      <formula>0.03</formula>
    </cfRule>
    <cfRule type="cellIs" dxfId="354" priority="518" stopIfTrue="1" operator="lessThan">
      <formula>-0.03</formula>
    </cfRule>
  </conditionalFormatting>
  <conditionalFormatting sqref="AT19:AT20 AT25:AT26 AT31:AT32 AT37:AT38">
    <cfRule type="cellIs" dxfId="353" priority="519" stopIfTrue="1" operator="greaterThan">
      <formula>0</formula>
    </cfRule>
    <cfRule type="cellIs" dxfId="352" priority="520" operator="lessThan">
      <formula>0</formula>
    </cfRule>
  </conditionalFormatting>
  <conditionalFormatting sqref="AT21 AT27 AT33 AT39">
    <cfRule type="cellIs" dxfId="351" priority="513" stopIfTrue="1" operator="greaterThan">
      <formula>0.03</formula>
    </cfRule>
    <cfRule type="cellIs" dxfId="350" priority="514" stopIfTrue="1" operator="lessThan">
      <formula>-0.03</formula>
    </cfRule>
  </conditionalFormatting>
  <conditionalFormatting sqref="AT21:AT22 AT27:AT28 AT33:AT34 AT39:AT40">
    <cfRule type="cellIs" dxfId="349" priority="515" stopIfTrue="1" operator="greaterThan">
      <formula>0</formula>
    </cfRule>
    <cfRule type="cellIs" dxfId="348" priority="516" operator="lessThan">
      <formula>0</formula>
    </cfRule>
  </conditionalFormatting>
  <conditionalFormatting sqref="AV17 AV23 AV29 AV35">
    <cfRule type="cellIs" dxfId="347" priority="509" stopIfTrue="1" operator="greaterThan">
      <formula>0.03</formula>
    </cfRule>
    <cfRule type="cellIs" dxfId="346" priority="510" stopIfTrue="1" operator="lessThan">
      <formula>-0.03</formula>
    </cfRule>
  </conditionalFormatting>
  <conditionalFormatting sqref="AV17:AV18 AV23:AV24 AV29:AV30 AV35:AV36">
    <cfRule type="cellIs" dxfId="345" priority="511" stopIfTrue="1" operator="greaterThan">
      <formula>0</formula>
    </cfRule>
    <cfRule type="cellIs" dxfId="344" priority="512" operator="lessThan">
      <formula>0</formula>
    </cfRule>
  </conditionalFormatting>
  <conditionalFormatting sqref="AV19 AV25 AV31 AV37">
    <cfRule type="cellIs" dxfId="343" priority="505" stopIfTrue="1" operator="greaterThan">
      <formula>0.03</formula>
    </cfRule>
    <cfRule type="cellIs" dxfId="342" priority="506" stopIfTrue="1" operator="lessThan">
      <formula>-0.03</formula>
    </cfRule>
  </conditionalFormatting>
  <conditionalFormatting sqref="AV19:AV20 AV25:AV26 AV31:AV32 AV37:AV38">
    <cfRule type="cellIs" dxfId="341" priority="507" stopIfTrue="1" operator="greaterThan">
      <formula>0</formula>
    </cfRule>
    <cfRule type="cellIs" dxfId="340" priority="508" operator="lessThan">
      <formula>0</formula>
    </cfRule>
  </conditionalFormatting>
  <conditionalFormatting sqref="AV21 AV27 AV33 AV39">
    <cfRule type="cellIs" dxfId="339" priority="501" stopIfTrue="1" operator="greaterThan">
      <formula>0.03</formula>
    </cfRule>
    <cfRule type="cellIs" dxfId="338" priority="502" stopIfTrue="1" operator="lessThan">
      <formula>-0.03</formula>
    </cfRule>
  </conditionalFormatting>
  <conditionalFormatting sqref="AV21:AV22 AV27:AV28 AV33:AV34 AV39:AV40">
    <cfRule type="cellIs" dxfId="337" priority="503" stopIfTrue="1" operator="greaterThan">
      <formula>0</formula>
    </cfRule>
    <cfRule type="cellIs" dxfId="336" priority="504" operator="lessThan">
      <formula>0</formula>
    </cfRule>
  </conditionalFormatting>
  <conditionalFormatting sqref="BA11">
    <cfRule type="cellIs" dxfId="335" priority="333" stopIfTrue="1" operator="greaterThan">
      <formula>0.03</formula>
    </cfRule>
    <cfRule type="cellIs" dxfId="334" priority="334" stopIfTrue="1" operator="lessThan">
      <formula>-0.03</formula>
    </cfRule>
  </conditionalFormatting>
  <conditionalFormatting sqref="BA11:BA16">
    <cfRule type="cellIs" dxfId="333" priority="335" stopIfTrue="1" operator="greaterThan">
      <formula>0</formula>
    </cfRule>
    <cfRule type="cellIs" dxfId="332" priority="336" stopIfTrue="1" operator="lessThan">
      <formula>0</formula>
    </cfRule>
  </conditionalFormatting>
  <conditionalFormatting sqref="AZ11">
    <cfRule type="cellIs" dxfId="331" priority="329" stopIfTrue="1" operator="greaterThan">
      <formula>0.03</formula>
    </cfRule>
    <cfRule type="cellIs" dxfId="330" priority="330" stopIfTrue="1" operator="lessThan">
      <formula>-0.03</formula>
    </cfRule>
  </conditionalFormatting>
  <conditionalFormatting sqref="AZ11:AZ12">
    <cfRule type="cellIs" dxfId="329" priority="331" stopIfTrue="1" operator="greaterThan">
      <formula>0</formula>
    </cfRule>
    <cfRule type="cellIs" dxfId="328" priority="332" operator="lessThan">
      <formula>0</formula>
    </cfRule>
  </conditionalFormatting>
  <conditionalFormatting sqref="AZ13">
    <cfRule type="cellIs" dxfId="327" priority="325" stopIfTrue="1" operator="greaterThan">
      <formula>0.03</formula>
    </cfRule>
    <cfRule type="cellIs" dxfId="326" priority="326" stopIfTrue="1" operator="lessThan">
      <formula>-0.03</formula>
    </cfRule>
  </conditionalFormatting>
  <conditionalFormatting sqref="AZ13:AZ14">
    <cfRule type="cellIs" dxfId="325" priority="327" stopIfTrue="1" operator="greaterThan">
      <formula>0</formula>
    </cfRule>
    <cfRule type="cellIs" dxfId="324" priority="328" operator="lessThan">
      <formula>0</formula>
    </cfRule>
  </conditionalFormatting>
  <conditionalFormatting sqref="AZ15">
    <cfRule type="cellIs" dxfId="323" priority="321" stopIfTrue="1" operator="greaterThan">
      <formula>0.03</formula>
    </cfRule>
    <cfRule type="cellIs" dxfId="322" priority="322" stopIfTrue="1" operator="lessThan">
      <formula>-0.03</formula>
    </cfRule>
  </conditionalFormatting>
  <conditionalFormatting sqref="AZ15:AZ16">
    <cfRule type="cellIs" dxfId="321" priority="323" stopIfTrue="1" operator="greaterThan">
      <formula>0</formula>
    </cfRule>
    <cfRule type="cellIs" dxfId="320" priority="324" operator="lessThan">
      <formula>0</formula>
    </cfRule>
  </conditionalFormatting>
  <conditionalFormatting sqref="BA5">
    <cfRule type="cellIs" dxfId="319" priority="317" stopIfTrue="1" operator="greaterThan">
      <formula>0.03</formula>
    </cfRule>
    <cfRule type="cellIs" dxfId="318" priority="318" stopIfTrue="1" operator="lessThan">
      <formula>-0.03</formula>
    </cfRule>
  </conditionalFormatting>
  <conditionalFormatting sqref="BA5:BA10">
    <cfRule type="cellIs" dxfId="317" priority="319" stopIfTrue="1" operator="greaterThan">
      <formula>0</formula>
    </cfRule>
    <cfRule type="cellIs" dxfId="316" priority="320" stopIfTrue="1" operator="lessThan">
      <formula>0</formula>
    </cfRule>
  </conditionalFormatting>
  <conditionalFormatting sqref="AZ5">
    <cfRule type="cellIs" dxfId="315" priority="313" stopIfTrue="1" operator="greaterThan">
      <formula>0.03</formula>
    </cfRule>
    <cfRule type="cellIs" dxfId="314" priority="314" stopIfTrue="1" operator="lessThan">
      <formula>-0.03</formula>
    </cfRule>
  </conditionalFormatting>
  <conditionalFormatting sqref="AZ5:AZ6">
    <cfRule type="cellIs" dxfId="313" priority="315" stopIfTrue="1" operator="greaterThan">
      <formula>0</formula>
    </cfRule>
    <cfRule type="cellIs" dxfId="312" priority="316" operator="lessThan">
      <formula>0</formula>
    </cfRule>
  </conditionalFormatting>
  <conditionalFormatting sqref="AZ7">
    <cfRule type="cellIs" dxfId="311" priority="309" stopIfTrue="1" operator="greaterThan">
      <formula>0.03</formula>
    </cfRule>
    <cfRule type="cellIs" dxfId="310" priority="310" stopIfTrue="1" operator="lessThan">
      <formula>-0.03</formula>
    </cfRule>
  </conditionalFormatting>
  <conditionalFormatting sqref="AZ7:AZ8">
    <cfRule type="cellIs" dxfId="309" priority="311" stopIfTrue="1" operator="greaterThan">
      <formula>0</formula>
    </cfRule>
    <cfRule type="cellIs" dxfId="308" priority="312" operator="lessThan">
      <formula>0</formula>
    </cfRule>
  </conditionalFormatting>
  <conditionalFormatting sqref="AZ9">
    <cfRule type="cellIs" dxfId="307" priority="305" stopIfTrue="1" operator="greaterThan">
      <formula>0.03</formula>
    </cfRule>
    <cfRule type="cellIs" dxfId="306" priority="306" stopIfTrue="1" operator="lessThan">
      <formula>-0.03</formula>
    </cfRule>
  </conditionalFormatting>
  <conditionalFormatting sqref="AZ9:AZ10">
    <cfRule type="cellIs" dxfId="305" priority="307" stopIfTrue="1" operator="greaterThan">
      <formula>0</formula>
    </cfRule>
    <cfRule type="cellIs" dxfId="304" priority="308" operator="lessThan">
      <formula>0</formula>
    </cfRule>
  </conditionalFormatting>
  <conditionalFormatting sqref="BA17">
    <cfRule type="cellIs" dxfId="303" priority="301" stopIfTrue="1" operator="greaterThan">
      <formula>0.03</formula>
    </cfRule>
    <cfRule type="cellIs" dxfId="302" priority="302" stopIfTrue="1" operator="lessThan">
      <formula>-0.03</formula>
    </cfRule>
  </conditionalFormatting>
  <conditionalFormatting sqref="BA17:BA22">
    <cfRule type="cellIs" dxfId="301" priority="303" stopIfTrue="1" operator="greaterThan">
      <formula>0</formula>
    </cfRule>
    <cfRule type="cellIs" dxfId="300" priority="304" stopIfTrue="1" operator="lessThan">
      <formula>0</formula>
    </cfRule>
  </conditionalFormatting>
  <conditionalFormatting sqref="AZ17">
    <cfRule type="cellIs" dxfId="299" priority="297" stopIfTrue="1" operator="greaterThan">
      <formula>0.03</formula>
    </cfRule>
    <cfRule type="cellIs" dxfId="298" priority="298" stopIfTrue="1" operator="lessThan">
      <formula>-0.03</formula>
    </cfRule>
  </conditionalFormatting>
  <conditionalFormatting sqref="AZ17:AZ18">
    <cfRule type="cellIs" dxfId="297" priority="299" stopIfTrue="1" operator="greaterThan">
      <formula>0</formula>
    </cfRule>
    <cfRule type="cellIs" dxfId="296" priority="300" operator="lessThan">
      <formula>0</formula>
    </cfRule>
  </conditionalFormatting>
  <conditionalFormatting sqref="AZ19">
    <cfRule type="cellIs" dxfId="295" priority="293" stopIfTrue="1" operator="greaterThan">
      <formula>0.03</formula>
    </cfRule>
    <cfRule type="cellIs" dxfId="294" priority="294" stopIfTrue="1" operator="lessThan">
      <formula>-0.03</formula>
    </cfRule>
  </conditionalFormatting>
  <conditionalFormatting sqref="AZ19:AZ20">
    <cfRule type="cellIs" dxfId="293" priority="295" stopIfTrue="1" operator="greaterThan">
      <formula>0</formula>
    </cfRule>
    <cfRule type="cellIs" dxfId="292" priority="296" operator="lessThan">
      <formula>0</formula>
    </cfRule>
  </conditionalFormatting>
  <conditionalFormatting sqref="AZ21">
    <cfRule type="cellIs" dxfId="291" priority="289" stopIfTrue="1" operator="greaterThan">
      <formula>0.03</formula>
    </cfRule>
    <cfRule type="cellIs" dxfId="290" priority="290" stopIfTrue="1" operator="lessThan">
      <formula>-0.03</formula>
    </cfRule>
  </conditionalFormatting>
  <conditionalFormatting sqref="AZ21:AZ22">
    <cfRule type="cellIs" dxfId="289" priority="291" stopIfTrue="1" operator="greaterThan">
      <formula>0</formula>
    </cfRule>
    <cfRule type="cellIs" dxfId="288" priority="292" operator="lessThan">
      <formula>0</formula>
    </cfRule>
  </conditionalFormatting>
  <conditionalFormatting sqref="BA29">
    <cfRule type="cellIs" dxfId="287" priority="285" stopIfTrue="1" operator="greaterThan">
      <formula>0.03</formula>
    </cfRule>
    <cfRule type="cellIs" dxfId="286" priority="286" stopIfTrue="1" operator="lessThan">
      <formula>-0.03</formula>
    </cfRule>
  </conditionalFormatting>
  <conditionalFormatting sqref="BA29:BA34">
    <cfRule type="cellIs" dxfId="285" priority="287" stopIfTrue="1" operator="greaterThan">
      <formula>0</formula>
    </cfRule>
    <cfRule type="cellIs" dxfId="284" priority="288" stopIfTrue="1" operator="lessThan">
      <formula>0</formula>
    </cfRule>
  </conditionalFormatting>
  <conditionalFormatting sqref="AZ29">
    <cfRule type="cellIs" dxfId="283" priority="281" stopIfTrue="1" operator="greaterThan">
      <formula>0.03</formula>
    </cfRule>
    <cfRule type="cellIs" dxfId="282" priority="282" stopIfTrue="1" operator="lessThan">
      <formula>-0.03</formula>
    </cfRule>
  </conditionalFormatting>
  <conditionalFormatting sqref="AZ29:AZ30">
    <cfRule type="cellIs" dxfId="281" priority="283" stopIfTrue="1" operator="greaterThan">
      <formula>0</formula>
    </cfRule>
    <cfRule type="cellIs" dxfId="280" priority="284" operator="lessThan">
      <formula>0</formula>
    </cfRule>
  </conditionalFormatting>
  <conditionalFormatting sqref="AZ31">
    <cfRule type="cellIs" dxfId="279" priority="277" stopIfTrue="1" operator="greaterThan">
      <formula>0.03</formula>
    </cfRule>
    <cfRule type="cellIs" dxfId="278" priority="278" stopIfTrue="1" operator="lessThan">
      <formula>-0.03</formula>
    </cfRule>
  </conditionalFormatting>
  <conditionalFormatting sqref="AZ31:AZ32">
    <cfRule type="cellIs" dxfId="277" priority="279" stopIfTrue="1" operator="greaterThan">
      <formula>0</formula>
    </cfRule>
    <cfRule type="cellIs" dxfId="276" priority="280" operator="lessThan">
      <formula>0</formula>
    </cfRule>
  </conditionalFormatting>
  <conditionalFormatting sqref="AZ33">
    <cfRule type="cellIs" dxfId="275" priority="273" stopIfTrue="1" operator="greaterThan">
      <formula>0.03</formula>
    </cfRule>
    <cfRule type="cellIs" dxfId="274" priority="274" stopIfTrue="1" operator="lessThan">
      <formula>-0.03</formula>
    </cfRule>
  </conditionalFormatting>
  <conditionalFormatting sqref="AZ33:AZ34">
    <cfRule type="cellIs" dxfId="273" priority="275" stopIfTrue="1" operator="greaterThan">
      <formula>0</formula>
    </cfRule>
    <cfRule type="cellIs" dxfId="272" priority="276" operator="lessThan">
      <formula>0</formula>
    </cfRule>
  </conditionalFormatting>
  <conditionalFormatting sqref="BA23">
    <cfRule type="cellIs" dxfId="271" priority="269" stopIfTrue="1" operator="greaterThan">
      <formula>0.03</formula>
    </cfRule>
    <cfRule type="cellIs" dxfId="270" priority="270" stopIfTrue="1" operator="lessThan">
      <formula>-0.03</formula>
    </cfRule>
  </conditionalFormatting>
  <conditionalFormatting sqref="BA23:BA28">
    <cfRule type="cellIs" dxfId="269" priority="271" stopIfTrue="1" operator="greaterThan">
      <formula>0</formula>
    </cfRule>
    <cfRule type="cellIs" dxfId="268" priority="272" stopIfTrue="1" operator="lessThan">
      <formula>0</formula>
    </cfRule>
  </conditionalFormatting>
  <conditionalFormatting sqref="AZ23">
    <cfRule type="cellIs" dxfId="267" priority="265" stopIfTrue="1" operator="greaterThan">
      <formula>0.03</formula>
    </cfRule>
    <cfRule type="cellIs" dxfId="266" priority="266" stopIfTrue="1" operator="lessThan">
      <formula>-0.03</formula>
    </cfRule>
  </conditionalFormatting>
  <conditionalFormatting sqref="AZ23:AZ24">
    <cfRule type="cellIs" dxfId="265" priority="267" stopIfTrue="1" operator="greaterThan">
      <formula>0</formula>
    </cfRule>
    <cfRule type="cellIs" dxfId="264" priority="268" operator="lessThan">
      <formula>0</formula>
    </cfRule>
  </conditionalFormatting>
  <conditionalFormatting sqref="AZ25">
    <cfRule type="cellIs" dxfId="263" priority="261" stopIfTrue="1" operator="greaterThan">
      <formula>0.03</formula>
    </cfRule>
    <cfRule type="cellIs" dxfId="262" priority="262" stopIfTrue="1" operator="lessThan">
      <formula>-0.03</formula>
    </cfRule>
  </conditionalFormatting>
  <conditionalFormatting sqref="AZ25:AZ26">
    <cfRule type="cellIs" dxfId="261" priority="263" stopIfTrue="1" operator="greaterThan">
      <formula>0</formula>
    </cfRule>
    <cfRule type="cellIs" dxfId="260" priority="264" operator="lessThan">
      <formula>0</formula>
    </cfRule>
  </conditionalFormatting>
  <conditionalFormatting sqref="AZ27">
    <cfRule type="cellIs" dxfId="259" priority="257" stopIfTrue="1" operator="greaterThan">
      <formula>0.03</formula>
    </cfRule>
    <cfRule type="cellIs" dxfId="258" priority="258" stopIfTrue="1" operator="lessThan">
      <formula>-0.03</formula>
    </cfRule>
  </conditionalFormatting>
  <conditionalFormatting sqref="AZ27:AZ28">
    <cfRule type="cellIs" dxfId="257" priority="259" stopIfTrue="1" operator="greaterThan">
      <formula>0</formula>
    </cfRule>
    <cfRule type="cellIs" dxfId="256" priority="260" operator="lessThan">
      <formula>0</formula>
    </cfRule>
  </conditionalFormatting>
  <conditionalFormatting sqref="BA35">
    <cfRule type="cellIs" dxfId="255" priority="253" stopIfTrue="1" operator="greaterThan">
      <formula>0.03</formula>
    </cfRule>
    <cfRule type="cellIs" dxfId="254" priority="254" stopIfTrue="1" operator="lessThan">
      <formula>-0.03</formula>
    </cfRule>
  </conditionalFormatting>
  <conditionalFormatting sqref="BA35:BA40">
    <cfRule type="cellIs" dxfId="253" priority="255" stopIfTrue="1" operator="greaterThan">
      <formula>0</formula>
    </cfRule>
    <cfRule type="cellIs" dxfId="252" priority="256" stopIfTrue="1" operator="lessThan">
      <formula>0</formula>
    </cfRule>
  </conditionalFormatting>
  <conditionalFormatting sqref="AZ35">
    <cfRule type="cellIs" dxfId="251" priority="249" stopIfTrue="1" operator="greaterThan">
      <formula>0.03</formula>
    </cfRule>
    <cfRule type="cellIs" dxfId="250" priority="250" stopIfTrue="1" operator="lessThan">
      <formula>-0.03</formula>
    </cfRule>
  </conditionalFormatting>
  <conditionalFormatting sqref="AZ35:AZ36">
    <cfRule type="cellIs" dxfId="249" priority="251" stopIfTrue="1" operator="greaterThan">
      <formula>0</formula>
    </cfRule>
    <cfRule type="cellIs" dxfId="248" priority="252" operator="lessThan">
      <formula>0</formula>
    </cfRule>
  </conditionalFormatting>
  <conditionalFormatting sqref="AZ37">
    <cfRule type="cellIs" dxfId="247" priority="245" stopIfTrue="1" operator="greaterThan">
      <formula>0.03</formula>
    </cfRule>
    <cfRule type="cellIs" dxfId="246" priority="246" stopIfTrue="1" operator="lessThan">
      <formula>-0.03</formula>
    </cfRule>
  </conditionalFormatting>
  <conditionalFormatting sqref="AZ37:AZ38">
    <cfRule type="cellIs" dxfId="245" priority="247" stopIfTrue="1" operator="greaterThan">
      <formula>0</formula>
    </cfRule>
    <cfRule type="cellIs" dxfId="244" priority="248" operator="lessThan">
      <formula>0</formula>
    </cfRule>
  </conditionalFormatting>
  <conditionalFormatting sqref="AZ39">
    <cfRule type="cellIs" dxfId="243" priority="241" stopIfTrue="1" operator="greaterThan">
      <formula>0.03</formula>
    </cfRule>
    <cfRule type="cellIs" dxfId="242" priority="242" stopIfTrue="1" operator="lessThan">
      <formula>-0.03</formula>
    </cfRule>
  </conditionalFormatting>
  <conditionalFormatting sqref="AZ39:AZ40">
    <cfRule type="cellIs" dxfId="241" priority="243" stopIfTrue="1" operator="greaterThan">
      <formula>0</formula>
    </cfRule>
    <cfRule type="cellIs" dxfId="240" priority="244" operator="lessThan">
      <formula>0</formula>
    </cfRule>
  </conditionalFormatting>
  <conditionalFormatting sqref="AX11">
    <cfRule type="cellIs" dxfId="239" priority="237" stopIfTrue="1" operator="greaterThan">
      <formula>0.03</formula>
    </cfRule>
    <cfRule type="cellIs" dxfId="238" priority="238" stopIfTrue="1" operator="lessThan">
      <formula>-0.03</formula>
    </cfRule>
  </conditionalFormatting>
  <conditionalFormatting sqref="AX11:AX12">
    <cfRule type="cellIs" dxfId="237" priority="239" stopIfTrue="1" operator="greaterThan">
      <formula>0</formula>
    </cfRule>
    <cfRule type="cellIs" dxfId="236" priority="240" operator="lessThan">
      <formula>0</formula>
    </cfRule>
  </conditionalFormatting>
  <conditionalFormatting sqref="AX13">
    <cfRule type="cellIs" dxfId="235" priority="233" stopIfTrue="1" operator="greaterThan">
      <formula>0.03</formula>
    </cfRule>
    <cfRule type="cellIs" dxfId="234" priority="234" stopIfTrue="1" operator="lessThan">
      <formula>-0.03</formula>
    </cfRule>
  </conditionalFormatting>
  <conditionalFormatting sqref="AX13:AX14">
    <cfRule type="cellIs" dxfId="233" priority="235" stopIfTrue="1" operator="greaterThan">
      <formula>0</formula>
    </cfRule>
    <cfRule type="cellIs" dxfId="232" priority="236" operator="lessThan">
      <formula>0</formula>
    </cfRule>
  </conditionalFormatting>
  <conditionalFormatting sqref="AX15">
    <cfRule type="cellIs" dxfId="231" priority="229" stopIfTrue="1" operator="greaterThan">
      <formula>0.03</formula>
    </cfRule>
    <cfRule type="cellIs" dxfId="230" priority="230" stopIfTrue="1" operator="lessThan">
      <formula>-0.03</formula>
    </cfRule>
  </conditionalFormatting>
  <conditionalFormatting sqref="AX15:AX16">
    <cfRule type="cellIs" dxfId="229" priority="231" stopIfTrue="1" operator="greaterThan">
      <formula>0</formula>
    </cfRule>
    <cfRule type="cellIs" dxfId="228" priority="232" operator="lessThan">
      <formula>0</formula>
    </cfRule>
  </conditionalFormatting>
  <conditionalFormatting sqref="AY17">
    <cfRule type="cellIs" dxfId="227" priority="225" stopIfTrue="1" operator="greaterThan">
      <formula>0.03</formula>
    </cfRule>
    <cfRule type="cellIs" dxfId="226" priority="226" stopIfTrue="1" operator="lessThan">
      <formula>-0.03</formula>
    </cfRule>
  </conditionalFormatting>
  <conditionalFormatting sqref="AY17:AY22">
    <cfRule type="cellIs" dxfId="225" priority="227" stopIfTrue="1" operator="greaterThan">
      <formula>0</formula>
    </cfRule>
    <cfRule type="cellIs" dxfId="224" priority="228" stopIfTrue="1" operator="lessThan">
      <formula>0</formula>
    </cfRule>
  </conditionalFormatting>
  <conditionalFormatting sqref="AX17">
    <cfRule type="cellIs" dxfId="223" priority="221" stopIfTrue="1" operator="greaterThan">
      <formula>0.03</formula>
    </cfRule>
    <cfRule type="cellIs" dxfId="222" priority="222" stopIfTrue="1" operator="lessThan">
      <formula>-0.03</formula>
    </cfRule>
  </conditionalFormatting>
  <conditionalFormatting sqref="AX17:AX18">
    <cfRule type="cellIs" dxfId="221" priority="223" stopIfTrue="1" operator="greaterThan">
      <formula>0</formula>
    </cfRule>
    <cfRule type="cellIs" dxfId="220" priority="224" operator="lessThan">
      <formula>0</formula>
    </cfRule>
  </conditionalFormatting>
  <conditionalFormatting sqref="AX19">
    <cfRule type="cellIs" dxfId="219" priority="217" stopIfTrue="1" operator="greaterThan">
      <formula>0.03</formula>
    </cfRule>
    <cfRule type="cellIs" dxfId="218" priority="218" stopIfTrue="1" operator="lessThan">
      <formula>-0.03</formula>
    </cfRule>
  </conditionalFormatting>
  <conditionalFormatting sqref="AX19:AX20">
    <cfRule type="cellIs" dxfId="217" priority="219" stopIfTrue="1" operator="greaterThan">
      <formula>0</formula>
    </cfRule>
    <cfRule type="cellIs" dxfId="216" priority="220" operator="lessThan">
      <formula>0</formula>
    </cfRule>
  </conditionalFormatting>
  <conditionalFormatting sqref="AX21">
    <cfRule type="cellIs" dxfId="215" priority="213" stopIfTrue="1" operator="greaterThan">
      <formula>0.03</formula>
    </cfRule>
    <cfRule type="cellIs" dxfId="214" priority="214" stopIfTrue="1" operator="lessThan">
      <formula>-0.03</formula>
    </cfRule>
  </conditionalFormatting>
  <conditionalFormatting sqref="AX21:AX22">
    <cfRule type="cellIs" dxfId="213" priority="215" stopIfTrue="1" operator="greaterThan">
      <formula>0</formula>
    </cfRule>
    <cfRule type="cellIs" dxfId="212" priority="216" operator="lessThan">
      <formula>0</formula>
    </cfRule>
  </conditionalFormatting>
  <conditionalFormatting sqref="AY23">
    <cfRule type="cellIs" dxfId="211" priority="209" stopIfTrue="1" operator="greaterThan">
      <formula>0.03</formula>
    </cfRule>
    <cfRule type="cellIs" dxfId="210" priority="210" stopIfTrue="1" operator="lessThan">
      <formula>-0.03</formula>
    </cfRule>
  </conditionalFormatting>
  <conditionalFormatting sqref="AY23:AY28">
    <cfRule type="cellIs" dxfId="209" priority="211" stopIfTrue="1" operator="greaterThan">
      <formula>0</formula>
    </cfRule>
    <cfRule type="cellIs" dxfId="208" priority="212" stopIfTrue="1" operator="lessThan">
      <formula>0</formula>
    </cfRule>
  </conditionalFormatting>
  <conditionalFormatting sqref="AX23">
    <cfRule type="cellIs" dxfId="207" priority="205" stopIfTrue="1" operator="greaterThan">
      <formula>0.03</formula>
    </cfRule>
    <cfRule type="cellIs" dxfId="206" priority="206" stopIfTrue="1" operator="lessThan">
      <formula>-0.03</formula>
    </cfRule>
  </conditionalFormatting>
  <conditionalFormatting sqref="AX23:AX24">
    <cfRule type="cellIs" dxfId="205" priority="207" stopIfTrue="1" operator="greaterThan">
      <formula>0</formula>
    </cfRule>
    <cfRule type="cellIs" dxfId="204" priority="208" operator="lessThan">
      <formula>0</formula>
    </cfRule>
  </conditionalFormatting>
  <conditionalFormatting sqref="AX25">
    <cfRule type="cellIs" dxfId="203" priority="201" stopIfTrue="1" operator="greaterThan">
      <formula>0.03</formula>
    </cfRule>
    <cfRule type="cellIs" dxfId="202" priority="202" stopIfTrue="1" operator="lessThan">
      <formula>-0.03</formula>
    </cfRule>
  </conditionalFormatting>
  <conditionalFormatting sqref="AX25:AX26">
    <cfRule type="cellIs" dxfId="201" priority="203" stopIfTrue="1" operator="greaterThan">
      <formula>0</formula>
    </cfRule>
    <cfRule type="cellIs" dxfId="200" priority="204" operator="lessThan">
      <formula>0</formula>
    </cfRule>
  </conditionalFormatting>
  <conditionalFormatting sqref="AX27">
    <cfRule type="cellIs" dxfId="199" priority="197" stopIfTrue="1" operator="greaterThan">
      <formula>0.03</formula>
    </cfRule>
    <cfRule type="cellIs" dxfId="198" priority="198" stopIfTrue="1" operator="lessThan">
      <formula>-0.03</formula>
    </cfRule>
  </conditionalFormatting>
  <conditionalFormatting sqref="AX27:AX28">
    <cfRule type="cellIs" dxfId="197" priority="199" stopIfTrue="1" operator="greaterThan">
      <formula>0</formula>
    </cfRule>
    <cfRule type="cellIs" dxfId="196" priority="200" operator="lessThan">
      <formula>0</formula>
    </cfRule>
  </conditionalFormatting>
  <conditionalFormatting sqref="AY29">
    <cfRule type="cellIs" dxfId="195" priority="193" stopIfTrue="1" operator="greaterThan">
      <formula>0.03</formula>
    </cfRule>
    <cfRule type="cellIs" dxfId="194" priority="194" stopIfTrue="1" operator="lessThan">
      <formula>-0.03</formula>
    </cfRule>
  </conditionalFormatting>
  <conditionalFormatting sqref="AY29:AY34">
    <cfRule type="cellIs" dxfId="193" priority="195" stopIfTrue="1" operator="greaterThan">
      <formula>0</formula>
    </cfRule>
    <cfRule type="cellIs" dxfId="192" priority="196" stopIfTrue="1" operator="lessThan">
      <formula>0</formula>
    </cfRule>
  </conditionalFormatting>
  <conditionalFormatting sqref="AX29">
    <cfRule type="cellIs" dxfId="191" priority="189" stopIfTrue="1" operator="greaterThan">
      <formula>0.03</formula>
    </cfRule>
    <cfRule type="cellIs" dxfId="190" priority="190" stopIfTrue="1" operator="lessThan">
      <formula>-0.03</formula>
    </cfRule>
  </conditionalFormatting>
  <conditionalFormatting sqref="AX29:AX30">
    <cfRule type="cellIs" dxfId="189" priority="191" stopIfTrue="1" operator="greaterThan">
      <formula>0</formula>
    </cfRule>
    <cfRule type="cellIs" dxfId="188" priority="192" operator="lessThan">
      <formula>0</formula>
    </cfRule>
  </conditionalFormatting>
  <conditionalFormatting sqref="AX31">
    <cfRule type="cellIs" dxfId="187" priority="185" stopIfTrue="1" operator="greaterThan">
      <formula>0.03</formula>
    </cfRule>
    <cfRule type="cellIs" dxfId="186" priority="186" stopIfTrue="1" operator="lessThan">
      <formula>-0.03</formula>
    </cfRule>
  </conditionalFormatting>
  <conditionalFormatting sqref="AX31:AX32">
    <cfRule type="cellIs" dxfId="185" priority="187" stopIfTrue="1" operator="greaterThan">
      <formula>0</formula>
    </cfRule>
    <cfRule type="cellIs" dxfId="184" priority="188" operator="lessThan">
      <formula>0</formula>
    </cfRule>
  </conditionalFormatting>
  <conditionalFormatting sqref="AX33">
    <cfRule type="cellIs" dxfId="183" priority="181" stopIfTrue="1" operator="greaterThan">
      <formula>0.03</formula>
    </cfRule>
    <cfRule type="cellIs" dxfId="182" priority="182" stopIfTrue="1" operator="lessThan">
      <formula>-0.03</formula>
    </cfRule>
  </conditionalFormatting>
  <conditionalFormatting sqref="AX33:AX34">
    <cfRule type="cellIs" dxfId="181" priority="183" stopIfTrue="1" operator="greaterThan">
      <formula>0</formula>
    </cfRule>
    <cfRule type="cellIs" dxfId="180" priority="184" operator="lessThan">
      <formula>0</formula>
    </cfRule>
  </conditionalFormatting>
  <conditionalFormatting sqref="AY35">
    <cfRule type="cellIs" dxfId="179" priority="177" stopIfTrue="1" operator="greaterThan">
      <formula>0.03</formula>
    </cfRule>
    <cfRule type="cellIs" dxfId="178" priority="178" stopIfTrue="1" operator="lessThan">
      <formula>-0.03</formula>
    </cfRule>
  </conditionalFormatting>
  <conditionalFormatting sqref="AY35:AY40">
    <cfRule type="cellIs" dxfId="177" priority="179" stopIfTrue="1" operator="greaterThan">
      <formula>0</formula>
    </cfRule>
    <cfRule type="cellIs" dxfId="176" priority="180" stopIfTrue="1" operator="lessThan">
      <formula>0</formula>
    </cfRule>
  </conditionalFormatting>
  <conditionalFormatting sqref="AX35">
    <cfRule type="cellIs" dxfId="175" priority="173" stopIfTrue="1" operator="greaterThan">
      <formula>0.03</formula>
    </cfRule>
    <cfRule type="cellIs" dxfId="174" priority="174" stopIfTrue="1" operator="lessThan">
      <formula>-0.03</formula>
    </cfRule>
  </conditionalFormatting>
  <conditionalFormatting sqref="AX35:AX36">
    <cfRule type="cellIs" dxfId="173" priority="175" stopIfTrue="1" operator="greaterThan">
      <formula>0</formula>
    </cfRule>
    <cfRule type="cellIs" dxfId="172" priority="176" operator="lessThan">
      <formula>0</formula>
    </cfRule>
  </conditionalFormatting>
  <conditionalFormatting sqref="AX37">
    <cfRule type="cellIs" dxfId="171" priority="169" stopIfTrue="1" operator="greaterThan">
      <formula>0.03</formula>
    </cfRule>
    <cfRule type="cellIs" dxfId="170" priority="170" stopIfTrue="1" operator="lessThan">
      <formula>-0.03</formula>
    </cfRule>
  </conditionalFormatting>
  <conditionalFormatting sqref="AX37:AX38">
    <cfRule type="cellIs" dxfId="169" priority="171" stopIfTrue="1" operator="greaterThan">
      <formula>0</formula>
    </cfRule>
    <cfRule type="cellIs" dxfId="168" priority="172" operator="lessThan">
      <formula>0</formula>
    </cfRule>
  </conditionalFormatting>
  <conditionalFormatting sqref="AX39">
    <cfRule type="cellIs" dxfId="167" priority="165" stopIfTrue="1" operator="greaterThan">
      <formula>0.03</formula>
    </cfRule>
    <cfRule type="cellIs" dxfId="166" priority="166" stopIfTrue="1" operator="lessThan">
      <formula>-0.03</formula>
    </cfRule>
  </conditionalFormatting>
  <conditionalFormatting sqref="AX39:AX40">
    <cfRule type="cellIs" dxfId="165" priority="167" stopIfTrue="1" operator="greaterThan">
      <formula>0</formula>
    </cfRule>
    <cfRule type="cellIs" dxfId="164" priority="168" operator="lessThan">
      <formula>0</formula>
    </cfRule>
  </conditionalFormatting>
  <conditionalFormatting sqref="B47">
    <cfRule type="cellIs" dxfId="163" priority="157" stopIfTrue="1" operator="greaterThan">
      <formula>0.03</formula>
    </cfRule>
    <cfRule type="cellIs" dxfId="162" priority="158" stopIfTrue="1" operator="lessThan">
      <formula>-0.03</formula>
    </cfRule>
  </conditionalFormatting>
  <conditionalFormatting sqref="C47">
    <cfRule type="cellIs" dxfId="161" priority="159" stopIfTrue="1" operator="greaterThan">
      <formula>0.03</formula>
    </cfRule>
    <cfRule type="cellIs" dxfId="160" priority="160" stopIfTrue="1" operator="lessThan">
      <formula>-0.03</formula>
    </cfRule>
  </conditionalFormatting>
  <conditionalFormatting sqref="C47:C52">
    <cfRule type="cellIs" dxfId="159" priority="161" stopIfTrue="1" operator="greaterThan">
      <formula>0</formula>
    </cfRule>
    <cfRule type="cellIs" dxfId="158" priority="162" stopIfTrue="1" operator="lessThan">
      <formula>0</formula>
    </cfRule>
  </conditionalFormatting>
  <conditionalFormatting sqref="B47:B48">
    <cfRule type="cellIs" dxfId="157" priority="163" stopIfTrue="1" operator="greaterThan">
      <formula>0</formula>
    </cfRule>
    <cfRule type="cellIs" dxfId="156" priority="164" operator="lessThan">
      <formula>0</formula>
    </cfRule>
  </conditionalFormatting>
  <conditionalFormatting sqref="B49">
    <cfRule type="cellIs" dxfId="155" priority="153" stopIfTrue="1" operator="greaterThan">
      <formula>0.03</formula>
    </cfRule>
    <cfRule type="cellIs" dxfId="154" priority="154" stopIfTrue="1" operator="lessThan">
      <formula>-0.03</formula>
    </cfRule>
  </conditionalFormatting>
  <conditionalFormatting sqref="B49:B50">
    <cfRule type="cellIs" dxfId="153" priority="155" stopIfTrue="1" operator="greaterThan">
      <formula>0</formula>
    </cfRule>
    <cfRule type="cellIs" dxfId="152" priority="156" operator="lessThan">
      <formula>0</formula>
    </cfRule>
  </conditionalFormatting>
  <conditionalFormatting sqref="B51">
    <cfRule type="cellIs" dxfId="151" priority="149" stopIfTrue="1" operator="greaterThan">
      <formula>0.03</formula>
    </cfRule>
    <cfRule type="cellIs" dxfId="150" priority="150" stopIfTrue="1" operator="lessThan">
      <formula>-0.03</formula>
    </cfRule>
  </conditionalFormatting>
  <conditionalFormatting sqref="B51:B52">
    <cfRule type="cellIs" dxfId="149" priority="151" stopIfTrue="1" operator="greaterThan">
      <formula>0</formula>
    </cfRule>
    <cfRule type="cellIs" dxfId="148" priority="152" operator="lessThan">
      <formula>0</formula>
    </cfRule>
  </conditionalFormatting>
  <conditionalFormatting sqref="D47:P47">
    <cfRule type="cellIs" dxfId="147" priority="145" stopIfTrue="1" operator="greaterThan">
      <formula>0.03</formula>
    </cfRule>
    <cfRule type="cellIs" dxfId="146" priority="146" stopIfTrue="1" operator="lessThan">
      <formula>-0.03</formula>
    </cfRule>
  </conditionalFormatting>
  <conditionalFormatting sqref="D47:P52">
    <cfRule type="cellIs" dxfId="145" priority="147" stopIfTrue="1" operator="greaterThan">
      <formula>0</formula>
    </cfRule>
    <cfRule type="cellIs" dxfId="144" priority="148" stopIfTrue="1" operator="lessThan">
      <formula>0</formula>
    </cfRule>
  </conditionalFormatting>
  <conditionalFormatting sqref="Q47">
    <cfRule type="cellIs" dxfId="143" priority="137" stopIfTrue="1" operator="greaterThan">
      <formula>0.03</formula>
    </cfRule>
    <cfRule type="cellIs" dxfId="142" priority="138" stopIfTrue="1" operator="lessThan">
      <formula>-0.03</formula>
    </cfRule>
  </conditionalFormatting>
  <conditionalFormatting sqref="R47">
    <cfRule type="cellIs" dxfId="141" priority="139" stopIfTrue="1" operator="greaterThan">
      <formula>0.03</formula>
    </cfRule>
    <cfRule type="cellIs" dxfId="140" priority="140" stopIfTrue="1" operator="lessThan">
      <formula>-0.03</formula>
    </cfRule>
  </conditionalFormatting>
  <conditionalFormatting sqref="R47:R52">
    <cfRule type="cellIs" dxfId="139" priority="141" stopIfTrue="1" operator="greaterThan">
      <formula>0</formula>
    </cfRule>
    <cfRule type="cellIs" dxfId="138" priority="142" stopIfTrue="1" operator="lessThan">
      <formula>0</formula>
    </cfRule>
  </conditionalFormatting>
  <conditionalFormatting sqref="Q47:Q48">
    <cfRule type="cellIs" dxfId="137" priority="143" stopIfTrue="1" operator="greaterThan">
      <formula>0</formula>
    </cfRule>
    <cfRule type="cellIs" dxfId="136" priority="144" operator="lessThan">
      <formula>0</formula>
    </cfRule>
  </conditionalFormatting>
  <conditionalFormatting sqref="Q49">
    <cfRule type="cellIs" dxfId="135" priority="133" stopIfTrue="1" operator="greaterThan">
      <formula>0.03</formula>
    </cfRule>
    <cfRule type="cellIs" dxfId="134" priority="134" stopIfTrue="1" operator="lessThan">
      <formula>-0.03</formula>
    </cfRule>
  </conditionalFormatting>
  <conditionalFormatting sqref="Q49:Q50">
    <cfRule type="cellIs" dxfId="133" priority="135" stopIfTrue="1" operator="greaterThan">
      <formula>0</formula>
    </cfRule>
    <cfRule type="cellIs" dxfId="132" priority="136" operator="lessThan">
      <formula>0</formula>
    </cfRule>
  </conditionalFormatting>
  <conditionalFormatting sqref="Q51">
    <cfRule type="cellIs" dxfId="131" priority="129" stopIfTrue="1" operator="greaterThan">
      <formula>0.03</formula>
    </cfRule>
    <cfRule type="cellIs" dxfId="130" priority="130" stopIfTrue="1" operator="lessThan">
      <formula>-0.03</formula>
    </cfRule>
  </conditionalFormatting>
  <conditionalFormatting sqref="Q51:Q52">
    <cfRule type="cellIs" dxfId="129" priority="131" stopIfTrue="1" operator="greaterThan">
      <formula>0</formula>
    </cfRule>
    <cfRule type="cellIs" dxfId="128" priority="132" operator="lessThan">
      <formula>0</formula>
    </cfRule>
  </conditionalFormatting>
  <conditionalFormatting sqref="S47">
    <cfRule type="cellIs" dxfId="127" priority="121" stopIfTrue="1" operator="greaterThan">
      <formula>0.03</formula>
    </cfRule>
    <cfRule type="cellIs" dxfId="126" priority="122" stopIfTrue="1" operator="lessThan">
      <formula>-0.03</formula>
    </cfRule>
  </conditionalFormatting>
  <conditionalFormatting sqref="T47">
    <cfRule type="cellIs" dxfId="125" priority="123" stopIfTrue="1" operator="greaterThan">
      <formula>0.03</formula>
    </cfRule>
    <cfRule type="cellIs" dxfId="124" priority="124" stopIfTrue="1" operator="lessThan">
      <formula>-0.03</formula>
    </cfRule>
  </conditionalFormatting>
  <conditionalFormatting sqref="T47:T52">
    <cfRule type="cellIs" dxfId="123" priority="125" stopIfTrue="1" operator="greaterThan">
      <formula>0</formula>
    </cfRule>
    <cfRule type="cellIs" dxfId="122" priority="126" stopIfTrue="1" operator="lessThan">
      <formula>0</formula>
    </cfRule>
  </conditionalFormatting>
  <conditionalFormatting sqref="S47:S48">
    <cfRule type="cellIs" dxfId="121" priority="127" stopIfTrue="1" operator="greaterThan">
      <formula>0</formula>
    </cfRule>
    <cfRule type="cellIs" dxfId="120" priority="128" operator="lessThan">
      <formula>0</formula>
    </cfRule>
  </conditionalFormatting>
  <conditionalFormatting sqref="S49">
    <cfRule type="cellIs" dxfId="119" priority="117" stopIfTrue="1" operator="greaterThan">
      <formula>0.03</formula>
    </cfRule>
    <cfRule type="cellIs" dxfId="118" priority="118" stopIfTrue="1" operator="lessThan">
      <formula>-0.03</formula>
    </cfRule>
  </conditionalFormatting>
  <conditionalFormatting sqref="S49:S50">
    <cfRule type="cellIs" dxfId="117" priority="119" stopIfTrue="1" operator="greaterThan">
      <formula>0</formula>
    </cfRule>
    <cfRule type="cellIs" dxfId="116" priority="120" operator="lessThan">
      <formula>0</formula>
    </cfRule>
  </conditionalFormatting>
  <conditionalFormatting sqref="S51">
    <cfRule type="cellIs" dxfId="115" priority="113" stopIfTrue="1" operator="greaterThan">
      <formula>0.03</formula>
    </cfRule>
    <cfRule type="cellIs" dxfId="114" priority="114" stopIfTrue="1" operator="lessThan">
      <formula>-0.03</formula>
    </cfRule>
  </conditionalFormatting>
  <conditionalFormatting sqref="S51:S52">
    <cfRule type="cellIs" dxfId="113" priority="115" stopIfTrue="1" operator="greaterThan">
      <formula>0</formula>
    </cfRule>
    <cfRule type="cellIs" dxfId="112" priority="116" operator="lessThan">
      <formula>0</formula>
    </cfRule>
  </conditionalFormatting>
  <conditionalFormatting sqref="U47">
    <cfRule type="cellIs" dxfId="111" priority="105" stopIfTrue="1" operator="greaterThan">
      <formula>0.03</formula>
    </cfRule>
    <cfRule type="cellIs" dxfId="110" priority="106" stopIfTrue="1" operator="lessThan">
      <formula>-0.03</formula>
    </cfRule>
  </conditionalFormatting>
  <conditionalFormatting sqref="V47">
    <cfRule type="cellIs" dxfId="109" priority="107" stopIfTrue="1" operator="greaterThan">
      <formula>0.03</formula>
    </cfRule>
    <cfRule type="cellIs" dxfId="108" priority="108" stopIfTrue="1" operator="lessThan">
      <formula>-0.03</formula>
    </cfRule>
  </conditionalFormatting>
  <conditionalFormatting sqref="V47:V52">
    <cfRule type="cellIs" dxfId="107" priority="109" stopIfTrue="1" operator="greaterThan">
      <formula>0</formula>
    </cfRule>
    <cfRule type="cellIs" dxfId="106" priority="110" stopIfTrue="1" operator="lessThan">
      <formula>0</formula>
    </cfRule>
  </conditionalFormatting>
  <conditionalFormatting sqref="U47:U48">
    <cfRule type="cellIs" dxfId="105" priority="111" stopIfTrue="1" operator="greaterThan">
      <formula>0</formula>
    </cfRule>
    <cfRule type="cellIs" dxfId="104" priority="112" operator="lessThan">
      <formula>0</formula>
    </cfRule>
  </conditionalFormatting>
  <conditionalFormatting sqref="U49">
    <cfRule type="cellIs" dxfId="103" priority="101" stopIfTrue="1" operator="greaterThan">
      <formula>0.03</formula>
    </cfRule>
    <cfRule type="cellIs" dxfId="102" priority="102" stopIfTrue="1" operator="lessThan">
      <formula>-0.03</formula>
    </cfRule>
  </conditionalFormatting>
  <conditionalFormatting sqref="U49:U50">
    <cfRule type="cellIs" dxfId="101" priority="103" stopIfTrue="1" operator="greaterThan">
      <formula>0</formula>
    </cfRule>
    <cfRule type="cellIs" dxfId="100" priority="104" operator="lessThan">
      <formula>0</formula>
    </cfRule>
  </conditionalFormatting>
  <conditionalFormatting sqref="U51">
    <cfRule type="cellIs" dxfId="99" priority="97" stopIfTrue="1" operator="greaterThan">
      <formula>0.03</formula>
    </cfRule>
    <cfRule type="cellIs" dxfId="98" priority="98" stopIfTrue="1" operator="lessThan">
      <formula>-0.03</formula>
    </cfRule>
  </conditionalFormatting>
  <conditionalFormatting sqref="U51:U52">
    <cfRule type="cellIs" dxfId="97" priority="99" stopIfTrue="1" operator="greaterThan">
      <formula>0</formula>
    </cfRule>
    <cfRule type="cellIs" dxfId="96" priority="100" operator="lessThan">
      <formula>0</formula>
    </cfRule>
  </conditionalFormatting>
  <conditionalFormatting sqref="W47">
    <cfRule type="cellIs" dxfId="95" priority="89" stopIfTrue="1" operator="greaterThan">
      <formula>0.03</formula>
    </cfRule>
    <cfRule type="cellIs" dxfId="94" priority="90" stopIfTrue="1" operator="lessThan">
      <formula>-0.03</formula>
    </cfRule>
  </conditionalFormatting>
  <conditionalFormatting sqref="X47">
    <cfRule type="cellIs" dxfId="93" priority="91" stopIfTrue="1" operator="greaterThan">
      <formula>0.03</formula>
    </cfRule>
    <cfRule type="cellIs" dxfId="92" priority="92" stopIfTrue="1" operator="lessThan">
      <formula>-0.03</formula>
    </cfRule>
  </conditionalFormatting>
  <conditionalFormatting sqref="X47:X52">
    <cfRule type="cellIs" dxfId="91" priority="93" stopIfTrue="1" operator="greaterThan">
      <formula>0</formula>
    </cfRule>
    <cfRule type="cellIs" dxfId="90" priority="94" stopIfTrue="1" operator="lessThan">
      <formula>0</formula>
    </cfRule>
  </conditionalFormatting>
  <conditionalFormatting sqref="W47:W48">
    <cfRule type="cellIs" dxfId="89" priority="95" stopIfTrue="1" operator="greaterThan">
      <formula>0</formula>
    </cfRule>
    <cfRule type="cellIs" dxfId="88" priority="96" operator="lessThan">
      <formula>0</formula>
    </cfRule>
  </conditionalFormatting>
  <conditionalFormatting sqref="W49">
    <cfRule type="cellIs" dxfId="87" priority="85" stopIfTrue="1" operator="greaterThan">
      <formula>0.03</formula>
    </cfRule>
    <cfRule type="cellIs" dxfId="86" priority="86" stopIfTrue="1" operator="lessThan">
      <formula>-0.03</formula>
    </cfRule>
  </conditionalFormatting>
  <conditionalFormatting sqref="W49:W50">
    <cfRule type="cellIs" dxfId="85" priority="87" stopIfTrue="1" operator="greaterThan">
      <formula>0</formula>
    </cfRule>
    <cfRule type="cellIs" dxfId="84" priority="88" operator="lessThan">
      <formula>0</formula>
    </cfRule>
  </conditionalFormatting>
  <conditionalFormatting sqref="W51">
    <cfRule type="cellIs" dxfId="83" priority="81" stopIfTrue="1" operator="greaterThan">
      <formula>0.03</formula>
    </cfRule>
    <cfRule type="cellIs" dxfId="82" priority="82" stopIfTrue="1" operator="lessThan">
      <formula>-0.03</formula>
    </cfRule>
  </conditionalFormatting>
  <conditionalFormatting sqref="W51:W52">
    <cfRule type="cellIs" dxfId="81" priority="83" stopIfTrue="1" operator="greaterThan">
      <formula>0</formula>
    </cfRule>
    <cfRule type="cellIs" dxfId="80" priority="84" operator="lessThan">
      <formula>0</formula>
    </cfRule>
  </conditionalFormatting>
  <conditionalFormatting sqref="Y47">
    <cfRule type="cellIs" dxfId="79" priority="73" stopIfTrue="1" operator="greaterThan">
      <formula>0.03</formula>
    </cfRule>
    <cfRule type="cellIs" dxfId="78" priority="74" stopIfTrue="1" operator="lessThan">
      <formula>-0.03</formula>
    </cfRule>
  </conditionalFormatting>
  <conditionalFormatting sqref="Z47">
    <cfRule type="cellIs" dxfId="77" priority="75" stopIfTrue="1" operator="greaterThan">
      <formula>0.03</formula>
    </cfRule>
    <cfRule type="cellIs" dxfId="76" priority="76" stopIfTrue="1" operator="lessThan">
      <formula>-0.03</formula>
    </cfRule>
  </conditionalFormatting>
  <conditionalFormatting sqref="Z47:Z52">
    <cfRule type="cellIs" dxfId="75" priority="77" stopIfTrue="1" operator="greaterThan">
      <formula>0</formula>
    </cfRule>
    <cfRule type="cellIs" dxfId="74" priority="78" stopIfTrue="1" operator="lessThan">
      <formula>0</formula>
    </cfRule>
  </conditionalFormatting>
  <conditionalFormatting sqref="Y47:Y48">
    <cfRule type="cellIs" dxfId="73" priority="79" stopIfTrue="1" operator="greaterThan">
      <formula>0</formula>
    </cfRule>
    <cfRule type="cellIs" dxfId="72" priority="80" operator="lessThan">
      <formula>0</formula>
    </cfRule>
  </conditionalFormatting>
  <conditionalFormatting sqref="Y49">
    <cfRule type="cellIs" dxfId="71" priority="69" stopIfTrue="1" operator="greaterThan">
      <formula>0.03</formula>
    </cfRule>
    <cfRule type="cellIs" dxfId="70" priority="70" stopIfTrue="1" operator="lessThan">
      <formula>-0.03</formula>
    </cfRule>
  </conditionalFormatting>
  <conditionalFormatting sqref="Y49:Y50">
    <cfRule type="cellIs" dxfId="69" priority="71" stopIfTrue="1" operator="greaterThan">
      <formula>0</formula>
    </cfRule>
    <cfRule type="cellIs" dxfId="68" priority="72" operator="lessThan">
      <formula>0</formula>
    </cfRule>
  </conditionalFormatting>
  <conditionalFormatting sqref="Y51">
    <cfRule type="cellIs" dxfId="67" priority="65" stopIfTrue="1" operator="greaterThan">
      <formula>0.03</formula>
    </cfRule>
    <cfRule type="cellIs" dxfId="66" priority="66" stopIfTrue="1" operator="lessThan">
      <formula>-0.03</formula>
    </cfRule>
  </conditionalFormatting>
  <conditionalFormatting sqref="Y51:Y52">
    <cfRule type="cellIs" dxfId="65" priority="67" stopIfTrue="1" operator="greaterThan">
      <formula>0</formula>
    </cfRule>
    <cfRule type="cellIs" dxfId="64" priority="68" operator="lessThan">
      <formula>0</formula>
    </cfRule>
  </conditionalFormatting>
  <conditionalFormatting sqref="AA47">
    <cfRule type="cellIs" dxfId="63" priority="57" stopIfTrue="1" operator="greaterThan">
      <formula>0.03</formula>
    </cfRule>
    <cfRule type="cellIs" dxfId="62" priority="58" stopIfTrue="1" operator="lessThan">
      <formula>-0.03</formula>
    </cfRule>
  </conditionalFormatting>
  <conditionalFormatting sqref="AB47">
    <cfRule type="cellIs" dxfId="61" priority="59" stopIfTrue="1" operator="greaterThan">
      <formula>0.03</formula>
    </cfRule>
    <cfRule type="cellIs" dxfId="60" priority="60" stopIfTrue="1" operator="lessThan">
      <formula>-0.03</formula>
    </cfRule>
  </conditionalFormatting>
  <conditionalFormatting sqref="AB47:AB52">
    <cfRule type="cellIs" dxfId="59" priority="61" stopIfTrue="1" operator="greaterThan">
      <formula>0</formula>
    </cfRule>
    <cfRule type="cellIs" dxfId="58" priority="62" stopIfTrue="1" operator="lessThan">
      <formula>0</formula>
    </cfRule>
  </conditionalFormatting>
  <conditionalFormatting sqref="AA47:AA48">
    <cfRule type="cellIs" dxfId="57" priority="63" stopIfTrue="1" operator="greaterThan">
      <formula>0</formula>
    </cfRule>
    <cfRule type="cellIs" dxfId="56" priority="64" operator="lessThan">
      <formula>0</formula>
    </cfRule>
  </conditionalFormatting>
  <conditionalFormatting sqref="AA49">
    <cfRule type="cellIs" dxfId="55" priority="53" stopIfTrue="1" operator="greaterThan">
      <formula>0.03</formula>
    </cfRule>
    <cfRule type="cellIs" dxfId="54" priority="54" stopIfTrue="1" operator="lessThan">
      <formula>-0.03</formula>
    </cfRule>
  </conditionalFormatting>
  <conditionalFormatting sqref="AA49:AA50">
    <cfRule type="cellIs" dxfId="53" priority="55" stopIfTrue="1" operator="greaterThan">
      <formula>0</formula>
    </cfRule>
    <cfRule type="cellIs" dxfId="52" priority="56" operator="lessThan">
      <formula>0</formula>
    </cfRule>
  </conditionalFormatting>
  <conditionalFormatting sqref="AA51">
    <cfRule type="cellIs" dxfId="51" priority="49" stopIfTrue="1" operator="greaterThan">
      <formula>0.03</formula>
    </cfRule>
    <cfRule type="cellIs" dxfId="50" priority="50" stopIfTrue="1" operator="lessThan">
      <formula>-0.03</formula>
    </cfRule>
  </conditionalFormatting>
  <conditionalFormatting sqref="AA51:AA52">
    <cfRule type="cellIs" dxfId="49" priority="51" stopIfTrue="1" operator="greaterThan">
      <formula>0</formula>
    </cfRule>
    <cfRule type="cellIs" dxfId="48" priority="52" operator="lessThan">
      <formula>0</formula>
    </cfRule>
  </conditionalFormatting>
  <conditionalFormatting sqref="AC47">
    <cfRule type="cellIs" dxfId="47" priority="45" stopIfTrue="1" operator="greaterThan">
      <formula>0.03</formula>
    </cfRule>
    <cfRule type="cellIs" dxfId="46" priority="46" stopIfTrue="1" operator="lessThan">
      <formula>-0.03</formula>
    </cfRule>
  </conditionalFormatting>
  <conditionalFormatting sqref="AC47:AC48">
    <cfRule type="cellIs" dxfId="45" priority="47" stopIfTrue="1" operator="greaterThan">
      <formula>0</formula>
    </cfRule>
    <cfRule type="cellIs" dxfId="44" priority="48" operator="lessThan">
      <formula>0</formula>
    </cfRule>
  </conditionalFormatting>
  <conditionalFormatting sqref="AC49">
    <cfRule type="cellIs" dxfId="43" priority="41" stopIfTrue="1" operator="greaterThan">
      <formula>0.03</formula>
    </cfRule>
    <cfRule type="cellIs" dxfId="42" priority="42" stopIfTrue="1" operator="lessThan">
      <formula>-0.03</formula>
    </cfRule>
  </conditionalFormatting>
  <conditionalFormatting sqref="AC49:AC50">
    <cfRule type="cellIs" dxfId="41" priority="43" stopIfTrue="1" operator="greaterThan">
      <formula>0</formula>
    </cfRule>
    <cfRule type="cellIs" dxfId="40" priority="44" operator="lessThan">
      <formula>0</formula>
    </cfRule>
  </conditionalFormatting>
  <conditionalFormatting sqref="AC51">
    <cfRule type="cellIs" dxfId="39" priority="37" stopIfTrue="1" operator="greaterThan">
      <formula>0.03</formula>
    </cfRule>
    <cfRule type="cellIs" dxfId="38" priority="38" stopIfTrue="1" operator="lessThan">
      <formula>-0.03</formula>
    </cfRule>
  </conditionalFormatting>
  <conditionalFormatting sqref="AC51:AC52">
    <cfRule type="cellIs" dxfId="37" priority="39" stopIfTrue="1" operator="greaterThan">
      <formula>0</formula>
    </cfRule>
    <cfRule type="cellIs" dxfId="36" priority="40" operator="lessThan">
      <formula>0</formula>
    </cfRule>
  </conditionalFormatting>
  <conditionalFormatting sqref="AI47">
    <cfRule type="cellIs" dxfId="35" priority="29" stopIfTrue="1" operator="greaterThan">
      <formula>0.03</formula>
    </cfRule>
    <cfRule type="cellIs" dxfId="34" priority="30" stopIfTrue="1" operator="lessThan">
      <formula>-0.03</formula>
    </cfRule>
  </conditionalFormatting>
  <conditionalFormatting sqref="AJ47">
    <cfRule type="cellIs" dxfId="33" priority="31" stopIfTrue="1" operator="greaterThan">
      <formula>0.03</formula>
    </cfRule>
    <cfRule type="cellIs" dxfId="32" priority="32" stopIfTrue="1" operator="lessThan">
      <formula>-0.03</formula>
    </cfRule>
  </conditionalFormatting>
  <conditionalFormatting sqref="AJ47:AJ52">
    <cfRule type="cellIs" dxfId="31" priority="33" stopIfTrue="1" operator="greaterThan">
      <formula>0</formula>
    </cfRule>
    <cfRule type="cellIs" dxfId="30" priority="34" stopIfTrue="1" operator="lessThan">
      <formula>0</formula>
    </cfRule>
  </conditionalFormatting>
  <conditionalFormatting sqref="AI47:AI48">
    <cfRule type="cellIs" dxfId="29" priority="35" stopIfTrue="1" operator="greaterThan">
      <formula>0</formula>
    </cfRule>
    <cfRule type="cellIs" dxfId="28" priority="36" operator="lessThan">
      <formula>0</formula>
    </cfRule>
  </conditionalFormatting>
  <conditionalFormatting sqref="AI49">
    <cfRule type="cellIs" dxfId="27" priority="25" stopIfTrue="1" operator="greaterThan">
      <formula>0.03</formula>
    </cfRule>
    <cfRule type="cellIs" dxfId="26" priority="26" stopIfTrue="1" operator="lessThan">
      <formula>-0.03</formula>
    </cfRule>
  </conditionalFormatting>
  <conditionalFormatting sqref="AI49:AI50">
    <cfRule type="cellIs" dxfId="25" priority="27" stopIfTrue="1" operator="greaterThan">
      <formula>0</formula>
    </cfRule>
    <cfRule type="cellIs" dxfId="24" priority="28" operator="lessThan">
      <formula>0</formula>
    </cfRule>
  </conditionalFormatting>
  <conditionalFormatting sqref="AI51">
    <cfRule type="cellIs" dxfId="23" priority="21" stopIfTrue="1" operator="greaterThan">
      <formula>0.03</formula>
    </cfRule>
    <cfRule type="cellIs" dxfId="22" priority="22" stopIfTrue="1" operator="lessThan">
      <formula>-0.03</formula>
    </cfRule>
  </conditionalFormatting>
  <conditionalFormatting sqref="AI51:AI52">
    <cfRule type="cellIs" dxfId="21" priority="23" stopIfTrue="1" operator="greaterThan">
      <formula>0</formula>
    </cfRule>
    <cfRule type="cellIs" dxfId="20" priority="24" operator="lessThan">
      <formula>0</formula>
    </cfRule>
  </conditionalFormatting>
  <conditionalFormatting sqref="AK47">
    <cfRule type="cellIs" dxfId="19" priority="13" stopIfTrue="1" operator="greaterThan">
      <formula>0.03</formula>
    </cfRule>
    <cfRule type="cellIs" dxfId="18" priority="14" stopIfTrue="1" operator="lessThan">
      <formula>-0.03</formula>
    </cfRule>
  </conditionalFormatting>
  <conditionalFormatting sqref="AL47">
    <cfRule type="cellIs" dxfId="17" priority="15" stopIfTrue="1" operator="greaterThan">
      <formula>0.03</formula>
    </cfRule>
    <cfRule type="cellIs" dxfId="16" priority="16" stopIfTrue="1" operator="lessThan">
      <formula>-0.03</formula>
    </cfRule>
  </conditionalFormatting>
  <conditionalFormatting sqref="AL47:AL52">
    <cfRule type="cellIs" dxfId="15" priority="17" stopIfTrue="1" operator="greaterThan">
      <formula>0</formula>
    </cfRule>
    <cfRule type="cellIs" dxfId="14" priority="18" stopIfTrue="1" operator="lessThan">
      <formula>0</formula>
    </cfRule>
  </conditionalFormatting>
  <conditionalFormatting sqref="AK47:AK48">
    <cfRule type="cellIs" dxfId="13" priority="19" stopIfTrue="1" operator="greaterThan">
      <formula>0</formula>
    </cfRule>
    <cfRule type="cellIs" dxfId="12" priority="20" operator="lessThan">
      <formula>0</formula>
    </cfRule>
  </conditionalFormatting>
  <conditionalFormatting sqref="AK49">
    <cfRule type="cellIs" dxfId="11" priority="9" stopIfTrue="1" operator="greaterThan">
      <formula>0.03</formula>
    </cfRule>
    <cfRule type="cellIs" dxfId="10" priority="10" stopIfTrue="1" operator="lessThan">
      <formula>-0.03</formula>
    </cfRule>
  </conditionalFormatting>
  <conditionalFormatting sqref="AK49:AK50">
    <cfRule type="cellIs" dxfId="9" priority="11" stopIfTrue="1" operator="greaterThan">
      <formula>0</formula>
    </cfRule>
    <cfRule type="cellIs" dxfId="8" priority="12" operator="lessThan">
      <formula>0</formula>
    </cfRule>
  </conditionalFormatting>
  <conditionalFormatting sqref="AK51">
    <cfRule type="cellIs" dxfId="7" priority="5" stopIfTrue="1" operator="greaterThan">
      <formula>0.03</formula>
    </cfRule>
    <cfRule type="cellIs" dxfId="6" priority="6" stopIfTrue="1" operator="lessThan">
      <formula>-0.03</formula>
    </cfRule>
  </conditionalFormatting>
  <conditionalFormatting sqref="AK51:AK52">
    <cfRule type="cellIs" dxfId="5" priority="7" stopIfTrue="1" operator="greaterThan">
      <formula>0</formula>
    </cfRule>
    <cfRule type="cellIs" dxfId="4" priority="8" operator="lessThan">
      <formula>0</formula>
    </cfRule>
  </conditionalFormatting>
  <conditionalFormatting sqref="AD47:AH47">
    <cfRule type="cellIs" dxfId="3" priority="1" stopIfTrue="1" operator="greaterThan">
      <formula>0.03</formula>
    </cfRule>
    <cfRule type="cellIs" dxfId="2" priority="2" stopIfTrue="1" operator="lessThan">
      <formula>-0.03</formula>
    </cfRule>
  </conditionalFormatting>
  <conditionalFormatting sqref="AD47:AH52">
    <cfRule type="cellIs" dxfId="1" priority="3" stopIfTrue="1" operator="greaterThan">
      <formula>0</formula>
    </cfRule>
    <cfRule type="cellIs" dxfId="0" priority="4" stopIfTrue="1" operator="lessThan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D47DE3-E0BB-634C-BD4D-63D339C45A45}">
  <sheetPr codeName="Sheet4"/>
  <dimension ref="A1:AE23"/>
  <sheetViews>
    <sheetView workbookViewId="0">
      <selection activeCell="A2" sqref="A2:XFD291"/>
    </sheetView>
  </sheetViews>
  <sheetFormatPr baseColWidth="10" defaultColWidth="11.1640625" defaultRowHeight="16" x14ac:dyDescent="0.2"/>
  <cols>
    <col min="1" max="1" width="8.6640625" bestFit="1" customWidth="1"/>
    <col min="2" max="2" width="13.33203125" bestFit="1" customWidth="1"/>
    <col min="3" max="3" width="11" bestFit="1" customWidth="1"/>
    <col min="4" max="4" width="14.6640625" bestFit="1" customWidth="1"/>
    <col min="5" max="5" width="6.6640625" bestFit="1" customWidth="1"/>
    <col min="6" max="6" width="13.1640625" bestFit="1" customWidth="1"/>
    <col min="7" max="7" width="10" bestFit="1" customWidth="1"/>
    <col min="8" max="8" width="5" bestFit="1" customWidth="1"/>
    <col min="9" max="9" width="9.5" bestFit="1" customWidth="1"/>
    <col min="10" max="10" width="10" bestFit="1" customWidth="1"/>
    <col min="11" max="11" width="4" bestFit="1" customWidth="1"/>
    <col min="12" max="12" width="13.1640625" bestFit="1" customWidth="1"/>
    <col min="13" max="15" width="12.1640625" bestFit="1" customWidth="1"/>
    <col min="16" max="16" width="12.5" bestFit="1" customWidth="1"/>
    <col min="17" max="17" width="14.1640625" bestFit="1" customWidth="1"/>
    <col min="18" max="18" width="9.33203125" bestFit="1" customWidth="1"/>
    <col min="19" max="19" width="14.33203125" bestFit="1" customWidth="1"/>
    <col min="20" max="20" width="11.6640625" bestFit="1" customWidth="1"/>
    <col min="21" max="21" width="12" bestFit="1" customWidth="1"/>
    <col min="23" max="23" width="11" bestFit="1" customWidth="1"/>
    <col min="25" max="26" width="12.1640625" bestFit="1" customWidth="1"/>
    <col min="29" max="29" width="20.83203125" bestFit="1" customWidth="1"/>
  </cols>
  <sheetData>
    <row r="1" spans="1:31" s="115" customFormat="1" x14ac:dyDescent="0.2">
      <c r="A1" s="114" t="s">
        <v>115</v>
      </c>
      <c r="B1" s="115" t="s">
        <v>116</v>
      </c>
      <c r="C1" s="115" t="s">
        <v>117</v>
      </c>
      <c r="D1" s="114" t="s">
        <v>118</v>
      </c>
      <c r="E1" s="114" t="s">
        <v>119</v>
      </c>
      <c r="F1" s="114" t="s">
        <v>120</v>
      </c>
      <c r="G1" s="114" t="s">
        <v>121</v>
      </c>
      <c r="H1" s="114" t="s">
        <v>122</v>
      </c>
      <c r="I1" s="114" t="s">
        <v>123</v>
      </c>
      <c r="J1" s="115" t="s">
        <v>124</v>
      </c>
      <c r="K1" s="114" t="s">
        <v>6</v>
      </c>
      <c r="L1" s="114" t="s">
        <v>125</v>
      </c>
      <c r="M1" s="114" t="s">
        <v>2</v>
      </c>
      <c r="N1" s="114" t="s">
        <v>126</v>
      </c>
      <c r="O1" s="114" t="s">
        <v>127</v>
      </c>
      <c r="P1" s="114" t="s">
        <v>128</v>
      </c>
      <c r="Q1" s="115" t="s">
        <v>129</v>
      </c>
      <c r="R1" s="114" t="s">
        <v>130</v>
      </c>
      <c r="S1" s="114" t="s">
        <v>131</v>
      </c>
      <c r="T1" s="114" t="s">
        <v>40</v>
      </c>
      <c r="U1" s="114" t="s">
        <v>132</v>
      </c>
      <c r="V1" s="114" t="s">
        <v>133</v>
      </c>
      <c r="W1" s="114" t="s">
        <v>134</v>
      </c>
      <c r="X1" s="114" t="s">
        <v>135</v>
      </c>
      <c r="Y1" s="114" t="s">
        <v>136</v>
      </c>
      <c r="Z1" s="114" t="s">
        <v>137</v>
      </c>
      <c r="AA1" s="167" t="s">
        <v>143</v>
      </c>
      <c r="AB1" s="167" t="s">
        <v>144</v>
      </c>
      <c r="AC1" s="167" t="s">
        <v>145</v>
      </c>
      <c r="AD1" s="167" t="s">
        <v>146</v>
      </c>
      <c r="AE1" s="168" t="s">
        <v>147</v>
      </c>
    </row>
    <row r="19" spans="29:30" x14ac:dyDescent="0.2">
      <c r="AC19" s="161"/>
    </row>
    <row r="23" spans="29:30" x14ac:dyDescent="0.2">
      <c r="AC23" s="160"/>
      <c r="AD23" s="160"/>
    </row>
  </sheetData>
  <phoneticPr fontId="19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91F7E-B7D4-D841-A1AE-2D9E74CC3AA4}">
  <sheetPr codeName="Sheet5"/>
  <dimension ref="A1:AE23"/>
  <sheetViews>
    <sheetView tabSelected="1" workbookViewId="0">
      <selection activeCell="A2" sqref="A2:XFD292"/>
    </sheetView>
  </sheetViews>
  <sheetFormatPr baseColWidth="10" defaultColWidth="11.1640625" defaultRowHeight="16" x14ac:dyDescent="0.2"/>
  <cols>
    <col min="1" max="1" width="8.6640625" bestFit="1" customWidth="1"/>
    <col min="2" max="2" width="13.33203125" bestFit="1" customWidth="1"/>
    <col min="3" max="3" width="11" bestFit="1" customWidth="1"/>
    <col min="4" max="4" width="14.6640625" bestFit="1" customWidth="1"/>
    <col min="5" max="5" width="6.6640625" bestFit="1" customWidth="1"/>
    <col min="6" max="6" width="13.1640625" bestFit="1" customWidth="1"/>
    <col min="7" max="7" width="10" bestFit="1" customWidth="1"/>
    <col min="8" max="8" width="5" bestFit="1" customWidth="1"/>
    <col min="9" max="9" width="9.5" bestFit="1" customWidth="1"/>
    <col min="10" max="10" width="10" bestFit="1" customWidth="1"/>
    <col min="11" max="11" width="4" bestFit="1" customWidth="1"/>
    <col min="12" max="12" width="13.6640625" bestFit="1" customWidth="1"/>
    <col min="13" max="15" width="12.1640625" bestFit="1" customWidth="1"/>
    <col min="16" max="16" width="12.5" bestFit="1" customWidth="1"/>
    <col min="17" max="17" width="14.1640625" bestFit="1" customWidth="1"/>
    <col min="18" max="18" width="9.33203125" bestFit="1" customWidth="1"/>
    <col min="19" max="19" width="14.33203125" bestFit="1" customWidth="1"/>
    <col min="20" max="20" width="11.6640625" bestFit="1" customWidth="1"/>
    <col min="21" max="21" width="12" bestFit="1" customWidth="1"/>
    <col min="23" max="23" width="11" bestFit="1" customWidth="1"/>
    <col min="25" max="26" width="12.1640625" bestFit="1" customWidth="1"/>
  </cols>
  <sheetData>
    <row r="1" spans="1:31" s="115" customFormat="1" x14ac:dyDescent="0.2">
      <c r="A1" s="114" t="s">
        <v>115</v>
      </c>
      <c r="B1" s="115" t="s">
        <v>116</v>
      </c>
      <c r="C1" s="115" t="s">
        <v>117</v>
      </c>
      <c r="D1" s="114" t="s">
        <v>118</v>
      </c>
      <c r="E1" s="114" t="s">
        <v>119</v>
      </c>
      <c r="F1" s="114" t="s">
        <v>120</v>
      </c>
      <c r="G1" s="114" t="s">
        <v>121</v>
      </c>
      <c r="H1" s="114" t="s">
        <v>122</v>
      </c>
      <c r="I1" s="114" t="s">
        <v>123</v>
      </c>
      <c r="J1" s="115" t="s">
        <v>124</v>
      </c>
      <c r="K1" s="114" t="s">
        <v>6</v>
      </c>
      <c r="L1" s="114" t="s">
        <v>125</v>
      </c>
      <c r="M1" s="114" t="s">
        <v>2</v>
      </c>
      <c r="N1" s="114" t="s">
        <v>126</v>
      </c>
      <c r="O1" s="114" t="s">
        <v>127</v>
      </c>
      <c r="P1" s="114" t="s">
        <v>128</v>
      </c>
      <c r="Q1" s="115" t="s">
        <v>129</v>
      </c>
      <c r="R1" s="114" t="s">
        <v>130</v>
      </c>
      <c r="S1" s="114" t="s">
        <v>131</v>
      </c>
      <c r="T1" s="114" t="s">
        <v>40</v>
      </c>
      <c r="U1" s="114" t="s">
        <v>132</v>
      </c>
      <c r="V1" s="114" t="s">
        <v>133</v>
      </c>
      <c r="W1" s="114" t="s">
        <v>134</v>
      </c>
      <c r="X1" s="114" t="s">
        <v>135</v>
      </c>
      <c r="Y1" s="114" t="s">
        <v>136</v>
      </c>
      <c r="Z1" s="114" t="s">
        <v>137</v>
      </c>
      <c r="AA1" s="167" t="s">
        <v>143</v>
      </c>
      <c r="AB1" s="167" t="s">
        <v>144</v>
      </c>
      <c r="AC1" s="167" t="s">
        <v>145</v>
      </c>
      <c r="AD1" s="167" t="s">
        <v>146</v>
      </c>
      <c r="AE1" s="168" t="s">
        <v>147</v>
      </c>
    </row>
    <row r="19" spans="29:30" x14ac:dyDescent="0.2">
      <c r="AC19" s="161"/>
    </row>
    <row r="23" spans="29:30" x14ac:dyDescent="0.2">
      <c r="AC23" s="160"/>
      <c r="AD23" s="16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Summary</vt:lpstr>
      <vt:lpstr>Summary (Full)</vt:lpstr>
      <vt:lpstr>Plots</vt:lpstr>
      <vt:lpstr>BoxingPractice</vt:lpstr>
      <vt:lpstr>Tango</vt:lpstr>
      <vt:lpstr>CrossWalk</vt:lpstr>
      <vt:lpstr>FoodMarket2</vt:lpstr>
      <vt:lpstr>Neon1224</vt:lpstr>
      <vt:lpstr>NocturneDance</vt:lpstr>
      <vt:lpstr>PierSeaside</vt:lpstr>
      <vt:lpstr>Timelapse</vt:lpstr>
      <vt:lpstr>Anchor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Editors VPCC 4/19/2020</dc:creator>
  <cp:lastModifiedBy>Yeping Su</cp:lastModifiedBy>
  <dcterms:created xsi:type="dcterms:W3CDTF">2020-05-10T04:20:25Z</dcterms:created>
  <dcterms:modified xsi:type="dcterms:W3CDTF">2023-08-23T22:01:20Z</dcterms:modified>
</cp:coreProperties>
</file>